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46133</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46133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46133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46133</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46133</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46133</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40143-2023</t>
        </is>
      </c>
      <c r="B10" s="1" t="n">
        <v>45169.34751157407</v>
      </c>
      <c r="C10" s="1" t="n">
        <v>46133</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46133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46133</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46133</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46133</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46133</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46133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46133</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46133</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46133</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46133</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43927-2024</t>
        </is>
      </c>
      <c r="B21" s="1" t="n">
        <v>45572</v>
      </c>
      <c r="C21" s="1" t="n">
        <v>46133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54693-2022</t>
        </is>
      </c>
      <c r="B22" s="1" t="n">
        <v>44883.49158564815</v>
      </c>
      <c r="C22" s="1" t="n">
        <v>46133</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46133</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46133</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46133</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46133</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Kötticka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46133</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46133</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46133</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17481-2026</t>
        </is>
      </c>
      <c r="B30" s="1" t="n">
        <v>46120.55344907408</v>
      </c>
      <c r="C30" s="1" t="n">
        <v>46133</v>
      </c>
      <c r="D30" t="inlineStr">
        <is>
          <t>JÄMTLANDS LÄN</t>
        </is>
      </c>
      <c r="E30" t="inlineStr">
        <is>
          <t>ÅRE</t>
        </is>
      </c>
      <c r="G30" t="n">
        <v>45.2</v>
      </c>
      <c r="H30" t="n">
        <v>4</v>
      </c>
      <c r="I30" t="n">
        <v>4</v>
      </c>
      <c r="J30" t="n">
        <v>8</v>
      </c>
      <c r="K30" t="n">
        <v>0</v>
      </c>
      <c r="L30" t="n">
        <v>0</v>
      </c>
      <c r="M30" t="n">
        <v>0</v>
      </c>
      <c r="N30" t="n">
        <v>0</v>
      </c>
      <c r="O30" t="n">
        <v>8</v>
      </c>
      <c r="P30" t="n">
        <v>0</v>
      </c>
      <c r="Q30" t="n">
        <v>12</v>
      </c>
      <c r="R30" s="2" t="inlineStr">
        <is>
          <t>Garnlav
Granticka
Järpe
Skrovellav
Spillkråka
Talltita
Tretåig hackspett
Ullticka
Korallblylav
Luddlav
Mörk husmossa
Skinnlav</t>
        </is>
      </c>
      <c r="S30">
        <f>HYPERLINK("https://klasma.github.io/Logging_2321/artfynd/A 17481-2026 artfynd.xlsx", "A 17481-2026")</f>
        <v/>
      </c>
      <c r="T30">
        <f>HYPERLINK("https://klasma.github.io/Logging_2321/kartor/A 17481-2026 karta.png", "A 17481-2026")</f>
        <v/>
      </c>
      <c r="V30">
        <f>HYPERLINK("https://klasma.github.io/Logging_2321/klagomål/A 17481-2026 FSC-klagomål.docx", "A 17481-2026")</f>
        <v/>
      </c>
      <c r="W30">
        <f>HYPERLINK("https://klasma.github.io/Logging_2321/klagomålsmail/A 17481-2026 FSC-klagomål mail.docx", "A 17481-2026")</f>
        <v/>
      </c>
      <c r="X30">
        <f>HYPERLINK("https://klasma.github.io/Logging_2321/tillsyn/A 17481-2026 tillsynsbegäran.docx", "A 17481-2026")</f>
        <v/>
      </c>
      <c r="Y30">
        <f>HYPERLINK("https://klasma.github.io/Logging_2321/tillsynsmail/A 17481-2026 tillsynsbegäran mail.docx", "A 17481-2026")</f>
        <v/>
      </c>
      <c r="Z30">
        <f>HYPERLINK("https://klasma.github.io/Logging_2321/fåglar/A 17481-2026 prioriterade fågelarter.docx", "A 17481-2026")</f>
        <v/>
      </c>
    </row>
    <row r="31" ht="15" customHeight="1">
      <c r="A31" t="inlineStr">
        <is>
          <t>A 10604-2026</t>
        </is>
      </c>
      <c r="B31" s="1" t="n">
        <v>46077.76832175926</v>
      </c>
      <c r="C31" s="1" t="n">
        <v>46133</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58223-2021</t>
        </is>
      </c>
      <c r="B32" s="1" t="n">
        <v>44487</v>
      </c>
      <c r="C32" s="1" t="n">
        <v>46133</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46133</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46133</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46133</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17107-2025</t>
        </is>
      </c>
      <c r="B36" s="1" t="n">
        <v>45755</v>
      </c>
      <c r="C36" s="1" t="n">
        <v>46133</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40788-2023</t>
        </is>
      </c>
      <c r="B37" s="1" t="n">
        <v>45170</v>
      </c>
      <c r="C37" s="1" t="n">
        <v>46133</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46133</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17095-2025</t>
        </is>
      </c>
      <c r="B39" s="1" t="n">
        <v>45755</v>
      </c>
      <c r="C39" s="1" t="n">
        <v>46133</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45111-2022</t>
        </is>
      </c>
      <c r="B40" s="1" t="n">
        <v>44843.82278935185</v>
      </c>
      <c r="C40" s="1" t="n">
        <v>46133</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46133</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63463-2025</t>
        </is>
      </c>
      <c r="B42" s="1" t="n">
        <v>46013.42751157407</v>
      </c>
      <c r="C42" s="1" t="n">
        <v>46133</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27634-2025</t>
        </is>
      </c>
      <c r="B43" s="1" t="n">
        <v>45813</v>
      </c>
      <c r="C43" s="1" t="n">
        <v>46133</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27805-2022</t>
        </is>
      </c>
      <c r="B44" s="1" t="n">
        <v>44743</v>
      </c>
      <c r="C44" s="1" t="n">
        <v>46133</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46133</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63179-2025</t>
        </is>
      </c>
      <c r="B46" s="1" t="n">
        <v>46010.42215277778</v>
      </c>
      <c r="C46" s="1" t="n">
        <v>46133</v>
      </c>
      <c r="D46" t="inlineStr">
        <is>
          <t>JÄMTLANDS LÄN</t>
        </is>
      </c>
      <c r="E46" t="inlineStr">
        <is>
          <t>ÅRE</t>
        </is>
      </c>
      <c r="G46" t="n">
        <v>6</v>
      </c>
      <c r="H46" t="n">
        <v>1</v>
      </c>
      <c r="I46" t="n">
        <v>0</v>
      </c>
      <c r="J46" t="n">
        <v>7</v>
      </c>
      <c r="K46" t="n">
        <v>1</v>
      </c>
      <c r="L46" t="n">
        <v>0</v>
      </c>
      <c r="M46" t="n">
        <v>0</v>
      </c>
      <c r="N46" t="n">
        <v>0</v>
      </c>
      <c r="O46" t="n">
        <v>8</v>
      </c>
      <c r="P46" t="n">
        <v>1</v>
      </c>
      <c r="Q46" t="n">
        <v>8</v>
      </c>
      <c r="R46" s="2" t="inlineStr">
        <is>
          <t>Norsk näverlav
Gammelgransskål
Garnlav
Granticka
Kavernularia
Liten svartspik
Tretåig hackspett
Vitgrynig nållav</t>
        </is>
      </c>
      <c r="S46">
        <f>HYPERLINK("https://klasma.github.io/Logging_2321/artfynd/A 63179-2025 artfynd.xlsx", "A 63179-2025")</f>
        <v/>
      </c>
      <c r="T46">
        <f>HYPERLINK("https://klasma.github.io/Logging_2321/kartor/A 63179-2025 karta.png", "A 63179-2025")</f>
        <v/>
      </c>
      <c r="V46">
        <f>HYPERLINK("https://klasma.github.io/Logging_2321/klagomål/A 63179-2025 FSC-klagomål.docx", "A 63179-2025")</f>
        <v/>
      </c>
      <c r="W46">
        <f>HYPERLINK("https://klasma.github.io/Logging_2321/klagomålsmail/A 63179-2025 FSC-klagomål mail.docx", "A 63179-2025")</f>
        <v/>
      </c>
      <c r="X46">
        <f>HYPERLINK("https://klasma.github.io/Logging_2321/tillsyn/A 63179-2025 tillsynsbegäran.docx", "A 63179-2025")</f>
        <v/>
      </c>
      <c r="Y46">
        <f>HYPERLINK("https://klasma.github.io/Logging_2321/tillsynsmail/A 63179-2025 tillsynsbegäran mail.docx", "A 63179-2025")</f>
        <v/>
      </c>
      <c r="Z46">
        <f>HYPERLINK("https://klasma.github.io/Logging_2321/fåglar/A 63179-2025 prioriterade fågelarter.docx", "A 63179-2025")</f>
        <v/>
      </c>
    </row>
    <row r="47" ht="15" customHeight="1">
      <c r="A47" t="inlineStr">
        <is>
          <t>A 64239-2021</t>
        </is>
      </c>
      <c r="B47" s="1" t="n">
        <v>44510</v>
      </c>
      <c r="C47" s="1" t="n">
        <v>46133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7034-2026</t>
        </is>
      </c>
      <c r="B48" s="1" t="n">
        <v>46057</v>
      </c>
      <c r="C48" s="1" t="n">
        <v>46133</v>
      </c>
      <c r="D48" t="inlineStr">
        <is>
          <t>JÄMTLANDS LÄN</t>
        </is>
      </c>
      <c r="E48" t="inlineStr">
        <is>
          <t>ÅRE</t>
        </is>
      </c>
      <c r="G48" t="n">
        <v>12.9</v>
      </c>
      <c r="H48" t="n">
        <v>0</v>
      </c>
      <c r="I48" t="n">
        <v>3</v>
      </c>
      <c r="J48" t="n">
        <v>4</v>
      </c>
      <c r="K48" t="n">
        <v>1</v>
      </c>
      <c r="L48" t="n">
        <v>0</v>
      </c>
      <c r="M48" t="n">
        <v>0</v>
      </c>
      <c r="N48" t="n">
        <v>0</v>
      </c>
      <c r="O48" t="n">
        <v>5</v>
      </c>
      <c r="P48" t="n">
        <v>1</v>
      </c>
      <c r="Q48" t="n">
        <v>8</v>
      </c>
      <c r="R48" s="2" t="inlineStr">
        <is>
          <t>Borgsjömusseron
Garnlav
Granticka
Liten svartspik
Vitgrynig nållav
Diskvaxskivling
Svavelriska
Trådticka</t>
        </is>
      </c>
      <c r="S48">
        <f>HYPERLINK("https://klasma.github.io/Logging_2321/artfynd/A 7034-2026 artfynd.xlsx", "A 7034-2026")</f>
        <v/>
      </c>
      <c r="T48">
        <f>HYPERLINK("https://klasma.github.io/Logging_2321/kartor/A 7034-2026 karta.png", "A 7034-2026")</f>
        <v/>
      </c>
      <c r="V48">
        <f>HYPERLINK("https://klasma.github.io/Logging_2321/klagomål/A 7034-2026 FSC-klagomål.docx", "A 7034-2026")</f>
        <v/>
      </c>
      <c r="W48">
        <f>HYPERLINK("https://klasma.github.io/Logging_2321/klagomålsmail/A 7034-2026 FSC-klagomål mail.docx", "A 7034-2026")</f>
        <v/>
      </c>
      <c r="X48">
        <f>HYPERLINK("https://klasma.github.io/Logging_2321/tillsyn/A 7034-2026 tillsynsbegäran.docx", "A 7034-2026")</f>
        <v/>
      </c>
      <c r="Y48">
        <f>HYPERLINK("https://klasma.github.io/Logging_2321/tillsynsmail/A 7034-2026 tillsynsbegäran mail.docx", "A 7034-2026")</f>
        <v/>
      </c>
    </row>
    <row r="49" ht="15" customHeight="1">
      <c r="A49" t="inlineStr">
        <is>
          <t>A 20644-2021</t>
        </is>
      </c>
      <c r="B49" s="1" t="n">
        <v>44316</v>
      </c>
      <c r="C49" s="1" t="n">
        <v>46133</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43910-2024</t>
        </is>
      </c>
      <c r="B50" s="1" t="n">
        <v>45572</v>
      </c>
      <c r="C50" s="1" t="n">
        <v>46133</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47944-2025</t>
        </is>
      </c>
      <c r="B51" s="1" t="n">
        <v>45931</v>
      </c>
      <c r="C51" s="1" t="n">
        <v>46133</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16681-2025</t>
        </is>
      </c>
      <c r="B52" s="1" t="n">
        <v>45754</v>
      </c>
      <c r="C52" s="1" t="n">
        <v>46133</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37891-2025</t>
        </is>
      </c>
      <c r="B53" s="1" t="n">
        <v>45881.54024305556</v>
      </c>
      <c r="C53" s="1" t="n">
        <v>46133</v>
      </c>
      <c r="D53" t="inlineStr">
        <is>
          <t>JÄMTLANDS LÄN</t>
        </is>
      </c>
      <c r="E53" t="inlineStr">
        <is>
          <t>ÅRE</t>
        </is>
      </c>
      <c r="G53" t="n">
        <v>8.300000000000001</v>
      </c>
      <c r="H53" t="n">
        <v>5</v>
      </c>
      <c r="I53" t="n">
        <v>1</v>
      </c>
      <c r="J53" t="n">
        <v>4</v>
      </c>
      <c r="K53" t="n">
        <v>0</v>
      </c>
      <c r="L53" t="n">
        <v>1</v>
      </c>
      <c r="M53" t="n">
        <v>0</v>
      </c>
      <c r="N53" t="n">
        <v>0</v>
      </c>
      <c r="O53" t="n">
        <v>5</v>
      </c>
      <c r="P53" t="n">
        <v>1</v>
      </c>
      <c r="Q53" t="n">
        <v>8</v>
      </c>
      <c r="R53" s="2" t="inlineStr">
        <is>
          <t>Grönfink
Grå blåbärsfältmätare
Kråka
Skogshare
Svartvit flugsnappare
Maskfingersvamp
Trana
Vanlig groda</t>
        </is>
      </c>
      <c r="S53">
        <f>HYPERLINK("https://klasma.github.io/Logging_2321/artfynd/A 37891-2025 artfynd.xlsx", "A 37891-2025")</f>
        <v/>
      </c>
      <c r="T53">
        <f>HYPERLINK("https://klasma.github.io/Logging_2321/kartor/A 37891-2025 karta.png", "A 37891-2025")</f>
        <v/>
      </c>
      <c r="V53">
        <f>HYPERLINK("https://klasma.github.io/Logging_2321/klagomål/A 37891-2025 FSC-klagomål.docx", "A 37891-2025")</f>
        <v/>
      </c>
      <c r="W53">
        <f>HYPERLINK("https://klasma.github.io/Logging_2321/klagomålsmail/A 37891-2025 FSC-klagomål mail.docx", "A 37891-2025")</f>
        <v/>
      </c>
      <c r="X53">
        <f>HYPERLINK("https://klasma.github.io/Logging_2321/tillsyn/A 37891-2025 tillsynsbegäran.docx", "A 37891-2025")</f>
        <v/>
      </c>
      <c r="Y53">
        <f>HYPERLINK("https://klasma.github.io/Logging_2321/tillsynsmail/A 37891-2025 tillsynsbegäran mail.docx", "A 37891-2025")</f>
        <v/>
      </c>
      <c r="Z53">
        <f>HYPERLINK("https://klasma.github.io/Logging_2321/fåglar/A 37891-2025 prioriterade fågelarter.docx", "A 37891-2025")</f>
        <v/>
      </c>
    </row>
    <row r="54" ht="15" customHeight="1">
      <c r="A54" t="inlineStr">
        <is>
          <t>A 23822-2024</t>
        </is>
      </c>
      <c r="B54" s="1" t="n">
        <v>45455.46412037037</v>
      </c>
      <c r="C54" s="1" t="n">
        <v>46133</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53500-2024</t>
        </is>
      </c>
      <c r="B55" s="1" t="n">
        <v>45614</v>
      </c>
      <c r="C55" s="1" t="n">
        <v>46133</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53500-2024 artfynd.xlsx", "A 53500-2024")</f>
        <v/>
      </c>
      <c r="T55">
        <f>HYPERLINK("https://klasma.github.io/Logging_2321/kartor/A 53500-2024 karta.png", "A 53500-2024")</f>
        <v/>
      </c>
      <c r="V55">
        <f>HYPERLINK("https://klasma.github.io/Logging_2321/klagomål/A 53500-2024 FSC-klagomål.docx", "A 53500-2024")</f>
        <v/>
      </c>
      <c r="W55">
        <f>HYPERLINK("https://klasma.github.io/Logging_2321/klagomålsmail/A 53500-2024 FSC-klagomål mail.docx", "A 53500-2024")</f>
        <v/>
      </c>
      <c r="X55">
        <f>HYPERLINK("https://klasma.github.io/Logging_2321/tillsyn/A 53500-2024 tillsynsbegäran.docx", "A 53500-2024")</f>
        <v/>
      </c>
      <c r="Y55">
        <f>HYPERLINK("https://klasma.github.io/Logging_2321/tillsynsmail/A 53500-2024 tillsynsbegäran mail.docx", "A 53500-2024")</f>
        <v/>
      </c>
      <c r="Z55">
        <f>HYPERLINK("https://klasma.github.io/Logging_2321/fåglar/A 53500-2024 prioriterade fågelarter.docx", "A 53500-2024")</f>
        <v/>
      </c>
    </row>
    <row r="56" ht="15" customHeight="1">
      <c r="A56" t="inlineStr">
        <is>
          <t>A 10619-2023</t>
        </is>
      </c>
      <c r="B56" s="1" t="n">
        <v>44984</v>
      </c>
      <c r="C56" s="1" t="n">
        <v>46133</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46133</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46133</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46133</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54988-2025</t>
        </is>
      </c>
      <c r="B60" s="1" t="n">
        <v>45967.57096064815</v>
      </c>
      <c r="C60" s="1" t="n">
        <v>46133</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49858-2025</t>
        </is>
      </c>
      <c r="B61" s="1" t="n">
        <v>45940.5108912037</v>
      </c>
      <c r="C61" s="1" t="n">
        <v>46133</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46133</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32065-2022</t>
        </is>
      </c>
      <c r="B63" s="1" t="n">
        <v>44778.55710648148</v>
      </c>
      <c r="C63" s="1" t="n">
        <v>46133</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46133</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46133</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43942-2024</t>
        </is>
      </c>
      <c r="B66" s="1" t="n">
        <v>45572</v>
      </c>
      <c r="C66" s="1" t="n">
        <v>46133</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57417-2025</t>
        </is>
      </c>
      <c r="B67" s="1" t="n">
        <v>45980.45195601852</v>
      </c>
      <c r="C67" s="1" t="n">
        <v>46133</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46259-2024</t>
        </is>
      </c>
      <c r="B68" s="1" t="n">
        <v>45581</v>
      </c>
      <c r="C68" s="1" t="n">
        <v>46133</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46133</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46133</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46133</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46133</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62545-2025</t>
        </is>
      </c>
      <c r="B73" s="1" t="n">
        <v>46007.65723379629</v>
      </c>
      <c r="C73" s="1" t="n">
        <v>46133</v>
      </c>
      <c r="D73" t="inlineStr">
        <is>
          <t>JÄMTLANDS LÄN</t>
        </is>
      </c>
      <c r="E73" t="inlineStr">
        <is>
          <t>ÅRE</t>
        </is>
      </c>
      <c r="F73" t="inlineStr">
        <is>
          <t>Övriga Aktiebolag</t>
        </is>
      </c>
      <c r="G73" t="n">
        <v>4.3</v>
      </c>
      <c r="H73" t="n">
        <v>3</v>
      </c>
      <c r="I73" t="n">
        <v>0</v>
      </c>
      <c r="J73" t="n">
        <v>4</v>
      </c>
      <c r="K73" t="n">
        <v>1</v>
      </c>
      <c r="L73" t="n">
        <v>0</v>
      </c>
      <c r="M73" t="n">
        <v>0</v>
      </c>
      <c r="N73" t="n">
        <v>0</v>
      </c>
      <c r="O73" t="n">
        <v>5</v>
      </c>
      <c r="P73" t="n">
        <v>1</v>
      </c>
      <c r="Q73" t="n">
        <v>5</v>
      </c>
      <c r="R73" s="2" t="inlineStr">
        <is>
          <t>Tallbit
Granticka
Spillkråka
Tretåig hackspett
Ullticka</t>
        </is>
      </c>
      <c r="S73">
        <f>HYPERLINK("https://klasma.github.io/Logging_2321/artfynd/A 62545-2025 artfynd.xlsx", "A 62545-2025")</f>
        <v/>
      </c>
      <c r="T73">
        <f>HYPERLINK("https://klasma.github.io/Logging_2321/kartor/A 62545-2025 karta.png", "A 62545-2025")</f>
        <v/>
      </c>
      <c r="V73">
        <f>HYPERLINK("https://klasma.github.io/Logging_2321/klagomål/A 62545-2025 FSC-klagomål.docx", "A 62545-2025")</f>
        <v/>
      </c>
      <c r="W73">
        <f>HYPERLINK("https://klasma.github.io/Logging_2321/klagomålsmail/A 62545-2025 FSC-klagomål mail.docx", "A 62545-2025")</f>
        <v/>
      </c>
      <c r="X73">
        <f>HYPERLINK("https://klasma.github.io/Logging_2321/tillsyn/A 62545-2025 tillsynsbegäran.docx", "A 62545-2025")</f>
        <v/>
      </c>
      <c r="Y73">
        <f>HYPERLINK("https://klasma.github.io/Logging_2321/tillsynsmail/A 62545-2025 tillsynsbegäran mail.docx", "A 62545-2025")</f>
        <v/>
      </c>
      <c r="Z73">
        <f>HYPERLINK("https://klasma.github.io/Logging_2321/fåglar/A 62545-2025 prioriterade fågelarter.docx", "A 62545-2025")</f>
        <v/>
      </c>
    </row>
    <row r="74" ht="15" customHeight="1">
      <c r="A74" t="inlineStr">
        <is>
          <t>A 63363-2025</t>
        </is>
      </c>
      <c r="B74" s="1" t="n">
        <v>46010.68505787037</v>
      </c>
      <c r="C74" s="1" t="n">
        <v>46133</v>
      </c>
      <c r="D74" t="inlineStr">
        <is>
          <t>JÄMTLANDS LÄN</t>
        </is>
      </c>
      <c r="E74" t="inlineStr">
        <is>
          <t>ÅRE</t>
        </is>
      </c>
      <c r="F74" t="inlineStr">
        <is>
          <t>Övriga Aktiebolag</t>
        </is>
      </c>
      <c r="G74" t="n">
        <v>28.4</v>
      </c>
      <c r="H74" t="n">
        <v>1</v>
      </c>
      <c r="I74" t="n">
        <v>0</v>
      </c>
      <c r="J74" t="n">
        <v>4</v>
      </c>
      <c r="K74" t="n">
        <v>1</v>
      </c>
      <c r="L74" t="n">
        <v>0</v>
      </c>
      <c r="M74" t="n">
        <v>0</v>
      </c>
      <c r="N74" t="n">
        <v>0</v>
      </c>
      <c r="O74" t="n">
        <v>5</v>
      </c>
      <c r="P74" t="n">
        <v>1</v>
      </c>
      <c r="Q74" t="n">
        <v>5</v>
      </c>
      <c r="R74" s="2" t="inlineStr">
        <is>
          <t>Tallbit
Garnlav
Granticka
Lunglav
Mjölig dropplav</t>
        </is>
      </c>
      <c r="S74">
        <f>HYPERLINK("https://klasma.github.io/Logging_2321/artfynd/A 63363-2025 artfynd.xlsx", "A 63363-2025")</f>
        <v/>
      </c>
      <c r="T74">
        <f>HYPERLINK("https://klasma.github.io/Logging_2321/kartor/A 63363-2025 karta.png", "A 63363-2025")</f>
        <v/>
      </c>
      <c r="V74">
        <f>HYPERLINK("https://klasma.github.io/Logging_2321/klagomål/A 63363-2025 FSC-klagomål.docx", "A 63363-2025")</f>
        <v/>
      </c>
      <c r="W74">
        <f>HYPERLINK("https://klasma.github.io/Logging_2321/klagomålsmail/A 63363-2025 FSC-klagomål mail.docx", "A 63363-2025")</f>
        <v/>
      </c>
      <c r="X74">
        <f>HYPERLINK("https://klasma.github.io/Logging_2321/tillsyn/A 63363-2025 tillsynsbegäran.docx", "A 63363-2025")</f>
        <v/>
      </c>
      <c r="Y74">
        <f>HYPERLINK("https://klasma.github.io/Logging_2321/tillsynsmail/A 63363-2025 tillsynsbegäran mail.docx", "A 63363-2025")</f>
        <v/>
      </c>
      <c r="Z74">
        <f>HYPERLINK("https://klasma.github.io/Logging_2321/fåglar/A 63363-2025 prioriterade fågelarter.docx", "A 63363-2025")</f>
        <v/>
      </c>
    </row>
    <row r="75" ht="15" customHeight="1">
      <c r="A75" t="inlineStr">
        <is>
          <t>A 53436-2025</t>
        </is>
      </c>
      <c r="B75" s="1" t="n">
        <v>45959</v>
      </c>
      <c r="C75" s="1" t="n">
        <v>46133</v>
      </c>
      <c r="D75" t="inlineStr">
        <is>
          <t>JÄMTLANDS LÄN</t>
        </is>
      </c>
      <c r="E75" t="inlineStr">
        <is>
          <t>ÅRE</t>
        </is>
      </c>
      <c r="F75" t="inlineStr">
        <is>
          <t>Övriga Aktiebolag</t>
        </is>
      </c>
      <c r="G75" t="n">
        <v>120.6</v>
      </c>
      <c r="H75" t="n">
        <v>0</v>
      </c>
      <c r="I75" t="n">
        <v>1</v>
      </c>
      <c r="J75" t="n">
        <v>4</v>
      </c>
      <c r="K75" t="n">
        <v>0</v>
      </c>
      <c r="L75" t="n">
        <v>0</v>
      </c>
      <c r="M75" t="n">
        <v>0</v>
      </c>
      <c r="N75" t="n">
        <v>0</v>
      </c>
      <c r="O75" t="n">
        <v>4</v>
      </c>
      <c r="P75" t="n">
        <v>0</v>
      </c>
      <c r="Q75" t="n">
        <v>5</v>
      </c>
      <c r="R75" s="2" t="inlineStr">
        <is>
          <t>Brunpudrad nållav
Granticka
Kavernularia
Rödbrun blekspik
Gytterlav</t>
        </is>
      </c>
      <c r="S75">
        <f>HYPERLINK("https://klasma.github.io/Logging_2321/artfynd/A 53436-2025 artfynd.xlsx", "A 53436-2025")</f>
        <v/>
      </c>
      <c r="T75">
        <f>HYPERLINK("https://klasma.github.io/Logging_2321/kartor/A 53436-2025 karta.png", "A 53436-2025")</f>
        <v/>
      </c>
      <c r="V75">
        <f>HYPERLINK("https://klasma.github.io/Logging_2321/klagomål/A 53436-2025 FSC-klagomål.docx", "A 53436-2025")</f>
        <v/>
      </c>
      <c r="W75">
        <f>HYPERLINK("https://klasma.github.io/Logging_2321/klagomålsmail/A 53436-2025 FSC-klagomål mail.docx", "A 53436-2025")</f>
        <v/>
      </c>
      <c r="X75">
        <f>HYPERLINK("https://klasma.github.io/Logging_2321/tillsyn/A 53436-2025 tillsynsbegäran.docx", "A 53436-2025")</f>
        <v/>
      </c>
      <c r="Y75">
        <f>HYPERLINK("https://klasma.github.io/Logging_2321/tillsynsmail/A 53436-2025 tillsynsbegäran mail.docx", "A 53436-2025")</f>
        <v/>
      </c>
    </row>
    <row r="76" ht="15" customHeight="1">
      <c r="A76" t="inlineStr">
        <is>
          <t>A 4775-2025</t>
        </is>
      </c>
      <c r="B76" s="1" t="n">
        <v>45688</v>
      </c>
      <c r="C76" s="1" t="n">
        <v>46133</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32097-2025</t>
        </is>
      </c>
      <c r="B77" s="1" t="n">
        <v>45835.4641087963</v>
      </c>
      <c r="C77" s="1" t="n">
        <v>46133</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42565-2024</t>
        </is>
      </c>
      <c r="B78" s="1" t="n">
        <v>45565</v>
      </c>
      <c r="C78" s="1" t="n">
        <v>46133</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46133</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48189-2025</t>
        </is>
      </c>
      <c r="B80" s="1" t="n">
        <v>45931</v>
      </c>
      <c r="C80" s="1" t="n">
        <v>46133</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15371-2026</t>
        </is>
      </c>
      <c r="B81" s="1" t="n">
        <v>46105.87658564815</v>
      </c>
      <c r="C81" s="1" t="n">
        <v>46133</v>
      </c>
      <c r="D81" t="inlineStr">
        <is>
          <t>JÄMTLANDS LÄN</t>
        </is>
      </c>
      <c r="E81" t="inlineStr">
        <is>
          <t>ÅRE</t>
        </is>
      </c>
      <c r="G81" t="n">
        <v>2.3</v>
      </c>
      <c r="H81" t="n">
        <v>2</v>
      </c>
      <c r="I81" t="n">
        <v>0</v>
      </c>
      <c r="J81" t="n">
        <v>5</v>
      </c>
      <c r="K81" t="n">
        <v>0</v>
      </c>
      <c r="L81" t="n">
        <v>0</v>
      </c>
      <c r="M81" t="n">
        <v>0</v>
      </c>
      <c r="N81" t="n">
        <v>0</v>
      </c>
      <c r="O81" t="n">
        <v>5</v>
      </c>
      <c r="P81" t="n">
        <v>0</v>
      </c>
      <c r="Q81" t="n">
        <v>5</v>
      </c>
      <c r="R81" s="2" t="inlineStr">
        <is>
          <t>Granticka
Lunglav
Skrovellav
Spillkråka
Tretåig hackspett</t>
        </is>
      </c>
      <c r="S81">
        <f>HYPERLINK("https://klasma.github.io/Logging_2321/artfynd/A 15371-2026 artfynd.xlsx", "A 15371-2026")</f>
        <v/>
      </c>
      <c r="T81">
        <f>HYPERLINK("https://klasma.github.io/Logging_2321/kartor/A 15371-2026 karta.png", "A 15371-2026")</f>
        <v/>
      </c>
      <c r="V81">
        <f>HYPERLINK("https://klasma.github.io/Logging_2321/klagomål/A 15371-2026 FSC-klagomål.docx", "A 15371-2026")</f>
        <v/>
      </c>
      <c r="W81">
        <f>HYPERLINK("https://klasma.github.io/Logging_2321/klagomålsmail/A 15371-2026 FSC-klagomål mail.docx", "A 15371-2026")</f>
        <v/>
      </c>
      <c r="X81">
        <f>HYPERLINK("https://klasma.github.io/Logging_2321/tillsyn/A 15371-2026 tillsynsbegäran.docx", "A 15371-2026")</f>
        <v/>
      </c>
      <c r="Y81">
        <f>HYPERLINK("https://klasma.github.io/Logging_2321/tillsynsmail/A 15371-2026 tillsynsbegäran mail.docx", "A 15371-2026")</f>
        <v/>
      </c>
      <c r="Z81">
        <f>HYPERLINK("https://klasma.github.io/Logging_2321/fåglar/A 15371-2026 prioriterade fågelarter.docx", "A 15371-2026")</f>
        <v/>
      </c>
    </row>
    <row r="82" ht="15" customHeight="1">
      <c r="A82" t="inlineStr">
        <is>
          <t>A 30034-2024</t>
        </is>
      </c>
      <c r="B82" s="1" t="n">
        <v>45485</v>
      </c>
      <c r="C82" s="1" t="n">
        <v>46133</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54374-2025</t>
        </is>
      </c>
      <c r="B83" s="1" t="n">
        <v>45965</v>
      </c>
      <c r="C83" s="1" t="n">
        <v>46133</v>
      </c>
      <c r="D83" t="inlineStr">
        <is>
          <t>JÄMTLANDS LÄN</t>
        </is>
      </c>
      <c r="E83" t="inlineStr">
        <is>
          <t>ÅRE</t>
        </is>
      </c>
      <c r="G83" t="n">
        <v>51.1</v>
      </c>
      <c r="H83" t="n">
        <v>3</v>
      </c>
      <c r="I83" t="n">
        <v>1</v>
      </c>
      <c r="J83" t="n">
        <v>4</v>
      </c>
      <c r="K83" t="n">
        <v>0</v>
      </c>
      <c r="L83" t="n">
        <v>0</v>
      </c>
      <c r="M83" t="n">
        <v>0</v>
      </c>
      <c r="N83" t="n">
        <v>0</v>
      </c>
      <c r="O83" t="n">
        <v>4</v>
      </c>
      <c r="P83" t="n">
        <v>0</v>
      </c>
      <c r="Q83" t="n">
        <v>5</v>
      </c>
      <c r="R83" s="2" t="inlineStr">
        <is>
          <t>Järpe
Lunglav
Skrovellav
Tretåig hackspett
Spindelblomster</t>
        </is>
      </c>
      <c r="S83">
        <f>HYPERLINK("https://klasma.github.io/Logging_2321/artfynd/A 54374-2025 artfynd.xlsx", "A 54374-2025")</f>
        <v/>
      </c>
      <c r="T83">
        <f>HYPERLINK("https://klasma.github.io/Logging_2321/kartor/A 54374-2025 karta.png", "A 54374-2025")</f>
        <v/>
      </c>
      <c r="V83">
        <f>HYPERLINK("https://klasma.github.io/Logging_2321/klagomål/A 54374-2025 FSC-klagomål.docx", "A 54374-2025")</f>
        <v/>
      </c>
      <c r="W83">
        <f>HYPERLINK("https://klasma.github.io/Logging_2321/klagomålsmail/A 54374-2025 FSC-klagomål mail.docx", "A 54374-2025")</f>
        <v/>
      </c>
      <c r="X83">
        <f>HYPERLINK("https://klasma.github.io/Logging_2321/tillsyn/A 54374-2025 tillsynsbegäran.docx", "A 54374-2025")</f>
        <v/>
      </c>
      <c r="Y83">
        <f>HYPERLINK("https://klasma.github.io/Logging_2321/tillsynsmail/A 54374-2025 tillsynsbegäran mail.docx", "A 54374-2025")</f>
        <v/>
      </c>
      <c r="Z83">
        <f>HYPERLINK("https://klasma.github.io/Logging_2321/fåglar/A 54374-2025 prioriterade fågelarter.docx", "A 54374-2025")</f>
        <v/>
      </c>
    </row>
    <row r="84" ht="15" customHeight="1">
      <c r="A84" t="inlineStr">
        <is>
          <t>A 19925-2025</t>
        </is>
      </c>
      <c r="B84" s="1" t="n">
        <v>45771.634375</v>
      </c>
      <c r="C84" s="1" t="n">
        <v>46133</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62273-2025</t>
        </is>
      </c>
      <c r="B85" s="1" t="n">
        <v>46006.62581018519</v>
      </c>
      <c r="C85" s="1" t="n">
        <v>46133</v>
      </c>
      <c r="D85" t="inlineStr">
        <is>
          <t>JÄMTLANDS LÄN</t>
        </is>
      </c>
      <c r="E85" t="inlineStr">
        <is>
          <t>ÅRE</t>
        </is>
      </c>
      <c r="G85" t="n">
        <v>11</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HYPERLINK("https://klasma.github.io/Logging_2321/artfynd/A 62273-2025 artfynd.xlsx", "A 62273-2025")</f>
        <v/>
      </c>
      <c r="T85">
        <f>HYPERLINK("https://klasma.github.io/Logging_2321/kartor/A 62273-2025 karta.png", "A 62273-2025")</f>
        <v/>
      </c>
      <c r="V85">
        <f>HYPERLINK("https://klasma.github.io/Logging_2321/klagomål/A 62273-2025 FSC-klagomål.docx", "A 62273-2025")</f>
        <v/>
      </c>
      <c r="W85">
        <f>HYPERLINK("https://klasma.github.io/Logging_2321/klagomålsmail/A 62273-2025 FSC-klagomål mail.docx", "A 62273-2025")</f>
        <v/>
      </c>
      <c r="X85">
        <f>HYPERLINK("https://klasma.github.io/Logging_2321/tillsyn/A 62273-2025 tillsynsbegäran.docx", "A 62273-2025")</f>
        <v/>
      </c>
      <c r="Y85">
        <f>HYPERLINK("https://klasma.github.io/Logging_2321/tillsynsmail/A 62273-2025 tillsynsbegäran mail.docx", "A 62273-2025")</f>
        <v/>
      </c>
      <c r="Z85">
        <f>HYPERLINK("https://klasma.github.io/Logging_2321/fåglar/A 62273-2025 prioriterade fågelarter.docx", "A 62273-2025")</f>
        <v/>
      </c>
    </row>
    <row r="86" ht="15" customHeight="1">
      <c r="A86" t="inlineStr">
        <is>
          <t>A 56183-2022</t>
        </is>
      </c>
      <c r="B86" s="1" t="n">
        <v>44889</v>
      </c>
      <c r="C86" s="1" t="n">
        <v>46133</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46133</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46133</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19277-2021</t>
        </is>
      </c>
      <c r="B89" s="1" t="n">
        <v>44309</v>
      </c>
      <c r="C89" s="1" t="n">
        <v>46133</v>
      </c>
      <c r="D89" t="inlineStr">
        <is>
          <t>JÄMTLANDS LÄN</t>
        </is>
      </c>
      <c r="E89" t="inlineStr">
        <is>
          <t>ÅRE</t>
        </is>
      </c>
      <c r="G89" t="n">
        <v>3.2</v>
      </c>
      <c r="H89" t="n">
        <v>0</v>
      </c>
      <c r="I89" t="n">
        <v>2</v>
      </c>
      <c r="J89" t="n">
        <v>2</v>
      </c>
      <c r="K89" t="n">
        <v>0</v>
      </c>
      <c r="L89" t="n">
        <v>0</v>
      </c>
      <c r="M89" t="n">
        <v>0</v>
      </c>
      <c r="N89" t="n">
        <v>0</v>
      </c>
      <c r="O89" t="n">
        <v>2</v>
      </c>
      <c r="P89" t="n">
        <v>0</v>
      </c>
      <c r="Q89" t="n">
        <v>4</v>
      </c>
      <c r="R89" s="2" t="inlineStr">
        <is>
          <t>Garnlav
Gränsticka
Korallblylav
Stuplav</t>
        </is>
      </c>
      <c r="S89">
        <f>HYPERLINK("https://klasma.github.io/Logging_2321/artfynd/A 19277-2021 artfynd.xlsx", "A 19277-2021")</f>
        <v/>
      </c>
      <c r="T89">
        <f>HYPERLINK("https://klasma.github.io/Logging_2321/kartor/A 19277-2021 karta.png", "A 19277-2021")</f>
        <v/>
      </c>
      <c r="V89">
        <f>HYPERLINK("https://klasma.github.io/Logging_2321/klagomål/A 19277-2021 FSC-klagomål.docx", "A 19277-2021")</f>
        <v/>
      </c>
      <c r="W89">
        <f>HYPERLINK("https://klasma.github.io/Logging_2321/klagomålsmail/A 19277-2021 FSC-klagomål mail.docx", "A 19277-2021")</f>
        <v/>
      </c>
      <c r="X89">
        <f>HYPERLINK("https://klasma.github.io/Logging_2321/tillsyn/A 19277-2021 tillsynsbegäran.docx", "A 19277-2021")</f>
        <v/>
      </c>
      <c r="Y89">
        <f>HYPERLINK("https://klasma.github.io/Logging_2321/tillsynsmail/A 19277-2021 tillsynsbegäran mail.docx", "A 19277-2021")</f>
        <v/>
      </c>
    </row>
    <row r="90" ht="15" customHeight="1">
      <c r="A90" t="inlineStr">
        <is>
          <t>A 62621-2025</t>
        </is>
      </c>
      <c r="B90" s="1" t="n">
        <v>46008.34428240741</v>
      </c>
      <c r="C90" s="1" t="n">
        <v>46133</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57537-2024</t>
        </is>
      </c>
      <c r="B91" s="1" t="n">
        <v>45630</v>
      </c>
      <c r="C91" s="1" t="n">
        <v>46133</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23638-2023</t>
        </is>
      </c>
      <c r="B92" s="1" t="n">
        <v>45072</v>
      </c>
      <c r="C92" s="1" t="n">
        <v>46133</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22692-2025</t>
        </is>
      </c>
      <c r="B93" s="1" t="n">
        <v>45789.53834490741</v>
      </c>
      <c r="C93" s="1" t="n">
        <v>46133</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59237-2022</t>
        </is>
      </c>
      <c r="B94" s="1" t="n">
        <v>44904</v>
      </c>
      <c r="C94" s="1" t="n">
        <v>46133</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62522-2025</t>
        </is>
      </c>
      <c r="B95" s="1" t="n">
        <v>46007.61512731481</v>
      </c>
      <c r="C95" s="1" t="n">
        <v>46133</v>
      </c>
      <c r="D95" t="inlineStr">
        <is>
          <t>JÄMTLANDS LÄN</t>
        </is>
      </c>
      <c r="E95" t="inlineStr">
        <is>
          <t>ÅRE</t>
        </is>
      </c>
      <c r="F95" t="inlineStr">
        <is>
          <t>Övriga Aktiebolag</t>
        </is>
      </c>
      <c r="G95" t="n">
        <v>2</v>
      </c>
      <c r="H95" t="n">
        <v>1</v>
      </c>
      <c r="I95" t="n">
        <v>1</v>
      </c>
      <c r="J95" t="n">
        <v>2</v>
      </c>
      <c r="K95" t="n">
        <v>0</v>
      </c>
      <c r="L95" t="n">
        <v>0</v>
      </c>
      <c r="M95" t="n">
        <v>0</v>
      </c>
      <c r="N95" t="n">
        <v>0</v>
      </c>
      <c r="O95" t="n">
        <v>2</v>
      </c>
      <c r="P95" t="n">
        <v>0</v>
      </c>
      <c r="Q95" t="n">
        <v>3</v>
      </c>
      <c r="R95" s="2" t="inlineStr">
        <is>
          <t>Garnlav
Tretåig hackspett
Blodticka</t>
        </is>
      </c>
      <c r="S95">
        <f>HYPERLINK("https://klasma.github.io/Logging_2321/artfynd/A 62522-2025 artfynd.xlsx", "A 62522-2025")</f>
        <v/>
      </c>
      <c r="T95">
        <f>HYPERLINK("https://klasma.github.io/Logging_2321/kartor/A 62522-2025 karta.png", "A 62522-2025")</f>
        <v/>
      </c>
      <c r="V95">
        <f>HYPERLINK("https://klasma.github.io/Logging_2321/klagomål/A 62522-2025 FSC-klagomål.docx", "A 62522-2025")</f>
        <v/>
      </c>
      <c r="W95">
        <f>HYPERLINK("https://klasma.github.io/Logging_2321/klagomålsmail/A 62522-2025 FSC-klagomål mail.docx", "A 62522-2025")</f>
        <v/>
      </c>
      <c r="X95">
        <f>HYPERLINK("https://klasma.github.io/Logging_2321/tillsyn/A 62522-2025 tillsynsbegäran.docx", "A 62522-2025")</f>
        <v/>
      </c>
      <c r="Y95">
        <f>HYPERLINK("https://klasma.github.io/Logging_2321/tillsynsmail/A 62522-2025 tillsynsbegäran mail.docx", "A 62522-2025")</f>
        <v/>
      </c>
      <c r="Z95">
        <f>HYPERLINK("https://klasma.github.io/Logging_2321/fåglar/A 62522-2025 prioriterade fågelarter.docx", "A 62522-2025")</f>
        <v/>
      </c>
    </row>
    <row r="96" ht="15" customHeight="1">
      <c r="A96" t="inlineStr">
        <is>
          <t>A 23729-2023</t>
        </is>
      </c>
      <c r="B96" s="1" t="n">
        <v>45072</v>
      </c>
      <c r="C96" s="1" t="n">
        <v>46133</v>
      </c>
      <c r="D96" t="inlineStr">
        <is>
          <t>JÄMTLANDS LÄN</t>
        </is>
      </c>
      <c r="E96" t="inlineStr">
        <is>
          <t>ÅRE</t>
        </is>
      </c>
      <c r="G96" t="n">
        <v>4.3</v>
      </c>
      <c r="H96" t="n">
        <v>1</v>
      </c>
      <c r="I96" t="n">
        <v>0</v>
      </c>
      <c r="J96" t="n">
        <v>3</v>
      </c>
      <c r="K96" t="n">
        <v>0</v>
      </c>
      <c r="L96" t="n">
        <v>0</v>
      </c>
      <c r="M96" t="n">
        <v>0</v>
      </c>
      <c r="N96" t="n">
        <v>0</v>
      </c>
      <c r="O96" t="n">
        <v>3</v>
      </c>
      <c r="P96" t="n">
        <v>0</v>
      </c>
      <c r="Q96" t="n">
        <v>3</v>
      </c>
      <c r="R96" s="2" t="inlineStr">
        <is>
          <t>Granticka
Lunglav
Tretåig hackspett</t>
        </is>
      </c>
      <c r="S96">
        <f>HYPERLINK("https://klasma.github.io/Logging_2321/artfynd/A 23729-2023 artfynd.xlsx", "A 23729-2023")</f>
        <v/>
      </c>
      <c r="T96">
        <f>HYPERLINK("https://klasma.github.io/Logging_2321/kartor/A 23729-2023 karta.png", "A 23729-2023")</f>
        <v/>
      </c>
      <c r="V96">
        <f>HYPERLINK("https://klasma.github.io/Logging_2321/klagomål/A 23729-2023 FSC-klagomål.docx", "A 23729-2023")</f>
        <v/>
      </c>
      <c r="W96">
        <f>HYPERLINK("https://klasma.github.io/Logging_2321/klagomålsmail/A 23729-2023 FSC-klagomål mail.docx", "A 23729-2023")</f>
        <v/>
      </c>
      <c r="X96">
        <f>HYPERLINK("https://klasma.github.io/Logging_2321/tillsyn/A 23729-2023 tillsynsbegäran.docx", "A 23729-2023")</f>
        <v/>
      </c>
      <c r="Y96">
        <f>HYPERLINK("https://klasma.github.io/Logging_2321/tillsynsmail/A 23729-2023 tillsynsbegäran mail.docx", "A 23729-2023")</f>
        <v/>
      </c>
      <c r="Z96">
        <f>HYPERLINK("https://klasma.github.io/Logging_2321/fåglar/A 23729-2023 prioriterade fågelarter.docx", "A 23729-2023")</f>
        <v/>
      </c>
    </row>
    <row r="97" ht="15" customHeight="1">
      <c r="A97" t="inlineStr">
        <is>
          <t>A 58387-2023</t>
        </is>
      </c>
      <c r="B97" s="1" t="n">
        <v>45250</v>
      </c>
      <c r="C97" s="1" t="n">
        <v>46133</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61875-2024</t>
        </is>
      </c>
      <c r="B98" s="1" t="n">
        <v>45651</v>
      </c>
      <c r="C98" s="1" t="n">
        <v>46133</v>
      </c>
      <c r="D98" t="inlineStr">
        <is>
          <t>JÄMTLANDS LÄN</t>
        </is>
      </c>
      <c r="E98" t="inlineStr">
        <is>
          <t>ÅRE</t>
        </is>
      </c>
      <c r="G98" t="n">
        <v>35.5</v>
      </c>
      <c r="H98" t="n">
        <v>1</v>
      </c>
      <c r="I98" t="n">
        <v>0</v>
      </c>
      <c r="J98" t="n">
        <v>3</v>
      </c>
      <c r="K98" t="n">
        <v>0</v>
      </c>
      <c r="L98" t="n">
        <v>0</v>
      </c>
      <c r="M98" t="n">
        <v>0</v>
      </c>
      <c r="N98" t="n">
        <v>0</v>
      </c>
      <c r="O98" t="n">
        <v>3</v>
      </c>
      <c r="P98" t="n">
        <v>0</v>
      </c>
      <c r="Q98" t="n">
        <v>3</v>
      </c>
      <c r="R98" s="2" t="inlineStr">
        <is>
          <t>Rosenticka
Tretåig hackspett
Ullticka</t>
        </is>
      </c>
      <c r="S98">
        <f>HYPERLINK("https://klasma.github.io/Logging_2321/artfynd/A 61875-2024 artfynd.xlsx", "A 61875-2024")</f>
        <v/>
      </c>
      <c r="T98">
        <f>HYPERLINK("https://klasma.github.io/Logging_2321/kartor/A 61875-2024 karta.png", "A 61875-2024")</f>
        <v/>
      </c>
      <c r="V98">
        <f>HYPERLINK("https://klasma.github.io/Logging_2321/klagomål/A 61875-2024 FSC-klagomål.docx", "A 61875-2024")</f>
        <v/>
      </c>
      <c r="W98">
        <f>HYPERLINK("https://klasma.github.io/Logging_2321/klagomålsmail/A 61875-2024 FSC-klagomål mail.docx", "A 61875-2024")</f>
        <v/>
      </c>
      <c r="X98">
        <f>HYPERLINK("https://klasma.github.io/Logging_2321/tillsyn/A 61875-2024 tillsynsbegäran.docx", "A 61875-2024")</f>
        <v/>
      </c>
      <c r="Y98">
        <f>HYPERLINK("https://klasma.github.io/Logging_2321/tillsynsmail/A 61875-2024 tillsynsbegäran mail.docx", "A 61875-2024")</f>
        <v/>
      </c>
      <c r="Z98">
        <f>HYPERLINK("https://klasma.github.io/Logging_2321/fåglar/A 61875-2024 prioriterade fågelarter.docx", "A 61875-2024")</f>
        <v/>
      </c>
    </row>
    <row r="99" ht="15" customHeight="1">
      <c r="A99" t="inlineStr">
        <is>
          <t>A 20124-2023</t>
        </is>
      </c>
      <c r="B99" s="1" t="n">
        <v>45055</v>
      </c>
      <c r="C99" s="1" t="n">
        <v>46133</v>
      </c>
      <c r="D99" t="inlineStr">
        <is>
          <t>JÄMTLANDS LÄN</t>
        </is>
      </c>
      <c r="E99" t="inlineStr">
        <is>
          <t>ÅRE</t>
        </is>
      </c>
      <c r="G99" t="n">
        <v>3.4</v>
      </c>
      <c r="H99" t="n">
        <v>0</v>
      </c>
      <c r="I99" t="n">
        <v>3</v>
      </c>
      <c r="J99" t="n">
        <v>0</v>
      </c>
      <c r="K99" t="n">
        <v>0</v>
      </c>
      <c r="L99" t="n">
        <v>0</v>
      </c>
      <c r="M99" t="n">
        <v>0</v>
      </c>
      <c r="N99" t="n">
        <v>0</v>
      </c>
      <c r="O99" t="n">
        <v>0</v>
      </c>
      <c r="P99" t="n">
        <v>0</v>
      </c>
      <c r="Q99" t="n">
        <v>3</v>
      </c>
      <c r="R99" s="2" t="inlineStr">
        <is>
          <t>Finbräken
Svart trolldruva
Underviol</t>
        </is>
      </c>
      <c r="S99">
        <f>HYPERLINK("https://klasma.github.io/Logging_2321/artfynd/A 20124-2023 artfynd.xlsx", "A 20124-2023")</f>
        <v/>
      </c>
      <c r="T99">
        <f>HYPERLINK("https://klasma.github.io/Logging_2321/kartor/A 20124-2023 karta.png", "A 20124-2023")</f>
        <v/>
      </c>
      <c r="V99">
        <f>HYPERLINK("https://klasma.github.io/Logging_2321/klagomål/A 20124-2023 FSC-klagomål.docx", "A 20124-2023")</f>
        <v/>
      </c>
      <c r="W99">
        <f>HYPERLINK("https://klasma.github.io/Logging_2321/klagomålsmail/A 20124-2023 FSC-klagomål mail.docx", "A 20124-2023")</f>
        <v/>
      </c>
      <c r="X99">
        <f>HYPERLINK("https://klasma.github.io/Logging_2321/tillsyn/A 20124-2023 tillsynsbegäran.docx", "A 20124-2023")</f>
        <v/>
      </c>
      <c r="Y99">
        <f>HYPERLINK("https://klasma.github.io/Logging_2321/tillsynsmail/A 20124-2023 tillsynsbegäran mail.docx", "A 20124-2023")</f>
        <v/>
      </c>
    </row>
    <row r="100" ht="15" customHeight="1">
      <c r="A100" t="inlineStr">
        <is>
          <t>A 54376-2025</t>
        </is>
      </c>
      <c r="B100" s="1" t="n">
        <v>45965</v>
      </c>
      <c r="C100" s="1" t="n">
        <v>46133</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36260-2023</t>
        </is>
      </c>
      <c r="B101" s="1" t="n">
        <v>45151</v>
      </c>
      <c r="C101" s="1" t="n">
        <v>46133</v>
      </c>
      <c r="D101" t="inlineStr">
        <is>
          <t>JÄMTLANDS LÄN</t>
        </is>
      </c>
      <c r="E101" t="inlineStr">
        <is>
          <t>ÅRE</t>
        </is>
      </c>
      <c r="G101" t="n">
        <v>2.6</v>
      </c>
      <c r="H101" t="n">
        <v>0</v>
      </c>
      <c r="I101" t="n">
        <v>3</v>
      </c>
      <c r="J101" t="n">
        <v>0</v>
      </c>
      <c r="K101" t="n">
        <v>0</v>
      </c>
      <c r="L101" t="n">
        <v>0</v>
      </c>
      <c r="M101" t="n">
        <v>0</v>
      </c>
      <c r="N101" t="n">
        <v>0</v>
      </c>
      <c r="O101" t="n">
        <v>0</v>
      </c>
      <c r="P101" t="n">
        <v>0</v>
      </c>
      <c r="Q101" t="n">
        <v>3</v>
      </c>
      <c r="R101" s="2" t="inlineStr">
        <is>
          <t>Svavelriska
Underviol
Vedticka</t>
        </is>
      </c>
      <c r="S101">
        <f>HYPERLINK("https://klasma.github.io/Logging_2321/artfynd/A 36260-2023 artfynd.xlsx", "A 36260-2023")</f>
        <v/>
      </c>
      <c r="T101">
        <f>HYPERLINK("https://klasma.github.io/Logging_2321/kartor/A 36260-2023 karta.png", "A 36260-2023")</f>
        <v/>
      </c>
      <c r="V101">
        <f>HYPERLINK("https://klasma.github.io/Logging_2321/klagomål/A 36260-2023 FSC-klagomål.docx", "A 36260-2023")</f>
        <v/>
      </c>
      <c r="W101">
        <f>HYPERLINK("https://klasma.github.io/Logging_2321/klagomålsmail/A 36260-2023 FSC-klagomål mail.docx", "A 36260-2023")</f>
        <v/>
      </c>
      <c r="X101">
        <f>HYPERLINK("https://klasma.github.io/Logging_2321/tillsyn/A 36260-2023 tillsynsbegäran.docx", "A 36260-2023")</f>
        <v/>
      </c>
      <c r="Y101">
        <f>HYPERLINK("https://klasma.github.io/Logging_2321/tillsynsmail/A 36260-2023 tillsynsbegäran mail.docx", "A 36260-2023")</f>
        <v/>
      </c>
    </row>
    <row r="102" ht="15" customHeight="1">
      <c r="A102" t="inlineStr">
        <is>
          <t>A 40386-2025</t>
        </is>
      </c>
      <c r="B102" s="1" t="n">
        <v>45895</v>
      </c>
      <c r="C102" s="1" t="n">
        <v>46133</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21006-2022</t>
        </is>
      </c>
      <c r="B103" s="1" t="n">
        <v>44701</v>
      </c>
      <c r="C103" s="1" t="n">
        <v>46133</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22601-2024</t>
        </is>
      </c>
      <c r="B104" s="1" t="n">
        <v>45447</v>
      </c>
      <c r="C104" s="1" t="n">
        <v>46133</v>
      </c>
      <c r="D104" t="inlineStr">
        <is>
          <t>JÄMTLANDS LÄN</t>
        </is>
      </c>
      <c r="E104" t="inlineStr">
        <is>
          <t>ÅRE</t>
        </is>
      </c>
      <c r="G104" t="n">
        <v>14.7</v>
      </c>
      <c r="H104" t="n">
        <v>0</v>
      </c>
      <c r="I104" t="n">
        <v>2</v>
      </c>
      <c r="J104" t="n">
        <v>1</v>
      </c>
      <c r="K104" t="n">
        <v>0</v>
      </c>
      <c r="L104" t="n">
        <v>0</v>
      </c>
      <c r="M104" t="n">
        <v>0</v>
      </c>
      <c r="N104" t="n">
        <v>0</v>
      </c>
      <c r="O104" t="n">
        <v>1</v>
      </c>
      <c r="P104" t="n">
        <v>0</v>
      </c>
      <c r="Q104" t="n">
        <v>3</v>
      </c>
      <c r="R104" s="2" t="inlineStr">
        <is>
          <t>Granticka
Nordlig tuffmossa
Svavelriska</t>
        </is>
      </c>
      <c r="S104">
        <f>HYPERLINK("https://klasma.github.io/Logging_2321/artfynd/A 22601-2024 artfynd.xlsx", "A 22601-2024")</f>
        <v/>
      </c>
      <c r="T104">
        <f>HYPERLINK("https://klasma.github.io/Logging_2321/kartor/A 22601-2024 karta.png", "A 22601-2024")</f>
        <v/>
      </c>
      <c r="V104">
        <f>HYPERLINK("https://klasma.github.io/Logging_2321/klagomål/A 22601-2024 FSC-klagomål.docx", "A 22601-2024")</f>
        <v/>
      </c>
      <c r="W104">
        <f>HYPERLINK("https://klasma.github.io/Logging_2321/klagomålsmail/A 22601-2024 FSC-klagomål mail.docx", "A 22601-2024")</f>
        <v/>
      </c>
      <c r="X104">
        <f>HYPERLINK("https://klasma.github.io/Logging_2321/tillsyn/A 22601-2024 tillsynsbegäran.docx", "A 22601-2024")</f>
        <v/>
      </c>
      <c r="Y104">
        <f>HYPERLINK("https://klasma.github.io/Logging_2321/tillsynsmail/A 22601-2024 tillsynsbegäran mail.docx", "A 22601-2024")</f>
        <v/>
      </c>
    </row>
    <row r="105" ht="15" customHeight="1">
      <c r="A105" t="inlineStr">
        <is>
          <t>A 10627-2023</t>
        </is>
      </c>
      <c r="B105" s="1" t="n">
        <v>44984</v>
      </c>
      <c r="C105" s="1" t="n">
        <v>46133</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10501-2024</t>
        </is>
      </c>
      <c r="B106" s="1" t="n">
        <v>45366</v>
      </c>
      <c r="C106" s="1" t="n">
        <v>46133</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12269-2022</t>
        </is>
      </c>
      <c r="B107" s="1" t="n">
        <v>44637</v>
      </c>
      <c r="C107" s="1" t="n">
        <v>46133</v>
      </c>
      <c r="D107" t="inlineStr">
        <is>
          <t>JÄMTLANDS LÄN</t>
        </is>
      </c>
      <c r="E107" t="inlineStr">
        <is>
          <t>ÅRE</t>
        </is>
      </c>
      <c r="G107" t="n">
        <v>16.6</v>
      </c>
      <c r="H107" t="n">
        <v>0</v>
      </c>
      <c r="I107" t="n">
        <v>0</v>
      </c>
      <c r="J107" t="n">
        <v>3</v>
      </c>
      <c r="K107" t="n">
        <v>0</v>
      </c>
      <c r="L107" t="n">
        <v>0</v>
      </c>
      <c r="M107" t="n">
        <v>0</v>
      </c>
      <c r="N107" t="n">
        <v>0</v>
      </c>
      <c r="O107" t="n">
        <v>3</v>
      </c>
      <c r="P107" t="n">
        <v>0</v>
      </c>
      <c r="Q107" t="n">
        <v>3</v>
      </c>
      <c r="R107" s="2" t="inlineStr">
        <is>
          <t>Gammelgransskål
Granticka
Knottrig blåslav</t>
        </is>
      </c>
      <c r="S107">
        <f>HYPERLINK("https://klasma.github.io/Logging_2321/artfynd/A 12269-2022 artfynd.xlsx", "A 12269-2022")</f>
        <v/>
      </c>
      <c r="T107">
        <f>HYPERLINK("https://klasma.github.io/Logging_2321/kartor/A 12269-2022 karta.png", "A 12269-2022")</f>
        <v/>
      </c>
      <c r="V107">
        <f>HYPERLINK("https://klasma.github.io/Logging_2321/klagomål/A 12269-2022 FSC-klagomål.docx", "A 12269-2022")</f>
        <v/>
      </c>
      <c r="W107">
        <f>HYPERLINK("https://klasma.github.io/Logging_2321/klagomålsmail/A 12269-2022 FSC-klagomål mail.docx", "A 12269-2022")</f>
        <v/>
      </c>
      <c r="X107">
        <f>HYPERLINK("https://klasma.github.io/Logging_2321/tillsyn/A 12269-2022 tillsynsbegäran.docx", "A 12269-2022")</f>
        <v/>
      </c>
      <c r="Y107">
        <f>HYPERLINK("https://klasma.github.io/Logging_2321/tillsynsmail/A 12269-2022 tillsynsbegäran mail.docx", "A 12269-2022")</f>
        <v/>
      </c>
    </row>
    <row r="108" ht="15" customHeight="1">
      <c r="A108" t="inlineStr">
        <is>
          <t>A 40245-2023</t>
        </is>
      </c>
      <c r="B108" s="1" t="n">
        <v>45167</v>
      </c>
      <c r="C108" s="1" t="n">
        <v>46133</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56549-2025</t>
        </is>
      </c>
      <c r="B109" s="1" t="n">
        <v>45975.48099537037</v>
      </c>
      <c r="C109" s="1" t="n">
        <v>46133</v>
      </c>
      <c r="D109" t="inlineStr">
        <is>
          <t>JÄMTLANDS LÄN</t>
        </is>
      </c>
      <c r="E109" t="inlineStr">
        <is>
          <t>ÅRE</t>
        </is>
      </c>
      <c r="F109" t="inlineStr">
        <is>
          <t>Övriga Aktiebolag</t>
        </is>
      </c>
      <c r="G109" t="n">
        <v>10.1</v>
      </c>
      <c r="H109" t="n">
        <v>0</v>
      </c>
      <c r="I109" t="n">
        <v>1</v>
      </c>
      <c r="J109" t="n">
        <v>2</v>
      </c>
      <c r="K109" t="n">
        <v>0</v>
      </c>
      <c r="L109" t="n">
        <v>0</v>
      </c>
      <c r="M109" t="n">
        <v>0</v>
      </c>
      <c r="N109" t="n">
        <v>0</v>
      </c>
      <c r="O109" t="n">
        <v>2</v>
      </c>
      <c r="P109" t="n">
        <v>0</v>
      </c>
      <c r="Q109" t="n">
        <v>3</v>
      </c>
      <c r="R109" s="2" t="inlineStr">
        <is>
          <t>Skrovellav
Ullticka
Stuplav</t>
        </is>
      </c>
      <c r="S109">
        <f>HYPERLINK("https://klasma.github.io/Logging_2321/artfynd/A 56549-2025 artfynd.xlsx", "A 56549-2025")</f>
        <v/>
      </c>
      <c r="T109">
        <f>HYPERLINK("https://klasma.github.io/Logging_2321/kartor/A 56549-2025 karta.png", "A 56549-2025")</f>
        <v/>
      </c>
      <c r="V109">
        <f>HYPERLINK("https://klasma.github.io/Logging_2321/klagomål/A 56549-2025 FSC-klagomål.docx", "A 56549-2025")</f>
        <v/>
      </c>
      <c r="W109">
        <f>HYPERLINK("https://klasma.github.io/Logging_2321/klagomålsmail/A 56549-2025 FSC-klagomål mail.docx", "A 56549-2025")</f>
        <v/>
      </c>
      <c r="X109">
        <f>HYPERLINK("https://klasma.github.io/Logging_2321/tillsyn/A 56549-2025 tillsynsbegäran.docx", "A 56549-2025")</f>
        <v/>
      </c>
      <c r="Y109">
        <f>HYPERLINK("https://klasma.github.io/Logging_2321/tillsynsmail/A 56549-2025 tillsynsbegäran mail.docx", "A 56549-2025")</f>
        <v/>
      </c>
    </row>
    <row r="110" ht="15" customHeight="1">
      <c r="A110" t="inlineStr">
        <is>
          <t>A 58082-2022</t>
        </is>
      </c>
      <c r="B110" s="1" t="n">
        <v>44900</v>
      </c>
      <c r="C110" s="1" t="n">
        <v>46133</v>
      </c>
      <c r="D110" t="inlineStr">
        <is>
          <t>JÄMTLANDS LÄN</t>
        </is>
      </c>
      <c r="E110" t="inlineStr">
        <is>
          <t>ÅRE</t>
        </is>
      </c>
      <c r="G110" t="n">
        <v>28.2</v>
      </c>
      <c r="H110" t="n">
        <v>2</v>
      </c>
      <c r="I110" t="n">
        <v>1</v>
      </c>
      <c r="J110" t="n">
        <v>2</v>
      </c>
      <c r="K110" t="n">
        <v>0</v>
      </c>
      <c r="L110" t="n">
        <v>0</v>
      </c>
      <c r="M110" t="n">
        <v>0</v>
      </c>
      <c r="N110" t="n">
        <v>0</v>
      </c>
      <c r="O110" t="n">
        <v>2</v>
      </c>
      <c r="P110" t="n">
        <v>0</v>
      </c>
      <c r="Q110" t="n">
        <v>3</v>
      </c>
      <c r="R110" s="2" t="inlineStr">
        <is>
          <t>Spillkråka
Tretåig hackspett
Kambräken</t>
        </is>
      </c>
      <c r="S110">
        <f>HYPERLINK("https://klasma.github.io/Logging_2321/artfynd/A 58082-2022 artfynd.xlsx", "A 58082-2022")</f>
        <v/>
      </c>
      <c r="T110">
        <f>HYPERLINK("https://klasma.github.io/Logging_2321/kartor/A 58082-2022 karta.png", "A 58082-2022")</f>
        <v/>
      </c>
      <c r="V110">
        <f>HYPERLINK("https://klasma.github.io/Logging_2321/klagomål/A 58082-2022 FSC-klagomål.docx", "A 58082-2022")</f>
        <v/>
      </c>
      <c r="W110">
        <f>HYPERLINK("https://klasma.github.io/Logging_2321/klagomålsmail/A 58082-2022 FSC-klagomål mail.docx", "A 58082-2022")</f>
        <v/>
      </c>
      <c r="X110">
        <f>HYPERLINK("https://klasma.github.io/Logging_2321/tillsyn/A 58082-2022 tillsynsbegäran.docx", "A 58082-2022")</f>
        <v/>
      </c>
      <c r="Y110">
        <f>HYPERLINK("https://klasma.github.io/Logging_2321/tillsynsmail/A 58082-2022 tillsynsbegäran mail.docx", "A 58082-2022")</f>
        <v/>
      </c>
      <c r="Z110">
        <f>HYPERLINK("https://klasma.github.io/Logging_2321/fåglar/A 58082-2022 prioriterade fågelarter.docx", "A 58082-2022")</f>
        <v/>
      </c>
    </row>
    <row r="111" ht="15" customHeight="1">
      <c r="A111" t="inlineStr">
        <is>
          <t>A 47988-2025</t>
        </is>
      </c>
      <c r="B111" s="1" t="n">
        <v>45931</v>
      </c>
      <c r="C111" s="1" t="n">
        <v>46133</v>
      </c>
      <c r="D111" t="inlineStr">
        <is>
          <t>JÄMTLANDS LÄN</t>
        </is>
      </c>
      <c r="E111" t="inlineStr">
        <is>
          <t>ÅRE</t>
        </is>
      </c>
      <c r="G111" t="n">
        <v>1</v>
      </c>
      <c r="H111" t="n">
        <v>0</v>
      </c>
      <c r="I111" t="n">
        <v>2</v>
      </c>
      <c r="J111" t="n">
        <v>1</v>
      </c>
      <c r="K111" t="n">
        <v>0</v>
      </c>
      <c r="L111" t="n">
        <v>0</v>
      </c>
      <c r="M111" t="n">
        <v>0</v>
      </c>
      <c r="N111" t="n">
        <v>0</v>
      </c>
      <c r="O111" t="n">
        <v>1</v>
      </c>
      <c r="P111" t="n">
        <v>0</v>
      </c>
      <c r="Q111" t="n">
        <v>3</v>
      </c>
      <c r="R111" s="2" t="inlineStr">
        <is>
          <t>Vitgrynig nållav
Diskvaxskivling
Västlig hakmossa</t>
        </is>
      </c>
      <c r="S111">
        <f>HYPERLINK("https://klasma.github.io/Logging_2321/artfynd/A 47988-2025 artfynd.xlsx", "A 47988-2025")</f>
        <v/>
      </c>
      <c r="T111">
        <f>HYPERLINK("https://klasma.github.io/Logging_2321/kartor/A 47988-2025 karta.png", "A 47988-2025")</f>
        <v/>
      </c>
      <c r="V111">
        <f>HYPERLINK("https://klasma.github.io/Logging_2321/klagomål/A 47988-2025 FSC-klagomål.docx", "A 47988-2025")</f>
        <v/>
      </c>
      <c r="W111">
        <f>HYPERLINK("https://klasma.github.io/Logging_2321/klagomålsmail/A 47988-2025 FSC-klagomål mail.docx", "A 47988-2025")</f>
        <v/>
      </c>
      <c r="X111">
        <f>HYPERLINK("https://klasma.github.io/Logging_2321/tillsyn/A 47988-2025 tillsynsbegäran.docx", "A 47988-2025")</f>
        <v/>
      </c>
      <c r="Y111">
        <f>HYPERLINK("https://klasma.github.io/Logging_2321/tillsynsmail/A 47988-2025 tillsynsbegäran mail.docx", "A 47988-2025")</f>
        <v/>
      </c>
    </row>
    <row r="112" ht="15" customHeight="1">
      <c r="A112" t="inlineStr">
        <is>
          <t>A 6934-2026</t>
        </is>
      </c>
      <c r="B112" s="1" t="n">
        <v>46057.55797453703</v>
      </c>
      <c r="C112" s="1" t="n">
        <v>46133</v>
      </c>
      <c r="D112" t="inlineStr">
        <is>
          <t>JÄMTLANDS LÄN</t>
        </is>
      </c>
      <c r="E112" t="inlineStr">
        <is>
          <t>ÅRE</t>
        </is>
      </c>
      <c r="G112" t="n">
        <v>3.4</v>
      </c>
      <c r="H112" t="n">
        <v>1</v>
      </c>
      <c r="I112" t="n">
        <v>0</v>
      </c>
      <c r="J112" t="n">
        <v>3</v>
      </c>
      <c r="K112" t="n">
        <v>0</v>
      </c>
      <c r="L112" t="n">
        <v>0</v>
      </c>
      <c r="M112" t="n">
        <v>0</v>
      </c>
      <c r="N112" t="n">
        <v>0</v>
      </c>
      <c r="O112" t="n">
        <v>3</v>
      </c>
      <c r="P112" t="n">
        <v>0</v>
      </c>
      <c r="Q112" t="n">
        <v>3</v>
      </c>
      <c r="R112" s="2" t="inlineStr">
        <is>
          <t>Garnlav
Granticka
Talltita</t>
        </is>
      </c>
      <c r="S112">
        <f>HYPERLINK("https://klasma.github.io/Logging_2321/artfynd/A 6934-2026 artfynd.xlsx", "A 6934-2026")</f>
        <v/>
      </c>
      <c r="T112">
        <f>HYPERLINK("https://klasma.github.io/Logging_2321/kartor/A 6934-2026 karta.png", "A 6934-2026")</f>
        <v/>
      </c>
      <c r="V112">
        <f>HYPERLINK("https://klasma.github.io/Logging_2321/klagomål/A 6934-2026 FSC-klagomål.docx", "A 6934-2026")</f>
        <v/>
      </c>
      <c r="W112">
        <f>HYPERLINK("https://klasma.github.io/Logging_2321/klagomålsmail/A 6934-2026 FSC-klagomål mail.docx", "A 6934-2026")</f>
        <v/>
      </c>
      <c r="X112">
        <f>HYPERLINK("https://klasma.github.io/Logging_2321/tillsyn/A 6934-2026 tillsynsbegäran.docx", "A 6934-2026")</f>
        <v/>
      </c>
      <c r="Y112">
        <f>HYPERLINK("https://klasma.github.io/Logging_2321/tillsynsmail/A 6934-2026 tillsynsbegäran mail.docx", "A 6934-2026")</f>
        <v/>
      </c>
      <c r="Z112">
        <f>HYPERLINK("https://klasma.github.io/Logging_2321/fåglar/A 6934-2026 prioriterade fågelarter.docx", "A 6934-2026")</f>
        <v/>
      </c>
    </row>
    <row r="113" ht="15" customHeight="1">
      <c r="A113" t="inlineStr">
        <is>
          <t>A 52588-2024</t>
        </is>
      </c>
      <c r="B113" s="1" t="n">
        <v>45609.69825231482</v>
      </c>
      <c r="C113" s="1" t="n">
        <v>46133</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23572-2021</t>
        </is>
      </c>
      <c r="B114" s="1" t="n">
        <v>44334</v>
      </c>
      <c r="C114" s="1" t="n">
        <v>46133</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13625-2023</t>
        </is>
      </c>
      <c r="B115" s="1" t="n">
        <v>45006</v>
      </c>
      <c r="C115" s="1" t="n">
        <v>46133</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72934-2021</t>
        </is>
      </c>
      <c r="B116" s="1" t="n">
        <v>44547</v>
      </c>
      <c r="C116" s="1" t="n">
        <v>46133</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23706-2023</t>
        </is>
      </c>
      <c r="B117" s="1" t="n">
        <v>45072</v>
      </c>
      <c r="C117" s="1" t="n">
        <v>46133</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22231-2022</t>
        </is>
      </c>
      <c r="B118" s="1" t="n">
        <v>44712</v>
      </c>
      <c r="C118" s="1" t="n">
        <v>46133</v>
      </c>
      <c r="D118" t="inlineStr">
        <is>
          <t>JÄMTLANDS LÄN</t>
        </is>
      </c>
      <c r="E118" t="inlineStr">
        <is>
          <t>ÅRE</t>
        </is>
      </c>
      <c r="G118" t="n">
        <v>15</v>
      </c>
      <c r="H118" t="n">
        <v>0</v>
      </c>
      <c r="I118" t="n">
        <v>0</v>
      </c>
      <c r="J118" t="n">
        <v>2</v>
      </c>
      <c r="K118" t="n">
        <v>0</v>
      </c>
      <c r="L118" t="n">
        <v>0</v>
      </c>
      <c r="M118" t="n">
        <v>0</v>
      </c>
      <c r="N118" t="n">
        <v>0</v>
      </c>
      <c r="O118" t="n">
        <v>2</v>
      </c>
      <c r="P118" t="n">
        <v>0</v>
      </c>
      <c r="Q118" t="n">
        <v>2</v>
      </c>
      <c r="R118" s="2" t="inlineStr">
        <is>
          <t>Gammelgransskål
Granticka</t>
        </is>
      </c>
      <c r="S118">
        <f>HYPERLINK("https://klasma.github.io/Logging_2321/artfynd/A 22231-2022 artfynd.xlsx", "A 22231-2022")</f>
        <v/>
      </c>
      <c r="T118">
        <f>HYPERLINK("https://klasma.github.io/Logging_2321/kartor/A 22231-2022 karta.png", "A 22231-2022")</f>
        <v/>
      </c>
      <c r="V118">
        <f>HYPERLINK("https://klasma.github.io/Logging_2321/klagomål/A 22231-2022 FSC-klagomål.docx", "A 22231-2022")</f>
        <v/>
      </c>
      <c r="W118">
        <f>HYPERLINK("https://klasma.github.io/Logging_2321/klagomålsmail/A 22231-2022 FSC-klagomål mail.docx", "A 22231-2022")</f>
        <v/>
      </c>
      <c r="X118">
        <f>HYPERLINK("https://klasma.github.io/Logging_2321/tillsyn/A 22231-2022 tillsynsbegäran.docx", "A 22231-2022")</f>
        <v/>
      </c>
      <c r="Y118">
        <f>HYPERLINK("https://klasma.github.io/Logging_2321/tillsynsmail/A 22231-2022 tillsynsbegäran mail.docx", "A 22231-2022")</f>
        <v/>
      </c>
    </row>
    <row r="119" ht="15" customHeight="1">
      <c r="A119" t="inlineStr">
        <is>
          <t>A 18851-2022</t>
        </is>
      </c>
      <c r="B119" s="1" t="n">
        <v>44690</v>
      </c>
      <c r="C119" s="1" t="n">
        <v>46133</v>
      </c>
      <c r="D119" t="inlineStr">
        <is>
          <t>JÄMTLANDS LÄN</t>
        </is>
      </c>
      <c r="E119" t="inlineStr">
        <is>
          <t>ÅRE</t>
        </is>
      </c>
      <c r="G119" t="n">
        <v>10.4</v>
      </c>
      <c r="H119" t="n">
        <v>1</v>
      </c>
      <c r="I119" t="n">
        <v>0</v>
      </c>
      <c r="J119" t="n">
        <v>1</v>
      </c>
      <c r="K119" t="n">
        <v>0</v>
      </c>
      <c r="L119" t="n">
        <v>0</v>
      </c>
      <c r="M119" t="n">
        <v>0</v>
      </c>
      <c r="N119" t="n">
        <v>0</v>
      </c>
      <c r="O119" t="n">
        <v>1</v>
      </c>
      <c r="P119" t="n">
        <v>0</v>
      </c>
      <c r="Q119" t="n">
        <v>2</v>
      </c>
      <c r="R119" s="2" t="inlineStr">
        <is>
          <t>Garnlav
Orre</t>
        </is>
      </c>
      <c r="S119">
        <f>HYPERLINK("https://klasma.github.io/Logging_2321/artfynd/A 18851-2022 artfynd.xlsx", "A 18851-2022")</f>
        <v/>
      </c>
      <c r="T119">
        <f>HYPERLINK("https://klasma.github.io/Logging_2321/kartor/A 18851-2022 karta.png", "A 18851-2022")</f>
        <v/>
      </c>
      <c r="V119">
        <f>HYPERLINK("https://klasma.github.io/Logging_2321/klagomål/A 18851-2022 FSC-klagomål.docx", "A 18851-2022")</f>
        <v/>
      </c>
      <c r="W119">
        <f>HYPERLINK("https://klasma.github.io/Logging_2321/klagomålsmail/A 18851-2022 FSC-klagomål mail.docx", "A 18851-2022")</f>
        <v/>
      </c>
      <c r="X119">
        <f>HYPERLINK("https://klasma.github.io/Logging_2321/tillsyn/A 18851-2022 tillsynsbegäran.docx", "A 18851-2022")</f>
        <v/>
      </c>
      <c r="Y119">
        <f>HYPERLINK("https://klasma.github.io/Logging_2321/tillsynsmail/A 18851-2022 tillsynsbegäran mail.docx", "A 18851-2022")</f>
        <v/>
      </c>
      <c r="Z119">
        <f>HYPERLINK("https://klasma.github.io/Logging_2321/fåglar/A 18851-2022 prioriterade fågelarter.docx", "A 18851-2022")</f>
        <v/>
      </c>
    </row>
    <row r="120" ht="15" customHeight="1">
      <c r="A120" t="inlineStr">
        <is>
          <t>A 32114-2025</t>
        </is>
      </c>
      <c r="B120" s="1" t="n">
        <v>45835.48488425926</v>
      </c>
      <c r="C120" s="1" t="n">
        <v>46133</v>
      </c>
      <c r="D120" t="inlineStr">
        <is>
          <t>JÄMTLANDS LÄN</t>
        </is>
      </c>
      <c r="E120" t="inlineStr">
        <is>
          <t>ÅRE</t>
        </is>
      </c>
      <c r="G120" t="n">
        <v>1.6</v>
      </c>
      <c r="H120" t="n">
        <v>0</v>
      </c>
      <c r="I120" t="n">
        <v>0</v>
      </c>
      <c r="J120" t="n">
        <v>2</v>
      </c>
      <c r="K120" t="n">
        <v>0</v>
      </c>
      <c r="L120" t="n">
        <v>0</v>
      </c>
      <c r="M120" t="n">
        <v>0</v>
      </c>
      <c r="N120" t="n">
        <v>0</v>
      </c>
      <c r="O120" t="n">
        <v>2</v>
      </c>
      <c r="P120" t="n">
        <v>0</v>
      </c>
      <c r="Q120" t="n">
        <v>2</v>
      </c>
      <c r="R120" s="2" t="inlineStr">
        <is>
          <t>Kolflarnlav
Rosenticka</t>
        </is>
      </c>
      <c r="S120">
        <f>HYPERLINK("https://klasma.github.io/Logging_2321/artfynd/A 32114-2025 artfynd.xlsx", "A 32114-2025")</f>
        <v/>
      </c>
      <c r="T120">
        <f>HYPERLINK("https://klasma.github.io/Logging_2321/kartor/A 32114-2025 karta.png", "A 32114-2025")</f>
        <v/>
      </c>
      <c r="V120">
        <f>HYPERLINK("https://klasma.github.io/Logging_2321/klagomål/A 32114-2025 FSC-klagomål.docx", "A 32114-2025")</f>
        <v/>
      </c>
      <c r="W120">
        <f>HYPERLINK("https://klasma.github.io/Logging_2321/klagomålsmail/A 32114-2025 FSC-klagomål mail.docx", "A 32114-2025")</f>
        <v/>
      </c>
      <c r="X120">
        <f>HYPERLINK("https://klasma.github.io/Logging_2321/tillsyn/A 32114-2025 tillsynsbegäran.docx", "A 32114-2025")</f>
        <v/>
      </c>
      <c r="Y120">
        <f>HYPERLINK("https://klasma.github.io/Logging_2321/tillsynsmail/A 32114-2025 tillsynsbegäran mail.docx", "A 32114-2025")</f>
        <v/>
      </c>
    </row>
    <row r="121" ht="15" customHeight="1">
      <c r="A121" t="inlineStr">
        <is>
          <t>A 23566-2021</t>
        </is>
      </c>
      <c r="B121" s="1" t="n">
        <v>44334</v>
      </c>
      <c r="C121" s="1" t="n">
        <v>46133</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60533-2022</t>
        </is>
      </c>
      <c r="B122" s="1" t="n">
        <v>44904</v>
      </c>
      <c r="C122" s="1" t="n">
        <v>46133</v>
      </c>
      <c r="D122" t="inlineStr">
        <is>
          <t>JÄMTLANDS LÄN</t>
        </is>
      </c>
      <c r="E122" t="inlineStr">
        <is>
          <t>ÅRE</t>
        </is>
      </c>
      <c r="G122" t="n">
        <v>3.6</v>
      </c>
      <c r="H122" t="n">
        <v>2</v>
      </c>
      <c r="I122" t="n">
        <v>0</v>
      </c>
      <c r="J122" t="n">
        <v>2</v>
      </c>
      <c r="K122" t="n">
        <v>0</v>
      </c>
      <c r="L122" t="n">
        <v>0</v>
      </c>
      <c r="M122" t="n">
        <v>0</v>
      </c>
      <c r="N122" t="n">
        <v>0</v>
      </c>
      <c r="O122" t="n">
        <v>2</v>
      </c>
      <c r="P122" t="n">
        <v>0</v>
      </c>
      <c r="Q122" t="n">
        <v>2</v>
      </c>
      <c r="R122" s="2" t="inlineStr">
        <is>
          <t>Talltita
Tretåig hackspett</t>
        </is>
      </c>
      <c r="S122">
        <f>HYPERLINK("https://klasma.github.io/Logging_2321/artfynd/A 60533-2022 artfynd.xlsx", "A 60533-2022")</f>
        <v/>
      </c>
      <c r="T122">
        <f>HYPERLINK("https://klasma.github.io/Logging_2321/kartor/A 60533-2022 karta.png", "A 60533-2022")</f>
        <v/>
      </c>
      <c r="V122">
        <f>HYPERLINK("https://klasma.github.io/Logging_2321/klagomål/A 60533-2022 FSC-klagomål.docx", "A 60533-2022")</f>
        <v/>
      </c>
      <c r="W122">
        <f>HYPERLINK("https://klasma.github.io/Logging_2321/klagomålsmail/A 60533-2022 FSC-klagomål mail.docx", "A 60533-2022")</f>
        <v/>
      </c>
      <c r="X122">
        <f>HYPERLINK("https://klasma.github.io/Logging_2321/tillsyn/A 60533-2022 tillsynsbegäran.docx", "A 60533-2022")</f>
        <v/>
      </c>
      <c r="Y122">
        <f>HYPERLINK("https://klasma.github.io/Logging_2321/tillsynsmail/A 60533-2022 tillsynsbegäran mail.docx", "A 60533-2022")</f>
        <v/>
      </c>
      <c r="Z122">
        <f>HYPERLINK("https://klasma.github.io/Logging_2321/fåglar/A 60533-2022 prioriterade fågelarter.docx", "A 60533-2022")</f>
        <v/>
      </c>
    </row>
    <row r="123" ht="15" customHeight="1">
      <c r="A123" t="inlineStr">
        <is>
          <t>A 36395-2025</t>
        </is>
      </c>
      <c r="B123" s="1" t="n">
        <v>45868.6211574074</v>
      </c>
      <c r="C123" s="1" t="n">
        <v>46133</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37204-2025</t>
        </is>
      </c>
      <c r="B124" s="1" t="n">
        <v>45875.69826388889</v>
      </c>
      <c r="C124" s="1" t="n">
        <v>46133</v>
      </c>
      <c r="D124" t="inlineStr">
        <is>
          <t>JÄMTLANDS LÄN</t>
        </is>
      </c>
      <c r="E124" t="inlineStr">
        <is>
          <t>ÅRE</t>
        </is>
      </c>
      <c r="G124" t="n">
        <v>2.9</v>
      </c>
      <c r="H124" t="n">
        <v>1</v>
      </c>
      <c r="I124" t="n">
        <v>1</v>
      </c>
      <c r="J124" t="n">
        <v>0</v>
      </c>
      <c r="K124" t="n">
        <v>0</v>
      </c>
      <c r="L124" t="n">
        <v>0</v>
      </c>
      <c r="M124" t="n">
        <v>0</v>
      </c>
      <c r="N124" t="n">
        <v>0</v>
      </c>
      <c r="O124" t="n">
        <v>0</v>
      </c>
      <c r="P124" t="n">
        <v>0</v>
      </c>
      <c r="Q124" t="n">
        <v>2</v>
      </c>
      <c r="R124" s="2" t="inlineStr">
        <is>
          <t>Norrlandslav
Revlummer</t>
        </is>
      </c>
      <c r="S124">
        <f>HYPERLINK("https://klasma.github.io/Logging_2321/artfynd/A 37204-2025 artfynd.xlsx", "A 37204-2025")</f>
        <v/>
      </c>
      <c r="T124">
        <f>HYPERLINK("https://klasma.github.io/Logging_2321/kartor/A 37204-2025 karta.png", "A 37204-2025")</f>
        <v/>
      </c>
      <c r="V124">
        <f>HYPERLINK("https://klasma.github.io/Logging_2321/klagomål/A 37204-2025 FSC-klagomål.docx", "A 37204-2025")</f>
        <v/>
      </c>
      <c r="W124">
        <f>HYPERLINK("https://klasma.github.io/Logging_2321/klagomålsmail/A 37204-2025 FSC-klagomål mail.docx", "A 37204-2025")</f>
        <v/>
      </c>
      <c r="X124">
        <f>HYPERLINK("https://klasma.github.io/Logging_2321/tillsyn/A 37204-2025 tillsynsbegäran.docx", "A 37204-2025")</f>
        <v/>
      </c>
      <c r="Y124">
        <f>HYPERLINK("https://klasma.github.io/Logging_2321/tillsynsmail/A 37204-2025 tillsynsbegäran mail.docx", "A 37204-2025")</f>
        <v/>
      </c>
    </row>
    <row r="125" ht="15" customHeight="1">
      <c r="A125" t="inlineStr">
        <is>
          <t>A 41280-2025</t>
        </is>
      </c>
      <c r="B125" s="1" t="n">
        <v>45898</v>
      </c>
      <c r="C125" s="1" t="n">
        <v>46133</v>
      </c>
      <c r="D125" t="inlineStr">
        <is>
          <t>JÄMTLANDS LÄN</t>
        </is>
      </c>
      <c r="E125" t="inlineStr">
        <is>
          <t>ÅRE</t>
        </is>
      </c>
      <c r="F125" t="inlineStr">
        <is>
          <t>Övriga Aktiebolag</t>
        </is>
      </c>
      <c r="G125" t="n">
        <v>4.5</v>
      </c>
      <c r="H125" t="n">
        <v>1</v>
      </c>
      <c r="I125" t="n">
        <v>0</v>
      </c>
      <c r="J125" t="n">
        <v>2</v>
      </c>
      <c r="K125" t="n">
        <v>0</v>
      </c>
      <c r="L125" t="n">
        <v>0</v>
      </c>
      <c r="M125" t="n">
        <v>0</v>
      </c>
      <c r="N125" t="n">
        <v>0</v>
      </c>
      <c r="O125" t="n">
        <v>2</v>
      </c>
      <c r="P125" t="n">
        <v>0</v>
      </c>
      <c r="Q125" t="n">
        <v>2</v>
      </c>
      <c r="R125" s="2" t="inlineStr">
        <is>
          <t>Garnlav
Järpe</t>
        </is>
      </c>
      <c r="S125">
        <f>HYPERLINK("https://klasma.github.io/Logging_2321/artfynd/A 41280-2025 artfynd.xlsx", "A 41280-2025")</f>
        <v/>
      </c>
      <c r="T125">
        <f>HYPERLINK("https://klasma.github.io/Logging_2321/kartor/A 41280-2025 karta.png", "A 41280-2025")</f>
        <v/>
      </c>
      <c r="V125">
        <f>HYPERLINK("https://klasma.github.io/Logging_2321/klagomål/A 41280-2025 FSC-klagomål.docx", "A 41280-2025")</f>
        <v/>
      </c>
      <c r="W125">
        <f>HYPERLINK("https://klasma.github.io/Logging_2321/klagomålsmail/A 41280-2025 FSC-klagomål mail.docx", "A 41280-2025")</f>
        <v/>
      </c>
      <c r="X125">
        <f>HYPERLINK("https://klasma.github.io/Logging_2321/tillsyn/A 41280-2025 tillsynsbegäran.docx", "A 41280-2025")</f>
        <v/>
      </c>
      <c r="Y125">
        <f>HYPERLINK("https://klasma.github.io/Logging_2321/tillsynsmail/A 41280-2025 tillsynsbegäran mail.docx", "A 41280-2025")</f>
        <v/>
      </c>
      <c r="Z125">
        <f>HYPERLINK("https://klasma.github.io/Logging_2321/fåglar/A 41280-2025 prioriterade fågelarter.docx", "A 41280-2025")</f>
        <v/>
      </c>
    </row>
    <row r="126" ht="15" customHeight="1">
      <c r="A126" t="inlineStr">
        <is>
          <t>A 5418-2023</t>
        </is>
      </c>
      <c r="B126" s="1" t="n">
        <v>44957</v>
      </c>
      <c r="C126" s="1" t="n">
        <v>46133</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54055-2023</t>
        </is>
      </c>
      <c r="B127" s="1" t="n">
        <v>45231</v>
      </c>
      <c r="C127" s="1" t="n">
        <v>46133</v>
      </c>
      <c r="D127" t="inlineStr">
        <is>
          <t>JÄMTLANDS LÄN</t>
        </is>
      </c>
      <c r="E127" t="inlineStr">
        <is>
          <t>ÅRE</t>
        </is>
      </c>
      <c r="F127" t="inlineStr">
        <is>
          <t>Övriga Aktiebolag</t>
        </is>
      </c>
      <c r="G127" t="n">
        <v>14.1</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54055-2023 artfynd.xlsx", "A 54055-2023")</f>
        <v/>
      </c>
      <c r="T127">
        <f>HYPERLINK("https://klasma.github.io/Logging_2321/kartor/A 54055-2023 karta.png", "A 54055-2023")</f>
        <v/>
      </c>
      <c r="V127">
        <f>HYPERLINK("https://klasma.github.io/Logging_2321/klagomål/A 54055-2023 FSC-klagomål.docx", "A 54055-2023")</f>
        <v/>
      </c>
      <c r="W127">
        <f>HYPERLINK("https://klasma.github.io/Logging_2321/klagomålsmail/A 54055-2023 FSC-klagomål mail.docx", "A 54055-2023")</f>
        <v/>
      </c>
      <c r="X127">
        <f>HYPERLINK("https://klasma.github.io/Logging_2321/tillsyn/A 54055-2023 tillsynsbegäran.docx", "A 54055-2023")</f>
        <v/>
      </c>
      <c r="Y127">
        <f>HYPERLINK("https://klasma.github.io/Logging_2321/tillsynsmail/A 54055-2023 tillsynsbegäran mail.docx", "A 54055-2023")</f>
        <v/>
      </c>
      <c r="Z127">
        <f>HYPERLINK("https://klasma.github.io/Logging_2321/fåglar/A 54055-2023 prioriterade fågelarter.docx", "A 54055-2023")</f>
        <v/>
      </c>
    </row>
    <row r="128" ht="15" customHeight="1">
      <c r="A128" t="inlineStr">
        <is>
          <t>A 22974-2022</t>
        </is>
      </c>
      <c r="B128" s="1" t="n">
        <v>44716</v>
      </c>
      <c r="C128" s="1" t="n">
        <v>46133</v>
      </c>
      <c r="D128" t="inlineStr">
        <is>
          <t>JÄMTLANDS LÄN</t>
        </is>
      </c>
      <c r="E128" t="inlineStr">
        <is>
          <t>ÅRE</t>
        </is>
      </c>
      <c r="G128" t="n">
        <v>8.300000000000001</v>
      </c>
      <c r="H128" t="n">
        <v>1</v>
      </c>
      <c r="I128" t="n">
        <v>2</v>
      </c>
      <c r="J128" t="n">
        <v>0</v>
      </c>
      <c r="K128" t="n">
        <v>0</v>
      </c>
      <c r="L128" t="n">
        <v>0</v>
      </c>
      <c r="M128" t="n">
        <v>0</v>
      </c>
      <c r="N128" t="n">
        <v>0</v>
      </c>
      <c r="O128" t="n">
        <v>0</v>
      </c>
      <c r="P128" t="n">
        <v>0</v>
      </c>
      <c r="Q128" t="n">
        <v>2</v>
      </c>
      <c r="R128" s="2" t="inlineStr">
        <is>
          <t>Spindelblomster
Ögonpyrola</t>
        </is>
      </c>
      <c r="S128">
        <f>HYPERLINK("https://klasma.github.io/Logging_2321/artfynd/A 22974-2022 artfynd.xlsx", "A 22974-2022")</f>
        <v/>
      </c>
      <c r="T128">
        <f>HYPERLINK("https://klasma.github.io/Logging_2321/kartor/A 22974-2022 karta.png", "A 22974-2022")</f>
        <v/>
      </c>
      <c r="V128">
        <f>HYPERLINK("https://klasma.github.io/Logging_2321/klagomål/A 22974-2022 FSC-klagomål.docx", "A 22974-2022")</f>
        <v/>
      </c>
      <c r="W128">
        <f>HYPERLINK("https://klasma.github.io/Logging_2321/klagomålsmail/A 22974-2022 FSC-klagomål mail.docx", "A 22974-2022")</f>
        <v/>
      </c>
      <c r="X128">
        <f>HYPERLINK("https://klasma.github.io/Logging_2321/tillsyn/A 22974-2022 tillsynsbegäran.docx", "A 22974-2022")</f>
        <v/>
      </c>
      <c r="Y128">
        <f>HYPERLINK("https://klasma.github.io/Logging_2321/tillsynsmail/A 22974-2022 tillsynsbegäran mail.docx", "A 22974-2022")</f>
        <v/>
      </c>
    </row>
    <row r="129" ht="15" customHeight="1">
      <c r="A129" t="inlineStr">
        <is>
          <t>A 47993-2025</t>
        </is>
      </c>
      <c r="B129" s="1" t="n">
        <v>45931</v>
      </c>
      <c r="C129" s="1" t="n">
        <v>46133</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17482-2026</t>
        </is>
      </c>
      <c r="B130" s="1" t="n">
        <v>46120.55381944445</v>
      </c>
      <c r="C130" s="1" t="n">
        <v>46133</v>
      </c>
      <c r="D130" t="inlineStr">
        <is>
          <t>JÄMTLANDS LÄN</t>
        </is>
      </c>
      <c r="E130" t="inlineStr">
        <is>
          <t>ÅRE</t>
        </is>
      </c>
      <c r="G130" t="n">
        <v>20.2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17482-2026 artfynd.xlsx", "A 17482-2026")</f>
        <v/>
      </c>
      <c r="T130">
        <f>HYPERLINK("https://klasma.github.io/Logging_2321/kartor/A 17482-2026 karta.png", "A 17482-2026")</f>
        <v/>
      </c>
      <c r="V130">
        <f>HYPERLINK("https://klasma.github.io/Logging_2321/klagomål/A 17482-2026 FSC-klagomål.docx", "A 17482-2026")</f>
        <v/>
      </c>
      <c r="W130">
        <f>HYPERLINK("https://klasma.github.io/Logging_2321/klagomålsmail/A 17482-2026 FSC-klagomål mail.docx", "A 17482-2026")</f>
        <v/>
      </c>
      <c r="X130">
        <f>HYPERLINK("https://klasma.github.io/Logging_2321/tillsyn/A 17482-2026 tillsynsbegäran.docx", "A 17482-2026")</f>
        <v/>
      </c>
      <c r="Y130">
        <f>HYPERLINK("https://klasma.github.io/Logging_2321/tillsynsmail/A 17482-2026 tillsynsbegäran mail.docx", "A 17482-2026")</f>
        <v/>
      </c>
      <c r="Z130">
        <f>HYPERLINK("https://klasma.github.io/Logging_2321/fåglar/A 17482-2026 prioriterade fågelarter.docx", "A 17482-2026")</f>
        <v/>
      </c>
    </row>
    <row r="131" ht="15" customHeight="1">
      <c r="A131" t="inlineStr">
        <is>
          <t>A 54128-2023</t>
        </is>
      </c>
      <c r="B131" s="1" t="n">
        <v>45232</v>
      </c>
      <c r="C131" s="1" t="n">
        <v>46133</v>
      </c>
      <c r="D131" t="inlineStr">
        <is>
          <t>JÄMTLANDS LÄN</t>
        </is>
      </c>
      <c r="E131" t="inlineStr">
        <is>
          <t>ÅRE</t>
        </is>
      </c>
      <c r="G131" t="n">
        <v>3.9</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54128-2023 artfynd.xlsx", "A 54128-2023")</f>
        <v/>
      </c>
      <c r="T131">
        <f>HYPERLINK("https://klasma.github.io/Logging_2321/kartor/A 54128-2023 karta.png", "A 54128-2023")</f>
        <v/>
      </c>
      <c r="V131">
        <f>HYPERLINK("https://klasma.github.io/Logging_2321/klagomål/A 54128-2023 FSC-klagomål.docx", "A 54128-2023")</f>
        <v/>
      </c>
      <c r="W131">
        <f>HYPERLINK("https://klasma.github.io/Logging_2321/klagomålsmail/A 54128-2023 FSC-klagomål mail.docx", "A 54128-2023")</f>
        <v/>
      </c>
      <c r="X131">
        <f>HYPERLINK("https://klasma.github.io/Logging_2321/tillsyn/A 54128-2023 tillsynsbegäran.docx", "A 54128-2023")</f>
        <v/>
      </c>
      <c r="Y131">
        <f>HYPERLINK("https://klasma.github.io/Logging_2321/tillsynsmail/A 54128-2023 tillsynsbegäran mail.docx", "A 54128-2023")</f>
        <v/>
      </c>
      <c r="Z131">
        <f>HYPERLINK("https://klasma.github.io/Logging_2321/fåglar/A 54128-2023 prioriterade fågelarter.docx", "A 54128-2023")</f>
        <v/>
      </c>
    </row>
    <row r="132" ht="15" customHeight="1">
      <c r="A132" t="inlineStr">
        <is>
          <t>A 11380-2026</t>
        </is>
      </c>
      <c r="B132" s="1" t="n">
        <v>46083.41158564815</v>
      </c>
      <c r="C132" s="1" t="n">
        <v>46133</v>
      </c>
      <c r="D132" t="inlineStr">
        <is>
          <t>JÄMTLANDS LÄN</t>
        </is>
      </c>
      <c r="E132" t="inlineStr">
        <is>
          <t>ÅRE</t>
        </is>
      </c>
      <c r="G132" t="n">
        <v>50.2</v>
      </c>
      <c r="H132" t="n">
        <v>1</v>
      </c>
      <c r="I132" t="n">
        <v>0</v>
      </c>
      <c r="J132" t="n">
        <v>2</v>
      </c>
      <c r="K132" t="n">
        <v>0</v>
      </c>
      <c r="L132" t="n">
        <v>0</v>
      </c>
      <c r="M132" t="n">
        <v>0</v>
      </c>
      <c r="N132" t="n">
        <v>0</v>
      </c>
      <c r="O132" t="n">
        <v>2</v>
      </c>
      <c r="P132" t="n">
        <v>0</v>
      </c>
      <c r="Q132" t="n">
        <v>2</v>
      </c>
      <c r="R132" s="2" t="inlineStr">
        <is>
          <t>Harticka
Tretåig hackspett</t>
        </is>
      </c>
      <c r="S132">
        <f>HYPERLINK("https://klasma.github.io/Logging_2321/artfynd/A 11380-2026 artfynd.xlsx", "A 11380-2026")</f>
        <v/>
      </c>
      <c r="T132">
        <f>HYPERLINK("https://klasma.github.io/Logging_2321/kartor/A 11380-2026 karta.png", "A 11380-2026")</f>
        <v/>
      </c>
      <c r="V132">
        <f>HYPERLINK("https://klasma.github.io/Logging_2321/klagomål/A 11380-2026 FSC-klagomål.docx", "A 11380-2026")</f>
        <v/>
      </c>
      <c r="W132">
        <f>HYPERLINK("https://klasma.github.io/Logging_2321/klagomålsmail/A 11380-2026 FSC-klagomål mail.docx", "A 11380-2026")</f>
        <v/>
      </c>
      <c r="X132">
        <f>HYPERLINK("https://klasma.github.io/Logging_2321/tillsyn/A 11380-2026 tillsynsbegäran.docx", "A 11380-2026")</f>
        <v/>
      </c>
      <c r="Y132">
        <f>HYPERLINK("https://klasma.github.io/Logging_2321/tillsynsmail/A 11380-2026 tillsynsbegäran mail.docx", "A 11380-2026")</f>
        <v/>
      </c>
      <c r="Z132">
        <f>HYPERLINK("https://klasma.github.io/Logging_2321/fåglar/A 11380-2026 prioriterade fågelarter.docx", "A 11380-2026")</f>
        <v/>
      </c>
    </row>
    <row r="133" ht="15" customHeight="1">
      <c r="A133" t="inlineStr">
        <is>
          <t>A 64668-2021</t>
        </is>
      </c>
      <c r="B133" s="1" t="n">
        <v>44512</v>
      </c>
      <c r="C133" s="1" t="n">
        <v>46133</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32207-2022</t>
        </is>
      </c>
      <c r="B134" s="1" t="n">
        <v>44781</v>
      </c>
      <c r="C134" s="1" t="n">
        <v>46133</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5531-2023</t>
        </is>
      </c>
      <c r="B135" s="1" t="n">
        <v>44957</v>
      </c>
      <c r="C135" s="1" t="n">
        <v>46133</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46133</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46133</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46133</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52427-2021</t>
        </is>
      </c>
      <c r="B139" s="1" t="n">
        <v>44466.34178240741</v>
      </c>
      <c r="C139" s="1" t="n">
        <v>46133</v>
      </c>
      <c r="D139" t="inlineStr">
        <is>
          <t>JÄMTLANDS LÄN</t>
        </is>
      </c>
      <c r="E139" t="inlineStr">
        <is>
          <t>ÅRE</t>
        </is>
      </c>
      <c r="G139" t="n">
        <v>4</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52427-2021 artfynd.xlsx", "A 52427-2021")</f>
        <v/>
      </c>
      <c r="T139">
        <f>HYPERLINK("https://klasma.github.io/Logging_2321/kartor/A 52427-2021 karta.png", "A 52427-2021")</f>
        <v/>
      </c>
      <c r="V139">
        <f>HYPERLINK("https://klasma.github.io/Logging_2321/klagomål/A 52427-2021 FSC-klagomål.docx", "A 52427-2021")</f>
        <v/>
      </c>
      <c r="W139">
        <f>HYPERLINK("https://klasma.github.io/Logging_2321/klagomålsmail/A 52427-2021 FSC-klagomål mail.docx", "A 52427-2021")</f>
        <v/>
      </c>
      <c r="X139">
        <f>HYPERLINK("https://klasma.github.io/Logging_2321/tillsyn/A 52427-2021 tillsynsbegäran.docx", "A 52427-2021")</f>
        <v/>
      </c>
      <c r="Y139">
        <f>HYPERLINK("https://klasma.github.io/Logging_2321/tillsynsmail/A 52427-2021 tillsynsbegäran mail.docx", "A 52427-2021")</f>
        <v/>
      </c>
      <c r="Z139">
        <f>HYPERLINK("https://klasma.github.io/Logging_2321/fåglar/A 52427-2021 prioriterade fågelarter.docx", "A 52427-2021")</f>
        <v/>
      </c>
    </row>
    <row r="140" ht="15" customHeight="1">
      <c r="A140" t="inlineStr">
        <is>
          <t>A 20501-2021</t>
        </is>
      </c>
      <c r="B140" s="1" t="n">
        <v>44315.68802083333</v>
      </c>
      <c r="C140" s="1" t="n">
        <v>46133</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46133</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46133</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46133</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8131-2024</t>
        </is>
      </c>
      <c r="B144" s="1" t="n">
        <v>45351</v>
      </c>
      <c r="C144" s="1" t="n">
        <v>46133</v>
      </c>
      <c r="D144" t="inlineStr">
        <is>
          <t>JÄMTLANDS LÄN</t>
        </is>
      </c>
      <c r="E144" t="inlineStr">
        <is>
          <t>ÅRE</t>
        </is>
      </c>
      <c r="F144" t="inlineStr">
        <is>
          <t>Övriga Aktiebolag</t>
        </is>
      </c>
      <c r="G144" t="n">
        <v>3.1</v>
      </c>
      <c r="H144" t="n">
        <v>0</v>
      </c>
      <c r="I144" t="n">
        <v>0</v>
      </c>
      <c r="J144" t="n">
        <v>0</v>
      </c>
      <c r="K144" t="n">
        <v>1</v>
      </c>
      <c r="L144" t="n">
        <v>0</v>
      </c>
      <c r="M144" t="n">
        <v>0</v>
      </c>
      <c r="N144" t="n">
        <v>0</v>
      </c>
      <c r="O144" t="n">
        <v>1</v>
      </c>
      <c r="P144" t="n">
        <v>1</v>
      </c>
      <c r="Q144" t="n">
        <v>1</v>
      </c>
      <c r="R144" s="2" t="inlineStr">
        <is>
          <t>Gräddporing</t>
        </is>
      </c>
      <c r="S144">
        <f>HYPERLINK("https://klasma.github.io/Logging_2321/artfynd/A 8131-2024 artfynd.xlsx", "A 8131-2024")</f>
        <v/>
      </c>
      <c r="T144">
        <f>HYPERLINK("https://klasma.github.io/Logging_2321/kartor/A 8131-2024 karta.png", "A 8131-2024")</f>
        <v/>
      </c>
      <c r="V144">
        <f>HYPERLINK("https://klasma.github.io/Logging_2321/klagomål/A 8131-2024 FSC-klagomål.docx", "A 8131-2024")</f>
        <v/>
      </c>
      <c r="W144">
        <f>HYPERLINK("https://klasma.github.io/Logging_2321/klagomålsmail/A 8131-2024 FSC-klagomål mail.docx", "A 8131-2024")</f>
        <v/>
      </c>
      <c r="X144">
        <f>HYPERLINK("https://klasma.github.io/Logging_2321/tillsyn/A 8131-2024 tillsynsbegäran.docx", "A 8131-2024")</f>
        <v/>
      </c>
      <c r="Y144">
        <f>HYPERLINK("https://klasma.github.io/Logging_2321/tillsynsmail/A 8131-2024 tillsynsbegäran mail.docx", "A 8131-2024")</f>
        <v/>
      </c>
    </row>
    <row r="145" ht="15" customHeight="1">
      <c r="A145" t="inlineStr">
        <is>
          <t>A 23818-2025</t>
        </is>
      </c>
      <c r="B145" s="1" t="n">
        <v>45793.58469907408</v>
      </c>
      <c r="C145" s="1" t="n">
        <v>46133</v>
      </c>
      <c r="D145" t="inlineStr">
        <is>
          <t>JÄMTLANDS LÄN</t>
        </is>
      </c>
      <c r="E145" t="inlineStr">
        <is>
          <t>ÅRE</t>
        </is>
      </c>
      <c r="G145" t="n">
        <v>7.5</v>
      </c>
      <c r="H145" t="n">
        <v>1</v>
      </c>
      <c r="I145" t="n">
        <v>0</v>
      </c>
      <c r="J145" t="n">
        <v>0</v>
      </c>
      <c r="K145" t="n">
        <v>0</v>
      </c>
      <c r="L145" t="n">
        <v>0</v>
      </c>
      <c r="M145" t="n">
        <v>0</v>
      </c>
      <c r="N145" t="n">
        <v>0</v>
      </c>
      <c r="O145" t="n">
        <v>0</v>
      </c>
      <c r="P145" t="n">
        <v>0</v>
      </c>
      <c r="Q145" t="n">
        <v>1</v>
      </c>
      <c r="R145" s="2" t="inlineStr">
        <is>
          <t>Tjäder</t>
        </is>
      </c>
      <c r="S145">
        <f>HYPERLINK("https://klasma.github.io/Logging_2321/artfynd/A 23818-2025 artfynd.xlsx", "A 23818-2025")</f>
        <v/>
      </c>
      <c r="T145">
        <f>HYPERLINK("https://klasma.github.io/Logging_2321/kartor/A 23818-2025 karta.png", "A 23818-2025")</f>
        <v/>
      </c>
      <c r="V145">
        <f>HYPERLINK("https://klasma.github.io/Logging_2321/klagomål/A 23818-2025 FSC-klagomål.docx", "A 23818-2025")</f>
        <v/>
      </c>
      <c r="W145">
        <f>HYPERLINK("https://klasma.github.io/Logging_2321/klagomålsmail/A 23818-2025 FSC-klagomål mail.docx", "A 23818-2025")</f>
        <v/>
      </c>
      <c r="X145">
        <f>HYPERLINK("https://klasma.github.io/Logging_2321/tillsyn/A 23818-2025 tillsynsbegäran.docx", "A 23818-2025")</f>
        <v/>
      </c>
      <c r="Y145">
        <f>HYPERLINK("https://klasma.github.io/Logging_2321/tillsynsmail/A 23818-2025 tillsynsbegäran mail.docx", "A 23818-2025")</f>
        <v/>
      </c>
      <c r="Z145">
        <f>HYPERLINK("https://klasma.github.io/Logging_2321/fåglar/A 23818-2025 prioriterade fågelarter.docx", "A 23818-2025")</f>
        <v/>
      </c>
    </row>
    <row r="146" ht="15" customHeight="1">
      <c r="A146" t="inlineStr">
        <is>
          <t>A 61471-2023</t>
        </is>
      </c>
      <c r="B146" s="1" t="n">
        <v>45264</v>
      </c>
      <c r="C146" s="1" t="n">
        <v>46133</v>
      </c>
      <c r="D146" t="inlineStr">
        <is>
          <t>JÄMTLANDS LÄN</t>
        </is>
      </c>
      <c r="E146" t="inlineStr">
        <is>
          <t>ÅRE</t>
        </is>
      </c>
      <c r="G146" t="n">
        <v>1</v>
      </c>
      <c r="H146" t="n">
        <v>0</v>
      </c>
      <c r="I146" t="n">
        <v>0</v>
      </c>
      <c r="J146" t="n">
        <v>1</v>
      </c>
      <c r="K146" t="n">
        <v>0</v>
      </c>
      <c r="L146" t="n">
        <v>0</v>
      </c>
      <c r="M146" t="n">
        <v>0</v>
      </c>
      <c r="N146" t="n">
        <v>0</v>
      </c>
      <c r="O146" t="n">
        <v>1</v>
      </c>
      <c r="P146" t="n">
        <v>0</v>
      </c>
      <c r="Q146" t="n">
        <v>1</v>
      </c>
      <c r="R146" s="2" t="inlineStr">
        <is>
          <t>Skrovellav</t>
        </is>
      </c>
      <c r="S146">
        <f>HYPERLINK("https://klasma.github.io/Logging_2321/artfynd/A 61471-2023 artfynd.xlsx", "A 61471-2023")</f>
        <v/>
      </c>
      <c r="T146">
        <f>HYPERLINK("https://klasma.github.io/Logging_2321/kartor/A 61471-2023 karta.png", "A 61471-2023")</f>
        <v/>
      </c>
      <c r="V146">
        <f>HYPERLINK("https://klasma.github.io/Logging_2321/klagomål/A 61471-2023 FSC-klagomål.docx", "A 61471-2023")</f>
        <v/>
      </c>
      <c r="W146">
        <f>HYPERLINK("https://klasma.github.io/Logging_2321/klagomålsmail/A 61471-2023 FSC-klagomål mail.docx", "A 61471-2023")</f>
        <v/>
      </c>
      <c r="X146">
        <f>HYPERLINK("https://klasma.github.io/Logging_2321/tillsyn/A 61471-2023 tillsynsbegäran.docx", "A 61471-2023")</f>
        <v/>
      </c>
      <c r="Y146">
        <f>HYPERLINK("https://klasma.github.io/Logging_2321/tillsynsmail/A 61471-2023 tillsynsbegäran mail.docx", "A 61471-2023")</f>
        <v/>
      </c>
    </row>
    <row r="147" ht="15" customHeight="1">
      <c r="A147" t="inlineStr">
        <is>
          <t>A 14245-2025</t>
        </is>
      </c>
      <c r="B147" s="1" t="n">
        <v>45740</v>
      </c>
      <c r="C147" s="1" t="n">
        <v>46133</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14245-2025 artfynd.xlsx", "A 14245-2025")</f>
        <v/>
      </c>
      <c r="T147">
        <f>HYPERLINK("https://klasma.github.io/Logging_2321/kartor/A 14245-2025 karta.png", "A 14245-2025")</f>
        <v/>
      </c>
      <c r="V147">
        <f>HYPERLINK("https://klasma.github.io/Logging_2321/klagomål/A 14245-2025 FSC-klagomål.docx", "A 14245-2025")</f>
        <v/>
      </c>
      <c r="W147">
        <f>HYPERLINK("https://klasma.github.io/Logging_2321/klagomålsmail/A 14245-2025 FSC-klagomål mail.docx", "A 14245-2025")</f>
        <v/>
      </c>
      <c r="X147">
        <f>HYPERLINK("https://klasma.github.io/Logging_2321/tillsyn/A 14245-2025 tillsynsbegäran.docx", "A 14245-2025")</f>
        <v/>
      </c>
      <c r="Y147">
        <f>HYPERLINK("https://klasma.github.io/Logging_2321/tillsynsmail/A 14245-2025 tillsynsbegäran mail.docx", "A 14245-2025")</f>
        <v/>
      </c>
      <c r="Z147">
        <f>HYPERLINK("https://klasma.github.io/Logging_2321/fåglar/A 14245-2025 prioriterade fågelarter.docx", "A 14245-2025")</f>
        <v/>
      </c>
    </row>
    <row r="148" ht="15" customHeight="1">
      <c r="A148" t="inlineStr">
        <is>
          <t>A 55194-2022</t>
        </is>
      </c>
      <c r="B148" s="1" t="n">
        <v>44886</v>
      </c>
      <c r="C148" s="1" t="n">
        <v>46133</v>
      </c>
      <c r="D148" t="inlineStr">
        <is>
          <t>JÄMTLANDS LÄN</t>
        </is>
      </c>
      <c r="E148" t="inlineStr">
        <is>
          <t>ÅRE</t>
        </is>
      </c>
      <c r="F148" t="inlineStr">
        <is>
          <t>Övriga Aktiebolag</t>
        </is>
      </c>
      <c r="G148" t="n">
        <v>1.7</v>
      </c>
      <c r="H148" t="n">
        <v>0</v>
      </c>
      <c r="I148" t="n">
        <v>0</v>
      </c>
      <c r="J148" t="n">
        <v>1</v>
      </c>
      <c r="K148" t="n">
        <v>0</v>
      </c>
      <c r="L148" t="n">
        <v>0</v>
      </c>
      <c r="M148" t="n">
        <v>0</v>
      </c>
      <c r="N148" t="n">
        <v>0</v>
      </c>
      <c r="O148" t="n">
        <v>1</v>
      </c>
      <c r="P148" t="n">
        <v>0</v>
      </c>
      <c r="Q148" t="n">
        <v>1</v>
      </c>
      <c r="R148" s="2" t="inlineStr">
        <is>
          <t>Vitskaftad svartspik</t>
        </is>
      </c>
      <c r="S148">
        <f>HYPERLINK("https://klasma.github.io/Logging_2321/artfynd/A 55194-2022 artfynd.xlsx", "A 55194-2022")</f>
        <v/>
      </c>
      <c r="T148">
        <f>HYPERLINK("https://klasma.github.io/Logging_2321/kartor/A 55194-2022 karta.png", "A 55194-2022")</f>
        <v/>
      </c>
      <c r="V148">
        <f>HYPERLINK("https://klasma.github.io/Logging_2321/klagomål/A 55194-2022 FSC-klagomål.docx", "A 55194-2022")</f>
        <v/>
      </c>
      <c r="W148">
        <f>HYPERLINK("https://klasma.github.io/Logging_2321/klagomålsmail/A 55194-2022 FSC-klagomål mail.docx", "A 55194-2022")</f>
        <v/>
      </c>
      <c r="X148">
        <f>HYPERLINK("https://klasma.github.io/Logging_2321/tillsyn/A 55194-2022 tillsynsbegäran.docx", "A 55194-2022")</f>
        <v/>
      </c>
      <c r="Y148">
        <f>HYPERLINK("https://klasma.github.io/Logging_2321/tillsynsmail/A 55194-2022 tillsynsbegäran mail.docx", "A 55194-2022")</f>
        <v/>
      </c>
    </row>
    <row r="149" ht="15" customHeight="1">
      <c r="A149" t="inlineStr">
        <is>
          <t>A 57493-2025</t>
        </is>
      </c>
      <c r="B149" s="1" t="n">
        <v>45980</v>
      </c>
      <c r="C149" s="1" t="n">
        <v>46133</v>
      </c>
      <c r="D149" t="inlineStr">
        <is>
          <t>JÄMTLANDS LÄN</t>
        </is>
      </c>
      <c r="E149" t="inlineStr">
        <is>
          <t>ÅRE</t>
        </is>
      </c>
      <c r="G149" t="n">
        <v>164</v>
      </c>
      <c r="H149" t="n">
        <v>0</v>
      </c>
      <c r="I149" t="n">
        <v>0</v>
      </c>
      <c r="J149" t="n">
        <v>1</v>
      </c>
      <c r="K149" t="n">
        <v>0</v>
      </c>
      <c r="L149" t="n">
        <v>0</v>
      </c>
      <c r="M149" t="n">
        <v>0</v>
      </c>
      <c r="N149" t="n">
        <v>0</v>
      </c>
      <c r="O149" t="n">
        <v>1</v>
      </c>
      <c r="P149" t="n">
        <v>0</v>
      </c>
      <c r="Q149" t="n">
        <v>1</v>
      </c>
      <c r="R149" s="2" t="inlineStr">
        <is>
          <t>Doftskinn</t>
        </is>
      </c>
      <c r="S149">
        <f>HYPERLINK("https://klasma.github.io/Logging_2321/artfynd/A 57493-2025 artfynd.xlsx", "A 57493-2025")</f>
        <v/>
      </c>
      <c r="T149">
        <f>HYPERLINK("https://klasma.github.io/Logging_2321/kartor/A 57493-2025 karta.png", "A 57493-2025")</f>
        <v/>
      </c>
      <c r="V149">
        <f>HYPERLINK("https://klasma.github.io/Logging_2321/klagomål/A 57493-2025 FSC-klagomål.docx", "A 57493-2025")</f>
        <v/>
      </c>
      <c r="W149">
        <f>HYPERLINK("https://klasma.github.io/Logging_2321/klagomålsmail/A 57493-2025 FSC-klagomål mail.docx", "A 57493-2025")</f>
        <v/>
      </c>
      <c r="X149">
        <f>HYPERLINK("https://klasma.github.io/Logging_2321/tillsyn/A 57493-2025 tillsynsbegäran.docx", "A 57493-2025")</f>
        <v/>
      </c>
      <c r="Y149">
        <f>HYPERLINK("https://klasma.github.io/Logging_2321/tillsynsmail/A 57493-2025 tillsynsbegäran mail.docx", "A 57493-2025")</f>
        <v/>
      </c>
    </row>
    <row r="150" ht="15" customHeight="1">
      <c r="A150" t="inlineStr">
        <is>
          <t>A 4937-2025</t>
        </is>
      </c>
      <c r="B150" s="1" t="n">
        <v>45688</v>
      </c>
      <c r="C150" s="1" t="n">
        <v>46133</v>
      </c>
      <c r="D150" t="inlineStr">
        <is>
          <t>JÄMTLANDS LÄN</t>
        </is>
      </c>
      <c r="E150" t="inlineStr">
        <is>
          <t>ÅRE</t>
        </is>
      </c>
      <c r="G150" t="n">
        <v>1.8</v>
      </c>
      <c r="H150" t="n">
        <v>0</v>
      </c>
      <c r="I150" t="n">
        <v>0</v>
      </c>
      <c r="J150" t="n">
        <v>1</v>
      </c>
      <c r="K150" t="n">
        <v>0</v>
      </c>
      <c r="L150" t="n">
        <v>0</v>
      </c>
      <c r="M150" t="n">
        <v>0</v>
      </c>
      <c r="N150" t="n">
        <v>0</v>
      </c>
      <c r="O150" t="n">
        <v>1</v>
      </c>
      <c r="P150" t="n">
        <v>0</v>
      </c>
      <c r="Q150" t="n">
        <v>1</v>
      </c>
      <c r="R150" s="2" t="inlineStr">
        <is>
          <t>Granticka</t>
        </is>
      </c>
      <c r="S150">
        <f>HYPERLINK("https://klasma.github.io/Logging_2321/artfynd/A 4937-2025 artfynd.xlsx", "A 4937-2025")</f>
        <v/>
      </c>
      <c r="T150">
        <f>HYPERLINK("https://klasma.github.io/Logging_2321/kartor/A 4937-2025 karta.png", "A 4937-2025")</f>
        <v/>
      </c>
      <c r="V150">
        <f>HYPERLINK("https://klasma.github.io/Logging_2321/klagomål/A 4937-2025 FSC-klagomål.docx", "A 4937-2025")</f>
        <v/>
      </c>
      <c r="W150">
        <f>HYPERLINK("https://klasma.github.io/Logging_2321/klagomålsmail/A 4937-2025 FSC-klagomål mail.docx", "A 4937-2025")</f>
        <v/>
      </c>
      <c r="X150">
        <f>HYPERLINK("https://klasma.github.io/Logging_2321/tillsyn/A 4937-2025 tillsynsbegäran.docx", "A 4937-2025")</f>
        <v/>
      </c>
      <c r="Y150">
        <f>HYPERLINK("https://klasma.github.io/Logging_2321/tillsynsmail/A 4937-2025 tillsynsbegäran mail.docx", "A 4937-2025")</f>
        <v/>
      </c>
    </row>
    <row r="151" ht="15" customHeight="1">
      <c r="A151" t="inlineStr">
        <is>
          <t>A 6628-2026</t>
        </is>
      </c>
      <c r="B151" s="1" t="n">
        <v>46056.51855324074</v>
      </c>
      <c r="C151" s="1" t="n">
        <v>46133</v>
      </c>
      <c r="D151" t="inlineStr">
        <is>
          <t>JÄMTLANDS LÄN</t>
        </is>
      </c>
      <c r="E151" t="inlineStr">
        <is>
          <t>ÅRE</t>
        </is>
      </c>
      <c r="G151" t="n">
        <v>33.1</v>
      </c>
      <c r="H151" t="n">
        <v>0</v>
      </c>
      <c r="I151" t="n">
        <v>1</v>
      </c>
      <c r="J151" t="n">
        <v>0</v>
      </c>
      <c r="K151" t="n">
        <v>0</v>
      </c>
      <c r="L151" t="n">
        <v>0</v>
      </c>
      <c r="M151" t="n">
        <v>0</v>
      </c>
      <c r="N151" t="n">
        <v>0</v>
      </c>
      <c r="O151" t="n">
        <v>0</v>
      </c>
      <c r="P151" t="n">
        <v>0</v>
      </c>
      <c r="Q151" t="n">
        <v>1</v>
      </c>
      <c r="R151" s="2" t="inlineStr">
        <is>
          <t>Kransrams</t>
        </is>
      </c>
      <c r="S151">
        <f>HYPERLINK("https://klasma.github.io/Logging_2321/artfynd/A 6628-2026 artfynd.xlsx", "A 6628-2026")</f>
        <v/>
      </c>
      <c r="T151">
        <f>HYPERLINK("https://klasma.github.io/Logging_2321/kartor/A 6628-2026 karta.png", "A 6628-2026")</f>
        <v/>
      </c>
      <c r="V151">
        <f>HYPERLINK("https://klasma.github.io/Logging_2321/klagomål/A 6628-2026 FSC-klagomål.docx", "A 6628-2026")</f>
        <v/>
      </c>
      <c r="W151">
        <f>HYPERLINK("https://klasma.github.io/Logging_2321/klagomålsmail/A 6628-2026 FSC-klagomål mail.docx", "A 6628-2026")</f>
        <v/>
      </c>
      <c r="X151">
        <f>HYPERLINK("https://klasma.github.io/Logging_2321/tillsyn/A 6628-2026 tillsynsbegäran.docx", "A 6628-2026")</f>
        <v/>
      </c>
      <c r="Y151">
        <f>HYPERLINK("https://klasma.github.io/Logging_2321/tillsynsmail/A 6628-2026 tillsynsbegäran mail.docx", "A 6628-2026")</f>
        <v/>
      </c>
    </row>
    <row r="152" ht="15" customHeight="1">
      <c r="A152" t="inlineStr">
        <is>
          <t>A 21939-2025</t>
        </is>
      </c>
      <c r="B152" s="1" t="n">
        <v>45784.58445601852</v>
      </c>
      <c r="C152" s="1" t="n">
        <v>46133</v>
      </c>
      <c r="D152" t="inlineStr">
        <is>
          <t>JÄMTLANDS LÄN</t>
        </is>
      </c>
      <c r="E152" t="inlineStr">
        <is>
          <t>ÅRE</t>
        </is>
      </c>
      <c r="G152" t="n">
        <v>6.5</v>
      </c>
      <c r="H152" t="n">
        <v>0</v>
      </c>
      <c r="I152" t="n">
        <v>1</v>
      </c>
      <c r="J152" t="n">
        <v>0</v>
      </c>
      <c r="K152" t="n">
        <v>0</v>
      </c>
      <c r="L152" t="n">
        <v>0</v>
      </c>
      <c r="M152" t="n">
        <v>0</v>
      </c>
      <c r="N152" t="n">
        <v>0</v>
      </c>
      <c r="O152" t="n">
        <v>0</v>
      </c>
      <c r="P152" t="n">
        <v>0</v>
      </c>
      <c r="Q152" t="n">
        <v>1</v>
      </c>
      <c r="R152" s="2" t="inlineStr">
        <is>
          <t>Finbräken</t>
        </is>
      </c>
      <c r="S152">
        <f>HYPERLINK("https://klasma.github.io/Logging_2321/artfynd/A 21939-2025 artfynd.xlsx", "A 21939-2025")</f>
        <v/>
      </c>
      <c r="T152">
        <f>HYPERLINK("https://klasma.github.io/Logging_2321/kartor/A 21939-2025 karta.png", "A 21939-2025")</f>
        <v/>
      </c>
      <c r="V152">
        <f>HYPERLINK("https://klasma.github.io/Logging_2321/klagomål/A 21939-2025 FSC-klagomål.docx", "A 21939-2025")</f>
        <v/>
      </c>
      <c r="W152">
        <f>HYPERLINK("https://klasma.github.io/Logging_2321/klagomålsmail/A 21939-2025 FSC-klagomål mail.docx", "A 21939-2025")</f>
        <v/>
      </c>
      <c r="X152">
        <f>HYPERLINK("https://klasma.github.io/Logging_2321/tillsyn/A 21939-2025 tillsynsbegäran.docx", "A 21939-2025")</f>
        <v/>
      </c>
      <c r="Y152">
        <f>HYPERLINK("https://klasma.github.io/Logging_2321/tillsynsmail/A 21939-2025 tillsynsbegäran mail.docx", "A 21939-2025")</f>
        <v/>
      </c>
    </row>
    <row r="153" ht="15" customHeight="1">
      <c r="A153" t="inlineStr">
        <is>
          <t>A 53462-2024</t>
        </is>
      </c>
      <c r="B153" s="1" t="n">
        <v>45614.55241898148</v>
      </c>
      <c r="C153" s="1" t="n">
        <v>46133</v>
      </c>
      <c r="D153" t="inlineStr">
        <is>
          <t>JÄMTLANDS LÄN</t>
        </is>
      </c>
      <c r="E153" t="inlineStr">
        <is>
          <t>ÅRE</t>
        </is>
      </c>
      <c r="G153" t="n">
        <v>12.8</v>
      </c>
      <c r="H153" t="n">
        <v>0</v>
      </c>
      <c r="I153" t="n">
        <v>0</v>
      </c>
      <c r="J153" t="n">
        <v>1</v>
      </c>
      <c r="K153" t="n">
        <v>0</v>
      </c>
      <c r="L153" t="n">
        <v>0</v>
      </c>
      <c r="M153" t="n">
        <v>0</v>
      </c>
      <c r="N153" t="n">
        <v>0</v>
      </c>
      <c r="O153" t="n">
        <v>1</v>
      </c>
      <c r="P153" t="n">
        <v>0</v>
      </c>
      <c r="Q153" t="n">
        <v>1</v>
      </c>
      <c r="R153" s="2" t="inlineStr">
        <is>
          <t>Granticka</t>
        </is>
      </c>
      <c r="S153">
        <f>HYPERLINK("https://klasma.github.io/Logging_2321/artfynd/A 53462-2024 artfynd.xlsx", "A 53462-2024")</f>
        <v/>
      </c>
      <c r="T153">
        <f>HYPERLINK("https://klasma.github.io/Logging_2321/kartor/A 53462-2024 karta.png", "A 53462-2024")</f>
        <v/>
      </c>
      <c r="V153">
        <f>HYPERLINK("https://klasma.github.io/Logging_2321/klagomål/A 53462-2024 FSC-klagomål.docx", "A 53462-2024")</f>
        <v/>
      </c>
      <c r="W153">
        <f>HYPERLINK("https://klasma.github.io/Logging_2321/klagomålsmail/A 53462-2024 FSC-klagomål mail.docx", "A 53462-2024")</f>
        <v/>
      </c>
      <c r="X153">
        <f>HYPERLINK("https://klasma.github.io/Logging_2321/tillsyn/A 53462-2024 tillsynsbegäran.docx", "A 53462-2024")</f>
        <v/>
      </c>
      <c r="Y153">
        <f>HYPERLINK("https://klasma.github.io/Logging_2321/tillsynsmail/A 53462-2024 tillsynsbegäran mail.docx", "A 53462-2024")</f>
        <v/>
      </c>
    </row>
    <row r="154" ht="15" customHeight="1">
      <c r="A154" t="inlineStr">
        <is>
          <t>A 12242-2022</t>
        </is>
      </c>
      <c r="B154" s="1" t="n">
        <v>44637</v>
      </c>
      <c r="C154" s="1" t="n">
        <v>46133</v>
      </c>
      <c r="D154" t="inlineStr">
        <is>
          <t>JÄMTLANDS LÄN</t>
        </is>
      </c>
      <c r="E154" t="inlineStr">
        <is>
          <t>ÅRE</t>
        </is>
      </c>
      <c r="G154" t="n">
        <v>53.4</v>
      </c>
      <c r="H154" t="n">
        <v>0</v>
      </c>
      <c r="I154" t="n">
        <v>0</v>
      </c>
      <c r="J154" t="n">
        <v>1</v>
      </c>
      <c r="K154" t="n">
        <v>0</v>
      </c>
      <c r="L154" t="n">
        <v>0</v>
      </c>
      <c r="M154" t="n">
        <v>0</v>
      </c>
      <c r="N154" t="n">
        <v>0</v>
      </c>
      <c r="O154" t="n">
        <v>1</v>
      </c>
      <c r="P154" t="n">
        <v>0</v>
      </c>
      <c r="Q154" t="n">
        <v>1</v>
      </c>
      <c r="R154" s="2" t="inlineStr">
        <is>
          <t>Granticka</t>
        </is>
      </c>
      <c r="S154">
        <f>HYPERLINK("https://klasma.github.io/Logging_2321/artfynd/A 12242-2022 artfynd.xlsx", "A 12242-2022")</f>
        <v/>
      </c>
      <c r="T154">
        <f>HYPERLINK("https://klasma.github.io/Logging_2321/kartor/A 12242-2022 karta.png", "A 12242-2022")</f>
        <v/>
      </c>
      <c r="V154">
        <f>HYPERLINK("https://klasma.github.io/Logging_2321/klagomål/A 12242-2022 FSC-klagomål.docx", "A 12242-2022")</f>
        <v/>
      </c>
      <c r="W154">
        <f>HYPERLINK("https://klasma.github.io/Logging_2321/klagomålsmail/A 12242-2022 FSC-klagomål mail.docx", "A 12242-2022")</f>
        <v/>
      </c>
      <c r="X154">
        <f>HYPERLINK("https://klasma.github.io/Logging_2321/tillsyn/A 12242-2022 tillsynsbegäran.docx", "A 12242-2022")</f>
        <v/>
      </c>
      <c r="Y154">
        <f>HYPERLINK("https://klasma.github.io/Logging_2321/tillsynsmail/A 12242-2022 tillsynsbegäran mail.docx", "A 12242-2022")</f>
        <v/>
      </c>
    </row>
    <row r="155" ht="15" customHeight="1">
      <c r="A155" t="inlineStr">
        <is>
          <t>A 45144-2024</t>
        </is>
      </c>
      <c r="B155" s="1" t="n">
        <v>45575.63767361111</v>
      </c>
      <c r="C155" s="1" t="n">
        <v>46133</v>
      </c>
      <c r="D155" t="inlineStr">
        <is>
          <t>JÄMTLANDS LÄN</t>
        </is>
      </c>
      <c r="E155" t="inlineStr">
        <is>
          <t>ÅRE</t>
        </is>
      </c>
      <c r="F155" t="inlineStr">
        <is>
          <t>Övriga Aktiebolag</t>
        </is>
      </c>
      <c r="G155" t="n">
        <v>14.7</v>
      </c>
      <c r="H155" t="n">
        <v>0</v>
      </c>
      <c r="I155" t="n">
        <v>0</v>
      </c>
      <c r="J155" t="n">
        <v>1</v>
      </c>
      <c r="K155" t="n">
        <v>0</v>
      </c>
      <c r="L155" t="n">
        <v>0</v>
      </c>
      <c r="M155" t="n">
        <v>0</v>
      </c>
      <c r="N155" t="n">
        <v>0</v>
      </c>
      <c r="O155" t="n">
        <v>1</v>
      </c>
      <c r="P155" t="n">
        <v>0</v>
      </c>
      <c r="Q155" t="n">
        <v>1</v>
      </c>
      <c r="R155" s="2" t="inlineStr">
        <is>
          <t>Garnlav</t>
        </is>
      </c>
      <c r="S155">
        <f>HYPERLINK("https://klasma.github.io/Logging_2321/artfynd/A 45144-2024 artfynd.xlsx", "A 45144-2024")</f>
        <v/>
      </c>
      <c r="T155">
        <f>HYPERLINK("https://klasma.github.io/Logging_2321/kartor/A 45144-2024 karta.png", "A 45144-2024")</f>
        <v/>
      </c>
      <c r="V155">
        <f>HYPERLINK("https://klasma.github.io/Logging_2321/klagomål/A 45144-2024 FSC-klagomål.docx", "A 45144-2024")</f>
        <v/>
      </c>
      <c r="W155">
        <f>HYPERLINK("https://klasma.github.io/Logging_2321/klagomålsmail/A 45144-2024 FSC-klagomål mail.docx", "A 45144-2024")</f>
        <v/>
      </c>
      <c r="X155">
        <f>HYPERLINK("https://klasma.github.io/Logging_2321/tillsyn/A 45144-2024 tillsynsbegäran.docx", "A 45144-2024")</f>
        <v/>
      </c>
      <c r="Y155">
        <f>HYPERLINK("https://klasma.github.io/Logging_2321/tillsynsmail/A 45144-2024 tillsynsbegäran mail.docx", "A 45144-2024")</f>
        <v/>
      </c>
    </row>
    <row r="156" ht="15" customHeight="1">
      <c r="A156" t="inlineStr">
        <is>
          <t>A 52746-2024</t>
        </is>
      </c>
      <c r="B156" s="1" t="n">
        <v>45610.4809375</v>
      </c>
      <c r="C156" s="1" t="n">
        <v>46133</v>
      </c>
      <c r="D156" t="inlineStr">
        <is>
          <t>JÄMTLANDS LÄN</t>
        </is>
      </c>
      <c r="E156" t="inlineStr">
        <is>
          <t>ÅRE</t>
        </is>
      </c>
      <c r="G156" t="n">
        <v>1.4</v>
      </c>
      <c r="H156" t="n">
        <v>1</v>
      </c>
      <c r="I156" t="n">
        <v>0</v>
      </c>
      <c r="J156" t="n">
        <v>0</v>
      </c>
      <c r="K156" t="n">
        <v>0</v>
      </c>
      <c r="L156" t="n">
        <v>0</v>
      </c>
      <c r="M156" t="n">
        <v>0</v>
      </c>
      <c r="N156" t="n">
        <v>0</v>
      </c>
      <c r="O156" t="n">
        <v>0</v>
      </c>
      <c r="P156" t="n">
        <v>0</v>
      </c>
      <c r="Q156" t="n">
        <v>1</v>
      </c>
      <c r="R156" s="2" t="inlineStr">
        <is>
          <t>Blåsippa</t>
        </is>
      </c>
      <c r="S156">
        <f>HYPERLINK("https://klasma.github.io/Logging_2321/artfynd/A 52746-2024 artfynd.xlsx", "A 52746-2024")</f>
        <v/>
      </c>
      <c r="T156">
        <f>HYPERLINK("https://klasma.github.io/Logging_2321/kartor/A 52746-2024 karta.png", "A 52746-2024")</f>
        <v/>
      </c>
      <c r="V156">
        <f>HYPERLINK("https://klasma.github.io/Logging_2321/klagomål/A 52746-2024 FSC-klagomål.docx", "A 52746-2024")</f>
        <v/>
      </c>
      <c r="W156">
        <f>HYPERLINK("https://klasma.github.io/Logging_2321/klagomålsmail/A 52746-2024 FSC-klagomål mail.docx", "A 52746-2024")</f>
        <v/>
      </c>
      <c r="X156">
        <f>HYPERLINK("https://klasma.github.io/Logging_2321/tillsyn/A 52746-2024 tillsynsbegäran.docx", "A 52746-2024")</f>
        <v/>
      </c>
      <c r="Y156">
        <f>HYPERLINK("https://klasma.github.io/Logging_2321/tillsynsmail/A 52746-2024 tillsynsbegäran mail.docx", "A 52746-2024")</f>
        <v/>
      </c>
    </row>
    <row r="157" ht="15" customHeight="1">
      <c r="A157" t="inlineStr">
        <is>
          <t>A 37082-2021</t>
        </is>
      </c>
      <c r="B157" s="1" t="n">
        <v>44395</v>
      </c>
      <c r="C157" s="1" t="n">
        <v>46133</v>
      </c>
      <c r="D157" t="inlineStr">
        <is>
          <t>JÄMTLANDS LÄN</t>
        </is>
      </c>
      <c r="E157" t="inlineStr">
        <is>
          <t>ÅRE</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37082-2021 artfynd.xlsx", "A 37082-2021")</f>
        <v/>
      </c>
      <c r="T157">
        <f>HYPERLINK("https://klasma.github.io/Logging_2321/kartor/A 37082-2021 karta.png", "A 37082-2021")</f>
        <v/>
      </c>
      <c r="V157">
        <f>HYPERLINK("https://klasma.github.io/Logging_2321/klagomål/A 37082-2021 FSC-klagomål.docx", "A 37082-2021")</f>
        <v/>
      </c>
      <c r="W157">
        <f>HYPERLINK("https://klasma.github.io/Logging_2321/klagomålsmail/A 37082-2021 FSC-klagomål mail.docx", "A 37082-2021")</f>
        <v/>
      </c>
      <c r="X157">
        <f>HYPERLINK("https://klasma.github.io/Logging_2321/tillsyn/A 37082-2021 tillsynsbegäran.docx", "A 37082-2021")</f>
        <v/>
      </c>
      <c r="Y157">
        <f>HYPERLINK("https://klasma.github.io/Logging_2321/tillsynsmail/A 37082-2021 tillsynsbegäran mail.docx", "A 37082-2021")</f>
        <v/>
      </c>
      <c r="Z157">
        <f>HYPERLINK("https://klasma.github.io/Logging_2321/fåglar/A 37082-2021 prioriterade fågelarter.docx", "A 37082-2021")</f>
        <v/>
      </c>
    </row>
    <row r="158" ht="15" customHeight="1">
      <c r="A158" t="inlineStr">
        <is>
          <t>A 4754-2026</t>
        </is>
      </c>
      <c r="B158" s="1" t="n">
        <v>46048.52958333334</v>
      </c>
      <c r="C158" s="1" t="n">
        <v>46133</v>
      </c>
      <c r="D158" t="inlineStr">
        <is>
          <t>JÄMTLANDS LÄN</t>
        </is>
      </c>
      <c r="E158" t="inlineStr">
        <is>
          <t>ÅRE</t>
        </is>
      </c>
      <c r="G158" t="n">
        <v>8.9</v>
      </c>
      <c r="H158" t="n">
        <v>1</v>
      </c>
      <c r="I158" t="n">
        <v>0</v>
      </c>
      <c r="J158" t="n">
        <v>0</v>
      </c>
      <c r="K158" t="n">
        <v>0</v>
      </c>
      <c r="L158" t="n">
        <v>0</v>
      </c>
      <c r="M158" t="n">
        <v>0</v>
      </c>
      <c r="N158" t="n">
        <v>0</v>
      </c>
      <c r="O158" t="n">
        <v>0</v>
      </c>
      <c r="P158" t="n">
        <v>0</v>
      </c>
      <c r="Q158" t="n">
        <v>1</v>
      </c>
      <c r="R158" s="2" t="inlineStr">
        <is>
          <t>Lavskrika</t>
        </is>
      </c>
      <c r="S158">
        <f>HYPERLINK("https://klasma.github.io/Logging_2321/artfynd/A 4754-2026 artfynd.xlsx", "A 4754-2026")</f>
        <v/>
      </c>
      <c r="T158">
        <f>HYPERLINK("https://klasma.github.io/Logging_2321/kartor/A 4754-2026 karta.png", "A 4754-2026")</f>
        <v/>
      </c>
      <c r="V158">
        <f>HYPERLINK("https://klasma.github.io/Logging_2321/klagomål/A 4754-2026 FSC-klagomål.docx", "A 4754-2026")</f>
        <v/>
      </c>
      <c r="W158">
        <f>HYPERLINK("https://klasma.github.io/Logging_2321/klagomålsmail/A 4754-2026 FSC-klagomål mail.docx", "A 4754-2026")</f>
        <v/>
      </c>
      <c r="X158">
        <f>HYPERLINK("https://klasma.github.io/Logging_2321/tillsyn/A 4754-2026 tillsynsbegäran.docx", "A 4754-2026")</f>
        <v/>
      </c>
      <c r="Y158">
        <f>HYPERLINK("https://klasma.github.io/Logging_2321/tillsynsmail/A 4754-2026 tillsynsbegäran mail.docx", "A 4754-2026")</f>
        <v/>
      </c>
      <c r="Z158">
        <f>HYPERLINK("https://klasma.github.io/Logging_2321/fåglar/A 4754-2026 prioriterade fågelarter.docx", "A 4754-2026")</f>
        <v/>
      </c>
    </row>
    <row r="159" ht="15" customHeight="1">
      <c r="A159" t="inlineStr">
        <is>
          <t>A 55718-2025</t>
        </is>
      </c>
      <c r="B159" s="1" t="n">
        <v>45972.49988425926</v>
      </c>
      <c r="C159" s="1" t="n">
        <v>46133</v>
      </c>
      <c r="D159" t="inlineStr">
        <is>
          <t>JÄMTLANDS LÄN</t>
        </is>
      </c>
      <c r="E159" t="inlineStr">
        <is>
          <t>ÅRE</t>
        </is>
      </c>
      <c r="F159" t="inlineStr">
        <is>
          <t>Övriga Aktiebolag</t>
        </is>
      </c>
      <c r="G159" t="n">
        <v>1.1</v>
      </c>
      <c r="H159" t="n">
        <v>1</v>
      </c>
      <c r="I159" t="n">
        <v>0</v>
      </c>
      <c r="J159" t="n">
        <v>0</v>
      </c>
      <c r="K159" t="n">
        <v>0</v>
      </c>
      <c r="L159" t="n">
        <v>0</v>
      </c>
      <c r="M159" t="n">
        <v>0</v>
      </c>
      <c r="N159" t="n">
        <v>0</v>
      </c>
      <c r="O159" t="n">
        <v>0</v>
      </c>
      <c r="P159" t="n">
        <v>0</v>
      </c>
      <c r="Q159" t="n">
        <v>1</v>
      </c>
      <c r="R159" s="2" t="inlineStr">
        <is>
          <t>Sparvuggla</t>
        </is>
      </c>
      <c r="S159">
        <f>HYPERLINK("https://klasma.github.io/Logging_2321/artfynd/A 55718-2025 artfynd.xlsx", "A 55718-2025")</f>
        <v/>
      </c>
      <c r="T159">
        <f>HYPERLINK("https://klasma.github.io/Logging_2321/kartor/A 55718-2025 karta.png", "A 55718-2025")</f>
        <v/>
      </c>
      <c r="V159">
        <f>HYPERLINK("https://klasma.github.io/Logging_2321/klagomål/A 55718-2025 FSC-klagomål.docx", "A 55718-2025")</f>
        <v/>
      </c>
      <c r="W159">
        <f>HYPERLINK("https://klasma.github.io/Logging_2321/klagomålsmail/A 55718-2025 FSC-klagomål mail.docx", "A 55718-2025")</f>
        <v/>
      </c>
      <c r="X159">
        <f>HYPERLINK("https://klasma.github.io/Logging_2321/tillsyn/A 55718-2025 tillsynsbegäran.docx", "A 55718-2025")</f>
        <v/>
      </c>
      <c r="Y159">
        <f>HYPERLINK("https://klasma.github.io/Logging_2321/tillsynsmail/A 55718-2025 tillsynsbegäran mail.docx", "A 55718-2025")</f>
        <v/>
      </c>
      <c r="Z159">
        <f>HYPERLINK("https://klasma.github.io/Logging_2321/fåglar/A 55718-2025 prioriterade fågelarter.docx", "A 55718-2025")</f>
        <v/>
      </c>
    </row>
    <row r="160" ht="15" customHeight="1">
      <c r="A160" t="inlineStr">
        <is>
          <t>A 15909-2025</t>
        </is>
      </c>
      <c r="B160" s="1" t="n">
        <v>45749</v>
      </c>
      <c r="C160" s="1" t="n">
        <v>46133</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7854-2026</t>
        </is>
      </c>
      <c r="B161" s="1" t="n">
        <v>46062.67063657408</v>
      </c>
      <c r="C161" s="1" t="n">
        <v>46133</v>
      </c>
      <c r="D161" t="inlineStr">
        <is>
          <t>JÄMTLANDS LÄN</t>
        </is>
      </c>
      <c r="E161" t="inlineStr">
        <is>
          <t>ÅRE</t>
        </is>
      </c>
      <c r="G161" t="n">
        <v>6.5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7854-2026 artfynd.xlsx", "A 7854-2026")</f>
        <v/>
      </c>
      <c r="T161">
        <f>HYPERLINK("https://klasma.github.io/Logging_2321/kartor/A 7854-2026 karta.png", "A 7854-2026")</f>
        <v/>
      </c>
      <c r="V161">
        <f>HYPERLINK("https://klasma.github.io/Logging_2321/klagomål/A 7854-2026 FSC-klagomål.docx", "A 7854-2026")</f>
        <v/>
      </c>
      <c r="W161">
        <f>HYPERLINK("https://klasma.github.io/Logging_2321/klagomålsmail/A 7854-2026 FSC-klagomål mail.docx", "A 7854-2026")</f>
        <v/>
      </c>
      <c r="X161">
        <f>HYPERLINK("https://klasma.github.io/Logging_2321/tillsyn/A 7854-2026 tillsynsbegäran.docx", "A 7854-2026")</f>
        <v/>
      </c>
      <c r="Y161">
        <f>HYPERLINK("https://klasma.github.io/Logging_2321/tillsynsmail/A 7854-2026 tillsynsbegäran mail.docx", "A 7854-2026")</f>
        <v/>
      </c>
      <c r="Z161">
        <f>HYPERLINK("https://klasma.github.io/Logging_2321/fåglar/A 7854-2026 prioriterade fågelarter.docx", "A 7854-2026")</f>
        <v/>
      </c>
    </row>
    <row r="162" ht="15" customHeight="1">
      <c r="A162" t="inlineStr">
        <is>
          <t>A 16160-2026</t>
        </is>
      </c>
      <c r="B162" s="1" t="n">
        <v>46109.92699074074</v>
      </c>
      <c r="C162" s="1" t="n">
        <v>46133</v>
      </c>
      <c r="D162" t="inlineStr">
        <is>
          <t>JÄMTLANDS LÄN</t>
        </is>
      </c>
      <c r="E162" t="inlineStr">
        <is>
          <t>ÅRE</t>
        </is>
      </c>
      <c r="G162" t="n">
        <v>7.6</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16160-2026 artfynd.xlsx", "A 16160-2026")</f>
        <v/>
      </c>
      <c r="T162">
        <f>HYPERLINK("https://klasma.github.io/Logging_2321/kartor/A 16160-2026 karta.png", "A 16160-2026")</f>
        <v/>
      </c>
      <c r="V162">
        <f>HYPERLINK("https://klasma.github.io/Logging_2321/klagomål/A 16160-2026 FSC-klagomål.docx", "A 16160-2026")</f>
        <v/>
      </c>
      <c r="W162">
        <f>HYPERLINK("https://klasma.github.io/Logging_2321/klagomålsmail/A 16160-2026 FSC-klagomål mail.docx", "A 16160-2026")</f>
        <v/>
      </c>
      <c r="X162">
        <f>HYPERLINK("https://klasma.github.io/Logging_2321/tillsyn/A 16160-2026 tillsynsbegäran.docx", "A 16160-2026")</f>
        <v/>
      </c>
      <c r="Y162">
        <f>HYPERLINK("https://klasma.github.io/Logging_2321/tillsynsmail/A 16160-2026 tillsynsbegäran mail.docx", "A 16160-2026")</f>
        <v/>
      </c>
      <c r="Z162">
        <f>HYPERLINK("https://klasma.github.io/Logging_2321/fåglar/A 16160-2026 prioriterade fågelarter.docx", "A 16160-2026")</f>
        <v/>
      </c>
    </row>
    <row r="163" ht="15" customHeight="1">
      <c r="A163" t="inlineStr">
        <is>
          <t>A 30032-2024</t>
        </is>
      </c>
      <c r="B163" s="1" t="n">
        <v>45485</v>
      </c>
      <c r="C163" s="1" t="n">
        <v>46133</v>
      </c>
      <c r="D163" t="inlineStr">
        <is>
          <t>JÄMTLANDS LÄN</t>
        </is>
      </c>
      <c r="E163" t="inlineStr">
        <is>
          <t>ÅRE</t>
        </is>
      </c>
      <c r="G163" t="n">
        <v>20.5</v>
      </c>
      <c r="H163" t="n">
        <v>1</v>
      </c>
      <c r="I163" t="n">
        <v>1</v>
      </c>
      <c r="J163" t="n">
        <v>0</v>
      </c>
      <c r="K163" t="n">
        <v>0</v>
      </c>
      <c r="L163" t="n">
        <v>0</v>
      </c>
      <c r="M163" t="n">
        <v>0</v>
      </c>
      <c r="N163" t="n">
        <v>0</v>
      </c>
      <c r="O163" t="n">
        <v>0</v>
      </c>
      <c r="P163" t="n">
        <v>0</v>
      </c>
      <c r="Q163" t="n">
        <v>1</v>
      </c>
      <c r="R163" s="2" t="inlineStr">
        <is>
          <t>Spindelblomster</t>
        </is>
      </c>
      <c r="S163">
        <f>HYPERLINK("https://klasma.github.io/Logging_2321/artfynd/A 30032-2024 artfynd.xlsx", "A 30032-2024")</f>
        <v/>
      </c>
      <c r="T163">
        <f>HYPERLINK("https://klasma.github.io/Logging_2321/kartor/A 30032-2024 karta.png", "A 30032-2024")</f>
        <v/>
      </c>
      <c r="V163">
        <f>HYPERLINK("https://klasma.github.io/Logging_2321/klagomål/A 30032-2024 FSC-klagomål.docx", "A 30032-2024")</f>
        <v/>
      </c>
      <c r="W163">
        <f>HYPERLINK("https://klasma.github.io/Logging_2321/klagomålsmail/A 30032-2024 FSC-klagomål mail.docx", "A 30032-2024")</f>
        <v/>
      </c>
      <c r="X163">
        <f>HYPERLINK("https://klasma.github.io/Logging_2321/tillsyn/A 30032-2024 tillsynsbegäran.docx", "A 30032-2024")</f>
        <v/>
      </c>
      <c r="Y163">
        <f>HYPERLINK("https://klasma.github.io/Logging_2321/tillsynsmail/A 30032-2024 tillsynsbegäran mail.docx", "A 30032-2024")</f>
        <v/>
      </c>
    </row>
    <row r="164" ht="15" customHeight="1">
      <c r="A164" t="inlineStr">
        <is>
          <t>A 17692-2022</t>
        </is>
      </c>
      <c r="B164" s="1" t="n">
        <v>44680</v>
      </c>
      <c r="C164" s="1" t="n">
        <v>46133</v>
      </c>
      <c r="D164" t="inlineStr">
        <is>
          <t>JÄMTLANDS LÄN</t>
        </is>
      </c>
      <c r="E164" t="inlineStr">
        <is>
          <t>ÅRE</t>
        </is>
      </c>
      <c r="G164" t="n">
        <v>3.1</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17692-2022 artfynd.xlsx", "A 17692-2022")</f>
        <v/>
      </c>
      <c r="T164">
        <f>HYPERLINK("https://klasma.github.io/Logging_2321/kartor/A 17692-2022 karta.png", "A 17692-2022")</f>
        <v/>
      </c>
      <c r="V164">
        <f>HYPERLINK("https://klasma.github.io/Logging_2321/klagomål/A 17692-2022 FSC-klagomål.docx", "A 17692-2022")</f>
        <v/>
      </c>
      <c r="W164">
        <f>HYPERLINK("https://klasma.github.io/Logging_2321/klagomålsmail/A 17692-2022 FSC-klagomål mail.docx", "A 17692-2022")</f>
        <v/>
      </c>
      <c r="X164">
        <f>HYPERLINK("https://klasma.github.io/Logging_2321/tillsyn/A 17692-2022 tillsynsbegäran.docx", "A 17692-2022")</f>
        <v/>
      </c>
      <c r="Y164">
        <f>HYPERLINK("https://klasma.github.io/Logging_2321/tillsynsmail/A 17692-2022 tillsynsbegäran mail.docx", "A 17692-2022")</f>
        <v/>
      </c>
      <c r="Z164">
        <f>HYPERLINK("https://klasma.github.io/Logging_2321/fåglar/A 17692-2022 prioriterade fågelarter.docx", "A 17692-2022")</f>
        <v/>
      </c>
    </row>
    <row r="165" ht="15" customHeight="1">
      <c r="A165" t="inlineStr">
        <is>
          <t>A 58226-2021</t>
        </is>
      </c>
      <c r="B165" s="1" t="n">
        <v>44487</v>
      </c>
      <c r="C165" s="1" t="n">
        <v>46133</v>
      </c>
      <c r="D165" t="inlineStr">
        <is>
          <t>JÄMTLANDS LÄN</t>
        </is>
      </c>
      <c r="E165" t="inlineStr">
        <is>
          <t>ÅRE</t>
        </is>
      </c>
      <c r="G165" t="n">
        <v>62.3</v>
      </c>
      <c r="H165" t="n">
        <v>0</v>
      </c>
      <c r="I165" t="n">
        <v>1</v>
      </c>
      <c r="J165" t="n">
        <v>0</v>
      </c>
      <c r="K165" t="n">
        <v>0</v>
      </c>
      <c r="L165" t="n">
        <v>0</v>
      </c>
      <c r="M165" t="n">
        <v>0</v>
      </c>
      <c r="N165" t="n">
        <v>0</v>
      </c>
      <c r="O165" t="n">
        <v>0</v>
      </c>
      <c r="P165" t="n">
        <v>0</v>
      </c>
      <c r="Q165" t="n">
        <v>1</v>
      </c>
      <c r="R165" s="2" t="inlineStr">
        <is>
          <t>Kambräken</t>
        </is>
      </c>
      <c r="S165">
        <f>HYPERLINK("https://klasma.github.io/Logging_2321/artfynd/A 58226-2021 artfynd.xlsx", "A 58226-2021")</f>
        <v/>
      </c>
      <c r="T165">
        <f>HYPERLINK("https://klasma.github.io/Logging_2321/kartor/A 58226-2021 karta.png", "A 58226-2021")</f>
        <v/>
      </c>
      <c r="V165">
        <f>HYPERLINK("https://klasma.github.io/Logging_2321/klagomål/A 58226-2021 FSC-klagomål.docx", "A 58226-2021")</f>
        <v/>
      </c>
      <c r="W165">
        <f>HYPERLINK("https://klasma.github.io/Logging_2321/klagomålsmail/A 58226-2021 FSC-klagomål mail.docx", "A 58226-2021")</f>
        <v/>
      </c>
      <c r="X165">
        <f>HYPERLINK("https://klasma.github.io/Logging_2321/tillsyn/A 58226-2021 tillsynsbegäran.docx", "A 58226-2021")</f>
        <v/>
      </c>
      <c r="Y165">
        <f>HYPERLINK("https://klasma.github.io/Logging_2321/tillsynsmail/A 58226-2021 tillsynsbegäran mail.docx", "A 58226-2021")</f>
        <v/>
      </c>
    </row>
    <row r="166" ht="15" customHeight="1">
      <c r="A166" t="inlineStr">
        <is>
          <t>A 17260-2026</t>
        </is>
      </c>
      <c r="B166" s="1" t="n">
        <v>46119.46849537037</v>
      </c>
      <c r="C166" s="1" t="n">
        <v>46133</v>
      </c>
      <c r="D166" t="inlineStr">
        <is>
          <t>JÄMTLANDS LÄN</t>
        </is>
      </c>
      <c r="E166" t="inlineStr">
        <is>
          <t>ÅRE</t>
        </is>
      </c>
      <c r="F166" t="inlineStr">
        <is>
          <t>Övriga Aktiebolag</t>
        </is>
      </c>
      <c r="G166" t="n">
        <v>12.4</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17260-2026 artfynd.xlsx", "A 17260-2026")</f>
        <v/>
      </c>
      <c r="T166">
        <f>HYPERLINK("https://klasma.github.io/Logging_2321/kartor/A 17260-2026 karta.png", "A 17260-2026")</f>
        <v/>
      </c>
      <c r="V166">
        <f>HYPERLINK("https://klasma.github.io/Logging_2321/klagomål/A 17260-2026 FSC-klagomål.docx", "A 17260-2026")</f>
        <v/>
      </c>
      <c r="W166">
        <f>HYPERLINK("https://klasma.github.io/Logging_2321/klagomålsmail/A 17260-2026 FSC-klagomål mail.docx", "A 17260-2026")</f>
        <v/>
      </c>
      <c r="X166">
        <f>HYPERLINK("https://klasma.github.io/Logging_2321/tillsyn/A 17260-2026 tillsynsbegäran.docx", "A 17260-2026")</f>
        <v/>
      </c>
      <c r="Y166">
        <f>HYPERLINK("https://klasma.github.io/Logging_2321/tillsynsmail/A 17260-2026 tillsynsbegäran mail.docx", "A 17260-2026")</f>
        <v/>
      </c>
      <c r="Z166">
        <f>HYPERLINK("https://klasma.github.io/Logging_2321/fåglar/A 17260-2026 prioriterade fågelarter.docx", "A 17260-2026")</f>
        <v/>
      </c>
    </row>
    <row r="167" ht="15" customHeight="1">
      <c r="A167" t="inlineStr">
        <is>
          <t>A 32216-2022</t>
        </is>
      </c>
      <c r="B167" s="1" t="n">
        <v>44781</v>
      </c>
      <c r="C167" s="1" t="n">
        <v>46133</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5480-2023</t>
        </is>
      </c>
      <c r="B168" s="1" t="n">
        <v>44957</v>
      </c>
      <c r="C168" s="1" t="n">
        <v>46133</v>
      </c>
      <c r="D168" t="inlineStr">
        <is>
          <t>JÄMTLANDS LÄN</t>
        </is>
      </c>
      <c r="E168" t="inlineStr">
        <is>
          <t>ÅRE</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5480-2023 artfynd.xlsx", "A 5480-2023")</f>
        <v/>
      </c>
      <c r="T168">
        <f>HYPERLINK("https://klasma.github.io/Logging_2321/kartor/A 5480-2023 karta.png", "A 5480-2023")</f>
        <v/>
      </c>
      <c r="V168">
        <f>HYPERLINK("https://klasma.github.io/Logging_2321/klagomål/A 5480-2023 FSC-klagomål.docx", "A 5480-2023")</f>
        <v/>
      </c>
      <c r="W168">
        <f>HYPERLINK("https://klasma.github.io/Logging_2321/klagomålsmail/A 5480-2023 FSC-klagomål mail.docx", "A 5480-2023")</f>
        <v/>
      </c>
      <c r="X168">
        <f>HYPERLINK("https://klasma.github.io/Logging_2321/tillsyn/A 5480-2023 tillsynsbegäran.docx", "A 5480-2023")</f>
        <v/>
      </c>
      <c r="Y168">
        <f>HYPERLINK("https://klasma.github.io/Logging_2321/tillsynsmail/A 5480-2023 tillsynsbegäran mail.docx", "A 5480-2023")</f>
        <v/>
      </c>
      <c r="Z168">
        <f>HYPERLINK("https://klasma.github.io/Logging_2321/fåglar/A 5480-2023 prioriterade fågelarter.docx", "A 5480-2023")</f>
        <v/>
      </c>
    </row>
    <row r="169" ht="15" customHeight="1">
      <c r="A169" t="inlineStr">
        <is>
          <t>A 23556-2021</t>
        </is>
      </c>
      <c r="B169" s="1" t="n">
        <v>44334</v>
      </c>
      <c r="C169" s="1" t="n">
        <v>46133</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74392-2021</t>
        </is>
      </c>
      <c r="B170" s="1" t="n">
        <v>44559</v>
      </c>
      <c r="C170" s="1" t="n">
        <v>46133</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10632-2023</t>
        </is>
      </c>
      <c r="B171" s="1" t="n">
        <v>44984</v>
      </c>
      <c r="C171" s="1" t="n">
        <v>46133</v>
      </c>
      <c r="D171" t="inlineStr">
        <is>
          <t>JÄMTLANDS LÄN</t>
        </is>
      </c>
      <c r="E171" t="inlineStr">
        <is>
          <t>ÅRE</t>
        </is>
      </c>
      <c r="G171" t="n">
        <v>5.4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10632-2023 artfynd.xlsx", "A 10632-2023")</f>
        <v/>
      </c>
      <c r="T171">
        <f>HYPERLINK("https://klasma.github.io/Logging_2321/kartor/A 10632-2023 karta.png", "A 10632-2023")</f>
        <v/>
      </c>
      <c r="V171">
        <f>HYPERLINK("https://klasma.github.io/Logging_2321/klagomål/A 10632-2023 FSC-klagomål.docx", "A 10632-2023")</f>
        <v/>
      </c>
      <c r="W171">
        <f>HYPERLINK("https://klasma.github.io/Logging_2321/klagomålsmail/A 10632-2023 FSC-klagomål mail.docx", "A 10632-2023")</f>
        <v/>
      </c>
      <c r="X171">
        <f>HYPERLINK("https://klasma.github.io/Logging_2321/tillsyn/A 10632-2023 tillsynsbegäran.docx", "A 10632-2023")</f>
        <v/>
      </c>
      <c r="Y171">
        <f>HYPERLINK("https://klasma.github.io/Logging_2321/tillsynsmail/A 10632-2023 tillsynsbegäran mail.docx", "A 10632-2023")</f>
        <v/>
      </c>
      <c r="Z171">
        <f>HYPERLINK("https://klasma.github.io/Logging_2321/fåglar/A 10632-2023 prioriterade fågelarter.docx", "A 10632-2023")</f>
        <v/>
      </c>
    </row>
    <row r="172" ht="15" customHeight="1">
      <c r="A172" t="inlineStr">
        <is>
          <t>A 69801-2021</t>
        </is>
      </c>
      <c r="B172" s="1" t="n">
        <v>44532</v>
      </c>
      <c r="C172" s="1" t="n">
        <v>46133</v>
      </c>
      <c r="D172" t="inlineStr">
        <is>
          <t>JÄMTLANDS LÄN</t>
        </is>
      </c>
      <c r="E172" t="inlineStr">
        <is>
          <t>ÅRE</t>
        </is>
      </c>
      <c r="G172" t="n">
        <v>4</v>
      </c>
      <c r="H172" t="n">
        <v>0</v>
      </c>
      <c r="I172" t="n">
        <v>0</v>
      </c>
      <c r="J172" t="n">
        <v>0</v>
      </c>
      <c r="K172" t="n">
        <v>0</v>
      </c>
      <c r="L172" t="n">
        <v>0</v>
      </c>
      <c r="M172" t="n">
        <v>0</v>
      </c>
      <c r="N172" t="n">
        <v>0</v>
      </c>
      <c r="O172" t="n">
        <v>0</v>
      </c>
      <c r="P172" t="n">
        <v>0</v>
      </c>
      <c r="Q172" t="n">
        <v>0</v>
      </c>
      <c r="R172" s="2" t="inlineStr"/>
    </row>
    <row r="173" ht="15" customHeight="1">
      <c r="A173" t="inlineStr">
        <is>
          <t>A 65782-2021</t>
        </is>
      </c>
      <c r="B173" s="1" t="n">
        <v>44516</v>
      </c>
      <c r="C173" s="1" t="n">
        <v>46133</v>
      </c>
      <c r="D173" t="inlineStr">
        <is>
          <t>JÄMTLANDS LÄN</t>
        </is>
      </c>
      <c r="E173" t="inlineStr">
        <is>
          <t>ÅRE</t>
        </is>
      </c>
      <c r="G173" t="n">
        <v>0.5</v>
      </c>
      <c r="H173" t="n">
        <v>0</v>
      </c>
      <c r="I173" t="n">
        <v>0</v>
      </c>
      <c r="J173" t="n">
        <v>0</v>
      </c>
      <c r="K173" t="n">
        <v>0</v>
      </c>
      <c r="L173" t="n">
        <v>0</v>
      </c>
      <c r="M173" t="n">
        <v>0</v>
      </c>
      <c r="N173" t="n">
        <v>0</v>
      </c>
      <c r="O173" t="n">
        <v>0</v>
      </c>
      <c r="P173" t="n">
        <v>0</v>
      </c>
      <c r="Q173" t="n">
        <v>0</v>
      </c>
      <c r="R173" s="2" t="inlineStr"/>
    </row>
    <row r="174" ht="15" customHeight="1">
      <c r="A174" t="inlineStr">
        <is>
          <t>A 37461-2021</t>
        </is>
      </c>
      <c r="B174" s="1" t="n">
        <v>44398</v>
      </c>
      <c r="C174" s="1" t="n">
        <v>46133</v>
      </c>
      <c r="D174" t="inlineStr">
        <is>
          <t>JÄMTLANDS LÄN</t>
        </is>
      </c>
      <c r="E174" t="inlineStr">
        <is>
          <t>ÅRE</t>
        </is>
      </c>
      <c r="G174" t="n">
        <v>11.7</v>
      </c>
      <c r="H174" t="n">
        <v>0</v>
      </c>
      <c r="I174" t="n">
        <v>0</v>
      </c>
      <c r="J174" t="n">
        <v>0</v>
      </c>
      <c r="K174" t="n">
        <v>0</v>
      </c>
      <c r="L174" t="n">
        <v>0</v>
      </c>
      <c r="M174" t="n">
        <v>0</v>
      </c>
      <c r="N174" t="n">
        <v>0</v>
      </c>
      <c r="O174" t="n">
        <v>0</v>
      </c>
      <c r="P174" t="n">
        <v>0</v>
      </c>
      <c r="Q174" t="n">
        <v>0</v>
      </c>
      <c r="R174" s="2" t="inlineStr"/>
    </row>
    <row r="175" ht="15" customHeight="1">
      <c r="A175" t="inlineStr">
        <is>
          <t>A 18443-2022</t>
        </is>
      </c>
      <c r="B175" s="1" t="n">
        <v>44686.48277777778</v>
      </c>
      <c r="C175" s="1" t="n">
        <v>46133</v>
      </c>
      <c r="D175" t="inlineStr">
        <is>
          <t>JÄMTLANDS LÄN</t>
        </is>
      </c>
      <c r="E175" t="inlineStr">
        <is>
          <t>ÅRE</t>
        </is>
      </c>
      <c r="G175" t="n">
        <v>5.1</v>
      </c>
      <c r="H175" t="n">
        <v>0</v>
      </c>
      <c r="I175" t="n">
        <v>0</v>
      </c>
      <c r="J175" t="n">
        <v>0</v>
      </c>
      <c r="K175" t="n">
        <v>0</v>
      </c>
      <c r="L175" t="n">
        <v>0</v>
      </c>
      <c r="M175" t="n">
        <v>0</v>
      </c>
      <c r="N175" t="n">
        <v>0</v>
      </c>
      <c r="O175" t="n">
        <v>0</v>
      </c>
      <c r="P175" t="n">
        <v>0</v>
      </c>
      <c r="Q175" t="n">
        <v>0</v>
      </c>
      <c r="R175" s="2" t="inlineStr"/>
    </row>
    <row r="176" ht="15" customHeight="1">
      <c r="A176" t="inlineStr">
        <is>
          <t>A 60132-2021</t>
        </is>
      </c>
      <c r="B176" s="1" t="n">
        <v>44495</v>
      </c>
      <c r="C176" s="1" t="n">
        <v>46133</v>
      </c>
      <c r="D176" t="inlineStr">
        <is>
          <t>JÄMTLANDS LÄN</t>
        </is>
      </c>
      <c r="E176" t="inlineStr">
        <is>
          <t>ÅRE</t>
        </is>
      </c>
      <c r="G176" t="n">
        <v>3.7</v>
      </c>
      <c r="H176" t="n">
        <v>0</v>
      </c>
      <c r="I176" t="n">
        <v>0</v>
      </c>
      <c r="J176" t="n">
        <v>0</v>
      </c>
      <c r="K176" t="n">
        <v>0</v>
      </c>
      <c r="L176" t="n">
        <v>0</v>
      </c>
      <c r="M176" t="n">
        <v>0</v>
      </c>
      <c r="N176" t="n">
        <v>0</v>
      </c>
      <c r="O176" t="n">
        <v>0</v>
      </c>
      <c r="P176" t="n">
        <v>0</v>
      </c>
      <c r="Q176" t="n">
        <v>0</v>
      </c>
      <c r="R176" s="2" t="inlineStr"/>
    </row>
    <row r="177" ht="15" customHeight="1">
      <c r="A177" t="inlineStr">
        <is>
          <t>A 51042-2021</t>
        </is>
      </c>
      <c r="B177" s="1" t="n">
        <v>44461</v>
      </c>
      <c r="C177" s="1" t="n">
        <v>46133</v>
      </c>
      <c r="D177" t="inlineStr">
        <is>
          <t>JÄMTLANDS LÄN</t>
        </is>
      </c>
      <c r="E177" t="inlineStr">
        <is>
          <t>ÅRE</t>
        </is>
      </c>
      <c r="G177" t="n">
        <v>0.8</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46133</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58230-2021</t>
        </is>
      </c>
      <c r="B179" s="1" t="n">
        <v>44487</v>
      </c>
      <c r="C179" s="1" t="n">
        <v>46133</v>
      </c>
      <c r="D179" t="inlineStr">
        <is>
          <t>JÄMTLANDS LÄN</t>
        </is>
      </c>
      <c r="E179" t="inlineStr">
        <is>
          <t>ÅRE</t>
        </is>
      </c>
      <c r="G179" t="n">
        <v>19.3</v>
      </c>
      <c r="H179" t="n">
        <v>0</v>
      </c>
      <c r="I179" t="n">
        <v>0</v>
      </c>
      <c r="J179" t="n">
        <v>0</v>
      </c>
      <c r="K179" t="n">
        <v>0</v>
      </c>
      <c r="L179" t="n">
        <v>0</v>
      </c>
      <c r="M179" t="n">
        <v>0</v>
      </c>
      <c r="N179" t="n">
        <v>0</v>
      </c>
      <c r="O179" t="n">
        <v>0</v>
      </c>
      <c r="P179" t="n">
        <v>0</v>
      </c>
      <c r="Q179" t="n">
        <v>0</v>
      </c>
      <c r="R179" s="2" t="inlineStr"/>
    </row>
    <row r="180" ht="15" customHeight="1">
      <c r="A180" t="inlineStr">
        <is>
          <t>A 45461-2022</t>
        </is>
      </c>
      <c r="B180" s="1" t="n">
        <v>44841</v>
      </c>
      <c r="C180" s="1" t="n">
        <v>46133</v>
      </c>
      <c r="D180" t="inlineStr">
        <is>
          <t>JÄMTLANDS LÄN</t>
        </is>
      </c>
      <c r="E180" t="inlineStr">
        <is>
          <t>ÅRE</t>
        </is>
      </c>
      <c r="G180" t="n">
        <v>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46133</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46133</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46133</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46133</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62183-2021</t>
        </is>
      </c>
      <c r="B185" s="1" t="n">
        <v>44502</v>
      </c>
      <c r="C185" s="1" t="n">
        <v>46133</v>
      </c>
      <c r="D185" t="inlineStr">
        <is>
          <t>JÄMTLANDS LÄN</t>
        </is>
      </c>
      <c r="E185" t="inlineStr">
        <is>
          <t>ÅRE</t>
        </is>
      </c>
      <c r="G185" t="n">
        <v>1.1</v>
      </c>
      <c r="H185" t="n">
        <v>0</v>
      </c>
      <c r="I185" t="n">
        <v>0</v>
      </c>
      <c r="J185" t="n">
        <v>0</v>
      </c>
      <c r="K185" t="n">
        <v>0</v>
      </c>
      <c r="L185" t="n">
        <v>0</v>
      </c>
      <c r="M185" t="n">
        <v>0</v>
      </c>
      <c r="N185" t="n">
        <v>0</v>
      </c>
      <c r="O185" t="n">
        <v>0</v>
      </c>
      <c r="P185" t="n">
        <v>0</v>
      </c>
      <c r="Q185" t="n">
        <v>0</v>
      </c>
      <c r="R185" s="2" t="inlineStr"/>
    </row>
    <row r="186" ht="15" customHeight="1">
      <c r="A186" t="inlineStr">
        <is>
          <t>A 72214-2021</t>
        </is>
      </c>
      <c r="B186" s="1" t="n">
        <v>44544.72591435185</v>
      </c>
      <c r="C186" s="1" t="n">
        <v>46133</v>
      </c>
      <c r="D186" t="inlineStr">
        <is>
          <t>JÄMTLANDS LÄN</t>
        </is>
      </c>
      <c r="E186" t="inlineStr">
        <is>
          <t>ÅRE</t>
        </is>
      </c>
      <c r="G186" t="n">
        <v>14.1</v>
      </c>
      <c r="H186" t="n">
        <v>0</v>
      </c>
      <c r="I186" t="n">
        <v>0</v>
      </c>
      <c r="J186" t="n">
        <v>0</v>
      </c>
      <c r="K186" t="n">
        <v>0</v>
      </c>
      <c r="L186" t="n">
        <v>0</v>
      </c>
      <c r="M186" t="n">
        <v>0</v>
      </c>
      <c r="N186" t="n">
        <v>0</v>
      </c>
      <c r="O186" t="n">
        <v>0</v>
      </c>
      <c r="P186" t="n">
        <v>0</v>
      </c>
      <c r="Q186" t="n">
        <v>0</v>
      </c>
      <c r="R186" s="2" t="inlineStr"/>
    </row>
    <row r="187" ht="15" customHeight="1">
      <c r="A187" t="inlineStr">
        <is>
          <t>A 72215-2021</t>
        </is>
      </c>
      <c r="B187" s="1" t="n">
        <v>44544</v>
      </c>
      <c r="C187" s="1" t="n">
        <v>46133</v>
      </c>
      <c r="D187" t="inlineStr">
        <is>
          <t>JÄMTLANDS LÄN</t>
        </is>
      </c>
      <c r="E187" t="inlineStr">
        <is>
          <t>ÅRE</t>
        </is>
      </c>
      <c r="G187" t="n">
        <v>3.9</v>
      </c>
      <c r="H187" t="n">
        <v>0</v>
      </c>
      <c r="I187" t="n">
        <v>0</v>
      </c>
      <c r="J187" t="n">
        <v>0</v>
      </c>
      <c r="K187" t="n">
        <v>0</v>
      </c>
      <c r="L187" t="n">
        <v>0</v>
      </c>
      <c r="M187" t="n">
        <v>0</v>
      </c>
      <c r="N187" t="n">
        <v>0</v>
      </c>
      <c r="O187" t="n">
        <v>0</v>
      </c>
      <c r="P187" t="n">
        <v>0</v>
      </c>
      <c r="Q187" t="n">
        <v>0</v>
      </c>
      <c r="R187" s="2" t="inlineStr"/>
    </row>
    <row r="188" ht="15" customHeight="1">
      <c r="A188" t="inlineStr">
        <is>
          <t>A 37086-2021</t>
        </is>
      </c>
      <c r="B188" s="1" t="n">
        <v>44395</v>
      </c>
      <c r="C188" s="1" t="n">
        <v>46133</v>
      </c>
      <c r="D188" t="inlineStr">
        <is>
          <t>JÄMTLANDS LÄN</t>
        </is>
      </c>
      <c r="E188" t="inlineStr">
        <is>
          <t>ÅRE</t>
        </is>
      </c>
      <c r="G188" t="n">
        <v>34.1</v>
      </c>
      <c r="H188" t="n">
        <v>0</v>
      </c>
      <c r="I188" t="n">
        <v>0</v>
      </c>
      <c r="J188" t="n">
        <v>0</v>
      </c>
      <c r="K188" t="n">
        <v>0</v>
      </c>
      <c r="L188" t="n">
        <v>0</v>
      </c>
      <c r="M188" t="n">
        <v>0</v>
      </c>
      <c r="N188" t="n">
        <v>0</v>
      </c>
      <c r="O188" t="n">
        <v>0</v>
      </c>
      <c r="P188" t="n">
        <v>0</v>
      </c>
      <c r="Q188" t="n">
        <v>0</v>
      </c>
      <c r="R188" s="2" t="inlineStr"/>
    </row>
    <row r="189" ht="15" customHeight="1">
      <c r="A189" t="inlineStr">
        <is>
          <t>A 43583-2022</t>
        </is>
      </c>
      <c r="B189" s="1" t="n">
        <v>44834</v>
      </c>
      <c r="C189" s="1" t="n">
        <v>46133</v>
      </c>
      <c r="D189" t="inlineStr">
        <is>
          <t>JÄMTLANDS LÄN</t>
        </is>
      </c>
      <c r="E189" t="inlineStr">
        <is>
          <t>ÅRE</t>
        </is>
      </c>
      <c r="G189" t="n">
        <v>6.7</v>
      </c>
      <c r="H189" t="n">
        <v>0</v>
      </c>
      <c r="I189" t="n">
        <v>0</v>
      </c>
      <c r="J189" t="n">
        <v>0</v>
      </c>
      <c r="K189" t="n">
        <v>0</v>
      </c>
      <c r="L189" t="n">
        <v>0</v>
      </c>
      <c r="M189" t="n">
        <v>0</v>
      </c>
      <c r="N189" t="n">
        <v>0</v>
      </c>
      <c r="O189" t="n">
        <v>0</v>
      </c>
      <c r="P189" t="n">
        <v>0</v>
      </c>
      <c r="Q189" t="n">
        <v>0</v>
      </c>
      <c r="R189" s="2" t="inlineStr"/>
    </row>
    <row r="190" ht="15" customHeight="1">
      <c r="A190" t="inlineStr">
        <is>
          <t>A 73629-2021</t>
        </is>
      </c>
      <c r="B190" s="1" t="n">
        <v>44552</v>
      </c>
      <c r="C190" s="1" t="n">
        <v>46133</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28881-2021</t>
        </is>
      </c>
      <c r="B191" s="1" t="n">
        <v>44357</v>
      </c>
      <c r="C191" s="1" t="n">
        <v>46133</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46133</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46133</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46133</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46133</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46133</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20816-2022</t>
        </is>
      </c>
      <c r="B197" s="1" t="n">
        <v>44700</v>
      </c>
      <c r="C197" s="1" t="n">
        <v>46133</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62352-2021</t>
        </is>
      </c>
      <c r="B198" s="1" t="n">
        <v>44502</v>
      </c>
      <c r="C198" s="1" t="n">
        <v>46133</v>
      </c>
      <c r="D198" t="inlineStr">
        <is>
          <t>JÄMTLANDS LÄN</t>
        </is>
      </c>
      <c r="E198" t="inlineStr">
        <is>
          <t>ÅRE</t>
        </is>
      </c>
      <c r="F198" t="inlineStr">
        <is>
          <t>Övriga statliga verk och myndigheter</t>
        </is>
      </c>
      <c r="G198" t="n">
        <v>64.90000000000001</v>
      </c>
      <c r="H198" t="n">
        <v>0</v>
      </c>
      <c r="I198" t="n">
        <v>0</v>
      </c>
      <c r="J198" t="n">
        <v>0</v>
      </c>
      <c r="K198" t="n">
        <v>0</v>
      </c>
      <c r="L198" t="n">
        <v>0</v>
      </c>
      <c r="M198" t="n">
        <v>0</v>
      </c>
      <c r="N198" t="n">
        <v>0</v>
      </c>
      <c r="O198" t="n">
        <v>0</v>
      </c>
      <c r="P198" t="n">
        <v>0</v>
      </c>
      <c r="Q198" t="n">
        <v>0</v>
      </c>
      <c r="R198" s="2" t="inlineStr"/>
    </row>
    <row r="199" ht="15" customHeight="1">
      <c r="A199" t="inlineStr">
        <is>
          <t>A 33023-2022</t>
        </is>
      </c>
      <c r="B199" s="1" t="n">
        <v>44784</v>
      </c>
      <c r="C199" s="1" t="n">
        <v>46133</v>
      </c>
      <c r="D199" t="inlineStr">
        <is>
          <t>JÄMTLANDS LÄN</t>
        </is>
      </c>
      <c r="E199" t="inlineStr">
        <is>
          <t>ÅRE</t>
        </is>
      </c>
      <c r="G199" t="n">
        <v>2.5</v>
      </c>
      <c r="H199" t="n">
        <v>0</v>
      </c>
      <c r="I199" t="n">
        <v>0</v>
      </c>
      <c r="J199" t="n">
        <v>0</v>
      </c>
      <c r="K199" t="n">
        <v>0</v>
      </c>
      <c r="L199" t="n">
        <v>0</v>
      </c>
      <c r="M199" t="n">
        <v>0</v>
      </c>
      <c r="N199" t="n">
        <v>0</v>
      </c>
      <c r="O199" t="n">
        <v>0</v>
      </c>
      <c r="P199" t="n">
        <v>0</v>
      </c>
      <c r="Q199" t="n">
        <v>0</v>
      </c>
      <c r="R199" s="2" t="inlineStr"/>
    </row>
    <row r="200" ht="15" customHeight="1">
      <c r="A200" t="inlineStr">
        <is>
          <t>A 71005-2021</t>
        </is>
      </c>
      <c r="B200" s="1" t="n">
        <v>44538.62987268518</v>
      </c>
      <c r="C200" s="1" t="n">
        <v>46133</v>
      </c>
      <c r="D200" t="inlineStr">
        <is>
          <t>JÄMTLANDS LÄN</t>
        </is>
      </c>
      <c r="E200" t="inlineStr">
        <is>
          <t>ÅRE</t>
        </is>
      </c>
      <c r="G200" t="n">
        <v>1.2</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44739.4490162037</v>
      </c>
      <c r="C201" s="1" t="n">
        <v>46133</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70522-2021</t>
        </is>
      </c>
      <c r="B202" s="1" t="n">
        <v>44536.94172453704</v>
      </c>
      <c r="C202" s="1" t="n">
        <v>46133</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70523-2021</t>
        </is>
      </c>
      <c r="B203" s="1" t="n">
        <v>44536.94177083333</v>
      </c>
      <c r="C203" s="1" t="n">
        <v>46133</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24585-2021</t>
        </is>
      </c>
      <c r="B204" s="1" t="n">
        <v>44337</v>
      </c>
      <c r="C204" s="1" t="n">
        <v>46133</v>
      </c>
      <c r="D204" t="inlineStr">
        <is>
          <t>JÄMTLANDS LÄN</t>
        </is>
      </c>
      <c r="E204" t="inlineStr">
        <is>
          <t>ÅRE</t>
        </is>
      </c>
      <c r="G204" t="n">
        <v>1.9</v>
      </c>
      <c r="H204" t="n">
        <v>0</v>
      </c>
      <c r="I204" t="n">
        <v>0</v>
      </c>
      <c r="J204" t="n">
        <v>0</v>
      </c>
      <c r="K204" t="n">
        <v>0</v>
      </c>
      <c r="L204" t="n">
        <v>0</v>
      </c>
      <c r="M204" t="n">
        <v>0</v>
      </c>
      <c r="N204" t="n">
        <v>0</v>
      </c>
      <c r="O204" t="n">
        <v>0</v>
      </c>
      <c r="P204" t="n">
        <v>0</v>
      </c>
      <c r="Q204" t="n">
        <v>0</v>
      </c>
      <c r="R204" s="2" t="inlineStr"/>
    </row>
    <row r="205" ht="15" customHeight="1">
      <c r="A205" t="inlineStr">
        <is>
          <t>A 25122-2022</t>
        </is>
      </c>
      <c r="B205" s="1" t="n">
        <v>44729</v>
      </c>
      <c r="C205" s="1" t="n">
        <v>46133</v>
      </c>
      <c r="D205" t="inlineStr">
        <is>
          <t>JÄMTLANDS LÄN</t>
        </is>
      </c>
      <c r="E205" t="inlineStr">
        <is>
          <t>ÅRE</t>
        </is>
      </c>
      <c r="G205" t="n">
        <v>0.3</v>
      </c>
      <c r="H205" t="n">
        <v>0</v>
      </c>
      <c r="I205" t="n">
        <v>0</v>
      </c>
      <c r="J205" t="n">
        <v>0</v>
      </c>
      <c r="K205" t="n">
        <v>0</v>
      </c>
      <c r="L205" t="n">
        <v>0</v>
      </c>
      <c r="M205" t="n">
        <v>0</v>
      </c>
      <c r="N205" t="n">
        <v>0</v>
      </c>
      <c r="O205" t="n">
        <v>0</v>
      </c>
      <c r="P205" t="n">
        <v>0</v>
      </c>
      <c r="Q205" t="n">
        <v>0</v>
      </c>
      <c r="R205" s="2" t="inlineStr"/>
    </row>
    <row r="206" ht="15" customHeight="1">
      <c r="A206" t="inlineStr">
        <is>
          <t>A 23117-2022</t>
        </is>
      </c>
      <c r="B206" s="1" t="n">
        <v>44719.56572916666</v>
      </c>
      <c r="C206" s="1" t="n">
        <v>46133</v>
      </c>
      <c r="D206" t="inlineStr">
        <is>
          <t>JÄMTLANDS LÄN</t>
        </is>
      </c>
      <c r="E206" t="inlineStr">
        <is>
          <t>ÅRE</t>
        </is>
      </c>
      <c r="G206" t="n">
        <v>3.5</v>
      </c>
      <c r="H206" t="n">
        <v>0</v>
      </c>
      <c r="I206" t="n">
        <v>0</v>
      </c>
      <c r="J206" t="n">
        <v>0</v>
      </c>
      <c r="K206" t="n">
        <v>0</v>
      </c>
      <c r="L206" t="n">
        <v>0</v>
      </c>
      <c r="M206" t="n">
        <v>0</v>
      </c>
      <c r="N206" t="n">
        <v>0</v>
      </c>
      <c r="O206" t="n">
        <v>0</v>
      </c>
      <c r="P206" t="n">
        <v>0</v>
      </c>
      <c r="Q206" t="n">
        <v>0</v>
      </c>
      <c r="R206" s="2" t="inlineStr"/>
    </row>
    <row r="207" ht="15" customHeight="1">
      <c r="A207" t="inlineStr">
        <is>
          <t>A 61340-2022</t>
        </is>
      </c>
      <c r="B207" s="1" t="n">
        <v>44909</v>
      </c>
      <c r="C207" s="1" t="n">
        <v>46133</v>
      </c>
      <c r="D207" t="inlineStr">
        <is>
          <t>JÄMTLANDS LÄN</t>
        </is>
      </c>
      <c r="E207" t="inlineStr">
        <is>
          <t>ÅRE</t>
        </is>
      </c>
      <c r="G207" t="n">
        <v>4.4</v>
      </c>
      <c r="H207" t="n">
        <v>0</v>
      </c>
      <c r="I207" t="n">
        <v>0</v>
      </c>
      <c r="J207" t="n">
        <v>0</v>
      </c>
      <c r="K207" t="n">
        <v>0</v>
      </c>
      <c r="L207" t="n">
        <v>0</v>
      </c>
      <c r="M207" t="n">
        <v>0</v>
      </c>
      <c r="N207" t="n">
        <v>0</v>
      </c>
      <c r="O207" t="n">
        <v>0</v>
      </c>
      <c r="P207" t="n">
        <v>0</v>
      </c>
      <c r="Q207" t="n">
        <v>0</v>
      </c>
      <c r="R207" s="2" t="inlineStr"/>
    </row>
    <row r="208" ht="15" customHeight="1">
      <c r="A208" t="inlineStr">
        <is>
          <t>A 2376-2023</t>
        </is>
      </c>
      <c r="B208" s="1" t="n">
        <v>44942</v>
      </c>
      <c r="C208" s="1" t="n">
        <v>46133</v>
      </c>
      <c r="D208" t="inlineStr">
        <is>
          <t>JÄMTLANDS LÄN</t>
        </is>
      </c>
      <c r="E208" t="inlineStr">
        <is>
          <t>ÅRE</t>
        </is>
      </c>
      <c r="G208" t="n">
        <v>0.1</v>
      </c>
      <c r="H208" t="n">
        <v>0</v>
      </c>
      <c r="I208" t="n">
        <v>0</v>
      </c>
      <c r="J208" t="n">
        <v>0</v>
      </c>
      <c r="K208" t="n">
        <v>0</v>
      </c>
      <c r="L208" t="n">
        <v>0</v>
      </c>
      <c r="M208" t="n">
        <v>0</v>
      </c>
      <c r="N208" t="n">
        <v>0</v>
      </c>
      <c r="O208" t="n">
        <v>0</v>
      </c>
      <c r="P208" t="n">
        <v>0</v>
      </c>
      <c r="Q208" t="n">
        <v>0</v>
      </c>
      <c r="R208" s="2" t="inlineStr"/>
    </row>
    <row r="209" ht="15" customHeight="1">
      <c r="A209" t="inlineStr">
        <is>
          <t>A 33230-2024</t>
        </is>
      </c>
      <c r="B209" s="1" t="n">
        <v>45518.57418981481</v>
      </c>
      <c r="C209" s="1" t="n">
        <v>46133</v>
      </c>
      <c r="D209" t="inlineStr">
        <is>
          <t>JÄMTLANDS LÄN</t>
        </is>
      </c>
      <c r="E209" t="inlineStr">
        <is>
          <t>ÅRE</t>
        </is>
      </c>
      <c r="G209" t="n">
        <v>2.4</v>
      </c>
      <c r="H209" t="n">
        <v>0</v>
      </c>
      <c r="I209" t="n">
        <v>0</v>
      </c>
      <c r="J209" t="n">
        <v>0</v>
      </c>
      <c r="K209" t="n">
        <v>0</v>
      </c>
      <c r="L209" t="n">
        <v>0</v>
      </c>
      <c r="M209" t="n">
        <v>0</v>
      </c>
      <c r="N209" t="n">
        <v>0</v>
      </c>
      <c r="O209" t="n">
        <v>0</v>
      </c>
      <c r="P209" t="n">
        <v>0</v>
      </c>
      <c r="Q209" t="n">
        <v>0</v>
      </c>
      <c r="R209" s="2" t="inlineStr"/>
    </row>
    <row r="210" ht="15" customHeight="1">
      <c r="A210" t="inlineStr">
        <is>
          <t>A 18253-2023</t>
        </is>
      </c>
      <c r="B210" s="1" t="n">
        <v>45041.48034722222</v>
      </c>
      <c r="C210" s="1" t="n">
        <v>46133</v>
      </c>
      <c r="D210" t="inlineStr">
        <is>
          <t>JÄMTLANDS LÄN</t>
        </is>
      </c>
      <c r="E210" t="inlineStr">
        <is>
          <t>ÅRE</t>
        </is>
      </c>
      <c r="G210" t="n">
        <v>1.3</v>
      </c>
      <c r="H210" t="n">
        <v>0</v>
      </c>
      <c r="I210" t="n">
        <v>0</v>
      </c>
      <c r="J210" t="n">
        <v>0</v>
      </c>
      <c r="K210" t="n">
        <v>0</v>
      </c>
      <c r="L210" t="n">
        <v>0</v>
      </c>
      <c r="M210" t="n">
        <v>0</v>
      </c>
      <c r="N210" t="n">
        <v>0</v>
      </c>
      <c r="O210" t="n">
        <v>0</v>
      </c>
      <c r="P210" t="n">
        <v>0</v>
      </c>
      <c r="Q210" t="n">
        <v>0</v>
      </c>
      <c r="R210" s="2" t="inlineStr"/>
    </row>
    <row r="211" ht="15" customHeight="1">
      <c r="A211" t="inlineStr">
        <is>
          <t>A 41653-2024</t>
        </is>
      </c>
      <c r="B211" s="1" t="n">
        <v>45560.64059027778</v>
      </c>
      <c r="C211" s="1" t="n">
        <v>46133</v>
      </c>
      <c r="D211" t="inlineStr">
        <is>
          <t>JÄMTLANDS LÄN</t>
        </is>
      </c>
      <c r="E211" t="inlineStr">
        <is>
          <t>ÅRE</t>
        </is>
      </c>
      <c r="G211" t="n">
        <v>0.5</v>
      </c>
      <c r="H211" t="n">
        <v>0</v>
      </c>
      <c r="I211" t="n">
        <v>0</v>
      </c>
      <c r="J211" t="n">
        <v>0</v>
      </c>
      <c r="K211" t="n">
        <v>0</v>
      </c>
      <c r="L211" t="n">
        <v>0</v>
      </c>
      <c r="M211" t="n">
        <v>0</v>
      </c>
      <c r="N211" t="n">
        <v>0</v>
      </c>
      <c r="O211" t="n">
        <v>0</v>
      </c>
      <c r="P211" t="n">
        <v>0</v>
      </c>
      <c r="Q211" t="n">
        <v>0</v>
      </c>
      <c r="R211" s="2" t="inlineStr"/>
    </row>
    <row r="212" ht="15" customHeight="1">
      <c r="A212" t="inlineStr">
        <is>
          <t>A 40341-2021</t>
        </is>
      </c>
      <c r="B212" s="1" t="n">
        <v>44419</v>
      </c>
      <c r="C212" s="1" t="n">
        <v>46133</v>
      </c>
      <c r="D212" t="inlineStr">
        <is>
          <t>JÄMTLANDS LÄN</t>
        </is>
      </c>
      <c r="E212" t="inlineStr">
        <is>
          <t>ÅRE</t>
        </is>
      </c>
      <c r="G212" t="n">
        <v>3</v>
      </c>
      <c r="H212" t="n">
        <v>0</v>
      </c>
      <c r="I212" t="n">
        <v>0</v>
      </c>
      <c r="J212" t="n">
        <v>0</v>
      </c>
      <c r="K212" t="n">
        <v>0</v>
      </c>
      <c r="L212" t="n">
        <v>0</v>
      </c>
      <c r="M212" t="n">
        <v>0</v>
      </c>
      <c r="N212" t="n">
        <v>0</v>
      </c>
      <c r="O212" t="n">
        <v>0</v>
      </c>
      <c r="P212" t="n">
        <v>0</v>
      </c>
      <c r="Q212" t="n">
        <v>0</v>
      </c>
      <c r="R212" s="2" t="inlineStr"/>
    </row>
    <row r="213" ht="15" customHeight="1">
      <c r="A213" t="inlineStr">
        <is>
          <t>A 73086-2021</t>
        </is>
      </c>
      <c r="B213" s="1" t="n">
        <v>44550</v>
      </c>
      <c r="C213" s="1" t="n">
        <v>46133</v>
      </c>
      <c r="D213" t="inlineStr">
        <is>
          <t>JÄMTLANDS LÄN</t>
        </is>
      </c>
      <c r="E213" t="inlineStr">
        <is>
          <t>ÅRE</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69568-2021</t>
        </is>
      </c>
      <c r="B214" s="1" t="n">
        <v>44531</v>
      </c>
      <c r="C214" s="1" t="n">
        <v>46133</v>
      </c>
      <c r="D214" t="inlineStr">
        <is>
          <t>JÄMTLANDS LÄN</t>
        </is>
      </c>
      <c r="E214" t="inlineStr">
        <is>
          <t>ÅRE</t>
        </is>
      </c>
      <c r="G214" t="n">
        <v>2.9</v>
      </c>
      <c r="H214" t="n">
        <v>0</v>
      </c>
      <c r="I214" t="n">
        <v>0</v>
      </c>
      <c r="J214" t="n">
        <v>0</v>
      </c>
      <c r="K214" t="n">
        <v>0</v>
      </c>
      <c r="L214" t="n">
        <v>0</v>
      </c>
      <c r="M214" t="n">
        <v>0</v>
      </c>
      <c r="N214" t="n">
        <v>0</v>
      </c>
      <c r="O214" t="n">
        <v>0</v>
      </c>
      <c r="P214" t="n">
        <v>0</v>
      </c>
      <c r="Q214" t="n">
        <v>0</v>
      </c>
      <c r="R214" s="2" t="inlineStr"/>
    </row>
    <row r="215" ht="15" customHeight="1">
      <c r="A215" t="inlineStr">
        <is>
          <t>A 9775-2023</t>
        </is>
      </c>
      <c r="B215" s="1" t="n">
        <v>44984.60255787037</v>
      </c>
      <c r="C215" s="1" t="n">
        <v>46133</v>
      </c>
      <c r="D215" t="inlineStr">
        <is>
          <t>JÄMTLANDS LÄN</t>
        </is>
      </c>
      <c r="E215" t="inlineStr">
        <is>
          <t>ÅRE</t>
        </is>
      </c>
      <c r="G215" t="n">
        <v>2.4</v>
      </c>
      <c r="H215" t="n">
        <v>0</v>
      </c>
      <c r="I215" t="n">
        <v>0</v>
      </c>
      <c r="J215" t="n">
        <v>0</v>
      </c>
      <c r="K215" t="n">
        <v>0</v>
      </c>
      <c r="L215" t="n">
        <v>0</v>
      </c>
      <c r="M215" t="n">
        <v>0</v>
      </c>
      <c r="N215" t="n">
        <v>0</v>
      </c>
      <c r="O215" t="n">
        <v>0</v>
      </c>
      <c r="P215" t="n">
        <v>0</v>
      </c>
      <c r="Q215" t="n">
        <v>0</v>
      </c>
      <c r="R215" s="2" t="inlineStr"/>
    </row>
    <row r="216" ht="15" customHeight="1">
      <c r="A216" t="inlineStr">
        <is>
          <t>A 19705-2023</t>
        </is>
      </c>
      <c r="B216" s="1" t="n">
        <v>45051</v>
      </c>
      <c r="C216" s="1" t="n">
        <v>46133</v>
      </c>
      <c r="D216" t="inlineStr">
        <is>
          <t>JÄMTLANDS LÄN</t>
        </is>
      </c>
      <c r="E216" t="inlineStr">
        <is>
          <t>ÅRE</t>
        </is>
      </c>
      <c r="G216" t="n">
        <v>4.7</v>
      </c>
      <c r="H216" t="n">
        <v>0</v>
      </c>
      <c r="I216" t="n">
        <v>0</v>
      </c>
      <c r="J216" t="n">
        <v>0</v>
      </c>
      <c r="K216" t="n">
        <v>0</v>
      </c>
      <c r="L216" t="n">
        <v>0</v>
      </c>
      <c r="M216" t="n">
        <v>0</v>
      </c>
      <c r="N216" t="n">
        <v>0</v>
      </c>
      <c r="O216" t="n">
        <v>0</v>
      </c>
      <c r="P216" t="n">
        <v>0</v>
      </c>
      <c r="Q216" t="n">
        <v>0</v>
      </c>
      <c r="R216" s="2" t="inlineStr"/>
    </row>
    <row r="217" ht="15" customHeight="1">
      <c r="A217" t="inlineStr">
        <is>
          <t>A 23118-2022</t>
        </is>
      </c>
      <c r="B217" s="1" t="n">
        <v>44719.5662037037</v>
      </c>
      <c r="C217" s="1" t="n">
        <v>46133</v>
      </c>
      <c r="D217" t="inlineStr">
        <is>
          <t>JÄMTLANDS LÄN</t>
        </is>
      </c>
      <c r="E217" t="inlineStr">
        <is>
          <t>ÅRE</t>
        </is>
      </c>
      <c r="G217" t="n">
        <v>3.5</v>
      </c>
      <c r="H217" t="n">
        <v>0</v>
      </c>
      <c r="I217" t="n">
        <v>0</v>
      </c>
      <c r="J217" t="n">
        <v>0</v>
      </c>
      <c r="K217" t="n">
        <v>0</v>
      </c>
      <c r="L217" t="n">
        <v>0</v>
      </c>
      <c r="M217" t="n">
        <v>0</v>
      </c>
      <c r="N217" t="n">
        <v>0</v>
      </c>
      <c r="O217" t="n">
        <v>0</v>
      </c>
      <c r="P217" t="n">
        <v>0</v>
      </c>
      <c r="Q217" t="n">
        <v>0</v>
      </c>
      <c r="R217" s="2" t="inlineStr"/>
    </row>
    <row r="218" ht="15" customHeight="1">
      <c r="A218" t="inlineStr">
        <is>
          <t>A 69170-2021</t>
        </is>
      </c>
      <c r="B218" s="1" t="n">
        <v>44529</v>
      </c>
      <c r="C218" s="1" t="n">
        <v>46133</v>
      </c>
      <c r="D218" t="inlineStr">
        <is>
          <t>JÄMTLANDS LÄN</t>
        </is>
      </c>
      <c r="E218" t="inlineStr">
        <is>
          <t>ÅRE</t>
        </is>
      </c>
      <c r="G218" t="n">
        <v>114.4</v>
      </c>
      <c r="H218" t="n">
        <v>0</v>
      </c>
      <c r="I218" t="n">
        <v>0</v>
      </c>
      <c r="J218" t="n">
        <v>0</v>
      </c>
      <c r="K218" t="n">
        <v>0</v>
      </c>
      <c r="L218" t="n">
        <v>0</v>
      </c>
      <c r="M218" t="n">
        <v>0</v>
      </c>
      <c r="N218" t="n">
        <v>0</v>
      </c>
      <c r="O218" t="n">
        <v>0</v>
      </c>
      <c r="P218" t="n">
        <v>0</v>
      </c>
      <c r="Q218" t="n">
        <v>0</v>
      </c>
      <c r="R218" s="2" t="inlineStr"/>
    </row>
    <row r="219" ht="15" customHeight="1">
      <c r="A219" t="inlineStr">
        <is>
          <t>A 1491-2024</t>
        </is>
      </c>
      <c r="B219" s="1" t="n">
        <v>45305</v>
      </c>
      <c r="C219" s="1" t="n">
        <v>46133</v>
      </c>
      <c r="D219" t="inlineStr">
        <is>
          <t>JÄMTLANDS LÄN</t>
        </is>
      </c>
      <c r="E219" t="inlineStr">
        <is>
          <t>ÅRE</t>
        </is>
      </c>
      <c r="G219" t="n">
        <v>31.4</v>
      </c>
      <c r="H219" t="n">
        <v>0</v>
      </c>
      <c r="I219" t="n">
        <v>0</v>
      </c>
      <c r="J219" t="n">
        <v>0</v>
      </c>
      <c r="K219" t="n">
        <v>0</v>
      </c>
      <c r="L219" t="n">
        <v>0</v>
      </c>
      <c r="M219" t="n">
        <v>0</v>
      </c>
      <c r="N219" t="n">
        <v>0</v>
      </c>
      <c r="O219" t="n">
        <v>0</v>
      </c>
      <c r="P219" t="n">
        <v>0</v>
      </c>
      <c r="Q219" t="n">
        <v>0</v>
      </c>
      <c r="R219" s="2" t="inlineStr"/>
    </row>
    <row r="220" ht="15" customHeight="1">
      <c r="A220" t="inlineStr">
        <is>
          <t>A 65239-2021</t>
        </is>
      </c>
      <c r="B220" s="1" t="n">
        <v>44515</v>
      </c>
      <c r="C220" s="1" t="n">
        <v>46133</v>
      </c>
      <c r="D220" t="inlineStr">
        <is>
          <t>JÄMTLANDS LÄN</t>
        </is>
      </c>
      <c r="E220" t="inlineStr">
        <is>
          <t>ÅRE</t>
        </is>
      </c>
      <c r="G220" t="n">
        <v>0</v>
      </c>
      <c r="H220" t="n">
        <v>0</v>
      </c>
      <c r="I220" t="n">
        <v>0</v>
      </c>
      <c r="J220" t="n">
        <v>0</v>
      </c>
      <c r="K220" t="n">
        <v>0</v>
      </c>
      <c r="L220" t="n">
        <v>0</v>
      </c>
      <c r="M220" t="n">
        <v>0</v>
      </c>
      <c r="N220" t="n">
        <v>0</v>
      </c>
      <c r="O220" t="n">
        <v>0</v>
      </c>
      <c r="P220" t="n">
        <v>0</v>
      </c>
      <c r="Q220" t="n">
        <v>0</v>
      </c>
      <c r="R220" s="2" t="inlineStr"/>
    </row>
    <row r="221" ht="15" customHeight="1">
      <c r="A221" t="inlineStr">
        <is>
          <t>A 55056-2024</t>
        </is>
      </c>
      <c r="B221" s="1" t="n">
        <v>45621.40034722222</v>
      </c>
      <c r="C221" s="1" t="n">
        <v>46133</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45453-2024</t>
        </is>
      </c>
      <c r="B222" s="1" t="n">
        <v>45576.66674768519</v>
      </c>
      <c r="C222" s="1" t="n">
        <v>46133</v>
      </c>
      <c r="D222" t="inlineStr">
        <is>
          <t>JÄMTLANDS LÄN</t>
        </is>
      </c>
      <c r="E222" t="inlineStr">
        <is>
          <t>ÅRE</t>
        </is>
      </c>
      <c r="G222" t="n">
        <v>0.6</v>
      </c>
      <c r="H222" t="n">
        <v>0</v>
      </c>
      <c r="I222" t="n">
        <v>0</v>
      </c>
      <c r="J222" t="n">
        <v>0</v>
      </c>
      <c r="K222" t="n">
        <v>0</v>
      </c>
      <c r="L222" t="n">
        <v>0</v>
      </c>
      <c r="M222" t="n">
        <v>0</v>
      </c>
      <c r="N222" t="n">
        <v>0</v>
      </c>
      <c r="O222" t="n">
        <v>0</v>
      </c>
      <c r="P222" t="n">
        <v>0</v>
      </c>
      <c r="Q222" t="n">
        <v>0</v>
      </c>
      <c r="R222" s="2" t="inlineStr"/>
    </row>
    <row r="223" ht="15" customHeight="1">
      <c r="A223" t="inlineStr">
        <is>
          <t>A 60935-2022</t>
        </is>
      </c>
      <c r="B223" s="1" t="n">
        <v>44908</v>
      </c>
      <c r="C223" s="1" t="n">
        <v>46133</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53014-2023</t>
        </is>
      </c>
      <c r="B224" s="1" t="n">
        <v>45226</v>
      </c>
      <c r="C224" s="1" t="n">
        <v>46133</v>
      </c>
      <c r="D224" t="inlineStr">
        <is>
          <t>JÄMTLANDS LÄN</t>
        </is>
      </c>
      <c r="E224" t="inlineStr">
        <is>
          <t>ÅRE</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56842-2022</t>
        </is>
      </c>
      <c r="B225" s="1" t="n">
        <v>44894.47856481482</v>
      </c>
      <c r="C225" s="1" t="n">
        <v>46133</v>
      </c>
      <c r="D225" t="inlineStr">
        <is>
          <t>JÄMTLANDS LÄN</t>
        </is>
      </c>
      <c r="E225" t="inlineStr">
        <is>
          <t>ÅRE</t>
        </is>
      </c>
      <c r="F225" t="inlineStr">
        <is>
          <t>Övriga Aktiebolag</t>
        </is>
      </c>
      <c r="G225" t="n">
        <v>7.9</v>
      </c>
      <c r="H225" t="n">
        <v>0</v>
      </c>
      <c r="I225" t="n">
        <v>0</v>
      </c>
      <c r="J225" t="n">
        <v>0</v>
      </c>
      <c r="K225" t="n">
        <v>0</v>
      </c>
      <c r="L225" t="n">
        <v>0</v>
      </c>
      <c r="M225" t="n">
        <v>0</v>
      </c>
      <c r="N225" t="n">
        <v>0</v>
      </c>
      <c r="O225" t="n">
        <v>0</v>
      </c>
      <c r="P225" t="n">
        <v>0</v>
      </c>
      <c r="Q225" t="n">
        <v>0</v>
      </c>
      <c r="R225" s="2" t="inlineStr"/>
    </row>
    <row r="226" ht="15" customHeight="1">
      <c r="A226" t="inlineStr">
        <is>
          <t>A 44889-2023</t>
        </is>
      </c>
      <c r="B226" s="1" t="n">
        <v>45190</v>
      </c>
      <c r="C226" s="1" t="n">
        <v>46133</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57710-2021</t>
        </is>
      </c>
      <c r="B227" s="1" t="n">
        <v>44484</v>
      </c>
      <c r="C227" s="1" t="n">
        <v>46133</v>
      </c>
      <c r="D227" t="inlineStr">
        <is>
          <t>JÄMTLANDS LÄN</t>
        </is>
      </c>
      <c r="E227" t="inlineStr">
        <is>
          <t>ÅRE</t>
        </is>
      </c>
      <c r="G227" t="n">
        <v>12</v>
      </c>
      <c r="H227" t="n">
        <v>0</v>
      </c>
      <c r="I227" t="n">
        <v>0</v>
      </c>
      <c r="J227" t="n">
        <v>0</v>
      </c>
      <c r="K227" t="n">
        <v>0</v>
      </c>
      <c r="L227" t="n">
        <v>0</v>
      </c>
      <c r="M227" t="n">
        <v>0</v>
      </c>
      <c r="N227" t="n">
        <v>0</v>
      </c>
      <c r="O227" t="n">
        <v>0</v>
      </c>
      <c r="P227" t="n">
        <v>0</v>
      </c>
      <c r="Q227" t="n">
        <v>0</v>
      </c>
      <c r="R227" s="2" t="inlineStr"/>
    </row>
    <row r="228" ht="15" customHeight="1">
      <c r="A228" t="inlineStr">
        <is>
          <t>A 48599-2023</t>
        </is>
      </c>
      <c r="B228" s="1" t="n">
        <v>45208</v>
      </c>
      <c r="C228" s="1" t="n">
        <v>46133</v>
      </c>
      <c r="D228" t="inlineStr">
        <is>
          <t>JÄMTLANDS LÄN</t>
        </is>
      </c>
      <c r="E228" t="inlineStr">
        <is>
          <t>ÅRE</t>
        </is>
      </c>
      <c r="G228" t="n">
        <v>1.1</v>
      </c>
      <c r="H228" t="n">
        <v>0</v>
      </c>
      <c r="I228" t="n">
        <v>0</v>
      </c>
      <c r="J228" t="n">
        <v>0</v>
      </c>
      <c r="K228" t="n">
        <v>0</v>
      </c>
      <c r="L228" t="n">
        <v>0</v>
      </c>
      <c r="M228" t="n">
        <v>0</v>
      </c>
      <c r="N228" t="n">
        <v>0</v>
      </c>
      <c r="O228" t="n">
        <v>0</v>
      </c>
      <c r="P228" t="n">
        <v>0</v>
      </c>
      <c r="Q228" t="n">
        <v>0</v>
      </c>
      <c r="R228" s="2" t="inlineStr"/>
    </row>
    <row r="229" ht="15" customHeight="1">
      <c r="A229" t="inlineStr">
        <is>
          <t>A 12193-2023</t>
        </is>
      </c>
      <c r="B229" s="1" t="n">
        <v>44998</v>
      </c>
      <c r="C229" s="1" t="n">
        <v>46133</v>
      </c>
      <c r="D229" t="inlineStr">
        <is>
          <t>JÄMTLANDS LÄN</t>
        </is>
      </c>
      <c r="E229" t="inlineStr">
        <is>
          <t>ÅRE</t>
        </is>
      </c>
      <c r="G229" t="n">
        <v>14.7</v>
      </c>
      <c r="H229" t="n">
        <v>0</v>
      </c>
      <c r="I229" t="n">
        <v>0</v>
      </c>
      <c r="J229" t="n">
        <v>0</v>
      </c>
      <c r="K229" t="n">
        <v>0</v>
      </c>
      <c r="L229" t="n">
        <v>0</v>
      </c>
      <c r="M229" t="n">
        <v>0</v>
      </c>
      <c r="N229" t="n">
        <v>0</v>
      </c>
      <c r="O229" t="n">
        <v>0</v>
      </c>
      <c r="P229" t="n">
        <v>0</v>
      </c>
      <c r="Q229" t="n">
        <v>0</v>
      </c>
      <c r="R229" s="2" t="inlineStr"/>
    </row>
    <row r="230" ht="15" customHeight="1">
      <c r="A230" t="inlineStr">
        <is>
          <t>A 31388-2021</t>
        </is>
      </c>
      <c r="B230" s="1" t="n">
        <v>44369</v>
      </c>
      <c r="C230" s="1" t="n">
        <v>46133</v>
      </c>
      <c r="D230" t="inlineStr">
        <is>
          <t>JÄMTLANDS LÄN</t>
        </is>
      </c>
      <c r="E230" t="inlineStr">
        <is>
          <t>ÅRE</t>
        </is>
      </c>
      <c r="G230" t="n">
        <v>2</v>
      </c>
      <c r="H230" t="n">
        <v>0</v>
      </c>
      <c r="I230" t="n">
        <v>0</v>
      </c>
      <c r="J230" t="n">
        <v>0</v>
      </c>
      <c r="K230" t="n">
        <v>0</v>
      </c>
      <c r="L230" t="n">
        <v>0</v>
      </c>
      <c r="M230" t="n">
        <v>0</v>
      </c>
      <c r="N230" t="n">
        <v>0</v>
      </c>
      <c r="O230" t="n">
        <v>0</v>
      </c>
      <c r="P230" t="n">
        <v>0</v>
      </c>
      <c r="Q230" t="n">
        <v>0</v>
      </c>
      <c r="R230" s="2" t="inlineStr"/>
    </row>
    <row r="231" ht="15" customHeight="1">
      <c r="A231" t="inlineStr">
        <is>
          <t>A 57770-2023</t>
        </is>
      </c>
      <c r="B231" s="1" t="n">
        <v>45246.92542824074</v>
      </c>
      <c r="C231" s="1" t="n">
        <v>46133</v>
      </c>
      <c r="D231" t="inlineStr">
        <is>
          <t>JÄMTLANDS LÄN</t>
        </is>
      </c>
      <c r="E231" t="inlineStr">
        <is>
          <t>ÅRE</t>
        </is>
      </c>
      <c r="G231" t="n">
        <v>0.9</v>
      </c>
      <c r="H231" t="n">
        <v>0</v>
      </c>
      <c r="I231" t="n">
        <v>0</v>
      </c>
      <c r="J231" t="n">
        <v>0</v>
      </c>
      <c r="K231" t="n">
        <v>0</v>
      </c>
      <c r="L231" t="n">
        <v>0</v>
      </c>
      <c r="M231" t="n">
        <v>0</v>
      </c>
      <c r="N231" t="n">
        <v>0</v>
      </c>
      <c r="O231" t="n">
        <v>0</v>
      </c>
      <c r="P231" t="n">
        <v>0</v>
      </c>
      <c r="Q231" t="n">
        <v>0</v>
      </c>
      <c r="R231" s="2" t="inlineStr"/>
    </row>
    <row r="232" ht="15" customHeight="1">
      <c r="A232" t="inlineStr">
        <is>
          <t>A 61024-2025</t>
        </is>
      </c>
      <c r="B232" s="1" t="n">
        <v>45999.87188657407</v>
      </c>
      <c r="C232" s="1" t="n">
        <v>46133</v>
      </c>
      <c r="D232" t="inlineStr">
        <is>
          <t>JÄMTLANDS LÄN</t>
        </is>
      </c>
      <c r="E232" t="inlineStr">
        <is>
          <t>ÅRE</t>
        </is>
      </c>
      <c r="G232" t="n">
        <v>5.6</v>
      </c>
      <c r="H232" t="n">
        <v>0</v>
      </c>
      <c r="I232" t="n">
        <v>0</v>
      </c>
      <c r="J232" t="n">
        <v>0</v>
      </c>
      <c r="K232" t="n">
        <v>0</v>
      </c>
      <c r="L232" t="n">
        <v>0</v>
      </c>
      <c r="M232" t="n">
        <v>0</v>
      </c>
      <c r="N232" t="n">
        <v>0</v>
      </c>
      <c r="O232" t="n">
        <v>0</v>
      </c>
      <c r="P232" t="n">
        <v>0</v>
      </c>
      <c r="Q232" t="n">
        <v>0</v>
      </c>
      <c r="R232" s="2" t="inlineStr"/>
    </row>
    <row r="233" ht="15" customHeight="1">
      <c r="A233" t="inlineStr">
        <is>
          <t>A 55944-2022</t>
        </is>
      </c>
      <c r="B233" s="1" t="n">
        <v>44889</v>
      </c>
      <c r="C233" s="1" t="n">
        <v>46133</v>
      </c>
      <c r="D233" t="inlineStr">
        <is>
          <t>JÄMTLANDS LÄN</t>
        </is>
      </c>
      <c r="E233" t="inlineStr">
        <is>
          <t>ÅRE</t>
        </is>
      </c>
      <c r="G233" t="n">
        <v>11.1</v>
      </c>
      <c r="H233" t="n">
        <v>0</v>
      </c>
      <c r="I233" t="n">
        <v>0</v>
      </c>
      <c r="J233" t="n">
        <v>0</v>
      </c>
      <c r="K233" t="n">
        <v>0</v>
      </c>
      <c r="L233" t="n">
        <v>0</v>
      </c>
      <c r="M233" t="n">
        <v>0</v>
      </c>
      <c r="N233" t="n">
        <v>0</v>
      </c>
      <c r="O233" t="n">
        <v>0</v>
      </c>
      <c r="P233" t="n">
        <v>0</v>
      </c>
      <c r="Q233" t="n">
        <v>0</v>
      </c>
      <c r="R233" s="2" t="inlineStr"/>
    </row>
    <row r="234" ht="15" customHeight="1">
      <c r="A234" t="inlineStr">
        <is>
          <t>A 46559-2024</t>
        </is>
      </c>
      <c r="B234" s="1" t="n">
        <v>45582</v>
      </c>
      <c r="C234" s="1" t="n">
        <v>46133</v>
      </c>
      <c r="D234" t="inlineStr">
        <is>
          <t>JÄMTLANDS LÄN</t>
        </is>
      </c>
      <c r="E234" t="inlineStr">
        <is>
          <t>ÅRE</t>
        </is>
      </c>
      <c r="G234" t="n">
        <v>6.2</v>
      </c>
      <c r="H234" t="n">
        <v>0</v>
      </c>
      <c r="I234" t="n">
        <v>0</v>
      </c>
      <c r="J234" t="n">
        <v>0</v>
      </c>
      <c r="K234" t="n">
        <v>0</v>
      </c>
      <c r="L234" t="n">
        <v>0</v>
      </c>
      <c r="M234" t="n">
        <v>0</v>
      </c>
      <c r="N234" t="n">
        <v>0</v>
      </c>
      <c r="O234" t="n">
        <v>0</v>
      </c>
      <c r="P234" t="n">
        <v>0</v>
      </c>
      <c r="Q234" t="n">
        <v>0</v>
      </c>
      <c r="R234" s="2" t="inlineStr"/>
    </row>
    <row r="235" ht="15" customHeight="1">
      <c r="A235" t="inlineStr">
        <is>
          <t>A 9126-2025</t>
        </is>
      </c>
      <c r="B235" s="1" t="n">
        <v>45713</v>
      </c>
      <c r="C235" s="1" t="n">
        <v>46133</v>
      </c>
      <c r="D235" t="inlineStr">
        <is>
          <t>JÄMTLANDS LÄN</t>
        </is>
      </c>
      <c r="E235" t="inlineStr">
        <is>
          <t>ÅRE</t>
        </is>
      </c>
      <c r="G235" t="n">
        <v>2</v>
      </c>
      <c r="H235" t="n">
        <v>0</v>
      </c>
      <c r="I235" t="n">
        <v>0</v>
      </c>
      <c r="J235" t="n">
        <v>0</v>
      </c>
      <c r="K235" t="n">
        <v>0</v>
      </c>
      <c r="L235" t="n">
        <v>0</v>
      </c>
      <c r="M235" t="n">
        <v>0</v>
      </c>
      <c r="N235" t="n">
        <v>0</v>
      </c>
      <c r="O235" t="n">
        <v>0</v>
      </c>
      <c r="P235" t="n">
        <v>0</v>
      </c>
      <c r="Q235" t="n">
        <v>0</v>
      </c>
      <c r="R235" s="2" t="inlineStr"/>
    </row>
    <row r="236" ht="15" customHeight="1">
      <c r="A236" t="inlineStr">
        <is>
          <t>A 17703-2023</t>
        </is>
      </c>
      <c r="B236" s="1" t="n">
        <v>45037.35443287037</v>
      </c>
      <c r="C236" s="1" t="n">
        <v>46133</v>
      </c>
      <c r="D236" t="inlineStr">
        <is>
          <t>JÄMTLANDS LÄN</t>
        </is>
      </c>
      <c r="E236" t="inlineStr">
        <is>
          <t>ÅRE</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11914-2024</t>
        </is>
      </c>
      <c r="B237" s="1" t="n">
        <v>45376.58467592593</v>
      </c>
      <c r="C237" s="1" t="n">
        <v>46133</v>
      </c>
      <c r="D237" t="inlineStr">
        <is>
          <t>JÄMTLANDS LÄN</t>
        </is>
      </c>
      <c r="E237" t="inlineStr">
        <is>
          <t>ÅRE</t>
        </is>
      </c>
      <c r="G237" t="n">
        <v>2.5</v>
      </c>
      <c r="H237" t="n">
        <v>0</v>
      </c>
      <c r="I237" t="n">
        <v>0</v>
      </c>
      <c r="J237" t="n">
        <v>0</v>
      </c>
      <c r="K237" t="n">
        <v>0</v>
      </c>
      <c r="L237" t="n">
        <v>0</v>
      </c>
      <c r="M237" t="n">
        <v>0</v>
      </c>
      <c r="N237" t="n">
        <v>0</v>
      </c>
      <c r="O237" t="n">
        <v>0</v>
      </c>
      <c r="P237" t="n">
        <v>0</v>
      </c>
      <c r="Q237" t="n">
        <v>0</v>
      </c>
      <c r="R237" s="2" t="inlineStr"/>
    </row>
    <row r="238" ht="15" customHeight="1">
      <c r="A238" t="inlineStr">
        <is>
          <t>A 59784-2024</t>
        </is>
      </c>
      <c r="B238" s="1" t="n">
        <v>45639.57988425926</v>
      </c>
      <c r="C238" s="1" t="n">
        <v>46133</v>
      </c>
      <c r="D238" t="inlineStr">
        <is>
          <t>JÄMTLANDS LÄN</t>
        </is>
      </c>
      <c r="E238" t="inlineStr">
        <is>
          <t>ÅRE</t>
        </is>
      </c>
      <c r="F238" t="inlineStr">
        <is>
          <t>Övriga Aktiebolag</t>
        </is>
      </c>
      <c r="G238" t="n">
        <v>1.3</v>
      </c>
      <c r="H238" t="n">
        <v>0</v>
      </c>
      <c r="I238" t="n">
        <v>0</v>
      </c>
      <c r="J238" t="n">
        <v>0</v>
      </c>
      <c r="K238" t="n">
        <v>0</v>
      </c>
      <c r="L238" t="n">
        <v>0</v>
      </c>
      <c r="M238" t="n">
        <v>0</v>
      </c>
      <c r="N238" t="n">
        <v>0</v>
      </c>
      <c r="O238" t="n">
        <v>0</v>
      </c>
      <c r="P238" t="n">
        <v>0</v>
      </c>
      <c r="Q238" t="n">
        <v>0</v>
      </c>
      <c r="R238" s="2" t="inlineStr"/>
    </row>
    <row r="239" ht="15" customHeight="1">
      <c r="A239" t="inlineStr">
        <is>
          <t>A 49296-2024</t>
        </is>
      </c>
      <c r="B239" s="1" t="n">
        <v>45595</v>
      </c>
      <c r="C239" s="1" t="n">
        <v>46133</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61996-2025</t>
        </is>
      </c>
      <c r="B240" s="1" t="n">
        <v>46003.64273148148</v>
      </c>
      <c r="C240" s="1" t="n">
        <v>46133</v>
      </c>
      <c r="D240" t="inlineStr">
        <is>
          <t>JÄMTLANDS LÄN</t>
        </is>
      </c>
      <c r="E240" t="inlineStr">
        <is>
          <t>ÅRE</t>
        </is>
      </c>
      <c r="G240" t="n">
        <v>4.5</v>
      </c>
      <c r="H240" t="n">
        <v>0</v>
      </c>
      <c r="I240" t="n">
        <v>0</v>
      </c>
      <c r="J240" t="n">
        <v>0</v>
      </c>
      <c r="K240" t="n">
        <v>0</v>
      </c>
      <c r="L240" t="n">
        <v>0</v>
      </c>
      <c r="M240" t="n">
        <v>0</v>
      </c>
      <c r="N240" t="n">
        <v>0</v>
      </c>
      <c r="O240" t="n">
        <v>0</v>
      </c>
      <c r="P240" t="n">
        <v>0</v>
      </c>
      <c r="Q240" t="n">
        <v>0</v>
      </c>
      <c r="R240" s="2" t="inlineStr"/>
    </row>
    <row r="241" ht="15" customHeight="1">
      <c r="A241" t="inlineStr">
        <is>
          <t>A 62532-2025</t>
        </is>
      </c>
      <c r="B241" s="1" t="n">
        <v>46007.63630787037</v>
      </c>
      <c r="C241" s="1" t="n">
        <v>46133</v>
      </c>
      <c r="D241" t="inlineStr">
        <is>
          <t>JÄMTLANDS LÄN</t>
        </is>
      </c>
      <c r="E241" t="inlineStr">
        <is>
          <t>ÅRE</t>
        </is>
      </c>
      <c r="G241" t="n">
        <v>5</v>
      </c>
      <c r="H241" t="n">
        <v>0</v>
      </c>
      <c r="I241" t="n">
        <v>0</v>
      </c>
      <c r="J241" t="n">
        <v>0</v>
      </c>
      <c r="K241" t="n">
        <v>0</v>
      </c>
      <c r="L241" t="n">
        <v>0</v>
      </c>
      <c r="M241" t="n">
        <v>0</v>
      </c>
      <c r="N241" t="n">
        <v>0</v>
      </c>
      <c r="O241" t="n">
        <v>0</v>
      </c>
      <c r="P241" t="n">
        <v>0</v>
      </c>
      <c r="Q241" t="n">
        <v>0</v>
      </c>
      <c r="R241" s="2" t="inlineStr"/>
    </row>
    <row r="242" ht="15" customHeight="1">
      <c r="A242" t="inlineStr">
        <is>
          <t>A 62218-2025</t>
        </is>
      </c>
      <c r="B242" s="1" t="n">
        <v>46006.58048611111</v>
      </c>
      <c r="C242" s="1" t="n">
        <v>46133</v>
      </c>
      <c r="D242" t="inlineStr">
        <is>
          <t>JÄMTLANDS LÄN</t>
        </is>
      </c>
      <c r="E242" t="inlineStr">
        <is>
          <t>ÅRE</t>
        </is>
      </c>
      <c r="G242" t="n">
        <v>15.6</v>
      </c>
      <c r="H242" t="n">
        <v>0</v>
      </c>
      <c r="I242" t="n">
        <v>0</v>
      </c>
      <c r="J242" t="n">
        <v>0</v>
      </c>
      <c r="K242" t="n">
        <v>0</v>
      </c>
      <c r="L242" t="n">
        <v>0</v>
      </c>
      <c r="M242" t="n">
        <v>0</v>
      </c>
      <c r="N242" t="n">
        <v>0</v>
      </c>
      <c r="O242" t="n">
        <v>0</v>
      </c>
      <c r="P242" t="n">
        <v>0</v>
      </c>
      <c r="Q242" t="n">
        <v>0</v>
      </c>
      <c r="R242" s="2" t="inlineStr"/>
    </row>
    <row r="243" ht="15" customHeight="1">
      <c r="A243" t="inlineStr">
        <is>
          <t>A 54175-2023</t>
        </is>
      </c>
      <c r="B243" s="1" t="n">
        <v>45232</v>
      </c>
      <c r="C243" s="1" t="n">
        <v>46133</v>
      </c>
      <c r="D243" t="inlineStr">
        <is>
          <t>JÄMTLANDS LÄN</t>
        </is>
      </c>
      <c r="E243" t="inlineStr">
        <is>
          <t>ÅRE</t>
        </is>
      </c>
      <c r="G243" t="n">
        <v>0.1</v>
      </c>
      <c r="H243" t="n">
        <v>0</v>
      </c>
      <c r="I243" t="n">
        <v>0</v>
      </c>
      <c r="J243" t="n">
        <v>0</v>
      </c>
      <c r="K243" t="n">
        <v>0</v>
      </c>
      <c r="L243" t="n">
        <v>0</v>
      </c>
      <c r="M243" t="n">
        <v>0</v>
      </c>
      <c r="N243" t="n">
        <v>0</v>
      </c>
      <c r="O243" t="n">
        <v>0</v>
      </c>
      <c r="P243" t="n">
        <v>0</v>
      </c>
      <c r="Q243" t="n">
        <v>0</v>
      </c>
      <c r="R243" s="2" t="inlineStr"/>
    </row>
    <row r="244" ht="15" customHeight="1">
      <c r="A244" t="inlineStr">
        <is>
          <t>A 62259-2025</t>
        </is>
      </c>
      <c r="B244" s="1" t="n">
        <v>46006.61553240741</v>
      </c>
      <c r="C244" s="1" t="n">
        <v>46133</v>
      </c>
      <c r="D244" t="inlineStr">
        <is>
          <t>JÄMTLANDS LÄN</t>
        </is>
      </c>
      <c r="E244" t="inlineStr">
        <is>
          <t>ÅRE</t>
        </is>
      </c>
      <c r="G244" t="n">
        <v>7.1</v>
      </c>
      <c r="H244" t="n">
        <v>0</v>
      </c>
      <c r="I244" t="n">
        <v>0</v>
      </c>
      <c r="J244" t="n">
        <v>0</v>
      </c>
      <c r="K244" t="n">
        <v>0</v>
      </c>
      <c r="L244" t="n">
        <v>0</v>
      </c>
      <c r="M244" t="n">
        <v>0</v>
      </c>
      <c r="N244" t="n">
        <v>0</v>
      </c>
      <c r="O244" t="n">
        <v>0</v>
      </c>
      <c r="P244" t="n">
        <v>0</v>
      </c>
      <c r="Q244" t="n">
        <v>0</v>
      </c>
      <c r="R244" s="2" t="inlineStr"/>
    </row>
    <row r="245" ht="15" customHeight="1">
      <c r="A245" t="inlineStr">
        <is>
          <t>A 62189-2025</t>
        </is>
      </c>
      <c r="B245" s="1" t="n">
        <v>46006.54729166667</v>
      </c>
      <c r="C245" s="1" t="n">
        <v>46133</v>
      </c>
      <c r="D245" t="inlineStr">
        <is>
          <t>JÄMTLANDS LÄN</t>
        </is>
      </c>
      <c r="E245" t="inlineStr">
        <is>
          <t>ÅRE</t>
        </is>
      </c>
      <c r="G245" t="n">
        <v>0.6</v>
      </c>
      <c r="H245" t="n">
        <v>0</v>
      </c>
      <c r="I245" t="n">
        <v>0</v>
      </c>
      <c r="J245" t="n">
        <v>0</v>
      </c>
      <c r="K245" t="n">
        <v>0</v>
      </c>
      <c r="L245" t="n">
        <v>0</v>
      </c>
      <c r="M245" t="n">
        <v>0</v>
      </c>
      <c r="N245" t="n">
        <v>0</v>
      </c>
      <c r="O245" t="n">
        <v>0</v>
      </c>
      <c r="P245" t="n">
        <v>0</v>
      </c>
      <c r="Q245" t="n">
        <v>0</v>
      </c>
      <c r="R245" s="2" t="inlineStr"/>
    </row>
    <row r="246" ht="15" customHeight="1">
      <c r="A246" t="inlineStr">
        <is>
          <t>A 46789-2024</t>
        </is>
      </c>
      <c r="B246" s="1" t="n">
        <v>45583.53219907408</v>
      </c>
      <c r="C246" s="1" t="n">
        <v>46133</v>
      </c>
      <c r="D246" t="inlineStr">
        <is>
          <t>JÄMTLANDS LÄN</t>
        </is>
      </c>
      <c r="E246" t="inlineStr">
        <is>
          <t>ÅRE</t>
        </is>
      </c>
      <c r="F246" t="inlineStr">
        <is>
          <t>Övriga Aktiebolag</t>
        </is>
      </c>
      <c r="G246" t="n">
        <v>2.7</v>
      </c>
      <c r="H246" t="n">
        <v>0</v>
      </c>
      <c r="I246" t="n">
        <v>0</v>
      </c>
      <c r="J246" t="n">
        <v>0</v>
      </c>
      <c r="K246" t="n">
        <v>0</v>
      </c>
      <c r="L246" t="n">
        <v>0</v>
      </c>
      <c r="M246" t="n">
        <v>0</v>
      </c>
      <c r="N246" t="n">
        <v>0</v>
      </c>
      <c r="O246" t="n">
        <v>0</v>
      </c>
      <c r="P246" t="n">
        <v>0</v>
      </c>
      <c r="Q246" t="n">
        <v>0</v>
      </c>
      <c r="R246" s="2" t="inlineStr"/>
    </row>
    <row r="247" ht="15" customHeight="1">
      <c r="A247" t="inlineStr">
        <is>
          <t>A 393-2024</t>
        </is>
      </c>
      <c r="B247" s="1" t="n">
        <v>45296.43614583334</v>
      </c>
      <c r="C247" s="1" t="n">
        <v>46133</v>
      </c>
      <c r="D247" t="inlineStr">
        <is>
          <t>JÄMTLANDS LÄN</t>
        </is>
      </c>
      <c r="E247" t="inlineStr">
        <is>
          <t>ÅRE</t>
        </is>
      </c>
      <c r="G247" t="n">
        <v>6.5</v>
      </c>
      <c r="H247" t="n">
        <v>0</v>
      </c>
      <c r="I247" t="n">
        <v>0</v>
      </c>
      <c r="J247" t="n">
        <v>0</v>
      </c>
      <c r="K247" t="n">
        <v>0</v>
      </c>
      <c r="L247" t="n">
        <v>0</v>
      </c>
      <c r="M247" t="n">
        <v>0</v>
      </c>
      <c r="N247" t="n">
        <v>0</v>
      </c>
      <c r="O247" t="n">
        <v>0</v>
      </c>
      <c r="P247" t="n">
        <v>0</v>
      </c>
      <c r="Q247" t="n">
        <v>0</v>
      </c>
      <c r="R247" s="2" t="inlineStr"/>
    </row>
    <row r="248" ht="15" customHeight="1">
      <c r="A248" t="inlineStr">
        <is>
          <t>A 62520-2025</t>
        </is>
      </c>
      <c r="B248" s="1" t="n">
        <v>46007.61498842593</v>
      </c>
      <c r="C248" s="1" t="n">
        <v>46133</v>
      </c>
      <c r="D248" t="inlineStr">
        <is>
          <t>JÄMTLANDS LÄN</t>
        </is>
      </c>
      <c r="E248" t="inlineStr">
        <is>
          <t>ÅRE</t>
        </is>
      </c>
      <c r="G248" t="n">
        <v>0.9</v>
      </c>
      <c r="H248" t="n">
        <v>0</v>
      </c>
      <c r="I248" t="n">
        <v>0</v>
      </c>
      <c r="J248" t="n">
        <v>0</v>
      </c>
      <c r="K248" t="n">
        <v>0</v>
      </c>
      <c r="L248" t="n">
        <v>0</v>
      </c>
      <c r="M248" t="n">
        <v>0</v>
      </c>
      <c r="N248" t="n">
        <v>0</v>
      </c>
      <c r="O248" t="n">
        <v>0</v>
      </c>
      <c r="P248" t="n">
        <v>0</v>
      </c>
      <c r="Q248" t="n">
        <v>0</v>
      </c>
      <c r="R248" s="2" t="inlineStr"/>
    </row>
    <row r="249" ht="15" customHeight="1">
      <c r="A249" t="inlineStr">
        <is>
          <t>A 62521-2025</t>
        </is>
      </c>
      <c r="B249" s="1" t="n">
        <v>46007.61506944444</v>
      </c>
      <c r="C249" s="1" t="n">
        <v>46133</v>
      </c>
      <c r="D249" t="inlineStr">
        <is>
          <t>JÄMTLANDS LÄN</t>
        </is>
      </c>
      <c r="E249" t="inlineStr">
        <is>
          <t>ÅRE</t>
        </is>
      </c>
      <c r="F249" t="inlineStr">
        <is>
          <t>Övriga Aktiebolag</t>
        </is>
      </c>
      <c r="G249" t="n">
        <v>0.8</v>
      </c>
      <c r="H249" t="n">
        <v>0</v>
      </c>
      <c r="I249" t="n">
        <v>0</v>
      </c>
      <c r="J249" t="n">
        <v>0</v>
      </c>
      <c r="K249" t="n">
        <v>0</v>
      </c>
      <c r="L249" t="n">
        <v>0</v>
      </c>
      <c r="M249" t="n">
        <v>0</v>
      </c>
      <c r="N249" t="n">
        <v>0</v>
      </c>
      <c r="O249" t="n">
        <v>0</v>
      </c>
      <c r="P249" t="n">
        <v>0</v>
      </c>
      <c r="Q249" t="n">
        <v>0</v>
      </c>
      <c r="R249" s="2" t="inlineStr"/>
    </row>
    <row r="250" ht="15" customHeight="1">
      <c r="A250" t="inlineStr">
        <is>
          <t>A 60122-2021</t>
        </is>
      </c>
      <c r="B250" s="1" t="n">
        <v>44495</v>
      </c>
      <c r="C250" s="1" t="n">
        <v>46133</v>
      </c>
      <c r="D250" t="inlineStr">
        <is>
          <t>JÄMTLANDS LÄN</t>
        </is>
      </c>
      <c r="E250" t="inlineStr">
        <is>
          <t>ÅRE</t>
        </is>
      </c>
      <c r="G250" t="n">
        <v>46.7</v>
      </c>
      <c r="H250" t="n">
        <v>0</v>
      </c>
      <c r="I250" t="n">
        <v>0</v>
      </c>
      <c r="J250" t="n">
        <v>0</v>
      </c>
      <c r="K250" t="n">
        <v>0</v>
      </c>
      <c r="L250" t="n">
        <v>0</v>
      </c>
      <c r="M250" t="n">
        <v>0</v>
      </c>
      <c r="N250" t="n">
        <v>0</v>
      </c>
      <c r="O250" t="n">
        <v>0</v>
      </c>
      <c r="P250" t="n">
        <v>0</v>
      </c>
      <c r="Q250" t="n">
        <v>0</v>
      </c>
      <c r="R250" s="2" t="inlineStr"/>
    </row>
    <row r="251" ht="15" customHeight="1">
      <c r="A251" t="inlineStr">
        <is>
          <t>A 62056-2025</t>
        </is>
      </c>
      <c r="B251" s="1" t="n">
        <v>46006</v>
      </c>
      <c r="C251" s="1" t="n">
        <v>46133</v>
      </c>
      <c r="D251" t="inlineStr">
        <is>
          <t>JÄMTLANDS LÄN</t>
        </is>
      </c>
      <c r="E251" t="inlineStr">
        <is>
          <t>ÅRE</t>
        </is>
      </c>
      <c r="G251" t="n">
        <v>3.5</v>
      </c>
      <c r="H251" t="n">
        <v>0</v>
      </c>
      <c r="I251" t="n">
        <v>0</v>
      </c>
      <c r="J251" t="n">
        <v>0</v>
      </c>
      <c r="K251" t="n">
        <v>0</v>
      </c>
      <c r="L251" t="n">
        <v>0</v>
      </c>
      <c r="M251" t="n">
        <v>0</v>
      </c>
      <c r="N251" t="n">
        <v>0</v>
      </c>
      <c r="O251" t="n">
        <v>0</v>
      </c>
      <c r="P251" t="n">
        <v>0</v>
      </c>
      <c r="Q251" t="n">
        <v>0</v>
      </c>
      <c r="R251" s="2" t="inlineStr"/>
    </row>
    <row r="252" ht="15" customHeight="1">
      <c r="A252" t="inlineStr">
        <is>
          <t>A 62210-2025</t>
        </is>
      </c>
      <c r="B252" s="1" t="n">
        <v>46006.5666087963</v>
      </c>
      <c r="C252" s="1" t="n">
        <v>46133</v>
      </c>
      <c r="D252" t="inlineStr">
        <is>
          <t>JÄMTLANDS LÄN</t>
        </is>
      </c>
      <c r="E252" t="inlineStr">
        <is>
          <t>ÅRE</t>
        </is>
      </c>
      <c r="G252" t="n">
        <v>0.9</v>
      </c>
      <c r="H252" t="n">
        <v>0</v>
      </c>
      <c r="I252" t="n">
        <v>0</v>
      </c>
      <c r="J252" t="n">
        <v>0</v>
      </c>
      <c r="K252" t="n">
        <v>0</v>
      </c>
      <c r="L252" t="n">
        <v>0</v>
      </c>
      <c r="M252" t="n">
        <v>0</v>
      </c>
      <c r="N252" t="n">
        <v>0</v>
      </c>
      <c r="O252" t="n">
        <v>0</v>
      </c>
      <c r="P252" t="n">
        <v>0</v>
      </c>
      <c r="Q252" t="n">
        <v>0</v>
      </c>
      <c r="R252" s="2" t="inlineStr"/>
    </row>
    <row r="253" ht="15" customHeight="1">
      <c r="A253" t="inlineStr">
        <is>
          <t>A 62530-2025</t>
        </is>
      </c>
      <c r="B253" s="1" t="n">
        <v>46007.63618055556</v>
      </c>
      <c r="C253" s="1" t="n">
        <v>46133</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33625-2022</t>
        </is>
      </c>
      <c r="B254" s="1" t="n">
        <v>44789</v>
      </c>
      <c r="C254" s="1" t="n">
        <v>46133</v>
      </c>
      <c r="D254" t="inlineStr">
        <is>
          <t>JÄMTLANDS LÄN</t>
        </is>
      </c>
      <c r="E254" t="inlineStr">
        <is>
          <t>ÅRE</t>
        </is>
      </c>
      <c r="G254" t="n">
        <v>20.7</v>
      </c>
      <c r="H254" t="n">
        <v>0</v>
      </c>
      <c r="I254" t="n">
        <v>0</v>
      </c>
      <c r="J254" t="n">
        <v>0</v>
      </c>
      <c r="K254" t="n">
        <v>0</v>
      </c>
      <c r="L254" t="n">
        <v>0</v>
      </c>
      <c r="M254" t="n">
        <v>0</v>
      </c>
      <c r="N254" t="n">
        <v>0</v>
      </c>
      <c r="O254" t="n">
        <v>0</v>
      </c>
      <c r="P254" t="n">
        <v>0</v>
      </c>
      <c r="Q254" t="n">
        <v>0</v>
      </c>
      <c r="R254" s="2" t="inlineStr"/>
    </row>
    <row r="255" ht="15" customHeight="1">
      <c r="A255" t="inlineStr">
        <is>
          <t>A 15884-2023</t>
        </is>
      </c>
      <c r="B255" s="1" t="n">
        <v>45022</v>
      </c>
      <c r="C255" s="1" t="n">
        <v>46133</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63020-2025</t>
        </is>
      </c>
      <c r="B256" s="1" t="n">
        <v>46009.59424768519</v>
      </c>
      <c r="C256" s="1" t="n">
        <v>46133</v>
      </c>
      <c r="D256" t="inlineStr">
        <is>
          <t>JÄMTLANDS LÄN</t>
        </is>
      </c>
      <c r="E256" t="inlineStr">
        <is>
          <t>ÅRE</t>
        </is>
      </c>
      <c r="G256" t="n">
        <v>0.5</v>
      </c>
      <c r="H256" t="n">
        <v>0</v>
      </c>
      <c r="I256" t="n">
        <v>0</v>
      </c>
      <c r="J256" t="n">
        <v>0</v>
      </c>
      <c r="K256" t="n">
        <v>0</v>
      </c>
      <c r="L256" t="n">
        <v>0</v>
      </c>
      <c r="M256" t="n">
        <v>0</v>
      </c>
      <c r="N256" t="n">
        <v>0</v>
      </c>
      <c r="O256" t="n">
        <v>0</v>
      </c>
      <c r="P256" t="n">
        <v>0</v>
      </c>
      <c r="Q256" t="n">
        <v>0</v>
      </c>
      <c r="R256" s="2" t="inlineStr"/>
    </row>
    <row r="257" ht="15" customHeight="1">
      <c r="A257" t="inlineStr">
        <is>
          <t>A 51452-2024</t>
        </is>
      </c>
      <c r="B257" s="1" t="n">
        <v>45604.49045138889</v>
      </c>
      <c r="C257" s="1" t="n">
        <v>46133</v>
      </c>
      <c r="D257" t="inlineStr">
        <is>
          <t>JÄMTLANDS LÄN</t>
        </is>
      </c>
      <c r="E257" t="inlineStr">
        <is>
          <t>ÅRE</t>
        </is>
      </c>
      <c r="G257" t="n">
        <v>8</v>
      </c>
      <c r="H257" t="n">
        <v>0</v>
      </c>
      <c r="I257" t="n">
        <v>0</v>
      </c>
      <c r="J257" t="n">
        <v>0</v>
      </c>
      <c r="K257" t="n">
        <v>0</v>
      </c>
      <c r="L257" t="n">
        <v>0</v>
      </c>
      <c r="M257" t="n">
        <v>0</v>
      </c>
      <c r="N257" t="n">
        <v>0</v>
      </c>
      <c r="O257" t="n">
        <v>0</v>
      </c>
      <c r="P257" t="n">
        <v>0</v>
      </c>
      <c r="Q257" t="n">
        <v>0</v>
      </c>
      <c r="R257" s="2" t="inlineStr"/>
    </row>
    <row r="258" ht="15" customHeight="1">
      <c r="A258" t="inlineStr">
        <is>
          <t>A 25224-2025</t>
        </is>
      </c>
      <c r="B258" s="1" t="n">
        <v>45800.48087962963</v>
      </c>
      <c r="C258" s="1" t="n">
        <v>46133</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25200-2025</t>
        </is>
      </c>
      <c r="B259" s="1" t="n">
        <v>45800.4615625</v>
      </c>
      <c r="C259" s="1" t="n">
        <v>46133</v>
      </c>
      <c r="D259" t="inlineStr">
        <is>
          <t>JÄMTLANDS LÄN</t>
        </is>
      </c>
      <c r="E259" t="inlineStr">
        <is>
          <t>ÅRE</t>
        </is>
      </c>
      <c r="G259" t="n">
        <v>3.3</v>
      </c>
      <c r="H259" t="n">
        <v>0</v>
      </c>
      <c r="I259" t="n">
        <v>0</v>
      </c>
      <c r="J259" t="n">
        <v>0</v>
      </c>
      <c r="K259" t="n">
        <v>0</v>
      </c>
      <c r="L259" t="n">
        <v>0</v>
      </c>
      <c r="M259" t="n">
        <v>0</v>
      </c>
      <c r="N259" t="n">
        <v>0</v>
      </c>
      <c r="O259" t="n">
        <v>0</v>
      </c>
      <c r="P259" t="n">
        <v>0</v>
      </c>
      <c r="Q259" t="n">
        <v>0</v>
      </c>
      <c r="R259" s="2" t="inlineStr"/>
    </row>
    <row r="260" ht="15" customHeight="1">
      <c r="A260" t="inlineStr">
        <is>
          <t>A 25208-2025</t>
        </is>
      </c>
      <c r="B260" s="1" t="n">
        <v>45800.46927083333</v>
      </c>
      <c r="C260" s="1" t="n">
        <v>46133</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6141-2026</t>
        </is>
      </c>
      <c r="B261" s="1" t="n">
        <v>46054.81873842593</v>
      </c>
      <c r="C261" s="1" t="n">
        <v>46133</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58232-2021</t>
        </is>
      </c>
      <c r="B262" s="1" t="n">
        <v>44487</v>
      </c>
      <c r="C262" s="1" t="n">
        <v>46133</v>
      </c>
      <c r="D262" t="inlineStr">
        <is>
          <t>JÄMTLANDS LÄN</t>
        </is>
      </c>
      <c r="E262" t="inlineStr">
        <is>
          <t>ÅRE</t>
        </is>
      </c>
      <c r="G262" t="n">
        <v>43.7</v>
      </c>
      <c r="H262" t="n">
        <v>0</v>
      </c>
      <c r="I262" t="n">
        <v>0</v>
      </c>
      <c r="J262" t="n">
        <v>0</v>
      </c>
      <c r="K262" t="n">
        <v>0</v>
      </c>
      <c r="L262" t="n">
        <v>0</v>
      </c>
      <c r="M262" t="n">
        <v>0</v>
      </c>
      <c r="N262" t="n">
        <v>0</v>
      </c>
      <c r="O262" t="n">
        <v>0</v>
      </c>
      <c r="P262" t="n">
        <v>0</v>
      </c>
      <c r="Q262" t="n">
        <v>0</v>
      </c>
      <c r="R262" s="2" t="inlineStr"/>
    </row>
    <row r="263" ht="15" customHeight="1">
      <c r="A263" t="inlineStr">
        <is>
          <t>A 58758-2022</t>
        </is>
      </c>
      <c r="B263" s="1" t="n">
        <v>44903</v>
      </c>
      <c r="C263" s="1" t="n">
        <v>46133</v>
      </c>
      <c r="D263" t="inlineStr">
        <is>
          <t>JÄMTLANDS LÄN</t>
        </is>
      </c>
      <c r="E263" t="inlineStr">
        <is>
          <t>ÅRE</t>
        </is>
      </c>
      <c r="F263" t="inlineStr">
        <is>
          <t>Övriga Aktiebolag</t>
        </is>
      </c>
      <c r="G263" t="n">
        <v>42.9</v>
      </c>
      <c r="H263" t="n">
        <v>0</v>
      </c>
      <c r="I263" t="n">
        <v>0</v>
      </c>
      <c r="J263" t="n">
        <v>0</v>
      </c>
      <c r="K263" t="n">
        <v>0</v>
      </c>
      <c r="L263" t="n">
        <v>0</v>
      </c>
      <c r="M263" t="n">
        <v>0</v>
      </c>
      <c r="N263" t="n">
        <v>0</v>
      </c>
      <c r="O263" t="n">
        <v>0</v>
      </c>
      <c r="P263" t="n">
        <v>0</v>
      </c>
      <c r="Q263" t="n">
        <v>0</v>
      </c>
      <c r="R263" s="2" t="inlineStr"/>
    </row>
    <row r="264" ht="15" customHeight="1">
      <c r="A264" t="inlineStr">
        <is>
          <t>A 20485-2024</t>
        </is>
      </c>
      <c r="B264" s="1" t="n">
        <v>45435.7403125</v>
      </c>
      <c r="C264" s="1" t="n">
        <v>46133</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32241-2021</t>
        </is>
      </c>
      <c r="B265" s="1" t="n">
        <v>44371</v>
      </c>
      <c r="C265" s="1" t="n">
        <v>46133</v>
      </c>
      <c r="D265" t="inlineStr">
        <is>
          <t>JÄMTLANDS LÄN</t>
        </is>
      </c>
      <c r="E265" t="inlineStr">
        <is>
          <t>ÅRE</t>
        </is>
      </c>
      <c r="G265" t="n">
        <v>2.3</v>
      </c>
      <c r="H265" t="n">
        <v>0</v>
      </c>
      <c r="I265" t="n">
        <v>0</v>
      </c>
      <c r="J265" t="n">
        <v>0</v>
      </c>
      <c r="K265" t="n">
        <v>0</v>
      </c>
      <c r="L265" t="n">
        <v>0</v>
      </c>
      <c r="M265" t="n">
        <v>0</v>
      </c>
      <c r="N265" t="n">
        <v>0</v>
      </c>
      <c r="O265" t="n">
        <v>0</v>
      </c>
      <c r="P265" t="n">
        <v>0</v>
      </c>
      <c r="Q265" t="n">
        <v>0</v>
      </c>
      <c r="R265" s="2" t="inlineStr"/>
    </row>
    <row r="266" ht="15" customHeight="1">
      <c r="A266" t="inlineStr">
        <is>
          <t>A 47075-2024</t>
        </is>
      </c>
      <c r="B266" s="1" t="n">
        <v>45586.5008912037</v>
      </c>
      <c r="C266" s="1" t="n">
        <v>46133</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45834-2024</t>
        </is>
      </c>
      <c r="B267" s="1" t="n">
        <v>45579.91509259259</v>
      </c>
      <c r="C267" s="1" t="n">
        <v>46133</v>
      </c>
      <c r="D267" t="inlineStr">
        <is>
          <t>JÄMTLANDS LÄN</t>
        </is>
      </c>
      <c r="E267" t="inlineStr">
        <is>
          <t>ÅRE</t>
        </is>
      </c>
      <c r="G267" t="n">
        <v>3.9</v>
      </c>
      <c r="H267" t="n">
        <v>0</v>
      </c>
      <c r="I267" t="n">
        <v>0</v>
      </c>
      <c r="J267" t="n">
        <v>0</v>
      </c>
      <c r="K267" t="n">
        <v>0</v>
      </c>
      <c r="L267" t="n">
        <v>0</v>
      </c>
      <c r="M267" t="n">
        <v>0</v>
      </c>
      <c r="N267" t="n">
        <v>0</v>
      </c>
      <c r="O267" t="n">
        <v>0</v>
      </c>
      <c r="P267" t="n">
        <v>0</v>
      </c>
      <c r="Q267" t="n">
        <v>0</v>
      </c>
      <c r="R267" s="2" t="inlineStr"/>
    </row>
    <row r="268" ht="15" customHeight="1">
      <c r="A268" t="inlineStr">
        <is>
          <t>A 40653-2022</t>
        </is>
      </c>
      <c r="B268" s="1" t="n">
        <v>44818</v>
      </c>
      <c r="C268" s="1" t="n">
        <v>46133</v>
      </c>
      <c r="D268" t="inlineStr">
        <is>
          <t>JÄMTLANDS LÄN</t>
        </is>
      </c>
      <c r="E268" t="inlineStr">
        <is>
          <t>ÅRE</t>
        </is>
      </c>
      <c r="G268" t="n">
        <v>1.4</v>
      </c>
      <c r="H268" t="n">
        <v>0</v>
      </c>
      <c r="I268" t="n">
        <v>0</v>
      </c>
      <c r="J268" t="n">
        <v>0</v>
      </c>
      <c r="K268" t="n">
        <v>0</v>
      </c>
      <c r="L268" t="n">
        <v>0</v>
      </c>
      <c r="M268" t="n">
        <v>0</v>
      </c>
      <c r="N268" t="n">
        <v>0</v>
      </c>
      <c r="O268" t="n">
        <v>0</v>
      </c>
      <c r="P268" t="n">
        <v>0</v>
      </c>
      <c r="Q268" t="n">
        <v>0</v>
      </c>
      <c r="R268" s="2" t="inlineStr"/>
    </row>
    <row r="269" ht="15" customHeight="1">
      <c r="A269" t="inlineStr">
        <is>
          <t>A 5651-2023</t>
        </is>
      </c>
      <c r="B269" s="1" t="n">
        <v>44958</v>
      </c>
      <c r="C269" s="1" t="n">
        <v>46133</v>
      </c>
      <c r="D269" t="inlineStr">
        <is>
          <t>JÄMTLANDS LÄN</t>
        </is>
      </c>
      <c r="E269" t="inlineStr">
        <is>
          <t>ÅRE</t>
        </is>
      </c>
      <c r="G269" t="n">
        <v>5.7</v>
      </c>
      <c r="H269" t="n">
        <v>0</v>
      </c>
      <c r="I269" t="n">
        <v>0</v>
      </c>
      <c r="J269" t="n">
        <v>0</v>
      </c>
      <c r="K269" t="n">
        <v>0</v>
      </c>
      <c r="L269" t="n">
        <v>0</v>
      </c>
      <c r="M269" t="n">
        <v>0</v>
      </c>
      <c r="N269" t="n">
        <v>0</v>
      </c>
      <c r="O269" t="n">
        <v>0</v>
      </c>
      <c r="P269" t="n">
        <v>0</v>
      </c>
      <c r="Q269" t="n">
        <v>0</v>
      </c>
      <c r="R269" s="2" t="inlineStr"/>
    </row>
    <row r="270" ht="15" customHeight="1">
      <c r="A270" t="inlineStr">
        <is>
          <t>A 63225-2025</t>
        </is>
      </c>
      <c r="B270" s="1" t="n">
        <v>46010.49605324074</v>
      </c>
      <c r="C270" s="1" t="n">
        <v>46133</v>
      </c>
      <c r="D270" t="inlineStr">
        <is>
          <t>JÄMTLANDS LÄN</t>
        </is>
      </c>
      <c r="E270" t="inlineStr">
        <is>
          <t>ÅRE</t>
        </is>
      </c>
      <c r="F270" t="inlineStr">
        <is>
          <t>Övriga Aktiebolag</t>
        </is>
      </c>
      <c r="G270" t="n">
        <v>12.1</v>
      </c>
      <c r="H270" t="n">
        <v>0</v>
      </c>
      <c r="I270" t="n">
        <v>0</v>
      </c>
      <c r="J270" t="n">
        <v>0</v>
      </c>
      <c r="K270" t="n">
        <v>0</v>
      </c>
      <c r="L270" t="n">
        <v>0</v>
      </c>
      <c r="M270" t="n">
        <v>0</v>
      </c>
      <c r="N270" t="n">
        <v>0</v>
      </c>
      <c r="O270" t="n">
        <v>0</v>
      </c>
      <c r="P270" t="n">
        <v>0</v>
      </c>
      <c r="Q270" t="n">
        <v>0</v>
      </c>
      <c r="R270" s="2" t="inlineStr"/>
    </row>
    <row r="271" ht="15" customHeight="1">
      <c r="A271" t="inlineStr">
        <is>
          <t>A 37758-2023</t>
        </is>
      </c>
      <c r="B271" s="1" t="n">
        <v>45159</v>
      </c>
      <c r="C271" s="1" t="n">
        <v>46133</v>
      </c>
      <c r="D271" t="inlineStr">
        <is>
          <t>JÄMTLANDS LÄN</t>
        </is>
      </c>
      <c r="E271" t="inlineStr">
        <is>
          <t>ÅRE</t>
        </is>
      </c>
      <c r="G271" t="n">
        <v>20.1</v>
      </c>
      <c r="H271" t="n">
        <v>0</v>
      </c>
      <c r="I271" t="n">
        <v>0</v>
      </c>
      <c r="J271" t="n">
        <v>0</v>
      </c>
      <c r="K271" t="n">
        <v>0</v>
      </c>
      <c r="L271" t="n">
        <v>0</v>
      </c>
      <c r="M271" t="n">
        <v>0</v>
      </c>
      <c r="N271" t="n">
        <v>0</v>
      </c>
      <c r="O271" t="n">
        <v>0</v>
      </c>
      <c r="P271" t="n">
        <v>0</v>
      </c>
      <c r="Q271" t="n">
        <v>0</v>
      </c>
      <c r="R271" s="2" t="inlineStr"/>
    </row>
    <row r="272" ht="15" customHeight="1">
      <c r="A272" t="inlineStr">
        <is>
          <t>A 24655-2023</t>
        </is>
      </c>
      <c r="B272" s="1" t="n">
        <v>45084.47790509259</v>
      </c>
      <c r="C272" s="1" t="n">
        <v>46133</v>
      </c>
      <c r="D272" t="inlineStr">
        <is>
          <t>JÄMTLANDS LÄN</t>
        </is>
      </c>
      <c r="E272" t="inlineStr">
        <is>
          <t>ÅRE</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56910-2022</t>
        </is>
      </c>
      <c r="B273" s="1" t="n">
        <v>44894.59936342593</v>
      </c>
      <c r="C273" s="1" t="n">
        <v>46133</v>
      </c>
      <c r="D273" t="inlineStr">
        <is>
          <t>JÄMTLANDS LÄN</t>
        </is>
      </c>
      <c r="E273" t="inlineStr">
        <is>
          <t>ÅRE</t>
        </is>
      </c>
      <c r="F273" t="inlineStr">
        <is>
          <t>Övriga Aktiebolag</t>
        </is>
      </c>
      <c r="G273" t="n">
        <v>4.9</v>
      </c>
      <c r="H273" t="n">
        <v>0</v>
      </c>
      <c r="I273" t="n">
        <v>0</v>
      </c>
      <c r="J273" t="n">
        <v>0</v>
      </c>
      <c r="K273" t="n">
        <v>0</v>
      </c>
      <c r="L273" t="n">
        <v>0</v>
      </c>
      <c r="M273" t="n">
        <v>0</v>
      </c>
      <c r="N273" t="n">
        <v>0</v>
      </c>
      <c r="O273" t="n">
        <v>0</v>
      </c>
      <c r="P273" t="n">
        <v>0</v>
      </c>
      <c r="Q273" t="n">
        <v>0</v>
      </c>
      <c r="R273" s="2" t="inlineStr"/>
    </row>
    <row r="274" ht="15" customHeight="1">
      <c r="A274" t="inlineStr">
        <is>
          <t>A 18264-2023</t>
        </is>
      </c>
      <c r="B274" s="1" t="n">
        <v>45041</v>
      </c>
      <c r="C274" s="1" t="n">
        <v>46133</v>
      </c>
      <c r="D274" t="inlineStr">
        <is>
          <t>JÄMTLANDS LÄN</t>
        </is>
      </c>
      <c r="E274" t="inlineStr">
        <is>
          <t>ÅRE</t>
        </is>
      </c>
      <c r="G274" t="n">
        <v>0.2</v>
      </c>
      <c r="H274" t="n">
        <v>0</v>
      </c>
      <c r="I274" t="n">
        <v>0</v>
      </c>
      <c r="J274" t="n">
        <v>0</v>
      </c>
      <c r="K274" t="n">
        <v>0</v>
      </c>
      <c r="L274" t="n">
        <v>0</v>
      </c>
      <c r="M274" t="n">
        <v>0</v>
      </c>
      <c r="N274" t="n">
        <v>0</v>
      </c>
      <c r="O274" t="n">
        <v>0</v>
      </c>
      <c r="P274" t="n">
        <v>0</v>
      </c>
      <c r="Q274" t="n">
        <v>0</v>
      </c>
      <c r="R274" s="2" t="inlineStr"/>
    </row>
    <row r="275" ht="15" customHeight="1">
      <c r="A275" t="inlineStr">
        <is>
          <t>A 52677-2024</t>
        </is>
      </c>
      <c r="B275" s="1" t="n">
        <v>45610.38560185185</v>
      </c>
      <c r="C275" s="1" t="n">
        <v>46133</v>
      </c>
      <c r="D275" t="inlineStr">
        <is>
          <t>JÄMTLANDS LÄN</t>
        </is>
      </c>
      <c r="E275" t="inlineStr">
        <is>
          <t>ÅRE</t>
        </is>
      </c>
      <c r="F275" t="inlineStr">
        <is>
          <t>Övriga Aktiebolag</t>
        </is>
      </c>
      <c r="G275" t="n">
        <v>3</v>
      </c>
      <c r="H275" t="n">
        <v>0</v>
      </c>
      <c r="I275" t="n">
        <v>0</v>
      </c>
      <c r="J275" t="n">
        <v>0</v>
      </c>
      <c r="K275" t="n">
        <v>0</v>
      </c>
      <c r="L275" t="n">
        <v>0</v>
      </c>
      <c r="M275" t="n">
        <v>0</v>
      </c>
      <c r="N275" t="n">
        <v>0</v>
      </c>
      <c r="O275" t="n">
        <v>0</v>
      </c>
      <c r="P275" t="n">
        <v>0</v>
      </c>
      <c r="Q275" t="n">
        <v>0</v>
      </c>
      <c r="R275" s="2" t="inlineStr"/>
    </row>
    <row r="276" ht="15" customHeight="1">
      <c r="A276" t="inlineStr">
        <is>
          <t>A 43307-2024</t>
        </is>
      </c>
      <c r="B276" s="1" t="n">
        <v>45568.44303240741</v>
      </c>
      <c r="C276" s="1" t="n">
        <v>46133</v>
      </c>
      <c r="D276" t="inlineStr">
        <is>
          <t>JÄMTLANDS LÄN</t>
        </is>
      </c>
      <c r="E276" t="inlineStr">
        <is>
          <t>ÅRE</t>
        </is>
      </c>
      <c r="F276" t="inlineStr">
        <is>
          <t>Övriga Aktiebolag</t>
        </is>
      </c>
      <c r="G276" t="n">
        <v>1.1</v>
      </c>
      <c r="H276" t="n">
        <v>0</v>
      </c>
      <c r="I276" t="n">
        <v>0</v>
      </c>
      <c r="J276" t="n">
        <v>0</v>
      </c>
      <c r="K276" t="n">
        <v>0</v>
      </c>
      <c r="L276" t="n">
        <v>0</v>
      </c>
      <c r="M276" t="n">
        <v>0</v>
      </c>
      <c r="N276" t="n">
        <v>0</v>
      </c>
      <c r="O276" t="n">
        <v>0</v>
      </c>
      <c r="P276" t="n">
        <v>0</v>
      </c>
      <c r="Q276" t="n">
        <v>0</v>
      </c>
      <c r="R276" s="2" t="inlineStr"/>
    </row>
    <row r="277" ht="15" customHeight="1">
      <c r="A277" t="inlineStr">
        <is>
          <t>A 54116-2023</t>
        </is>
      </c>
      <c r="B277" s="1" t="n">
        <v>45232</v>
      </c>
      <c r="C277" s="1" t="n">
        <v>46133</v>
      </c>
      <c r="D277" t="inlineStr">
        <is>
          <t>JÄMTLANDS LÄN</t>
        </is>
      </c>
      <c r="E277" t="inlineStr">
        <is>
          <t>ÅRE</t>
        </is>
      </c>
      <c r="G277" t="n">
        <v>3.8</v>
      </c>
      <c r="H277" t="n">
        <v>0</v>
      </c>
      <c r="I277" t="n">
        <v>0</v>
      </c>
      <c r="J277" t="n">
        <v>0</v>
      </c>
      <c r="K277" t="n">
        <v>0</v>
      </c>
      <c r="L277" t="n">
        <v>0</v>
      </c>
      <c r="M277" t="n">
        <v>0</v>
      </c>
      <c r="N277" t="n">
        <v>0</v>
      </c>
      <c r="O277" t="n">
        <v>0</v>
      </c>
      <c r="P277" t="n">
        <v>0</v>
      </c>
      <c r="Q277" t="n">
        <v>0</v>
      </c>
      <c r="R277" s="2" t="inlineStr"/>
    </row>
    <row r="278" ht="15" customHeight="1">
      <c r="A278" t="inlineStr">
        <is>
          <t>A 12292-2023</t>
        </is>
      </c>
      <c r="B278" s="1" t="n">
        <v>44998</v>
      </c>
      <c r="C278" s="1" t="n">
        <v>46133</v>
      </c>
      <c r="D278" t="inlineStr">
        <is>
          <t>JÄMTLANDS LÄN</t>
        </is>
      </c>
      <c r="E278" t="inlineStr">
        <is>
          <t>ÅRE</t>
        </is>
      </c>
      <c r="G278" t="n">
        <v>3.5</v>
      </c>
      <c r="H278" t="n">
        <v>0</v>
      </c>
      <c r="I278" t="n">
        <v>0</v>
      </c>
      <c r="J278" t="n">
        <v>0</v>
      </c>
      <c r="K278" t="n">
        <v>0</v>
      </c>
      <c r="L278" t="n">
        <v>0</v>
      </c>
      <c r="M278" t="n">
        <v>0</v>
      </c>
      <c r="N278" t="n">
        <v>0</v>
      </c>
      <c r="O278" t="n">
        <v>0</v>
      </c>
      <c r="P278" t="n">
        <v>0</v>
      </c>
      <c r="Q278" t="n">
        <v>0</v>
      </c>
      <c r="R278" s="2" t="inlineStr"/>
    </row>
    <row r="279" ht="15" customHeight="1">
      <c r="A279" t="inlineStr">
        <is>
          <t>A 12294-2023</t>
        </is>
      </c>
      <c r="B279" s="1" t="n">
        <v>44998.75266203703</v>
      </c>
      <c r="C279" s="1" t="n">
        <v>46133</v>
      </c>
      <c r="D279" t="inlineStr">
        <is>
          <t>JÄMTLANDS LÄN</t>
        </is>
      </c>
      <c r="E279" t="inlineStr">
        <is>
          <t>ÅRE</t>
        </is>
      </c>
      <c r="G279" t="n">
        <v>1.4</v>
      </c>
      <c r="H279" t="n">
        <v>0</v>
      </c>
      <c r="I279" t="n">
        <v>0</v>
      </c>
      <c r="J279" t="n">
        <v>0</v>
      </c>
      <c r="K279" t="n">
        <v>0</v>
      </c>
      <c r="L279" t="n">
        <v>0</v>
      </c>
      <c r="M279" t="n">
        <v>0</v>
      </c>
      <c r="N279" t="n">
        <v>0</v>
      </c>
      <c r="O279" t="n">
        <v>0</v>
      </c>
      <c r="P279" t="n">
        <v>0</v>
      </c>
      <c r="Q279" t="n">
        <v>0</v>
      </c>
      <c r="R279" s="2" t="inlineStr"/>
    </row>
    <row r="280" ht="15" customHeight="1">
      <c r="A280" t="inlineStr">
        <is>
          <t>A 49303-2024</t>
        </is>
      </c>
      <c r="B280" s="1" t="n">
        <v>45595</v>
      </c>
      <c r="C280" s="1" t="n">
        <v>46133</v>
      </c>
      <c r="D280" t="inlineStr">
        <is>
          <t>JÄMTLANDS LÄN</t>
        </is>
      </c>
      <c r="E280" t="inlineStr">
        <is>
          <t>ÅRE</t>
        </is>
      </c>
      <c r="G280" t="n">
        <v>1.2</v>
      </c>
      <c r="H280" t="n">
        <v>0</v>
      </c>
      <c r="I280" t="n">
        <v>0</v>
      </c>
      <c r="J280" t="n">
        <v>0</v>
      </c>
      <c r="K280" t="n">
        <v>0</v>
      </c>
      <c r="L280" t="n">
        <v>0</v>
      </c>
      <c r="M280" t="n">
        <v>0</v>
      </c>
      <c r="N280" t="n">
        <v>0</v>
      </c>
      <c r="O280" t="n">
        <v>0</v>
      </c>
      <c r="P280" t="n">
        <v>0</v>
      </c>
      <c r="Q280" t="n">
        <v>0</v>
      </c>
      <c r="R280" s="2" t="inlineStr"/>
    </row>
    <row r="281" ht="15" customHeight="1">
      <c r="A281" t="inlineStr">
        <is>
          <t>A 64758-2023</t>
        </is>
      </c>
      <c r="B281" s="1" t="n">
        <v>45281</v>
      </c>
      <c r="C281" s="1" t="n">
        <v>46133</v>
      </c>
      <c r="D281" t="inlineStr">
        <is>
          <t>JÄMTLANDS LÄN</t>
        </is>
      </c>
      <c r="E281" t="inlineStr">
        <is>
          <t>ÅRE</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61978-2023</t>
        </is>
      </c>
      <c r="B282" s="1" t="n">
        <v>45266.59711805556</v>
      </c>
      <c r="C282" s="1" t="n">
        <v>46133</v>
      </c>
      <c r="D282" t="inlineStr">
        <is>
          <t>JÄMTLANDS LÄN</t>
        </is>
      </c>
      <c r="E282" t="inlineStr">
        <is>
          <t>ÅRE</t>
        </is>
      </c>
      <c r="G282" t="n">
        <v>5.5</v>
      </c>
      <c r="H282" t="n">
        <v>0</v>
      </c>
      <c r="I282" t="n">
        <v>0</v>
      </c>
      <c r="J282" t="n">
        <v>0</v>
      </c>
      <c r="K282" t="n">
        <v>0</v>
      </c>
      <c r="L282" t="n">
        <v>0</v>
      </c>
      <c r="M282" t="n">
        <v>0</v>
      </c>
      <c r="N282" t="n">
        <v>0</v>
      </c>
      <c r="O282" t="n">
        <v>0</v>
      </c>
      <c r="P282" t="n">
        <v>0</v>
      </c>
      <c r="Q282" t="n">
        <v>0</v>
      </c>
      <c r="R282" s="2" t="inlineStr"/>
    </row>
    <row r="283" ht="15" customHeight="1">
      <c r="A283" t="inlineStr">
        <is>
          <t>A 12940-2024</t>
        </is>
      </c>
      <c r="B283" s="1" t="n">
        <v>45385.46263888889</v>
      </c>
      <c r="C283" s="1" t="n">
        <v>46133</v>
      </c>
      <c r="D283" t="inlineStr">
        <is>
          <t>JÄMTLANDS LÄN</t>
        </is>
      </c>
      <c r="E283" t="inlineStr">
        <is>
          <t>ÅRE</t>
        </is>
      </c>
      <c r="G283" t="n">
        <v>2.5</v>
      </c>
      <c r="H283" t="n">
        <v>0</v>
      </c>
      <c r="I283" t="n">
        <v>0</v>
      </c>
      <c r="J283" t="n">
        <v>0</v>
      </c>
      <c r="K283" t="n">
        <v>0</v>
      </c>
      <c r="L283" t="n">
        <v>0</v>
      </c>
      <c r="M283" t="n">
        <v>0</v>
      </c>
      <c r="N283" t="n">
        <v>0</v>
      </c>
      <c r="O283" t="n">
        <v>0</v>
      </c>
      <c r="P283" t="n">
        <v>0</v>
      </c>
      <c r="Q283" t="n">
        <v>0</v>
      </c>
      <c r="R283" s="2" t="inlineStr"/>
    </row>
    <row r="284" ht="15" customHeight="1">
      <c r="A284" t="inlineStr">
        <is>
          <t>A 58508-2023</t>
        </is>
      </c>
      <c r="B284" s="1" t="n">
        <v>45246</v>
      </c>
      <c r="C284" s="1" t="n">
        <v>46133</v>
      </c>
      <c r="D284" t="inlineStr">
        <is>
          <t>JÄMTLANDS LÄN</t>
        </is>
      </c>
      <c r="E284" t="inlineStr">
        <is>
          <t>ÅRE</t>
        </is>
      </c>
      <c r="G284" t="n">
        <v>21.8</v>
      </c>
      <c r="H284" t="n">
        <v>0</v>
      </c>
      <c r="I284" t="n">
        <v>0</v>
      </c>
      <c r="J284" t="n">
        <v>0</v>
      </c>
      <c r="K284" t="n">
        <v>0</v>
      </c>
      <c r="L284" t="n">
        <v>0</v>
      </c>
      <c r="M284" t="n">
        <v>0</v>
      </c>
      <c r="N284" t="n">
        <v>0</v>
      </c>
      <c r="O284" t="n">
        <v>0</v>
      </c>
      <c r="P284" t="n">
        <v>0</v>
      </c>
      <c r="Q284" t="n">
        <v>0</v>
      </c>
      <c r="R284" s="2" t="inlineStr"/>
    </row>
    <row r="285" ht="15" customHeight="1">
      <c r="A285" t="inlineStr">
        <is>
          <t>A 39069-2024</t>
        </is>
      </c>
      <c r="B285" s="1" t="n">
        <v>45548.53166666667</v>
      </c>
      <c r="C285" s="1" t="n">
        <v>46133</v>
      </c>
      <c r="D285" t="inlineStr">
        <is>
          <t>JÄMTLANDS LÄN</t>
        </is>
      </c>
      <c r="E285" t="inlineStr">
        <is>
          <t>ÅRE</t>
        </is>
      </c>
      <c r="G285" t="n">
        <v>0.5</v>
      </c>
      <c r="H285" t="n">
        <v>0</v>
      </c>
      <c r="I285" t="n">
        <v>0</v>
      </c>
      <c r="J285" t="n">
        <v>0</v>
      </c>
      <c r="K285" t="n">
        <v>0</v>
      </c>
      <c r="L285" t="n">
        <v>0</v>
      </c>
      <c r="M285" t="n">
        <v>0</v>
      </c>
      <c r="N285" t="n">
        <v>0</v>
      </c>
      <c r="O285" t="n">
        <v>0</v>
      </c>
      <c r="P285" t="n">
        <v>0</v>
      </c>
      <c r="Q285" t="n">
        <v>0</v>
      </c>
      <c r="R285" s="2" t="inlineStr"/>
    </row>
    <row r="286" ht="15" customHeight="1">
      <c r="A286" t="inlineStr">
        <is>
          <t>A 50574-2025</t>
        </is>
      </c>
      <c r="B286" s="1" t="n">
        <v>45945</v>
      </c>
      <c r="C286" s="1" t="n">
        <v>46133</v>
      </c>
      <c r="D286" t="inlineStr">
        <is>
          <t>JÄMTLANDS LÄN</t>
        </is>
      </c>
      <c r="E286" t="inlineStr">
        <is>
          <t>ÅRE</t>
        </is>
      </c>
      <c r="G286" t="n">
        <v>16.1</v>
      </c>
      <c r="H286" t="n">
        <v>0</v>
      </c>
      <c r="I286" t="n">
        <v>0</v>
      </c>
      <c r="J286" t="n">
        <v>0</v>
      </c>
      <c r="K286" t="n">
        <v>0</v>
      </c>
      <c r="L286" t="n">
        <v>0</v>
      </c>
      <c r="M286" t="n">
        <v>0</v>
      </c>
      <c r="N286" t="n">
        <v>0</v>
      </c>
      <c r="O286" t="n">
        <v>0</v>
      </c>
      <c r="P286" t="n">
        <v>0</v>
      </c>
      <c r="Q286" t="n">
        <v>0</v>
      </c>
      <c r="R286" s="2" t="inlineStr"/>
    </row>
    <row r="287" ht="15" customHeight="1">
      <c r="A287" t="inlineStr">
        <is>
          <t>A 45378-2025</t>
        </is>
      </c>
      <c r="B287" s="1" t="n">
        <v>45922</v>
      </c>
      <c r="C287" s="1" t="n">
        <v>46133</v>
      </c>
      <c r="D287" t="inlineStr">
        <is>
          <t>JÄMTLANDS LÄN</t>
        </is>
      </c>
      <c r="E287" t="inlineStr">
        <is>
          <t>ÅRE</t>
        </is>
      </c>
      <c r="G287" t="n">
        <v>15.7</v>
      </c>
      <c r="H287" t="n">
        <v>0</v>
      </c>
      <c r="I287" t="n">
        <v>0</v>
      </c>
      <c r="J287" t="n">
        <v>0</v>
      </c>
      <c r="K287" t="n">
        <v>0</v>
      </c>
      <c r="L287" t="n">
        <v>0</v>
      </c>
      <c r="M287" t="n">
        <v>0</v>
      </c>
      <c r="N287" t="n">
        <v>0</v>
      </c>
      <c r="O287" t="n">
        <v>0</v>
      </c>
      <c r="P287" t="n">
        <v>0</v>
      </c>
      <c r="Q287" t="n">
        <v>0</v>
      </c>
      <c r="R287" s="2" t="inlineStr"/>
    </row>
    <row r="288" ht="15" customHeight="1">
      <c r="A288" t="inlineStr">
        <is>
          <t>A 12944-2024</t>
        </is>
      </c>
      <c r="B288" s="1" t="n">
        <v>45385</v>
      </c>
      <c r="C288" s="1" t="n">
        <v>46133</v>
      </c>
      <c r="D288" t="inlineStr">
        <is>
          <t>JÄMTLANDS LÄN</t>
        </is>
      </c>
      <c r="E288" t="inlineStr">
        <is>
          <t>ÅRE</t>
        </is>
      </c>
      <c r="G288" t="n">
        <v>1.9</v>
      </c>
      <c r="H288" t="n">
        <v>0</v>
      </c>
      <c r="I288" t="n">
        <v>0</v>
      </c>
      <c r="J288" t="n">
        <v>0</v>
      </c>
      <c r="K288" t="n">
        <v>0</v>
      </c>
      <c r="L288" t="n">
        <v>0</v>
      </c>
      <c r="M288" t="n">
        <v>0</v>
      </c>
      <c r="N288" t="n">
        <v>0</v>
      </c>
      <c r="O288" t="n">
        <v>0</v>
      </c>
      <c r="P288" t="n">
        <v>0</v>
      </c>
      <c r="Q288" t="n">
        <v>0</v>
      </c>
      <c r="R288" s="2" t="inlineStr"/>
    </row>
    <row r="289" ht="15" customHeight="1">
      <c r="A289" t="inlineStr">
        <is>
          <t>A 44251-2025</t>
        </is>
      </c>
      <c r="B289" s="1" t="n">
        <v>45915.69837962963</v>
      </c>
      <c r="C289" s="1" t="n">
        <v>46133</v>
      </c>
      <c r="D289" t="inlineStr">
        <is>
          <t>JÄMTLANDS LÄN</t>
        </is>
      </c>
      <c r="E289" t="inlineStr">
        <is>
          <t>ÅRE</t>
        </is>
      </c>
      <c r="G289" t="n">
        <v>0.2</v>
      </c>
      <c r="H289" t="n">
        <v>0</v>
      </c>
      <c r="I289" t="n">
        <v>0</v>
      </c>
      <c r="J289" t="n">
        <v>0</v>
      </c>
      <c r="K289" t="n">
        <v>0</v>
      </c>
      <c r="L289" t="n">
        <v>0</v>
      </c>
      <c r="M289" t="n">
        <v>0</v>
      </c>
      <c r="N289" t="n">
        <v>0</v>
      </c>
      <c r="O289" t="n">
        <v>0</v>
      </c>
      <c r="P289" t="n">
        <v>0</v>
      </c>
      <c r="Q289" t="n">
        <v>0</v>
      </c>
      <c r="R289" s="2" t="inlineStr"/>
    </row>
    <row r="290" ht="15" customHeight="1">
      <c r="A290" t="inlineStr">
        <is>
          <t>A 64237-2021</t>
        </is>
      </c>
      <c r="B290" s="1" t="n">
        <v>44510</v>
      </c>
      <c r="C290" s="1" t="n">
        <v>46133</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30263-2023</t>
        </is>
      </c>
      <c r="B291" s="1" t="n">
        <v>45099</v>
      </c>
      <c r="C291" s="1" t="n">
        <v>46133</v>
      </c>
      <c r="D291" t="inlineStr">
        <is>
          <t>JÄMTLANDS LÄN</t>
        </is>
      </c>
      <c r="E291" t="inlineStr">
        <is>
          <t>ÅRE</t>
        </is>
      </c>
      <c r="G291" t="n">
        <v>15.9</v>
      </c>
      <c r="H291" t="n">
        <v>0</v>
      </c>
      <c r="I291" t="n">
        <v>0</v>
      </c>
      <c r="J291" t="n">
        <v>0</v>
      </c>
      <c r="K291" t="n">
        <v>0</v>
      </c>
      <c r="L291" t="n">
        <v>0</v>
      </c>
      <c r="M291" t="n">
        <v>0</v>
      </c>
      <c r="N291" t="n">
        <v>0</v>
      </c>
      <c r="O291" t="n">
        <v>0</v>
      </c>
      <c r="P291" t="n">
        <v>0</v>
      </c>
      <c r="Q291" t="n">
        <v>0</v>
      </c>
      <c r="R291" s="2" t="inlineStr"/>
    </row>
    <row r="292" ht="15" customHeight="1">
      <c r="A292" t="inlineStr">
        <is>
          <t>A 43767-2025</t>
        </is>
      </c>
      <c r="B292" s="1" t="n">
        <v>45912.49256944445</v>
      </c>
      <c r="C292" s="1" t="n">
        <v>46133</v>
      </c>
      <c r="D292" t="inlineStr">
        <is>
          <t>JÄMTLANDS LÄN</t>
        </is>
      </c>
      <c r="E292" t="inlineStr">
        <is>
          <t>ÅRE</t>
        </is>
      </c>
      <c r="G292" t="n">
        <v>7.1</v>
      </c>
      <c r="H292" t="n">
        <v>0</v>
      </c>
      <c r="I292" t="n">
        <v>0</v>
      </c>
      <c r="J292" t="n">
        <v>0</v>
      </c>
      <c r="K292" t="n">
        <v>0</v>
      </c>
      <c r="L292" t="n">
        <v>0</v>
      </c>
      <c r="M292" t="n">
        <v>0</v>
      </c>
      <c r="N292" t="n">
        <v>0</v>
      </c>
      <c r="O292" t="n">
        <v>0</v>
      </c>
      <c r="P292" t="n">
        <v>0</v>
      </c>
      <c r="Q292" t="n">
        <v>0</v>
      </c>
      <c r="R292" s="2" t="inlineStr"/>
    </row>
    <row r="293" ht="15" customHeight="1">
      <c r="A293" t="inlineStr">
        <is>
          <t>A 43768-2025</t>
        </is>
      </c>
      <c r="B293" s="1" t="n">
        <v>45912.49289351852</v>
      </c>
      <c r="C293" s="1" t="n">
        <v>46133</v>
      </c>
      <c r="D293" t="inlineStr">
        <is>
          <t>JÄMTLANDS LÄN</t>
        </is>
      </c>
      <c r="E293" t="inlineStr">
        <is>
          <t>ÅRE</t>
        </is>
      </c>
      <c r="G293" t="n">
        <v>1.4</v>
      </c>
      <c r="H293" t="n">
        <v>0</v>
      </c>
      <c r="I293" t="n">
        <v>0</v>
      </c>
      <c r="J293" t="n">
        <v>0</v>
      </c>
      <c r="K293" t="n">
        <v>0</v>
      </c>
      <c r="L293" t="n">
        <v>0</v>
      </c>
      <c r="M293" t="n">
        <v>0</v>
      </c>
      <c r="N293" t="n">
        <v>0</v>
      </c>
      <c r="O293" t="n">
        <v>0</v>
      </c>
      <c r="P293" t="n">
        <v>0</v>
      </c>
      <c r="Q293" t="n">
        <v>0</v>
      </c>
      <c r="R293" s="2" t="inlineStr"/>
    </row>
    <row r="294" ht="15" customHeight="1">
      <c r="A294" t="inlineStr">
        <is>
          <t>A 43769-2025</t>
        </is>
      </c>
      <c r="B294" s="1" t="n">
        <v>45912.49420138889</v>
      </c>
      <c r="C294" s="1" t="n">
        <v>46133</v>
      </c>
      <c r="D294" t="inlineStr">
        <is>
          <t>JÄMTLANDS LÄN</t>
        </is>
      </c>
      <c r="E294" t="inlineStr">
        <is>
          <t>ÅRE</t>
        </is>
      </c>
      <c r="G294" t="n">
        <v>6.1</v>
      </c>
      <c r="H294" t="n">
        <v>0</v>
      </c>
      <c r="I294" t="n">
        <v>0</v>
      </c>
      <c r="J294" t="n">
        <v>0</v>
      </c>
      <c r="K294" t="n">
        <v>0</v>
      </c>
      <c r="L294" t="n">
        <v>0</v>
      </c>
      <c r="M294" t="n">
        <v>0</v>
      </c>
      <c r="N294" t="n">
        <v>0</v>
      </c>
      <c r="O294" t="n">
        <v>0</v>
      </c>
      <c r="P294" t="n">
        <v>0</v>
      </c>
      <c r="Q294" t="n">
        <v>0</v>
      </c>
      <c r="R294" s="2" t="inlineStr"/>
    </row>
    <row r="295" ht="15" customHeight="1">
      <c r="A295" t="inlineStr">
        <is>
          <t>A 1112-2025</t>
        </is>
      </c>
      <c r="B295" s="1" t="n">
        <v>45666</v>
      </c>
      <c r="C295" s="1" t="n">
        <v>46133</v>
      </c>
      <c r="D295" t="inlineStr">
        <is>
          <t>JÄMTLANDS LÄN</t>
        </is>
      </c>
      <c r="E295" t="inlineStr">
        <is>
          <t>ÅRE</t>
        </is>
      </c>
      <c r="F295" t="inlineStr">
        <is>
          <t>Övriga Aktiebolag</t>
        </is>
      </c>
      <c r="G295" t="n">
        <v>17.7</v>
      </c>
      <c r="H295" t="n">
        <v>0</v>
      </c>
      <c r="I295" t="n">
        <v>0</v>
      </c>
      <c r="J295" t="n">
        <v>0</v>
      </c>
      <c r="K295" t="n">
        <v>0</v>
      </c>
      <c r="L295" t="n">
        <v>0</v>
      </c>
      <c r="M295" t="n">
        <v>0</v>
      </c>
      <c r="N295" t="n">
        <v>0</v>
      </c>
      <c r="O295" t="n">
        <v>0</v>
      </c>
      <c r="P295" t="n">
        <v>0</v>
      </c>
      <c r="Q295" t="n">
        <v>0</v>
      </c>
      <c r="R295" s="2" t="inlineStr"/>
    </row>
    <row r="296" ht="15" customHeight="1">
      <c r="A296" t="inlineStr">
        <is>
          <t>A 61183-2023</t>
        </is>
      </c>
      <c r="B296" s="1" t="n">
        <v>45263</v>
      </c>
      <c r="C296" s="1" t="n">
        <v>46133</v>
      </c>
      <c r="D296" t="inlineStr">
        <is>
          <t>JÄMTLANDS LÄN</t>
        </is>
      </c>
      <c r="E296" t="inlineStr">
        <is>
          <t>ÅRE</t>
        </is>
      </c>
      <c r="G296" t="n">
        <v>8.4</v>
      </c>
      <c r="H296" t="n">
        <v>0</v>
      </c>
      <c r="I296" t="n">
        <v>0</v>
      </c>
      <c r="J296" t="n">
        <v>0</v>
      </c>
      <c r="K296" t="n">
        <v>0</v>
      </c>
      <c r="L296" t="n">
        <v>0</v>
      </c>
      <c r="M296" t="n">
        <v>0</v>
      </c>
      <c r="N296" t="n">
        <v>0</v>
      </c>
      <c r="O296" t="n">
        <v>0</v>
      </c>
      <c r="P296" t="n">
        <v>0</v>
      </c>
      <c r="Q296" t="n">
        <v>0</v>
      </c>
      <c r="R296" s="2" t="inlineStr"/>
    </row>
    <row r="297" ht="15" customHeight="1">
      <c r="A297" t="inlineStr">
        <is>
          <t>A 4777-2025</t>
        </is>
      </c>
      <c r="B297" s="1" t="n">
        <v>45688</v>
      </c>
      <c r="C297" s="1" t="n">
        <v>46133</v>
      </c>
      <c r="D297" t="inlineStr">
        <is>
          <t>JÄMTLANDS LÄN</t>
        </is>
      </c>
      <c r="E297" t="inlineStr">
        <is>
          <t>ÅRE</t>
        </is>
      </c>
      <c r="G297" t="n">
        <v>0.7</v>
      </c>
      <c r="H297" t="n">
        <v>0</v>
      </c>
      <c r="I297" t="n">
        <v>0</v>
      </c>
      <c r="J297" t="n">
        <v>0</v>
      </c>
      <c r="K297" t="n">
        <v>0</v>
      </c>
      <c r="L297" t="n">
        <v>0</v>
      </c>
      <c r="M297" t="n">
        <v>0</v>
      </c>
      <c r="N297" t="n">
        <v>0</v>
      </c>
      <c r="O297" t="n">
        <v>0</v>
      </c>
      <c r="P297" t="n">
        <v>0</v>
      </c>
      <c r="Q297" t="n">
        <v>0</v>
      </c>
      <c r="R297" s="2" t="inlineStr"/>
    </row>
    <row r="298" ht="15" customHeight="1">
      <c r="A298" t="inlineStr">
        <is>
          <t>A 60913-2025</t>
        </is>
      </c>
      <c r="B298" s="1" t="n">
        <v>45999</v>
      </c>
      <c r="C298" s="1" t="n">
        <v>46133</v>
      </c>
      <c r="D298" t="inlineStr">
        <is>
          <t>JÄMTLANDS LÄN</t>
        </is>
      </c>
      <c r="E298" t="inlineStr">
        <is>
          <t>ÅRE</t>
        </is>
      </c>
      <c r="F298" t="inlineStr">
        <is>
          <t>Övriga Aktiebolag</t>
        </is>
      </c>
      <c r="G298" t="n">
        <v>19.9</v>
      </c>
      <c r="H298" t="n">
        <v>0</v>
      </c>
      <c r="I298" t="n">
        <v>0</v>
      </c>
      <c r="J298" t="n">
        <v>0</v>
      </c>
      <c r="K298" t="n">
        <v>0</v>
      </c>
      <c r="L298" t="n">
        <v>0</v>
      </c>
      <c r="M298" t="n">
        <v>0</v>
      </c>
      <c r="N298" t="n">
        <v>0</v>
      </c>
      <c r="O298" t="n">
        <v>0</v>
      </c>
      <c r="P298" t="n">
        <v>0</v>
      </c>
      <c r="Q298" t="n">
        <v>0</v>
      </c>
      <c r="R298" s="2" t="inlineStr"/>
    </row>
    <row r="299" ht="15" customHeight="1">
      <c r="A299" t="inlineStr">
        <is>
          <t>A 18849-2022</t>
        </is>
      </c>
      <c r="B299" s="1" t="n">
        <v>44690</v>
      </c>
      <c r="C299" s="1" t="n">
        <v>46133</v>
      </c>
      <c r="D299" t="inlineStr">
        <is>
          <t>JÄMTLANDS LÄN</t>
        </is>
      </c>
      <c r="E299" t="inlineStr">
        <is>
          <t>ÅRE</t>
        </is>
      </c>
      <c r="G299" t="n">
        <v>12.8</v>
      </c>
      <c r="H299" t="n">
        <v>0</v>
      </c>
      <c r="I299" t="n">
        <v>0</v>
      </c>
      <c r="J299" t="n">
        <v>0</v>
      </c>
      <c r="K299" t="n">
        <v>0</v>
      </c>
      <c r="L299" t="n">
        <v>0</v>
      </c>
      <c r="M299" t="n">
        <v>0</v>
      </c>
      <c r="N299" t="n">
        <v>0</v>
      </c>
      <c r="O299" t="n">
        <v>0</v>
      </c>
      <c r="P299" t="n">
        <v>0</v>
      </c>
      <c r="Q299" t="n">
        <v>0</v>
      </c>
      <c r="R299" s="2" t="inlineStr"/>
    </row>
    <row r="300" ht="15" customHeight="1">
      <c r="A300" t="inlineStr">
        <is>
          <t>A 55129-2025</t>
        </is>
      </c>
      <c r="B300" s="1" t="n">
        <v>45968</v>
      </c>
      <c r="C300" s="1" t="n">
        <v>46133</v>
      </c>
      <c r="D300" t="inlineStr">
        <is>
          <t>JÄMTLANDS LÄN</t>
        </is>
      </c>
      <c r="E300" t="inlineStr">
        <is>
          <t>ÅRE</t>
        </is>
      </c>
      <c r="F300" t="inlineStr">
        <is>
          <t>Övriga Aktiebolag</t>
        </is>
      </c>
      <c r="G300" t="n">
        <v>103.3</v>
      </c>
      <c r="H300" t="n">
        <v>0</v>
      </c>
      <c r="I300" t="n">
        <v>0</v>
      </c>
      <c r="J300" t="n">
        <v>0</v>
      </c>
      <c r="K300" t="n">
        <v>0</v>
      </c>
      <c r="L300" t="n">
        <v>0</v>
      </c>
      <c r="M300" t="n">
        <v>0</v>
      </c>
      <c r="N300" t="n">
        <v>0</v>
      </c>
      <c r="O300" t="n">
        <v>0</v>
      </c>
      <c r="P300" t="n">
        <v>0</v>
      </c>
      <c r="Q300" t="n">
        <v>0</v>
      </c>
      <c r="R300" s="2" t="inlineStr"/>
    </row>
    <row r="301" ht="15" customHeight="1">
      <c r="A301" t="inlineStr">
        <is>
          <t>A 58395-2025</t>
        </is>
      </c>
      <c r="B301" s="1" t="n">
        <v>45985</v>
      </c>
      <c r="C301" s="1" t="n">
        <v>46133</v>
      </c>
      <c r="D301" t="inlineStr">
        <is>
          <t>JÄMTLANDS LÄN</t>
        </is>
      </c>
      <c r="E301" t="inlineStr">
        <is>
          <t>ÅRE</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59698-2025</t>
        </is>
      </c>
      <c r="B302" s="1" t="n">
        <v>45992</v>
      </c>
      <c r="C302" s="1" t="n">
        <v>46133</v>
      </c>
      <c r="D302" t="inlineStr">
        <is>
          <t>JÄMTLANDS LÄN</t>
        </is>
      </c>
      <c r="E302" t="inlineStr">
        <is>
          <t>ÅRE</t>
        </is>
      </c>
      <c r="F302" t="inlineStr">
        <is>
          <t>Övriga Aktiebolag</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44418-2025</t>
        </is>
      </c>
      <c r="B303" s="1" t="n">
        <v>45916.54578703704</v>
      </c>
      <c r="C303" s="1" t="n">
        <v>46133</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52676-2023</t>
        </is>
      </c>
      <c r="B304" s="1" t="n">
        <v>45225.6890625</v>
      </c>
      <c r="C304" s="1" t="n">
        <v>46133</v>
      </c>
      <c r="D304" t="inlineStr">
        <is>
          <t>JÄMTLANDS LÄN</t>
        </is>
      </c>
      <c r="E304" t="inlineStr">
        <is>
          <t>ÅRE</t>
        </is>
      </c>
      <c r="F304" t="inlineStr">
        <is>
          <t>Övriga Aktiebolag</t>
        </is>
      </c>
      <c r="G304" t="n">
        <v>11</v>
      </c>
      <c r="H304" t="n">
        <v>0</v>
      </c>
      <c r="I304" t="n">
        <v>0</v>
      </c>
      <c r="J304" t="n">
        <v>0</v>
      </c>
      <c r="K304" t="n">
        <v>0</v>
      </c>
      <c r="L304" t="n">
        <v>0</v>
      </c>
      <c r="M304" t="n">
        <v>0</v>
      </c>
      <c r="N304" t="n">
        <v>0</v>
      </c>
      <c r="O304" t="n">
        <v>0</v>
      </c>
      <c r="P304" t="n">
        <v>0</v>
      </c>
      <c r="Q304" t="n">
        <v>0</v>
      </c>
      <c r="R304" s="2" t="inlineStr"/>
    </row>
    <row r="305" ht="15" customHeight="1">
      <c r="A305" t="inlineStr">
        <is>
          <t>A 44644-2025</t>
        </is>
      </c>
      <c r="B305" s="1" t="n">
        <v>45917.53284722222</v>
      </c>
      <c r="C305" s="1" t="n">
        <v>46133</v>
      </c>
      <c r="D305" t="inlineStr">
        <is>
          <t>JÄMTLANDS LÄN</t>
        </is>
      </c>
      <c r="E305" t="inlineStr">
        <is>
          <t>ÅRE</t>
        </is>
      </c>
      <c r="G305" t="n">
        <v>0.8</v>
      </c>
      <c r="H305" t="n">
        <v>0</v>
      </c>
      <c r="I305" t="n">
        <v>0</v>
      </c>
      <c r="J305" t="n">
        <v>0</v>
      </c>
      <c r="K305" t="n">
        <v>0</v>
      </c>
      <c r="L305" t="n">
        <v>0</v>
      </c>
      <c r="M305" t="n">
        <v>0</v>
      </c>
      <c r="N305" t="n">
        <v>0</v>
      </c>
      <c r="O305" t="n">
        <v>0</v>
      </c>
      <c r="P305" t="n">
        <v>0</v>
      </c>
      <c r="Q305" t="n">
        <v>0</v>
      </c>
      <c r="R305" s="2" t="inlineStr"/>
    </row>
    <row r="306" ht="15" customHeight="1">
      <c r="A306" t="inlineStr">
        <is>
          <t>A 44668-2025</t>
        </is>
      </c>
      <c r="B306" s="1" t="n">
        <v>45917.56306712963</v>
      </c>
      <c r="C306" s="1" t="n">
        <v>46133</v>
      </c>
      <c r="D306" t="inlineStr">
        <is>
          <t>JÄMTLANDS LÄN</t>
        </is>
      </c>
      <c r="E306" t="inlineStr">
        <is>
          <t>ÅRE</t>
        </is>
      </c>
      <c r="G306" t="n">
        <v>3.6</v>
      </c>
      <c r="H306" t="n">
        <v>0</v>
      </c>
      <c r="I306" t="n">
        <v>0</v>
      </c>
      <c r="J306" t="n">
        <v>0</v>
      </c>
      <c r="K306" t="n">
        <v>0</v>
      </c>
      <c r="L306" t="n">
        <v>0</v>
      </c>
      <c r="M306" t="n">
        <v>0</v>
      </c>
      <c r="N306" t="n">
        <v>0</v>
      </c>
      <c r="O306" t="n">
        <v>0</v>
      </c>
      <c r="P306" t="n">
        <v>0</v>
      </c>
      <c r="Q306" t="n">
        <v>0</v>
      </c>
      <c r="R306" s="2" t="inlineStr"/>
    </row>
    <row r="307" ht="15" customHeight="1">
      <c r="A307" t="inlineStr">
        <is>
          <t>A 44685-2025</t>
        </is>
      </c>
      <c r="B307" s="1" t="n">
        <v>45917.58569444445</v>
      </c>
      <c r="C307" s="1" t="n">
        <v>46133</v>
      </c>
      <c r="D307" t="inlineStr">
        <is>
          <t>JÄMTLANDS LÄN</t>
        </is>
      </c>
      <c r="E307" t="inlineStr">
        <is>
          <t>ÅRE</t>
        </is>
      </c>
      <c r="G307" t="n">
        <v>2.2</v>
      </c>
      <c r="H307" t="n">
        <v>0</v>
      </c>
      <c r="I307" t="n">
        <v>0</v>
      </c>
      <c r="J307" t="n">
        <v>0</v>
      </c>
      <c r="K307" t="n">
        <v>0</v>
      </c>
      <c r="L307" t="n">
        <v>0</v>
      </c>
      <c r="M307" t="n">
        <v>0</v>
      </c>
      <c r="N307" t="n">
        <v>0</v>
      </c>
      <c r="O307" t="n">
        <v>0</v>
      </c>
      <c r="P307" t="n">
        <v>0</v>
      </c>
      <c r="Q307" t="n">
        <v>0</v>
      </c>
      <c r="R307" s="2" t="inlineStr"/>
    </row>
    <row r="308" ht="15" customHeight="1">
      <c r="A308" t="inlineStr">
        <is>
          <t>A 57816-2025</t>
        </is>
      </c>
      <c r="B308" s="1" t="n">
        <v>45981.59471064815</v>
      </c>
      <c r="C308" s="1" t="n">
        <v>46133</v>
      </c>
      <c r="D308" t="inlineStr">
        <is>
          <t>JÄMTLANDS LÄN</t>
        </is>
      </c>
      <c r="E308" t="inlineStr">
        <is>
          <t>ÅRE</t>
        </is>
      </c>
      <c r="G308" t="n">
        <v>5.8</v>
      </c>
      <c r="H308" t="n">
        <v>0</v>
      </c>
      <c r="I308" t="n">
        <v>0</v>
      </c>
      <c r="J308" t="n">
        <v>0</v>
      </c>
      <c r="K308" t="n">
        <v>0</v>
      </c>
      <c r="L308" t="n">
        <v>0</v>
      </c>
      <c r="M308" t="n">
        <v>0</v>
      </c>
      <c r="N308" t="n">
        <v>0</v>
      </c>
      <c r="O308" t="n">
        <v>0</v>
      </c>
      <c r="P308" t="n">
        <v>0</v>
      </c>
      <c r="Q308" t="n">
        <v>0</v>
      </c>
      <c r="R308" s="2" t="inlineStr"/>
    </row>
    <row r="309" ht="15" customHeight="1">
      <c r="A309" t="inlineStr">
        <is>
          <t>A 7297-2026</t>
        </is>
      </c>
      <c r="B309" s="1" t="n">
        <v>46058.64458333333</v>
      </c>
      <c r="C309" s="1" t="n">
        <v>46133</v>
      </c>
      <c r="D309" t="inlineStr">
        <is>
          <t>JÄMTLANDS LÄN</t>
        </is>
      </c>
      <c r="E309" t="inlineStr">
        <is>
          <t>ÅRE</t>
        </is>
      </c>
      <c r="F309" t="inlineStr">
        <is>
          <t>Övriga Aktiebolag</t>
        </is>
      </c>
      <c r="G309" t="n">
        <v>19.1</v>
      </c>
      <c r="H309" t="n">
        <v>0</v>
      </c>
      <c r="I309" t="n">
        <v>0</v>
      </c>
      <c r="J309" t="n">
        <v>0</v>
      </c>
      <c r="K309" t="n">
        <v>0</v>
      </c>
      <c r="L309" t="n">
        <v>0</v>
      </c>
      <c r="M309" t="n">
        <v>0</v>
      </c>
      <c r="N309" t="n">
        <v>0</v>
      </c>
      <c r="O309" t="n">
        <v>0</v>
      </c>
      <c r="P309" t="n">
        <v>0</v>
      </c>
      <c r="Q309" t="n">
        <v>0</v>
      </c>
      <c r="R309" s="2" t="inlineStr"/>
    </row>
    <row r="310" ht="15" customHeight="1">
      <c r="A310" t="inlineStr">
        <is>
          <t>A 50344-2024</t>
        </is>
      </c>
      <c r="B310" s="1" t="n">
        <v>45600</v>
      </c>
      <c r="C310" s="1" t="n">
        <v>46133</v>
      </c>
      <c r="D310" t="inlineStr">
        <is>
          <t>JÄMTLANDS LÄN</t>
        </is>
      </c>
      <c r="E310" t="inlineStr">
        <is>
          <t>ÅRE</t>
        </is>
      </c>
      <c r="G310" t="n">
        <v>4</v>
      </c>
      <c r="H310" t="n">
        <v>0</v>
      </c>
      <c r="I310" t="n">
        <v>0</v>
      </c>
      <c r="J310" t="n">
        <v>0</v>
      </c>
      <c r="K310" t="n">
        <v>0</v>
      </c>
      <c r="L310" t="n">
        <v>0</v>
      </c>
      <c r="M310" t="n">
        <v>0</v>
      </c>
      <c r="N310" t="n">
        <v>0</v>
      </c>
      <c r="O310" t="n">
        <v>0</v>
      </c>
      <c r="P310" t="n">
        <v>0</v>
      </c>
      <c r="Q310" t="n">
        <v>0</v>
      </c>
      <c r="R310" s="2" t="inlineStr"/>
    </row>
    <row r="311" ht="15" customHeight="1">
      <c r="A311" t="inlineStr">
        <is>
          <t>A 12290-2023</t>
        </is>
      </c>
      <c r="B311" s="1" t="n">
        <v>44998.73545138889</v>
      </c>
      <c r="C311" s="1" t="n">
        <v>46133</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12291-2023</t>
        </is>
      </c>
      <c r="B312" s="1" t="n">
        <v>44998.74140046296</v>
      </c>
      <c r="C312" s="1" t="n">
        <v>46133</v>
      </c>
      <c r="D312" t="inlineStr">
        <is>
          <t>JÄMTLANDS LÄN</t>
        </is>
      </c>
      <c r="E312" t="inlineStr">
        <is>
          <t>ÅRE</t>
        </is>
      </c>
      <c r="G312" t="n">
        <v>6</v>
      </c>
      <c r="H312" t="n">
        <v>0</v>
      </c>
      <c r="I312" t="n">
        <v>0</v>
      </c>
      <c r="J312" t="n">
        <v>0</v>
      </c>
      <c r="K312" t="n">
        <v>0</v>
      </c>
      <c r="L312" t="n">
        <v>0</v>
      </c>
      <c r="M312" t="n">
        <v>0</v>
      </c>
      <c r="N312" t="n">
        <v>0</v>
      </c>
      <c r="O312" t="n">
        <v>0</v>
      </c>
      <c r="P312" t="n">
        <v>0</v>
      </c>
      <c r="Q312" t="n">
        <v>0</v>
      </c>
      <c r="R312" s="2" t="inlineStr"/>
    </row>
    <row r="313" ht="15" customHeight="1">
      <c r="A313" t="inlineStr">
        <is>
          <t>A 63838-2025</t>
        </is>
      </c>
      <c r="B313" s="1" t="n">
        <v>46020.4169212963</v>
      </c>
      <c r="C313" s="1" t="n">
        <v>46133</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45796-2024</t>
        </is>
      </c>
      <c r="B314" s="1" t="n">
        <v>45579.67354166666</v>
      </c>
      <c r="C314" s="1" t="n">
        <v>46133</v>
      </c>
      <c r="D314" t="inlineStr">
        <is>
          <t>JÄMTLANDS LÄN</t>
        </is>
      </c>
      <c r="E314" t="inlineStr">
        <is>
          <t>ÅRE</t>
        </is>
      </c>
      <c r="G314" t="n">
        <v>5</v>
      </c>
      <c r="H314" t="n">
        <v>0</v>
      </c>
      <c r="I314" t="n">
        <v>0</v>
      </c>
      <c r="J314" t="n">
        <v>0</v>
      </c>
      <c r="K314" t="n">
        <v>0</v>
      </c>
      <c r="L314" t="n">
        <v>0</v>
      </c>
      <c r="M314" t="n">
        <v>0</v>
      </c>
      <c r="N314" t="n">
        <v>0</v>
      </c>
      <c r="O314" t="n">
        <v>0</v>
      </c>
      <c r="P314" t="n">
        <v>0</v>
      </c>
      <c r="Q314" t="n">
        <v>0</v>
      </c>
      <c r="R314" s="2" t="inlineStr"/>
    </row>
    <row r="315" ht="15" customHeight="1">
      <c r="A315" t="inlineStr">
        <is>
          <t>A 23651-2025</t>
        </is>
      </c>
      <c r="B315" s="1" t="n">
        <v>45792</v>
      </c>
      <c r="C315" s="1" t="n">
        <v>46133</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45605-2025</t>
        </is>
      </c>
      <c r="B316" s="1" t="n">
        <v>45922.69826388889</v>
      </c>
      <c r="C316" s="1" t="n">
        <v>46133</v>
      </c>
      <c r="D316" t="inlineStr">
        <is>
          <t>JÄMTLANDS LÄN</t>
        </is>
      </c>
      <c r="E316" t="inlineStr">
        <is>
          <t>ÅRE</t>
        </is>
      </c>
      <c r="G316" t="n">
        <v>1.9</v>
      </c>
      <c r="H316" t="n">
        <v>0</v>
      </c>
      <c r="I316" t="n">
        <v>0</v>
      </c>
      <c r="J316" t="n">
        <v>0</v>
      </c>
      <c r="K316" t="n">
        <v>0</v>
      </c>
      <c r="L316" t="n">
        <v>0</v>
      </c>
      <c r="M316" t="n">
        <v>0</v>
      </c>
      <c r="N316" t="n">
        <v>0</v>
      </c>
      <c r="O316" t="n">
        <v>0</v>
      </c>
      <c r="P316" t="n">
        <v>0</v>
      </c>
      <c r="Q316" t="n">
        <v>0</v>
      </c>
      <c r="R316" s="2" t="inlineStr"/>
    </row>
    <row r="317" ht="15" customHeight="1">
      <c r="A317" t="inlineStr">
        <is>
          <t>A 21905-2021</t>
        </is>
      </c>
      <c r="B317" s="1" t="n">
        <v>44322</v>
      </c>
      <c r="C317" s="1" t="n">
        <v>46133</v>
      </c>
      <c r="D317" t="inlineStr">
        <is>
          <t>JÄMTLANDS LÄN</t>
        </is>
      </c>
      <c r="E317" t="inlineStr">
        <is>
          <t>ÅRE</t>
        </is>
      </c>
      <c r="G317" t="n">
        <v>14.3</v>
      </c>
      <c r="H317" t="n">
        <v>0</v>
      </c>
      <c r="I317" t="n">
        <v>0</v>
      </c>
      <c r="J317" t="n">
        <v>0</v>
      </c>
      <c r="K317" t="n">
        <v>0</v>
      </c>
      <c r="L317" t="n">
        <v>0</v>
      </c>
      <c r="M317" t="n">
        <v>0</v>
      </c>
      <c r="N317" t="n">
        <v>0</v>
      </c>
      <c r="O317" t="n">
        <v>0</v>
      </c>
      <c r="P317" t="n">
        <v>0</v>
      </c>
      <c r="Q317" t="n">
        <v>0</v>
      </c>
      <c r="R317" s="2" t="inlineStr"/>
    </row>
    <row r="318" ht="15" customHeight="1">
      <c r="A318" t="inlineStr">
        <is>
          <t>A 45796-2025</t>
        </is>
      </c>
      <c r="B318" s="1" t="n">
        <v>45923.57418981481</v>
      </c>
      <c r="C318" s="1" t="n">
        <v>46133</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45614-2025</t>
        </is>
      </c>
      <c r="B319" s="1" t="n">
        <v>45922.719375</v>
      </c>
      <c r="C319" s="1" t="n">
        <v>46133</v>
      </c>
      <c r="D319" t="inlineStr">
        <is>
          <t>JÄMTLANDS LÄN</t>
        </is>
      </c>
      <c r="E319" t="inlineStr">
        <is>
          <t>ÅRE</t>
        </is>
      </c>
      <c r="G319" t="n">
        <v>2.4</v>
      </c>
      <c r="H319" t="n">
        <v>0</v>
      </c>
      <c r="I319" t="n">
        <v>0</v>
      </c>
      <c r="J319" t="n">
        <v>0</v>
      </c>
      <c r="K319" t="n">
        <v>0</v>
      </c>
      <c r="L319" t="n">
        <v>0</v>
      </c>
      <c r="M319" t="n">
        <v>0</v>
      </c>
      <c r="N319" t="n">
        <v>0</v>
      </c>
      <c r="O319" t="n">
        <v>0</v>
      </c>
      <c r="P319" t="n">
        <v>0</v>
      </c>
      <c r="Q319" t="n">
        <v>0</v>
      </c>
      <c r="R319" s="2" t="inlineStr"/>
    </row>
    <row r="320" ht="15" customHeight="1">
      <c r="A320" t="inlineStr">
        <is>
          <t>A 63860-2025</t>
        </is>
      </c>
      <c r="B320" s="1" t="n">
        <v>46020.48969907407</v>
      </c>
      <c r="C320" s="1" t="n">
        <v>46133</v>
      </c>
      <c r="D320" t="inlineStr">
        <is>
          <t>JÄMTLANDS LÄN</t>
        </is>
      </c>
      <c r="E320" t="inlineStr">
        <is>
          <t>ÅRE</t>
        </is>
      </c>
      <c r="G320" t="n">
        <v>4.1</v>
      </c>
      <c r="H320" t="n">
        <v>0</v>
      </c>
      <c r="I320" t="n">
        <v>0</v>
      </c>
      <c r="J320" t="n">
        <v>0</v>
      </c>
      <c r="K320" t="n">
        <v>0</v>
      </c>
      <c r="L320" t="n">
        <v>0</v>
      </c>
      <c r="M320" t="n">
        <v>0</v>
      </c>
      <c r="N320" t="n">
        <v>0</v>
      </c>
      <c r="O320" t="n">
        <v>0</v>
      </c>
      <c r="P320" t="n">
        <v>0</v>
      </c>
      <c r="Q320" t="n">
        <v>0</v>
      </c>
      <c r="R320" s="2" t="inlineStr"/>
    </row>
    <row r="321" ht="15" customHeight="1">
      <c r="A321" t="inlineStr">
        <is>
          <t>A 59916-2023</t>
        </is>
      </c>
      <c r="B321" s="1" t="n">
        <v>45257.64270833333</v>
      </c>
      <c r="C321" s="1" t="n">
        <v>46133</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63863-2025</t>
        </is>
      </c>
      <c r="B322" s="1" t="n">
        <v>46020.49924768518</v>
      </c>
      <c r="C322" s="1" t="n">
        <v>46133</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12288-2023</t>
        </is>
      </c>
      <c r="B323" s="1" t="n">
        <v>44998.73143518518</v>
      </c>
      <c r="C323" s="1" t="n">
        <v>46133</v>
      </c>
      <c r="D323" t="inlineStr">
        <is>
          <t>JÄMTLANDS LÄN</t>
        </is>
      </c>
      <c r="E323" t="inlineStr">
        <is>
          <t>ÅRE</t>
        </is>
      </c>
      <c r="G323" t="n">
        <v>1.7</v>
      </c>
      <c r="H323" t="n">
        <v>0</v>
      </c>
      <c r="I323" t="n">
        <v>0</v>
      </c>
      <c r="J323" t="n">
        <v>0</v>
      </c>
      <c r="K323" t="n">
        <v>0</v>
      </c>
      <c r="L323" t="n">
        <v>0</v>
      </c>
      <c r="M323" t="n">
        <v>0</v>
      </c>
      <c r="N323" t="n">
        <v>0</v>
      </c>
      <c r="O323" t="n">
        <v>0</v>
      </c>
      <c r="P323" t="n">
        <v>0</v>
      </c>
      <c r="Q323" t="n">
        <v>0</v>
      </c>
      <c r="R323" s="2" t="inlineStr"/>
    </row>
    <row r="324" ht="15" customHeight="1">
      <c r="A324" t="inlineStr">
        <is>
          <t>A 58917-2022</t>
        </is>
      </c>
      <c r="B324" s="1" t="n">
        <v>44903</v>
      </c>
      <c r="C324" s="1" t="n">
        <v>46133</v>
      </c>
      <c r="D324" t="inlineStr">
        <is>
          <t>JÄMTLANDS LÄN</t>
        </is>
      </c>
      <c r="E324" t="inlineStr">
        <is>
          <t>ÅRE</t>
        </is>
      </c>
      <c r="F324" t="inlineStr">
        <is>
          <t>Övriga Aktiebolag</t>
        </is>
      </c>
      <c r="G324" t="n">
        <v>3.3</v>
      </c>
      <c r="H324" t="n">
        <v>0</v>
      </c>
      <c r="I324" t="n">
        <v>0</v>
      </c>
      <c r="J324" t="n">
        <v>0</v>
      </c>
      <c r="K324" t="n">
        <v>0</v>
      </c>
      <c r="L324" t="n">
        <v>0</v>
      </c>
      <c r="M324" t="n">
        <v>0</v>
      </c>
      <c r="N324" t="n">
        <v>0</v>
      </c>
      <c r="O324" t="n">
        <v>0</v>
      </c>
      <c r="P324" t="n">
        <v>0</v>
      </c>
      <c r="Q324" t="n">
        <v>0</v>
      </c>
      <c r="R324" s="2" t="inlineStr"/>
    </row>
    <row r="325" ht="15" customHeight="1">
      <c r="A325" t="inlineStr">
        <is>
          <t>A 46041-2025</t>
        </is>
      </c>
      <c r="B325" s="1" t="n">
        <v>45924</v>
      </c>
      <c r="C325" s="1" t="n">
        <v>46133</v>
      </c>
      <c r="D325" t="inlineStr">
        <is>
          <t>JÄMTLANDS LÄN</t>
        </is>
      </c>
      <c r="E325" t="inlineStr">
        <is>
          <t>ÅRE</t>
        </is>
      </c>
      <c r="G325" t="n">
        <v>3.5</v>
      </c>
      <c r="H325" t="n">
        <v>0</v>
      </c>
      <c r="I325" t="n">
        <v>0</v>
      </c>
      <c r="J325" t="n">
        <v>0</v>
      </c>
      <c r="K325" t="n">
        <v>0</v>
      </c>
      <c r="L325" t="n">
        <v>0</v>
      </c>
      <c r="M325" t="n">
        <v>0</v>
      </c>
      <c r="N325" t="n">
        <v>0</v>
      </c>
      <c r="O325" t="n">
        <v>0</v>
      </c>
      <c r="P325" t="n">
        <v>0</v>
      </c>
      <c r="Q325" t="n">
        <v>0</v>
      </c>
      <c r="R325" s="2" t="inlineStr"/>
    </row>
    <row r="326" ht="15" customHeight="1">
      <c r="A326" t="inlineStr">
        <is>
          <t>A 39509-2025</t>
        </is>
      </c>
      <c r="B326" s="1" t="n">
        <v>45890.40737268519</v>
      </c>
      <c r="C326" s="1" t="n">
        <v>46133</v>
      </c>
      <c r="D326" t="inlineStr">
        <is>
          <t>JÄMTLANDS LÄN</t>
        </is>
      </c>
      <c r="E326" t="inlineStr">
        <is>
          <t>ÅRE</t>
        </is>
      </c>
      <c r="G326" t="n">
        <v>5.6</v>
      </c>
      <c r="H326" t="n">
        <v>0</v>
      </c>
      <c r="I326" t="n">
        <v>0</v>
      </c>
      <c r="J326" t="n">
        <v>0</v>
      </c>
      <c r="K326" t="n">
        <v>0</v>
      </c>
      <c r="L326" t="n">
        <v>0</v>
      </c>
      <c r="M326" t="n">
        <v>0</v>
      </c>
      <c r="N326" t="n">
        <v>0</v>
      </c>
      <c r="O326" t="n">
        <v>0</v>
      </c>
      <c r="P326" t="n">
        <v>0</v>
      </c>
      <c r="Q326" t="n">
        <v>0</v>
      </c>
      <c r="R326" s="2" t="inlineStr"/>
    </row>
    <row r="327" ht="15" customHeight="1">
      <c r="A327" t="inlineStr">
        <is>
          <t>A 36048-2023</t>
        </is>
      </c>
      <c r="B327" s="1" t="n">
        <v>45149.42868055555</v>
      </c>
      <c r="C327" s="1" t="n">
        <v>46133</v>
      </c>
      <c r="D327" t="inlineStr">
        <is>
          <t>JÄMTLANDS LÄN</t>
        </is>
      </c>
      <c r="E327" t="inlineStr">
        <is>
          <t>ÅRE</t>
        </is>
      </c>
      <c r="G327" t="n">
        <v>11.4</v>
      </c>
      <c r="H327" t="n">
        <v>0</v>
      </c>
      <c r="I327" t="n">
        <v>0</v>
      </c>
      <c r="J327" t="n">
        <v>0</v>
      </c>
      <c r="K327" t="n">
        <v>0</v>
      </c>
      <c r="L327" t="n">
        <v>0</v>
      </c>
      <c r="M327" t="n">
        <v>0</v>
      </c>
      <c r="N327" t="n">
        <v>0</v>
      </c>
      <c r="O327" t="n">
        <v>0</v>
      </c>
      <c r="P327" t="n">
        <v>0</v>
      </c>
      <c r="Q327" t="n">
        <v>0</v>
      </c>
      <c r="R327" s="2" t="inlineStr"/>
    </row>
    <row r="328" ht="15" customHeight="1">
      <c r="A328" t="inlineStr">
        <is>
          <t>A 9224-2026</t>
        </is>
      </c>
      <c r="B328" s="1" t="n">
        <v>46070.44868055556</v>
      </c>
      <c r="C328" s="1" t="n">
        <v>46133</v>
      </c>
      <c r="D328" t="inlineStr">
        <is>
          <t>JÄMTLANDS LÄN</t>
        </is>
      </c>
      <c r="E328" t="inlineStr">
        <is>
          <t>ÅRE</t>
        </is>
      </c>
      <c r="G328" t="n">
        <v>0.9</v>
      </c>
      <c r="H328" t="n">
        <v>0</v>
      </c>
      <c r="I328" t="n">
        <v>0</v>
      </c>
      <c r="J328" t="n">
        <v>0</v>
      </c>
      <c r="K328" t="n">
        <v>0</v>
      </c>
      <c r="L328" t="n">
        <v>0</v>
      </c>
      <c r="M328" t="n">
        <v>0</v>
      </c>
      <c r="N328" t="n">
        <v>0</v>
      </c>
      <c r="O328" t="n">
        <v>0</v>
      </c>
      <c r="P328" t="n">
        <v>0</v>
      </c>
      <c r="Q328" t="n">
        <v>0</v>
      </c>
      <c r="R328" s="2" t="inlineStr"/>
    </row>
    <row r="329" ht="15" customHeight="1">
      <c r="A329" t="inlineStr">
        <is>
          <t>A 25275-2025</t>
        </is>
      </c>
      <c r="B329" s="1" t="n">
        <v>45800</v>
      </c>
      <c r="C329" s="1" t="n">
        <v>46133</v>
      </c>
      <c r="D329" t="inlineStr">
        <is>
          <t>JÄMTLANDS LÄN</t>
        </is>
      </c>
      <c r="E329" t="inlineStr">
        <is>
          <t>ÅRE</t>
        </is>
      </c>
      <c r="G329" t="n">
        <v>1.1</v>
      </c>
      <c r="H329" t="n">
        <v>0</v>
      </c>
      <c r="I329" t="n">
        <v>0</v>
      </c>
      <c r="J329" t="n">
        <v>0</v>
      </c>
      <c r="K329" t="n">
        <v>0</v>
      </c>
      <c r="L329" t="n">
        <v>0</v>
      </c>
      <c r="M329" t="n">
        <v>0</v>
      </c>
      <c r="N329" t="n">
        <v>0</v>
      </c>
      <c r="O329" t="n">
        <v>0</v>
      </c>
      <c r="P329" t="n">
        <v>0</v>
      </c>
      <c r="Q329" t="n">
        <v>0</v>
      </c>
      <c r="R329" s="2" t="inlineStr"/>
    </row>
    <row r="330" ht="15" customHeight="1">
      <c r="A330" t="inlineStr">
        <is>
          <t>A 500-2026</t>
        </is>
      </c>
      <c r="B330" s="1" t="n">
        <v>46029.43557870371</v>
      </c>
      <c r="C330" s="1" t="n">
        <v>46133</v>
      </c>
      <c r="D330" t="inlineStr">
        <is>
          <t>JÄMTLANDS LÄN</t>
        </is>
      </c>
      <c r="E330" t="inlineStr">
        <is>
          <t>ÅRE</t>
        </is>
      </c>
      <c r="F330" t="inlineStr">
        <is>
          <t>Övriga Aktiebolag</t>
        </is>
      </c>
      <c r="G330" t="n">
        <v>8.5</v>
      </c>
      <c r="H330" t="n">
        <v>0</v>
      </c>
      <c r="I330" t="n">
        <v>0</v>
      </c>
      <c r="J330" t="n">
        <v>0</v>
      </c>
      <c r="K330" t="n">
        <v>0</v>
      </c>
      <c r="L330" t="n">
        <v>0</v>
      </c>
      <c r="M330" t="n">
        <v>0</v>
      </c>
      <c r="N330" t="n">
        <v>0</v>
      </c>
      <c r="O330" t="n">
        <v>0</v>
      </c>
      <c r="P330" t="n">
        <v>0</v>
      </c>
      <c r="Q330" t="n">
        <v>0</v>
      </c>
      <c r="R330" s="2" t="inlineStr"/>
    </row>
    <row r="331" ht="15" customHeight="1">
      <c r="A331" t="inlineStr">
        <is>
          <t>A 9212-2026</t>
        </is>
      </c>
      <c r="B331" s="1" t="n">
        <v>46070.43201388889</v>
      </c>
      <c r="C331" s="1" t="n">
        <v>46133</v>
      </c>
      <c r="D331" t="inlineStr">
        <is>
          <t>JÄMTLANDS LÄN</t>
        </is>
      </c>
      <c r="E331" t="inlineStr">
        <is>
          <t>ÅRE</t>
        </is>
      </c>
      <c r="G331" t="n">
        <v>3.5</v>
      </c>
      <c r="H331" t="n">
        <v>0</v>
      </c>
      <c r="I331" t="n">
        <v>0</v>
      </c>
      <c r="J331" t="n">
        <v>0</v>
      </c>
      <c r="K331" t="n">
        <v>0</v>
      </c>
      <c r="L331" t="n">
        <v>0</v>
      </c>
      <c r="M331" t="n">
        <v>0</v>
      </c>
      <c r="N331" t="n">
        <v>0</v>
      </c>
      <c r="O331" t="n">
        <v>0</v>
      </c>
      <c r="P331" t="n">
        <v>0</v>
      </c>
      <c r="Q331" t="n">
        <v>0</v>
      </c>
      <c r="R331" s="2" t="inlineStr"/>
    </row>
    <row r="332" ht="15" customHeight="1">
      <c r="A332" t="inlineStr">
        <is>
          <t>A 9326-2026</t>
        </is>
      </c>
      <c r="B332" s="1" t="n">
        <v>46070.6487037037</v>
      </c>
      <c r="C332" s="1" t="n">
        <v>46133</v>
      </c>
      <c r="D332" t="inlineStr">
        <is>
          <t>JÄMTLANDS LÄN</t>
        </is>
      </c>
      <c r="E332" t="inlineStr">
        <is>
          <t>ÅRE</t>
        </is>
      </c>
      <c r="F332" t="inlineStr">
        <is>
          <t>Övriga Aktiebolag</t>
        </is>
      </c>
      <c r="G332" t="n">
        <v>14.2</v>
      </c>
      <c r="H332" t="n">
        <v>0</v>
      </c>
      <c r="I332" t="n">
        <v>0</v>
      </c>
      <c r="J332" t="n">
        <v>0</v>
      </c>
      <c r="K332" t="n">
        <v>0</v>
      </c>
      <c r="L332" t="n">
        <v>0</v>
      </c>
      <c r="M332" t="n">
        <v>0</v>
      </c>
      <c r="N332" t="n">
        <v>0</v>
      </c>
      <c r="O332" t="n">
        <v>0</v>
      </c>
      <c r="P332" t="n">
        <v>0</v>
      </c>
      <c r="Q332" t="n">
        <v>0</v>
      </c>
      <c r="R332" s="2" t="inlineStr"/>
    </row>
    <row r="333" ht="15" customHeight="1">
      <c r="A333" t="inlineStr">
        <is>
          <t>A 13370-2024</t>
        </is>
      </c>
      <c r="B333" s="1" t="n">
        <v>45387</v>
      </c>
      <c r="C333" s="1" t="n">
        <v>46133</v>
      </c>
      <c r="D333" t="inlineStr">
        <is>
          <t>JÄMTLANDS LÄN</t>
        </is>
      </c>
      <c r="E333" t="inlineStr">
        <is>
          <t>ÅRE</t>
        </is>
      </c>
      <c r="G333" t="n">
        <v>8.5</v>
      </c>
      <c r="H333" t="n">
        <v>0</v>
      </c>
      <c r="I333" t="n">
        <v>0</v>
      </c>
      <c r="J333" t="n">
        <v>0</v>
      </c>
      <c r="K333" t="n">
        <v>0</v>
      </c>
      <c r="L333" t="n">
        <v>0</v>
      </c>
      <c r="M333" t="n">
        <v>0</v>
      </c>
      <c r="N333" t="n">
        <v>0</v>
      </c>
      <c r="O333" t="n">
        <v>0</v>
      </c>
      <c r="P333" t="n">
        <v>0</v>
      </c>
      <c r="Q333" t="n">
        <v>0</v>
      </c>
      <c r="R333" s="2" t="inlineStr"/>
    </row>
    <row r="334" ht="15" customHeight="1">
      <c r="A334" t="inlineStr">
        <is>
          <t>A 9219-2026</t>
        </is>
      </c>
      <c r="B334" s="1" t="n">
        <v>46070.4453125</v>
      </c>
      <c r="C334" s="1" t="n">
        <v>46133</v>
      </c>
      <c r="D334" t="inlineStr">
        <is>
          <t>JÄMTLANDS LÄN</t>
        </is>
      </c>
      <c r="E334" t="inlineStr">
        <is>
          <t>ÅRE</t>
        </is>
      </c>
      <c r="G334" t="n">
        <v>12.4</v>
      </c>
      <c r="H334" t="n">
        <v>0</v>
      </c>
      <c r="I334" t="n">
        <v>0</v>
      </c>
      <c r="J334" t="n">
        <v>0</v>
      </c>
      <c r="K334" t="n">
        <v>0</v>
      </c>
      <c r="L334" t="n">
        <v>0</v>
      </c>
      <c r="M334" t="n">
        <v>0</v>
      </c>
      <c r="N334" t="n">
        <v>0</v>
      </c>
      <c r="O334" t="n">
        <v>0</v>
      </c>
      <c r="P334" t="n">
        <v>0</v>
      </c>
      <c r="Q334" t="n">
        <v>0</v>
      </c>
      <c r="R334" s="2" t="inlineStr"/>
    </row>
    <row r="335" ht="15" customHeight="1">
      <c r="A335" t="inlineStr">
        <is>
          <t>A 35058-2025</t>
        </is>
      </c>
      <c r="B335" s="1" t="n">
        <v>45849</v>
      </c>
      <c r="C335" s="1" t="n">
        <v>46133</v>
      </c>
      <c r="D335" t="inlineStr">
        <is>
          <t>JÄMTLANDS LÄN</t>
        </is>
      </c>
      <c r="E335" t="inlineStr">
        <is>
          <t>ÅRE</t>
        </is>
      </c>
      <c r="G335" t="n">
        <v>2.5</v>
      </c>
      <c r="H335" t="n">
        <v>0</v>
      </c>
      <c r="I335" t="n">
        <v>0</v>
      </c>
      <c r="J335" t="n">
        <v>0</v>
      </c>
      <c r="K335" t="n">
        <v>0</v>
      </c>
      <c r="L335" t="n">
        <v>0</v>
      </c>
      <c r="M335" t="n">
        <v>0</v>
      </c>
      <c r="N335" t="n">
        <v>0</v>
      </c>
      <c r="O335" t="n">
        <v>0</v>
      </c>
      <c r="P335" t="n">
        <v>0</v>
      </c>
      <c r="Q335" t="n">
        <v>0</v>
      </c>
      <c r="R335" s="2" t="inlineStr"/>
    </row>
    <row r="336" ht="15" customHeight="1">
      <c r="A336" t="inlineStr">
        <is>
          <t>A 34897-2025</t>
        </is>
      </c>
      <c r="B336" s="1" t="n">
        <v>45849</v>
      </c>
      <c r="C336" s="1" t="n">
        <v>46133</v>
      </c>
      <c r="D336" t="inlineStr">
        <is>
          <t>JÄMTLANDS LÄN</t>
        </is>
      </c>
      <c r="E336" t="inlineStr">
        <is>
          <t>ÅRE</t>
        </is>
      </c>
      <c r="G336" t="n">
        <v>1.6</v>
      </c>
      <c r="H336" t="n">
        <v>0</v>
      </c>
      <c r="I336" t="n">
        <v>0</v>
      </c>
      <c r="J336" t="n">
        <v>0</v>
      </c>
      <c r="K336" t="n">
        <v>0</v>
      </c>
      <c r="L336" t="n">
        <v>0</v>
      </c>
      <c r="M336" t="n">
        <v>0</v>
      </c>
      <c r="N336" t="n">
        <v>0</v>
      </c>
      <c r="O336" t="n">
        <v>0</v>
      </c>
      <c r="P336" t="n">
        <v>0</v>
      </c>
      <c r="Q336" t="n">
        <v>0</v>
      </c>
      <c r="R336" s="2" t="inlineStr"/>
    </row>
    <row r="337" ht="15" customHeight="1">
      <c r="A337" t="inlineStr">
        <is>
          <t>A 21464-2022</t>
        </is>
      </c>
      <c r="B337" s="1" t="n">
        <v>44706</v>
      </c>
      <c r="C337" s="1" t="n">
        <v>46133</v>
      </c>
      <c r="D337" t="inlineStr">
        <is>
          <t>JÄMTLANDS LÄN</t>
        </is>
      </c>
      <c r="E337" t="inlineStr">
        <is>
          <t>ÅRE</t>
        </is>
      </c>
      <c r="G337" t="n">
        <v>10.9</v>
      </c>
      <c r="H337" t="n">
        <v>0</v>
      </c>
      <c r="I337" t="n">
        <v>0</v>
      </c>
      <c r="J337" t="n">
        <v>0</v>
      </c>
      <c r="K337" t="n">
        <v>0</v>
      </c>
      <c r="L337" t="n">
        <v>0</v>
      </c>
      <c r="M337" t="n">
        <v>0</v>
      </c>
      <c r="N337" t="n">
        <v>0</v>
      </c>
      <c r="O337" t="n">
        <v>0</v>
      </c>
      <c r="P337" t="n">
        <v>0</v>
      </c>
      <c r="Q337" t="n">
        <v>0</v>
      </c>
      <c r="R337" s="2" t="inlineStr"/>
    </row>
    <row r="338" ht="15" customHeight="1">
      <c r="A338" t="inlineStr">
        <is>
          <t>A 34925-2025</t>
        </is>
      </c>
      <c r="B338" s="1" t="n">
        <v>45849</v>
      </c>
      <c r="C338" s="1" t="n">
        <v>46133</v>
      </c>
      <c r="D338" t="inlineStr">
        <is>
          <t>JÄMTLANDS LÄN</t>
        </is>
      </c>
      <c r="E338" t="inlineStr">
        <is>
          <t>ÅRE</t>
        </is>
      </c>
      <c r="G338" t="n">
        <v>1.9</v>
      </c>
      <c r="H338" t="n">
        <v>0</v>
      </c>
      <c r="I338" t="n">
        <v>0</v>
      </c>
      <c r="J338" t="n">
        <v>0</v>
      </c>
      <c r="K338" t="n">
        <v>0</v>
      </c>
      <c r="L338" t="n">
        <v>0</v>
      </c>
      <c r="M338" t="n">
        <v>0</v>
      </c>
      <c r="N338" t="n">
        <v>0</v>
      </c>
      <c r="O338" t="n">
        <v>0</v>
      </c>
      <c r="P338" t="n">
        <v>0</v>
      </c>
      <c r="Q338" t="n">
        <v>0</v>
      </c>
      <c r="R338" s="2" t="inlineStr"/>
    </row>
    <row r="339" ht="15" customHeight="1">
      <c r="A339" t="inlineStr">
        <is>
          <t>A 34805-2025</t>
        </is>
      </c>
      <c r="B339" s="1" t="n">
        <v>45849.33071759259</v>
      </c>
      <c r="C339" s="1" t="n">
        <v>46133</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35054-2025</t>
        </is>
      </c>
      <c r="B340" s="1" t="n">
        <v>45849</v>
      </c>
      <c r="C340" s="1" t="n">
        <v>46133</v>
      </c>
      <c r="D340" t="inlineStr">
        <is>
          <t>JÄMTLANDS LÄN</t>
        </is>
      </c>
      <c r="E340" t="inlineStr">
        <is>
          <t>ÅRE</t>
        </is>
      </c>
      <c r="G340" t="n">
        <v>5.3</v>
      </c>
      <c r="H340" t="n">
        <v>0</v>
      </c>
      <c r="I340" t="n">
        <v>0</v>
      </c>
      <c r="J340" t="n">
        <v>0</v>
      </c>
      <c r="K340" t="n">
        <v>0</v>
      </c>
      <c r="L340" t="n">
        <v>0</v>
      </c>
      <c r="M340" t="n">
        <v>0</v>
      </c>
      <c r="N340" t="n">
        <v>0</v>
      </c>
      <c r="O340" t="n">
        <v>0</v>
      </c>
      <c r="P340" t="n">
        <v>0</v>
      </c>
      <c r="Q340" t="n">
        <v>0</v>
      </c>
      <c r="R340" s="2" t="inlineStr"/>
    </row>
    <row r="341" ht="15" customHeight="1">
      <c r="A341" t="inlineStr">
        <is>
          <t>A 34538-2023</t>
        </is>
      </c>
      <c r="B341" s="1" t="n">
        <v>45134</v>
      </c>
      <c r="C341" s="1" t="n">
        <v>46133</v>
      </c>
      <c r="D341" t="inlineStr">
        <is>
          <t>JÄMTLANDS LÄN</t>
        </is>
      </c>
      <c r="E341" t="inlineStr">
        <is>
          <t>ÅRE</t>
        </is>
      </c>
      <c r="G341" t="n">
        <v>1.3</v>
      </c>
      <c r="H341" t="n">
        <v>0</v>
      </c>
      <c r="I341" t="n">
        <v>0</v>
      </c>
      <c r="J341" t="n">
        <v>0</v>
      </c>
      <c r="K341" t="n">
        <v>0</v>
      </c>
      <c r="L341" t="n">
        <v>0</v>
      </c>
      <c r="M341" t="n">
        <v>0</v>
      </c>
      <c r="N341" t="n">
        <v>0</v>
      </c>
      <c r="O341" t="n">
        <v>0</v>
      </c>
      <c r="P341" t="n">
        <v>0</v>
      </c>
      <c r="Q341" t="n">
        <v>0</v>
      </c>
      <c r="R341" s="2" t="inlineStr"/>
    </row>
    <row r="342" ht="15" customHeight="1">
      <c r="A342" t="inlineStr">
        <is>
          <t>A 1603-2026</t>
        </is>
      </c>
      <c r="B342" s="1" t="n">
        <v>46034.45974537037</v>
      </c>
      <c r="C342" s="1" t="n">
        <v>46133</v>
      </c>
      <c r="D342" t="inlineStr">
        <is>
          <t>JÄMTLANDS LÄN</t>
        </is>
      </c>
      <c r="E342" t="inlineStr">
        <is>
          <t>ÅRE</t>
        </is>
      </c>
      <c r="G342" t="n">
        <v>3.3</v>
      </c>
      <c r="H342" t="n">
        <v>0</v>
      </c>
      <c r="I342" t="n">
        <v>0</v>
      </c>
      <c r="J342" t="n">
        <v>0</v>
      </c>
      <c r="K342" t="n">
        <v>0</v>
      </c>
      <c r="L342" t="n">
        <v>0</v>
      </c>
      <c r="M342" t="n">
        <v>0</v>
      </c>
      <c r="N342" t="n">
        <v>0</v>
      </c>
      <c r="O342" t="n">
        <v>0</v>
      </c>
      <c r="P342" t="n">
        <v>0</v>
      </c>
      <c r="Q342" t="n">
        <v>0</v>
      </c>
      <c r="R342" s="2" t="inlineStr"/>
    </row>
    <row r="343" ht="15" customHeight="1">
      <c r="A343" t="inlineStr">
        <is>
          <t>A 54904-2022</t>
        </is>
      </c>
      <c r="B343" s="1" t="n">
        <v>44886</v>
      </c>
      <c r="C343" s="1" t="n">
        <v>46133</v>
      </c>
      <c r="D343" t="inlineStr">
        <is>
          <t>JÄMTLANDS LÄN</t>
        </is>
      </c>
      <c r="E343" t="inlineStr">
        <is>
          <t>ÅRE</t>
        </is>
      </c>
      <c r="F343" t="inlineStr">
        <is>
          <t>Övriga Aktiebolag</t>
        </is>
      </c>
      <c r="G343" t="n">
        <v>12.2</v>
      </c>
      <c r="H343" t="n">
        <v>0</v>
      </c>
      <c r="I343" t="n">
        <v>0</v>
      </c>
      <c r="J343" t="n">
        <v>0</v>
      </c>
      <c r="K343" t="n">
        <v>0</v>
      </c>
      <c r="L343" t="n">
        <v>0</v>
      </c>
      <c r="M343" t="n">
        <v>0</v>
      </c>
      <c r="N343" t="n">
        <v>0</v>
      </c>
      <c r="O343" t="n">
        <v>0</v>
      </c>
      <c r="P343" t="n">
        <v>0</v>
      </c>
      <c r="Q343" t="n">
        <v>0</v>
      </c>
      <c r="R343" s="2" t="inlineStr"/>
    </row>
    <row r="344" ht="15" customHeight="1">
      <c r="A344" t="inlineStr">
        <is>
          <t>A 2105-2026</t>
        </is>
      </c>
      <c r="B344" s="1" t="n">
        <v>46036.3758912037</v>
      </c>
      <c r="C344" s="1" t="n">
        <v>46133</v>
      </c>
      <c r="D344" t="inlineStr">
        <is>
          <t>JÄMTLANDS LÄN</t>
        </is>
      </c>
      <c r="E344" t="inlineStr">
        <is>
          <t>ÅRE</t>
        </is>
      </c>
      <c r="G344" t="n">
        <v>1.7</v>
      </c>
      <c r="H344" t="n">
        <v>0</v>
      </c>
      <c r="I344" t="n">
        <v>0</v>
      </c>
      <c r="J344" t="n">
        <v>0</v>
      </c>
      <c r="K344" t="n">
        <v>0</v>
      </c>
      <c r="L344" t="n">
        <v>0</v>
      </c>
      <c r="M344" t="n">
        <v>0</v>
      </c>
      <c r="N344" t="n">
        <v>0</v>
      </c>
      <c r="O344" t="n">
        <v>0</v>
      </c>
      <c r="P344" t="n">
        <v>0</v>
      </c>
      <c r="Q344" t="n">
        <v>0</v>
      </c>
      <c r="R344" s="2" t="inlineStr"/>
    </row>
    <row r="345" ht="15" customHeight="1">
      <c r="A345" t="inlineStr">
        <is>
          <t>A 48211-2025</t>
        </is>
      </c>
      <c r="B345" s="1" t="n">
        <v>45931</v>
      </c>
      <c r="C345" s="1" t="n">
        <v>46133</v>
      </c>
      <c r="D345" t="inlineStr">
        <is>
          <t>JÄMTLANDS LÄN</t>
        </is>
      </c>
      <c r="E345" t="inlineStr">
        <is>
          <t>ÅRE</t>
        </is>
      </c>
      <c r="G345" t="n">
        <v>6.6</v>
      </c>
      <c r="H345" t="n">
        <v>0</v>
      </c>
      <c r="I345" t="n">
        <v>0</v>
      </c>
      <c r="J345" t="n">
        <v>0</v>
      </c>
      <c r="K345" t="n">
        <v>0</v>
      </c>
      <c r="L345" t="n">
        <v>0</v>
      </c>
      <c r="M345" t="n">
        <v>0</v>
      </c>
      <c r="N345" t="n">
        <v>0</v>
      </c>
      <c r="O345" t="n">
        <v>0</v>
      </c>
      <c r="P345" t="n">
        <v>0</v>
      </c>
      <c r="Q345" t="n">
        <v>0</v>
      </c>
      <c r="R345" s="2" t="inlineStr"/>
    </row>
    <row r="346" ht="15" customHeight="1">
      <c r="A346" t="inlineStr">
        <is>
          <t>A 5460-2023</t>
        </is>
      </c>
      <c r="B346" s="1" t="n">
        <v>44960</v>
      </c>
      <c r="C346" s="1" t="n">
        <v>46133</v>
      </c>
      <c r="D346" t="inlineStr">
        <is>
          <t>JÄMTLANDS LÄN</t>
        </is>
      </c>
      <c r="E346" t="inlineStr">
        <is>
          <t>ÅRE</t>
        </is>
      </c>
      <c r="G346" t="n">
        <v>9.4</v>
      </c>
      <c r="H346" t="n">
        <v>0</v>
      </c>
      <c r="I346" t="n">
        <v>0</v>
      </c>
      <c r="J346" t="n">
        <v>0</v>
      </c>
      <c r="K346" t="n">
        <v>0</v>
      </c>
      <c r="L346" t="n">
        <v>0</v>
      </c>
      <c r="M346" t="n">
        <v>0</v>
      </c>
      <c r="N346" t="n">
        <v>0</v>
      </c>
      <c r="O346" t="n">
        <v>0</v>
      </c>
      <c r="P346" t="n">
        <v>0</v>
      </c>
      <c r="Q346" t="n">
        <v>0</v>
      </c>
      <c r="R346" s="2" t="inlineStr"/>
    </row>
    <row r="347" ht="15" customHeight="1">
      <c r="A347" t="inlineStr">
        <is>
          <t>A 3263-2023</t>
        </is>
      </c>
      <c r="B347" s="1" t="n">
        <v>44948.98751157407</v>
      </c>
      <c r="C347" s="1" t="n">
        <v>46133</v>
      </c>
      <c r="D347" t="inlineStr">
        <is>
          <t>JÄMTLANDS LÄN</t>
        </is>
      </c>
      <c r="E347" t="inlineStr">
        <is>
          <t>ÅRE</t>
        </is>
      </c>
      <c r="G347" t="n">
        <v>1.7</v>
      </c>
      <c r="H347" t="n">
        <v>0</v>
      </c>
      <c r="I347" t="n">
        <v>0</v>
      </c>
      <c r="J347" t="n">
        <v>0</v>
      </c>
      <c r="K347" t="n">
        <v>0</v>
      </c>
      <c r="L347" t="n">
        <v>0</v>
      </c>
      <c r="M347" t="n">
        <v>0</v>
      </c>
      <c r="N347" t="n">
        <v>0</v>
      </c>
      <c r="O347" t="n">
        <v>0</v>
      </c>
      <c r="P347" t="n">
        <v>0</v>
      </c>
      <c r="Q347" t="n">
        <v>0</v>
      </c>
      <c r="R347" s="2" t="inlineStr"/>
    </row>
    <row r="348" ht="15" customHeight="1">
      <c r="A348" t="inlineStr">
        <is>
          <t>A 43446-2023</t>
        </is>
      </c>
      <c r="B348" s="1" t="n">
        <v>45184.35760416667</v>
      </c>
      <c r="C348" s="1" t="n">
        <v>46133</v>
      </c>
      <c r="D348" t="inlineStr">
        <is>
          <t>JÄMTLANDS LÄN</t>
        </is>
      </c>
      <c r="E348" t="inlineStr">
        <is>
          <t>ÅRE</t>
        </is>
      </c>
      <c r="F348" t="inlineStr">
        <is>
          <t>Övriga Aktiebolag</t>
        </is>
      </c>
      <c r="G348" t="n">
        <v>6.4</v>
      </c>
      <c r="H348" t="n">
        <v>0</v>
      </c>
      <c r="I348" t="n">
        <v>0</v>
      </c>
      <c r="J348" t="n">
        <v>0</v>
      </c>
      <c r="K348" t="n">
        <v>0</v>
      </c>
      <c r="L348" t="n">
        <v>0</v>
      </c>
      <c r="M348" t="n">
        <v>0</v>
      </c>
      <c r="N348" t="n">
        <v>0</v>
      </c>
      <c r="O348" t="n">
        <v>0</v>
      </c>
      <c r="P348" t="n">
        <v>0</v>
      </c>
      <c r="Q348" t="n">
        <v>0</v>
      </c>
      <c r="R348" s="2" t="inlineStr"/>
    </row>
    <row r="349" ht="15" customHeight="1">
      <c r="A349" t="inlineStr">
        <is>
          <t>A 26722-2021</t>
        </is>
      </c>
      <c r="B349" s="1" t="n">
        <v>44349</v>
      </c>
      <c r="C349" s="1" t="n">
        <v>46133</v>
      </c>
      <c r="D349" t="inlineStr">
        <is>
          <t>JÄMTLANDS LÄN</t>
        </is>
      </c>
      <c r="E349" t="inlineStr">
        <is>
          <t>ÅRE</t>
        </is>
      </c>
      <c r="G349" t="n">
        <v>11.4</v>
      </c>
      <c r="H349" t="n">
        <v>0</v>
      </c>
      <c r="I349" t="n">
        <v>0</v>
      </c>
      <c r="J349" t="n">
        <v>0</v>
      </c>
      <c r="K349" t="n">
        <v>0</v>
      </c>
      <c r="L349" t="n">
        <v>0</v>
      </c>
      <c r="M349" t="n">
        <v>0</v>
      </c>
      <c r="N349" t="n">
        <v>0</v>
      </c>
      <c r="O349" t="n">
        <v>0</v>
      </c>
      <c r="P349" t="n">
        <v>0</v>
      </c>
      <c r="Q349" t="n">
        <v>0</v>
      </c>
      <c r="R349" s="2" t="inlineStr"/>
    </row>
    <row r="350" ht="15" customHeight="1">
      <c r="A350" t="inlineStr">
        <is>
          <t>A 36013-2025</t>
        </is>
      </c>
      <c r="B350" s="1" t="n">
        <v>45863.60643518518</v>
      </c>
      <c r="C350" s="1" t="n">
        <v>46133</v>
      </c>
      <c r="D350" t="inlineStr">
        <is>
          <t>JÄMTLANDS LÄN</t>
        </is>
      </c>
      <c r="E350" t="inlineStr">
        <is>
          <t>ÅRE</t>
        </is>
      </c>
      <c r="G350" t="n">
        <v>1.2</v>
      </c>
      <c r="H350" t="n">
        <v>0</v>
      </c>
      <c r="I350" t="n">
        <v>0</v>
      </c>
      <c r="J350" t="n">
        <v>0</v>
      </c>
      <c r="K350" t="n">
        <v>0</v>
      </c>
      <c r="L350" t="n">
        <v>0</v>
      </c>
      <c r="M350" t="n">
        <v>0</v>
      </c>
      <c r="N350" t="n">
        <v>0</v>
      </c>
      <c r="O350" t="n">
        <v>0</v>
      </c>
      <c r="P350" t="n">
        <v>0</v>
      </c>
      <c r="Q350" t="n">
        <v>0</v>
      </c>
      <c r="R350" s="2" t="inlineStr"/>
    </row>
    <row r="351" ht="15" customHeight="1">
      <c r="A351" t="inlineStr">
        <is>
          <t>A 36015-2025</t>
        </is>
      </c>
      <c r="B351" s="1" t="n">
        <v>45863.61373842593</v>
      </c>
      <c r="C351" s="1" t="n">
        <v>46133</v>
      </c>
      <c r="D351" t="inlineStr">
        <is>
          <t>JÄMTLANDS LÄN</t>
        </is>
      </c>
      <c r="E351" t="inlineStr">
        <is>
          <t>ÅRE</t>
        </is>
      </c>
      <c r="G351" t="n">
        <v>0.7</v>
      </c>
      <c r="H351" t="n">
        <v>0</v>
      </c>
      <c r="I351" t="n">
        <v>0</v>
      </c>
      <c r="J351" t="n">
        <v>0</v>
      </c>
      <c r="K351" t="n">
        <v>0</v>
      </c>
      <c r="L351" t="n">
        <v>0</v>
      </c>
      <c r="M351" t="n">
        <v>0</v>
      </c>
      <c r="N351" t="n">
        <v>0</v>
      </c>
      <c r="O351" t="n">
        <v>0</v>
      </c>
      <c r="P351" t="n">
        <v>0</v>
      </c>
      <c r="Q351" t="n">
        <v>0</v>
      </c>
      <c r="R351" s="2" t="inlineStr"/>
    </row>
    <row r="352" ht="15" customHeight="1">
      <c r="A352" t="inlineStr">
        <is>
          <t>A 45161-2024</t>
        </is>
      </c>
      <c r="B352" s="1" t="n">
        <v>45575.64982638889</v>
      </c>
      <c r="C352" s="1" t="n">
        <v>46133</v>
      </c>
      <c r="D352" t="inlineStr">
        <is>
          <t>JÄMTLANDS LÄN</t>
        </is>
      </c>
      <c r="E352" t="inlineStr">
        <is>
          <t>ÅRE</t>
        </is>
      </c>
      <c r="G352" t="n">
        <v>6.9</v>
      </c>
      <c r="H352" t="n">
        <v>0</v>
      </c>
      <c r="I352" t="n">
        <v>0</v>
      </c>
      <c r="J352" t="n">
        <v>0</v>
      </c>
      <c r="K352" t="n">
        <v>0</v>
      </c>
      <c r="L352" t="n">
        <v>0</v>
      </c>
      <c r="M352" t="n">
        <v>0</v>
      </c>
      <c r="N352" t="n">
        <v>0</v>
      </c>
      <c r="O352" t="n">
        <v>0</v>
      </c>
      <c r="P352" t="n">
        <v>0</v>
      </c>
      <c r="Q352" t="n">
        <v>0</v>
      </c>
      <c r="R352" s="2" t="inlineStr"/>
    </row>
    <row r="353" ht="15" customHeight="1">
      <c r="A353" t="inlineStr">
        <is>
          <t>A 48178-2025</t>
        </is>
      </c>
      <c r="B353" s="1" t="n">
        <v>45933.44865740741</v>
      </c>
      <c r="C353" s="1" t="n">
        <v>46133</v>
      </c>
      <c r="D353" t="inlineStr">
        <is>
          <t>JÄMTLANDS LÄN</t>
        </is>
      </c>
      <c r="E353" t="inlineStr">
        <is>
          <t>ÅRE</t>
        </is>
      </c>
      <c r="F353" t="inlineStr">
        <is>
          <t>Övriga Aktiebolag</t>
        </is>
      </c>
      <c r="G353" t="n">
        <v>1.8</v>
      </c>
      <c r="H353" t="n">
        <v>0</v>
      </c>
      <c r="I353" t="n">
        <v>0</v>
      </c>
      <c r="J353" t="n">
        <v>0</v>
      </c>
      <c r="K353" t="n">
        <v>0</v>
      </c>
      <c r="L353" t="n">
        <v>0</v>
      </c>
      <c r="M353" t="n">
        <v>0</v>
      </c>
      <c r="N353" t="n">
        <v>0</v>
      </c>
      <c r="O353" t="n">
        <v>0</v>
      </c>
      <c r="P353" t="n">
        <v>0</v>
      </c>
      <c r="Q353" t="n">
        <v>0</v>
      </c>
      <c r="R353" s="2" t="inlineStr"/>
    </row>
    <row r="354" ht="15" customHeight="1">
      <c r="A354" t="inlineStr">
        <is>
          <t>A 25379-2024</t>
        </is>
      </c>
      <c r="B354" s="1" t="n">
        <v>45462</v>
      </c>
      <c r="C354" s="1" t="n">
        <v>46133</v>
      </c>
      <c r="D354" t="inlineStr">
        <is>
          <t>JÄMTLANDS LÄN</t>
        </is>
      </c>
      <c r="E354" t="inlineStr">
        <is>
          <t>ÅRE</t>
        </is>
      </c>
      <c r="G354" t="n">
        <v>4.5</v>
      </c>
      <c r="H354" t="n">
        <v>0</v>
      </c>
      <c r="I354" t="n">
        <v>0</v>
      </c>
      <c r="J354" t="n">
        <v>0</v>
      </c>
      <c r="K354" t="n">
        <v>0</v>
      </c>
      <c r="L354" t="n">
        <v>0</v>
      </c>
      <c r="M354" t="n">
        <v>0</v>
      </c>
      <c r="N354" t="n">
        <v>0</v>
      </c>
      <c r="O354" t="n">
        <v>0</v>
      </c>
      <c r="P354" t="n">
        <v>0</v>
      </c>
      <c r="Q354" t="n">
        <v>0</v>
      </c>
      <c r="R354" s="2" t="inlineStr"/>
    </row>
    <row r="355" ht="15" customHeight="1">
      <c r="A355" t="inlineStr">
        <is>
          <t>A 49702-2024</t>
        </is>
      </c>
      <c r="B355" s="1" t="n">
        <v>45596</v>
      </c>
      <c r="C355" s="1" t="n">
        <v>46133</v>
      </c>
      <c r="D355" t="inlineStr">
        <is>
          <t>JÄMTLANDS LÄN</t>
        </is>
      </c>
      <c r="E355" t="inlineStr">
        <is>
          <t>ÅRE</t>
        </is>
      </c>
      <c r="F355" t="inlineStr">
        <is>
          <t>Övriga Aktiebolag</t>
        </is>
      </c>
      <c r="G355" t="n">
        <v>1.6</v>
      </c>
      <c r="H355" t="n">
        <v>0</v>
      </c>
      <c r="I355" t="n">
        <v>0</v>
      </c>
      <c r="J355" t="n">
        <v>0</v>
      </c>
      <c r="K355" t="n">
        <v>0</v>
      </c>
      <c r="L355" t="n">
        <v>0</v>
      </c>
      <c r="M355" t="n">
        <v>0</v>
      </c>
      <c r="N355" t="n">
        <v>0</v>
      </c>
      <c r="O355" t="n">
        <v>0</v>
      </c>
      <c r="P355" t="n">
        <v>0</v>
      </c>
      <c r="Q355" t="n">
        <v>0</v>
      </c>
      <c r="R355" s="2" t="inlineStr"/>
    </row>
    <row r="356" ht="15" customHeight="1">
      <c r="A356" t="inlineStr">
        <is>
          <t>A 46452-2025</t>
        </is>
      </c>
      <c r="B356" s="1" t="n">
        <v>45925.65625</v>
      </c>
      <c r="C356" s="1" t="n">
        <v>46133</v>
      </c>
      <c r="D356" t="inlineStr">
        <is>
          <t>JÄMTLANDS LÄN</t>
        </is>
      </c>
      <c r="E356" t="inlineStr">
        <is>
          <t>ÅRE</t>
        </is>
      </c>
      <c r="G356" t="n">
        <v>7.2</v>
      </c>
      <c r="H356" t="n">
        <v>0</v>
      </c>
      <c r="I356" t="n">
        <v>0</v>
      </c>
      <c r="J356" t="n">
        <v>0</v>
      </c>
      <c r="K356" t="n">
        <v>0</v>
      </c>
      <c r="L356" t="n">
        <v>0</v>
      </c>
      <c r="M356" t="n">
        <v>0</v>
      </c>
      <c r="N356" t="n">
        <v>0</v>
      </c>
      <c r="O356" t="n">
        <v>0</v>
      </c>
      <c r="P356" t="n">
        <v>0</v>
      </c>
      <c r="Q356" t="n">
        <v>0</v>
      </c>
      <c r="R356" s="2" t="inlineStr"/>
    </row>
    <row r="357" ht="15" customHeight="1">
      <c r="A357" t="inlineStr">
        <is>
          <t>A 46457-2025</t>
        </is>
      </c>
      <c r="B357" s="1" t="n">
        <v>45925.66126157407</v>
      </c>
      <c r="C357" s="1" t="n">
        <v>46133</v>
      </c>
      <c r="D357" t="inlineStr">
        <is>
          <t>JÄMTLANDS LÄN</t>
        </is>
      </c>
      <c r="E357" t="inlineStr">
        <is>
          <t>ÅRE</t>
        </is>
      </c>
      <c r="G357" t="n">
        <v>1.7</v>
      </c>
      <c r="H357" t="n">
        <v>0</v>
      </c>
      <c r="I357" t="n">
        <v>0</v>
      </c>
      <c r="J357" t="n">
        <v>0</v>
      </c>
      <c r="K357" t="n">
        <v>0</v>
      </c>
      <c r="L357" t="n">
        <v>0</v>
      </c>
      <c r="M357" t="n">
        <v>0</v>
      </c>
      <c r="N357" t="n">
        <v>0</v>
      </c>
      <c r="O357" t="n">
        <v>0</v>
      </c>
      <c r="P357" t="n">
        <v>0</v>
      </c>
      <c r="Q357" t="n">
        <v>0</v>
      </c>
      <c r="R357" s="2" t="inlineStr"/>
    </row>
    <row r="358" ht="15" customHeight="1">
      <c r="A358" t="inlineStr">
        <is>
          <t>A 47076-2024</t>
        </is>
      </c>
      <c r="B358" s="1" t="n">
        <v>45586.50180555556</v>
      </c>
      <c r="C358" s="1" t="n">
        <v>46133</v>
      </c>
      <c r="D358" t="inlineStr">
        <is>
          <t>JÄMTLANDS LÄN</t>
        </is>
      </c>
      <c r="E358" t="inlineStr">
        <is>
          <t>ÅRE</t>
        </is>
      </c>
      <c r="G358" t="n">
        <v>6.5</v>
      </c>
      <c r="H358" t="n">
        <v>0</v>
      </c>
      <c r="I358" t="n">
        <v>0</v>
      </c>
      <c r="J358" t="n">
        <v>0</v>
      </c>
      <c r="K358" t="n">
        <v>0</v>
      </c>
      <c r="L358" t="n">
        <v>0</v>
      </c>
      <c r="M358" t="n">
        <v>0</v>
      </c>
      <c r="N358" t="n">
        <v>0</v>
      </c>
      <c r="O358" t="n">
        <v>0</v>
      </c>
      <c r="P358" t="n">
        <v>0</v>
      </c>
      <c r="Q358" t="n">
        <v>0</v>
      </c>
      <c r="R358" s="2" t="inlineStr"/>
    </row>
    <row r="359" ht="15" customHeight="1">
      <c r="A359" t="inlineStr">
        <is>
          <t>A 25710-2024</t>
        </is>
      </c>
      <c r="B359" s="1" t="n">
        <v>45463</v>
      </c>
      <c r="C359" s="1" t="n">
        <v>46133</v>
      </c>
      <c r="D359" t="inlineStr">
        <is>
          <t>JÄMTLANDS LÄN</t>
        </is>
      </c>
      <c r="E359" t="inlineStr">
        <is>
          <t>ÅRE</t>
        </is>
      </c>
      <c r="G359" t="n">
        <v>4.5</v>
      </c>
      <c r="H359" t="n">
        <v>0</v>
      </c>
      <c r="I359" t="n">
        <v>0</v>
      </c>
      <c r="J359" t="n">
        <v>0</v>
      </c>
      <c r="K359" t="n">
        <v>0</v>
      </c>
      <c r="L359" t="n">
        <v>0</v>
      </c>
      <c r="M359" t="n">
        <v>0</v>
      </c>
      <c r="N359" t="n">
        <v>0</v>
      </c>
      <c r="O359" t="n">
        <v>0</v>
      </c>
      <c r="P359" t="n">
        <v>0</v>
      </c>
      <c r="Q359" t="n">
        <v>0</v>
      </c>
      <c r="R359" s="2" t="inlineStr"/>
    </row>
    <row r="360" ht="15" customHeight="1">
      <c r="A360" t="inlineStr">
        <is>
          <t>A 48571-2025</t>
        </is>
      </c>
      <c r="B360" s="1" t="n">
        <v>45936.44934027778</v>
      </c>
      <c r="C360" s="1" t="n">
        <v>46133</v>
      </c>
      <c r="D360" t="inlineStr">
        <is>
          <t>JÄMTLANDS LÄN</t>
        </is>
      </c>
      <c r="E360" t="inlineStr">
        <is>
          <t>ÅRE</t>
        </is>
      </c>
      <c r="G360" t="n">
        <v>5.2</v>
      </c>
      <c r="H360" t="n">
        <v>0</v>
      </c>
      <c r="I360" t="n">
        <v>0</v>
      </c>
      <c r="J360" t="n">
        <v>0</v>
      </c>
      <c r="K360" t="n">
        <v>0</v>
      </c>
      <c r="L360" t="n">
        <v>0</v>
      </c>
      <c r="M360" t="n">
        <v>0</v>
      </c>
      <c r="N360" t="n">
        <v>0</v>
      </c>
      <c r="O360" t="n">
        <v>0</v>
      </c>
      <c r="P360" t="n">
        <v>0</v>
      </c>
      <c r="Q360" t="n">
        <v>0</v>
      </c>
      <c r="R360" s="2" t="inlineStr"/>
    </row>
    <row r="361" ht="15" customHeight="1">
      <c r="A361" t="inlineStr">
        <is>
          <t>A 49571-2025</t>
        </is>
      </c>
      <c r="B361" s="1" t="n">
        <v>45939.48998842593</v>
      </c>
      <c r="C361" s="1" t="n">
        <v>46133</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34931-2025</t>
        </is>
      </c>
      <c r="B362" s="1" t="n">
        <v>45849</v>
      </c>
      <c r="C362" s="1" t="n">
        <v>46133</v>
      </c>
      <c r="D362" t="inlineStr">
        <is>
          <t>JÄMTLANDS LÄN</t>
        </is>
      </c>
      <c r="E362" t="inlineStr">
        <is>
          <t>ÅRE</t>
        </is>
      </c>
      <c r="G362" t="n">
        <v>1.4</v>
      </c>
      <c r="H362" t="n">
        <v>0</v>
      </c>
      <c r="I362" t="n">
        <v>0</v>
      </c>
      <c r="J362" t="n">
        <v>0</v>
      </c>
      <c r="K362" t="n">
        <v>0</v>
      </c>
      <c r="L362" t="n">
        <v>0</v>
      </c>
      <c r="M362" t="n">
        <v>0</v>
      </c>
      <c r="N362" t="n">
        <v>0</v>
      </c>
      <c r="O362" t="n">
        <v>0</v>
      </c>
      <c r="P362" t="n">
        <v>0</v>
      </c>
      <c r="Q362" t="n">
        <v>0</v>
      </c>
      <c r="R362" s="2" t="inlineStr"/>
    </row>
    <row r="363" ht="15" customHeight="1">
      <c r="A363" t="inlineStr">
        <is>
          <t>A 49593-2025</t>
        </is>
      </c>
      <c r="B363" s="1" t="n">
        <v>45939.53186342592</v>
      </c>
      <c r="C363" s="1" t="n">
        <v>46133</v>
      </c>
      <c r="D363" t="inlineStr">
        <is>
          <t>JÄMTLANDS LÄN</t>
        </is>
      </c>
      <c r="E363" t="inlineStr">
        <is>
          <t>ÅRE</t>
        </is>
      </c>
      <c r="G363" t="n">
        <v>7.9</v>
      </c>
      <c r="H363" t="n">
        <v>0</v>
      </c>
      <c r="I363" t="n">
        <v>0</v>
      </c>
      <c r="J363" t="n">
        <v>0</v>
      </c>
      <c r="K363" t="n">
        <v>0</v>
      </c>
      <c r="L363" t="n">
        <v>0</v>
      </c>
      <c r="M363" t="n">
        <v>0</v>
      </c>
      <c r="N363" t="n">
        <v>0</v>
      </c>
      <c r="O363" t="n">
        <v>0</v>
      </c>
      <c r="P363" t="n">
        <v>0</v>
      </c>
      <c r="Q363" t="n">
        <v>0</v>
      </c>
      <c r="R363" s="2" t="inlineStr"/>
    </row>
    <row r="364" ht="15" customHeight="1">
      <c r="A364" t="inlineStr">
        <is>
          <t>A 2520-2026</t>
        </is>
      </c>
      <c r="B364" s="1" t="n">
        <v>46037.42578703703</v>
      </c>
      <c r="C364" s="1" t="n">
        <v>46133</v>
      </c>
      <c r="D364" t="inlineStr">
        <is>
          <t>JÄMTLANDS LÄN</t>
        </is>
      </c>
      <c r="E364" t="inlineStr">
        <is>
          <t>ÅRE</t>
        </is>
      </c>
      <c r="G364" t="n">
        <v>3.3</v>
      </c>
      <c r="H364" t="n">
        <v>0</v>
      </c>
      <c r="I364" t="n">
        <v>0</v>
      </c>
      <c r="J364" t="n">
        <v>0</v>
      </c>
      <c r="K364" t="n">
        <v>0</v>
      </c>
      <c r="L364" t="n">
        <v>0</v>
      </c>
      <c r="M364" t="n">
        <v>0</v>
      </c>
      <c r="N364" t="n">
        <v>0</v>
      </c>
      <c r="O364" t="n">
        <v>0</v>
      </c>
      <c r="P364" t="n">
        <v>0</v>
      </c>
      <c r="Q364" t="n">
        <v>0</v>
      </c>
      <c r="R364" s="2" t="inlineStr"/>
    </row>
    <row r="365" ht="15" customHeight="1">
      <c r="A365" t="inlineStr">
        <is>
          <t>A 51277-2023</t>
        </is>
      </c>
      <c r="B365" s="1" t="n">
        <v>45219</v>
      </c>
      <c r="C365" s="1" t="n">
        <v>46133</v>
      </c>
      <c r="D365" t="inlineStr">
        <is>
          <t>JÄMTLANDS LÄN</t>
        </is>
      </c>
      <c r="E365" t="inlineStr">
        <is>
          <t>ÅRE</t>
        </is>
      </c>
      <c r="G365" t="n">
        <v>0.9</v>
      </c>
      <c r="H365" t="n">
        <v>0</v>
      </c>
      <c r="I365" t="n">
        <v>0</v>
      </c>
      <c r="J365" t="n">
        <v>0</v>
      </c>
      <c r="K365" t="n">
        <v>0</v>
      </c>
      <c r="L365" t="n">
        <v>0</v>
      </c>
      <c r="M365" t="n">
        <v>0</v>
      </c>
      <c r="N365" t="n">
        <v>0</v>
      </c>
      <c r="O365" t="n">
        <v>0</v>
      </c>
      <c r="P365" t="n">
        <v>0</v>
      </c>
      <c r="Q365" t="n">
        <v>0</v>
      </c>
      <c r="R365" s="2" t="inlineStr"/>
    </row>
    <row r="366" ht="15" customHeight="1">
      <c r="A366" t="inlineStr">
        <is>
          <t>A 51282-2023</t>
        </is>
      </c>
      <c r="B366" s="1" t="n">
        <v>45219</v>
      </c>
      <c r="C366" s="1" t="n">
        <v>46133</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49493-2025</t>
        </is>
      </c>
      <c r="B367" s="1" t="n">
        <v>45939.36626157408</v>
      </c>
      <c r="C367" s="1" t="n">
        <v>46133</v>
      </c>
      <c r="D367" t="inlineStr">
        <is>
          <t>JÄMTLANDS LÄN</t>
        </is>
      </c>
      <c r="E367" t="inlineStr">
        <is>
          <t>ÅRE</t>
        </is>
      </c>
      <c r="G367" t="n">
        <v>2.4</v>
      </c>
      <c r="H367" t="n">
        <v>0</v>
      </c>
      <c r="I367" t="n">
        <v>0</v>
      </c>
      <c r="J367" t="n">
        <v>0</v>
      </c>
      <c r="K367" t="n">
        <v>0</v>
      </c>
      <c r="L367" t="n">
        <v>0</v>
      </c>
      <c r="M367" t="n">
        <v>0</v>
      </c>
      <c r="N367" t="n">
        <v>0</v>
      </c>
      <c r="O367" t="n">
        <v>0</v>
      </c>
      <c r="P367" t="n">
        <v>0</v>
      </c>
      <c r="Q367" t="n">
        <v>0</v>
      </c>
      <c r="R367" s="2" t="inlineStr"/>
    </row>
    <row r="368" ht="15" customHeight="1">
      <c r="A368" t="inlineStr">
        <is>
          <t>A 36975-2025</t>
        </is>
      </c>
      <c r="B368" s="1" t="n">
        <v>45874.63773148148</v>
      </c>
      <c r="C368" s="1" t="n">
        <v>46133</v>
      </c>
      <c r="D368" t="inlineStr">
        <is>
          <t>JÄMTLANDS LÄN</t>
        </is>
      </c>
      <c r="E368" t="inlineStr">
        <is>
          <t>ÅRE</t>
        </is>
      </c>
      <c r="F368" t="inlineStr">
        <is>
          <t>Övriga Aktiebolag</t>
        </is>
      </c>
      <c r="G368" t="n">
        <v>3.2</v>
      </c>
      <c r="H368" t="n">
        <v>0</v>
      </c>
      <c r="I368" t="n">
        <v>0</v>
      </c>
      <c r="J368" t="n">
        <v>0</v>
      </c>
      <c r="K368" t="n">
        <v>0</v>
      </c>
      <c r="L368" t="n">
        <v>0</v>
      </c>
      <c r="M368" t="n">
        <v>0</v>
      </c>
      <c r="N368" t="n">
        <v>0</v>
      </c>
      <c r="O368" t="n">
        <v>0</v>
      </c>
      <c r="P368" t="n">
        <v>0</v>
      </c>
      <c r="Q368" t="n">
        <v>0</v>
      </c>
      <c r="R368" s="2" t="inlineStr"/>
    </row>
    <row r="369" ht="15" customHeight="1">
      <c r="A369" t="inlineStr">
        <is>
          <t>A 3018-2026</t>
        </is>
      </c>
      <c r="B369" s="1" t="n">
        <v>46038.66943287037</v>
      </c>
      <c r="C369" s="1" t="n">
        <v>46133</v>
      </c>
      <c r="D369" t="inlineStr">
        <is>
          <t>JÄMTLANDS LÄN</t>
        </is>
      </c>
      <c r="E369" t="inlineStr">
        <is>
          <t>ÅRE</t>
        </is>
      </c>
      <c r="G369" t="n">
        <v>4.8</v>
      </c>
      <c r="H369" t="n">
        <v>0</v>
      </c>
      <c r="I369" t="n">
        <v>0</v>
      </c>
      <c r="J369" t="n">
        <v>0</v>
      </c>
      <c r="K369" t="n">
        <v>0</v>
      </c>
      <c r="L369" t="n">
        <v>0</v>
      </c>
      <c r="M369" t="n">
        <v>0</v>
      </c>
      <c r="N369" t="n">
        <v>0</v>
      </c>
      <c r="O369" t="n">
        <v>0</v>
      </c>
      <c r="P369" t="n">
        <v>0</v>
      </c>
      <c r="Q369" t="n">
        <v>0</v>
      </c>
      <c r="R369" s="2" t="inlineStr"/>
    </row>
    <row r="370" ht="15" customHeight="1">
      <c r="A370" t="inlineStr">
        <is>
          <t>A 50203-2025</t>
        </is>
      </c>
      <c r="B370" s="1" t="n">
        <v>45943.65641203704</v>
      </c>
      <c r="C370" s="1" t="n">
        <v>46133</v>
      </c>
      <c r="D370" t="inlineStr">
        <is>
          <t>JÄMTLANDS LÄN</t>
        </is>
      </c>
      <c r="E370" t="inlineStr">
        <is>
          <t>ÅRE</t>
        </is>
      </c>
      <c r="G370" t="n">
        <v>7.2</v>
      </c>
      <c r="H370" t="n">
        <v>0</v>
      </c>
      <c r="I370" t="n">
        <v>0</v>
      </c>
      <c r="J370" t="n">
        <v>0</v>
      </c>
      <c r="K370" t="n">
        <v>0</v>
      </c>
      <c r="L370" t="n">
        <v>0</v>
      </c>
      <c r="M370" t="n">
        <v>0</v>
      </c>
      <c r="N370" t="n">
        <v>0</v>
      </c>
      <c r="O370" t="n">
        <v>0</v>
      </c>
      <c r="P370" t="n">
        <v>0</v>
      </c>
      <c r="Q370" t="n">
        <v>0</v>
      </c>
      <c r="R370" s="2" t="inlineStr"/>
    </row>
    <row r="371" ht="15" customHeight="1">
      <c r="A371" t="inlineStr">
        <is>
          <t>A 37118-2025</t>
        </is>
      </c>
      <c r="B371" s="1" t="n">
        <v>45875</v>
      </c>
      <c r="C371" s="1" t="n">
        <v>46133</v>
      </c>
      <c r="D371" t="inlineStr">
        <is>
          <t>JÄMTLANDS LÄN</t>
        </is>
      </c>
      <c r="E371" t="inlineStr">
        <is>
          <t>ÅRE</t>
        </is>
      </c>
      <c r="G371" t="n">
        <v>2.9</v>
      </c>
      <c r="H371" t="n">
        <v>0</v>
      </c>
      <c r="I371" t="n">
        <v>0</v>
      </c>
      <c r="J371" t="n">
        <v>0</v>
      </c>
      <c r="K371" t="n">
        <v>0</v>
      </c>
      <c r="L371" t="n">
        <v>0</v>
      </c>
      <c r="M371" t="n">
        <v>0</v>
      </c>
      <c r="N371" t="n">
        <v>0</v>
      </c>
      <c r="O371" t="n">
        <v>0</v>
      </c>
      <c r="P371" t="n">
        <v>0</v>
      </c>
      <c r="Q371" t="n">
        <v>0</v>
      </c>
      <c r="R371" s="2" t="inlineStr"/>
    </row>
    <row r="372" ht="15" customHeight="1">
      <c r="A372" t="inlineStr">
        <is>
          <t>A 1159-2023</t>
        </is>
      </c>
      <c r="B372" s="1" t="n">
        <v>44935.66199074074</v>
      </c>
      <c r="C372" s="1" t="n">
        <v>46133</v>
      </c>
      <c r="D372" t="inlineStr">
        <is>
          <t>JÄMTLANDS LÄN</t>
        </is>
      </c>
      <c r="E372" t="inlineStr">
        <is>
          <t>ÅRE</t>
        </is>
      </c>
      <c r="G372" t="n">
        <v>6.4</v>
      </c>
      <c r="H372" t="n">
        <v>0</v>
      </c>
      <c r="I372" t="n">
        <v>0</v>
      </c>
      <c r="J372" t="n">
        <v>0</v>
      </c>
      <c r="K372" t="n">
        <v>0</v>
      </c>
      <c r="L372" t="n">
        <v>0</v>
      </c>
      <c r="M372" t="n">
        <v>0</v>
      </c>
      <c r="N372" t="n">
        <v>0</v>
      </c>
      <c r="O372" t="n">
        <v>0</v>
      </c>
      <c r="P372" t="n">
        <v>0</v>
      </c>
      <c r="Q372" t="n">
        <v>0</v>
      </c>
      <c r="R372" s="2" t="inlineStr"/>
    </row>
    <row r="373" ht="15" customHeight="1">
      <c r="A373" t="inlineStr">
        <is>
          <t>A 22603-2025</t>
        </is>
      </c>
      <c r="B373" s="1" t="n">
        <v>45786</v>
      </c>
      <c r="C373" s="1" t="n">
        <v>46133</v>
      </c>
      <c r="D373" t="inlineStr">
        <is>
          <t>JÄMTLANDS LÄN</t>
        </is>
      </c>
      <c r="E373" t="inlineStr">
        <is>
          <t>ÅRE</t>
        </is>
      </c>
      <c r="G373" t="n">
        <v>1.4</v>
      </c>
      <c r="H373" t="n">
        <v>0</v>
      </c>
      <c r="I373" t="n">
        <v>0</v>
      </c>
      <c r="J373" t="n">
        <v>0</v>
      </c>
      <c r="K373" t="n">
        <v>0</v>
      </c>
      <c r="L373" t="n">
        <v>0</v>
      </c>
      <c r="M373" t="n">
        <v>0</v>
      </c>
      <c r="N373" t="n">
        <v>0</v>
      </c>
      <c r="O373" t="n">
        <v>0</v>
      </c>
      <c r="P373" t="n">
        <v>0</v>
      </c>
      <c r="Q373" t="n">
        <v>0</v>
      </c>
      <c r="R373" s="2" t="inlineStr"/>
    </row>
    <row r="374" ht="15" customHeight="1">
      <c r="A374" t="inlineStr">
        <is>
          <t>A 37178-2025</t>
        </is>
      </c>
      <c r="B374" s="1" t="n">
        <v>45875</v>
      </c>
      <c r="C374" s="1" t="n">
        <v>46133</v>
      </c>
      <c r="D374" t="inlineStr">
        <is>
          <t>JÄMTLANDS LÄN</t>
        </is>
      </c>
      <c r="E374" t="inlineStr">
        <is>
          <t>ÅRE</t>
        </is>
      </c>
      <c r="G374" t="n">
        <v>5</v>
      </c>
      <c r="H374" t="n">
        <v>0</v>
      </c>
      <c r="I374" t="n">
        <v>0</v>
      </c>
      <c r="J374" t="n">
        <v>0</v>
      </c>
      <c r="K374" t="n">
        <v>0</v>
      </c>
      <c r="L374" t="n">
        <v>0</v>
      </c>
      <c r="M374" t="n">
        <v>0</v>
      </c>
      <c r="N374" t="n">
        <v>0</v>
      </c>
      <c r="O374" t="n">
        <v>0</v>
      </c>
      <c r="P374" t="n">
        <v>0</v>
      </c>
      <c r="Q374" t="n">
        <v>0</v>
      </c>
      <c r="R374" s="2" t="inlineStr"/>
    </row>
    <row r="375" ht="15" customHeight="1">
      <c r="A375" t="inlineStr">
        <is>
          <t>A 22602-2025</t>
        </is>
      </c>
      <c r="B375" s="1" t="n">
        <v>45786</v>
      </c>
      <c r="C375" s="1" t="n">
        <v>46133</v>
      </c>
      <c r="D375" t="inlineStr">
        <is>
          <t>JÄMTLANDS LÄN</t>
        </is>
      </c>
      <c r="E375" t="inlineStr">
        <is>
          <t>ÅRE</t>
        </is>
      </c>
      <c r="G375" t="n">
        <v>13.1</v>
      </c>
      <c r="H375" t="n">
        <v>0</v>
      </c>
      <c r="I375" t="n">
        <v>0</v>
      </c>
      <c r="J375" t="n">
        <v>0</v>
      </c>
      <c r="K375" t="n">
        <v>0</v>
      </c>
      <c r="L375" t="n">
        <v>0</v>
      </c>
      <c r="M375" t="n">
        <v>0</v>
      </c>
      <c r="N375" t="n">
        <v>0</v>
      </c>
      <c r="O375" t="n">
        <v>0</v>
      </c>
      <c r="P375" t="n">
        <v>0</v>
      </c>
      <c r="Q375" t="n">
        <v>0</v>
      </c>
      <c r="R375" s="2" t="inlineStr"/>
    </row>
    <row r="376" ht="15" customHeight="1">
      <c r="A376" t="inlineStr">
        <is>
          <t>A 37159-2025</t>
        </is>
      </c>
      <c r="B376" s="1" t="n">
        <v>45875</v>
      </c>
      <c r="C376" s="1" t="n">
        <v>46133</v>
      </c>
      <c r="D376" t="inlineStr">
        <is>
          <t>JÄMTLANDS LÄN</t>
        </is>
      </c>
      <c r="E376" t="inlineStr">
        <is>
          <t>ÅRE</t>
        </is>
      </c>
      <c r="G376" t="n">
        <v>0.3</v>
      </c>
      <c r="H376" t="n">
        <v>0</v>
      </c>
      <c r="I376" t="n">
        <v>0</v>
      </c>
      <c r="J376" t="n">
        <v>0</v>
      </c>
      <c r="K376" t="n">
        <v>0</v>
      </c>
      <c r="L376" t="n">
        <v>0</v>
      </c>
      <c r="M376" t="n">
        <v>0</v>
      </c>
      <c r="N376" t="n">
        <v>0</v>
      </c>
      <c r="O376" t="n">
        <v>0</v>
      </c>
      <c r="P376" t="n">
        <v>0</v>
      </c>
      <c r="Q376" t="n">
        <v>0</v>
      </c>
      <c r="R376" s="2" t="inlineStr"/>
    </row>
    <row r="377" ht="15" customHeight="1">
      <c r="A377" t="inlineStr">
        <is>
          <t>A 50488-2025</t>
        </is>
      </c>
      <c r="B377" s="1" t="n">
        <v>45945.39144675926</v>
      </c>
      <c r="C377" s="1" t="n">
        <v>46133</v>
      </c>
      <c r="D377" t="inlineStr">
        <is>
          <t>JÄMTLANDS LÄN</t>
        </is>
      </c>
      <c r="E377" t="inlineStr">
        <is>
          <t>ÅRE</t>
        </is>
      </c>
      <c r="G377" t="n">
        <v>3.8</v>
      </c>
      <c r="H377" t="n">
        <v>0</v>
      </c>
      <c r="I377" t="n">
        <v>0</v>
      </c>
      <c r="J377" t="n">
        <v>0</v>
      </c>
      <c r="K377" t="n">
        <v>0</v>
      </c>
      <c r="L377" t="n">
        <v>0</v>
      </c>
      <c r="M377" t="n">
        <v>0</v>
      </c>
      <c r="N377" t="n">
        <v>0</v>
      </c>
      <c r="O377" t="n">
        <v>0</v>
      </c>
      <c r="P377" t="n">
        <v>0</v>
      </c>
      <c r="Q377" t="n">
        <v>0</v>
      </c>
      <c r="R377" s="2" t="inlineStr"/>
    </row>
    <row r="378" ht="15" customHeight="1">
      <c r="A378" t="inlineStr">
        <is>
          <t>A 41273-2025</t>
        </is>
      </c>
      <c r="B378" s="1" t="n">
        <v>45898</v>
      </c>
      <c r="C378" s="1" t="n">
        <v>46133</v>
      </c>
      <c r="D378" t="inlineStr">
        <is>
          <t>JÄMTLANDS LÄN</t>
        </is>
      </c>
      <c r="E378" t="inlineStr">
        <is>
          <t>ÅRE</t>
        </is>
      </c>
      <c r="F378" t="inlineStr">
        <is>
          <t>Övriga Aktiebolag</t>
        </is>
      </c>
      <c r="G378" t="n">
        <v>3.1</v>
      </c>
      <c r="H378" t="n">
        <v>0</v>
      </c>
      <c r="I378" t="n">
        <v>0</v>
      </c>
      <c r="J378" t="n">
        <v>0</v>
      </c>
      <c r="K378" t="n">
        <v>0</v>
      </c>
      <c r="L378" t="n">
        <v>0</v>
      </c>
      <c r="M378" t="n">
        <v>0</v>
      </c>
      <c r="N378" t="n">
        <v>0</v>
      </c>
      <c r="O378" t="n">
        <v>0</v>
      </c>
      <c r="P378" t="n">
        <v>0</v>
      </c>
      <c r="Q378" t="n">
        <v>0</v>
      </c>
      <c r="R378" s="2" t="inlineStr"/>
    </row>
    <row r="379" ht="15" customHeight="1">
      <c r="A379" t="inlineStr">
        <is>
          <t>A 37158-2025</t>
        </is>
      </c>
      <c r="B379" s="1" t="n">
        <v>45875</v>
      </c>
      <c r="C379" s="1" t="n">
        <v>46133</v>
      </c>
      <c r="D379" t="inlineStr">
        <is>
          <t>JÄMTLANDS LÄN</t>
        </is>
      </c>
      <c r="E379" t="inlineStr">
        <is>
          <t>ÅRE</t>
        </is>
      </c>
      <c r="G379" t="n">
        <v>4.7</v>
      </c>
      <c r="H379" t="n">
        <v>0</v>
      </c>
      <c r="I379" t="n">
        <v>0</v>
      </c>
      <c r="J379" t="n">
        <v>0</v>
      </c>
      <c r="K379" t="n">
        <v>0</v>
      </c>
      <c r="L379" t="n">
        <v>0</v>
      </c>
      <c r="M379" t="n">
        <v>0</v>
      </c>
      <c r="N379" t="n">
        <v>0</v>
      </c>
      <c r="O379" t="n">
        <v>0</v>
      </c>
      <c r="P379" t="n">
        <v>0</v>
      </c>
      <c r="Q379" t="n">
        <v>0</v>
      </c>
      <c r="R379" s="2" t="inlineStr"/>
    </row>
    <row r="380" ht="15" customHeight="1">
      <c r="A380" t="inlineStr">
        <is>
          <t>A 37249-2025</t>
        </is>
      </c>
      <c r="B380" s="1" t="n">
        <v>45876.40699074074</v>
      </c>
      <c r="C380" s="1" t="n">
        <v>46133</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47664-2022</t>
        </is>
      </c>
      <c r="B381" s="1" t="n">
        <v>44854.46388888889</v>
      </c>
      <c r="C381" s="1" t="n">
        <v>46133</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27375-2021</t>
        </is>
      </c>
      <c r="B382" s="1" t="n">
        <v>44351</v>
      </c>
      <c r="C382" s="1" t="n">
        <v>46133</v>
      </c>
      <c r="D382" t="inlineStr">
        <is>
          <t>JÄMTLANDS LÄN</t>
        </is>
      </c>
      <c r="E382" t="inlineStr">
        <is>
          <t>ÅRE</t>
        </is>
      </c>
      <c r="G382" t="n">
        <v>7.4</v>
      </c>
      <c r="H382" t="n">
        <v>0</v>
      </c>
      <c r="I382" t="n">
        <v>0</v>
      </c>
      <c r="J382" t="n">
        <v>0</v>
      </c>
      <c r="K382" t="n">
        <v>0</v>
      </c>
      <c r="L382" t="n">
        <v>0</v>
      </c>
      <c r="M382" t="n">
        <v>0</v>
      </c>
      <c r="N382" t="n">
        <v>0</v>
      </c>
      <c r="O382" t="n">
        <v>0</v>
      </c>
      <c r="P382" t="n">
        <v>0</v>
      </c>
      <c r="Q382" t="n">
        <v>0</v>
      </c>
      <c r="R382" s="2" t="inlineStr"/>
    </row>
    <row r="383" ht="15" customHeight="1">
      <c r="A383" t="inlineStr">
        <is>
          <t>A 38285-2025</t>
        </is>
      </c>
      <c r="B383" s="1" t="n">
        <v>45883.43145833333</v>
      </c>
      <c r="C383" s="1" t="n">
        <v>46133</v>
      </c>
      <c r="D383" t="inlineStr">
        <is>
          <t>JÄMTLANDS LÄN</t>
        </is>
      </c>
      <c r="E383" t="inlineStr">
        <is>
          <t>ÅRE</t>
        </is>
      </c>
      <c r="G383" t="n">
        <v>2.6</v>
      </c>
      <c r="H383" t="n">
        <v>0</v>
      </c>
      <c r="I383" t="n">
        <v>0</v>
      </c>
      <c r="J383" t="n">
        <v>0</v>
      </c>
      <c r="K383" t="n">
        <v>0</v>
      </c>
      <c r="L383" t="n">
        <v>0</v>
      </c>
      <c r="M383" t="n">
        <v>0</v>
      </c>
      <c r="N383" t="n">
        <v>0</v>
      </c>
      <c r="O383" t="n">
        <v>0</v>
      </c>
      <c r="P383" t="n">
        <v>0</v>
      </c>
      <c r="Q383" t="n">
        <v>0</v>
      </c>
      <c r="R383" s="2" t="inlineStr"/>
    </row>
    <row r="384" ht="15" customHeight="1">
      <c r="A384" t="inlineStr">
        <is>
          <t>A 43456-2023</t>
        </is>
      </c>
      <c r="B384" s="1" t="n">
        <v>45184.37474537037</v>
      </c>
      <c r="C384" s="1" t="n">
        <v>46133</v>
      </c>
      <c r="D384" t="inlineStr">
        <is>
          <t>JÄMTLANDS LÄN</t>
        </is>
      </c>
      <c r="E384" t="inlineStr">
        <is>
          <t>ÅRE</t>
        </is>
      </c>
      <c r="F384" t="inlineStr">
        <is>
          <t>Övriga Aktiebolag</t>
        </is>
      </c>
      <c r="G384" t="n">
        <v>8.9</v>
      </c>
      <c r="H384" t="n">
        <v>0</v>
      </c>
      <c r="I384" t="n">
        <v>0</v>
      </c>
      <c r="J384" t="n">
        <v>0</v>
      </c>
      <c r="K384" t="n">
        <v>0</v>
      </c>
      <c r="L384" t="n">
        <v>0</v>
      </c>
      <c r="M384" t="n">
        <v>0</v>
      </c>
      <c r="N384" t="n">
        <v>0</v>
      </c>
      <c r="O384" t="n">
        <v>0</v>
      </c>
      <c r="P384" t="n">
        <v>0</v>
      </c>
      <c r="Q384" t="n">
        <v>0</v>
      </c>
      <c r="R384" s="2" t="inlineStr"/>
    </row>
    <row r="385" ht="15" customHeight="1">
      <c r="A385" t="inlineStr">
        <is>
          <t>A 54164-2023</t>
        </is>
      </c>
      <c r="B385" s="1" t="n">
        <v>45232.47815972222</v>
      </c>
      <c r="C385" s="1" t="n">
        <v>46133</v>
      </c>
      <c r="D385" t="inlineStr">
        <is>
          <t>JÄMTLANDS LÄN</t>
        </is>
      </c>
      <c r="E385" t="inlineStr">
        <is>
          <t>ÅRE</t>
        </is>
      </c>
      <c r="G385" t="n">
        <v>2.6</v>
      </c>
      <c r="H385" t="n">
        <v>0</v>
      </c>
      <c r="I385" t="n">
        <v>0</v>
      </c>
      <c r="J385" t="n">
        <v>0</v>
      </c>
      <c r="K385" t="n">
        <v>0</v>
      </c>
      <c r="L385" t="n">
        <v>0</v>
      </c>
      <c r="M385" t="n">
        <v>0</v>
      </c>
      <c r="N385" t="n">
        <v>0</v>
      </c>
      <c r="O385" t="n">
        <v>0</v>
      </c>
      <c r="P385" t="n">
        <v>0</v>
      </c>
      <c r="Q385" t="n">
        <v>0</v>
      </c>
      <c r="R385" s="2" t="inlineStr"/>
    </row>
    <row r="386" ht="15" customHeight="1">
      <c r="A386" t="inlineStr">
        <is>
          <t>A 3394-2026</t>
        </is>
      </c>
      <c r="B386" s="1" t="n">
        <v>46042.37641203704</v>
      </c>
      <c r="C386" s="1" t="n">
        <v>46133</v>
      </c>
      <c r="D386" t="inlineStr">
        <is>
          <t>JÄMTLANDS LÄN</t>
        </is>
      </c>
      <c r="E386" t="inlineStr">
        <is>
          <t>ÅRE</t>
        </is>
      </c>
      <c r="F386" t="inlineStr">
        <is>
          <t>Övriga Aktiebolag</t>
        </is>
      </c>
      <c r="G386" t="n">
        <v>11.2</v>
      </c>
      <c r="H386" t="n">
        <v>0</v>
      </c>
      <c r="I386" t="n">
        <v>0</v>
      </c>
      <c r="J386" t="n">
        <v>0</v>
      </c>
      <c r="K386" t="n">
        <v>0</v>
      </c>
      <c r="L386" t="n">
        <v>0</v>
      </c>
      <c r="M386" t="n">
        <v>0</v>
      </c>
      <c r="N386" t="n">
        <v>0</v>
      </c>
      <c r="O386" t="n">
        <v>0</v>
      </c>
      <c r="P386" t="n">
        <v>0</v>
      </c>
      <c r="Q386" t="n">
        <v>0</v>
      </c>
      <c r="R386" s="2" t="inlineStr"/>
    </row>
    <row r="387" ht="15" customHeight="1">
      <c r="A387" t="inlineStr">
        <is>
          <t>A 6049-2025</t>
        </is>
      </c>
      <c r="B387" s="1" t="n">
        <v>45695</v>
      </c>
      <c r="C387" s="1" t="n">
        <v>46133</v>
      </c>
      <c r="D387" t="inlineStr">
        <is>
          <t>JÄMTLANDS LÄN</t>
        </is>
      </c>
      <c r="E387" t="inlineStr">
        <is>
          <t>ÅRE</t>
        </is>
      </c>
      <c r="G387" t="n">
        <v>58.3</v>
      </c>
      <c r="H387" t="n">
        <v>0</v>
      </c>
      <c r="I387" t="n">
        <v>0</v>
      </c>
      <c r="J387" t="n">
        <v>0</v>
      </c>
      <c r="K387" t="n">
        <v>0</v>
      </c>
      <c r="L387" t="n">
        <v>0</v>
      </c>
      <c r="M387" t="n">
        <v>0</v>
      </c>
      <c r="N387" t="n">
        <v>0</v>
      </c>
      <c r="O387" t="n">
        <v>0</v>
      </c>
      <c r="P387" t="n">
        <v>0</v>
      </c>
      <c r="Q387" t="n">
        <v>0</v>
      </c>
      <c r="R387" s="2" t="inlineStr"/>
    </row>
    <row r="388" ht="15" customHeight="1">
      <c r="A388" t="inlineStr">
        <is>
          <t>A 51876-2025</t>
        </is>
      </c>
      <c r="B388" s="1" t="n">
        <v>45952.39850694445</v>
      </c>
      <c r="C388" s="1" t="n">
        <v>46133</v>
      </c>
      <c r="D388" t="inlineStr">
        <is>
          <t>JÄMTLANDS LÄN</t>
        </is>
      </c>
      <c r="E388" t="inlineStr">
        <is>
          <t>ÅRE</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2374-2023</t>
        </is>
      </c>
      <c r="B389" s="1" t="n">
        <v>44942.69005787037</v>
      </c>
      <c r="C389" s="1" t="n">
        <v>46133</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52946-2025</t>
        </is>
      </c>
      <c r="B390" s="1" t="n">
        <v>45957.64819444445</v>
      </c>
      <c r="C390" s="1" t="n">
        <v>46133</v>
      </c>
      <c r="D390" t="inlineStr">
        <is>
          <t>JÄMTLANDS LÄN</t>
        </is>
      </c>
      <c r="E390" t="inlineStr">
        <is>
          <t>ÅRE</t>
        </is>
      </c>
      <c r="G390" t="n">
        <v>2.6</v>
      </c>
      <c r="H390" t="n">
        <v>0</v>
      </c>
      <c r="I390" t="n">
        <v>0</v>
      </c>
      <c r="J390" t="n">
        <v>0</v>
      </c>
      <c r="K390" t="n">
        <v>0</v>
      </c>
      <c r="L390" t="n">
        <v>0</v>
      </c>
      <c r="M390" t="n">
        <v>0</v>
      </c>
      <c r="N390" t="n">
        <v>0</v>
      </c>
      <c r="O390" t="n">
        <v>0</v>
      </c>
      <c r="P390" t="n">
        <v>0</v>
      </c>
      <c r="Q390" t="n">
        <v>0</v>
      </c>
      <c r="R390" s="2" t="inlineStr"/>
    </row>
    <row r="391" ht="15" customHeight="1">
      <c r="A391" t="inlineStr">
        <is>
          <t>A 52607-2025</t>
        </is>
      </c>
      <c r="B391" s="1" t="n">
        <v>45954.66291666667</v>
      </c>
      <c r="C391" s="1" t="n">
        <v>46133</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3154-2023</t>
        </is>
      </c>
      <c r="B392" s="1" t="n">
        <v>44946.56012731481</v>
      </c>
      <c r="C392" s="1" t="n">
        <v>46133</v>
      </c>
      <c r="D392" t="inlineStr">
        <is>
          <t>JÄMTLANDS LÄN</t>
        </is>
      </c>
      <c r="E392" t="inlineStr">
        <is>
          <t>ÅRE</t>
        </is>
      </c>
      <c r="G392" t="n">
        <v>5.1</v>
      </c>
      <c r="H392" t="n">
        <v>0</v>
      </c>
      <c r="I392" t="n">
        <v>0</v>
      </c>
      <c r="J392" t="n">
        <v>0</v>
      </c>
      <c r="K392" t="n">
        <v>0</v>
      </c>
      <c r="L392" t="n">
        <v>0</v>
      </c>
      <c r="M392" t="n">
        <v>0</v>
      </c>
      <c r="N392" t="n">
        <v>0</v>
      </c>
      <c r="O392" t="n">
        <v>0</v>
      </c>
      <c r="P392" t="n">
        <v>0</v>
      </c>
      <c r="Q392" t="n">
        <v>0</v>
      </c>
      <c r="R392" s="2" t="inlineStr"/>
    </row>
    <row r="393" ht="15" customHeight="1">
      <c r="A393" t="inlineStr">
        <is>
          <t>A 52944-2025</t>
        </is>
      </c>
      <c r="B393" s="1" t="n">
        <v>45957.6437037037</v>
      </c>
      <c r="C393" s="1" t="n">
        <v>46133</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46444-2024</t>
        </is>
      </c>
      <c r="B394" s="1" t="n">
        <v>45582</v>
      </c>
      <c r="C394" s="1" t="n">
        <v>46133</v>
      </c>
      <c r="D394" t="inlineStr">
        <is>
          <t>JÄMTLANDS LÄN</t>
        </is>
      </c>
      <c r="E394" t="inlineStr">
        <is>
          <t>ÅRE</t>
        </is>
      </c>
      <c r="G394" t="n">
        <v>19.6</v>
      </c>
      <c r="H394" t="n">
        <v>0</v>
      </c>
      <c r="I394" t="n">
        <v>0</v>
      </c>
      <c r="J394" t="n">
        <v>0</v>
      </c>
      <c r="K394" t="n">
        <v>0</v>
      </c>
      <c r="L394" t="n">
        <v>0</v>
      </c>
      <c r="M394" t="n">
        <v>0</v>
      </c>
      <c r="N394" t="n">
        <v>0</v>
      </c>
      <c r="O394" t="n">
        <v>0</v>
      </c>
      <c r="P394" t="n">
        <v>0</v>
      </c>
      <c r="Q394" t="n">
        <v>0</v>
      </c>
      <c r="R394" s="2" t="inlineStr"/>
    </row>
    <row r="395" ht="15" customHeight="1">
      <c r="A395" t="inlineStr">
        <is>
          <t>A 52604-2025</t>
        </is>
      </c>
      <c r="B395" s="1" t="n">
        <v>45954.65774305556</v>
      </c>
      <c r="C395" s="1" t="n">
        <v>46133</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52597-2025</t>
        </is>
      </c>
      <c r="B396" s="1" t="n">
        <v>45954.65364583334</v>
      </c>
      <c r="C396" s="1" t="n">
        <v>46133</v>
      </c>
      <c r="D396" t="inlineStr">
        <is>
          <t>JÄMTLANDS LÄN</t>
        </is>
      </c>
      <c r="E396" t="inlineStr">
        <is>
          <t>ÅRE</t>
        </is>
      </c>
      <c r="G396" t="n">
        <v>1.4</v>
      </c>
      <c r="H396" t="n">
        <v>0</v>
      </c>
      <c r="I396" t="n">
        <v>0</v>
      </c>
      <c r="J396" t="n">
        <v>0</v>
      </c>
      <c r="K396" t="n">
        <v>0</v>
      </c>
      <c r="L396" t="n">
        <v>0</v>
      </c>
      <c r="M396" t="n">
        <v>0</v>
      </c>
      <c r="N396" t="n">
        <v>0</v>
      </c>
      <c r="O396" t="n">
        <v>0</v>
      </c>
      <c r="P396" t="n">
        <v>0</v>
      </c>
      <c r="Q396" t="n">
        <v>0</v>
      </c>
      <c r="R396" s="2" t="inlineStr"/>
    </row>
    <row r="397" ht="15" customHeight="1">
      <c r="A397" t="inlineStr">
        <is>
          <t>A 52606-2025</t>
        </is>
      </c>
      <c r="B397" s="1" t="n">
        <v>45954.66020833333</v>
      </c>
      <c r="C397" s="1" t="n">
        <v>46133</v>
      </c>
      <c r="D397" t="inlineStr">
        <is>
          <t>JÄMTLANDS LÄN</t>
        </is>
      </c>
      <c r="E397" t="inlineStr">
        <is>
          <t>ÅRE</t>
        </is>
      </c>
      <c r="G397" t="n">
        <v>1.3</v>
      </c>
      <c r="H397" t="n">
        <v>0</v>
      </c>
      <c r="I397" t="n">
        <v>0</v>
      </c>
      <c r="J397" t="n">
        <v>0</v>
      </c>
      <c r="K397" t="n">
        <v>0</v>
      </c>
      <c r="L397" t="n">
        <v>0</v>
      </c>
      <c r="M397" t="n">
        <v>0</v>
      </c>
      <c r="N397" t="n">
        <v>0</v>
      </c>
      <c r="O397" t="n">
        <v>0</v>
      </c>
      <c r="P397" t="n">
        <v>0</v>
      </c>
      <c r="Q397" t="n">
        <v>0</v>
      </c>
      <c r="R397" s="2" t="inlineStr"/>
    </row>
    <row r="398" ht="15" customHeight="1">
      <c r="A398" t="inlineStr">
        <is>
          <t>A 53156-2025</t>
        </is>
      </c>
      <c r="B398" s="1" t="n">
        <v>45958.49030092593</v>
      </c>
      <c r="C398" s="1" t="n">
        <v>46133</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53899-2023</t>
        </is>
      </c>
      <c r="B399" s="1" t="n">
        <v>45231.54160879629</v>
      </c>
      <c r="C399" s="1" t="n">
        <v>46133</v>
      </c>
      <c r="D399" t="inlineStr">
        <is>
          <t>JÄMTLANDS LÄN</t>
        </is>
      </c>
      <c r="E399" t="inlineStr">
        <is>
          <t>ÅRE</t>
        </is>
      </c>
      <c r="G399" t="n">
        <v>20.4</v>
      </c>
      <c r="H399" t="n">
        <v>0</v>
      </c>
      <c r="I399" t="n">
        <v>0</v>
      </c>
      <c r="J399" t="n">
        <v>0</v>
      </c>
      <c r="K399" t="n">
        <v>0</v>
      </c>
      <c r="L399" t="n">
        <v>0</v>
      </c>
      <c r="M399" t="n">
        <v>0</v>
      </c>
      <c r="N399" t="n">
        <v>0</v>
      </c>
      <c r="O399" t="n">
        <v>0</v>
      </c>
      <c r="P399" t="n">
        <v>0</v>
      </c>
      <c r="Q399" t="n">
        <v>0</v>
      </c>
      <c r="R399" s="2" t="inlineStr"/>
    </row>
    <row r="400" ht="15" customHeight="1">
      <c r="A400" t="inlineStr">
        <is>
          <t>A 53134-2025</t>
        </is>
      </c>
      <c r="B400" s="1" t="n">
        <v>45958.46826388889</v>
      </c>
      <c r="C400" s="1" t="n">
        <v>46133</v>
      </c>
      <c r="D400" t="inlineStr">
        <is>
          <t>JÄMTLANDS LÄN</t>
        </is>
      </c>
      <c r="E400" t="inlineStr">
        <is>
          <t>ÅRE</t>
        </is>
      </c>
      <c r="G400" t="n">
        <v>13.8</v>
      </c>
      <c r="H400" t="n">
        <v>0</v>
      </c>
      <c r="I400" t="n">
        <v>0</v>
      </c>
      <c r="J400" t="n">
        <v>0</v>
      </c>
      <c r="K400" t="n">
        <v>0</v>
      </c>
      <c r="L400" t="n">
        <v>0</v>
      </c>
      <c r="M400" t="n">
        <v>0</v>
      </c>
      <c r="N400" t="n">
        <v>0</v>
      </c>
      <c r="O400" t="n">
        <v>0</v>
      </c>
      <c r="P400" t="n">
        <v>0</v>
      </c>
      <c r="Q400" t="n">
        <v>0</v>
      </c>
      <c r="R400" s="2" t="inlineStr"/>
    </row>
    <row r="401" ht="15" customHeight="1">
      <c r="A401" t="inlineStr">
        <is>
          <t>A 4181-2025</t>
        </is>
      </c>
      <c r="B401" s="1" t="n">
        <v>45685.44300925926</v>
      </c>
      <c r="C401" s="1" t="n">
        <v>46133</v>
      </c>
      <c r="D401" t="inlineStr">
        <is>
          <t>JÄMTLANDS LÄN</t>
        </is>
      </c>
      <c r="E401" t="inlineStr">
        <is>
          <t>ÅRE</t>
        </is>
      </c>
      <c r="F401" t="inlineStr">
        <is>
          <t>Övriga Aktiebolag</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53133-2025</t>
        </is>
      </c>
      <c r="B402" s="1" t="n">
        <v>45958.46806712963</v>
      </c>
      <c r="C402" s="1" t="n">
        <v>46133</v>
      </c>
      <c r="D402" t="inlineStr">
        <is>
          <t>JÄMTLANDS LÄN</t>
        </is>
      </c>
      <c r="E402" t="inlineStr">
        <is>
          <t>ÅRE</t>
        </is>
      </c>
      <c r="G402" t="n">
        <v>13.8</v>
      </c>
      <c r="H402" t="n">
        <v>0</v>
      </c>
      <c r="I402" t="n">
        <v>0</v>
      </c>
      <c r="J402" t="n">
        <v>0</v>
      </c>
      <c r="K402" t="n">
        <v>0</v>
      </c>
      <c r="L402" t="n">
        <v>0</v>
      </c>
      <c r="M402" t="n">
        <v>0</v>
      </c>
      <c r="N402" t="n">
        <v>0</v>
      </c>
      <c r="O402" t="n">
        <v>0</v>
      </c>
      <c r="P402" t="n">
        <v>0</v>
      </c>
      <c r="Q402" t="n">
        <v>0</v>
      </c>
      <c r="R402" s="2" t="inlineStr"/>
    </row>
    <row r="403" ht="15" customHeight="1">
      <c r="A403" t="inlineStr">
        <is>
          <t>A 25926-2023</t>
        </is>
      </c>
      <c r="B403" s="1" t="n">
        <v>45085</v>
      </c>
      <c r="C403" s="1" t="n">
        <v>46133</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53862-2025</t>
        </is>
      </c>
      <c r="B404" s="1" t="n">
        <v>45961.38105324074</v>
      </c>
      <c r="C404" s="1" t="n">
        <v>46133</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12168-2023</t>
        </is>
      </c>
      <c r="B405" s="1" t="n">
        <v>44998</v>
      </c>
      <c r="C405" s="1" t="n">
        <v>46133</v>
      </c>
      <c r="D405" t="inlineStr">
        <is>
          <t>JÄMTLANDS LÄN</t>
        </is>
      </c>
      <c r="E405" t="inlineStr">
        <is>
          <t>ÅRE</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12173-2023</t>
        </is>
      </c>
      <c r="B406" s="1" t="n">
        <v>44998</v>
      </c>
      <c r="C406" s="1" t="n">
        <v>46133</v>
      </c>
      <c r="D406" t="inlineStr">
        <is>
          <t>JÄMTLANDS LÄN</t>
        </is>
      </c>
      <c r="E406" t="inlineStr">
        <is>
          <t>ÅRE</t>
        </is>
      </c>
      <c r="G406" t="n">
        <v>2.5</v>
      </c>
      <c r="H406" t="n">
        <v>0</v>
      </c>
      <c r="I406" t="n">
        <v>0</v>
      </c>
      <c r="J406" t="n">
        <v>0</v>
      </c>
      <c r="K406" t="n">
        <v>0</v>
      </c>
      <c r="L406" t="n">
        <v>0</v>
      </c>
      <c r="M406" t="n">
        <v>0</v>
      </c>
      <c r="N406" t="n">
        <v>0</v>
      </c>
      <c r="O406" t="n">
        <v>0</v>
      </c>
      <c r="P406" t="n">
        <v>0</v>
      </c>
      <c r="Q406" t="n">
        <v>0</v>
      </c>
      <c r="R406" s="2" t="inlineStr"/>
    </row>
    <row r="407" ht="15" customHeight="1">
      <c r="A407" t="inlineStr">
        <is>
          <t>A 12179-2023</t>
        </is>
      </c>
      <c r="B407" s="1" t="n">
        <v>44998</v>
      </c>
      <c r="C407" s="1" t="n">
        <v>46133</v>
      </c>
      <c r="D407" t="inlineStr">
        <is>
          <t>JÄMTLANDS LÄN</t>
        </is>
      </c>
      <c r="E407" t="inlineStr">
        <is>
          <t>ÅRE</t>
        </is>
      </c>
      <c r="G407" t="n">
        <v>8.5</v>
      </c>
      <c r="H407" t="n">
        <v>0</v>
      </c>
      <c r="I407" t="n">
        <v>0</v>
      </c>
      <c r="J407" t="n">
        <v>0</v>
      </c>
      <c r="K407" t="n">
        <v>0</v>
      </c>
      <c r="L407" t="n">
        <v>0</v>
      </c>
      <c r="M407" t="n">
        <v>0</v>
      </c>
      <c r="N407" t="n">
        <v>0</v>
      </c>
      <c r="O407" t="n">
        <v>0</v>
      </c>
      <c r="P407" t="n">
        <v>0</v>
      </c>
      <c r="Q407" t="n">
        <v>0</v>
      </c>
      <c r="R407" s="2" t="inlineStr"/>
    </row>
    <row r="408" ht="15" customHeight="1">
      <c r="A408" t="inlineStr">
        <is>
          <t>A 12287-2023</t>
        </is>
      </c>
      <c r="B408" s="1" t="n">
        <v>44998.72736111111</v>
      </c>
      <c r="C408" s="1" t="n">
        <v>46133</v>
      </c>
      <c r="D408" t="inlineStr">
        <is>
          <t>JÄMTLANDS LÄN</t>
        </is>
      </c>
      <c r="E408" t="inlineStr">
        <is>
          <t>ÅRE</t>
        </is>
      </c>
      <c r="G408" t="n">
        <v>3.1</v>
      </c>
      <c r="H408" t="n">
        <v>0</v>
      </c>
      <c r="I408" t="n">
        <v>0</v>
      </c>
      <c r="J408" t="n">
        <v>0</v>
      </c>
      <c r="K408" t="n">
        <v>0</v>
      </c>
      <c r="L408" t="n">
        <v>0</v>
      </c>
      <c r="M408" t="n">
        <v>0</v>
      </c>
      <c r="N408" t="n">
        <v>0</v>
      </c>
      <c r="O408" t="n">
        <v>0</v>
      </c>
      <c r="P408" t="n">
        <v>0</v>
      </c>
      <c r="Q408" t="n">
        <v>0</v>
      </c>
      <c r="R408" s="2" t="inlineStr"/>
    </row>
    <row r="409" ht="15" customHeight="1">
      <c r="A409" t="inlineStr">
        <is>
          <t>A 57150-2021</t>
        </is>
      </c>
      <c r="B409" s="1" t="n">
        <v>44482</v>
      </c>
      <c r="C409" s="1" t="n">
        <v>46133</v>
      </c>
      <c r="D409" t="inlineStr">
        <is>
          <t>JÄMTLANDS LÄN</t>
        </is>
      </c>
      <c r="E409" t="inlineStr">
        <is>
          <t>ÅRE</t>
        </is>
      </c>
      <c r="G409" t="n">
        <v>1.3</v>
      </c>
      <c r="H409" t="n">
        <v>0</v>
      </c>
      <c r="I409" t="n">
        <v>0</v>
      </c>
      <c r="J409" t="n">
        <v>0</v>
      </c>
      <c r="K409" t="n">
        <v>0</v>
      </c>
      <c r="L409" t="n">
        <v>0</v>
      </c>
      <c r="M409" t="n">
        <v>0</v>
      </c>
      <c r="N409" t="n">
        <v>0</v>
      </c>
      <c r="O409" t="n">
        <v>0</v>
      </c>
      <c r="P409" t="n">
        <v>0</v>
      </c>
      <c r="Q409" t="n">
        <v>0</v>
      </c>
      <c r="R409" s="2" t="inlineStr"/>
    </row>
    <row r="410" ht="15" customHeight="1">
      <c r="A410" t="inlineStr">
        <is>
          <t>A 50951-2023</t>
        </is>
      </c>
      <c r="B410" s="1" t="n">
        <v>45218</v>
      </c>
      <c r="C410" s="1" t="n">
        <v>46133</v>
      </c>
      <c r="D410" t="inlineStr">
        <is>
          <t>JÄMTLANDS LÄN</t>
        </is>
      </c>
      <c r="E410" t="inlineStr">
        <is>
          <t>ÅRE</t>
        </is>
      </c>
      <c r="G410" t="n">
        <v>1</v>
      </c>
      <c r="H410" t="n">
        <v>0</v>
      </c>
      <c r="I410" t="n">
        <v>0</v>
      </c>
      <c r="J410" t="n">
        <v>0</v>
      </c>
      <c r="K410" t="n">
        <v>0</v>
      </c>
      <c r="L410" t="n">
        <v>0</v>
      </c>
      <c r="M410" t="n">
        <v>0</v>
      </c>
      <c r="N410" t="n">
        <v>0</v>
      </c>
      <c r="O410" t="n">
        <v>0</v>
      </c>
      <c r="P410" t="n">
        <v>0</v>
      </c>
      <c r="Q410" t="n">
        <v>0</v>
      </c>
      <c r="R410" s="2" t="inlineStr"/>
    </row>
    <row r="411" ht="15" customHeight="1">
      <c r="A411" t="inlineStr">
        <is>
          <t>A 53873-2025</t>
        </is>
      </c>
      <c r="B411" s="1" t="n">
        <v>45961.39340277778</v>
      </c>
      <c r="C411" s="1" t="n">
        <v>46133</v>
      </c>
      <c r="D411" t="inlineStr">
        <is>
          <t>JÄMTLANDS LÄN</t>
        </is>
      </c>
      <c r="E411" t="inlineStr">
        <is>
          <t>ÅRE</t>
        </is>
      </c>
      <c r="G411" t="n">
        <v>0.5</v>
      </c>
      <c r="H411" t="n">
        <v>0</v>
      </c>
      <c r="I411" t="n">
        <v>0</v>
      </c>
      <c r="J411" t="n">
        <v>0</v>
      </c>
      <c r="K411" t="n">
        <v>0</v>
      </c>
      <c r="L411" t="n">
        <v>0</v>
      </c>
      <c r="M411" t="n">
        <v>0</v>
      </c>
      <c r="N411" t="n">
        <v>0</v>
      </c>
      <c r="O411" t="n">
        <v>0</v>
      </c>
      <c r="P411" t="n">
        <v>0</v>
      </c>
      <c r="Q411" t="n">
        <v>0</v>
      </c>
      <c r="R411" s="2" t="inlineStr"/>
    </row>
    <row r="412" ht="15" customHeight="1">
      <c r="A412" t="inlineStr">
        <is>
          <t>A 5611-2025</t>
        </is>
      </c>
      <c r="B412" s="1" t="n">
        <v>45693.60480324074</v>
      </c>
      <c r="C412" s="1" t="n">
        <v>46133</v>
      </c>
      <c r="D412" t="inlineStr">
        <is>
          <t>JÄMTLANDS LÄN</t>
        </is>
      </c>
      <c r="E412" t="inlineStr">
        <is>
          <t>ÅRE</t>
        </is>
      </c>
      <c r="G412" t="n">
        <v>2.9</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46133</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54137-2025</t>
        </is>
      </c>
      <c r="B414" s="1" t="n">
        <v>45964.47275462963</v>
      </c>
      <c r="C414" s="1" t="n">
        <v>46133</v>
      </c>
      <c r="D414" t="inlineStr">
        <is>
          <t>JÄMTLANDS LÄN</t>
        </is>
      </c>
      <c r="E414" t="inlineStr">
        <is>
          <t>ÅRE</t>
        </is>
      </c>
      <c r="G414" t="n">
        <v>0.7</v>
      </c>
      <c r="H414" t="n">
        <v>0</v>
      </c>
      <c r="I414" t="n">
        <v>0</v>
      </c>
      <c r="J414" t="n">
        <v>0</v>
      </c>
      <c r="K414" t="n">
        <v>0</v>
      </c>
      <c r="L414" t="n">
        <v>0</v>
      </c>
      <c r="M414" t="n">
        <v>0</v>
      </c>
      <c r="N414" t="n">
        <v>0</v>
      </c>
      <c r="O414" t="n">
        <v>0</v>
      </c>
      <c r="P414" t="n">
        <v>0</v>
      </c>
      <c r="Q414" t="n">
        <v>0</v>
      </c>
      <c r="R414" s="2" t="inlineStr"/>
    </row>
    <row r="415" ht="15" customHeight="1">
      <c r="A415" t="inlineStr">
        <is>
          <t>A 54131-2025</t>
        </is>
      </c>
      <c r="B415" s="1" t="n">
        <v>45964.46167824074</v>
      </c>
      <c r="C415" s="1" t="n">
        <v>46133</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54136-2025</t>
        </is>
      </c>
      <c r="B416" s="1" t="n">
        <v>45964.47177083333</v>
      </c>
      <c r="C416" s="1" t="n">
        <v>46133</v>
      </c>
      <c r="D416" t="inlineStr">
        <is>
          <t>JÄMTLANDS LÄN</t>
        </is>
      </c>
      <c r="E416" t="inlineStr">
        <is>
          <t>ÅRE</t>
        </is>
      </c>
      <c r="G416" t="n">
        <v>7.2</v>
      </c>
      <c r="H416" t="n">
        <v>0</v>
      </c>
      <c r="I416" t="n">
        <v>0</v>
      </c>
      <c r="J416" t="n">
        <v>0</v>
      </c>
      <c r="K416" t="n">
        <v>0</v>
      </c>
      <c r="L416" t="n">
        <v>0</v>
      </c>
      <c r="M416" t="n">
        <v>0</v>
      </c>
      <c r="N416" t="n">
        <v>0</v>
      </c>
      <c r="O416" t="n">
        <v>0</v>
      </c>
      <c r="P416" t="n">
        <v>0</v>
      </c>
      <c r="Q416" t="n">
        <v>0</v>
      </c>
      <c r="R416" s="2" t="inlineStr"/>
    </row>
    <row r="417" ht="15" customHeight="1">
      <c r="A417" t="inlineStr">
        <is>
          <t>A 54139-2025</t>
        </is>
      </c>
      <c r="B417" s="1" t="n">
        <v>45964.47564814815</v>
      </c>
      <c r="C417" s="1" t="n">
        <v>46133</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56976-2023</t>
        </is>
      </c>
      <c r="B418" s="1" t="n">
        <v>45244.64202546296</v>
      </c>
      <c r="C418" s="1" t="n">
        <v>46133</v>
      </c>
      <c r="D418" t="inlineStr">
        <is>
          <t>JÄMTLANDS LÄN</t>
        </is>
      </c>
      <c r="E418" t="inlineStr">
        <is>
          <t>ÅRE</t>
        </is>
      </c>
      <c r="F418" t="inlineStr">
        <is>
          <t>Övriga Aktiebolag</t>
        </is>
      </c>
      <c r="G418" t="n">
        <v>4.9</v>
      </c>
      <c r="H418" t="n">
        <v>0</v>
      </c>
      <c r="I418" t="n">
        <v>0</v>
      </c>
      <c r="J418" t="n">
        <v>0</v>
      </c>
      <c r="K418" t="n">
        <v>0</v>
      </c>
      <c r="L418" t="n">
        <v>0</v>
      </c>
      <c r="M418" t="n">
        <v>0</v>
      </c>
      <c r="N418" t="n">
        <v>0</v>
      </c>
      <c r="O418" t="n">
        <v>0</v>
      </c>
      <c r="P418" t="n">
        <v>0</v>
      </c>
      <c r="Q418" t="n">
        <v>0</v>
      </c>
      <c r="R418" s="2" t="inlineStr"/>
    </row>
    <row r="419" ht="15" customHeight="1">
      <c r="A419" t="inlineStr">
        <is>
          <t>A 20170-2025</t>
        </is>
      </c>
      <c r="B419" s="1" t="n">
        <v>45772.57789351852</v>
      </c>
      <c r="C419" s="1" t="n">
        <v>46133</v>
      </c>
      <c r="D419" t="inlineStr">
        <is>
          <t>JÄMTLANDS LÄN</t>
        </is>
      </c>
      <c r="E419" t="inlineStr">
        <is>
          <t>ÅRE</t>
        </is>
      </c>
      <c r="G419" t="n">
        <v>0.1</v>
      </c>
      <c r="H419" t="n">
        <v>0</v>
      </c>
      <c r="I419" t="n">
        <v>0</v>
      </c>
      <c r="J419" t="n">
        <v>0</v>
      </c>
      <c r="K419" t="n">
        <v>0</v>
      </c>
      <c r="L419" t="n">
        <v>0</v>
      </c>
      <c r="M419" t="n">
        <v>0</v>
      </c>
      <c r="N419" t="n">
        <v>0</v>
      </c>
      <c r="O419" t="n">
        <v>0</v>
      </c>
      <c r="P419" t="n">
        <v>0</v>
      </c>
      <c r="Q419" t="n">
        <v>0</v>
      </c>
      <c r="R419" s="2" t="inlineStr"/>
    </row>
    <row r="420" ht="15" customHeight="1">
      <c r="A420" t="inlineStr">
        <is>
          <t>A 54213-2025</t>
        </is>
      </c>
      <c r="B420" s="1" t="n">
        <v>45964.59420138889</v>
      </c>
      <c r="C420" s="1" t="n">
        <v>46133</v>
      </c>
      <c r="D420" t="inlineStr">
        <is>
          <t>JÄMTLANDS LÄN</t>
        </is>
      </c>
      <c r="E420" t="inlineStr">
        <is>
          <t>ÅRE</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54444-2025</t>
        </is>
      </c>
      <c r="B421" s="1" t="n">
        <v>45965.51078703703</v>
      </c>
      <c r="C421" s="1" t="n">
        <v>46133</v>
      </c>
      <c r="D421" t="inlineStr">
        <is>
          <t>JÄMTLANDS LÄN</t>
        </is>
      </c>
      <c r="E421" t="inlineStr">
        <is>
          <t>ÅRE</t>
        </is>
      </c>
      <c r="G421" t="n">
        <v>5.2</v>
      </c>
      <c r="H421" t="n">
        <v>0</v>
      </c>
      <c r="I421" t="n">
        <v>0</v>
      </c>
      <c r="J421" t="n">
        <v>0</v>
      </c>
      <c r="K421" t="n">
        <v>0</v>
      </c>
      <c r="L421" t="n">
        <v>0</v>
      </c>
      <c r="M421" t="n">
        <v>0</v>
      </c>
      <c r="N421" t="n">
        <v>0</v>
      </c>
      <c r="O421" t="n">
        <v>0</v>
      </c>
      <c r="P421" t="n">
        <v>0</v>
      </c>
      <c r="Q421" t="n">
        <v>0</v>
      </c>
      <c r="R421" s="2" t="inlineStr"/>
    </row>
    <row r="422" ht="15" customHeight="1">
      <c r="A422" t="inlineStr">
        <is>
          <t>A 54445-2025</t>
        </is>
      </c>
      <c r="B422" s="1" t="n">
        <v>45965.51081018519</v>
      </c>
      <c r="C422" s="1" t="n">
        <v>46133</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54580-2025</t>
        </is>
      </c>
      <c r="B423" s="1" t="n">
        <v>45965.70755787037</v>
      </c>
      <c r="C423" s="1" t="n">
        <v>46133</v>
      </c>
      <c r="D423" t="inlineStr">
        <is>
          <t>JÄMTLANDS LÄN</t>
        </is>
      </c>
      <c r="E423" t="inlineStr">
        <is>
          <t>ÅRE</t>
        </is>
      </c>
      <c r="G423" t="n">
        <v>5</v>
      </c>
      <c r="H423" t="n">
        <v>0</v>
      </c>
      <c r="I423" t="n">
        <v>0</v>
      </c>
      <c r="J423" t="n">
        <v>0</v>
      </c>
      <c r="K423" t="n">
        <v>0</v>
      </c>
      <c r="L423" t="n">
        <v>0</v>
      </c>
      <c r="M423" t="n">
        <v>0</v>
      </c>
      <c r="N423" t="n">
        <v>0</v>
      </c>
      <c r="O423" t="n">
        <v>0</v>
      </c>
      <c r="P423" t="n">
        <v>0</v>
      </c>
      <c r="Q423" t="n">
        <v>0</v>
      </c>
      <c r="R423" s="2" t="inlineStr"/>
    </row>
    <row r="424" ht="15" customHeight="1">
      <c r="A424" t="inlineStr">
        <is>
          <t>A 54211-2025</t>
        </is>
      </c>
      <c r="B424" s="1" t="n">
        <v>45964.59214120371</v>
      </c>
      <c r="C424" s="1" t="n">
        <v>46133</v>
      </c>
      <c r="D424" t="inlineStr">
        <is>
          <t>JÄMTLANDS LÄN</t>
        </is>
      </c>
      <c r="E424" t="inlineStr">
        <is>
          <t>ÅRE</t>
        </is>
      </c>
      <c r="G424" t="n">
        <v>4.3</v>
      </c>
      <c r="H424" t="n">
        <v>0</v>
      </c>
      <c r="I424" t="n">
        <v>0</v>
      </c>
      <c r="J424" t="n">
        <v>0</v>
      </c>
      <c r="K424" t="n">
        <v>0</v>
      </c>
      <c r="L424" t="n">
        <v>0</v>
      </c>
      <c r="M424" t="n">
        <v>0</v>
      </c>
      <c r="N424" t="n">
        <v>0</v>
      </c>
      <c r="O424" t="n">
        <v>0</v>
      </c>
      <c r="P424" t="n">
        <v>0</v>
      </c>
      <c r="Q424" t="n">
        <v>0</v>
      </c>
      <c r="R424" s="2" t="inlineStr"/>
    </row>
    <row r="425" ht="15" customHeight="1">
      <c r="A425" t="inlineStr">
        <is>
          <t>A 54823-2025</t>
        </is>
      </c>
      <c r="B425" s="1" t="n">
        <v>45966.66451388889</v>
      </c>
      <c r="C425" s="1" t="n">
        <v>46133</v>
      </c>
      <c r="D425" t="inlineStr">
        <is>
          <t>JÄMTLANDS LÄN</t>
        </is>
      </c>
      <c r="E425" t="inlineStr">
        <is>
          <t>ÅRE</t>
        </is>
      </c>
      <c r="G425" t="n">
        <v>5.2</v>
      </c>
      <c r="H425" t="n">
        <v>0</v>
      </c>
      <c r="I425" t="n">
        <v>0</v>
      </c>
      <c r="J425" t="n">
        <v>0</v>
      </c>
      <c r="K425" t="n">
        <v>0</v>
      </c>
      <c r="L425" t="n">
        <v>0</v>
      </c>
      <c r="M425" t="n">
        <v>0</v>
      </c>
      <c r="N425" t="n">
        <v>0</v>
      </c>
      <c r="O425" t="n">
        <v>0</v>
      </c>
      <c r="P425" t="n">
        <v>0</v>
      </c>
      <c r="Q425" t="n">
        <v>0</v>
      </c>
      <c r="R425" s="2" t="inlineStr"/>
    </row>
    <row r="426" ht="15" customHeight="1">
      <c r="A426" t="inlineStr">
        <is>
          <t>A 55033-2024</t>
        </is>
      </c>
      <c r="B426" s="1" t="n">
        <v>45621.38193287037</v>
      </c>
      <c r="C426" s="1" t="n">
        <v>46133</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54937-2025</t>
        </is>
      </c>
      <c r="B427" s="1" t="n">
        <v>45967.43244212963</v>
      </c>
      <c r="C427" s="1" t="n">
        <v>46133</v>
      </c>
      <c r="D427" t="inlineStr">
        <is>
          <t>JÄMTLANDS LÄN</t>
        </is>
      </c>
      <c r="E427" t="inlineStr">
        <is>
          <t>ÅRE</t>
        </is>
      </c>
      <c r="G427" t="n">
        <v>2.9</v>
      </c>
      <c r="H427" t="n">
        <v>0</v>
      </c>
      <c r="I427" t="n">
        <v>0</v>
      </c>
      <c r="J427" t="n">
        <v>0</v>
      </c>
      <c r="K427" t="n">
        <v>0</v>
      </c>
      <c r="L427" t="n">
        <v>0</v>
      </c>
      <c r="M427" t="n">
        <v>0</v>
      </c>
      <c r="N427" t="n">
        <v>0</v>
      </c>
      <c r="O427" t="n">
        <v>0</v>
      </c>
      <c r="P427" t="n">
        <v>0</v>
      </c>
      <c r="Q427" t="n">
        <v>0</v>
      </c>
      <c r="R427" s="2" t="inlineStr"/>
    </row>
    <row r="428" ht="15" customHeight="1">
      <c r="A428" t="inlineStr">
        <is>
          <t>A 54838-2025</t>
        </is>
      </c>
      <c r="B428" s="1" t="n">
        <v>45966.68252314815</v>
      </c>
      <c r="C428" s="1" t="n">
        <v>46133</v>
      </c>
      <c r="D428" t="inlineStr">
        <is>
          <t>JÄMTLANDS LÄN</t>
        </is>
      </c>
      <c r="E428" t="inlineStr">
        <is>
          <t>ÅRE</t>
        </is>
      </c>
      <c r="G428" t="n">
        <v>2.4</v>
      </c>
      <c r="H428" t="n">
        <v>0</v>
      </c>
      <c r="I428" t="n">
        <v>0</v>
      </c>
      <c r="J428" t="n">
        <v>0</v>
      </c>
      <c r="K428" t="n">
        <v>0</v>
      </c>
      <c r="L428" t="n">
        <v>0</v>
      </c>
      <c r="M428" t="n">
        <v>0</v>
      </c>
      <c r="N428" t="n">
        <v>0</v>
      </c>
      <c r="O428" t="n">
        <v>0</v>
      </c>
      <c r="P428" t="n">
        <v>0</v>
      </c>
      <c r="Q428" t="n">
        <v>0</v>
      </c>
      <c r="R428" s="2" t="inlineStr"/>
    </row>
    <row r="429" ht="15" customHeight="1">
      <c r="A429" t="inlineStr">
        <is>
          <t>A 55413-2025</t>
        </is>
      </c>
      <c r="B429" s="1" t="n">
        <v>45971.46915509259</v>
      </c>
      <c r="C429" s="1" t="n">
        <v>46133</v>
      </c>
      <c r="D429" t="inlineStr">
        <is>
          <t>JÄMTLANDS LÄN</t>
        </is>
      </c>
      <c r="E429" t="inlineStr">
        <is>
          <t>ÅRE</t>
        </is>
      </c>
      <c r="G429" t="n">
        <v>7.2</v>
      </c>
      <c r="H429" t="n">
        <v>0</v>
      </c>
      <c r="I429" t="n">
        <v>0</v>
      </c>
      <c r="J429" t="n">
        <v>0</v>
      </c>
      <c r="K429" t="n">
        <v>0</v>
      </c>
      <c r="L429" t="n">
        <v>0</v>
      </c>
      <c r="M429" t="n">
        <v>0</v>
      </c>
      <c r="N429" t="n">
        <v>0</v>
      </c>
      <c r="O429" t="n">
        <v>0</v>
      </c>
      <c r="P429" t="n">
        <v>0</v>
      </c>
      <c r="Q429" t="n">
        <v>0</v>
      </c>
      <c r="R429" s="2" t="inlineStr"/>
    </row>
    <row r="430" ht="15" customHeight="1">
      <c r="A430" t="inlineStr">
        <is>
          <t>A 55379-2025</t>
        </is>
      </c>
      <c r="B430" s="1" t="n">
        <v>45971.42776620371</v>
      </c>
      <c r="C430" s="1" t="n">
        <v>46133</v>
      </c>
      <c r="D430" t="inlineStr">
        <is>
          <t>JÄMTLANDS LÄN</t>
        </is>
      </c>
      <c r="E430" t="inlineStr">
        <is>
          <t>ÅRE</t>
        </is>
      </c>
      <c r="G430" t="n">
        <v>4.6</v>
      </c>
      <c r="H430" t="n">
        <v>0</v>
      </c>
      <c r="I430" t="n">
        <v>0</v>
      </c>
      <c r="J430" t="n">
        <v>0</v>
      </c>
      <c r="K430" t="n">
        <v>0</v>
      </c>
      <c r="L430" t="n">
        <v>0</v>
      </c>
      <c r="M430" t="n">
        <v>0</v>
      </c>
      <c r="N430" t="n">
        <v>0</v>
      </c>
      <c r="O430" t="n">
        <v>0</v>
      </c>
      <c r="P430" t="n">
        <v>0</v>
      </c>
      <c r="Q430" t="n">
        <v>0</v>
      </c>
      <c r="R430" s="2" t="inlineStr"/>
    </row>
    <row r="431" ht="15" customHeight="1">
      <c r="A431" t="inlineStr">
        <is>
          <t>A 911-2022</t>
        </is>
      </c>
      <c r="B431" s="1" t="n">
        <v>44570</v>
      </c>
      <c r="C431" s="1" t="n">
        <v>46133</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55389-2025</t>
        </is>
      </c>
      <c r="B432" s="1" t="n">
        <v>45971.4482175926</v>
      </c>
      <c r="C432" s="1" t="n">
        <v>46133</v>
      </c>
      <c r="D432" t="inlineStr">
        <is>
          <t>JÄMTLANDS LÄN</t>
        </is>
      </c>
      <c r="E432" t="inlineStr">
        <is>
          <t>ÅRE</t>
        </is>
      </c>
      <c r="G432" t="n">
        <v>2</v>
      </c>
      <c r="H432" t="n">
        <v>0</v>
      </c>
      <c r="I432" t="n">
        <v>0</v>
      </c>
      <c r="J432" t="n">
        <v>0</v>
      </c>
      <c r="K432" t="n">
        <v>0</v>
      </c>
      <c r="L432" t="n">
        <v>0</v>
      </c>
      <c r="M432" t="n">
        <v>0</v>
      </c>
      <c r="N432" t="n">
        <v>0</v>
      </c>
      <c r="O432" t="n">
        <v>0</v>
      </c>
      <c r="P432" t="n">
        <v>0</v>
      </c>
      <c r="Q432" t="n">
        <v>0</v>
      </c>
      <c r="R432" s="2" t="inlineStr"/>
    </row>
    <row r="433" ht="15" customHeight="1">
      <c r="A433" t="inlineStr">
        <is>
          <t>A 17576-2024</t>
        </is>
      </c>
      <c r="B433" s="1" t="n">
        <v>45415</v>
      </c>
      <c r="C433" s="1" t="n">
        <v>46133</v>
      </c>
      <c r="D433" t="inlineStr">
        <is>
          <t>JÄMTLANDS LÄN</t>
        </is>
      </c>
      <c r="E433" t="inlineStr">
        <is>
          <t>ÅRE</t>
        </is>
      </c>
      <c r="G433" t="n">
        <v>0.1</v>
      </c>
      <c r="H433" t="n">
        <v>0</v>
      </c>
      <c r="I433" t="n">
        <v>0</v>
      </c>
      <c r="J433" t="n">
        <v>0</v>
      </c>
      <c r="K433" t="n">
        <v>0</v>
      </c>
      <c r="L433" t="n">
        <v>0</v>
      </c>
      <c r="M433" t="n">
        <v>0</v>
      </c>
      <c r="N433" t="n">
        <v>0</v>
      </c>
      <c r="O433" t="n">
        <v>0</v>
      </c>
      <c r="P433" t="n">
        <v>0</v>
      </c>
      <c r="Q433" t="n">
        <v>0</v>
      </c>
      <c r="R433" s="2" t="inlineStr"/>
    </row>
    <row r="434" ht="15" customHeight="1">
      <c r="A434" t="inlineStr">
        <is>
          <t>A 55411-2025</t>
        </is>
      </c>
      <c r="B434" s="1" t="n">
        <v>45971.46741898148</v>
      </c>
      <c r="C434" s="1" t="n">
        <v>46133</v>
      </c>
      <c r="D434" t="inlineStr">
        <is>
          <t>JÄMTLANDS LÄN</t>
        </is>
      </c>
      <c r="E434" t="inlineStr">
        <is>
          <t>ÅRE</t>
        </is>
      </c>
      <c r="G434" t="n">
        <v>1.8</v>
      </c>
      <c r="H434" t="n">
        <v>0</v>
      </c>
      <c r="I434" t="n">
        <v>0</v>
      </c>
      <c r="J434" t="n">
        <v>0</v>
      </c>
      <c r="K434" t="n">
        <v>0</v>
      </c>
      <c r="L434" t="n">
        <v>0</v>
      </c>
      <c r="M434" t="n">
        <v>0</v>
      </c>
      <c r="N434" t="n">
        <v>0</v>
      </c>
      <c r="O434" t="n">
        <v>0</v>
      </c>
      <c r="P434" t="n">
        <v>0</v>
      </c>
      <c r="Q434" t="n">
        <v>0</v>
      </c>
      <c r="R434" s="2" t="inlineStr"/>
    </row>
    <row r="435" ht="15" customHeight="1">
      <c r="A435" t="inlineStr">
        <is>
          <t>A 55416-2025</t>
        </is>
      </c>
      <c r="B435" s="1" t="n">
        <v>45971.46951388889</v>
      </c>
      <c r="C435" s="1" t="n">
        <v>46133</v>
      </c>
      <c r="D435" t="inlineStr">
        <is>
          <t>JÄMTLANDS LÄN</t>
        </is>
      </c>
      <c r="E435" t="inlineStr">
        <is>
          <t>ÅRE</t>
        </is>
      </c>
      <c r="G435" t="n">
        <v>6.3</v>
      </c>
      <c r="H435" t="n">
        <v>0</v>
      </c>
      <c r="I435" t="n">
        <v>0</v>
      </c>
      <c r="J435" t="n">
        <v>0</v>
      </c>
      <c r="K435" t="n">
        <v>0</v>
      </c>
      <c r="L435" t="n">
        <v>0</v>
      </c>
      <c r="M435" t="n">
        <v>0</v>
      </c>
      <c r="N435" t="n">
        <v>0</v>
      </c>
      <c r="O435" t="n">
        <v>0</v>
      </c>
      <c r="P435" t="n">
        <v>0</v>
      </c>
      <c r="Q435" t="n">
        <v>0</v>
      </c>
      <c r="R435" s="2" t="inlineStr"/>
    </row>
    <row r="436" ht="15" customHeight="1">
      <c r="A436" t="inlineStr">
        <is>
          <t>A 45105-2024</t>
        </is>
      </c>
      <c r="B436" s="1" t="n">
        <v>45575.5909837963</v>
      </c>
      <c r="C436" s="1" t="n">
        <v>46133</v>
      </c>
      <c r="D436" t="inlineStr">
        <is>
          <t>JÄMTLANDS LÄN</t>
        </is>
      </c>
      <c r="E436" t="inlineStr">
        <is>
          <t>ÅRE</t>
        </is>
      </c>
      <c r="F436" t="inlineStr">
        <is>
          <t>Övriga Aktiebolag</t>
        </is>
      </c>
      <c r="G436" t="n">
        <v>5</v>
      </c>
      <c r="H436" t="n">
        <v>0</v>
      </c>
      <c r="I436" t="n">
        <v>0</v>
      </c>
      <c r="J436" t="n">
        <v>0</v>
      </c>
      <c r="K436" t="n">
        <v>0</v>
      </c>
      <c r="L436" t="n">
        <v>0</v>
      </c>
      <c r="M436" t="n">
        <v>0</v>
      </c>
      <c r="N436" t="n">
        <v>0</v>
      </c>
      <c r="O436" t="n">
        <v>0</v>
      </c>
      <c r="P436" t="n">
        <v>0</v>
      </c>
      <c r="Q436" t="n">
        <v>0</v>
      </c>
      <c r="R436" s="2" t="inlineStr"/>
    </row>
    <row r="437" ht="15" customHeight="1">
      <c r="A437" t="inlineStr">
        <is>
          <t>A 34231-2023</t>
        </is>
      </c>
      <c r="B437" s="1" t="n">
        <v>45127</v>
      </c>
      <c r="C437" s="1" t="n">
        <v>46133</v>
      </c>
      <c r="D437" t="inlineStr">
        <is>
          <t>JÄMTLANDS LÄN</t>
        </is>
      </c>
      <c r="E437" t="inlineStr">
        <is>
          <t>ÅRE</t>
        </is>
      </c>
      <c r="G437" t="n">
        <v>18.3</v>
      </c>
      <c r="H437" t="n">
        <v>0</v>
      </c>
      <c r="I437" t="n">
        <v>0</v>
      </c>
      <c r="J437" t="n">
        <v>0</v>
      </c>
      <c r="K437" t="n">
        <v>0</v>
      </c>
      <c r="L437" t="n">
        <v>0</v>
      </c>
      <c r="M437" t="n">
        <v>0</v>
      </c>
      <c r="N437" t="n">
        <v>0</v>
      </c>
      <c r="O437" t="n">
        <v>0</v>
      </c>
      <c r="P437" t="n">
        <v>0</v>
      </c>
      <c r="Q437" t="n">
        <v>0</v>
      </c>
      <c r="R437" s="2" t="inlineStr"/>
    </row>
    <row r="438" ht="15" customHeight="1">
      <c r="A438" t="inlineStr">
        <is>
          <t>A 56091-2025</t>
        </is>
      </c>
      <c r="B438" s="1" t="n">
        <v>45973.67434027778</v>
      </c>
      <c r="C438" s="1" t="n">
        <v>46133</v>
      </c>
      <c r="D438" t="inlineStr">
        <is>
          <t>JÄMTLANDS LÄN</t>
        </is>
      </c>
      <c r="E438" t="inlineStr">
        <is>
          <t>ÅRE</t>
        </is>
      </c>
      <c r="G438" t="n">
        <v>8</v>
      </c>
      <c r="H438" t="n">
        <v>0</v>
      </c>
      <c r="I438" t="n">
        <v>0</v>
      </c>
      <c r="J438" t="n">
        <v>0</v>
      </c>
      <c r="K438" t="n">
        <v>0</v>
      </c>
      <c r="L438" t="n">
        <v>0</v>
      </c>
      <c r="M438" t="n">
        <v>0</v>
      </c>
      <c r="N438" t="n">
        <v>0</v>
      </c>
      <c r="O438" t="n">
        <v>0</v>
      </c>
      <c r="P438" t="n">
        <v>0</v>
      </c>
      <c r="Q438" t="n">
        <v>0</v>
      </c>
      <c r="R438" s="2" t="inlineStr"/>
    </row>
    <row r="439" ht="15" customHeight="1">
      <c r="A439" t="inlineStr">
        <is>
          <t>A 56495-2025</t>
        </is>
      </c>
      <c r="B439" s="1" t="n">
        <v>45975.42577546297</v>
      </c>
      <c r="C439" s="1" t="n">
        <v>46133</v>
      </c>
      <c r="D439" t="inlineStr">
        <is>
          <t>JÄMTLANDS LÄN</t>
        </is>
      </c>
      <c r="E439" t="inlineStr">
        <is>
          <t>ÅRE</t>
        </is>
      </c>
      <c r="G439" t="n">
        <v>6.3</v>
      </c>
      <c r="H439" t="n">
        <v>0</v>
      </c>
      <c r="I439" t="n">
        <v>0</v>
      </c>
      <c r="J439" t="n">
        <v>0</v>
      </c>
      <c r="K439" t="n">
        <v>0</v>
      </c>
      <c r="L439" t="n">
        <v>0</v>
      </c>
      <c r="M439" t="n">
        <v>0</v>
      </c>
      <c r="N439" t="n">
        <v>0</v>
      </c>
      <c r="O439" t="n">
        <v>0</v>
      </c>
      <c r="P439" t="n">
        <v>0</v>
      </c>
      <c r="Q439" t="n">
        <v>0</v>
      </c>
      <c r="R439" s="2" t="inlineStr"/>
    </row>
    <row r="440" ht="15" customHeight="1">
      <c r="A440" t="inlineStr">
        <is>
          <t>A 10567-2025</t>
        </is>
      </c>
      <c r="B440" s="1" t="n">
        <v>45714</v>
      </c>
      <c r="C440" s="1" t="n">
        <v>46133</v>
      </c>
      <c r="D440" t="inlineStr">
        <is>
          <t>JÄMTLANDS LÄN</t>
        </is>
      </c>
      <c r="E440" t="inlineStr">
        <is>
          <t>ÅRE</t>
        </is>
      </c>
      <c r="G440" t="n">
        <v>3.6</v>
      </c>
      <c r="H440" t="n">
        <v>0</v>
      </c>
      <c r="I440" t="n">
        <v>0</v>
      </c>
      <c r="J440" t="n">
        <v>0</v>
      </c>
      <c r="K440" t="n">
        <v>0</v>
      </c>
      <c r="L440" t="n">
        <v>0</v>
      </c>
      <c r="M440" t="n">
        <v>0</v>
      </c>
      <c r="N440" t="n">
        <v>0</v>
      </c>
      <c r="O440" t="n">
        <v>0</v>
      </c>
      <c r="P440" t="n">
        <v>0</v>
      </c>
      <c r="Q440" t="n">
        <v>0</v>
      </c>
      <c r="R440" s="2" t="inlineStr"/>
    </row>
    <row r="441" ht="15" customHeight="1">
      <c r="A441" t="inlineStr">
        <is>
          <t>A 4905-2026</t>
        </is>
      </c>
      <c r="B441" s="1" t="n">
        <v>46048</v>
      </c>
      <c r="C441" s="1" t="n">
        <v>46133</v>
      </c>
      <c r="D441" t="inlineStr">
        <is>
          <t>JÄMTLANDS LÄN</t>
        </is>
      </c>
      <c r="E441" t="inlineStr">
        <is>
          <t>ÅRE</t>
        </is>
      </c>
      <c r="F441" t="inlineStr">
        <is>
          <t>Övriga Aktiebolag</t>
        </is>
      </c>
      <c r="G441" t="n">
        <v>0.6</v>
      </c>
      <c r="H441" t="n">
        <v>0</v>
      </c>
      <c r="I441" t="n">
        <v>0</v>
      </c>
      <c r="J441" t="n">
        <v>0</v>
      </c>
      <c r="K441" t="n">
        <v>0</v>
      </c>
      <c r="L441" t="n">
        <v>0</v>
      </c>
      <c r="M441" t="n">
        <v>0</v>
      </c>
      <c r="N441" t="n">
        <v>0</v>
      </c>
      <c r="O441" t="n">
        <v>0</v>
      </c>
      <c r="P441" t="n">
        <v>0</v>
      </c>
      <c r="Q441" t="n">
        <v>0</v>
      </c>
      <c r="R441" s="2" t="inlineStr"/>
    </row>
    <row r="442" ht="15" customHeight="1">
      <c r="A442" t="inlineStr">
        <is>
          <t>A 59968-2023</t>
        </is>
      </c>
      <c r="B442" s="1" t="n">
        <v>45254</v>
      </c>
      <c r="C442" s="1" t="n">
        <v>46133</v>
      </c>
      <c r="D442" t="inlineStr">
        <is>
          <t>JÄMTLANDS LÄN</t>
        </is>
      </c>
      <c r="E442" t="inlineStr">
        <is>
          <t>ÅRE</t>
        </is>
      </c>
      <c r="G442" t="n">
        <v>1.7</v>
      </c>
      <c r="H442" t="n">
        <v>0</v>
      </c>
      <c r="I442" t="n">
        <v>0</v>
      </c>
      <c r="J442" t="n">
        <v>0</v>
      </c>
      <c r="K442" t="n">
        <v>0</v>
      </c>
      <c r="L442" t="n">
        <v>0</v>
      </c>
      <c r="M442" t="n">
        <v>0</v>
      </c>
      <c r="N442" t="n">
        <v>0</v>
      </c>
      <c r="O442" t="n">
        <v>0</v>
      </c>
      <c r="P442" t="n">
        <v>0</v>
      </c>
      <c r="Q442" t="n">
        <v>0</v>
      </c>
      <c r="R442" s="2" t="inlineStr"/>
    </row>
    <row r="443" ht="15" customHeight="1">
      <c r="A443" t="inlineStr">
        <is>
          <t>A 41266-2024</t>
        </is>
      </c>
      <c r="B443" s="1" t="n">
        <v>45559</v>
      </c>
      <c r="C443" s="1" t="n">
        <v>46133</v>
      </c>
      <c r="D443" t="inlineStr">
        <is>
          <t>JÄMTLANDS LÄN</t>
        </is>
      </c>
      <c r="E443" t="inlineStr">
        <is>
          <t>ÅRE</t>
        </is>
      </c>
      <c r="G443" t="n">
        <v>1</v>
      </c>
      <c r="H443" t="n">
        <v>0</v>
      </c>
      <c r="I443" t="n">
        <v>0</v>
      </c>
      <c r="J443" t="n">
        <v>0</v>
      </c>
      <c r="K443" t="n">
        <v>0</v>
      </c>
      <c r="L443" t="n">
        <v>0</v>
      </c>
      <c r="M443" t="n">
        <v>0</v>
      </c>
      <c r="N443" t="n">
        <v>0</v>
      </c>
      <c r="O443" t="n">
        <v>0</v>
      </c>
      <c r="P443" t="n">
        <v>0</v>
      </c>
      <c r="Q443" t="n">
        <v>0</v>
      </c>
      <c r="R443" s="2" t="inlineStr"/>
    </row>
    <row r="444" ht="15" customHeight="1">
      <c r="A444" t="inlineStr">
        <is>
          <t>A 56601-2025</t>
        </is>
      </c>
      <c r="B444" s="1" t="n">
        <v>45975.57423611111</v>
      </c>
      <c r="C444" s="1" t="n">
        <v>46133</v>
      </c>
      <c r="D444" t="inlineStr">
        <is>
          <t>JÄMTLANDS LÄN</t>
        </is>
      </c>
      <c r="E444" t="inlineStr">
        <is>
          <t>ÅRE</t>
        </is>
      </c>
      <c r="G444" t="n">
        <v>0.7</v>
      </c>
      <c r="H444" t="n">
        <v>0</v>
      </c>
      <c r="I444" t="n">
        <v>0</v>
      </c>
      <c r="J444" t="n">
        <v>0</v>
      </c>
      <c r="K444" t="n">
        <v>0</v>
      </c>
      <c r="L444" t="n">
        <v>0</v>
      </c>
      <c r="M444" t="n">
        <v>0</v>
      </c>
      <c r="N444" t="n">
        <v>0</v>
      </c>
      <c r="O444" t="n">
        <v>0</v>
      </c>
      <c r="P444" t="n">
        <v>0</v>
      </c>
      <c r="Q444" t="n">
        <v>0</v>
      </c>
      <c r="R444" s="2" t="inlineStr"/>
    </row>
    <row r="445" ht="15" customHeight="1">
      <c r="A445" t="inlineStr">
        <is>
          <t>A 56204-2025</t>
        </is>
      </c>
      <c r="B445" s="1" t="n">
        <v>45974.46935185185</v>
      </c>
      <c r="C445" s="1" t="n">
        <v>46133</v>
      </c>
      <c r="D445" t="inlineStr">
        <is>
          <t>JÄMTLANDS LÄN</t>
        </is>
      </c>
      <c r="E445" t="inlineStr">
        <is>
          <t>ÅRE</t>
        </is>
      </c>
      <c r="G445" t="n">
        <v>3.2</v>
      </c>
      <c r="H445" t="n">
        <v>0</v>
      </c>
      <c r="I445" t="n">
        <v>0</v>
      </c>
      <c r="J445" t="n">
        <v>0</v>
      </c>
      <c r="K445" t="n">
        <v>0</v>
      </c>
      <c r="L445" t="n">
        <v>0</v>
      </c>
      <c r="M445" t="n">
        <v>0</v>
      </c>
      <c r="N445" t="n">
        <v>0</v>
      </c>
      <c r="O445" t="n">
        <v>0</v>
      </c>
      <c r="P445" t="n">
        <v>0</v>
      </c>
      <c r="Q445" t="n">
        <v>0</v>
      </c>
      <c r="R445" s="2" t="inlineStr"/>
    </row>
    <row r="446" ht="15" customHeight="1">
      <c r="A446" t="inlineStr">
        <is>
          <t>A 12227-2023</t>
        </is>
      </c>
      <c r="B446" s="1" t="n">
        <v>44998.60261574074</v>
      </c>
      <c r="C446" s="1" t="n">
        <v>46133</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56563-2025</t>
        </is>
      </c>
      <c r="B447" s="1" t="n">
        <v>45975.49930555555</v>
      </c>
      <c r="C447" s="1" t="n">
        <v>46133</v>
      </c>
      <c r="D447" t="inlineStr">
        <is>
          <t>JÄMTLANDS LÄN</t>
        </is>
      </c>
      <c r="E447" t="inlineStr">
        <is>
          <t>ÅRE</t>
        </is>
      </c>
      <c r="G447" t="n">
        <v>1.5</v>
      </c>
      <c r="H447" t="n">
        <v>0</v>
      </c>
      <c r="I447" t="n">
        <v>0</v>
      </c>
      <c r="J447" t="n">
        <v>0</v>
      </c>
      <c r="K447" t="n">
        <v>0</v>
      </c>
      <c r="L447" t="n">
        <v>0</v>
      </c>
      <c r="M447" t="n">
        <v>0</v>
      </c>
      <c r="N447" t="n">
        <v>0</v>
      </c>
      <c r="O447" t="n">
        <v>0</v>
      </c>
      <c r="P447" t="n">
        <v>0</v>
      </c>
      <c r="Q447" t="n">
        <v>0</v>
      </c>
      <c r="R447" s="2" t="inlineStr"/>
    </row>
    <row r="448" ht="15" customHeight="1">
      <c r="A448" t="inlineStr">
        <is>
          <t>A 56205-2025</t>
        </is>
      </c>
      <c r="B448" s="1" t="n">
        <v>45974.469375</v>
      </c>
      <c r="C448" s="1" t="n">
        <v>46133</v>
      </c>
      <c r="D448" t="inlineStr">
        <is>
          <t>JÄMTLANDS LÄN</t>
        </is>
      </c>
      <c r="E448" t="inlineStr">
        <is>
          <t>ÅRE</t>
        </is>
      </c>
      <c r="G448" t="n">
        <v>2.5</v>
      </c>
      <c r="H448" t="n">
        <v>0</v>
      </c>
      <c r="I448" t="n">
        <v>0</v>
      </c>
      <c r="J448" t="n">
        <v>0</v>
      </c>
      <c r="K448" t="n">
        <v>0</v>
      </c>
      <c r="L448" t="n">
        <v>0</v>
      </c>
      <c r="M448" t="n">
        <v>0</v>
      </c>
      <c r="N448" t="n">
        <v>0</v>
      </c>
      <c r="O448" t="n">
        <v>0</v>
      </c>
      <c r="P448" t="n">
        <v>0</v>
      </c>
      <c r="Q448" t="n">
        <v>0</v>
      </c>
      <c r="R448" s="2" t="inlineStr"/>
    </row>
    <row r="449" ht="15" customHeight="1">
      <c r="A449" t="inlineStr">
        <is>
          <t>A 56576-2025</t>
        </is>
      </c>
      <c r="B449" s="1" t="n">
        <v>45975.52893518518</v>
      </c>
      <c r="C449" s="1" t="n">
        <v>46133</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64245-2021</t>
        </is>
      </c>
      <c r="B450" s="1" t="n">
        <v>44510</v>
      </c>
      <c r="C450" s="1" t="n">
        <v>46133</v>
      </c>
      <c r="D450" t="inlineStr">
        <is>
          <t>JÄMTLANDS LÄN</t>
        </is>
      </c>
      <c r="E450" t="inlineStr">
        <is>
          <t>ÅRE</t>
        </is>
      </c>
      <c r="G450" t="n">
        <v>1.8</v>
      </c>
      <c r="H450" t="n">
        <v>0</v>
      </c>
      <c r="I450" t="n">
        <v>0</v>
      </c>
      <c r="J450" t="n">
        <v>0</v>
      </c>
      <c r="K450" t="n">
        <v>0</v>
      </c>
      <c r="L450" t="n">
        <v>0</v>
      </c>
      <c r="M450" t="n">
        <v>0</v>
      </c>
      <c r="N450" t="n">
        <v>0</v>
      </c>
      <c r="O450" t="n">
        <v>0</v>
      </c>
      <c r="P450" t="n">
        <v>0</v>
      </c>
      <c r="Q450" t="n">
        <v>0</v>
      </c>
      <c r="R450" s="2" t="inlineStr"/>
    </row>
    <row r="451" ht="15" customHeight="1">
      <c r="A451" t="inlineStr">
        <is>
          <t>A 57285-2025</t>
        </is>
      </c>
      <c r="B451" s="1" t="n">
        <v>45979.73390046296</v>
      </c>
      <c r="C451" s="1" t="n">
        <v>46133</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54247-2024</t>
        </is>
      </c>
      <c r="B452" s="1" t="n">
        <v>45616</v>
      </c>
      <c r="C452" s="1" t="n">
        <v>46133</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58889-2022</t>
        </is>
      </c>
      <c r="B453" s="1" t="n">
        <v>44896</v>
      </c>
      <c r="C453" s="1" t="n">
        <v>46133</v>
      </c>
      <c r="D453" t="inlineStr">
        <is>
          <t>JÄMTLANDS LÄN</t>
        </is>
      </c>
      <c r="E453" t="inlineStr">
        <is>
          <t>ÅRE</t>
        </is>
      </c>
      <c r="G453" t="n">
        <v>6.9</v>
      </c>
      <c r="H453" t="n">
        <v>0</v>
      </c>
      <c r="I453" t="n">
        <v>0</v>
      </c>
      <c r="J453" t="n">
        <v>0</v>
      </c>
      <c r="K453" t="n">
        <v>0</v>
      </c>
      <c r="L453" t="n">
        <v>0</v>
      </c>
      <c r="M453" t="n">
        <v>0</v>
      </c>
      <c r="N453" t="n">
        <v>0</v>
      </c>
      <c r="O453" t="n">
        <v>0</v>
      </c>
      <c r="P453" t="n">
        <v>0</v>
      </c>
      <c r="Q453" t="n">
        <v>0</v>
      </c>
      <c r="R453" s="2" t="inlineStr"/>
    </row>
    <row r="454" ht="15" customHeight="1">
      <c r="A454" t="inlineStr">
        <is>
          <t>A 56873-2025</t>
        </is>
      </c>
      <c r="B454" s="1" t="n">
        <v>45978.53459490741</v>
      </c>
      <c r="C454" s="1" t="n">
        <v>46133</v>
      </c>
      <c r="D454" t="inlineStr">
        <is>
          <t>JÄMTLANDS LÄN</t>
        </is>
      </c>
      <c r="E454" t="inlineStr">
        <is>
          <t>ÅRE</t>
        </is>
      </c>
      <c r="F454" t="inlineStr">
        <is>
          <t>Övriga Aktiebolag</t>
        </is>
      </c>
      <c r="G454" t="n">
        <v>6.1</v>
      </c>
      <c r="H454" t="n">
        <v>0</v>
      </c>
      <c r="I454" t="n">
        <v>0</v>
      </c>
      <c r="J454" t="n">
        <v>0</v>
      </c>
      <c r="K454" t="n">
        <v>0</v>
      </c>
      <c r="L454" t="n">
        <v>0</v>
      </c>
      <c r="M454" t="n">
        <v>0</v>
      </c>
      <c r="N454" t="n">
        <v>0</v>
      </c>
      <c r="O454" t="n">
        <v>0</v>
      </c>
      <c r="P454" t="n">
        <v>0</v>
      </c>
      <c r="Q454" t="n">
        <v>0</v>
      </c>
      <c r="R454" s="2" t="inlineStr"/>
    </row>
    <row r="455" ht="15" customHeight="1">
      <c r="A455" t="inlineStr">
        <is>
          <t>A 57286-2025</t>
        </is>
      </c>
      <c r="B455" s="1" t="n">
        <v>45979.74055555555</v>
      </c>
      <c r="C455" s="1" t="n">
        <v>46133</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57622-2025</t>
        </is>
      </c>
      <c r="B456" s="1" t="n">
        <v>45981.34545138889</v>
      </c>
      <c r="C456" s="1" t="n">
        <v>46133</v>
      </c>
      <c r="D456" t="inlineStr">
        <is>
          <t>JÄMTLANDS LÄN</t>
        </is>
      </c>
      <c r="E456" t="inlineStr">
        <is>
          <t>ÅRE</t>
        </is>
      </c>
      <c r="G456" t="n">
        <v>1.3</v>
      </c>
      <c r="H456" t="n">
        <v>0</v>
      </c>
      <c r="I456" t="n">
        <v>0</v>
      </c>
      <c r="J456" t="n">
        <v>0</v>
      </c>
      <c r="K456" t="n">
        <v>0</v>
      </c>
      <c r="L456" t="n">
        <v>0</v>
      </c>
      <c r="M456" t="n">
        <v>0</v>
      </c>
      <c r="N456" t="n">
        <v>0</v>
      </c>
      <c r="O456" t="n">
        <v>0</v>
      </c>
      <c r="P456" t="n">
        <v>0</v>
      </c>
      <c r="Q456" t="n">
        <v>0</v>
      </c>
      <c r="R456" s="2" t="inlineStr"/>
    </row>
    <row r="457" ht="15" customHeight="1">
      <c r="A457" t="inlineStr">
        <is>
          <t>A 57745-2025</t>
        </is>
      </c>
      <c r="B457" s="1" t="n">
        <v>45981.53217592592</v>
      </c>
      <c r="C457" s="1" t="n">
        <v>46133</v>
      </c>
      <c r="D457" t="inlineStr">
        <is>
          <t>JÄMTLANDS LÄN</t>
        </is>
      </c>
      <c r="E457" t="inlineStr">
        <is>
          <t>ÅRE</t>
        </is>
      </c>
      <c r="G457" t="n">
        <v>8.4</v>
      </c>
      <c r="H457" t="n">
        <v>0</v>
      </c>
      <c r="I457" t="n">
        <v>0</v>
      </c>
      <c r="J457" t="n">
        <v>0</v>
      </c>
      <c r="K457" t="n">
        <v>0</v>
      </c>
      <c r="L457" t="n">
        <v>0</v>
      </c>
      <c r="M457" t="n">
        <v>0</v>
      </c>
      <c r="N457" t="n">
        <v>0</v>
      </c>
      <c r="O457" t="n">
        <v>0</v>
      </c>
      <c r="P457" t="n">
        <v>0</v>
      </c>
      <c r="Q457" t="n">
        <v>0</v>
      </c>
      <c r="R457" s="2" t="inlineStr"/>
    </row>
    <row r="458" ht="15" customHeight="1">
      <c r="A458" t="inlineStr">
        <is>
          <t>A 15692-2025</t>
        </is>
      </c>
      <c r="B458" s="1" t="n">
        <v>45748</v>
      </c>
      <c r="C458" s="1" t="n">
        <v>46133</v>
      </c>
      <c r="D458" t="inlineStr">
        <is>
          <t>JÄMTLANDS LÄN</t>
        </is>
      </c>
      <c r="E458" t="inlineStr">
        <is>
          <t>ÅRE</t>
        </is>
      </c>
      <c r="G458" t="n">
        <v>2.7</v>
      </c>
      <c r="H458" t="n">
        <v>0</v>
      </c>
      <c r="I458" t="n">
        <v>0</v>
      </c>
      <c r="J458" t="n">
        <v>0</v>
      </c>
      <c r="K458" t="n">
        <v>0</v>
      </c>
      <c r="L458" t="n">
        <v>0</v>
      </c>
      <c r="M458" t="n">
        <v>0</v>
      </c>
      <c r="N458" t="n">
        <v>0</v>
      </c>
      <c r="O458" t="n">
        <v>0</v>
      </c>
      <c r="P458" t="n">
        <v>0</v>
      </c>
      <c r="Q458" t="n">
        <v>0</v>
      </c>
      <c r="R458" s="2" t="inlineStr"/>
    </row>
    <row r="459" ht="15" customHeight="1">
      <c r="A459" t="inlineStr">
        <is>
          <t>A 45113-2024</t>
        </is>
      </c>
      <c r="B459" s="1" t="n">
        <v>45575.59709490741</v>
      </c>
      <c r="C459" s="1" t="n">
        <v>46133</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20480-2024</t>
        </is>
      </c>
      <c r="B460" s="1" t="n">
        <v>45435.71126157408</v>
      </c>
      <c r="C460" s="1" t="n">
        <v>46133</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57627-2025</t>
        </is>
      </c>
      <c r="B461" s="1" t="n">
        <v>45981.34583333333</v>
      </c>
      <c r="C461" s="1" t="n">
        <v>46133</v>
      </c>
      <c r="D461" t="inlineStr">
        <is>
          <t>JÄMTLANDS LÄN</t>
        </is>
      </c>
      <c r="E461" t="inlineStr">
        <is>
          <t>ÅRE</t>
        </is>
      </c>
      <c r="G461" t="n">
        <v>3.3</v>
      </c>
      <c r="H461" t="n">
        <v>0</v>
      </c>
      <c r="I461" t="n">
        <v>0</v>
      </c>
      <c r="J461" t="n">
        <v>0</v>
      </c>
      <c r="K461" t="n">
        <v>0</v>
      </c>
      <c r="L461" t="n">
        <v>0</v>
      </c>
      <c r="M461" t="n">
        <v>0</v>
      </c>
      <c r="N461" t="n">
        <v>0</v>
      </c>
      <c r="O461" t="n">
        <v>0</v>
      </c>
      <c r="P461" t="n">
        <v>0</v>
      </c>
      <c r="Q461" t="n">
        <v>0</v>
      </c>
      <c r="R461" s="2" t="inlineStr"/>
    </row>
    <row r="462" ht="15" customHeight="1">
      <c r="A462" t="inlineStr">
        <is>
          <t>A 57464-2025</t>
        </is>
      </c>
      <c r="B462" s="1" t="n">
        <v>45980</v>
      </c>
      <c r="C462" s="1" t="n">
        <v>46133</v>
      </c>
      <c r="D462" t="inlineStr">
        <is>
          <t>JÄMTLANDS LÄN</t>
        </is>
      </c>
      <c r="E462" t="inlineStr">
        <is>
          <t>ÅRE</t>
        </is>
      </c>
      <c r="G462" t="n">
        <v>8.1</v>
      </c>
      <c r="H462" t="n">
        <v>0</v>
      </c>
      <c r="I462" t="n">
        <v>0</v>
      </c>
      <c r="J462" t="n">
        <v>0</v>
      </c>
      <c r="K462" t="n">
        <v>0</v>
      </c>
      <c r="L462" t="n">
        <v>0</v>
      </c>
      <c r="M462" t="n">
        <v>0</v>
      </c>
      <c r="N462" t="n">
        <v>0</v>
      </c>
      <c r="O462" t="n">
        <v>0</v>
      </c>
      <c r="P462" t="n">
        <v>0</v>
      </c>
      <c r="Q462" t="n">
        <v>0</v>
      </c>
      <c r="R462" s="2" t="inlineStr"/>
    </row>
    <row r="463" ht="15" customHeight="1">
      <c r="A463" t="inlineStr">
        <is>
          <t>A 6358-2025</t>
        </is>
      </c>
      <c r="B463" s="1" t="n">
        <v>45699.36491898148</v>
      </c>
      <c r="C463" s="1" t="n">
        <v>46133</v>
      </c>
      <c r="D463" t="inlineStr">
        <is>
          <t>JÄMTLANDS LÄN</t>
        </is>
      </c>
      <c r="E463" t="inlineStr">
        <is>
          <t>ÅRE</t>
        </is>
      </c>
      <c r="G463" t="n">
        <v>5.6</v>
      </c>
      <c r="H463" t="n">
        <v>0</v>
      </c>
      <c r="I463" t="n">
        <v>0</v>
      </c>
      <c r="J463" t="n">
        <v>0</v>
      </c>
      <c r="K463" t="n">
        <v>0</v>
      </c>
      <c r="L463" t="n">
        <v>0</v>
      </c>
      <c r="M463" t="n">
        <v>0</v>
      </c>
      <c r="N463" t="n">
        <v>0</v>
      </c>
      <c r="O463" t="n">
        <v>0</v>
      </c>
      <c r="P463" t="n">
        <v>0</v>
      </c>
      <c r="Q463" t="n">
        <v>0</v>
      </c>
      <c r="R463" s="2" t="inlineStr"/>
    </row>
    <row r="464" ht="15" customHeight="1">
      <c r="A464" t="inlineStr">
        <is>
          <t>A 58432-2025</t>
        </is>
      </c>
      <c r="B464" s="1" t="n">
        <v>45985.60774305555</v>
      </c>
      <c r="C464" s="1" t="n">
        <v>46133</v>
      </c>
      <c r="D464" t="inlineStr">
        <is>
          <t>JÄMTLANDS LÄN</t>
        </is>
      </c>
      <c r="E464" t="inlineStr">
        <is>
          <t>ÅRE</t>
        </is>
      </c>
      <c r="G464" t="n">
        <v>1.7</v>
      </c>
      <c r="H464" t="n">
        <v>0</v>
      </c>
      <c r="I464" t="n">
        <v>0</v>
      </c>
      <c r="J464" t="n">
        <v>0</v>
      </c>
      <c r="K464" t="n">
        <v>0</v>
      </c>
      <c r="L464" t="n">
        <v>0</v>
      </c>
      <c r="M464" t="n">
        <v>0</v>
      </c>
      <c r="N464" t="n">
        <v>0</v>
      </c>
      <c r="O464" t="n">
        <v>0</v>
      </c>
      <c r="P464" t="n">
        <v>0</v>
      </c>
      <c r="Q464" t="n">
        <v>0</v>
      </c>
      <c r="R464" s="2" t="inlineStr"/>
    </row>
    <row r="465" ht="15" customHeight="1">
      <c r="A465" t="inlineStr">
        <is>
          <t>A 58469-2025</t>
        </is>
      </c>
      <c r="B465" s="1" t="n">
        <v>45985.63699074074</v>
      </c>
      <c r="C465" s="1" t="n">
        <v>46133</v>
      </c>
      <c r="D465" t="inlineStr">
        <is>
          <t>JÄMTLANDS LÄN</t>
        </is>
      </c>
      <c r="E465" t="inlineStr">
        <is>
          <t>ÅRE</t>
        </is>
      </c>
      <c r="F465" t="inlineStr">
        <is>
          <t>Övriga Aktiebolag</t>
        </is>
      </c>
      <c r="G465" t="n">
        <v>3.7</v>
      </c>
      <c r="H465" t="n">
        <v>0</v>
      </c>
      <c r="I465" t="n">
        <v>0</v>
      </c>
      <c r="J465" t="n">
        <v>0</v>
      </c>
      <c r="K465" t="n">
        <v>0</v>
      </c>
      <c r="L465" t="n">
        <v>0</v>
      </c>
      <c r="M465" t="n">
        <v>0</v>
      </c>
      <c r="N465" t="n">
        <v>0</v>
      </c>
      <c r="O465" t="n">
        <v>0</v>
      </c>
      <c r="P465" t="n">
        <v>0</v>
      </c>
      <c r="Q465" t="n">
        <v>0</v>
      </c>
      <c r="R465" s="2" t="inlineStr"/>
    </row>
    <row r="466" ht="15" customHeight="1">
      <c r="A466" t="inlineStr">
        <is>
          <t>A 58006-2025</t>
        </is>
      </c>
      <c r="B466" s="1" t="n">
        <v>45982.44869212963</v>
      </c>
      <c r="C466" s="1" t="n">
        <v>46133</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57928-2025</t>
        </is>
      </c>
      <c r="B467" s="1" t="n">
        <v>45981.88722222222</v>
      </c>
      <c r="C467" s="1" t="n">
        <v>46133</v>
      </c>
      <c r="D467" t="inlineStr">
        <is>
          <t>JÄMTLANDS LÄN</t>
        </is>
      </c>
      <c r="E467" t="inlineStr">
        <is>
          <t>ÅRE</t>
        </is>
      </c>
      <c r="G467" t="n">
        <v>2.4</v>
      </c>
      <c r="H467" t="n">
        <v>0</v>
      </c>
      <c r="I467" t="n">
        <v>0</v>
      </c>
      <c r="J467" t="n">
        <v>0</v>
      </c>
      <c r="K467" t="n">
        <v>0</v>
      </c>
      <c r="L467" t="n">
        <v>0</v>
      </c>
      <c r="M467" t="n">
        <v>0</v>
      </c>
      <c r="N467" t="n">
        <v>0</v>
      </c>
      <c r="O467" t="n">
        <v>0</v>
      </c>
      <c r="P467" t="n">
        <v>0</v>
      </c>
      <c r="Q467" t="n">
        <v>0</v>
      </c>
      <c r="R467" s="2" t="inlineStr"/>
    </row>
    <row r="468" ht="15" customHeight="1">
      <c r="A468" t="inlineStr">
        <is>
          <t>A 27946-2021</t>
        </is>
      </c>
      <c r="B468" s="1" t="n">
        <v>44354</v>
      </c>
      <c r="C468" s="1" t="n">
        <v>46133</v>
      </c>
      <c r="D468" t="inlineStr">
        <is>
          <t>JÄMTLANDS LÄN</t>
        </is>
      </c>
      <c r="E468" t="inlineStr">
        <is>
          <t>ÅRE</t>
        </is>
      </c>
      <c r="G468" t="n">
        <v>0.3</v>
      </c>
      <c r="H468" t="n">
        <v>0</v>
      </c>
      <c r="I468" t="n">
        <v>0</v>
      </c>
      <c r="J468" t="n">
        <v>0</v>
      </c>
      <c r="K468" t="n">
        <v>0</v>
      </c>
      <c r="L468" t="n">
        <v>0</v>
      </c>
      <c r="M468" t="n">
        <v>0</v>
      </c>
      <c r="N468" t="n">
        <v>0</v>
      </c>
      <c r="O468" t="n">
        <v>0</v>
      </c>
      <c r="P468" t="n">
        <v>0</v>
      </c>
      <c r="Q468" t="n">
        <v>0</v>
      </c>
      <c r="R468" s="2" t="inlineStr"/>
    </row>
    <row r="469" ht="15" customHeight="1">
      <c r="A469" t="inlineStr">
        <is>
          <t>A 37734-2023</t>
        </is>
      </c>
      <c r="B469" s="1" t="n">
        <v>45159.61971064815</v>
      </c>
      <c r="C469" s="1" t="n">
        <v>46133</v>
      </c>
      <c r="D469" t="inlineStr">
        <is>
          <t>JÄMTLANDS LÄN</t>
        </is>
      </c>
      <c r="E469" t="inlineStr">
        <is>
          <t>ÅRE</t>
        </is>
      </c>
      <c r="G469" t="n">
        <v>3.4</v>
      </c>
      <c r="H469" t="n">
        <v>0</v>
      </c>
      <c r="I469" t="n">
        <v>0</v>
      </c>
      <c r="J469" t="n">
        <v>0</v>
      </c>
      <c r="K469" t="n">
        <v>0</v>
      </c>
      <c r="L469" t="n">
        <v>0</v>
      </c>
      <c r="M469" t="n">
        <v>0</v>
      </c>
      <c r="N469" t="n">
        <v>0</v>
      </c>
      <c r="O469" t="n">
        <v>0</v>
      </c>
      <c r="P469" t="n">
        <v>0</v>
      </c>
      <c r="Q469" t="n">
        <v>0</v>
      </c>
      <c r="R469" s="2" t="inlineStr"/>
    </row>
    <row r="470" ht="15" customHeight="1">
      <c r="A470" t="inlineStr">
        <is>
          <t>A 58983-2025</t>
        </is>
      </c>
      <c r="B470" s="1" t="n">
        <v>45987.63885416667</v>
      </c>
      <c r="C470" s="1" t="n">
        <v>46133</v>
      </c>
      <c r="D470" t="inlineStr">
        <is>
          <t>JÄMTLANDS LÄN</t>
        </is>
      </c>
      <c r="E470" t="inlineStr">
        <is>
          <t>ÅRE</t>
        </is>
      </c>
      <c r="G470" t="n">
        <v>9.9</v>
      </c>
      <c r="H470" t="n">
        <v>0</v>
      </c>
      <c r="I470" t="n">
        <v>0</v>
      </c>
      <c r="J470" t="n">
        <v>0</v>
      </c>
      <c r="K470" t="n">
        <v>0</v>
      </c>
      <c r="L470" t="n">
        <v>0</v>
      </c>
      <c r="M470" t="n">
        <v>0</v>
      </c>
      <c r="N470" t="n">
        <v>0</v>
      </c>
      <c r="O470" t="n">
        <v>0</v>
      </c>
      <c r="P470" t="n">
        <v>0</v>
      </c>
      <c r="Q470" t="n">
        <v>0</v>
      </c>
      <c r="R470" s="2" t="inlineStr"/>
    </row>
    <row r="471" ht="15" customHeight="1">
      <c r="A471" t="inlineStr">
        <is>
          <t>A 58872-2025</t>
        </is>
      </c>
      <c r="B471" s="1" t="n">
        <v>45987.46554398148</v>
      </c>
      <c r="C471" s="1" t="n">
        <v>46133</v>
      </c>
      <c r="D471" t="inlineStr">
        <is>
          <t>JÄMTLANDS LÄN</t>
        </is>
      </c>
      <c r="E471" t="inlineStr">
        <is>
          <t>ÅRE</t>
        </is>
      </c>
      <c r="G471" t="n">
        <v>8</v>
      </c>
      <c r="H471" t="n">
        <v>0</v>
      </c>
      <c r="I471" t="n">
        <v>0</v>
      </c>
      <c r="J471" t="n">
        <v>0</v>
      </c>
      <c r="K471" t="n">
        <v>0</v>
      </c>
      <c r="L471" t="n">
        <v>0</v>
      </c>
      <c r="M471" t="n">
        <v>0</v>
      </c>
      <c r="N471" t="n">
        <v>0</v>
      </c>
      <c r="O471" t="n">
        <v>0</v>
      </c>
      <c r="P471" t="n">
        <v>0</v>
      </c>
      <c r="Q471" t="n">
        <v>0</v>
      </c>
      <c r="R471" s="2" t="inlineStr"/>
    </row>
    <row r="472" ht="15" customHeight="1">
      <c r="A472" t="inlineStr">
        <is>
          <t>A 37739-2023</t>
        </is>
      </c>
      <c r="B472" s="1" t="n">
        <v>45159</v>
      </c>
      <c r="C472" s="1" t="n">
        <v>46133</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58891-2025</t>
        </is>
      </c>
      <c r="B473" s="1" t="n">
        <v>45987.49034722222</v>
      </c>
      <c r="C473" s="1" t="n">
        <v>46133</v>
      </c>
      <c r="D473" t="inlineStr">
        <is>
          <t>JÄMTLANDS LÄN</t>
        </is>
      </c>
      <c r="E473" t="inlineStr">
        <is>
          <t>ÅRE</t>
        </is>
      </c>
      <c r="G473" t="n">
        <v>4.1</v>
      </c>
      <c r="H473" t="n">
        <v>0</v>
      </c>
      <c r="I473" t="n">
        <v>0</v>
      </c>
      <c r="J473" t="n">
        <v>0</v>
      </c>
      <c r="K473" t="n">
        <v>0</v>
      </c>
      <c r="L473" t="n">
        <v>0</v>
      </c>
      <c r="M473" t="n">
        <v>0</v>
      </c>
      <c r="N473" t="n">
        <v>0</v>
      </c>
      <c r="O473" t="n">
        <v>0</v>
      </c>
      <c r="P473" t="n">
        <v>0</v>
      </c>
      <c r="Q473" t="n">
        <v>0</v>
      </c>
      <c r="R473" s="2" t="inlineStr"/>
    </row>
    <row r="474" ht="15" customHeight="1">
      <c r="A474" t="inlineStr">
        <is>
          <t>A 5410-2026</t>
        </is>
      </c>
      <c r="B474" s="1" t="n">
        <v>46050</v>
      </c>
      <c r="C474" s="1" t="n">
        <v>46133</v>
      </c>
      <c r="D474" t="inlineStr">
        <is>
          <t>JÄMTLANDS LÄN</t>
        </is>
      </c>
      <c r="E474" t="inlineStr">
        <is>
          <t>ÅRE</t>
        </is>
      </c>
      <c r="G474" t="n">
        <v>1.7</v>
      </c>
      <c r="H474" t="n">
        <v>0</v>
      </c>
      <c r="I474" t="n">
        <v>0</v>
      </c>
      <c r="J474" t="n">
        <v>0</v>
      </c>
      <c r="K474" t="n">
        <v>0</v>
      </c>
      <c r="L474" t="n">
        <v>0</v>
      </c>
      <c r="M474" t="n">
        <v>0</v>
      </c>
      <c r="N474" t="n">
        <v>0</v>
      </c>
      <c r="O474" t="n">
        <v>0</v>
      </c>
      <c r="P474" t="n">
        <v>0</v>
      </c>
      <c r="Q474" t="n">
        <v>0</v>
      </c>
      <c r="R474" s="2" t="inlineStr"/>
    </row>
    <row r="475" ht="15" customHeight="1">
      <c r="A475" t="inlineStr">
        <is>
          <t>A 11500-2022</t>
        </is>
      </c>
      <c r="B475" s="1" t="n">
        <v>44631</v>
      </c>
      <c r="C475" s="1" t="n">
        <v>46133</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59367-2025</t>
        </is>
      </c>
      <c r="B476" s="1" t="n">
        <v>45989.44711805556</v>
      </c>
      <c r="C476" s="1" t="n">
        <v>46133</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59014-2025</t>
        </is>
      </c>
      <c r="B477" s="1" t="n">
        <v>45987.81232638889</v>
      </c>
      <c r="C477" s="1" t="n">
        <v>46133</v>
      </c>
      <c r="D477" t="inlineStr">
        <is>
          <t>JÄMTLANDS LÄN</t>
        </is>
      </c>
      <c r="E477" t="inlineStr">
        <is>
          <t>ÅRE</t>
        </is>
      </c>
      <c r="G477" t="n">
        <v>2.1</v>
      </c>
      <c r="H477" t="n">
        <v>0</v>
      </c>
      <c r="I477" t="n">
        <v>0</v>
      </c>
      <c r="J477" t="n">
        <v>0</v>
      </c>
      <c r="K477" t="n">
        <v>0</v>
      </c>
      <c r="L477" t="n">
        <v>0</v>
      </c>
      <c r="M477" t="n">
        <v>0</v>
      </c>
      <c r="N477" t="n">
        <v>0</v>
      </c>
      <c r="O477" t="n">
        <v>0</v>
      </c>
      <c r="P477" t="n">
        <v>0</v>
      </c>
      <c r="Q477" t="n">
        <v>0</v>
      </c>
      <c r="R477" s="2" t="inlineStr"/>
    </row>
    <row r="478" ht="15" customHeight="1">
      <c r="A478" t="inlineStr">
        <is>
          <t>A 8798-2025</t>
        </is>
      </c>
      <c r="B478" s="1" t="n">
        <v>45712</v>
      </c>
      <c r="C478" s="1" t="n">
        <v>46133</v>
      </c>
      <c r="D478" t="inlineStr">
        <is>
          <t>JÄMTLANDS LÄN</t>
        </is>
      </c>
      <c r="E478" t="inlineStr">
        <is>
          <t>ÅRE</t>
        </is>
      </c>
      <c r="G478" t="n">
        <v>1.6</v>
      </c>
      <c r="H478" t="n">
        <v>0</v>
      </c>
      <c r="I478" t="n">
        <v>0</v>
      </c>
      <c r="J478" t="n">
        <v>0</v>
      </c>
      <c r="K478" t="n">
        <v>0</v>
      </c>
      <c r="L478" t="n">
        <v>0</v>
      </c>
      <c r="M478" t="n">
        <v>0</v>
      </c>
      <c r="N478" t="n">
        <v>0</v>
      </c>
      <c r="O478" t="n">
        <v>0</v>
      </c>
      <c r="P478" t="n">
        <v>0</v>
      </c>
      <c r="Q478" t="n">
        <v>0</v>
      </c>
      <c r="R478" s="2" t="inlineStr"/>
    </row>
    <row r="479" ht="15" customHeight="1">
      <c r="A479" t="inlineStr">
        <is>
          <t>A 4218-2025</t>
        </is>
      </c>
      <c r="B479" s="1" t="n">
        <v>45685</v>
      </c>
      <c r="C479" s="1" t="n">
        <v>46133</v>
      </c>
      <c r="D479" t="inlineStr">
        <is>
          <t>JÄMTLANDS LÄN</t>
        </is>
      </c>
      <c r="E479" t="inlineStr">
        <is>
          <t>ÅRE</t>
        </is>
      </c>
      <c r="F479" t="inlineStr">
        <is>
          <t>Övriga Aktiebolag</t>
        </is>
      </c>
      <c r="G479" t="n">
        <v>10.1</v>
      </c>
      <c r="H479" t="n">
        <v>0</v>
      </c>
      <c r="I479" t="n">
        <v>0</v>
      </c>
      <c r="J479" t="n">
        <v>0</v>
      </c>
      <c r="K479" t="n">
        <v>0</v>
      </c>
      <c r="L479" t="n">
        <v>0</v>
      </c>
      <c r="M479" t="n">
        <v>0</v>
      </c>
      <c r="N479" t="n">
        <v>0</v>
      </c>
      <c r="O479" t="n">
        <v>0</v>
      </c>
      <c r="P479" t="n">
        <v>0</v>
      </c>
      <c r="Q479" t="n">
        <v>0</v>
      </c>
      <c r="R479" s="2" t="inlineStr"/>
    </row>
    <row r="480" ht="15" customHeight="1">
      <c r="A480" t="inlineStr">
        <is>
          <t>A 59161-2025</t>
        </is>
      </c>
      <c r="B480" s="1" t="n">
        <v>45988.55300925926</v>
      </c>
      <c r="C480" s="1" t="n">
        <v>46133</v>
      </c>
      <c r="D480" t="inlineStr">
        <is>
          <t>JÄMTLANDS LÄN</t>
        </is>
      </c>
      <c r="E480" t="inlineStr">
        <is>
          <t>ÅRE</t>
        </is>
      </c>
      <c r="G480" t="n">
        <v>3.8</v>
      </c>
      <c r="H480" t="n">
        <v>0</v>
      </c>
      <c r="I480" t="n">
        <v>0</v>
      </c>
      <c r="J480" t="n">
        <v>0</v>
      </c>
      <c r="K480" t="n">
        <v>0</v>
      </c>
      <c r="L480" t="n">
        <v>0</v>
      </c>
      <c r="M480" t="n">
        <v>0</v>
      </c>
      <c r="N480" t="n">
        <v>0</v>
      </c>
      <c r="O480" t="n">
        <v>0</v>
      </c>
      <c r="P480" t="n">
        <v>0</v>
      </c>
      <c r="Q480" t="n">
        <v>0</v>
      </c>
      <c r="R480" s="2" t="inlineStr"/>
    </row>
    <row r="481" ht="15" customHeight="1">
      <c r="A481" t="inlineStr">
        <is>
          <t>A 59823-2025</t>
        </is>
      </c>
      <c r="B481" s="1" t="n">
        <v>45992.64878472222</v>
      </c>
      <c r="C481" s="1" t="n">
        <v>46133</v>
      </c>
      <c r="D481" t="inlineStr">
        <is>
          <t>JÄMTLANDS LÄN</t>
        </is>
      </c>
      <c r="E481" t="inlineStr">
        <is>
          <t>ÅRE</t>
        </is>
      </c>
      <c r="G481" t="n">
        <v>0.4</v>
      </c>
      <c r="H481" t="n">
        <v>0</v>
      </c>
      <c r="I481" t="n">
        <v>0</v>
      </c>
      <c r="J481" t="n">
        <v>0</v>
      </c>
      <c r="K481" t="n">
        <v>0</v>
      </c>
      <c r="L481" t="n">
        <v>0</v>
      </c>
      <c r="M481" t="n">
        <v>0</v>
      </c>
      <c r="N481" t="n">
        <v>0</v>
      </c>
      <c r="O481" t="n">
        <v>0</v>
      </c>
      <c r="P481" t="n">
        <v>0</v>
      </c>
      <c r="Q481" t="n">
        <v>0</v>
      </c>
      <c r="R481" s="2" t="inlineStr"/>
    </row>
    <row r="482" ht="15" customHeight="1">
      <c r="A482" t="inlineStr">
        <is>
          <t>A 59690-2025</t>
        </is>
      </c>
      <c r="B482" s="1" t="n">
        <v>45992.48541666667</v>
      </c>
      <c r="C482" s="1" t="n">
        <v>46133</v>
      </c>
      <c r="D482" t="inlineStr">
        <is>
          <t>JÄMTLANDS LÄN</t>
        </is>
      </c>
      <c r="E482" t="inlineStr">
        <is>
          <t>ÅRE</t>
        </is>
      </c>
      <c r="G482" t="n">
        <v>2.5</v>
      </c>
      <c r="H482" t="n">
        <v>0</v>
      </c>
      <c r="I482" t="n">
        <v>0</v>
      </c>
      <c r="J482" t="n">
        <v>0</v>
      </c>
      <c r="K482" t="n">
        <v>0</v>
      </c>
      <c r="L482" t="n">
        <v>0</v>
      </c>
      <c r="M482" t="n">
        <v>0</v>
      </c>
      <c r="N482" t="n">
        <v>0</v>
      </c>
      <c r="O482" t="n">
        <v>0</v>
      </c>
      <c r="P482" t="n">
        <v>0</v>
      </c>
      <c r="Q482" t="n">
        <v>0</v>
      </c>
      <c r="R482" s="2" t="inlineStr"/>
    </row>
    <row r="483" ht="15" customHeight="1">
      <c r="A483" t="inlineStr">
        <is>
          <t>A 59653-2025</t>
        </is>
      </c>
      <c r="B483" s="1" t="n">
        <v>45992.43616898148</v>
      </c>
      <c r="C483" s="1" t="n">
        <v>46133</v>
      </c>
      <c r="D483" t="inlineStr">
        <is>
          <t>JÄMTLANDS LÄN</t>
        </is>
      </c>
      <c r="E483" t="inlineStr">
        <is>
          <t>ÅRE</t>
        </is>
      </c>
      <c r="G483" t="n">
        <v>3.6</v>
      </c>
      <c r="H483" t="n">
        <v>0</v>
      </c>
      <c r="I483" t="n">
        <v>0</v>
      </c>
      <c r="J483" t="n">
        <v>0</v>
      </c>
      <c r="K483" t="n">
        <v>0</v>
      </c>
      <c r="L483" t="n">
        <v>0</v>
      </c>
      <c r="M483" t="n">
        <v>0</v>
      </c>
      <c r="N483" t="n">
        <v>0</v>
      </c>
      <c r="O483" t="n">
        <v>0</v>
      </c>
      <c r="P483" t="n">
        <v>0</v>
      </c>
      <c r="Q483" t="n">
        <v>0</v>
      </c>
      <c r="R483" s="2" t="inlineStr"/>
    </row>
    <row r="484" ht="15" customHeight="1">
      <c r="A484" t="inlineStr">
        <is>
          <t>A 59659-2025</t>
        </is>
      </c>
      <c r="B484" s="1" t="n">
        <v>45992.44748842593</v>
      </c>
      <c r="C484" s="1" t="n">
        <v>46133</v>
      </c>
      <c r="D484" t="inlineStr">
        <is>
          <t>JÄMTLANDS LÄN</t>
        </is>
      </c>
      <c r="E484" t="inlineStr">
        <is>
          <t>ÅRE</t>
        </is>
      </c>
      <c r="G484" t="n">
        <v>2.8</v>
      </c>
      <c r="H484" t="n">
        <v>0</v>
      </c>
      <c r="I484" t="n">
        <v>0</v>
      </c>
      <c r="J484" t="n">
        <v>0</v>
      </c>
      <c r="K484" t="n">
        <v>0</v>
      </c>
      <c r="L484" t="n">
        <v>0</v>
      </c>
      <c r="M484" t="n">
        <v>0</v>
      </c>
      <c r="N484" t="n">
        <v>0</v>
      </c>
      <c r="O484" t="n">
        <v>0</v>
      </c>
      <c r="P484" t="n">
        <v>0</v>
      </c>
      <c r="Q484" t="n">
        <v>0</v>
      </c>
      <c r="R484" s="2" t="inlineStr"/>
    </row>
    <row r="485" ht="15" customHeight="1">
      <c r="A485" t="inlineStr">
        <is>
          <t>A 278-2023</t>
        </is>
      </c>
      <c r="B485" s="1" t="n">
        <v>44928</v>
      </c>
      <c r="C485" s="1" t="n">
        <v>46133</v>
      </c>
      <c r="D485" t="inlineStr">
        <is>
          <t>JÄMTLANDS LÄN</t>
        </is>
      </c>
      <c r="E485" t="inlineStr">
        <is>
          <t>ÅRE</t>
        </is>
      </c>
      <c r="G485" t="n">
        <v>2.4</v>
      </c>
      <c r="H485" t="n">
        <v>0</v>
      </c>
      <c r="I485" t="n">
        <v>0</v>
      </c>
      <c r="J485" t="n">
        <v>0</v>
      </c>
      <c r="K485" t="n">
        <v>0</v>
      </c>
      <c r="L485" t="n">
        <v>0</v>
      </c>
      <c r="M485" t="n">
        <v>0</v>
      </c>
      <c r="N485" t="n">
        <v>0</v>
      </c>
      <c r="O485" t="n">
        <v>0</v>
      </c>
      <c r="P485" t="n">
        <v>0</v>
      </c>
      <c r="Q485" t="n">
        <v>0</v>
      </c>
      <c r="R485" s="2" t="inlineStr"/>
    </row>
    <row r="486" ht="15" customHeight="1">
      <c r="A486" t="inlineStr">
        <is>
          <t>A 3066-2023</t>
        </is>
      </c>
      <c r="B486" s="1" t="n">
        <v>44946</v>
      </c>
      <c r="C486" s="1" t="n">
        <v>46133</v>
      </c>
      <c r="D486" t="inlineStr">
        <is>
          <t>JÄMTLANDS LÄN</t>
        </is>
      </c>
      <c r="E486" t="inlineStr">
        <is>
          <t>ÅRE</t>
        </is>
      </c>
      <c r="G486" t="n">
        <v>1.3</v>
      </c>
      <c r="H486" t="n">
        <v>0</v>
      </c>
      <c r="I486" t="n">
        <v>0</v>
      </c>
      <c r="J486" t="n">
        <v>0</v>
      </c>
      <c r="K486" t="n">
        <v>0</v>
      </c>
      <c r="L486" t="n">
        <v>0</v>
      </c>
      <c r="M486" t="n">
        <v>0</v>
      </c>
      <c r="N486" t="n">
        <v>0</v>
      </c>
      <c r="O486" t="n">
        <v>0</v>
      </c>
      <c r="P486" t="n">
        <v>0</v>
      </c>
      <c r="Q486" t="n">
        <v>0</v>
      </c>
      <c r="R486" s="2" t="inlineStr"/>
    </row>
    <row r="487" ht="15" customHeight="1">
      <c r="A487" t="inlineStr">
        <is>
          <t>A 54907-2023</t>
        </is>
      </c>
      <c r="B487" s="1" t="n">
        <v>45236.65784722222</v>
      </c>
      <c r="C487" s="1" t="n">
        <v>46133</v>
      </c>
      <c r="D487" t="inlineStr">
        <is>
          <t>JÄMTLANDS LÄN</t>
        </is>
      </c>
      <c r="E487" t="inlineStr">
        <is>
          <t>ÅRE</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41688-2024</t>
        </is>
      </c>
      <c r="B488" s="1" t="n">
        <v>45560.67542824074</v>
      </c>
      <c r="C488" s="1" t="n">
        <v>46133</v>
      </c>
      <c r="D488" t="inlineStr">
        <is>
          <t>JÄMTLANDS LÄN</t>
        </is>
      </c>
      <c r="E488" t="inlineStr">
        <is>
          <t>ÅRE</t>
        </is>
      </c>
      <c r="G488" t="n">
        <v>0.8</v>
      </c>
      <c r="H488" t="n">
        <v>0</v>
      </c>
      <c r="I488" t="n">
        <v>0</v>
      </c>
      <c r="J488" t="n">
        <v>0</v>
      </c>
      <c r="K488" t="n">
        <v>0</v>
      </c>
      <c r="L488" t="n">
        <v>0</v>
      </c>
      <c r="M488" t="n">
        <v>0</v>
      </c>
      <c r="N488" t="n">
        <v>0</v>
      </c>
      <c r="O488" t="n">
        <v>0</v>
      </c>
      <c r="P488" t="n">
        <v>0</v>
      </c>
      <c r="Q488" t="n">
        <v>0</v>
      </c>
      <c r="R488" s="2" t="inlineStr"/>
    </row>
    <row r="489" ht="15" customHeight="1">
      <c r="A489" t="inlineStr">
        <is>
          <t>A 61815-2021</t>
        </is>
      </c>
      <c r="B489" s="1" t="n">
        <v>44498</v>
      </c>
      <c r="C489" s="1" t="n">
        <v>46133</v>
      </c>
      <c r="D489" t="inlineStr">
        <is>
          <t>JÄMTLANDS LÄN</t>
        </is>
      </c>
      <c r="E489" t="inlineStr">
        <is>
          <t>ÅRE</t>
        </is>
      </c>
      <c r="G489" t="n">
        <v>7.4</v>
      </c>
      <c r="H489" t="n">
        <v>0</v>
      </c>
      <c r="I489" t="n">
        <v>0</v>
      </c>
      <c r="J489" t="n">
        <v>0</v>
      </c>
      <c r="K489" t="n">
        <v>0</v>
      </c>
      <c r="L489" t="n">
        <v>0</v>
      </c>
      <c r="M489" t="n">
        <v>0</v>
      </c>
      <c r="N489" t="n">
        <v>0</v>
      </c>
      <c r="O489" t="n">
        <v>0</v>
      </c>
      <c r="P489" t="n">
        <v>0</v>
      </c>
      <c r="Q489" t="n">
        <v>0</v>
      </c>
      <c r="R489" s="2" t="inlineStr"/>
    </row>
    <row r="490" ht="15" customHeight="1">
      <c r="A490" t="inlineStr">
        <is>
          <t>A 60398-2025</t>
        </is>
      </c>
      <c r="B490" s="1" t="n">
        <v>45995.3990162037</v>
      </c>
      <c r="C490" s="1" t="n">
        <v>46133</v>
      </c>
      <c r="D490" t="inlineStr">
        <is>
          <t>JÄMTLANDS LÄN</t>
        </is>
      </c>
      <c r="E490" t="inlineStr">
        <is>
          <t>ÅRE</t>
        </is>
      </c>
      <c r="G490" t="n">
        <v>3.7</v>
      </c>
      <c r="H490" t="n">
        <v>0</v>
      </c>
      <c r="I490" t="n">
        <v>0</v>
      </c>
      <c r="J490" t="n">
        <v>0</v>
      </c>
      <c r="K490" t="n">
        <v>0</v>
      </c>
      <c r="L490" t="n">
        <v>0</v>
      </c>
      <c r="M490" t="n">
        <v>0</v>
      </c>
      <c r="N490" t="n">
        <v>0</v>
      </c>
      <c r="O490" t="n">
        <v>0</v>
      </c>
      <c r="P490" t="n">
        <v>0</v>
      </c>
      <c r="Q490" t="n">
        <v>0</v>
      </c>
      <c r="R490" s="2" t="inlineStr"/>
    </row>
    <row r="491" ht="15" customHeight="1">
      <c r="A491" t="inlineStr">
        <is>
          <t>A 60473-2025</t>
        </is>
      </c>
      <c r="B491" s="1" t="n">
        <v>45995.57738425926</v>
      </c>
      <c r="C491" s="1" t="n">
        <v>46133</v>
      </c>
      <c r="D491" t="inlineStr">
        <is>
          <t>JÄMTLANDS LÄN</t>
        </is>
      </c>
      <c r="E491" t="inlineStr">
        <is>
          <t>ÅRE</t>
        </is>
      </c>
      <c r="G491" t="n">
        <v>7.7</v>
      </c>
      <c r="H491" t="n">
        <v>0</v>
      </c>
      <c r="I491" t="n">
        <v>0</v>
      </c>
      <c r="J491" t="n">
        <v>0</v>
      </c>
      <c r="K491" t="n">
        <v>0</v>
      </c>
      <c r="L491" t="n">
        <v>0</v>
      </c>
      <c r="M491" t="n">
        <v>0</v>
      </c>
      <c r="N491" t="n">
        <v>0</v>
      </c>
      <c r="O491" t="n">
        <v>0</v>
      </c>
      <c r="P491" t="n">
        <v>0</v>
      </c>
      <c r="Q491" t="n">
        <v>0</v>
      </c>
      <c r="R491" s="2" t="inlineStr"/>
    </row>
    <row r="492" ht="15" customHeight="1">
      <c r="A492" t="inlineStr">
        <is>
          <t>A 60585-2025</t>
        </is>
      </c>
      <c r="B492" s="1" t="n">
        <v>45996.33314814815</v>
      </c>
      <c r="C492" s="1" t="n">
        <v>46133</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61009-2025</t>
        </is>
      </c>
      <c r="B493" s="1" t="n">
        <v>45999</v>
      </c>
      <c r="C493" s="1" t="n">
        <v>46133</v>
      </c>
      <c r="D493" t="inlineStr">
        <is>
          <t>JÄMTLANDS LÄN</t>
        </is>
      </c>
      <c r="E493" t="inlineStr">
        <is>
          <t>ÅRE</t>
        </is>
      </c>
      <c r="G493" t="n">
        <v>1.9</v>
      </c>
      <c r="H493" t="n">
        <v>0</v>
      </c>
      <c r="I493" t="n">
        <v>0</v>
      </c>
      <c r="J493" t="n">
        <v>0</v>
      </c>
      <c r="K493" t="n">
        <v>0</v>
      </c>
      <c r="L493" t="n">
        <v>0</v>
      </c>
      <c r="M493" t="n">
        <v>0</v>
      </c>
      <c r="N493" t="n">
        <v>0</v>
      </c>
      <c r="O493" t="n">
        <v>0</v>
      </c>
      <c r="P493" t="n">
        <v>0</v>
      </c>
      <c r="Q493" t="n">
        <v>0</v>
      </c>
      <c r="R493" s="2" t="inlineStr"/>
    </row>
    <row r="494" ht="15" customHeight="1">
      <c r="A494" t="inlineStr">
        <is>
          <t>A 60783-2025</t>
        </is>
      </c>
      <c r="B494" s="1" t="n">
        <v>45999.39971064815</v>
      </c>
      <c r="C494" s="1" t="n">
        <v>46133</v>
      </c>
      <c r="D494" t="inlineStr">
        <is>
          <t>JÄMTLANDS LÄN</t>
        </is>
      </c>
      <c r="E494" t="inlineStr">
        <is>
          <t>ÅRE</t>
        </is>
      </c>
      <c r="G494" t="n">
        <v>10.6</v>
      </c>
      <c r="H494" t="n">
        <v>0</v>
      </c>
      <c r="I494" t="n">
        <v>0</v>
      </c>
      <c r="J494" t="n">
        <v>0</v>
      </c>
      <c r="K494" t="n">
        <v>0</v>
      </c>
      <c r="L494" t="n">
        <v>0</v>
      </c>
      <c r="M494" t="n">
        <v>0</v>
      </c>
      <c r="N494" t="n">
        <v>0</v>
      </c>
      <c r="O494" t="n">
        <v>0</v>
      </c>
      <c r="P494" t="n">
        <v>0</v>
      </c>
      <c r="Q494" t="n">
        <v>0</v>
      </c>
      <c r="R494" s="2" t="inlineStr"/>
    </row>
    <row r="495" ht="15" customHeight="1">
      <c r="A495" t="inlineStr">
        <is>
          <t>A 6219-2026</t>
        </is>
      </c>
      <c r="B495" s="1" t="n">
        <v>46055.43142361111</v>
      </c>
      <c r="C495" s="1" t="n">
        <v>46133</v>
      </c>
      <c r="D495" t="inlineStr">
        <is>
          <t>JÄMTLANDS LÄN</t>
        </is>
      </c>
      <c r="E495" t="inlineStr">
        <is>
          <t>ÅRE</t>
        </is>
      </c>
      <c r="G495" t="n">
        <v>3.2</v>
      </c>
      <c r="H495" t="n">
        <v>0</v>
      </c>
      <c r="I495" t="n">
        <v>0</v>
      </c>
      <c r="J495" t="n">
        <v>0</v>
      </c>
      <c r="K495" t="n">
        <v>0</v>
      </c>
      <c r="L495" t="n">
        <v>0</v>
      </c>
      <c r="M495" t="n">
        <v>0</v>
      </c>
      <c r="N495" t="n">
        <v>0</v>
      </c>
      <c r="O495" t="n">
        <v>0</v>
      </c>
      <c r="P495" t="n">
        <v>0</v>
      </c>
      <c r="Q495" t="n">
        <v>0</v>
      </c>
      <c r="R495" s="2" t="inlineStr"/>
    </row>
    <row r="496" ht="15" customHeight="1">
      <c r="A496" t="inlineStr">
        <is>
          <t>A 48223-2025</t>
        </is>
      </c>
      <c r="B496" s="1" t="n">
        <v>45931</v>
      </c>
      <c r="C496" s="1" t="n">
        <v>46133</v>
      </c>
      <c r="D496" t="inlineStr">
        <is>
          <t>JÄMTLANDS LÄN</t>
        </is>
      </c>
      <c r="E496" t="inlineStr">
        <is>
          <t>ÅRE</t>
        </is>
      </c>
      <c r="G496" t="n">
        <v>2.1</v>
      </c>
      <c r="H496" t="n">
        <v>0</v>
      </c>
      <c r="I496" t="n">
        <v>0</v>
      </c>
      <c r="J496" t="n">
        <v>0</v>
      </c>
      <c r="K496" t="n">
        <v>0</v>
      </c>
      <c r="L496" t="n">
        <v>0</v>
      </c>
      <c r="M496" t="n">
        <v>0</v>
      </c>
      <c r="N496" t="n">
        <v>0</v>
      </c>
      <c r="O496" t="n">
        <v>0</v>
      </c>
      <c r="P496" t="n">
        <v>0</v>
      </c>
      <c r="Q496" t="n">
        <v>0</v>
      </c>
      <c r="R496" s="2" t="inlineStr"/>
      <c r="U496">
        <f>HYPERLINK("https://klasma.github.io/Logging_2321/knärot/A 48223-2025 karta knärot.png", "A 48223-2025")</f>
        <v/>
      </c>
      <c r="V496">
        <f>HYPERLINK("https://klasma.github.io/Logging_2321/klagomål/A 48223-2025 FSC-klagomål.docx", "A 48223-2025")</f>
        <v/>
      </c>
      <c r="W496">
        <f>HYPERLINK("https://klasma.github.io/Logging_2321/klagomålsmail/A 48223-2025 FSC-klagomål mail.docx", "A 48223-2025")</f>
        <v/>
      </c>
      <c r="X496">
        <f>HYPERLINK("https://klasma.github.io/Logging_2321/tillsyn/A 48223-2025 tillsynsbegäran.docx", "A 48223-2025")</f>
        <v/>
      </c>
      <c r="Y496">
        <f>HYPERLINK("https://klasma.github.io/Logging_2321/tillsynsmail/A 48223-2025 tillsynsbegäran mail.docx", "A 48223-2025")</f>
        <v/>
      </c>
    </row>
    <row r="497" ht="15" customHeight="1">
      <c r="A497" t="inlineStr">
        <is>
          <t>A 47963-2025</t>
        </is>
      </c>
      <c r="B497" s="1" t="n">
        <v>45931</v>
      </c>
      <c r="C497" s="1" t="n">
        <v>46133</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61032-2025</t>
        </is>
      </c>
      <c r="B498" s="1" t="n">
        <v>45999.89533564815</v>
      </c>
      <c r="C498" s="1" t="n">
        <v>46133</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61355-2025</t>
        </is>
      </c>
      <c r="B499" s="1" t="n">
        <v>46001.39805555555</v>
      </c>
      <c r="C499" s="1" t="n">
        <v>46133</v>
      </c>
      <c r="D499" t="inlineStr">
        <is>
          <t>JÄMTLANDS LÄN</t>
        </is>
      </c>
      <c r="E499" t="inlineStr">
        <is>
          <t>ÅRE</t>
        </is>
      </c>
      <c r="G499" t="n">
        <v>6.7</v>
      </c>
      <c r="H499" t="n">
        <v>0</v>
      </c>
      <c r="I499" t="n">
        <v>0</v>
      </c>
      <c r="J499" t="n">
        <v>0</v>
      </c>
      <c r="K499" t="n">
        <v>0</v>
      </c>
      <c r="L499" t="n">
        <v>0</v>
      </c>
      <c r="M499" t="n">
        <v>0</v>
      </c>
      <c r="N499" t="n">
        <v>0</v>
      </c>
      <c r="O499" t="n">
        <v>0</v>
      </c>
      <c r="P499" t="n">
        <v>0</v>
      </c>
      <c r="Q499" t="n">
        <v>0</v>
      </c>
      <c r="R499" s="2" t="inlineStr"/>
    </row>
    <row r="500" ht="15" customHeight="1">
      <c r="A500" t="inlineStr">
        <is>
          <t>A 5888-2026</t>
        </is>
      </c>
      <c r="B500" s="1" t="n">
        <v>46052.41568287037</v>
      </c>
      <c r="C500" s="1" t="n">
        <v>46133</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13033-2024</t>
        </is>
      </c>
      <c r="B501" s="1" t="n">
        <v>45385</v>
      </c>
      <c r="C501" s="1" t="n">
        <v>46133</v>
      </c>
      <c r="D501" t="inlineStr">
        <is>
          <t>JÄMTLANDS LÄN</t>
        </is>
      </c>
      <c r="E501" t="inlineStr">
        <is>
          <t>ÅRE</t>
        </is>
      </c>
      <c r="G501" t="n">
        <v>7.3</v>
      </c>
      <c r="H501" t="n">
        <v>0</v>
      </c>
      <c r="I501" t="n">
        <v>0</v>
      </c>
      <c r="J501" t="n">
        <v>0</v>
      </c>
      <c r="K501" t="n">
        <v>0</v>
      </c>
      <c r="L501" t="n">
        <v>0</v>
      </c>
      <c r="M501" t="n">
        <v>0</v>
      </c>
      <c r="N501" t="n">
        <v>0</v>
      </c>
      <c r="O501" t="n">
        <v>0</v>
      </c>
      <c r="P501" t="n">
        <v>0</v>
      </c>
      <c r="Q501" t="n">
        <v>0</v>
      </c>
      <c r="R501" s="2" t="inlineStr"/>
    </row>
    <row r="502" ht="15" customHeight="1">
      <c r="A502" t="inlineStr">
        <is>
          <t>A 44512-2023</t>
        </is>
      </c>
      <c r="B502" s="1" t="n">
        <v>45184</v>
      </c>
      <c r="C502" s="1" t="n">
        <v>46133</v>
      </c>
      <c r="D502" t="inlineStr">
        <is>
          <t>JÄMTLANDS LÄN</t>
        </is>
      </c>
      <c r="E502" t="inlineStr">
        <is>
          <t>ÅRE</t>
        </is>
      </c>
      <c r="G502" t="n">
        <v>12.5</v>
      </c>
      <c r="H502" t="n">
        <v>0</v>
      </c>
      <c r="I502" t="n">
        <v>0</v>
      </c>
      <c r="J502" t="n">
        <v>0</v>
      </c>
      <c r="K502" t="n">
        <v>0</v>
      </c>
      <c r="L502" t="n">
        <v>0</v>
      </c>
      <c r="M502" t="n">
        <v>0</v>
      </c>
      <c r="N502" t="n">
        <v>0</v>
      </c>
      <c r="O502" t="n">
        <v>0</v>
      </c>
      <c r="P502" t="n">
        <v>0</v>
      </c>
      <c r="Q502" t="n">
        <v>0</v>
      </c>
      <c r="R502" s="2" t="inlineStr"/>
    </row>
    <row r="503" ht="15" customHeight="1">
      <c r="A503" t="inlineStr">
        <is>
          <t>A 51500-2024</t>
        </is>
      </c>
      <c r="B503" s="1" t="n">
        <v>45604.54693287037</v>
      </c>
      <c r="C503" s="1" t="n">
        <v>46133</v>
      </c>
      <c r="D503" t="inlineStr">
        <is>
          <t>JÄMTLANDS LÄN</t>
        </is>
      </c>
      <c r="E503" t="inlineStr">
        <is>
          <t>ÅRE</t>
        </is>
      </c>
      <c r="G503" t="n">
        <v>1.7</v>
      </c>
      <c r="H503" t="n">
        <v>0</v>
      </c>
      <c r="I503" t="n">
        <v>0</v>
      </c>
      <c r="J503" t="n">
        <v>0</v>
      </c>
      <c r="K503" t="n">
        <v>0</v>
      </c>
      <c r="L503" t="n">
        <v>0</v>
      </c>
      <c r="M503" t="n">
        <v>0</v>
      </c>
      <c r="N503" t="n">
        <v>0</v>
      </c>
      <c r="O503" t="n">
        <v>0</v>
      </c>
      <c r="P503" t="n">
        <v>0</v>
      </c>
      <c r="Q503" t="n">
        <v>0</v>
      </c>
      <c r="R503" s="2" t="inlineStr"/>
    </row>
    <row r="504" ht="15" customHeight="1">
      <c r="A504" t="inlineStr">
        <is>
          <t>A 61014-2024</t>
        </is>
      </c>
      <c r="B504" s="1" t="n">
        <v>45645.449375</v>
      </c>
      <c r="C504" s="1" t="n">
        <v>46133</v>
      </c>
      <c r="D504" t="inlineStr">
        <is>
          <t>JÄMTLANDS LÄN</t>
        </is>
      </c>
      <c r="E504" t="inlineStr">
        <is>
          <t>ÅRE</t>
        </is>
      </c>
      <c r="F504" t="inlineStr">
        <is>
          <t>Övriga Aktiebolag</t>
        </is>
      </c>
      <c r="G504" t="n">
        <v>4.9</v>
      </c>
      <c r="H504" t="n">
        <v>0</v>
      </c>
      <c r="I504" t="n">
        <v>0</v>
      </c>
      <c r="J504" t="n">
        <v>0</v>
      </c>
      <c r="K504" t="n">
        <v>0</v>
      </c>
      <c r="L504" t="n">
        <v>0</v>
      </c>
      <c r="M504" t="n">
        <v>0</v>
      </c>
      <c r="N504" t="n">
        <v>0</v>
      </c>
      <c r="O504" t="n">
        <v>0</v>
      </c>
      <c r="P504" t="n">
        <v>0</v>
      </c>
      <c r="Q504" t="n">
        <v>0</v>
      </c>
      <c r="R504" s="2" t="inlineStr"/>
    </row>
    <row r="505" ht="15" customHeight="1">
      <c r="A505" t="inlineStr">
        <is>
          <t>A 11112-2022</t>
        </is>
      </c>
      <c r="B505" s="1" t="n">
        <v>44628</v>
      </c>
      <c r="C505" s="1" t="n">
        <v>46133</v>
      </c>
      <c r="D505" t="inlineStr">
        <is>
          <t>JÄMTLANDS LÄN</t>
        </is>
      </c>
      <c r="E505" t="inlineStr">
        <is>
          <t>ÅRE</t>
        </is>
      </c>
      <c r="G505" t="n">
        <v>6.6</v>
      </c>
      <c r="H505" t="n">
        <v>0</v>
      </c>
      <c r="I505" t="n">
        <v>0</v>
      </c>
      <c r="J505" t="n">
        <v>0</v>
      </c>
      <c r="K505" t="n">
        <v>0</v>
      </c>
      <c r="L505" t="n">
        <v>0</v>
      </c>
      <c r="M505" t="n">
        <v>0</v>
      </c>
      <c r="N505" t="n">
        <v>0</v>
      </c>
      <c r="O505" t="n">
        <v>0</v>
      </c>
      <c r="P505" t="n">
        <v>0</v>
      </c>
      <c r="Q505" t="n">
        <v>0</v>
      </c>
      <c r="R505" s="2" t="inlineStr"/>
    </row>
    <row r="506" ht="15" customHeight="1">
      <c r="A506" t="inlineStr">
        <is>
          <t>A 44925-2024</t>
        </is>
      </c>
      <c r="B506" s="1" t="n">
        <v>45575.40700231482</v>
      </c>
      <c r="C506" s="1" t="n">
        <v>46133</v>
      </c>
      <c r="D506" t="inlineStr">
        <is>
          <t>JÄMTLANDS LÄN</t>
        </is>
      </c>
      <c r="E506" t="inlineStr">
        <is>
          <t>ÅRE</t>
        </is>
      </c>
      <c r="F506" t="inlineStr">
        <is>
          <t>Övriga Aktiebolag</t>
        </is>
      </c>
      <c r="G506" t="n">
        <v>22.3</v>
      </c>
      <c r="H506" t="n">
        <v>0</v>
      </c>
      <c r="I506" t="n">
        <v>0</v>
      </c>
      <c r="J506" t="n">
        <v>0</v>
      </c>
      <c r="K506" t="n">
        <v>0</v>
      </c>
      <c r="L506" t="n">
        <v>0</v>
      </c>
      <c r="M506" t="n">
        <v>0</v>
      </c>
      <c r="N506" t="n">
        <v>0</v>
      </c>
      <c r="O506" t="n">
        <v>0</v>
      </c>
      <c r="P506" t="n">
        <v>0</v>
      </c>
      <c r="Q506" t="n">
        <v>0</v>
      </c>
      <c r="R506" s="2" t="inlineStr"/>
    </row>
    <row r="507" ht="15" customHeight="1">
      <c r="A507" t="inlineStr">
        <is>
          <t>A 20160-2025</t>
        </is>
      </c>
      <c r="B507" s="1" t="n">
        <v>45772.56753472222</v>
      </c>
      <c r="C507" s="1" t="n">
        <v>46133</v>
      </c>
      <c r="D507" t="inlineStr">
        <is>
          <t>JÄMTLANDS LÄN</t>
        </is>
      </c>
      <c r="E507" t="inlineStr">
        <is>
          <t>ÅRE</t>
        </is>
      </c>
      <c r="G507" t="n">
        <v>0.8</v>
      </c>
      <c r="H507" t="n">
        <v>0</v>
      </c>
      <c r="I507" t="n">
        <v>0</v>
      </c>
      <c r="J507" t="n">
        <v>0</v>
      </c>
      <c r="K507" t="n">
        <v>0</v>
      </c>
      <c r="L507" t="n">
        <v>0</v>
      </c>
      <c r="M507" t="n">
        <v>0</v>
      </c>
      <c r="N507" t="n">
        <v>0</v>
      </c>
      <c r="O507" t="n">
        <v>0</v>
      </c>
      <c r="P507" t="n">
        <v>0</v>
      </c>
      <c r="Q507" t="n">
        <v>0</v>
      </c>
      <c r="R507" s="2" t="inlineStr"/>
    </row>
    <row r="508" ht="15" customHeight="1">
      <c r="A508" t="inlineStr">
        <is>
          <t>A 61926-2022</t>
        </is>
      </c>
      <c r="B508" s="1" t="n">
        <v>44917</v>
      </c>
      <c r="C508" s="1" t="n">
        <v>46133</v>
      </c>
      <c r="D508" t="inlineStr">
        <is>
          <t>JÄMTLANDS LÄN</t>
        </is>
      </c>
      <c r="E508" t="inlineStr">
        <is>
          <t>ÅRE</t>
        </is>
      </c>
      <c r="G508" t="n">
        <v>18</v>
      </c>
      <c r="H508" t="n">
        <v>0</v>
      </c>
      <c r="I508" t="n">
        <v>0</v>
      </c>
      <c r="J508" t="n">
        <v>0</v>
      </c>
      <c r="K508" t="n">
        <v>0</v>
      </c>
      <c r="L508" t="n">
        <v>0</v>
      </c>
      <c r="M508" t="n">
        <v>0</v>
      </c>
      <c r="N508" t="n">
        <v>0</v>
      </c>
      <c r="O508" t="n">
        <v>0</v>
      </c>
      <c r="P508" t="n">
        <v>0</v>
      </c>
      <c r="Q508" t="n">
        <v>0</v>
      </c>
      <c r="R508" s="2" t="inlineStr"/>
    </row>
    <row r="509" ht="15" customHeight="1">
      <c r="A509" t="inlineStr">
        <is>
          <t>A 50099-2021</t>
        </is>
      </c>
      <c r="B509" s="1" t="n">
        <v>44456</v>
      </c>
      <c r="C509" s="1" t="n">
        <v>46133</v>
      </c>
      <c r="D509" t="inlineStr">
        <is>
          <t>JÄMTLANDS LÄN</t>
        </is>
      </c>
      <c r="E509" t="inlineStr">
        <is>
          <t>ÅRE</t>
        </is>
      </c>
      <c r="G509" t="n">
        <v>6.2</v>
      </c>
      <c r="H509" t="n">
        <v>0</v>
      </c>
      <c r="I509" t="n">
        <v>0</v>
      </c>
      <c r="J509" t="n">
        <v>0</v>
      </c>
      <c r="K509" t="n">
        <v>0</v>
      </c>
      <c r="L509" t="n">
        <v>0</v>
      </c>
      <c r="M509" t="n">
        <v>0</v>
      </c>
      <c r="N509" t="n">
        <v>0</v>
      </c>
      <c r="O509" t="n">
        <v>0</v>
      </c>
      <c r="P509" t="n">
        <v>0</v>
      </c>
      <c r="Q509" t="n">
        <v>0</v>
      </c>
      <c r="R509" s="2" t="inlineStr"/>
    </row>
    <row r="510" ht="15" customHeight="1">
      <c r="A510" t="inlineStr">
        <is>
          <t>A 41677-2024</t>
        </is>
      </c>
      <c r="B510" s="1" t="n">
        <v>45560.66037037037</v>
      </c>
      <c r="C510" s="1" t="n">
        <v>46133</v>
      </c>
      <c r="D510" t="inlineStr">
        <is>
          <t>JÄMTLANDS LÄN</t>
        </is>
      </c>
      <c r="E510" t="inlineStr">
        <is>
          <t>ÅRE</t>
        </is>
      </c>
      <c r="G510" t="n">
        <v>0.5</v>
      </c>
      <c r="H510" t="n">
        <v>0</v>
      </c>
      <c r="I510" t="n">
        <v>0</v>
      </c>
      <c r="J510" t="n">
        <v>0</v>
      </c>
      <c r="K510" t="n">
        <v>0</v>
      </c>
      <c r="L510" t="n">
        <v>0</v>
      </c>
      <c r="M510" t="n">
        <v>0</v>
      </c>
      <c r="N510" t="n">
        <v>0</v>
      </c>
      <c r="O510" t="n">
        <v>0</v>
      </c>
      <c r="P510" t="n">
        <v>0</v>
      </c>
      <c r="Q510" t="n">
        <v>0</v>
      </c>
      <c r="R510" s="2" t="inlineStr"/>
    </row>
    <row r="511" ht="15" customHeight="1">
      <c r="A511" t="inlineStr">
        <is>
          <t>A 51444-2024</t>
        </is>
      </c>
      <c r="B511" s="1" t="n">
        <v>45604.48304398148</v>
      </c>
      <c r="C511" s="1" t="n">
        <v>46133</v>
      </c>
      <c r="D511" t="inlineStr">
        <is>
          <t>JÄMTLANDS LÄN</t>
        </is>
      </c>
      <c r="E511" t="inlineStr">
        <is>
          <t>ÅRE</t>
        </is>
      </c>
      <c r="G511" t="n">
        <v>2.2</v>
      </c>
      <c r="H511" t="n">
        <v>0</v>
      </c>
      <c r="I511" t="n">
        <v>0</v>
      </c>
      <c r="J511" t="n">
        <v>0</v>
      </c>
      <c r="K511" t="n">
        <v>0</v>
      </c>
      <c r="L511" t="n">
        <v>0</v>
      </c>
      <c r="M511" t="n">
        <v>0</v>
      </c>
      <c r="N511" t="n">
        <v>0</v>
      </c>
      <c r="O511" t="n">
        <v>0</v>
      </c>
      <c r="P511" t="n">
        <v>0</v>
      </c>
      <c r="Q511" t="n">
        <v>0</v>
      </c>
      <c r="R511" s="2" t="inlineStr"/>
    </row>
    <row r="512" ht="15" customHeight="1">
      <c r="A512" t="inlineStr">
        <is>
          <t>A 15480-2024</t>
        </is>
      </c>
      <c r="B512" s="1" t="n">
        <v>45401.49065972222</v>
      </c>
      <c r="C512" s="1" t="n">
        <v>46133</v>
      </c>
      <c r="D512" t="inlineStr">
        <is>
          <t>JÄMTLANDS LÄN</t>
        </is>
      </c>
      <c r="E512" t="inlineStr">
        <is>
          <t>ÅRE</t>
        </is>
      </c>
      <c r="G512" t="n">
        <v>11.8</v>
      </c>
      <c r="H512" t="n">
        <v>0</v>
      </c>
      <c r="I512" t="n">
        <v>0</v>
      </c>
      <c r="J512" t="n">
        <v>0</v>
      </c>
      <c r="K512" t="n">
        <v>0</v>
      </c>
      <c r="L512" t="n">
        <v>0</v>
      </c>
      <c r="M512" t="n">
        <v>0</v>
      </c>
      <c r="N512" t="n">
        <v>0</v>
      </c>
      <c r="O512" t="n">
        <v>0</v>
      </c>
      <c r="P512" t="n">
        <v>0</v>
      </c>
      <c r="Q512" t="n">
        <v>0</v>
      </c>
      <c r="R512" s="2" t="inlineStr"/>
    </row>
    <row r="513" ht="15" customHeight="1">
      <c r="A513" t="inlineStr">
        <is>
          <t>A 53611-2024</t>
        </is>
      </c>
      <c r="B513" s="1" t="n">
        <v>45614.70510416666</v>
      </c>
      <c r="C513" s="1" t="n">
        <v>46133</v>
      </c>
      <c r="D513" t="inlineStr">
        <is>
          <t>JÄMTLANDS LÄN</t>
        </is>
      </c>
      <c r="E513" t="inlineStr">
        <is>
          <t>ÅRE</t>
        </is>
      </c>
      <c r="F513" t="inlineStr">
        <is>
          <t>Övriga Aktiebolag</t>
        </is>
      </c>
      <c r="G513" t="n">
        <v>2.2</v>
      </c>
      <c r="H513" t="n">
        <v>0</v>
      </c>
      <c r="I513" t="n">
        <v>0</v>
      </c>
      <c r="J513" t="n">
        <v>0</v>
      </c>
      <c r="K513" t="n">
        <v>0</v>
      </c>
      <c r="L513" t="n">
        <v>0</v>
      </c>
      <c r="M513" t="n">
        <v>0</v>
      </c>
      <c r="N513" t="n">
        <v>0</v>
      </c>
      <c r="O513" t="n">
        <v>0</v>
      </c>
      <c r="P513" t="n">
        <v>0</v>
      </c>
      <c r="Q513" t="n">
        <v>0</v>
      </c>
      <c r="R513" s="2" t="inlineStr"/>
    </row>
    <row r="514" ht="15" customHeight="1">
      <c r="A514" t="inlineStr">
        <is>
          <t>A 7089-2026</t>
        </is>
      </c>
      <c r="B514" s="1" t="n">
        <v>46058.34428240741</v>
      </c>
      <c r="C514" s="1" t="n">
        <v>46133</v>
      </c>
      <c r="D514" t="inlineStr">
        <is>
          <t>JÄMTLANDS LÄN</t>
        </is>
      </c>
      <c r="E514" t="inlineStr">
        <is>
          <t>ÅRE</t>
        </is>
      </c>
      <c r="G514" t="n">
        <v>3.2</v>
      </c>
      <c r="H514" t="n">
        <v>0</v>
      </c>
      <c r="I514" t="n">
        <v>0</v>
      </c>
      <c r="J514" t="n">
        <v>0</v>
      </c>
      <c r="K514" t="n">
        <v>0</v>
      </c>
      <c r="L514" t="n">
        <v>0</v>
      </c>
      <c r="M514" t="n">
        <v>0</v>
      </c>
      <c r="N514" t="n">
        <v>0</v>
      </c>
      <c r="O514" t="n">
        <v>0</v>
      </c>
      <c r="P514" t="n">
        <v>0</v>
      </c>
      <c r="Q514" t="n">
        <v>0</v>
      </c>
      <c r="R514" s="2" t="inlineStr"/>
    </row>
    <row r="515" ht="15" customHeight="1">
      <c r="A515" t="inlineStr">
        <is>
          <t>A 26032-2023</t>
        </is>
      </c>
      <c r="B515" s="1" t="n">
        <v>45091.31304398148</v>
      </c>
      <c r="C515" s="1" t="n">
        <v>46133</v>
      </c>
      <c r="D515" t="inlineStr">
        <is>
          <t>JÄMTLANDS LÄN</t>
        </is>
      </c>
      <c r="E515" t="inlineStr">
        <is>
          <t>ÅRE</t>
        </is>
      </c>
      <c r="G515" t="n">
        <v>0.5</v>
      </c>
      <c r="H515" t="n">
        <v>0</v>
      </c>
      <c r="I515" t="n">
        <v>0</v>
      </c>
      <c r="J515" t="n">
        <v>0</v>
      </c>
      <c r="K515" t="n">
        <v>0</v>
      </c>
      <c r="L515" t="n">
        <v>0</v>
      </c>
      <c r="M515" t="n">
        <v>0</v>
      </c>
      <c r="N515" t="n">
        <v>0</v>
      </c>
      <c r="O515" t="n">
        <v>0</v>
      </c>
      <c r="P515" t="n">
        <v>0</v>
      </c>
      <c r="Q515" t="n">
        <v>0</v>
      </c>
      <c r="R515" s="2" t="inlineStr"/>
    </row>
    <row r="516" ht="15" customHeight="1">
      <c r="A516" t="inlineStr">
        <is>
          <t>A 26033-2023</t>
        </is>
      </c>
      <c r="B516" s="1" t="n">
        <v>45091.31530092593</v>
      </c>
      <c r="C516" s="1" t="n">
        <v>46133</v>
      </c>
      <c r="D516" t="inlineStr">
        <is>
          <t>JÄMTLANDS LÄN</t>
        </is>
      </c>
      <c r="E516" t="inlineStr">
        <is>
          <t>ÅRE</t>
        </is>
      </c>
      <c r="G516" t="n">
        <v>0.7</v>
      </c>
      <c r="H516" t="n">
        <v>0</v>
      </c>
      <c r="I516" t="n">
        <v>0</v>
      </c>
      <c r="J516" t="n">
        <v>0</v>
      </c>
      <c r="K516" t="n">
        <v>0</v>
      </c>
      <c r="L516" t="n">
        <v>0</v>
      </c>
      <c r="M516" t="n">
        <v>0</v>
      </c>
      <c r="N516" t="n">
        <v>0</v>
      </c>
      <c r="O516" t="n">
        <v>0</v>
      </c>
      <c r="P516" t="n">
        <v>0</v>
      </c>
      <c r="Q516" t="n">
        <v>0</v>
      </c>
      <c r="R516" s="2" t="inlineStr"/>
    </row>
    <row r="517" ht="15" customHeight="1">
      <c r="A517" t="inlineStr">
        <is>
          <t>A 13221-2022</t>
        </is>
      </c>
      <c r="B517" s="1" t="n">
        <v>44644</v>
      </c>
      <c r="C517" s="1" t="n">
        <v>46133</v>
      </c>
      <c r="D517" t="inlineStr">
        <is>
          <t>JÄMTLANDS LÄN</t>
        </is>
      </c>
      <c r="E517" t="inlineStr">
        <is>
          <t>ÅRE</t>
        </is>
      </c>
      <c r="F517" t="inlineStr">
        <is>
          <t>Övriga Aktiebolag</t>
        </is>
      </c>
      <c r="G517" t="n">
        <v>6.6</v>
      </c>
      <c r="H517" t="n">
        <v>0</v>
      </c>
      <c r="I517" t="n">
        <v>0</v>
      </c>
      <c r="J517" t="n">
        <v>0</v>
      </c>
      <c r="K517" t="n">
        <v>0</v>
      </c>
      <c r="L517" t="n">
        <v>0</v>
      </c>
      <c r="M517" t="n">
        <v>0</v>
      </c>
      <c r="N517" t="n">
        <v>0</v>
      </c>
      <c r="O517" t="n">
        <v>0</v>
      </c>
      <c r="P517" t="n">
        <v>0</v>
      </c>
      <c r="Q517" t="n">
        <v>0</v>
      </c>
      <c r="R517" s="2" t="inlineStr"/>
    </row>
    <row r="518" ht="15" customHeight="1">
      <c r="A518" t="inlineStr">
        <is>
          <t>A 39071-2024</t>
        </is>
      </c>
      <c r="B518" s="1" t="n">
        <v>45548.53193287037</v>
      </c>
      <c r="C518" s="1" t="n">
        <v>46133</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59325-2024</t>
        </is>
      </c>
      <c r="B519" s="1" t="n">
        <v>45636</v>
      </c>
      <c r="C519" s="1" t="n">
        <v>46133</v>
      </c>
      <c r="D519" t="inlineStr">
        <is>
          <t>JÄMTLANDS LÄN</t>
        </is>
      </c>
      <c r="E519" t="inlineStr">
        <is>
          <t>ÅRE</t>
        </is>
      </c>
      <c r="G519" t="n">
        <v>0.6</v>
      </c>
      <c r="H519" t="n">
        <v>0</v>
      </c>
      <c r="I519" t="n">
        <v>0</v>
      </c>
      <c r="J519" t="n">
        <v>0</v>
      </c>
      <c r="K519" t="n">
        <v>0</v>
      </c>
      <c r="L519" t="n">
        <v>0</v>
      </c>
      <c r="M519" t="n">
        <v>0</v>
      </c>
      <c r="N519" t="n">
        <v>0</v>
      </c>
      <c r="O519" t="n">
        <v>0</v>
      </c>
      <c r="P519" t="n">
        <v>0</v>
      </c>
      <c r="Q519" t="n">
        <v>0</v>
      </c>
      <c r="R519" s="2" t="inlineStr"/>
    </row>
    <row r="520" ht="15" customHeight="1">
      <c r="A520" t="inlineStr">
        <is>
          <t>A 15367-2026</t>
        </is>
      </c>
      <c r="B520" s="1" t="n">
        <v>46105.82152777778</v>
      </c>
      <c r="C520" s="1" t="n">
        <v>46133</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20804-2024</t>
        </is>
      </c>
      <c r="B521" s="1" t="n">
        <v>45439.30988425926</v>
      </c>
      <c r="C521" s="1" t="n">
        <v>46133</v>
      </c>
      <c r="D521" t="inlineStr">
        <is>
          <t>JÄMTLANDS LÄN</t>
        </is>
      </c>
      <c r="E521" t="inlineStr">
        <is>
          <t>ÅRE</t>
        </is>
      </c>
      <c r="G521" t="n">
        <v>6.4</v>
      </c>
      <c r="H521" t="n">
        <v>0</v>
      </c>
      <c r="I521" t="n">
        <v>0</v>
      </c>
      <c r="J521" t="n">
        <v>0</v>
      </c>
      <c r="K521" t="n">
        <v>0</v>
      </c>
      <c r="L521" t="n">
        <v>0</v>
      </c>
      <c r="M521" t="n">
        <v>0</v>
      </c>
      <c r="N521" t="n">
        <v>0</v>
      </c>
      <c r="O521" t="n">
        <v>0</v>
      </c>
      <c r="P521" t="n">
        <v>0</v>
      </c>
      <c r="Q521" t="n">
        <v>0</v>
      </c>
      <c r="R521" s="2" t="inlineStr"/>
    </row>
    <row r="522" ht="15" customHeight="1">
      <c r="A522" t="inlineStr">
        <is>
          <t>A 12669-2023</t>
        </is>
      </c>
      <c r="B522" s="1" t="n">
        <v>45000</v>
      </c>
      <c r="C522" s="1" t="n">
        <v>46133</v>
      </c>
      <c r="D522" t="inlineStr">
        <is>
          <t>JÄMTLANDS LÄN</t>
        </is>
      </c>
      <c r="E522" t="inlineStr">
        <is>
          <t>ÅRE</t>
        </is>
      </c>
      <c r="F522" t="inlineStr">
        <is>
          <t>Övriga Aktiebolag</t>
        </is>
      </c>
      <c r="G522" t="n">
        <v>2.8</v>
      </c>
      <c r="H522" t="n">
        <v>0</v>
      </c>
      <c r="I522" t="n">
        <v>0</v>
      </c>
      <c r="J522" t="n">
        <v>0</v>
      </c>
      <c r="K522" t="n">
        <v>0</v>
      </c>
      <c r="L522" t="n">
        <v>0</v>
      </c>
      <c r="M522" t="n">
        <v>0</v>
      </c>
      <c r="N522" t="n">
        <v>0</v>
      </c>
      <c r="O522" t="n">
        <v>0</v>
      </c>
      <c r="P522" t="n">
        <v>0</v>
      </c>
      <c r="Q522" t="n">
        <v>0</v>
      </c>
      <c r="R522" s="2" t="inlineStr"/>
    </row>
    <row r="523" ht="15" customHeight="1">
      <c r="A523" t="inlineStr">
        <is>
          <t>A 42876-2025</t>
        </is>
      </c>
      <c r="B523" s="1" t="n">
        <v>45908</v>
      </c>
      <c r="C523" s="1" t="n">
        <v>46133</v>
      </c>
      <c r="D523" t="inlineStr">
        <is>
          <t>JÄMTLANDS LÄN</t>
        </is>
      </c>
      <c r="E523" t="inlineStr">
        <is>
          <t>ÅRE</t>
        </is>
      </c>
      <c r="G523" t="n">
        <v>0.3</v>
      </c>
      <c r="H523" t="n">
        <v>0</v>
      </c>
      <c r="I523" t="n">
        <v>0</v>
      </c>
      <c r="J523" t="n">
        <v>0</v>
      </c>
      <c r="K523" t="n">
        <v>0</v>
      </c>
      <c r="L523" t="n">
        <v>0</v>
      </c>
      <c r="M523" t="n">
        <v>0</v>
      </c>
      <c r="N523" t="n">
        <v>0</v>
      </c>
      <c r="O523" t="n">
        <v>0</v>
      </c>
      <c r="P523" t="n">
        <v>0</v>
      </c>
      <c r="Q523" t="n">
        <v>0</v>
      </c>
      <c r="R523" s="2" t="inlineStr"/>
    </row>
    <row r="524" ht="15" customHeight="1">
      <c r="A524" t="inlineStr">
        <is>
          <t>A 13301-2024</t>
        </is>
      </c>
      <c r="B524" s="1" t="n">
        <v>45386</v>
      </c>
      <c r="C524" s="1" t="n">
        <v>46133</v>
      </c>
      <c r="D524" t="inlineStr">
        <is>
          <t>JÄMTLANDS LÄN</t>
        </is>
      </c>
      <c r="E524" t="inlineStr">
        <is>
          <t>ÅRE</t>
        </is>
      </c>
      <c r="G524" t="n">
        <v>9</v>
      </c>
      <c r="H524" t="n">
        <v>0</v>
      </c>
      <c r="I524" t="n">
        <v>0</v>
      </c>
      <c r="J524" t="n">
        <v>0</v>
      </c>
      <c r="K524" t="n">
        <v>0</v>
      </c>
      <c r="L524" t="n">
        <v>0</v>
      </c>
      <c r="M524" t="n">
        <v>0</v>
      </c>
      <c r="N524" t="n">
        <v>0</v>
      </c>
      <c r="O524" t="n">
        <v>0</v>
      </c>
      <c r="P524" t="n">
        <v>0</v>
      </c>
      <c r="Q524" t="n">
        <v>0</v>
      </c>
      <c r="R524" s="2" t="inlineStr"/>
    </row>
    <row r="525" ht="15" customHeight="1">
      <c r="A525" t="inlineStr">
        <is>
          <t>A 8872-2026</t>
        </is>
      </c>
      <c r="B525" s="1" t="n">
        <v>46066</v>
      </c>
      <c r="C525" s="1" t="n">
        <v>46133</v>
      </c>
      <c r="D525" t="inlineStr">
        <is>
          <t>JÄMTLANDS LÄN</t>
        </is>
      </c>
      <c r="E525" t="inlineStr">
        <is>
          <t>ÅRE</t>
        </is>
      </c>
      <c r="G525" t="n">
        <v>2</v>
      </c>
      <c r="H525" t="n">
        <v>0</v>
      </c>
      <c r="I525" t="n">
        <v>0</v>
      </c>
      <c r="J525" t="n">
        <v>0</v>
      </c>
      <c r="K525" t="n">
        <v>0</v>
      </c>
      <c r="L525" t="n">
        <v>0</v>
      </c>
      <c r="M525" t="n">
        <v>0</v>
      </c>
      <c r="N525" t="n">
        <v>0</v>
      </c>
      <c r="O525" t="n">
        <v>0</v>
      </c>
      <c r="P525" t="n">
        <v>0</v>
      </c>
      <c r="Q525" t="n">
        <v>0</v>
      </c>
      <c r="R525" s="2" t="inlineStr"/>
    </row>
    <row r="526" ht="15" customHeight="1">
      <c r="A526" t="inlineStr">
        <is>
          <t>A 16081-2026</t>
        </is>
      </c>
      <c r="B526" s="1" t="n">
        <v>46108.55716435185</v>
      </c>
      <c r="C526" s="1" t="n">
        <v>46133</v>
      </c>
      <c r="D526" t="inlineStr">
        <is>
          <t>JÄMTLANDS LÄN</t>
        </is>
      </c>
      <c r="E526" t="inlineStr">
        <is>
          <t>ÅRE</t>
        </is>
      </c>
      <c r="G526" t="n">
        <v>76.8</v>
      </c>
      <c r="H526" t="n">
        <v>0</v>
      </c>
      <c r="I526" t="n">
        <v>0</v>
      </c>
      <c r="J526" t="n">
        <v>0</v>
      </c>
      <c r="K526" t="n">
        <v>0</v>
      </c>
      <c r="L526" t="n">
        <v>0</v>
      </c>
      <c r="M526" t="n">
        <v>0</v>
      </c>
      <c r="N526" t="n">
        <v>0</v>
      </c>
      <c r="O526" t="n">
        <v>0</v>
      </c>
      <c r="P526" t="n">
        <v>0</v>
      </c>
      <c r="Q526" t="n">
        <v>0</v>
      </c>
      <c r="R526" s="2" t="inlineStr"/>
    </row>
    <row r="527" ht="15" customHeight="1">
      <c r="A527" t="inlineStr">
        <is>
          <t>A 21897-2021</t>
        </is>
      </c>
      <c r="B527" s="1" t="n">
        <v>44322</v>
      </c>
      <c r="C527" s="1" t="n">
        <v>46133</v>
      </c>
      <c r="D527" t="inlineStr">
        <is>
          <t>JÄMTLANDS LÄN</t>
        </is>
      </c>
      <c r="E527" t="inlineStr">
        <is>
          <t>ÅRE</t>
        </is>
      </c>
      <c r="G527" t="n">
        <v>41.4</v>
      </c>
      <c r="H527" t="n">
        <v>0</v>
      </c>
      <c r="I527" t="n">
        <v>0</v>
      </c>
      <c r="J527" t="n">
        <v>0</v>
      </c>
      <c r="K527" t="n">
        <v>0</v>
      </c>
      <c r="L527" t="n">
        <v>0</v>
      </c>
      <c r="M527" t="n">
        <v>0</v>
      </c>
      <c r="N527" t="n">
        <v>0</v>
      </c>
      <c r="O527" t="n">
        <v>0</v>
      </c>
      <c r="P527" t="n">
        <v>0</v>
      </c>
      <c r="Q527" t="n">
        <v>0</v>
      </c>
      <c r="R527" s="2" t="inlineStr"/>
    </row>
    <row r="528" ht="15" customHeight="1">
      <c r="A528" t="inlineStr">
        <is>
          <t>A 49267-2024</t>
        </is>
      </c>
      <c r="B528" s="1" t="n">
        <v>45595</v>
      </c>
      <c r="C528" s="1" t="n">
        <v>46133</v>
      </c>
      <c r="D528" t="inlineStr">
        <is>
          <t>JÄMTLANDS LÄN</t>
        </is>
      </c>
      <c r="E528" t="inlineStr">
        <is>
          <t>ÅRE</t>
        </is>
      </c>
      <c r="G528" t="n">
        <v>1</v>
      </c>
      <c r="H528" t="n">
        <v>0</v>
      </c>
      <c r="I528" t="n">
        <v>0</v>
      </c>
      <c r="J528" t="n">
        <v>0</v>
      </c>
      <c r="K528" t="n">
        <v>0</v>
      </c>
      <c r="L528" t="n">
        <v>0</v>
      </c>
      <c r="M528" t="n">
        <v>0</v>
      </c>
      <c r="N528" t="n">
        <v>0</v>
      </c>
      <c r="O528" t="n">
        <v>0</v>
      </c>
      <c r="P528" t="n">
        <v>0</v>
      </c>
      <c r="Q528" t="n">
        <v>0</v>
      </c>
      <c r="R528" s="2" t="inlineStr"/>
    </row>
    <row r="529" ht="15" customHeight="1">
      <c r="A529" t="inlineStr">
        <is>
          <t>A 13383-2022</t>
        </is>
      </c>
      <c r="B529" s="1" t="n">
        <v>44637</v>
      </c>
      <c r="C529" s="1" t="n">
        <v>46133</v>
      </c>
      <c r="D529" t="inlineStr">
        <is>
          <t>JÄMTLANDS LÄN</t>
        </is>
      </c>
      <c r="E529" t="inlineStr">
        <is>
          <t>ÅRE</t>
        </is>
      </c>
      <c r="G529" t="n">
        <v>2.2</v>
      </c>
      <c r="H529" t="n">
        <v>0</v>
      </c>
      <c r="I529" t="n">
        <v>0</v>
      </c>
      <c r="J529" t="n">
        <v>0</v>
      </c>
      <c r="K529" t="n">
        <v>0</v>
      </c>
      <c r="L529" t="n">
        <v>0</v>
      </c>
      <c r="M529" t="n">
        <v>0</v>
      </c>
      <c r="N529" t="n">
        <v>0</v>
      </c>
      <c r="O529" t="n">
        <v>0</v>
      </c>
      <c r="P529" t="n">
        <v>0</v>
      </c>
      <c r="Q529" t="n">
        <v>0</v>
      </c>
      <c r="R529" s="2" t="inlineStr"/>
    </row>
    <row r="530" ht="15" customHeight="1">
      <c r="A530" t="inlineStr">
        <is>
          <t>A 30080-2024</t>
        </is>
      </c>
      <c r="B530" s="1" t="n">
        <v>45485</v>
      </c>
      <c r="C530" s="1" t="n">
        <v>46133</v>
      </c>
      <c r="D530" t="inlineStr">
        <is>
          <t>JÄMTLANDS LÄN</t>
        </is>
      </c>
      <c r="E530" t="inlineStr">
        <is>
          <t>ÅRE</t>
        </is>
      </c>
      <c r="G530" t="n">
        <v>24.6</v>
      </c>
      <c r="H530" t="n">
        <v>0</v>
      </c>
      <c r="I530" t="n">
        <v>0</v>
      </c>
      <c r="J530" t="n">
        <v>0</v>
      </c>
      <c r="K530" t="n">
        <v>0</v>
      </c>
      <c r="L530" t="n">
        <v>0</v>
      </c>
      <c r="M530" t="n">
        <v>0</v>
      </c>
      <c r="N530" t="n">
        <v>0</v>
      </c>
      <c r="O530" t="n">
        <v>0</v>
      </c>
      <c r="P530" t="n">
        <v>0</v>
      </c>
      <c r="Q530" t="n">
        <v>0</v>
      </c>
      <c r="R530" s="2" t="inlineStr"/>
    </row>
    <row r="531" ht="15" customHeight="1">
      <c r="A531" t="inlineStr">
        <is>
          <t>A 23805-2024</t>
        </is>
      </c>
      <c r="B531" s="1" t="n">
        <v>45455.44194444444</v>
      </c>
      <c r="C531" s="1" t="n">
        <v>46133</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71043-2021</t>
        </is>
      </c>
      <c r="B532" s="1" t="n">
        <v>44538</v>
      </c>
      <c r="C532" s="1" t="n">
        <v>46133</v>
      </c>
      <c r="D532" t="inlineStr">
        <is>
          <t>JÄMTLANDS LÄN</t>
        </is>
      </c>
      <c r="E532" t="inlineStr">
        <is>
          <t>ÅRE</t>
        </is>
      </c>
      <c r="G532" t="n">
        <v>0.4</v>
      </c>
      <c r="H532" t="n">
        <v>0</v>
      </c>
      <c r="I532" t="n">
        <v>0</v>
      </c>
      <c r="J532" t="n">
        <v>0</v>
      </c>
      <c r="K532" t="n">
        <v>0</v>
      </c>
      <c r="L532" t="n">
        <v>0</v>
      </c>
      <c r="M532" t="n">
        <v>0</v>
      </c>
      <c r="N532" t="n">
        <v>0</v>
      </c>
      <c r="O532" t="n">
        <v>0</v>
      </c>
      <c r="P532" t="n">
        <v>0</v>
      </c>
      <c r="Q532" t="n">
        <v>0</v>
      </c>
      <c r="R532" s="2" t="inlineStr"/>
    </row>
    <row r="533" ht="15" customHeight="1">
      <c r="A533" t="inlineStr">
        <is>
          <t>A 17566-2023</t>
        </is>
      </c>
      <c r="B533" s="1" t="n">
        <v>45034</v>
      </c>
      <c r="C533" s="1" t="n">
        <v>46133</v>
      </c>
      <c r="D533" t="inlineStr">
        <is>
          <t>JÄMTLANDS LÄN</t>
        </is>
      </c>
      <c r="E533" t="inlineStr">
        <is>
          <t>ÅRE</t>
        </is>
      </c>
      <c r="G533" t="n">
        <v>4.8</v>
      </c>
      <c r="H533" t="n">
        <v>0</v>
      </c>
      <c r="I533" t="n">
        <v>0</v>
      </c>
      <c r="J533" t="n">
        <v>0</v>
      </c>
      <c r="K533" t="n">
        <v>0</v>
      </c>
      <c r="L533" t="n">
        <v>0</v>
      </c>
      <c r="M533" t="n">
        <v>0</v>
      </c>
      <c r="N533" t="n">
        <v>0</v>
      </c>
      <c r="O533" t="n">
        <v>0</v>
      </c>
      <c r="P533" t="n">
        <v>0</v>
      </c>
      <c r="Q533" t="n">
        <v>0</v>
      </c>
      <c r="R533" s="2" t="inlineStr"/>
    </row>
    <row r="534" ht="15" customHeight="1">
      <c r="A534" t="inlineStr">
        <is>
          <t>A 54186-2024</t>
        </is>
      </c>
      <c r="B534" s="1" t="n">
        <v>45616</v>
      </c>
      <c r="C534" s="1" t="n">
        <v>46133</v>
      </c>
      <c r="D534" t="inlineStr">
        <is>
          <t>JÄMTLANDS LÄN</t>
        </is>
      </c>
      <c r="E534" t="inlineStr">
        <is>
          <t>ÅRE</t>
        </is>
      </c>
      <c r="G534" t="n">
        <v>2.9</v>
      </c>
      <c r="H534" t="n">
        <v>0</v>
      </c>
      <c r="I534" t="n">
        <v>0</v>
      </c>
      <c r="J534" t="n">
        <v>0</v>
      </c>
      <c r="K534" t="n">
        <v>0</v>
      </c>
      <c r="L534" t="n">
        <v>0</v>
      </c>
      <c r="M534" t="n">
        <v>0</v>
      </c>
      <c r="N534" t="n">
        <v>0</v>
      </c>
      <c r="O534" t="n">
        <v>0</v>
      </c>
      <c r="P534" t="n">
        <v>0</v>
      </c>
      <c r="Q534" t="n">
        <v>0</v>
      </c>
      <c r="R534" s="2" t="inlineStr"/>
    </row>
    <row r="535" ht="15" customHeight="1">
      <c r="A535" t="inlineStr">
        <is>
          <t>A 8443-2023</t>
        </is>
      </c>
      <c r="B535" s="1" t="n">
        <v>44977</v>
      </c>
      <c r="C535" s="1" t="n">
        <v>46133</v>
      </c>
      <c r="D535" t="inlineStr">
        <is>
          <t>JÄMTLANDS LÄN</t>
        </is>
      </c>
      <c r="E535" t="inlineStr">
        <is>
          <t>ÅRE</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47069-2024</t>
        </is>
      </c>
      <c r="B536" s="1" t="n">
        <v>45586.48003472222</v>
      </c>
      <c r="C536" s="1" t="n">
        <v>46133</v>
      </c>
      <c r="D536" t="inlineStr">
        <is>
          <t>JÄMTLANDS LÄN</t>
        </is>
      </c>
      <c r="E536" t="inlineStr">
        <is>
          <t>ÅRE</t>
        </is>
      </c>
      <c r="G536" t="n">
        <v>7.1</v>
      </c>
      <c r="H536" t="n">
        <v>0</v>
      </c>
      <c r="I536" t="n">
        <v>0</v>
      </c>
      <c r="J536" t="n">
        <v>0</v>
      </c>
      <c r="K536" t="n">
        <v>0</v>
      </c>
      <c r="L536" t="n">
        <v>0</v>
      </c>
      <c r="M536" t="n">
        <v>0</v>
      </c>
      <c r="N536" t="n">
        <v>0</v>
      </c>
      <c r="O536" t="n">
        <v>0</v>
      </c>
      <c r="P536" t="n">
        <v>0</v>
      </c>
      <c r="Q536" t="n">
        <v>0</v>
      </c>
      <c r="R536" s="2" t="inlineStr"/>
    </row>
    <row r="537" ht="15" customHeight="1">
      <c r="A537" t="inlineStr">
        <is>
          <t>A 19275-2021</t>
        </is>
      </c>
      <c r="B537" s="1" t="n">
        <v>44309</v>
      </c>
      <c r="C537" s="1" t="n">
        <v>46133</v>
      </c>
      <c r="D537" t="inlineStr">
        <is>
          <t>JÄMTLANDS LÄN</t>
        </is>
      </c>
      <c r="E537" t="inlineStr">
        <is>
          <t>ÅRE</t>
        </is>
      </c>
      <c r="G537" t="n">
        <v>16.4</v>
      </c>
      <c r="H537" t="n">
        <v>0</v>
      </c>
      <c r="I537" t="n">
        <v>0</v>
      </c>
      <c r="J537" t="n">
        <v>0</v>
      </c>
      <c r="K537" t="n">
        <v>0</v>
      </c>
      <c r="L537" t="n">
        <v>0</v>
      </c>
      <c r="M537" t="n">
        <v>0</v>
      </c>
      <c r="N537" t="n">
        <v>0</v>
      </c>
      <c r="O537" t="n">
        <v>0</v>
      </c>
      <c r="P537" t="n">
        <v>0</v>
      </c>
      <c r="Q537" t="n">
        <v>0</v>
      </c>
      <c r="R537" s="2" t="inlineStr"/>
    </row>
    <row r="538" ht="15" customHeight="1">
      <c r="A538" t="inlineStr">
        <is>
          <t>A 30081-2024</t>
        </is>
      </c>
      <c r="B538" s="1" t="n">
        <v>45485</v>
      </c>
      <c r="C538" s="1" t="n">
        <v>46133</v>
      </c>
      <c r="D538" t="inlineStr">
        <is>
          <t>JÄMTLANDS LÄN</t>
        </is>
      </c>
      <c r="E538" t="inlineStr">
        <is>
          <t>ÅRE</t>
        </is>
      </c>
      <c r="G538" t="n">
        <v>17.8</v>
      </c>
      <c r="H538" t="n">
        <v>0</v>
      </c>
      <c r="I538" t="n">
        <v>0</v>
      </c>
      <c r="J538" t="n">
        <v>0</v>
      </c>
      <c r="K538" t="n">
        <v>0</v>
      </c>
      <c r="L538" t="n">
        <v>0</v>
      </c>
      <c r="M538" t="n">
        <v>0</v>
      </c>
      <c r="N538" t="n">
        <v>0</v>
      </c>
      <c r="O538" t="n">
        <v>0</v>
      </c>
      <c r="P538" t="n">
        <v>0</v>
      </c>
      <c r="Q538" t="n">
        <v>0</v>
      </c>
      <c r="R538" s="2" t="inlineStr"/>
    </row>
    <row r="539" ht="15" customHeight="1">
      <c r="A539" t="inlineStr">
        <is>
          <t>A 9766-2026</t>
        </is>
      </c>
      <c r="B539" s="1" t="n">
        <v>46072.56284722222</v>
      </c>
      <c r="C539" s="1" t="n">
        <v>46133</v>
      </c>
      <c r="D539" t="inlineStr">
        <is>
          <t>JÄMTLANDS LÄN</t>
        </is>
      </c>
      <c r="E539" t="inlineStr">
        <is>
          <t>ÅRE</t>
        </is>
      </c>
      <c r="F539" t="inlineStr">
        <is>
          <t>Övriga Aktiebolag</t>
        </is>
      </c>
      <c r="G539" t="n">
        <v>14.1</v>
      </c>
      <c r="H539" t="n">
        <v>0</v>
      </c>
      <c r="I539" t="n">
        <v>0</v>
      </c>
      <c r="J539" t="n">
        <v>0</v>
      </c>
      <c r="K539" t="n">
        <v>0</v>
      </c>
      <c r="L539" t="n">
        <v>0</v>
      </c>
      <c r="M539" t="n">
        <v>0</v>
      </c>
      <c r="N539" t="n">
        <v>0</v>
      </c>
      <c r="O539" t="n">
        <v>0</v>
      </c>
      <c r="P539" t="n">
        <v>0</v>
      </c>
      <c r="Q539" t="n">
        <v>0</v>
      </c>
      <c r="R539" s="2" t="inlineStr"/>
    </row>
    <row r="540" ht="15" customHeight="1">
      <c r="A540" t="inlineStr">
        <is>
          <t>A 3196-2023</t>
        </is>
      </c>
      <c r="B540" s="1" t="n">
        <v>44946</v>
      </c>
      <c r="C540" s="1" t="n">
        <v>46133</v>
      </c>
      <c r="D540" t="inlineStr">
        <is>
          <t>JÄMTLANDS LÄN</t>
        </is>
      </c>
      <c r="E540" t="inlineStr">
        <is>
          <t>ÅRE</t>
        </is>
      </c>
      <c r="G540" t="n">
        <v>5.1</v>
      </c>
      <c r="H540" t="n">
        <v>0</v>
      </c>
      <c r="I540" t="n">
        <v>0</v>
      </c>
      <c r="J540" t="n">
        <v>0</v>
      </c>
      <c r="K540" t="n">
        <v>0</v>
      </c>
      <c r="L540" t="n">
        <v>0</v>
      </c>
      <c r="M540" t="n">
        <v>0</v>
      </c>
      <c r="N540" t="n">
        <v>0</v>
      </c>
      <c r="O540" t="n">
        <v>0</v>
      </c>
      <c r="P540" t="n">
        <v>0</v>
      </c>
      <c r="Q540" t="n">
        <v>0</v>
      </c>
      <c r="R540" s="2" t="inlineStr"/>
    </row>
    <row r="541" ht="15" customHeight="1">
      <c r="A541" t="inlineStr">
        <is>
          <t>A 56736-2023</t>
        </is>
      </c>
      <c r="B541" s="1" t="n">
        <v>45244</v>
      </c>
      <c r="C541" s="1" t="n">
        <v>46133</v>
      </c>
      <c r="D541" t="inlineStr">
        <is>
          <t>JÄMTLANDS LÄN</t>
        </is>
      </c>
      <c r="E541" t="inlineStr">
        <is>
          <t>ÅRE</t>
        </is>
      </c>
      <c r="F541" t="inlineStr">
        <is>
          <t>Övriga Aktiebolag</t>
        </is>
      </c>
      <c r="G541" t="n">
        <v>10.7</v>
      </c>
      <c r="H541" t="n">
        <v>0</v>
      </c>
      <c r="I541" t="n">
        <v>0</v>
      </c>
      <c r="J541" t="n">
        <v>0</v>
      </c>
      <c r="K541" t="n">
        <v>0</v>
      </c>
      <c r="L541" t="n">
        <v>0</v>
      </c>
      <c r="M541" t="n">
        <v>0</v>
      </c>
      <c r="N541" t="n">
        <v>0</v>
      </c>
      <c r="O541" t="n">
        <v>0</v>
      </c>
      <c r="P541" t="n">
        <v>0</v>
      </c>
      <c r="Q541" t="n">
        <v>0</v>
      </c>
      <c r="R541" s="2" t="inlineStr"/>
    </row>
    <row r="542" ht="15" customHeight="1">
      <c r="A542" t="inlineStr">
        <is>
          <t>A 51317-2023</t>
        </is>
      </c>
      <c r="B542" s="1" t="n">
        <v>45219.57061342592</v>
      </c>
      <c r="C542" s="1" t="n">
        <v>46133</v>
      </c>
      <c r="D542" t="inlineStr">
        <is>
          <t>JÄMTLANDS LÄN</t>
        </is>
      </c>
      <c r="E542" t="inlineStr">
        <is>
          <t>ÅRE</t>
        </is>
      </c>
      <c r="G542" t="n">
        <v>2.9</v>
      </c>
      <c r="H542" t="n">
        <v>0</v>
      </c>
      <c r="I542" t="n">
        <v>0</v>
      </c>
      <c r="J542" t="n">
        <v>0</v>
      </c>
      <c r="K542" t="n">
        <v>0</v>
      </c>
      <c r="L542" t="n">
        <v>0</v>
      </c>
      <c r="M542" t="n">
        <v>0</v>
      </c>
      <c r="N542" t="n">
        <v>0</v>
      </c>
      <c r="O542" t="n">
        <v>0</v>
      </c>
      <c r="P542" t="n">
        <v>0</v>
      </c>
      <c r="Q542" t="n">
        <v>0</v>
      </c>
      <c r="R542" s="2" t="inlineStr"/>
    </row>
    <row r="543" ht="15" customHeight="1">
      <c r="A543" t="inlineStr">
        <is>
          <t>A 15482-2024</t>
        </is>
      </c>
      <c r="B543" s="1" t="n">
        <v>45401.49361111111</v>
      </c>
      <c r="C543" s="1" t="n">
        <v>46133</v>
      </c>
      <c r="D543" t="inlineStr">
        <is>
          <t>JÄMTLANDS LÄN</t>
        </is>
      </c>
      <c r="E543" t="inlineStr">
        <is>
          <t>ÅRE</t>
        </is>
      </c>
      <c r="G543" t="n">
        <v>1</v>
      </c>
      <c r="H543" t="n">
        <v>0</v>
      </c>
      <c r="I543" t="n">
        <v>0</v>
      </c>
      <c r="J543" t="n">
        <v>0</v>
      </c>
      <c r="K543" t="n">
        <v>0</v>
      </c>
      <c r="L543" t="n">
        <v>0</v>
      </c>
      <c r="M543" t="n">
        <v>0</v>
      </c>
      <c r="N543" t="n">
        <v>0</v>
      </c>
      <c r="O543" t="n">
        <v>0</v>
      </c>
      <c r="P543" t="n">
        <v>0</v>
      </c>
      <c r="Q543" t="n">
        <v>0</v>
      </c>
      <c r="R543" s="2" t="inlineStr"/>
    </row>
    <row r="544" ht="15" customHeight="1">
      <c r="A544" t="inlineStr">
        <is>
          <t>A 73800-2021</t>
        </is>
      </c>
      <c r="B544" s="1" t="n">
        <v>44552</v>
      </c>
      <c r="C544" s="1" t="n">
        <v>46133</v>
      </c>
      <c r="D544" t="inlineStr">
        <is>
          <t>JÄMTLANDS LÄN</t>
        </is>
      </c>
      <c r="E544" t="inlineStr">
        <is>
          <t>ÅRE</t>
        </is>
      </c>
      <c r="G544" t="n">
        <v>8.6</v>
      </c>
      <c r="H544" t="n">
        <v>0</v>
      </c>
      <c r="I544" t="n">
        <v>0</v>
      </c>
      <c r="J544" t="n">
        <v>0</v>
      </c>
      <c r="K544" t="n">
        <v>0</v>
      </c>
      <c r="L544" t="n">
        <v>0</v>
      </c>
      <c r="M544" t="n">
        <v>0</v>
      </c>
      <c r="N544" t="n">
        <v>0</v>
      </c>
      <c r="O544" t="n">
        <v>0</v>
      </c>
      <c r="P544" t="n">
        <v>0</v>
      </c>
      <c r="Q544" t="n">
        <v>0</v>
      </c>
      <c r="R544" s="2" t="inlineStr"/>
    </row>
    <row r="545" ht="15" customHeight="1">
      <c r="A545" t="inlineStr">
        <is>
          <t>A 33003-2022</t>
        </is>
      </c>
      <c r="B545" s="1" t="n">
        <v>44784</v>
      </c>
      <c r="C545" s="1" t="n">
        <v>46133</v>
      </c>
      <c r="D545" t="inlineStr">
        <is>
          <t>JÄMTLANDS LÄN</t>
        </is>
      </c>
      <c r="E545" t="inlineStr">
        <is>
          <t>ÅRE</t>
        </is>
      </c>
      <c r="G545" t="n">
        <v>6.1</v>
      </c>
      <c r="H545" t="n">
        <v>0</v>
      </c>
      <c r="I545" t="n">
        <v>0</v>
      </c>
      <c r="J545" t="n">
        <v>0</v>
      </c>
      <c r="K545" t="n">
        <v>0</v>
      </c>
      <c r="L545" t="n">
        <v>0</v>
      </c>
      <c r="M545" t="n">
        <v>0</v>
      </c>
      <c r="N545" t="n">
        <v>0</v>
      </c>
      <c r="O545" t="n">
        <v>0</v>
      </c>
      <c r="P545" t="n">
        <v>0</v>
      </c>
      <c r="Q545" t="n">
        <v>0</v>
      </c>
      <c r="R545" s="2" t="inlineStr"/>
    </row>
    <row r="546" ht="15" customHeight="1">
      <c r="A546" t="inlineStr">
        <is>
          <t>A 10957-2026</t>
        </is>
      </c>
      <c r="B546" s="1" t="n">
        <v>46079.40486111111</v>
      </c>
      <c r="C546" s="1" t="n">
        <v>46133</v>
      </c>
      <c r="D546" t="inlineStr">
        <is>
          <t>JÄMTLANDS LÄN</t>
        </is>
      </c>
      <c r="E546" t="inlineStr">
        <is>
          <t>ÅRE</t>
        </is>
      </c>
      <c r="G546" t="n">
        <v>1</v>
      </c>
      <c r="H546" t="n">
        <v>0</v>
      </c>
      <c r="I546" t="n">
        <v>0</v>
      </c>
      <c r="J546" t="n">
        <v>0</v>
      </c>
      <c r="K546" t="n">
        <v>0</v>
      </c>
      <c r="L546" t="n">
        <v>0</v>
      </c>
      <c r="M546" t="n">
        <v>0</v>
      </c>
      <c r="N546" t="n">
        <v>0</v>
      </c>
      <c r="O546" t="n">
        <v>0</v>
      </c>
      <c r="P546" t="n">
        <v>0</v>
      </c>
      <c r="Q546" t="n">
        <v>0</v>
      </c>
      <c r="R546" s="2" t="inlineStr"/>
    </row>
    <row r="547" ht="15" customHeight="1">
      <c r="A547" t="inlineStr">
        <is>
          <t>A 32758-2022</t>
        </is>
      </c>
      <c r="B547" s="1" t="n">
        <v>44783</v>
      </c>
      <c r="C547" s="1" t="n">
        <v>46133</v>
      </c>
      <c r="D547" t="inlineStr">
        <is>
          <t>JÄMTLANDS LÄN</t>
        </is>
      </c>
      <c r="E547" t="inlineStr">
        <is>
          <t>ÅRE</t>
        </is>
      </c>
      <c r="G547" t="n">
        <v>8.4</v>
      </c>
      <c r="H547" t="n">
        <v>0</v>
      </c>
      <c r="I547" t="n">
        <v>0</v>
      </c>
      <c r="J547" t="n">
        <v>0</v>
      </c>
      <c r="K547" t="n">
        <v>0</v>
      </c>
      <c r="L547" t="n">
        <v>0</v>
      </c>
      <c r="M547" t="n">
        <v>0</v>
      </c>
      <c r="N547" t="n">
        <v>0</v>
      </c>
      <c r="O547" t="n">
        <v>0</v>
      </c>
      <c r="P547" t="n">
        <v>0</v>
      </c>
      <c r="Q547" t="n">
        <v>0</v>
      </c>
      <c r="R547" s="2" t="inlineStr"/>
    </row>
    <row r="548" ht="15" customHeight="1">
      <c r="A548" t="inlineStr">
        <is>
          <t>A 33239-2024</t>
        </is>
      </c>
      <c r="B548" s="1" t="n">
        <v>45518.59618055556</v>
      </c>
      <c r="C548" s="1" t="n">
        <v>46133</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39195-2024</t>
        </is>
      </c>
      <c r="B549" s="1" t="n">
        <v>45548.6934837963</v>
      </c>
      <c r="C549" s="1" t="n">
        <v>46133</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39742-2025</t>
        </is>
      </c>
      <c r="B550" s="1" t="n">
        <v>45891</v>
      </c>
      <c r="C550" s="1" t="n">
        <v>46133</v>
      </c>
      <c r="D550" t="inlineStr">
        <is>
          <t>JÄMTLANDS LÄN</t>
        </is>
      </c>
      <c r="E550" t="inlineStr">
        <is>
          <t>ÅRE</t>
        </is>
      </c>
      <c r="F550" t="inlineStr">
        <is>
          <t>Övriga statliga verk och myndigheter</t>
        </is>
      </c>
      <c r="G550" t="n">
        <v>6.2</v>
      </c>
      <c r="H550" t="n">
        <v>0</v>
      </c>
      <c r="I550" t="n">
        <v>0</v>
      </c>
      <c r="J550" t="n">
        <v>0</v>
      </c>
      <c r="K550" t="n">
        <v>0</v>
      </c>
      <c r="L550" t="n">
        <v>0</v>
      </c>
      <c r="M550" t="n">
        <v>0</v>
      </c>
      <c r="N550" t="n">
        <v>0</v>
      </c>
      <c r="O550" t="n">
        <v>0</v>
      </c>
      <c r="P550" t="n">
        <v>0</v>
      </c>
      <c r="Q550" t="n">
        <v>0</v>
      </c>
      <c r="R550" s="2" t="inlineStr"/>
    </row>
    <row r="551" ht="15" customHeight="1">
      <c r="A551" t="inlineStr">
        <is>
          <t>A 13082-2025</t>
        </is>
      </c>
      <c r="B551" s="1" t="n">
        <v>45734.62666666666</v>
      </c>
      <c r="C551" s="1" t="n">
        <v>46133</v>
      </c>
      <c r="D551" t="inlineStr">
        <is>
          <t>JÄMTLANDS LÄN</t>
        </is>
      </c>
      <c r="E551" t="inlineStr">
        <is>
          <t>ÅRE</t>
        </is>
      </c>
      <c r="G551" t="n">
        <v>3.5</v>
      </c>
      <c r="H551" t="n">
        <v>0</v>
      </c>
      <c r="I551" t="n">
        <v>0</v>
      </c>
      <c r="J551" t="n">
        <v>0</v>
      </c>
      <c r="K551" t="n">
        <v>0</v>
      </c>
      <c r="L551" t="n">
        <v>0</v>
      </c>
      <c r="M551" t="n">
        <v>0</v>
      </c>
      <c r="N551" t="n">
        <v>0</v>
      </c>
      <c r="O551" t="n">
        <v>0</v>
      </c>
      <c r="P551" t="n">
        <v>0</v>
      </c>
      <c r="Q551" t="n">
        <v>0</v>
      </c>
      <c r="R551" s="2" t="inlineStr"/>
    </row>
    <row r="552" ht="15" customHeight="1">
      <c r="A552" t="inlineStr">
        <is>
          <t>A 54225-2025</t>
        </is>
      </c>
      <c r="B552" s="1" t="n">
        <v>45964.60839120371</v>
      </c>
      <c r="C552" s="1" t="n">
        <v>46133</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51183-2025</t>
        </is>
      </c>
      <c r="B553" s="1" t="n">
        <v>45947.62087962963</v>
      </c>
      <c r="C553" s="1" t="n">
        <v>46133</v>
      </c>
      <c r="D553" t="inlineStr">
        <is>
          <t>JÄMTLANDS LÄN</t>
        </is>
      </c>
      <c r="E553" t="inlineStr">
        <is>
          <t>ÅRE</t>
        </is>
      </c>
      <c r="F553" t="inlineStr">
        <is>
          <t>Övriga statliga verk och myndigheter</t>
        </is>
      </c>
      <c r="G553" t="n">
        <v>2</v>
      </c>
      <c r="H553" t="n">
        <v>0</v>
      </c>
      <c r="I553" t="n">
        <v>0</v>
      </c>
      <c r="J553" t="n">
        <v>0</v>
      </c>
      <c r="K553" t="n">
        <v>0</v>
      </c>
      <c r="L553" t="n">
        <v>0</v>
      </c>
      <c r="M553" t="n">
        <v>0</v>
      </c>
      <c r="N553" t="n">
        <v>0</v>
      </c>
      <c r="O553" t="n">
        <v>0</v>
      </c>
      <c r="P553" t="n">
        <v>0</v>
      </c>
      <c r="Q553" t="n">
        <v>0</v>
      </c>
      <c r="R553" s="2" t="inlineStr"/>
    </row>
    <row r="554" ht="15" customHeight="1">
      <c r="A554" t="inlineStr">
        <is>
          <t>A 12177-2025</t>
        </is>
      </c>
      <c r="B554" s="1" t="n">
        <v>45729.45119212963</v>
      </c>
      <c r="C554" s="1" t="n">
        <v>46133</v>
      </c>
      <c r="D554" t="inlineStr">
        <is>
          <t>JÄMTLANDS LÄN</t>
        </is>
      </c>
      <c r="E554" t="inlineStr">
        <is>
          <t>ÅRE</t>
        </is>
      </c>
      <c r="F554" t="inlineStr">
        <is>
          <t>Övriga Aktiebolag</t>
        </is>
      </c>
      <c r="G554" t="n">
        <v>13.2</v>
      </c>
      <c r="H554" t="n">
        <v>0</v>
      </c>
      <c r="I554" t="n">
        <v>0</v>
      </c>
      <c r="J554" t="n">
        <v>0</v>
      </c>
      <c r="K554" t="n">
        <v>0</v>
      </c>
      <c r="L554" t="n">
        <v>0</v>
      </c>
      <c r="M554" t="n">
        <v>0</v>
      </c>
      <c r="N554" t="n">
        <v>0</v>
      </c>
      <c r="O554" t="n">
        <v>0</v>
      </c>
      <c r="P554" t="n">
        <v>0</v>
      </c>
      <c r="Q554" t="n">
        <v>0</v>
      </c>
      <c r="R554" s="2" t="inlineStr"/>
    </row>
    <row r="555" ht="15" customHeight="1">
      <c r="A555" t="inlineStr">
        <is>
          <t>A 39115-2025</t>
        </is>
      </c>
      <c r="B555" s="1" t="n">
        <v>45888</v>
      </c>
      <c r="C555" s="1" t="n">
        <v>46133</v>
      </c>
      <c r="D555" t="inlineStr">
        <is>
          <t>JÄMTLANDS LÄN</t>
        </is>
      </c>
      <c r="E555" t="inlineStr">
        <is>
          <t>ÅRE</t>
        </is>
      </c>
      <c r="F555" t="inlineStr">
        <is>
          <t>Övriga statliga verk och myndigheter</t>
        </is>
      </c>
      <c r="G555" t="n">
        <v>11.4</v>
      </c>
      <c r="H555" t="n">
        <v>0</v>
      </c>
      <c r="I555" t="n">
        <v>0</v>
      </c>
      <c r="J555" t="n">
        <v>0</v>
      </c>
      <c r="K555" t="n">
        <v>0</v>
      </c>
      <c r="L555" t="n">
        <v>0</v>
      </c>
      <c r="M555" t="n">
        <v>0</v>
      </c>
      <c r="N555" t="n">
        <v>0</v>
      </c>
      <c r="O555" t="n">
        <v>0</v>
      </c>
      <c r="P555" t="n">
        <v>0</v>
      </c>
      <c r="Q555" t="n">
        <v>0</v>
      </c>
      <c r="R555" s="2" t="inlineStr"/>
    </row>
    <row r="556" ht="15" customHeight="1">
      <c r="A556" t="inlineStr">
        <is>
          <t>A 5923-2022</t>
        </is>
      </c>
      <c r="B556" s="1" t="n">
        <v>44598.64403935185</v>
      </c>
      <c r="C556" s="1" t="n">
        <v>46133</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8576-2024</t>
        </is>
      </c>
      <c r="B557" s="1" t="n">
        <v>45355</v>
      </c>
      <c r="C557" s="1" t="n">
        <v>46133</v>
      </c>
      <c r="D557" t="inlineStr">
        <is>
          <t>JÄMTLANDS LÄN</t>
        </is>
      </c>
      <c r="E557" t="inlineStr">
        <is>
          <t>ÅRE</t>
        </is>
      </c>
      <c r="G557" t="n">
        <v>21.7</v>
      </c>
      <c r="H557" t="n">
        <v>0</v>
      </c>
      <c r="I557" t="n">
        <v>0</v>
      </c>
      <c r="J557" t="n">
        <v>0</v>
      </c>
      <c r="K557" t="n">
        <v>0</v>
      </c>
      <c r="L557" t="n">
        <v>0</v>
      </c>
      <c r="M557" t="n">
        <v>0</v>
      </c>
      <c r="N557" t="n">
        <v>0</v>
      </c>
      <c r="O557" t="n">
        <v>0</v>
      </c>
      <c r="P557" t="n">
        <v>0</v>
      </c>
      <c r="Q557" t="n">
        <v>0</v>
      </c>
      <c r="R557" s="2" t="inlineStr"/>
    </row>
    <row r="558" ht="15" customHeight="1">
      <c r="A558" t="inlineStr">
        <is>
          <t>A 61109-2025</t>
        </is>
      </c>
      <c r="B558" s="1" t="n">
        <v>46000.45017361111</v>
      </c>
      <c r="C558" s="1" t="n">
        <v>46133</v>
      </c>
      <c r="D558" t="inlineStr">
        <is>
          <t>JÄMTLANDS LÄN</t>
        </is>
      </c>
      <c r="E558" t="inlineStr">
        <is>
          <t>ÅRE</t>
        </is>
      </c>
      <c r="G558" t="n">
        <v>2.7</v>
      </c>
      <c r="H558" t="n">
        <v>0</v>
      </c>
      <c r="I558" t="n">
        <v>0</v>
      </c>
      <c r="J558" t="n">
        <v>0</v>
      </c>
      <c r="K558" t="n">
        <v>0</v>
      </c>
      <c r="L558" t="n">
        <v>0</v>
      </c>
      <c r="M558" t="n">
        <v>0</v>
      </c>
      <c r="N558" t="n">
        <v>0</v>
      </c>
      <c r="O558" t="n">
        <v>0</v>
      </c>
      <c r="P558" t="n">
        <v>0</v>
      </c>
      <c r="Q558" t="n">
        <v>0</v>
      </c>
      <c r="R558" s="2" t="inlineStr"/>
    </row>
    <row r="559" ht="15" customHeight="1">
      <c r="A559" t="inlineStr">
        <is>
          <t>A 8788-2025</t>
        </is>
      </c>
      <c r="B559" s="1" t="n">
        <v>45712</v>
      </c>
      <c r="C559" s="1" t="n">
        <v>46133</v>
      </c>
      <c r="D559" t="inlineStr">
        <is>
          <t>JÄMTLANDS LÄN</t>
        </is>
      </c>
      <c r="E559" t="inlineStr">
        <is>
          <t>ÅRE</t>
        </is>
      </c>
      <c r="G559" t="n">
        <v>2.7</v>
      </c>
      <c r="H559" t="n">
        <v>0</v>
      </c>
      <c r="I559" t="n">
        <v>0</v>
      </c>
      <c r="J559" t="n">
        <v>0</v>
      </c>
      <c r="K559" t="n">
        <v>0</v>
      </c>
      <c r="L559" t="n">
        <v>0</v>
      </c>
      <c r="M559" t="n">
        <v>0</v>
      </c>
      <c r="N559" t="n">
        <v>0</v>
      </c>
      <c r="O559" t="n">
        <v>0</v>
      </c>
      <c r="P559" t="n">
        <v>0</v>
      </c>
      <c r="Q559" t="n">
        <v>0</v>
      </c>
      <c r="R559" s="2" t="inlineStr"/>
    </row>
    <row r="560" ht="15" customHeight="1">
      <c r="A560" t="inlineStr">
        <is>
          <t>A 11439-2026</t>
        </is>
      </c>
      <c r="B560" s="1" t="n">
        <v>46083.51054398148</v>
      </c>
      <c r="C560" s="1" t="n">
        <v>46133</v>
      </c>
      <c r="D560" t="inlineStr">
        <is>
          <t>JÄMTLANDS LÄN</t>
        </is>
      </c>
      <c r="E560" t="inlineStr">
        <is>
          <t>ÅRE</t>
        </is>
      </c>
      <c r="G560" t="n">
        <v>2.7</v>
      </c>
      <c r="H560" t="n">
        <v>0</v>
      </c>
      <c r="I560" t="n">
        <v>0</v>
      </c>
      <c r="J560" t="n">
        <v>0</v>
      </c>
      <c r="K560" t="n">
        <v>0</v>
      </c>
      <c r="L560" t="n">
        <v>0</v>
      </c>
      <c r="M560" t="n">
        <v>0</v>
      </c>
      <c r="N560" t="n">
        <v>0</v>
      </c>
      <c r="O560" t="n">
        <v>0</v>
      </c>
      <c r="P560" t="n">
        <v>0</v>
      </c>
      <c r="Q560" t="n">
        <v>0</v>
      </c>
      <c r="R560" s="2" t="inlineStr"/>
    </row>
    <row r="561" ht="15" customHeight="1">
      <c r="A561" t="inlineStr">
        <is>
          <t>A 39744-2025</t>
        </is>
      </c>
      <c r="B561" s="1" t="n">
        <v>45891</v>
      </c>
      <c r="C561" s="1" t="n">
        <v>46133</v>
      </c>
      <c r="D561" t="inlineStr">
        <is>
          <t>JÄMTLANDS LÄN</t>
        </is>
      </c>
      <c r="E561" t="inlineStr">
        <is>
          <t>ÅRE</t>
        </is>
      </c>
      <c r="F561" t="inlineStr">
        <is>
          <t>Övriga statliga verk och myndigheter</t>
        </is>
      </c>
      <c r="G561" t="n">
        <v>14.4</v>
      </c>
      <c r="H561" t="n">
        <v>0</v>
      </c>
      <c r="I561" t="n">
        <v>0</v>
      </c>
      <c r="J561" t="n">
        <v>0</v>
      </c>
      <c r="K561" t="n">
        <v>0</v>
      </c>
      <c r="L561" t="n">
        <v>0</v>
      </c>
      <c r="M561" t="n">
        <v>0</v>
      </c>
      <c r="N561" t="n">
        <v>0</v>
      </c>
      <c r="O561" t="n">
        <v>0</v>
      </c>
      <c r="P561" t="n">
        <v>0</v>
      </c>
      <c r="Q561" t="n">
        <v>0</v>
      </c>
      <c r="R561" s="2" t="inlineStr"/>
    </row>
    <row r="562" ht="15" customHeight="1">
      <c r="A562" t="inlineStr">
        <is>
          <t>A 13559-2025</t>
        </is>
      </c>
      <c r="B562" s="1" t="n">
        <v>45736</v>
      </c>
      <c r="C562" s="1" t="n">
        <v>46133</v>
      </c>
      <c r="D562" t="inlineStr">
        <is>
          <t>JÄMTLANDS LÄN</t>
        </is>
      </c>
      <c r="E562" t="inlineStr">
        <is>
          <t>ÅRE</t>
        </is>
      </c>
      <c r="F562" t="inlineStr">
        <is>
          <t>Övriga statliga verk och myndigheter</t>
        </is>
      </c>
      <c r="G562" t="n">
        <v>0.4</v>
      </c>
      <c r="H562" t="n">
        <v>0</v>
      </c>
      <c r="I562" t="n">
        <v>0</v>
      </c>
      <c r="J562" t="n">
        <v>0</v>
      </c>
      <c r="K562" t="n">
        <v>0</v>
      </c>
      <c r="L562" t="n">
        <v>0</v>
      </c>
      <c r="M562" t="n">
        <v>0</v>
      </c>
      <c r="N562" t="n">
        <v>0</v>
      </c>
      <c r="O562" t="n">
        <v>0</v>
      </c>
      <c r="P562" t="n">
        <v>0</v>
      </c>
      <c r="Q562" t="n">
        <v>0</v>
      </c>
      <c r="R562" s="2" t="inlineStr"/>
    </row>
    <row r="563" ht="15" customHeight="1">
      <c r="A563" t="inlineStr">
        <is>
          <t>A 13561-2025</t>
        </is>
      </c>
      <c r="B563" s="1" t="n">
        <v>45736</v>
      </c>
      <c r="C563" s="1" t="n">
        <v>46133</v>
      </c>
      <c r="D563" t="inlineStr">
        <is>
          <t>JÄMTLANDS LÄN</t>
        </is>
      </c>
      <c r="E563" t="inlineStr">
        <is>
          <t>ÅRE</t>
        </is>
      </c>
      <c r="F563" t="inlineStr">
        <is>
          <t>Övriga statliga verk och myndigheter</t>
        </is>
      </c>
      <c r="G563" t="n">
        <v>3.8</v>
      </c>
      <c r="H563" t="n">
        <v>0</v>
      </c>
      <c r="I563" t="n">
        <v>0</v>
      </c>
      <c r="J563" t="n">
        <v>0</v>
      </c>
      <c r="K563" t="n">
        <v>0</v>
      </c>
      <c r="L563" t="n">
        <v>0</v>
      </c>
      <c r="M563" t="n">
        <v>0</v>
      </c>
      <c r="N563" t="n">
        <v>0</v>
      </c>
      <c r="O563" t="n">
        <v>0</v>
      </c>
      <c r="P563" t="n">
        <v>0</v>
      </c>
      <c r="Q563" t="n">
        <v>0</v>
      </c>
      <c r="R563" s="2" t="inlineStr"/>
    </row>
    <row r="564" ht="15" customHeight="1">
      <c r="A564" t="inlineStr">
        <is>
          <t>A 11436-2026</t>
        </is>
      </c>
      <c r="B564" s="1" t="n">
        <v>46083.50047453704</v>
      </c>
      <c r="C564" s="1" t="n">
        <v>46133</v>
      </c>
      <c r="D564" t="inlineStr">
        <is>
          <t>JÄMTLANDS LÄN</t>
        </is>
      </c>
      <c r="E564" t="inlineStr">
        <is>
          <t>ÅRE</t>
        </is>
      </c>
      <c r="G564" t="n">
        <v>4.3</v>
      </c>
      <c r="H564" t="n">
        <v>0</v>
      </c>
      <c r="I564" t="n">
        <v>0</v>
      </c>
      <c r="J564" t="n">
        <v>0</v>
      </c>
      <c r="K564" t="n">
        <v>0</v>
      </c>
      <c r="L564" t="n">
        <v>0</v>
      </c>
      <c r="M564" t="n">
        <v>0</v>
      </c>
      <c r="N564" t="n">
        <v>0</v>
      </c>
      <c r="O564" t="n">
        <v>0</v>
      </c>
      <c r="P564" t="n">
        <v>0</v>
      </c>
      <c r="Q564" t="n">
        <v>0</v>
      </c>
      <c r="R564" s="2" t="inlineStr"/>
    </row>
    <row r="565" ht="15" customHeight="1">
      <c r="A565" t="inlineStr">
        <is>
          <t>A 39202-2025</t>
        </is>
      </c>
      <c r="B565" s="1" t="n">
        <v>45888.72116898148</v>
      </c>
      <c r="C565" s="1" t="n">
        <v>46133</v>
      </c>
      <c r="D565" t="inlineStr">
        <is>
          <t>JÄMTLANDS LÄN</t>
        </is>
      </c>
      <c r="E565" t="inlineStr">
        <is>
          <t>ÅRE</t>
        </is>
      </c>
      <c r="G565" t="n">
        <v>4.4</v>
      </c>
      <c r="H565" t="n">
        <v>0</v>
      </c>
      <c r="I565" t="n">
        <v>0</v>
      </c>
      <c r="J565" t="n">
        <v>0</v>
      </c>
      <c r="K565" t="n">
        <v>0</v>
      </c>
      <c r="L565" t="n">
        <v>0</v>
      </c>
      <c r="M565" t="n">
        <v>0</v>
      </c>
      <c r="N565" t="n">
        <v>0</v>
      </c>
      <c r="O565" t="n">
        <v>0</v>
      </c>
      <c r="P565" t="n">
        <v>0</v>
      </c>
      <c r="Q565" t="n">
        <v>0</v>
      </c>
      <c r="R565" s="2" t="inlineStr"/>
    </row>
    <row r="566" ht="15" customHeight="1">
      <c r="A566" t="inlineStr">
        <is>
          <t>A 32210-2022</t>
        </is>
      </c>
      <c r="B566" s="1" t="n">
        <v>44781</v>
      </c>
      <c r="C566" s="1" t="n">
        <v>46133</v>
      </c>
      <c r="D566" t="inlineStr">
        <is>
          <t>JÄMTLANDS LÄN</t>
        </is>
      </c>
      <c r="E566" t="inlineStr">
        <is>
          <t>ÅRE</t>
        </is>
      </c>
      <c r="G566" t="n">
        <v>17.3</v>
      </c>
      <c r="H566" t="n">
        <v>0</v>
      </c>
      <c r="I566" t="n">
        <v>0</v>
      </c>
      <c r="J566" t="n">
        <v>0</v>
      </c>
      <c r="K566" t="n">
        <v>0</v>
      </c>
      <c r="L566" t="n">
        <v>0</v>
      </c>
      <c r="M566" t="n">
        <v>0</v>
      </c>
      <c r="N566" t="n">
        <v>0</v>
      </c>
      <c r="O566" t="n">
        <v>0</v>
      </c>
      <c r="P566" t="n">
        <v>0</v>
      </c>
      <c r="Q566" t="n">
        <v>0</v>
      </c>
      <c r="R566" s="2" t="inlineStr"/>
    </row>
    <row r="567" ht="15" customHeight="1">
      <c r="A567" t="inlineStr">
        <is>
          <t>A 3147-2023</t>
        </is>
      </c>
      <c r="B567" s="1" t="n">
        <v>44946</v>
      </c>
      <c r="C567" s="1" t="n">
        <v>46133</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18748-2026</t>
        </is>
      </c>
      <c r="B568" s="1" t="n">
        <v>46128.53486111111</v>
      </c>
      <c r="C568" s="1" t="n">
        <v>46133</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18805-2026</t>
        </is>
      </c>
      <c r="B569" s="1" t="n">
        <v>46128.62528935185</v>
      </c>
      <c r="C569" s="1" t="n">
        <v>46133</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56576-2022</t>
        </is>
      </c>
      <c r="B570" s="1" t="n">
        <v>44893</v>
      </c>
      <c r="C570" s="1" t="n">
        <v>46133</v>
      </c>
      <c r="D570" t="inlineStr">
        <is>
          <t>JÄMTLANDS LÄN</t>
        </is>
      </c>
      <c r="E570" t="inlineStr">
        <is>
          <t>ÅRE</t>
        </is>
      </c>
      <c r="F570" t="inlineStr">
        <is>
          <t>Övriga Aktiebolag</t>
        </is>
      </c>
      <c r="G570" t="n">
        <v>1.1</v>
      </c>
      <c r="H570" t="n">
        <v>0</v>
      </c>
      <c r="I570" t="n">
        <v>0</v>
      </c>
      <c r="J570" t="n">
        <v>0</v>
      </c>
      <c r="K570" t="n">
        <v>0</v>
      </c>
      <c r="L570" t="n">
        <v>0</v>
      </c>
      <c r="M570" t="n">
        <v>0</v>
      </c>
      <c r="N570" t="n">
        <v>0</v>
      </c>
      <c r="O570" t="n">
        <v>0</v>
      </c>
      <c r="P570" t="n">
        <v>0</v>
      </c>
      <c r="Q570" t="n">
        <v>0</v>
      </c>
      <c r="R570" s="2" t="inlineStr"/>
    </row>
    <row r="571" ht="15" customHeight="1">
      <c r="A571" t="inlineStr">
        <is>
          <t>A 61924-2022</t>
        </is>
      </c>
      <c r="B571" s="1" t="n">
        <v>44917</v>
      </c>
      <c r="C571" s="1" t="n">
        <v>46133</v>
      </c>
      <c r="D571" t="inlineStr">
        <is>
          <t>JÄMTLANDS LÄN</t>
        </is>
      </c>
      <c r="E571" t="inlineStr">
        <is>
          <t>ÅRE</t>
        </is>
      </c>
      <c r="G571" t="n">
        <v>39.8</v>
      </c>
      <c r="H571" t="n">
        <v>0</v>
      </c>
      <c r="I571" t="n">
        <v>0</v>
      </c>
      <c r="J571" t="n">
        <v>0</v>
      </c>
      <c r="K571" t="n">
        <v>0</v>
      </c>
      <c r="L571" t="n">
        <v>0</v>
      </c>
      <c r="M571" t="n">
        <v>0</v>
      </c>
      <c r="N571" t="n">
        <v>0</v>
      </c>
      <c r="O571" t="n">
        <v>0</v>
      </c>
      <c r="P571" t="n">
        <v>0</v>
      </c>
      <c r="Q571" t="n">
        <v>0</v>
      </c>
      <c r="R571" s="2" t="inlineStr"/>
    </row>
    <row r="572" ht="15" customHeight="1">
      <c r="A572" t="inlineStr">
        <is>
          <t>A 13841-2024</t>
        </is>
      </c>
      <c r="B572" s="1" t="n">
        <v>45391</v>
      </c>
      <c r="C572" s="1" t="n">
        <v>46133</v>
      </c>
      <c r="D572" t="inlineStr">
        <is>
          <t>JÄMTLANDS LÄN</t>
        </is>
      </c>
      <c r="E572" t="inlineStr">
        <is>
          <t>ÅRE</t>
        </is>
      </c>
      <c r="G572" t="n">
        <v>6.7</v>
      </c>
      <c r="H572" t="n">
        <v>0</v>
      </c>
      <c r="I572" t="n">
        <v>0</v>
      </c>
      <c r="J572" t="n">
        <v>0</v>
      </c>
      <c r="K572" t="n">
        <v>0</v>
      </c>
      <c r="L572" t="n">
        <v>0</v>
      </c>
      <c r="M572" t="n">
        <v>0</v>
      </c>
      <c r="N572" t="n">
        <v>0</v>
      </c>
      <c r="O572" t="n">
        <v>0</v>
      </c>
      <c r="P572" t="n">
        <v>0</v>
      </c>
      <c r="Q572" t="n">
        <v>0</v>
      </c>
      <c r="R572" s="2" t="inlineStr"/>
    </row>
    <row r="573" ht="15" customHeight="1">
      <c r="A573" t="inlineStr">
        <is>
          <t>A 18754-2026</t>
        </is>
      </c>
      <c r="B573" s="1" t="n">
        <v>46128.54760416667</v>
      </c>
      <c r="C573" s="1" t="n">
        <v>46133</v>
      </c>
      <c r="D573" t="inlineStr">
        <is>
          <t>JÄMTLANDS LÄN</t>
        </is>
      </c>
      <c r="E573" t="inlineStr">
        <is>
          <t>ÅRE</t>
        </is>
      </c>
      <c r="G573" t="n">
        <v>2.3</v>
      </c>
      <c r="H573" t="n">
        <v>0</v>
      </c>
      <c r="I573" t="n">
        <v>0</v>
      </c>
      <c r="J573" t="n">
        <v>0</v>
      </c>
      <c r="K573" t="n">
        <v>0</v>
      </c>
      <c r="L573" t="n">
        <v>0</v>
      </c>
      <c r="M573" t="n">
        <v>0</v>
      </c>
      <c r="N573" t="n">
        <v>0</v>
      </c>
      <c r="O573" t="n">
        <v>0</v>
      </c>
      <c r="P573" t="n">
        <v>0</v>
      </c>
      <c r="Q573" t="n">
        <v>0</v>
      </c>
      <c r="R573" s="2" t="inlineStr"/>
    </row>
    <row r="574" ht="15" customHeight="1">
      <c r="A574" t="inlineStr">
        <is>
          <t>A 45242-2023</t>
        </is>
      </c>
      <c r="B574" s="1" t="n">
        <v>45187</v>
      </c>
      <c r="C574" s="1" t="n">
        <v>46133</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40336-2021</t>
        </is>
      </c>
      <c r="B575" s="1" t="n">
        <v>44419</v>
      </c>
      <c r="C575" s="1" t="n">
        <v>46133</v>
      </c>
      <c r="D575" t="inlineStr">
        <is>
          <t>JÄMTLANDS LÄN</t>
        </is>
      </c>
      <c r="E575" t="inlineStr">
        <is>
          <t>ÅRE</t>
        </is>
      </c>
      <c r="G575" t="n">
        <v>1.1</v>
      </c>
      <c r="H575" t="n">
        <v>0</v>
      </c>
      <c r="I575" t="n">
        <v>0</v>
      </c>
      <c r="J575" t="n">
        <v>0</v>
      </c>
      <c r="K575" t="n">
        <v>0</v>
      </c>
      <c r="L575" t="n">
        <v>0</v>
      </c>
      <c r="M575" t="n">
        <v>0</v>
      </c>
      <c r="N575" t="n">
        <v>0</v>
      </c>
      <c r="O575" t="n">
        <v>0</v>
      </c>
      <c r="P575" t="n">
        <v>0</v>
      </c>
      <c r="Q575" t="n">
        <v>0</v>
      </c>
      <c r="R575" s="2" t="inlineStr"/>
    </row>
    <row r="576" ht="15" customHeight="1">
      <c r="A576" t="inlineStr">
        <is>
          <t>A 11377-2025</t>
        </is>
      </c>
      <c r="B576" s="1" t="n">
        <v>45726</v>
      </c>
      <c r="C576" s="1" t="n">
        <v>46133</v>
      </c>
      <c r="D576" t="inlineStr">
        <is>
          <t>JÄMTLANDS LÄN</t>
        </is>
      </c>
      <c r="E576" t="inlineStr">
        <is>
          <t>ÅRE</t>
        </is>
      </c>
      <c r="G576" t="n">
        <v>7.1</v>
      </c>
      <c r="H576" t="n">
        <v>0</v>
      </c>
      <c r="I576" t="n">
        <v>0</v>
      </c>
      <c r="J576" t="n">
        <v>0</v>
      </c>
      <c r="K576" t="n">
        <v>0</v>
      </c>
      <c r="L576" t="n">
        <v>0</v>
      </c>
      <c r="M576" t="n">
        <v>0</v>
      </c>
      <c r="N576" t="n">
        <v>0</v>
      </c>
      <c r="O576" t="n">
        <v>0</v>
      </c>
      <c r="P576" t="n">
        <v>0</v>
      </c>
      <c r="Q576" t="n">
        <v>0</v>
      </c>
      <c r="R576" s="2" t="inlineStr"/>
    </row>
    <row r="577" ht="15" customHeight="1">
      <c r="A577" t="inlineStr">
        <is>
          <t>A 27630-2025</t>
        </is>
      </c>
      <c r="B577" s="1" t="n">
        <v>45813</v>
      </c>
      <c r="C577" s="1" t="n">
        <v>46133</v>
      </c>
      <c r="D577" t="inlineStr">
        <is>
          <t>JÄMTLANDS LÄN</t>
        </is>
      </c>
      <c r="E577" t="inlineStr">
        <is>
          <t>ÅRE</t>
        </is>
      </c>
      <c r="G577" t="n">
        <v>8.4</v>
      </c>
      <c r="H577" t="n">
        <v>0</v>
      </c>
      <c r="I577" t="n">
        <v>0</v>
      </c>
      <c r="J577" t="n">
        <v>0</v>
      </c>
      <c r="K577" t="n">
        <v>0</v>
      </c>
      <c r="L577" t="n">
        <v>0</v>
      </c>
      <c r="M577" t="n">
        <v>0</v>
      </c>
      <c r="N577" t="n">
        <v>0</v>
      </c>
      <c r="O577" t="n">
        <v>0</v>
      </c>
      <c r="P577" t="n">
        <v>0</v>
      </c>
      <c r="Q577" t="n">
        <v>0</v>
      </c>
      <c r="R577" s="2" t="inlineStr"/>
    </row>
    <row r="578" ht="15" customHeight="1">
      <c r="A578" t="inlineStr">
        <is>
          <t>A 7970-2023</t>
        </is>
      </c>
      <c r="B578" s="1" t="n">
        <v>44970</v>
      </c>
      <c r="C578" s="1" t="n">
        <v>46133</v>
      </c>
      <c r="D578" t="inlineStr">
        <is>
          <t>JÄMTLANDS LÄN</t>
        </is>
      </c>
      <c r="E578" t="inlineStr">
        <is>
          <t>ÅRE</t>
        </is>
      </c>
      <c r="G578" t="n">
        <v>3.5</v>
      </c>
      <c r="H578" t="n">
        <v>0</v>
      </c>
      <c r="I578" t="n">
        <v>0</v>
      </c>
      <c r="J578" t="n">
        <v>0</v>
      </c>
      <c r="K578" t="n">
        <v>0</v>
      </c>
      <c r="L578" t="n">
        <v>0</v>
      </c>
      <c r="M578" t="n">
        <v>0</v>
      </c>
      <c r="N578" t="n">
        <v>0</v>
      </c>
      <c r="O578" t="n">
        <v>0</v>
      </c>
      <c r="P578" t="n">
        <v>0</v>
      </c>
      <c r="Q578" t="n">
        <v>0</v>
      </c>
      <c r="R578" s="2" t="inlineStr"/>
    </row>
    <row r="579" ht="15" customHeight="1">
      <c r="A579" t="inlineStr">
        <is>
          <t>A 44609-2024</t>
        </is>
      </c>
      <c r="B579" s="1" t="n">
        <v>45574.51212962963</v>
      </c>
      <c r="C579" s="1" t="n">
        <v>46133</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ht="15" customHeight="1">
      <c r="A580" t="inlineStr">
        <is>
          <t>A 43449-2023</t>
        </is>
      </c>
      <c r="B580" s="1" t="n">
        <v>45184.36697916667</v>
      </c>
      <c r="C580" s="1" t="n">
        <v>46133</v>
      </c>
      <c r="D580" t="inlineStr">
        <is>
          <t>JÄMTLANDS LÄN</t>
        </is>
      </c>
      <c r="E580" t="inlineStr">
        <is>
          <t>ÅRE</t>
        </is>
      </c>
      <c r="F580" t="inlineStr">
        <is>
          <t>Övriga Aktiebolag</t>
        </is>
      </c>
      <c r="G580" t="n">
        <v>3.1</v>
      </c>
      <c r="H580" t="n">
        <v>0</v>
      </c>
      <c r="I580" t="n">
        <v>0</v>
      </c>
      <c r="J580" t="n">
        <v>0</v>
      </c>
      <c r="K580" t="n">
        <v>0</v>
      </c>
      <c r="L580" t="n">
        <v>0</v>
      </c>
      <c r="M580" t="n">
        <v>0</v>
      </c>
      <c r="N580" t="n">
        <v>0</v>
      </c>
      <c r="O580" t="n">
        <v>0</v>
      </c>
      <c r="P580" t="n">
        <v>0</v>
      </c>
      <c r="Q580" t="n">
        <v>0</v>
      </c>
      <c r="R580" s="2" t="inlineStr"/>
    </row>
    <row r="581" ht="15" customHeight="1">
      <c r="A581" t="inlineStr">
        <is>
          <t>A 52707-2022</t>
        </is>
      </c>
      <c r="B581" s="1" t="n">
        <v>44874</v>
      </c>
      <c r="C581" s="1" t="n">
        <v>46133</v>
      </c>
      <c r="D581" t="inlineStr">
        <is>
          <t>JÄMTLANDS LÄN</t>
        </is>
      </c>
      <c r="E581" t="inlineStr">
        <is>
          <t>ÅRE</t>
        </is>
      </c>
      <c r="F581" t="inlineStr">
        <is>
          <t>Övriga Aktiebolag</t>
        </is>
      </c>
      <c r="G581" t="n">
        <v>2.3</v>
      </c>
      <c r="H581" t="n">
        <v>0</v>
      </c>
      <c r="I581" t="n">
        <v>0</v>
      </c>
      <c r="J581" t="n">
        <v>0</v>
      </c>
      <c r="K581" t="n">
        <v>0</v>
      </c>
      <c r="L581" t="n">
        <v>0</v>
      </c>
      <c r="M581" t="n">
        <v>0</v>
      </c>
      <c r="N581" t="n">
        <v>0</v>
      </c>
      <c r="O581" t="n">
        <v>0</v>
      </c>
      <c r="P581" t="n">
        <v>0</v>
      </c>
      <c r="Q581" t="n">
        <v>0</v>
      </c>
      <c r="R581" s="2" t="inlineStr"/>
    </row>
    <row r="582" ht="15" customHeight="1">
      <c r="A582" t="inlineStr">
        <is>
          <t>A 59387-2022</t>
        </is>
      </c>
      <c r="B582" s="1" t="n">
        <v>44905</v>
      </c>
      <c r="C582" s="1" t="n">
        <v>46133</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42136-2022</t>
        </is>
      </c>
      <c r="B583" s="1" t="n">
        <v>44830</v>
      </c>
      <c r="C583" s="1" t="n">
        <v>46133</v>
      </c>
      <c r="D583" t="inlineStr">
        <is>
          <t>JÄMTLANDS LÄN</t>
        </is>
      </c>
      <c r="E583" t="inlineStr">
        <is>
          <t>ÅRE</t>
        </is>
      </c>
      <c r="F583" t="inlineStr">
        <is>
          <t>Bergvik skog öst AB</t>
        </is>
      </c>
      <c r="G583" t="n">
        <v>3.1</v>
      </c>
      <c r="H583" t="n">
        <v>0</v>
      </c>
      <c r="I583" t="n">
        <v>0</v>
      </c>
      <c r="J583" t="n">
        <v>0</v>
      </c>
      <c r="K583" t="n">
        <v>0</v>
      </c>
      <c r="L583" t="n">
        <v>0</v>
      </c>
      <c r="M583" t="n">
        <v>0</v>
      </c>
      <c r="N583" t="n">
        <v>0</v>
      </c>
      <c r="O583" t="n">
        <v>0</v>
      </c>
      <c r="P583" t="n">
        <v>0</v>
      </c>
      <c r="Q583" t="n">
        <v>0</v>
      </c>
      <c r="R583" s="2" t="inlineStr"/>
    </row>
    <row r="584" ht="15" customHeight="1">
      <c r="A584" t="inlineStr">
        <is>
          <t>A 52470-2022</t>
        </is>
      </c>
      <c r="B584" s="1" t="n">
        <v>44874.48167824074</v>
      </c>
      <c r="C584" s="1" t="n">
        <v>46133</v>
      </c>
      <c r="D584" t="inlineStr">
        <is>
          <t>JÄMTLANDS LÄN</t>
        </is>
      </c>
      <c r="E584" t="inlineStr">
        <is>
          <t>ÅRE</t>
        </is>
      </c>
      <c r="G584" t="n">
        <v>1.7</v>
      </c>
      <c r="H584" t="n">
        <v>0</v>
      </c>
      <c r="I584" t="n">
        <v>0</v>
      </c>
      <c r="J584" t="n">
        <v>0</v>
      </c>
      <c r="K584" t="n">
        <v>0</v>
      </c>
      <c r="L584" t="n">
        <v>0</v>
      </c>
      <c r="M584" t="n">
        <v>0</v>
      </c>
      <c r="N584" t="n">
        <v>0</v>
      </c>
      <c r="O584" t="n">
        <v>0</v>
      </c>
      <c r="P584" t="n">
        <v>0</v>
      </c>
      <c r="Q584" t="n">
        <v>0</v>
      </c>
      <c r="R584" s="2" t="inlineStr"/>
    </row>
    <row r="585" ht="15" customHeight="1">
      <c r="A585" t="inlineStr">
        <is>
          <t>A 54615-2022</t>
        </is>
      </c>
      <c r="B585" s="1" t="n">
        <v>44883.36125</v>
      </c>
      <c r="C585" s="1" t="n">
        <v>46133</v>
      </c>
      <c r="D585" t="inlineStr">
        <is>
          <t>JÄMTLANDS LÄN</t>
        </is>
      </c>
      <c r="E585" t="inlineStr">
        <is>
          <t>ÅRE</t>
        </is>
      </c>
      <c r="F585" t="inlineStr">
        <is>
          <t>Övriga Aktiebolag</t>
        </is>
      </c>
      <c r="G585" t="n">
        <v>5.1</v>
      </c>
      <c r="H585" t="n">
        <v>0</v>
      </c>
      <c r="I585" t="n">
        <v>0</v>
      </c>
      <c r="J585" t="n">
        <v>0</v>
      </c>
      <c r="K585" t="n">
        <v>0</v>
      </c>
      <c r="L585" t="n">
        <v>0</v>
      </c>
      <c r="M585" t="n">
        <v>0</v>
      </c>
      <c r="N585" t="n">
        <v>0</v>
      </c>
      <c r="O585" t="n">
        <v>0</v>
      </c>
      <c r="P585" t="n">
        <v>0</v>
      </c>
      <c r="Q585" t="n">
        <v>0</v>
      </c>
      <c r="R585" s="2" t="inlineStr"/>
    </row>
    <row r="586" ht="15" customHeight="1">
      <c r="A586" t="inlineStr">
        <is>
          <t>A 23561-2021</t>
        </is>
      </c>
      <c r="B586" s="1" t="n">
        <v>44334</v>
      </c>
      <c r="C586" s="1" t="n">
        <v>46133</v>
      </c>
      <c r="D586" t="inlineStr">
        <is>
          <t>JÄMTLANDS LÄN</t>
        </is>
      </c>
      <c r="E586" t="inlineStr">
        <is>
          <t>ÅRE</t>
        </is>
      </c>
      <c r="G586" t="n">
        <v>8.5</v>
      </c>
      <c r="H586" t="n">
        <v>0</v>
      </c>
      <c r="I586" t="n">
        <v>0</v>
      </c>
      <c r="J586" t="n">
        <v>0</v>
      </c>
      <c r="K586" t="n">
        <v>0</v>
      </c>
      <c r="L586" t="n">
        <v>0</v>
      </c>
      <c r="M586" t="n">
        <v>0</v>
      </c>
      <c r="N586" t="n">
        <v>0</v>
      </c>
      <c r="O586" t="n">
        <v>0</v>
      </c>
      <c r="P586" t="n">
        <v>0</v>
      </c>
      <c r="Q586" t="n">
        <v>0</v>
      </c>
      <c r="R586" s="2" t="inlineStr"/>
    </row>
    <row r="587" ht="15" customHeight="1">
      <c r="A587" t="inlineStr">
        <is>
          <t>A 33117-2023</t>
        </is>
      </c>
      <c r="B587" s="1" t="n">
        <v>45126</v>
      </c>
      <c r="C587" s="1" t="n">
        <v>46133</v>
      </c>
      <c r="D587" t="inlineStr">
        <is>
          <t>JÄMTLANDS LÄN</t>
        </is>
      </c>
      <c r="E587" t="inlineStr">
        <is>
          <t>ÅRE</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61566-2021</t>
        </is>
      </c>
      <c r="B588" s="1" t="n">
        <v>44496</v>
      </c>
      <c r="C588" s="1" t="n">
        <v>46133</v>
      </c>
      <c r="D588" t="inlineStr">
        <is>
          <t>JÄMTLANDS LÄN</t>
        </is>
      </c>
      <c r="E588" t="inlineStr">
        <is>
          <t>ÅRE</t>
        </is>
      </c>
      <c r="F588" t="inlineStr">
        <is>
          <t>Övriga statliga verk och myndigheter</t>
        </is>
      </c>
      <c r="G588" t="n">
        <v>10.9</v>
      </c>
      <c r="H588" t="n">
        <v>0</v>
      </c>
      <c r="I588" t="n">
        <v>0</v>
      </c>
      <c r="J588" t="n">
        <v>0</v>
      </c>
      <c r="K588" t="n">
        <v>0</v>
      </c>
      <c r="L588" t="n">
        <v>0</v>
      </c>
      <c r="M588" t="n">
        <v>0</v>
      </c>
      <c r="N588" t="n">
        <v>0</v>
      </c>
      <c r="O588" t="n">
        <v>0</v>
      </c>
      <c r="P588" t="n">
        <v>0</v>
      </c>
      <c r="Q588" t="n">
        <v>0</v>
      </c>
      <c r="R588" s="2" t="inlineStr"/>
    </row>
    <row r="589" ht="15" customHeight="1">
      <c r="A589" t="inlineStr">
        <is>
          <t>A 29177-2024</t>
        </is>
      </c>
      <c r="B589" s="1" t="n">
        <v>45482.53859953704</v>
      </c>
      <c r="C589" s="1" t="n">
        <v>46133</v>
      </c>
      <c r="D589" t="inlineStr">
        <is>
          <t>JÄMTLANDS LÄN</t>
        </is>
      </c>
      <c r="E589" t="inlineStr">
        <is>
          <t>ÅRE</t>
        </is>
      </c>
      <c r="G589" t="n">
        <v>2.5</v>
      </c>
      <c r="H589" t="n">
        <v>0</v>
      </c>
      <c r="I589" t="n">
        <v>0</v>
      </c>
      <c r="J589" t="n">
        <v>0</v>
      </c>
      <c r="K589" t="n">
        <v>0</v>
      </c>
      <c r="L589" t="n">
        <v>0</v>
      </c>
      <c r="M589" t="n">
        <v>0</v>
      </c>
      <c r="N589" t="n">
        <v>0</v>
      </c>
      <c r="O589" t="n">
        <v>0</v>
      </c>
      <c r="P589" t="n">
        <v>0</v>
      </c>
      <c r="Q589" t="n">
        <v>0</v>
      </c>
      <c r="R589" s="2" t="inlineStr"/>
    </row>
    <row r="590" ht="15" customHeight="1">
      <c r="A590" t="inlineStr">
        <is>
          <t>A 4272-2025</t>
        </is>
      </c>
      <c r="B590" s="1" t="n">
        <v>45685</v>
      </c>
      <c r="C590" s="1" t="n">
        <v>46133</v>
      </c>
      <c r="D590" t="inlineStr">
        <is>
          <t>JÄMTLANDS LÄN</t>
        </is>
      </c>
      <c r="E590" t="inlineStr">
        <is>
          <t>ÅRE</t>
        </is>
      </c>
      <c r="F590" t="inlineStr">
        <is>
          <t>Övriga Aktiebolag</t>
        </is>
      </c>
      <c r="G590" t="n">
        <v>16.6</v>
      </c>
      <c r="H590" t="n">
        <v>0</v>
      </c>
      <c r="I590" t="n">
        <v>0</v>
      </c>
      <c r="J590" t="n">
        <v>0</v>
      </c>
      <c r="K590" t="n">
        <v>0</v>
      </c>
      <c r="L590" t="n">
        <v>0</v>
      </c>
      <c r="M590" t="n">
        <v>0</v>
      </c>
      <c r="N590" t="n">
        <v>0</v>
      </c>
      <c r="O590" t="n">
        <v>0</v>
      </c>
      <c r="P590" t="n">
        <v>0</v>
      </c>
      <c r="Q590" t="n">
        <v>0</v>
      </c>
      <c r="R590" s="2" t="inlineStr"/>
    </row>
    <row r="591" ht="15" customHeight="1">
      <c r="A591" t="inlineStr">
        <is>
          <t>A 7573-2023</t>
        </is>
      </c>
      <c r="B591" s="1" t="n">
        <v>44967</v>
      </c>
      <c r="C591" s="1" t="n">
        <v>46133</v>
      </c>
      <c r="D591" t="inlineStr">
        <is>
          <t>JÄMTLANDS LÄN</t>
        </is>
      </c>
      <c r="E591" t="inlineStr">
        <is>
          <t>ÅRE</t>
        </is>
      </c>
      <c r="G591" t="n">
        <v>7</v>
      </c>
      <c r="H591" t="n">
        <v>0</v>
      </c>
      <c r="I591" t="n">
        <v>0</v>
      </c>
      <c r="J591" t="n">
        <v>0</v>
      </c>
      <c r="K591" t="n">
        <v>0</v>
      </c>
      <c r="L591" t="n">
        <v>0</v>
      </c>
      <c r="M591" t="n">
        <v>0</v>
      </c>
      <c r="N591" t="n">
        <v>0</v>
      </c>
      <c r="O591" t="n">
        <v>0</v>
      </c>
      <c r="P591" t="n">
        <v>0</v>
      </c>
      <c r="Q591" t="n">
        <v>0</v>
      </c>
      <c r="R591" s="2" t="inlineStr"/>
    </row>
    <row r="592" ht="15" customHeight="1">
      <c r="A592" t="inlineStr">
        <is>
          <t>A 43342-2024</t>
        </is>
      </c>
      <c r="B592" s="1" t="n">
        <v>45568.55114583333</v>
      </c>
      <c r="C592" s="1" t="n">
        <v>46133</v>
      </c>
      <c r="D592" t="inlineStr">
        <is>
          <t>JÄMTLANDS LÄN</t>
        </is>
      </c>
      <c r="E592" t="inlineStr">
        <is>
          <t>ÅRE</t>
        </is>
      </c>
      <c r="F592" t="inlineStr">
        <is>
          <t>Övriga Aktiebolag</t>
        </is>
      </c>
      <c r="G592" t="n">
        <v>4.8</v>
      </c>
      <c r="H592" t="n">
        <v>0</v>
      </c>
      <c r="I592" t="n">
        <v>0</v>
      </c>
      <c r="J592" t="n">
        <v>0</v>
      </c>
      <c r="K592" t="n">
        <v>0</v>
      </c>
      <c r="L592" t="n">
        <v>0</v>
      </c>
      <c r="M592" t="n">
        <v>0</v>
      </c>
      <c r="N592" t="n">
        <v>0</v>
      </c>
      <c r="O592" t="n">
        <v>0</v>
      </c>
      <c r="P592" t="n">
        <v>0</v>
      </c>
      <c r="Q592" t="n">
        <v>0</v>
      </c>
      <c r="R592" s="2" t="inlineStr"/>
    </row>
    <row r="593" ht="15" customHeight="1">
      <c r="A593" t="inlineStr">
        <is>
          <t>A 13039-2024</t>
        </is>
      </c>
      <c r="B593" s="1" t="n">
        <v>45385</v>
      </c>
      <c r="C593" s="1" t="n">
        <v>46133</v>
      </c>
      <c r="D593" t="inlineStr">
        <is>
          <t>JÄMTLANDS LÄN</t>
        </is>
      </c>
      <c r="E593" t="inlineStr">
        <is>
          <t>ÅRE</t>
        </is>
      </c>
      <c r="G593" t="n">
        <v>1.8</v>
      </c>
      <c r="H593" t="n">
        <v>0</v>
      </c>
      <c r="I593" t="n">
        <v>0</v>
      </c>
      <c r="J593" t="n">
        <v>0</v>
      </c>
      <c r="K593" t="n">
        <v>0</v>
      </c>
      <c r="L593" t="n">
        <v>0</v>
      </c>
      <c r="M593" t="n">
        <v>0</v>
      </c>
      <c r="N593" t="n">
        <v>0</v>
      </c>
      <c r="O593" t="n">
        <v>0</v>
      </c>
      <c r="P593" t="n">
        <v>0</v>
      </c>
      <c r="Q593" t="n">
        <v>0</v>
      </c>
      <c r="R593" s="2" t="inlineStr"/>
    </row>
    <row r="594" ht="15" customHeight="1">
      <c r="A594" t="inlineStr">
        <is>
          <t>A 36219-2022</t>
        </is>
      </c>
      <c r="B594" s="1" t="n">
        <v>44803</v>
      </c>
      <c r="C594" s="1" t="n">
        <v>46133</v>
      </c>
      <c r="D594" t="inlineStr">
        <is>
          <t>JÄMTLANDS LÄN</t>
        </is>
      </c>
      <c r="E594" t="inlineStr">
        <is>
          <t>ÅRE</t>
        </is>
      </c>
      <c r="G594" t="n">
        <v>0.4</v>
      </c>
      <c r="H594" t="n">
        <v>0</v>
      </c>
      <c r="I594" t="n">
        <v>0</v>
      </c>
      <c r="J594" t="n">
        <v>0</v>
      </c>
      <c r="K594" t="n">
        <v>0</v>
      </c>
      <c r="L594" t="n">
        <v>0</v>
      </c>
      <c r="M594" t="n">
        <v>0</v>
      </c>
      <c r="N594" t="n">
        <v>0</v>
      </c>
      <c r="O594" t="n">
        <v>0</v>
      </c>
      <c r="P594" t="n">
        <v>0</v>
      </c>
      <c r="Q594" t="n">
        <v>0</v>
      </c>
      <c r="R594" s="2" t="inlineStr"/>
    </row>
    <row r="595" ht="15" customHeight="1">
      <c r="A595" t="inlineStr">
        <is>
          <t>A 38268-2024</t>
        </is>
      </c>
      <c r="B595" s="1" t="n">
        <v>45545.59842592593</v>
      </c>
      <c r="C595" s="1" t="n">
        <v>46133</v>
      </c>
      <c r="D595" t="inlineStr">
        <is>
          <t>JÄMTLANDS LÄN</t>
        </is>
      </c>
      <c r="E595" t="inlineStr">
        <is>
          <t>ÅRE</t>
        </is>
      </c>
      <c r="G595" t="n">
        <v>1.2</v>
      </c>
      <c r="H595" t="n">
        <v>0</v>
      </c>
      <c r="I595" t="n">
        <v>0</v>
      </c>
      <c r="J595" t="n">
        <v>0</v>
      </c>
      <c r="K595" t="n">
        <v>0</v>
      </c>
      <c r="L595" t="n">
        <v>0</v>
      </c>
      <c r="M595" t="n">
        <v>0</v>
      </c>
      <c r="N595" t="n">
        <v>0</v>
      </c>
      <c r="O595" t="n">
        <v>0</v>
      </c>
      <c r="P595" t="n">
        <v>0</v>
      </c>
      <c r="Q595" t="n">
        <v>0</v>
      </c>
      <c r="R595" s="2" t="inlineStr"/>
    </row>
    <row r="596" ht="15" customHeight="1">
      <c r="A596" t="inlineStr">
        <is>
          <t>A 60962-2023</t>
        </is>
      </c>
      <c r="B596" s="1" t="n">
        <v>45261.46787037037</v>
      </c>
      <c r="C596" s="1" t="n">
        <v>46133</v>
      </c>
      <c r="D596" t="inlineStr">
        <is>
          <t>JÄMTLANDS LÄN</t>
        </is>
      </c>
      <c r="E596" t="inlineStr">
        <is>
          <t>ÅRE</t>
        </is>
      </c>
      <c r="G596" t="n">
        <v>3.2</v>
      </c>
      <c r="H596" t="n">
        <v>0</v>
      </c>
      <c r="I596" t="n">
        <v>0</v>
      </c>
      <c r="J596" t="n">
        <v>0</v>
      </c>
      <c r="K596" t="n">
        <v>0</v>
      </c>
      <c r="L596" t="n">
        <v>0</v>
      </c>
      <c r="M596" t="n">
        <v>0</v>
      </c>
      <c r="N596" t="n">
        <v>0</v>
      </c>
      <c r="O596" t="n">
        <v>0</v>
      </c>
      <c r="P596" t="n">
        <v>0</v>
      </c>
      <c r="Q596" t="n">
        <v>0</v>
      </c>
      <c r="R596" s="2" t="inlineStr"/>
    </row>
    <row r="597" ht="15" customHeight="1">
      <c r="A597" t="inlineStr">
        <is>
          <t>A 60973-2023</t>
        </is>
      </c>
      <c r="B597" s="1" t="n">
        <v>45261.47321759259</v>
      </c>
      <c r="C597" s="1" t="n">
        <v>46133</v>
      </c>
      <c r="D597" t="inlineStr">
        <is>
          <t>JÄMTLANDS LÄN</t>
        </is>
      </c>
      <c r="E597" t="inlineStr">
        <is>
          <t>ÅRE</t>
        </is>
      </c>
      <c r="G597" t="n">
        <v>3.1</v>
      </c>
      <c r="H597" t="n">
        <v>0</v>
      </c>
      <c r="I597" t="n">
        <v>0</v>
      </c>
      <c r="J597" t="n">
        <v>0</v>
      </c>
      <c r="K597" t="n">
        <v>0</v>
      </c>
      <c r="L597" t="n">
        <v>0</v>
      </c>
      <c r="M597" t="n">
        <v>0</v>
      </c>
      <c r="N597" t="n">
        <v>0</v>
      </c>
      <c r="O597" t="n">
        <v>0</v>
      </c>
      <c r="P597" t="n">
        <v>0</v>
      </c>
      <c r="Q597" t="n">
        <v>0</v>
      </c>
      <c r="R597" s="2" t="inlineStr"/>
    </row>
    <row r="598" ht="15" customHeight="1">
      <c r="A598" t="inlineStr">
        <is>
          <t>A 59352-2021</t>
        </is>
      </c>
      <c r="B598" s="1" t="n">
        <v>44490</v>
      </c>
      <c r="C598" s="1" t="n">
        <v>46133</v>
      </c>
      <c r="D598" t="inlineStr">
        <is>
          <t>JÄMTLANDS LÄN</t>
        </is>
      </c>
      <c r="E598" t="inlineStr">
        <is>
          <t>ÅRE</t>
        </is>
      </c>
      <c r="G598" t="n">
        <v>0.4</v>
      </c>
      <c r="H598" t="n">
        <v>0</v>
      </c>
      <c r="I598" t="n">
        <v>0</v>
      </c>
      <c r="J598" t="n">
        <v>0</v>
      </c>
      <c r="K598" t="n">
        <v>0</v>
      </c>
      <c r="L598" t="n">
        <v>0</v>
      </c>
      <c r="M598" t="n">
        <v>0</v>
      </c>
      <c r="N598" t="n">
        <v>0</v>
      </c>
      <c r="O598" t="n">
        <v>0</v>
      </c>
      <c r="P598" t="n">
        <v>0</v>
      </c>
      <c r="Q598" t="n">
        <v>0</v>
      </c>
      <c r="R598" s="2" t="inlineStr"/>
    </row>
    <row r="599" ht="15" customHeight="1">
      <c r="A599" t="inlineStr">
        <is>
          <t>A 57158-2021</t>
        </is>
      </c>
      <c r="B599" s="1" t="n">
        <v>44482</v>
      </c>
      <c r="C599" s="1" t="n">
        <v>46133</v>
      </c>
      <c r="D599" t="inlineStr">
        <is>
          <t>JÄMTLANDS LÄN</t>
        </is>
      </c>
      <c r="E599" t="inlineStr">
        <is>
          <t>ÅRE</t>
        </is>
      </c>
      <c r="G599" t="n">
        <v>0.4</v>
      </c>
      <c r="H599" t="n">
        <v>0</v>
      </c>
      <c r="I599" t="n">
        <v>0</v>
      </c>
      <c r="J599" t="n">
        <v>0</v>
      </c>
      <c r="K599" t="n">
        <v>0</v>
      </c>
      <c r="L599" t="n">
        <v>0</v>
      </c>
      <c r="M599" t="n">
        <v>0</v>
      </c>
      <c r="N599" t="n">
        <v>0</v>
      </c>
      <c r="O599" t="n">
        <v>0</v>
      </c>
      <c r="P599" t="n">
        <v>0</v>
      </c>
      <c r="Q599" t="n">
        <v>0</v>
      </c>
      <c r="R599" s="2" t="inlineStr"/>
    </row>
    <row r="600" ht="15" customHeight="1">
      <c r="A600" t="inlineStr">
        <is>
          <t>A 40339-2021</t>
        </is>
      </c>
      <c r="B600" s="1" t="n">
        <v>44419</v>
      </c>
      <c r="C600" s="1" t="n">
        <v>46133</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376-2024</t>
        </is>
      </c>
      <c r="B601" s="1" t="n">
        <v>45296</v>
      </c>
      <c r="C601" s="1" t="n">
        <v>46133</v>
      </c>
      <c r="D601" t="inlineStr">
        <is>
          <t>JÄMTLANDS LÄN</t>
        </is>
      </c>
      <c r="E601" t="inlineStr">
        <is>
          <t>ÅRE</t>
        </is>
      </c>
      <c r="F601" t="inlineStr">
        <is>
          <t>Kyrkan</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61295-2023</t>
        </is>
      </c>
      <c r="B602" s="1" t="n">
        <v>45264</v>
      </c>
      <c r="C602" s="1" t="n">
        <v>46133</v>
      </c>
      <c r="D602" t="inlineStr">
        <is>
          <t>JÄMTLANDS LÄN</t>
        </is>
      </c>
      <c r="E602" t="inlineStr">
        <is>
          <t>ÅRE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3204-2023</t>
        </is>
      </c>
      <c r="B603" s="1" t="n">
        <v>44946</v>
      </c>
      <c r="C603" s="1" t="n">
        <v>46133</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61331-2021</t>
        </is>
      </c>
      <c r="B604" s="1" t="n">
        <v>44498</v>
      </c>
      <c r="C604" s="1" t="n">
        <v>46133</v>
      </c>
      <c r="D604" t="inlineStr">
        <is>
          <t>JÄMTLANDS LÄN</t>
        </is>
      </c>
      <c r="E604" t="inlineStr">
        <is>
          <t>ÅRE</t>
        </is>
      </c>
      <c r="G604" t="n">
        <v>8.4</v>
      </c>
      <c r="H604" t="n">
        <v>0</v>
      </c>
      <c r="I604" t="n">
        <v>0</v>
      </c>
      <c r="J604" t="n">
        <v>0</v>
      </c>
      <c r="K604" t="n">
        <v>0</v>
      </c>
      <c r="L604" t="n">
        <v>0</v>
      </c>
      <c r="M604" t="n">
        <v>0</v>
      </c>
      <c r="N604" t="n">
        <v>0</v>
      </c>
      <c r="O604" t="n">
        <v>0</v>
      </c>
      <c r="P604" t="n">
        <v>0</v>
      </c>
      <c r="Q604" t="n">
        <v>0</v>
      </c>
      <c r="R604" s="2" t="inlineStr"/>
    </row>
    <row r="605" ht="15" customHeight="1">
      <c r="A605" t="inlineStr">
        <is>
          <t>A 61806-2021</t>
        </is>
      </c>
      <c r="B605" s="1" t="n">
        <v>44498</v>
      </c>
      <c r="C605" s="1" t="n">
        <v>46133</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46788-2024</t>
        </is>
      </c>
      <c r="B606" s="1" t="n">
        <v>45583.53219907408</v>
      </c>
      <c r="C606" s="1" t="n">
        <v>46133</v>
      </c>
      <c r="D606" t="inlineStr">
        <is>
          <t>JÄMTLANDS LÄN</t>
        </is>
      </c>
      <c r="E606" t="inlineStr">
        <is>
          <t>ÅRE</t>
        </is>
      </c>
      <c r="F606" t="inlineStr">
        <is>
          <t>Övriga Aktiebolag</t>
        </is>
      </c>
      <c r="G606" t="n">
        <v>0.3</v>
      </c>
      <c r="H606" t="n">
        <v>0</v>
      </c>
      <c r="I606" t="n">
        <v>0</v>
      </c>
      <c r="J606" t="n">
        <v>0</v>
      </c>
      <c r="K606" t="n">
        <v>0</v>
      </c>
      <c r="L606" t="n">
        <v>0</v>
      </c>
      <c r="M606" t="n">
        <v>0</v>
      </c>
      <c r="N606" t="n">
        <v>0</v>
      </c>
      <c r="O606" t="n">
        <v>0</v>
      </c>
      <c r="P606" t="n">
        <v>0</v>
      </c>
      <c r="Q606" t="n">
        <v>0</v>
      </c>
      <c r="R606" s="2" t="inlineStr"/>
    </row>
    <row r="607" ht="15" customHeight="1">
      <c r="A607" t="inlineStr">
        <is>
          <t>A 60899-2022</t>
        </is>
      </c>
      <c r="B607" s="1" t="n">
        <v>44908</v>
      </c>
      <c r="C607" s="1" t="n">
        <v>46133</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45324-2024</t>
        </is>
      </c>
      <c r="B608" s="1" t="n">
        <v>45576</v>
      </c>
      <c r="C608" s="1" t="n">
        <v>46133</v>
      </c>
      <c r="D608" t="inlineStr">
        <is>
          <t>JÄMTLANDS LÄN</t>
        </is>
      </c>
      <c r="E608" t="inlineStr">
        <is>
          <t>ÅRE</t>
        </is>
      </c>
      <c r="G608" t="n">
        <v>9.4</v>
      </c>
      <c r="H608" t="n">
        <v>0</v>
      </c>
      <c r="I608" t="n">
        <v>0</v>
      </c>
      <c r="J608" t="n">
        <v>0</v>
      </c>
      <c r="K608" t="n">
        <v>0</v>
      </c>
      <c r="L608" t="n">
        <v>0</v>
      </c>
      <c r="M608" t="n">
        <v>0</v>
      </c>
      <c r="N608" t="n">
        <v>0</v>
      </c>
      <c r="O608" t="n">
        <v>0</v>
      </c>
      <c r="P608" t="n">
        <v>0</v>
      </c>
      <c r="Q608" t="n">
        <v>0</v>
      </c>
      <c r="R608" s="2" t="inlineStr"/>
    </row>
    <row r="609" ht="15" customHeight="1">
      <c r="A609" t="inlineStr">
        <is>
          <t>A 556-2023</t>
        </is>
      </c>
      <c r="B609" s="1" t="n">
        <v>44930</v>
      </c>
      <c r="C609" s="1" t="n">
        <v>46133</v>
      </c>
      <c r="D609" t="inlineStr">
        <is>
          <t>JÄMTLANDS LÄN</t>
        </is>
      </c>
      <c r="E609" t="inlineStr">
        <is>
          <t>ÅRE</t>
        </is>
      </c>
      <c r="G609" t="n">
        <v>14.9</v>
      </c>
      <c r="H609" t="n">
        <v>0</v>
      </c>
      <c r="I609" t="n">
        <v>0</v>
      </c>
      <c r="J609" t="n">
        <v>0</v>
      </c>
      <c r="K609" t="n">
        <v>0</v>
      </c>
      <c r="L609" t="n">
        <v>0</v>
      </c>
      <c r="M609" t="n">
        <v>0</v>
      </c>
      <c r="N609" t="n">
        <v>0</v>
      </c>
      <c r="O609" t="n">
        <v>0</v>
      </c>
      <c r="P609" t="n">
        <v>0</v>
      </c>
      <c r="Q609" t="n">
        <v>0</v>
      </c>
      <c r="R609" s="2" t="inlineStr"/>
    </row>
    <row r="610" ht="15" customHeight="1">
      <c r="A610" t="inlineStr">
        <is>
          <t>A 57864-2024</t>
        </is>
      </c>
      <c r="B610" s="1" t="n">
        <v>45631.43578703704</v>
      </c>
      <c r="C610" s="1" t="n">
        <v>46133</v>
      </c>
      <c r="D610" t="inlineStr">
        <is>
          <t>JÄMTLANDS LÄN</t>
        </is>
      </c>
      <c r="E610" t="inlineStr">
        <is>
          <t>ÅRE</t>
        </is>
      </c>
      <c r="G610" t="n">
        <v>1.5</v>
      </c>
      <c r="H610" t="n">
        <v>0</v>
      </c>
      <c r="I610" t="n">
        <v>0</v>
      </c>
      <c r="J610" t="n">
        <v>0</v>
      </c>
      <c r="K610" t="n">
        <v>0</v>
      </c>
      <c r="L610" t="n">
        <v>0</v>
      </c>
      <c r="M610" t="n">
        <v>0</v>
      </c>
      <c r="N610" t="n">
        <v>0</v>
      </c>
      <c r="O610" t="n">
        <v>0</v>
      </c>
      <c r="P610" t="n">
        <v>0</v>
      </c>
      <c r="Q610" t="n">
        <v>0</v>
      </c>
      <c r="R610" s="2" t="inlineStr"/>
    </row>
    <row r="611" ht="15" customHeight="1">
      <c r="A611" t="inlineStr">
        <is>
          <t>A 54250-2024</t>
        </is>
      </c>
      <c r="B611" s="1" t="n">
        <v>45616</v>
      </c>
      <c r="C611" s="1" t="n">
        <v>46133</v>
      </c>
      <c r="D611" t="inlineStr">
        <is>
          <t>JÄMTLANDS LÄN</t>
        </is>
      </c>
      <c r="E611" t="inlineStr">
        <is>
          <t>ÅRE</t>
        </is>
      </c>
      <c r="G611" t="n">
        <v>2.8</v>
      </c>
      <c r="H611" t="n">
        <v>0</v>
      </c>
      <c r="I611" t="n">
        <v>0</v>
      </c>
      <c r="J611" t="n">
        <v>0</v>
      </c>
      <c r="K611" t="n">
        <v>0</v>
      </c>
      <c r="L611" t="n">
        <v>0</v>
      </c>
      <c r="M611" t="n">
        <v>0</v>
      </c>
      <c r="N611" t="n">
        <v>0</v>
      </c>
      <c r="O611" t="n">
        <v>0</v>
      </c>
      <c r="P611" t="n">
        <v>0</v>
      </c>
      <c r="Q611" t="n">
        <v>0</v>
      </c>
      <c r="R611" s="2" t="inlineStr"/>
    </row>
    <row r="612" ht="15" customHeight="1">
      <c r="A612" t="inlineStr">
        <is>
          <t>A 37729-2023</t>
        </is>
      </c>
      <c r="B612" s="1" t="n">
        <v>45159</v>
      </c>
      <c r="C612" s="1" t="n">
        <v>46133</v>
      </c>
      <c r="D612" t="inlineStr">
        <is>
          <t>JÄMTLANDS LÄN</t>
        </is>
      </c>
      <c r="E612" t="inlineStr">
        <is>
          <t>ÅRE</t>
        </is>
      </c>
      <c r="G612" t="n">
        <v>2.4</v>
      </c>
      <c r="H612" t="n">
        <v>0</v>
      </c>
      <c r="I612" t="n">
        <v>0</v>
      </c>
      <c r="J612" t="n">
        <v>0</v>
      </c>
      <c r="K612" t="n">
        <v>0</v>
      </c>
      <c r="L612" t="n">
        <v>0</v>
      </c>
      <c r="M612" t="n">
        <v>0</v>
      </c>
      <c r="N612" t="n">
        <v>0</v>
      </c>
      <c r="O612" t="n">
        <v>0</v>
      </c>
      <c r="P612" t="n">
        <v>0</v>
      </c>
      <c r="Q612" t="n">
        <v>0</v>
      </c>
      <c r="R612" s="2" t="inlineStr"/>
    </row>
    <row r="613" ht="15" customHeight="1">
      <c r="A613" t="inlineStr">
        <is>
          <t>A 36234-2023</t>
        </is>
      </c>
      <c r="B613" s="1" t="n">
        <v>45150</v>
      </c>
      <c r="C613" s="1" t="n">
        <v>46133</v>
      </c>
      <c r="D613" t="inlineStr">
        <is>
          <t>JÄMTLANDS LÄN</t>
        </is>
      </c>
      <c r="E613" t="inlineStr">
        <is>
          <t>ÅRE</t>
        </is>
      </c>
      <c r="G613" t="n">
        <v>0.9</v>
      </c>
      <c r="H613" t="n">
        <v>0</v>
      </c>
      <c r="I613" t="n">
        <v>0</v>
      </c>
      <c r="J613" t="n">
        <v>0</v>
      </c>
      <c r="K613" t="n">
        <v>0</v>
      </c>
      <c r="L613" t="n">
        <v>0</v>
      </c>
      <c r="M613" t="n">
        <v>0</v>
      </c>
      <c r="N613" t="n">
        <v>0</v>
      </c>
      <c r="O613" t="n">
        <v>0</v>
      </c>
      <c r="P613" t="n">
        <v>0</v>
      </c>
      <c r="Q613" t="n">
        <v>0</v>
      </c>
      <c r="R613" s="2" t="inlineStr"/>
    </row>
    <row r="614" ht="15" customHeight="1">
      <c r="A614" t="inlineStr">
        <is>
          <t>A 38456-2021</t>
        </is>
      </c>
      <c r="B614" s="1" t="n">
        <v>44406</v>
      </c>
      <c r="C614" s="1" t="n">
        <v>46133</v>
      </c>
      <c r="D614" t="inlineStr">
        <is>
          <t>JÄMTLANDS LÄN</t>
        </is>
      </c>
      <c r="E614" t="inlineStr">
        <is>
          <t>ÅRE</t>
        </is>
      </c>
      <c r="G614" t="n">
        <v>19.8</v>
      </c>
      <c r="H614" t="n">
        <v>0</v>
      </c>
      <c r="I614" t="n">
        <v>0</v>
      </c>
      <c r="J614" t="n">
        <v>0</v>
      </c>
      <c r="K614" t="n">
        <v>0</v>
      </c>
      <c r="L614" t="n">
        <v>0</v>
      </c>
      <c r="M614" t="n">
        <v>0</v>
      </c>
      <c r="N614" t="n">
        <v>0</v>
      </c>
      <c r="O614" t="n">
        <v>0</v>
      </c>
      <c r="P614" t="n">
        <v>0</v>
      </c>
      <c r="Q614" t="n">
        <v>0</v>
      </c>
      <c r="R614" s="2" t="inlineStr"/>
    </row>
    <row r="615" ht="15" customHeight="1">
      <c r="A615" t="inlineStr">
        <is>
          <t>A 9312-2025</t>
        </is>
      </c>
      <c r="B615" s="1" t="n">
        <v>45714.68869212963</v>
      </c>
      <c r="C615" s="1" t="n">
        <v>46133</v>
      </c>
      <c r="D615" t="inlineStr">
        <is>
          <t>JÄMTLANDS LÄN</t>
        </is>
      </c>
      <c r="E615" t="inlineStr">
        <is>
          <t>ÅRE</t>
        </is>
      </c>
      <c r="G615" t="n">
        <v>1.2</v>
      </c>
      <c r="H615" t="n">
        <v>0</v>
      </c>
      <c r="I615" t="n">
        <v>0</v>
      </c>
      <c r="J615" t="n">
        <v>0</v>
      </c>
      <c r="K615" t="n">
        <v>0</v>
      </c>
      <c r="L615" t="n">
        <v>0</v>
      </c>
      <c r="M615" t="n">
        <v>0</v>
      </c>
      <c r="N615" t="n">
        <v>0</v>
      </c>
      <c r="O615" t="n">
        <v>0</v>
      </c>
      <c r="P615" t="n">
        <v>0</v>
      </c>
      <c r="Q615" t="n">
        <v>0</v>
      </c>
      <c r="R615" s="2" t="inlineStr"/>
    </row>
    <row r="616" ht="15" customHeight="1">
      <c r="A616" t="inlineStr">
        <is>
          <t>A 45279-2024</t>
        </is>
      </c>
      <c r="B616" s="1" t="n">
        <v>45576.37496527778</v>
      </c>
      <c r="C616" s="1" t="n">
        <v>46133</v>
      </c>
      <c r="D616" t="inlineStr">
        <is>
          <t>JÄMTLANDS LÄN</t>
        </is>
      </c>
      <c r="E616" t="inlineStr">
        <is>
          <t>ÅRE</t>
        </is>
      </c>
      <c r="G616" t="n">
        <v>17.2</v>
      </c>
      <c r="H616" t="n">
        <v>0</v>
      </c>
      <c r="I616" t="n">
        <v>0</v>
      </c>
      <c r="J616" t="n">
        <v>0</v>
      </c>
      <c r="K616" t="n">
        <v>0</v>
      </c>
      <c r="L616" t="n">
        <v>0</v>
      </c>
      <c r="M616" t="n">
        <v>0</v>
      </c>
      <c r="N616" t="n">
        <v>0</v>
      </c>
      <c r="O616" t="n">
        <v>0</v>
      </c>
      <c r="P616" t="n">
        <v>0</v>
      </c>
      <c r="Q616" t="n">
        <v>0</v>
      </c>
      <c r="R616" s="2" t="inlineStr"/>
    </row>
    <row r="617" ht="15" customHeight="1">
      <c r="A617" t="inlineStr">
        <is>
          <t>A 22707-2021</t>
        </is>
      </c>
      <c r="B617" s="1" t="n">
        <v>44323</v>
      </c>
      <c r="C617" s="1" t="n">
        <v>46133</v>
      </c>
      <c r="D617" t="inlineStr">
        <is>
          <t>JÄMTLANDS LÄN</t>
        </is>
      </c>
      <c r="E617" t="inlineStr">
        <is>
          <t>ÅRE</t>
        </is>
      </c>
      <c r="G617" t="n">
        <v>6.3</v>
      </c>
      <c r="H617" t="n">
        <v>0</v>
      </c>
      <c r="I617" t="n">
        <v>0</v>
      </c>
      <c r="J617" t="n">
        <v>0</v>
      </c>
      <c r="K617" t="n">
        <v>0</v>
      </c>
      <c r="L617" t="n">
        <v>0</v>
      </c>
      <c r="M617" t="n">
        <v>0</v>
      </c>
      <c r="N617" t="n">
        <v>0</v>
      </c>
      <c r="O617" t="n">
        <v>0</v>
      </c>
      <c r="P617" t="n">
        <v>0</v>
      </c>
      <c r="Q617" t="n">
        <v>0</v>
      </c>
      <c r="R617" s="2" t="inlineStr"/>
    </row>
    <row r="618" ht="15" customHeight="1">
      <c r="A618" t="inlineStr">
        <is>
          <t>A 28817-2021</t>
        </is>
      </c>
      <c r="B618" s="1" t="n">
        <v>44357</v>
      </c>
      <c r="C618" s="1" t="n">
        <v>46133</v>
      </c>
      <c r="D618" t="inlineStr">
        <is>
          <t>JÄMTLANDS LÄN</t>
        </is>
      </c>
      <c r="E618" t="inlineStr">
        <is>
          <t>ÅRE</t>
        </is>
      </c>
      <c r="G618" t="n">
        <v>21.4</v>
      </c>
      <c r="H618" t="n">
        <v>0</v>
      </c>
      <c r="I618" t="n">
        <v>0</v>
      </c>
      <c r="J618" t="n">
        <v>0</v>
      </c>
      <c r="K618" t="n">
        <v>0</v>
      </c>
      <c r="L618" t="n">
        <v>0</v>
      </c>
      <c r="M618" t="n">
        <v>0</v>
      </c>
      <c r="N618" t="n">
        <v>0</v>
      </c>
      <c r="O618" t="n">
        <v>0</v>
      </c>
      <c r="P618" t="n">
        <v>0</v>
      </c>
      <c r="Q618" t="n">
        <v>0</v>
      </c>
      <c r="R618" s="2" t="inlineStr"/>
    </row>
    <row r="619" ht="15" customHeight="1">
      <c r="A619" t="inlineStr">
        <is>
          <t>A 1460-2024</t>
        </is>
      </c>
      <c r="B619" s="1" t="n">
        <v>45303.93322916667</v>
      </c>
      <c r="C619" s="1" t="n">
        <v>46133</v>
      </c>
      <c r="D619" t="inlineStr">
        <is>
          <t>JÄMTLANDS LÄN</t>
        </is>
      </c>
      <c r="E619" t="inlineStr">
        <is>
          <t>ÅRE</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61524-2021</t>
        </is>
      </c>
      <c r="B620" s="1" t="n">
        <v>44496</v>
      </c>
      <c r="C620" s="1" t="n">
        <v>46133</v>
      </c>
      <c r="D620" t="inlineStr">
        <is>
          <t>JÄMTLANDS LÄN</t>
        </is>
      </c>
      <c r="E620" t="inlineStr">
        <is>
          <t>ÅRE</t>
        </is>
      </c>
      <c r="F620" t="inlineStr">
        <is>
          <t>Övriga statliga verk och myndigheter</t>
        </is>
      </c>
      <c r="G620" t="n">
        <v>15</v>
      </c>
      <c r="H620" t="n">
        <v>0</v>
      </c>
      <c r="I620" t="n">
        <v>0</v>
      </c>
      <c r="J620" t="n">
        <v>0</v>
      </c>
      <c r="K620" t="n">
        <v>0</v>
      </c>
      <c r="L620" t="n">
        <v>0</v>
      </c>
      <c r="M620" t="n">
        <v>0</v>
      </c>
      <c r="N620" t="n">
        <v>0</v>
      </c>
      <c r="O620" t="n">
        <v>0</v>
      </c>
      <c r="P620" t="n">
        <v>0</v>
      </c>
      <c r="Q620" t="n">
        <v>0</v>
      </c>
      <c r="R620" s="2" t="inlineStr"/>
    </row>
    <row r="621" ht="15" customHeight="1">
      <c r="A621" t="inlineStr">
        <is>
          <t>A 61481-2022</t>
        </is>
      </c>
      <c r="B621" s="1" t="n">
        <v>44910</v>
      </c>
      <c r="C621" s="1" t="n">
        <v>46133</v>
      </c>
      <c r="D621" t="inlineStr">
        <is>
          <t>JÄMTLANDS LÄN</t>
        </is>
      </c>
      <c r="E621" t="inlineStr">
        <is>
          <t>ÅRE</t>
        </is>
      </c>
      <c r="G621" t="n">
        <v>0.4</v>
      </c>
      <c r="H621" t="n">
        <v>0</v>
      </c>
      <c r="I621" t="n">
        <v>0</v>
      </c>
      <c r="J621" t="n">
        <v>0</v>
      </c>
      <c r="K621" t="n">
        <v>0</v>
      </c>
      <c r="L621" t="n">
        <v>0</v>
      </c>
      <c r="M621" t="n">
        <v>0</v>
      </c>
      <c r="N621" t="n">
        <v>0</v>
      </c>
      <c r="O621" t="n">
        <v>0</v>
      </c>
      <c r="P621" t="n">
        <v>0</v>
      </c>
      <c r="Q621" t="n">
        <v>0</v>
      </c>
      <c r="R621" s="2" t="inlineStr"/>
    </row>
    <row r="622" ht="15" customHeight="1">
      <c r="A622" t="inlineStr">
        <is>
          <t>A 58940-2021</t>
        </is>
      </c>
      <c r="B622" s="1" t="n">
        <v>44489</v>
      </c>
      <c r="C622" s="1" t="n">
        <v>46133</v>
      </c>
      <c r="D622" t="inlineStr">
        <is>
          <t>JÄMTLANDS LÄN</t>
        </is>
      </c>
      <c r="E622" t="inlineStr">
        <is>
          <t>ÅRE</t>
        </is>
      </c>
      <c r="G622" t="n">
        <v>5.8</v>
      </c>
      <c r="H622" t="n">
        <v>0</v>
      </c>
      <c r="I622" t="n">
        <v>0</v>
      </c>
      <c r="J622" t="n">
        <v>0</v>
      </c>
      <c r="K622" t="n">
        <v>0</v>
      </c>
      <c r="L622" t="n">
        <v>0</v>
      </c>
      <c r="M622" t="n">
        <v>0</v>
      </c>
      <c r="N622" t="n">
        <v>0</v>
      </c>
      <c r="O622" t="n">
        <v>0</v>
      </c>
      <c r="P622" t="n">
        <v>0</v>
      </c>
      <c r="Q622" t="n">
        <v>0</v>
      </c>
      <c r="R622" s="2" t="inlineStr"/>
    </row>
    <row r="623" ht="15" customHeight="1">
      <c r="A623" t="inlineStr">
        <is>
          <t>A 56556-2022</t>
        </is>
      </c>
      <c r="B623" s="1" t="n">
        <v>44893.48930555556</v>
      </c>
      <c r="C623" s="1" t="n">
        <v>46133</v>
      </c>
      <c r="D623" t="inlineStr">
        <is>
          <t>JÄMTLANDS LÄN</t>
        </is>
      </c>
      <c r="E623" t="inlineStr">
        <is>
          <t>ÅRE</t>
        </is>
      </c>
      <c r="F623" t="inlineStr">
        <is>
          <t>Övriga Aktiebolag</t>
        </is>
      </c>
      <c r="G623" t="n">
        <v>4.9</v>
      </c>
      <c r="H623" t="n">
        <v>0</v>
      </c>
      <c r="I623" t="n">
        <v>0</v>
      </c>
      <c r="J623" t="n">
        <v>0</v>
      </c>
      <c r="K623" t="n">
        <v>0</v>
      </c>
      <c r="L623" t="n">
        <v>0</v>
      </c>
      <c r="M623" t="n">
        <v>0</v>
      </c>
      <c r="N623" t="n">
        <v>0</v>
      </c>
      <c r="O623" t="n">
        <v>0</v>
      </c>
      <c r="P623" t="n">
        <v>0</v>
      </c>
      <c r="Q623" t="n">
        <v>0</v>
      </c>
      <c r="R623" s="2" t="inlineStr"/>
    </row>
    <row r="624" ht="15" customHeight="1">
      <c r="A624" t="inlineStr">
        <is>
          <t>A 5610-2025</t>
        </is>
      </c>
      <c r="B624" s="1" t="n">
        <v>45693.60425925926</v>
      </c>
      <c r="C624" s="1" t="n">
        <v>46133</v>
      </c>
      <c r="D624" t="inlineStr">
        <is>
          <t>JÄMTLANDS LÄN</t>
        </is>
      </c>
      <c r="E624" t="inlineStr">
        <is>
          <t>ÅRE</t>
        </is>
      </c>
      <c r="G624" t="n">
        <v>1.6</v>
      </c>
      <c r="H624" t="n">
        <v>0</v>
      </c>
      <c r="I624" t="n">
        <v>0</v>
      </c>
      <c r="J624" t="n">
        <v>0</v>
      </c>
      <c r="K624" t="n">
        <v>0</v>
      </c>
      <c r="L624" t="n">
        <v>0</v>
      </c>
      <c r="M624" t="n">
        <v>0</v>
      </c>
      <c r="N624" t="n">
        <v>0</v>
      </c>
      <c r="O624" t="n">
        <v>0</v>
      </c>
      <c r="P624" t="n">
        <v>0</v>
      </c>
      <c r="Q624" t="n">
        <v>0</v>
      </c>
      <c r="R624" s="2" t="inlineStr"/>
    </row>
    <row r="625" ht="15" customHeight="1">
      <c r="A625" t="inlineStr">
        <is>
          <t>A 27390-2021</t>
        </is>
      </c>
      <c r="B625" s="1" t="n">
        <v>44351</v>
      </c>
      <c r="C625" s="1" t="n">
        <v>46133</v>
      </c>
      <c r="D625" t="inlineStr">
        <is>
          <t>JÄMTLANDS LÄN</t>
        </is>
      </c>
      <c r="E625" t="inlineStr">
        <is>
          <t>ÅRE</t>
        </is>
      </c>
      <c r="G625" t="n">
        <v>14.9</v>
      </c>
      <c r="H625" t="n">
        <v>0</v>
      </c>
      <c r="I625" t="n">
        <v>0</v>
      </c>
      <c r="J625" t="n">
        <v>0</v>
      </c>
      <c r="K625" t="n">
        <v>0</v>
      </c>
      <c r="L625" t="n">
        <v>0</v>
      </c>
      <c r="M625" t="n">
        <v>0</v>
      </c>
      <c r="N625" t="n">
        <v>0</v>
      </c>
      <c r="O625" t="n">
        <v>0</v>
      </c>
      <c r="P625" t="n">
        <v>0</v>
      </c>
      <c r="Q625" t="n">
        <v>0</v>
      </c>
      <c r="R625" s="2" t="inlineStr"/>
    </row>
    <row r="626" ht="15" customHeight="1">
      <c r="A626" t="inlineStr">
        <is>
          <t>A 14283-2025</t>
        </is>
      </c>
      <c r="B626" s="1" t="n">
        <v>45740.65851851852</v>
      </c>
      <c r="C626" s="1" t="n">
        <v>46133</v>
      </c>
      <c r="D626" t="inlineStr">
        <is>
          <t>JÄMTLANDS LÄN</t>
        </is>
      </c>
      <c r="E626" t="inlineStr">
        <is>
          <t>ÅRE</t>
        </is>
      </c>
      <c r="G626" t="n">
        <v>4.6</v>
      </c>
      <c r="H626" t="n">
        <v>0</v>
      </c>
      <c r="I626" t="n">
        <v>0</v>
      </c>
      <c r="J626" t="n">
        <v>0</v>
      </c>
      <c r="K626" t="n">
        <v>0</v>
      </c>
      <c r="L626" t="n">
        <v>0</v>
      </c>
      <c r="M626" t="n">
        <v>0</v>
      </c>
      <c r="N626" t="n">
        <v>0</v>
      </c>
      <c r="O626" t="n">
        <v>0</v>
      </c>
      <c r="P626" t="n">
        <v>0</v>
      </c>
      <c r="Q626" t="n">
        <v>0</v>
      </c>
      <c r="R626" s="2" t="inlineStr"/>
    </row>
    <row r="627" ht="15" customHeight="1">
      <c r="A627" t="inlineStr">
        <is>
          <t>A 33379-2024</t>
        </is>
      </c>
      <c r="B627" s="1" t="n">
        <v>45519.4495949074</v>
      </c>
      <c r="C627" s="1" t="n">
        <v>46133</v>
      </c>
      <c r="D627" t="inlineStr">
        <is>
          <t>JÄMTLANDS LÄN</t>
        </is>
      </c>
      <c r="E627" t="inlineStr">
        <is>
          <t>ÅRE</t>
        </is>
      </c>
      <c r="G627" t="n">
        <v>1.5</v>
      </c>
      <c r="H627" t="n">
        <v>0</v>
      </c>
      <c r="I627" t="n">
        <v>0</v>
      </c>
      <c r="J627" t="n">
        <v>0</v>
      </c>
      <c r="K627" t="n">
        <v>0</v>
      </c>
      <c r="L627" t="n">
        <v>0</v>
      </c>
      <c r="M627" t="n">
        <v>0</v>
      </c>
      <c r="N627" t="n">
        <v>0</v>
      </c>
      <c r="O627" t="n">
        <v>0</v>
      </c>
      <c r="P627" t="n">
        <v>0</v>
      </c>
      <c r="Q627" t="n">
        <v>0</v>
      </c>
      <c r="R627" s="2" t="inlineStr"/>
    </row>
    <row r="628" ht="15" customHeight="1">
      <c r="A628" t="inlineStr">
        <is>
          <t>A 12216-2023</t>
        </is>
      </c>
      <c r="B628" s="1" t="n">
        <v>44998</v>
      </c>
      <c r="C628" s="1" t="n">
        <v>46133</v>
      </c>
      <c r="D628" t="inlineStr">
        <is>
          <t>JÄMTLANDS LÄN</t>
        </is>
      </c>
      <c r="E628" t="inlineStr">
        <is>
          <t>ÅRE</t>
        </is>
      </c>
      <c r="G628" t="n">
        <v>11.8</v>
      </c>
      <c r="H628" t="n">
        <v>0</v>
      </c>
      <c r="I628" t="n">
        <v>0</v>
      </c>
      <c r="J628" t="n">
        <v>0</v>
      </c>
      <c r="K628" t="n">
        <v>0</v>
      </c>
      <c r="L628" t="n">
        <v>0</v>
      </c>
      <c r="M628" t="n">
        <v>0</v>
      </c>
      <c r="N628" t="n">
        <v>0</v>
      </c>
      <c r="O628" t="n">
        <v>0</v>
      </c>
      <c r="P628" t="n">
        <v>0</v>
      </c>
      <c r="Q628" t="n">
        <v>0</v>
      </c>
      <c r="R628" s="2" t="inlineStr"/>
    </row>
    <row r="629" ht="15" customHeight="1">
      <c r="A629" t="inlineStr">
        <is>
          <t>A 59215-2024</t>
        </is>
      </c>
      <c r="B629" s="1" t="n">
        <v>45636</v>
      </c>
      <c r="C629" s="1" t="n">
        <v>46133</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23159-2024</t>
        </is>
      </c>
      <c r="B630" s="1" t="n">
        <v>45450.7033912037</v>
      </c>
      <c r="C630" s="1" t="n">
        <v>46133</v>
      </c>
      <c r="D630" t="inlineStr">
        <is>
          <t>JÄMTLANDS LÄN</t>
        </is>
      </c>
      <c r="E630" t="inlineStr">
        <is>
          <t>ÅRE</t>
        </is>
      </c>
      <c r="G630" t="n">
        <v>1.2</v>
      </c>
      <c r="H630" t="n">
        <v>0</v>
      </c>
      <c r="I630" t="n">
        <v>0</v>
      </c>
      <c r="J630" t="n">
        <v>0</v>
      </c>
      <c r="K630" t="n">
        <v>0</v>
      </c>
      <c r="L630" t="n">
        <v>0</v>
      </c>
      <c r="M630" t="n">
        <v>0</v>
      </c>
      <c r="N630" t="n">
        <v>0</v>
      </c>
      <c r="O630" t="n">
        <v>0</v>
      </c>
      <c r="P630" t="n">
        <v>0</v>
      </c>
      <c r="Q630" t="n">
        <v>0</v>
      </c>
      <c r="R630" s="2" t="inlineStr"/>
    </row>
    <row r="631" ht="15" customHeight="1">
      <c r="A631" t="inlineStr">
        <is>
          <t>A 57448-2023</t>
        </is>
      </c>
      <c r="B631" s="1" t="n">
        <v>45246.34405092592</v>
      </c>
      <c r="C631" s="1" t="n">
        <v>46133</v>
      </c>
      <c r="D631" t="inlineStr">
        <is>
          <t>JÄMTLANDS LÄN</t>
        </is>
      </c>
      <c r="E631" t="inlineStr">
        <is>
          <t>ÅRE</t>
        </is>
      </c>
      <c r="G631" t="n">
        <v>11.9</v>
      </c>
      <c r="H631" t="n">
        <v>0</v>
      </c>
      <c r="I631" t="n">
        <v>0</v>
      </c>
      <c r="J631" t="n">
        <v>0</v>
      </c>
      <c r="K631" t="n">
        <v>0</v>
      </c>
      <c r="L631" t="n">
        <v>0</v>
      </c>
      <c r="M631" t="n">
        <v>0</v>
      </c>
      <c r="N631" t="n">
        <v>0</v>
      </c>
      <c r="O631" t="n">
        <v>0</v>
      </c>
      <c r="P631" t="n">
        <v>0</v>
      </c>
      <c r="Q631" t="n">
        <v>0</v>
      </c>
      <c r="R631" s="2" t="inlineStr"/>
    </row>
    <row r="632" ht="15" customHeight="1">
      <c r="A632" t="inlineStr">
        <is>
          <t>A 49818-2022</t>
        </is>
      </c>
      <c r="B632" s="1" t="n">
        <v>44859</v>
      </c>
      <c r="C632" s="1" t="n">
        <v>46133</v>
      </c>
      <c r="D632" t="inlineStr">
        <is>
          <t>JÄMTLANDS LÄN</t>
        </is>
      </c>
      <c r="E632" t="inlineStr">
        <is>
          <t>ÅRE</t>
        </is>
      </c>
      <c r="G632" t="n">
        <v>63</v>
      </c>
      <c r="H632" t="n">
        <v>0</v>
      </c>
      <c r="I632" t="n">
        <v>0</v>
      </c>
      <c r="J632" t="n">
        <v>0</v>
      </c>
      <c r="K632" t="n">
        <v>0</v>
      </c>
      <c r="L632" t="n">
        <v>0</v>
      </c>
      <c r="M632" t="n">
        <v>0</v>
      </c>
      <c r="N632" t="n">
        <v>0</v>
      </c>
      <c r="O632" t="n">
        <v>0</v>
      </c>
      <c r="P632" t="n">
        <v>0</v>
      </c>
      <c r="Q632" t="n">
        <v>0</v>
      </c>
      <c r="R632" s="2" t="inlineStr"/>
    </row>
    <row r="633" ht="15" customHeight="1">
      <c r="A633" t="inlineStr">
        <is>
          <t>A 73798-2021</t>
        </is>
      </c>
      <c r="B633" s="1" t="n">
        <v>44552</v>
      </c>
      <c r="C633" s="1" t="n">
        <v>46133</v>
      </c>
      <c r="D633" t="inlineStr">
        <is>
          <t>JÄMTLANDS LÄN</t>
        </is>
      </c>
      <c r="E633" t="inlineStr">
        <is>
          <t>ÅRE</t>
        </is>
      </c>
      <c r="G633" t="n">
        <v>2.5</v>
      </c>
      <c r="H633" t="n">
        <v>0</v>
      </c>
      <c r="I633" t="n">
        <v>0</v>
      </c>
      <c r="J633" t="n">
        <v>0</v>
      </c>
      <c r="K633" t="n">
        <v>0</v>
      </c>
      <c r="L633" t="n">
        <v>0</v>
      </c>
      <c r="M633" t="n">
        <v>0</v>
      </c>
      <c r="N633" t="n">
        <v>0</v>
      </c>
      <c r="O633" t="n">
        <v>0</v>
      </c>
      <c r="P633" t="n">
        <v>0</v>
      </c>
      <c r="Q633" t="n">
        <v>0</v>
      </c>
      <c r="R633" s="2" t="inlineStr"/>
    </row>
    <row r="634" ht="15" customHeight="1">
      <c r="A634" t="inlineStr">
        <is>
          <t>A 1414-2023</t>
        </is>
      </c>
      <c r="B634" s="1" t="n">
        <v>44936</v>
      </c>
      <c r="C634" s="1" t="n">
        <v>46133</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30379-2024</t>
        </is>
      </c>
      <c r="B635" s="1" t="n">
        <v>45491.43815972222</v>
      </c>
      <c r="C635" s="1" t="n">
        <v>46133</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33015-2022</t>
        </is>
      </c>
      <c r="B636" s="1" t="n">
        <v>44784</v>
      </c>
      <c r="C636" s="1" t="n">
        <v>46133</v>
      </c>
      <c r="D636" t="inlineStr">
        <is>
          <t>JÄMTLANDS LÄN</t>
        </is>
      </c>
      <c r="E636" t="inlineStr">
        <is>
          <t>ÅRE</t>
        </is>
      </c>
      <c r="G636" t="n">
        <v>5.1</v>
      </c>
      <c r="H636" t="n">
        <v>0</v>
      </c>
      <c r="I636" t="n">
        <v>0</v>
      </c>
      <c r="J636" t="n">
        <v>0</v>
      </c>
      <c r="K636" t="n">
        <v>0</v>
      </c>
      <c r="L636" t="n">
        <v>0</v>
      </c>
      <c r="M636" t="n">
        <v>0</v>
      </c>
      <c r="N636" t="n">
        <v>0</v>
      </c>
      <c r="O636" t="n">
        <v>0</v>
      </c>
      <c r="P636" t="n">
        <v>0</v>
      </c>
      <c r="Q636" t="n">
        <v>0</v>
      </c>
      <c r="R636" s="2" t="inlineStr"/>
    </row>
    <row r="637" ht="15" customHeight="1">
      <c r="A637" t="inlineStr">
        <is>
          <t>A 49313-2024</t>
        </is>
      </c>
      <c r="B637" s="1" t="n">
        <v>45595</v>
      </c>
      <c r="C637" s="1" t="n">
        <v>46133</v>
      </c>
      <c r="D637" t="inlineStr">
        <is>
          <t>JÄMTLANDS LÄN</t>
        </is>
      </c>
      <c r="E637" t="inlineStr">
        <is>
          <t>ÅRE</t>
        </is>
      </c>
      <c r="G637" t="n">
        <v>1.1</v>
      </c>
      <c r="H637" t="n">
        <v>0</v>
      </c>
      <c r="I637" t="n">
        <v>0</v>
      </c>
      <c r="J637" t="n">
        <v>0</v>
      </c>
      <c r="K637" t="n">
        <v>0</v>
      </c>
      <c r="L637" t="n">
        <v>0</v>
      </c>
      <c r="M637" t="n">
        <v>0</v>
      </c>
      <c r="N637" t="n">
        <v>0</v>
      </c>
      <c r="O637" t="n">
        <v>0</v>
      </c>
      <c r="P637" t="n">
        <v>0</v>
      </c>
      <c r="Q637" t="n">
        <v>0</v>
      </c>
      <c r="R637" s="2" t="inlineStr"/>
    </row>
    <row r="638" ht="15" customHeight="1">
      <c r="A638" t="inlineStr">
        <is>
          <t>A 29294-2023</t>
        </is>
      </c>
      <c r="B638" s="1" t="n">
        <v>45098</v>
      </c>
      <c r="C638" s="1" t="n">
        <v>46133</v>
      </c>
      <c r="D638" t="inlineStr">
        <is>
          <t>JÄMTLANDS LÄN</t>
        </is>
      </c>
      <c r="E638" t="inlineStr">
        <is>
          <t>ÅRE</t>
        </is>
      </c>
      <c r="G638" t="n">
        <v>0.7</v>
      </c>
      <c r="H638" t="n">
        <v>0</v>
      </c>
      <c r="I638" t="n">
        <v>0</v>
      </c>
      <c r="J638" t="n">
        <v>0</v>
      </c>
      <c r="K638" t="n">
        <v>0</v>
      </c>
      <c r="L638" t="n">
        <v>0</v>
      </c>
      <c r="M638" t="n">
        <v>0</v>
      </c>
      <c r="N638" t="n">
        <v>0</v>
      </c>
      <c r="O638" t="n">
        <v>0</v>
      </c>
      <c r="P638" t="n">
        <v>0</v>
      </c>
      <c r="Q638" t="n">
        <v>0</v>
      </c>
      <c r="R638" s="2" t="inlineStr"/>
    </row>
    <row r="639" ht="15" customHeight="1">
      <c r="A639" t="inlineStr">
        <is>
          <t>A 43324-2022</t>
        </is>
      </c>
      <c r="B639" s="1" t="n">
        <v>44834</v>
      </c>
      <c r="C639" s="1" t="n">
        <v>46133</v>
      </c>
      <c r="D639" t="inlineStr">
        <is>
          <t>JÄMTLANDS LÄN</t>
        </is>
      </c>
      <c r="E639" t="inlineStr">
        <is>
          <t>ÅRE</t>
        </is>
      </c>
      <c r="F639" t="inlineStr">
        <is>
          <t>Bergvik skog öst AB</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47052-2022</t>
        </is>
      </c>
      <c r="B640" s="1" t="n">
        <v>44851</v>
      </c>
      <c r="C640" s="1" t="n">
        <v>46133</v>
      </c>
      <c r="D640" t="inlineStr">
        <is>
          <t>JÄMTLANDS LÄN</t>
        </is>
      </c>
      <c r="E640" t="inlineStr">
        <is>
          <t>ÅRE</t>
        </is>
      </c>
      <c r="G640" t="n">
        <v>90.8</v>
      </c>
      <c r="H640" t="n">
        <v>0</v>
      </c>
      <c r="I640" t="n">
        <v>0</v>
      </c>
      <c r="J640" t="n">
        <v>0</v>
      </c>
      <c r="K640" t="n">
        <v>0</v>
      </c>
      <c r="L640" t="n">
        <v>0</v>
      </c>
      <c r="M640" t="n">
        <v>0</v>
      </c>
      <c r="N640" t="n">
        <v>0</v>
      </c>
      <c r="O640" t="n">
        <v>0</v>
      </c>
      <c r="P640" t="n">
        <v>0</v>
      </c>
      <c r="Q640" t="n">
        <v>0</v>
      </c>
      <c r="R640" s="2" t="inlineStr"/>
    </row>
    <row r="641" ht="15" customHeight="1">
      <c r="A641" t="inlineStr">
        <is>
          <t>A 59666-2023</t>
        </is>
      </c>
      <c r="B641" s="1" t="n">
        <v>45254.96476851852</v>
      </c>
      <c r="C641" s="1" t="n">
        <v>46133</v>
      </c>
      <c r="D641" t="inlineStr">
        <is>
          <t>JÄMTLANDS LÄN</t>
        </is>
      </c>
      <c r="E641" t="inlineStr">
        <is>
          <t>ÅRE</t>
        </is>
      </c>
      <c r="G641" t="n">
        <v>6.6</v>
      </c>
      <c r="H641" t="n">
        <v>0</v>
      </c>
      <c r="I641" t="n">
        <v>0</v>
      </c>
      <c r="J641" t="n">
        <v>0</v>
      </c>
      <c r="K641" t="n">
        <v>0</v>
      </c>
      <c r="L641" t="n">
        <v>0</v>
      </c>
      <c r="M641" t="n">
        <v>0</v>
      </c>
      <c r="N641" t="n">
        <v>0</v>
      </c>
      <c r="O641" t="n">
        <v>0</v>
      </c>
      <c r="P641" t="n">
        <v>0</v>
      </c>
      <c r="Q641" t="n">
        <v>0</v>
      </c>
      <c r="R641" s="2" t="inlineStr"/>
    </row>
    <row r="642" ht="15" customHeight="1">
      <c r="A642" t="inlineStr">
        <is>
          <t>A 20999-2024</t>
        </is>
      </c>
      <c r="B642" s="1" t="n">
        <v>45439</v>
      </c>
      <c r="C642" s="1" t="n">
        <v>46133</v>
      </c>
      <c r="D642" t="inlineStr">
        <is>
          <t>JÄMTLANDS LÄN</t>
        </is>
      </c>
      <c r="E642" t="inlineStr">
        <is>
          <t>ÅRE</t>
        </is>
      </c>
      <c r="G642" t="n">
        <v>5.7</v>
      </c>
      <c r="H642" t="n">
        <v>0</v>
      </c>
      <c r="I642" t="n">
        <v>0</v>
      </c>
      <c r="J642" t="n">
        <v>0</v>
      </c>
      <c r="K642" t="n">
        <v>0</v>
      </c>
      <c r="L642" t="n">
        <v>0</v>
      </c>
      <c r="M642" t="n">
        <v>0</v>
      </c>
      <c r="N642" t="n">
        <v>0</v>
      </c>
      <c r="O642" t="n">
        <v>0</v>
      </c>
      <c r="P642" t="n">
        <v>0</v>
      </c>
      <c r="Q642" t="n">
        <v>0</v>
      </c>
      <c r="R642" s="2" t="inlineStr"/>
    </row>
    <row r="643" ht="15" customHeight="1">
      <c r="A643" t="inlineStr">
        <is>
          <t>A 41686-2024</t>
        </is>
      </c>
      <c r="B643" s="1" t="n">
        <v>45560.67016203704</v>
      </c>
      <c r="C643" s="1" t="n">
        <v>46133</v>
      </c>
      <c r="D643" t="inlineStr">
        <is>
          <t>JÄMTLANDS LÄN</t>
        </is>
      </c>
      <c r="E643" t="inlineStr">
        <is>
          <t>ÅRE</t>
        </is>
      </c>
      <c r="G643" t="n">
        <v>0.6</v>
      </c>
      <c r="H643" t="n">
        <v>0</v>
      </c>
      <c r="I643" t="n">
        <v>0</v>
      </c>
      <c r="J643" t="n">
        <v>0</v>
      </c>
      <c r="K643" t="n">
        <v>0</v>
      </c>
      <c r="L643" t="n">
        <v>0</v>
      </c>
      <c r="M643" t="n">
        <v>0</v>
      </c>
      <c r="N643" t="n">
        <v>0</v>
      </c>
      <c r="O643" t="n">
        <v>0</v>
      </c>
      <c r="P643" t="n">
        <v>0</v>
      </c>
      <c r="Q643" t="n">
        <v>0</v>
      </c>
      <c r="R643" s="2" t="inlineStr"/>
    </row>
    <row r="644" ht="15" customHeight="1">
      <c r="A644" t="inlineStr">
        <is>
          <t>A 56609-2023</t>
        </is>
      </c>
      <c r="B644" s="1" t="n">
        <v>45243.66828703704</v>
      </c>
      <c r="C644" s="1" t="n">
        <v>46133</v>
      </c>
      <c r="D644" t="inlineStr">
        <is>
          <t>JÄMTLANDS LÄN</t>
        </is>
      </c>
      <c r="E644" t="inlineStr">
        <is>
          <t>ÅRE</t>
        </is>
      </c>
      <c r="G644" t="n">
        <v>17.9</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46133</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71968-2021</t>
        </is>
      </c>
      <c r="B646" s="1" t="n">
        <v>44540</v>
      </c>
      <c r="C646" s="1" t="n">
        <v>46133</v>
      </c>
      <c r="D646" t="inlineStr">
        <is>
          <t>JÄMTLANDS LÄN</t>
        </is>
      </c>
      <c r="E646" t="inlineStr">
        <is>
          <t>ÅRE</t>
        </is>
      </c>
      <c r="G646" t="n">
        <v>7</v>
      </c>
      <c r="H646" t="n">
        <v>0</v>
      </c>
      <c r="I646" t="n">
        <v>0</v>
      </c>
      <c r="J646" t="n">
        <v>0</v>
      </c>
      <c r="K646" t="n">
        <v>0</v>
      </c>
      <c r="L646" t="n">
        <v>0</v>
      </c>
      <c r="M646" t="n">
        <v>0</v>
      </c>
      <c r="N646" t="n">
        <v>0</v>
      </c>
      <c r="O646" t="n">
        <v>0</v>
      </c>
      <c r="P646" t="n">
        <v>0</v>
      </c>
      <c r="Q646" t="n">
        <v>0</v>
      </c>
      <c r="R646" s="2" t="inlineStr"/>
    </row>
    <row r="647" ht="15" customHeight="1">
      <c r="A647" t="inlineStr">
        <is>
          <t>A 54324-2023</t>
        </is>
      </c>
      <c r="B647" s="1" t="n">
        <v>45225</v>
      </c>
      <c r="C647" s="1" t="n">
        <v>46133</v>
      </c>
      <c r="D647" t="inlineStr">
        <is>
          <t>JÄMTLANDS LÄN</t>
        </is>
      </c>
      <c r="E647" t="inlineStr">
        <is>
          <t>ÅRE</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54385-2023</t>
        </is>
      </c>
      <c r="B648" s="1" t="n">
        <v>45233.35863425926</v>
      </c>
      <c r="C648" s="1" t="n">
        <v>46133</v>
      </c>
      <c r="D648" t="inlineStr">
        <is>
          <t>JÄMTLANDS LÄN</t>
        </is>
      </c>
      <c r="E648" t="inlineStr">
        <is>
          <t>ÅRE</t>
        </is>
      </c>
      <c r="G648" t="n">
        <v>3.7</v>
      </c>
      <c r="H648" t="n">
        <v>0</v>
      </c>
      <c r="I648" t="n">
        <v>0</v>
      </c>
      <c r="J648" t="n">
        <v>0</v>
      </c>
      <c r="K648" t="n">
        <v>0</v>
      </c>
      <c r="L648" t="n">
        <v>0</v>
      </c>
      <c r="M648" t="n">
        <v>0</v>
      </c>
      <c r="N648" t="n">
        <v>0</v>
      </c>
      <c r="O648" t="n">
        <v>0</v>
      </c>
      <c r="P648" t="n">
        <v>0</v>
      </c>
      <c r="Q648" t="n">
        <v>0</v>
      </c>
      <c r="R648" s="2" t="inlineStr"/>
    </row>
    <row r="649" ht="15" customHeight="1">
      <c r="A649" t="inlineStr">
        <is>
          <t>A 3149-2023</t>
        </is>
      </c>
      <c r="B649" s="1" t="n">
        <v>44946.5500925926</v>
      </c>
      <c r="C649" s="1" t="n">
        <v>46133</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42244-2024</t>
        </is>
      </c>
      <c r="B650" s="1" t="n">
        <v>45562.56747685185</v>
      </c>
      <c r="C650" s="1" t="n">
        <v>46133</v>
      </c>
      <c r="D650" t="inlineStr">
        <is>
          <t>JÄMTLANDS LÄN</t>
        </is>
      </c>
      <c r="E650" t="inlineStr">
        <is>
          <t>ÅRE</t>
        </is>
      </c>
      <c r="F650" t="inlineStr">
        <is>
          <t>Övriga Aktiebolag</t>
        </is>
      </c>
      <c r="G650" t="n">
        <v>6</v>
      </c>
      <c r="H650" t="n">
        <v>0</v>
      </c>
      <c r="I650" t="n">
        <v>0</v>
      </c>
      <c r="J650" t="n">
        <v>0</v>
      </c>
      <c r="K650" t="n">
        <v>0</v>
      </c>
      <c r="L650" t="n">
        <v>0</v>
      </c>
      <c r="M650" t="n">
        <v>0</v>
      </c>
      <c r="N650" t="n">
        <v>0</v>
      </c>
      <c r="O650" t="n">
        <v>0</v>
      </c>
      <c r="P650" t="n">
        <v>0</v>
      </c>
      <c r="Q650" t="n">
        <v>0</v>
      </c>
      <c r="R650" s="2" t="inlineStr"/>
    </row>
    <row r="651" ht="15" customHeight="1">
      <c r="A651" t="inlineStr">
        <is>
          <t>A 34357-2021</t>
        </is>
      </c>
      <c r="B651" s="1" t="n">
        <v>44379</v>
      </c>
      <c r="C651" s="1" t="n">
        <v>46133</v>
      </c>
      <c r="D651" t="inlineStr">
        <is>
          <t>JÄMTLANDS LÄN</t>
        </is>
      </c>
      <c r="E651" t="inlineStr">
        <is>
          <t>ÅRE</t>
        </is>
      </c>
      <c r="G651" t="n">
        <v>7.1</v>
      </c>
      <c r="H651" t="n">
        <v>0</v>
      </c>
      <c r="I651" t="n">
        <v>0</v>
      </c>
      <c r="J651" t="n">
        <v>0</v>
      </c>
      <c r="K651" t="n">
        <v>0</v>
      </c>
      <c r="L651" t="n">
        <v>0</v>
      </c>
      <c r="M651" t="n">
        <v>0</v>
      </c>
      <c r="N651" t="n">
        <v>0</v>
      </c>
      <c r="O651" t="n">
        <v>0</v>
      </c>
      <c r="P651" t="n">
        <v>0</v>
      </c>
      <c r="Q651" t="n">
        <v>0</v>
      </c>
      <c r="R651" s="2" t="inlineStr"/>
    </row>
    <row r="652" ht="15" customHeight="1">
      <c r="A652" t="inlineStr">
        <is>
          <t>A 61803-2021</t>
        </is>
      </c>
      <c r="B652" s="1" t="n">
        <v>44498</v>
      </c>
      <c r="C652" s="1" t="n">
        <v>46133</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61622-2023</t>
        </is>
      </c>
      <c r="B653" s="1" t="n">
        <v>45261</v>
      </c>
      <c r="C653" s="1" t="n">
        <v>46133</v>
      </c>
      <c r="D653" t="inlineStr">
        <is>
          <t>JÄMTLANDS LÄN</t>
        </is>
      </c>
      <c r="E653" t="inlineStr">
        <is>
          <t>ÅRE</t>
        </is>
      </c>
      <c r="G653" t="n">
        <v>1.6</v>
      </c>
      <c r="H653" t="n">
        <v>0</v>
      </c>
      <c r="I653" t="n">
        <v>0</v>
      </c>
      <c r="J653" t="n">
        <v>0</v>
      </c>
      <c r="K653" t="n">
        <v>0</v>
      </c>
      <c r="L653" t="n">
        <v>0</v>
      </c>
      <c r="M653" t="n">
        <v>0</v>
      </c>
      <c r="N653" t="n">
        <v>0</v>
      </c>
      <c r="O653" t="n">
        <v>0</v>
      </c>
      <c r="P653" t="n">
        <v>0</v>
      </c>
      <c r="Q653" t="n">
        <v>0</v>
      </c>
      <c r="R653" s="2" t="inlineStr"/>
    </row>
    <row r="654" ht="15" customHeight="1">
      <c r="A654" t="inlineStr">
        <is>
          <t>A 69592-2021</t>
        </is>
      </c>
      <c r="B654" s="1" t="n">
        <v>44531</v>
      </c>
      <c r="C654" s="1" t="n">
        <v>46133</v>
      </c>
      <c r="D654" t="inlineStr">
        <is>
          <t>JÄMTLANDS LÄN</t>
        </is>
      </c>
      <c r="E654" t="inlineStr">
        <is>
          <t>ÅRE</t>
        </is>
      </c>
      <c r="G654" t="n">
        <v>4.7</v>
      </c>
      <c r="H654" t="n">
        <v>0</v>
      </c>
      <c r="I654" t="n">
        <v>0</v>
      </c>
      <c r="J654" t="n">
        <v>0</v>
      </c>
      <c r="K654" t="n">
        <v>0</v>
      </c>
      <c r="L654" t="n">
        <v>0</v>
      </c>
      <c r="M654" t="n">
        <v>0</v>
      </c>
      <c r="N654" t="n">
        <v>0</v>
      </c>
      <c r="O654" t="n">
        <v>0</v>
      </c>
      <c r="P654" t="n">
        <v>0</v>
      </c>
      <c r="Q654" t="n">
        <v>0</v>
      </c>
      <c r="R654" s="2" t="inlineStr"/>
    </row>
    <row r="655" ht="15" customHeight="1">
      <c r="A655" t="inlineStr">
        <is>
          <t>A 60426-2022</t>
        </is>
      </c>
      <c r="B655" s="1" t="n">
        <v>44911.32092592592</v>
      </c>
      <c r="C655" s="1" t="n">
        <v>46133</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57102-2024</t>
        </is>
      </c>
      <c r="B656" s="1" t="n">
        <v>45629.35856481481</v>
      </c>
      <c r="C656" s="1" t="n">
        <v>46133</v>
      </c>
      <c r="D656" t="inlineStr">
        <is>
          <t>JÄMTLANDS LÄN</t>
        </is>
      </c>
      <c r="E656" t="inlineStr">
        <is>
          <t>ÅRE</t>
        </is>
      </c>
      <c r="G656" t="n">
        <v>3.3</v>
      </c>
      <c r="H656" t="n">
        <v>0</v>
      </c>
      <c r="I656" t="n">
        <v>0</v>
      </c>
      <c r="J656" t="n">
        <v>0</v>
      </c>
      <c r="K656" t="n">
        <v>0</v>
      </c>
      <c r="L656" t="n">
        <v>0</v>
      </c>
      <c r="M656" t="n">
        <v>0</v>
      </c>
      <c r="N656" t="n">
        <v>0</v>
      </c>
      <c r="O656" t="n">
        <v>0</v>
      </c>
      <c r="P656" t="n">
        <v>0</v>
      </c>
      <c r="Q656" t="n">
        <v>0</v>
      </c>
      <c r="R656" s="2" t="inlineStr"/>
    </row>
    <row r="657" ht="15" customHeight="1">
      <c r="A657" t="inlineStr">
        <is>
          <t>A 12286-2023</t>
        </is>
      </c>
      <c r="B657" s="1" t="n">
        <v>44998.72263888889</v>
      </c>
      <c r="C657" s="1" t="n">
        <v>46133</v>
      </c>
      <c r="D657" t="inlineStr">
        <is>
          <t>JÄMTLANDS LÄN</t>
        </is>
      </c>
      <c r="E657" t="inlineStr">
        <is>
          <t>ÅRE</t>
        </is>
      </c>
      <c r="G657" t="n">
        <v>7.3</v>
      </c>
      <c r="H657" t="n">
        <v>0</v>
      </c>
      <c r="I657" t="n">
        <v>0</v>
      </c>
      <c r="J657" t="n">
        <v>0</v>
      </c>
      <c r="K657" t="n">
        <v>0</v>
      </c>
      <c r="L657" t="n">
        <v>0</v>
      </c>
      <c r="M657" t="n">
        <v>0</v>
      </c>
      <c r="N657" t="n">
        <v>0</v>
      </c>
      <c r="O657" t="n">
        <v>0</v>
      </c>
      <c r="P657" t="n">
        <v>0</v>
      </c>
      <c r="Q657" t="n">
        <v>0</v>
      </c>
      <c r="R657" s="2" t="inlineStr"/>
    </row>
    <row r="658" ht="15" customHeight="1">
      <c r="A658" t="inlineStr">
        <is>
          <t>A 15889-2025</t>
        </is>
      </c>
      <c r="B658" s="1" t="n">
        <v>45749.4075</v>
      </c>
      <c r="C658" s="1" t="n">
        <v>46133</v>
      </c>
      <c r="D658" t="inlineStr">
        <is>
          <t>JÄMTLANDS LÄN</t>
        </is>
      </c>
      <c r="E658" t="inlineStr">
        <is>
          <t>ÅRE</t>
        </is>
      </c>
      <c r="G658" t="n">
        <v>1.4</v>
      </c>
      <c r="H658" t="n">
        <v>0</v>
      </c>
      <c r="I658" t="n">
        <v>0</v>
      </c>
      <c r="J658" t="n">
        <v>0</v>
      </c>
      <c r="K658" t="n">
        <v>0</v>
      </c>
      <c r="L658" t="n">
        <v>0</v>
      </c>
      <c r="M658" t="n">
        <v>0</v>
      </c>
      <c r="N658" t="n">
        <v>0</v>
      </c>
      <c r="O658" t="n">
        <v>0</v>
      </c>
      <c r="P658" t="n">
        <v>0</v>
      </c>
      <c r="Q658" t="n">
        <v>0</v>
      </c>
      <c r="R658" s="2" t="inlineStr"/>
    </row>
    <row r="659" ht="15" customHeight="1">
      <c r="A659" t="inlineStr">
        <is>
          <t>A 59753-2023</t>
        </is>
      </c>
      <c r="B659" s="1" t="n">
        <v>45254</v>
      </c>
      <c r="C659" s="1" t="n">
        <v>46133</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21167-2025</t>
        </is>
      </c>
      <c r="B660" s="1" t="n">
        <v>45779.41253472222</v>
      </c>
      <c r="C660" s="1" t="n">
        <v>46133</v>
      </c>
      <c r="D660" t="inlineStr">
        <is>
          <t>JÄMTLANDS LÄN</t>
        </is>
      </c>
      <c r="E660" t="inlineStr">
        <is>
          <t>ÅRE</t>
        </is>
      </c>
      <c r="G660" t="n">
        <v>0.4</v>
      </c>
      <c r="H660" t="n">
        <v>0</v>
      </c>
      <c r="I660" t="n">
        <v>0</v>
      </c>
      <c r="J660" t="n">
        <v>0</v>
      </c>
      <c r="K660" t="n">
        <v>0</v>
      </c>
      <c r="L660" t="n">
        <v>0</v>
      </c>
      <c r="M660" t="n">
        <v>0</v>
      </c>
      <c r="N660" t="n">
        <v>0</v>
      </c>
      <c r="O660" t="n">
        <v>0</v>
      </c>
      <c r="P660" t="n">
        <v>0</v>
      </c>
      <c r="Q660" t="n">
        <v>0</v>
      </c>
      <c r="R660" s="2" t="inlineStr"/>
    </row>
    <row r="661">
      <c r="A661" t="inlineStr">
        <is>
          <t>A 21181-2025</t>
        </is>
      </c>
      <c r="B661" s="1" t="n">
        <v>45779.43696759259</v>
      </c>
      <c r="C661" s="1" t="n">
        <v>46133</v>
      </c>
      <c r="D661" t="inlineStr">
        <is>
          <t>JÄMTLANDS LÄN</t>
        </is>
      </c>
      <c r="E661" t="inlineStr">
        <is>
          <t>ÅRE</t>
        </is>
      </c>
      <c r="G661" t="n">
        <v>2.9</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2026-04-21T10:48:16Z</dcterms:created>
  <dcterms:modified xmlns:dcterms="http://purl.org/dc/terms/" xmlns:xsi="http://www.w3.org/2001/XMLSchema-instance" xsi:type="dcterms:W3CDTF">2026-04-21T10:48:16Z</dcterms:modified>
</cp:coreProperties>
</file>