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45917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45917</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10635-2023</t>
        </is>
      </c>
      <c r="B5" s="1" t="n">
        <v>44984</v>
      </c>
      <c r="C5" s="1" t="n">
        <v>45917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45917</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45917</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45917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45917</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45917</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45917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45917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45917</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45917</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45917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45917</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45917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43927-2024</t>
        </is>
      </c>
      <c r="B18" s="1" t="n">
        <v>45572</v>
      </c>
      <c r="C18" s="1" t="n">
        <v>45917</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45917</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45917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45917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45917</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15905-2025</t>
        </is>
      </c>
      <c r="B23" s="1" t="n">
        <v>45749</v>
      </c>
      <c r="C23" s="1" t="n">
        <v>45917</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45917</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45917</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45917</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43967-2024</t>
        </is>
      </c>
      <c r="B27" s="1" t="n">
        <v>45572</v>
      </c>
      <c r="C27" s="1" t="n">
        <v>45917</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45917</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45917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58223-2021</t>
        </is>
      </c>
      <c r="B30" s="1" t="n">
        <v>44487</v>
      </c>
      <c r="C30" s="1" t="n">
        <v>45917</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34768-2025</t>
        </is>
      </c>
      <c r="B31" s="1" t="n">
        <v>45848</v>
      </c>
      <c r="C31" s="1" t="n">
        <v>45917</v>
      </c>
      <c r="D31" t="inlineStr">
        <is>
          <t>JÄMTLANDS LÄN</t>
        </is>
      </c>
      <c r="E31" t="inlineStr">
        <is>
          <t>ÅRE</t>
        </is>
      </c>
      <c r="G31" t="n">
        <v>11.6</v>
      </c>
      <c r="H31" t="n">
        <v>3</v>
      </c>
      <c r="I31" t="n">
        <v>2</v>
      </c>
      <c r="J31" t="n">
        <v>9</v>
      </c>
      <c r="K31" t="n">
        <v>0</v>
      </c>
      <c r="L31" t="n">
        <v>0</v>
      </c>
      <c r="M31" t="n">
        <v>0</v>
      </c>
      <c r="N31" t="n">
        <v>0</v>
      </c>
      <c r="O31" t="n">
        <v>9</v>
      </c>
      <c r="P31" t="n">
        <v>0</v>
      </c>
      <c r="Q31" t="n">
        <v>11</v>
      </c>
      <c r="R31" s="2" t="inlineStr">
        <is>
          <t>Doftskinn
Gammelgransskål
Garnlav
Granticka
Gränsticka
Knottrig blåslav
Talltita
Tretåig hackspett
Ullticka
Spindelblomster
Stuplav</t>
        </is>
      </c>
      <c r="S31">
        <f>HYPERLINK("https://klasma.github.io/Logging_2321/artfynd/A 34768-2025 artfynd.xlsx", "A 34768-2025")</f>
        <v/>
      </c>
      <c r="T31">
        <f>HYPERLINK("https://klasma.github.io/Logging_2321/kartor/A 34768-2025 karta.png", "A 34768-2025")</f>
        <v/>
      </c>
      <c r="V31">
        <f>HYPERLINK("https://klasma.github.io/Logging_2321/klagomål/A 34768-2025 FSC-klagomål.docx", "A 34768-2025")</f>
        <v/>
      </c>
      <c r="W31">
        <f>HYPERLINK("https://klasma.github.io/Logging_2321/klagomålsmail/A 34768-2025 FSC-klagomål mail.docx", "A 34768-2025")</f>
        <v/>
      </c>
      <c r="X31">
        <f>HYPERLINK("https://klasma.github.io/Logging_2321/tillsyn/A 34768-2025 tillsynsbegäran.docx", "A 34768-2025")</f>
        <v/>
      </c>
      <c r="Y31">
        <f>HYPERLINK("https://klasma.github.io/Logging_2321/tillsynsmail/A 34768-2025 tillsynsbegäran mail.docx", "A 34768-2025")</f>
        <v/>
      </c>
      <c r="Z31">
        <f>HYPERLINK("https://klasma.github.io/Logging_2321/fåglar/A 34768-2025 prioriterade fågelarter.docx", "A 34768-2025")</f>
        <v/>
      </c>
    </row>
    <row r="32" ht="15" customHeight="1">
      <c r="A32" t="inlineStr">
        <is>
          <t>A 20658-2021</t>
        </is>
      </c>
      <c r="B32" s="1" t="n">
        <v>44316</v>
      </c>
      <c r="C32" s="1" t="n">
        <v>45917</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45917</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17095-2025</t>
        </is>
      </c>
      <c r="B34" s="1" t="n">
        <v>45755</v>
      </c>
      <c r="C34" s="1" t="n">
        <v>45917</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45111-2022</t>
        </is>
      </c>
      <c r="B35" s="1" t="n">
        <v>44843.82278935185</v>
      </c>
      <c r="C35" s="1" t="n">
        <v>45917</v>
      </c>
      <c r="D35" t="inlineStr">
        <is>
          <t>JÄMTLANDS LÄN</t>
        </is>
      </c>
      <c r="E35" t="inlineStr">
        <is>
          <t>ÅRE</t>
        </is>
      </c>
      <c r="G35" t="n">
        <v>1.6</v>
      </c>
      <c r="H35" t="n">
        <v>6</v>
      </c>
      <c r="I35" t="n">
        <v>3</v>
      </c>
      <c r="J35" t="n">
        <v>3</v>
      </c>
      <c r="K35" t="n">
        <v>1</v>
      </c>
      <c r="L35" t="n">
        <v>0</v>
      </c>
      <c r="M35" t="n">
        <v>0</v>
      </c>
      <c r="N35" t="n">
        <v>0</v>
      </c>
      <c r="O35" t="n">
        <v>4</v>
      </c>
      <c r="P35" t="n">
        <v>1</v>
      </c>
      <c r="Q35" t="n">
        <v>9</v>
      </c>
      <c r="R35" s="2" t="inlineStr">
        <is>
          <t>Knärot
Granticka
Lunglav
Skrovellav
Korallrot
Spindelblomster
Tvåblad
Fläcknycklar
Revlummer</t>
        </is>
      </c>
      <c r="S35">
        <f>HYPERLINK("https://klasma.github.io/Logging_2321/artfynd/A 45111-2022 artfynd.xlsx", "A 45111-2022")</f>
        <v/>
      </c>
      <c r="T35">
        <f>HYPERLINK("https://klasma.github.io/Logging_2321/kartor/A 45111-2022 karta.png", "A 45111-2022")</f>
        <v/>
      </c>
      <c r="U35">
        <f>HYPERLINK("https://klasma.github.io/Logging_2321/knärot/A 45111-2022 karta knärot.png", "A 45111-2022")</f>
        <v/>
      </c>
      <c r="V35">
        <f>HYPERLINK("https://klasma.github.io/Logging_2321/klagomål/A 45111-2022 FSC-klagomål.docx", "A 45111-2022")</f>
        <v/>
      </c>
      <c r="W35">
        <f>HYPERLINK("https://klasma.github.io/Logging_2321/klagomålsmail/A 45111-2022 FSC-klagomål mail.docx", "A 45111-2022")</f>
        <v/>
      </c>
      <c r="X35">
        <f>HYPERLINK("https://klasma.github.io/Logging_2321/tillsyn/A 45111-2022 tillsynsbegäran.docx", "A 45111-2022")</f>
        <v/>
      </c>
      <c r="Y35">
        <f>HYPERLINK("https://klasma.github.io/Logging_2321/tillsynsmail/A 45111-2022 tillsynsbegäran mail.docx", "A 45111-2022")</f>
        <v/>
      </c>
    </row>
    <row r="36" ht="15" customHeight="1">
      <c r="A36" t="inlineStr">
        <is>
          <t>A 10763-2021</t>
        </is>
      </c>
      <c r="B36" s="1" t="n">
        <v>44259</v>
      </c>
      <c r="C36" s="1" t="n">
        <v>45917</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27634-2025</t>
        </is>
      </c>
      <c r="B37" s="1" t="n">
        <v>45813</v>
      </c>
      <c r="C37" s="1" t="n">
        <v>45917</v>
      </c>
      <c r="D37" t="inlineStr">
        <is>
          <t>JÄMTLANDS LÄN</t>
        </is>
      </c>
      <c r="E37" t="inlineStr">
        <is>
          <t>ÅRE</t>
        </is>
      </c>
      <c r="G37" t="n">
        <v>8.1</v>
      </c>
      <c r="H37" t="n">
        <v>5</v>
      </c>
      <c r="I37" t="n">
        <v>1</v>
      </c>
      <c r="J37" t="n">
        <v>5</v>
      </c>
      <c r="K37" t="n">
        <v>1</v>
      </c>
      <c r="L37" t="n">
        <v>1</v>
      </c>
      <c r="M37" t="n">
        <v>0</v>
      </c>
      <c r="N37" t="n">
        <v>0</v>
      </c>
      <c r="O37" t="n">
        <v>7</v>
      </c>
      <c r="P37" t="n">
        <v>2</v>
      </c>
      <c r="Q37" t="n">
        <v>9</v>
      </c>
      <c r="R37" s="2" t="inlineStr">
        <is>
          <t>Grönfink
Rynkskinn
Doftskinn
Kråka
Skogshare
Talltita
Tretåig hackspett
Ögonpyrola
Kungsfågel</t>
        </is>
      </c>
      <c r="S37">
        <f>HYPERLINK("https://klasma.github.io/Logging_2321/artfynd/A 27634-2025 artfynd.xlsx", "A 27634-2025")</f>
        <v/>
      </c>
      <c r="T37">
        <f>HYPERLINK("https://klasma.github.io/Logging_2321/kartor/A 27634-2025 karta.png", "A 27634-2025")</f>
        <v/>
      </c>
      <c r="V37">
        <f>HYPERLINK("https://klasma.github.io/Logging_2321/klagomål/A 27634-2025 FSC-klagomål.docx", "A 27634-2025")</f>
        <v/>
      </c>
      <c r="W37">
        <f>HYPERLINK("https://klasma.github.io/Logging_2321/klagomålsmail/A 27634-2025 FSC-klagomål mail.docx", "A 27634-2025")</f>
        <v/>
      </c>
      <c r="X37">
        <f>HYPERLINK("https://klasma.github.io/Logging_2321/tillsyn/A 27634-2025 tillsynsbegäran.docx", "A 27634-2025")</f>
        <v/>
      </c>
      <c r="Y37">
        <f>HYPERLINK("https://klasma.github.io/Logging_2321/tillsynsmail/A 27634-2025 tillsynsbegäran mail.docx", "A 27634-2025")</f>
        <v/>
      </c>
      <c r="Z37">
        <f>HYPERLINK("https://klasma.github.io/Logging_2321/fåglar/A 27634-2025 prioriterade fågelarter.docx", "A 27634-2025")</f>
        <v/>
      </c>
    </row>
    <row r="38" ht="15" customHeight="1">
      <c r="A38" t="inlineStr">
        <is>
          <t>A 3521-2025</t>
        </is>
      </c>
      <c r="B38" s="1" t="n">
        <v>45680</v>
      </c>
      <c r="C38" s="1" t="n">
        <v>45917</v>
      </c>
      <c r="D38" t="inlineStr">
        <is>
          <t>JÄMTLANDS LÄN</t>
        </is>
      </c>
      <c r="E38" t="inlineStr">
        <is>
          <t>ÅRE</t>
        </is>
      </c>
      <c r="G38" t="n">
        <v>19.9</v>
      </c>
      <c r="H38" t="n">
        <v>0</v>
      </c>
      <c r="I38" t="n">
        <v>3</v>
      </c>
      <c r="J38" t="n">
        <v>5</v>
      </c>
      <c r="K38" t="n">
        <v>1</v>
      </c>
      <c r="L38" t="n">
        <v>0</v>
      </c>
      <c r="M38" t="n">
        <v>0</v>
      </c>
      <c r="N38" t="n">
        <v>0</v>
      </c>
      <c r="O38" t="n">
        <v>6</v>
      </c>
      <c r="P38" t="n">
        <v>1</v>
      </c>
      <c r="Q38" t="n">
        <v>9</v>
      </c>
      <c r="R38" s="2" t="inlineStr">
        <is>
          <t>Borgsjömusseron
Garnlav
Granticka
Liten svartspik
Stjärntagging
Vitgrynig nållav
Diskvaxskivling
Svavelriska
Trådticka</t>
        </is>
      </c>
      <c r="S38">
        <f>HYPERLINK("https://klasma.github.io/Logging_2321/artfynd/A 3521-2025 artfynd.xlsx", "A 3521-2025")</f>
        <v/>
      </c>
      <c r="T38">
        <f>HYPERLINK("https://klasma.github.io/Logging_2321/kartor/A 3521-2025 karta.png", "A 3521-2025")</f>
        <v/>
      </c>
      <c r="V38">
        <f>HYPERLINK("https://klasma.github.io/Logging_2321/klagomål/A 3521-2025 FSC-klagomål.docx", "A 3521-2025")</f>
        <v/>
      </c>
      <c r="W38">
        <f>HYPERLINK("https://klasma.github.io/Logging_2321/klagomålsmail/A 3521-2025 FSC-klagomål mail.docx", "A 3521-2025")</f>
        <v/>
      </c>
      <c r="X38">
        <f>HYPERLINK("https://klasma.github.io/Logging_2321/tillsyn/A 3521-2025 tillsynsbegäran.docx", "A 3521-2025")</f>
        <v/>
      </c>
      <c r="Y38">
        <f>HYPERLINK("https://klasma.github.io/Logging_2321/tillsynsmail/A 3521-2025 tillsynsbegäran mail.docx", "A 3521-2025")</f>
        <v/>
      </c>
    </row>
    <row r="39" ht="15" customHeight="1">
      <c r="A39" t="inlineStr">
        <is>
          <t>A 20664-2021</t>
        </is>
      </c>
      <c r="B39" s="1" t="n">
        <v>44316</v>
      </c>
      <c r="C39" s="1" t="n">
        <v>45917</v>
      </c>
      <c r="D39" t="inlineStr">
        <is>
          <t>JÄMTLANDS LÄN</t>
        </is>
      </c>
      <c r="E39" t="inlineStr">
        <is>
          <t>ÅRE</t>
        </is>
      </c>
      <c r="G39" t="n">
        <v>10.7</v>
      </c>
      <c r="H39" t="n">
        <v>2</v>
      </c>
      <c r="I39" t="n">
        <v>1</v>
      </c>
      <c r="J39" t="n">
        <v>7</v>
      </c>
      <c r="K39" t="n">
        <v>0</v>
      </c>
      <c r="L39" t="n">
        <v>0</v>
      </c>
      <c r="M39" t="n">
        <v>0</v>
      </c>
      <c r="N39" t="n">
        <v>0</v>
      </c>
      <c r="O39" t="n">
        <v>7</v>
      </c>
      <c r="P39" t="n">
        <v>0</v>
      </c>
      <c r="Q39" t="n">
        <v>8</v>
      </c>
      <c r="R39" s="2" t="inlineStr">
        <is>
          <t>Garnlav
Granticka
Järpe
Skrovellav
Tretåig hackspett
Ullticka
Vedtrappmossa
Vedticka</t>
        </is>
      </c>
      <c r="S39">
        <f>HYPERLINK("https://klasma.github.io/Logging_2321/artfynd/A 20664-2021 artfynd.xlsx", "A 20664-2021")</f>
        <v/>
      </c>
      <c r="T39">
        <f>HYPERLINK("https://klasma.github.io/Logging_2321/kartor/A 20664-2021 karta.png", "A 20664-2021")</f>
        <v/>
      </c>
      <c r="V39">
        <f>HYPERLINK("https://klasma.github.io/Logging_2321/klagomål/A 20664-2021 FSC-klagomål.docx", "A 20664-2021")</f>
        <v/>
      </c>
      <c r="W39">
        <f>HYPERLINK("https://klasma.github.io/Logging_2321/klagomålsmail/A 20664-2021 FSC-klagomål mail.docx", "A 20664-2021")</f>
        <v/>
      </c>
      <c r="X39">
        <f>HYPERLINK("https://klasma.github.io/Logging_2321/tillsyn/A 20664-2021 tillsynsbegäran.docx", "A 20664-2021")</f>
        <v/>
      </c>
      <c r="Y39">
        <f>HYPERLINK("https://klasma.github.io/Logging_2321/tillsynsmail/A 20664-2021 tillsynsbegäran mail.docx", "A 20664-2021")</f>
        <v/>
      </c>
      <c r="Z39">
        <f>HYPERLINK("https://klasma.github.io/Logging_2321/fåglar/A 20664-2021 prioriterade fågelarter.docx", "A 20664-2021")</f>
        <v/>
      </c>
    </row>
    <row r="40" ht="15" customHeight="1">
      <c r="A40" t="inlineStr">
        <is>
          <t>A 10619-2023</t>
        </is>
      </c>
      <c r="B40" s="1" t="n">
        <v>44984</v>
      </c>
      <c r="C40" s="1" t="n">
        <v>45917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64239-2021</t>
        </is>
      </c>
      <c r="B41" s="1" t="n">
        <v>44510</v>
      </c>
      <c r="C41" s="1" t="n">
        <v>45917</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43910-2024</t>
        </is>
      </c>
      <c r="B42" s="1" t="n">
        <v>45572</v>
      </c>
      <c r="C42" s="1" t="n">
        <v>45917</v>
      </c>
      <c r="D42" t="inlineStr">
        <is>
          <t>JÄMTLANDS LÄN</t>
        </is>
      </c>
      <c r="E42" t="inlineStr">
        <is>
          <t>ÅRE</t>
        </is>
      </c>
      <c r="G42" t="n">
        <v>20.7</v>
      </c>
      <c r="H42" t="n">
        <v>1</v>
      </c>
      <c r="I42" t="n">
        <v>2</v>
      </c>
      <c r="J42" t="n">
        <v>6</v>
      </c>
      <c r="K42" t="n">
        <v>0</v>
      </c>
      <c r="L42" t="n">
        <v>0</v>
      </c>
      <c r="M42" t="n">
        <v>0</v>
      </c>
      <c r="N42" t="n">
        <v>0</v>
      </c>
      <c r="O42" t="n">
        <v>6</v>
      </c>
      <c r="P42" t="n">
        <v>0</v>
      </c>
      <c r="Q42" t="n">
        <v>8</v>
      </c>
      <c r="R42" s="2" t="inlineStr">
        <is>
          <t>Granticka
Gränsticka
Harticka
Skrovellav
Tretåig hackspett
Vitgrynig nållav
Gytterlav
Trådticka</t>
        </is>
      </c>
      <c r="S42">
        <f>HYPERLINK("https://klasma.github.io/Logging_2321/artfynd/A 43910-2024 artfynd.xlsx", "A 43910-2024")</f>
        <v/>
      </c>
      <c r="T42">
        <f>HYPERLINK("https://klasma.github.io/Logging_2321/kartor/A 43910-2024 karta.png", "A 43910-2024")</f>
        <v/>
      </c>
      <c r="V42">
        <f>HYPERLINK("https://klasma.github.io/Logging_2321/klagomål/A 43910-2024 FSC-klagomål.docx", "A 43910-2024")</f>
        <v/>
      </c>
      <c r="W42">
        <f>HYPERLINK("https://klasma.github.io/Logging_2321/klagomålsmail/A 43910-2024 FSC-klagomål mail.docx", "A 43910-2024")</f>
        <v/>
      </c>
      <c r="X42">
        <f>HYPERLINK("https://klasma.github.io/Logging_2321/tillsyn/A 43910-2024 tillsynsbegäran.docx", "A 43910-2024")</f>
        <v/>
      </c>
      <c r="Y42">
        <f>HYPERLINK("https://klasma.github.io/Logging_2321/tillsynsmail/A 43910-2024 tillsynsbegäran mail.docx", "A 43910-2024")</f>
        <v/>
      </c>
      <c r="Z42">
        <f>HYPERLINK("https://klasma.github.io/Logging_2321/fåglar/A 43910-2024 prioriterade fågelarter.docx", "A 43910-2024")</f>
        <v/>
      </c>
    </row>
    <row r="43" ht="15" customHeight="1">
      <c r="A43" t="inlineStr">
        <is>
          <t>A 20644-2021</t>
        </is>
      </c>
      <c r="B43" s="1" t="n">
        <v>44316</v>
      </c>
      <c r="C43" s="1" t="n">
        <v>45917</v>
      </c>
      <c r="D43" t="inlineStr">
        <is>
          <t>JÄMTLANDS LÄN</t>
        </is>
      </c>
      <c r="E43" t="inlineStr">
        <is>
          <t>ÅRE</t>
        </is>
      </c>
      <c r="G43" t="n">
        <v>42.9</v>
      </c>
      <c r="H43" t="n">
        <v>2</v>
      </c>
      <c r="I43" t="n">
        <v>3</v>
      </c>
      <c r="J43" t="n">
        <v>5</v>
      </c>
      <c r="K43" t="n">
        <v>0</v>
      </c>
      <c r="L43" t="n">
        <v>0</v>
      </c>
      <c r="M43" t="n">
        <v>0</v>
      </c>
      <c r="N43" t="n">
        <v>0</v>
      </c>
      <c r="O43" t="n">
        <v>5</v>
      </c>
      <c r="P43" t="n">
        <v>0</v>
      </c>
      <c r="Q43" t="n">
        <v>8</v>
      </c>
      <c r="R43" s="2" t="inlineStr">
        <is>
          <t>Doftskinn
Garnlav
Granticka
Månlåsbräken
Tretåig hackspett
Gytterlav
Kambräken
Tvåblad</t>
        </is>
      </c>
      <c r="S43">
        <f>HYPERLINK("https://klasma.github.io/Logging_2321/artfynd/A 20644-2021 artfynd.xlsx", "A 20644-2021")</f>
        <v/>
      </c>
      <c r="T43">
        <f>HYPERLINK("https://klasma.github.io/Logging_2321/kartor/A 20644-2021 karta.png", "A 20644-2021")</f>
        <v/>
      </c>
      <c r="V43">
        <f>HYPERLINK("https://klasma.github.io/Logging_2321/klagomål/A 20644-2021 FSC-klagomål.docx", "A 20644-2021")</f>
        <v/>
      </c>
      <c r="W43">
        <f>HYPERLINK("https://klasma.github.io/Logging_2321/klagomålsmail/A 20644-2021 FSC-klagomål mail.docx", "A 20644-2021")</f>
        <v/>
      </c>
      <c r="X43">
        <f>HYPERLINK("https://klasma.github.io/Logging_2321/tillsyn/A 20644-2021 tillsynsbegäran.docx", "A 20644-2021")</f>
        <v/>
      </c>
      <c r="Y43">
        <f>HYPERLINK("https://klasma.github.io/Logging_2321/tillsynsmail/A 20644-2021 tillsynsbegäran mail.docx", "A 20644-2021")</f>
        <v/>
      </c>
      <c r="Z43">
        <f>HYPERLINK("https://klasma.github.io/Logging_2321/fåglar/A 20644-2021 prioriterade fågelarter.docx", "A 20644-2021")</f>
        <v/>
      </c>
    </row>
    <row r="44" ht="15" customHeight="1">
      <c r="A44" t="inlineStr">
        <is>
          <t>A 17107-2025</t>
        </is>
      </c>
      <c r="B44" s="1" t="n">
        <v>45755</v>
      </c>
      <c r="C44" s="1" t="n">
        <v>45917</v>
      </c>
      <c r="D44" t="inlineStr">
        <is>
          <t>JÄMTLANDS LÄN</t>
        </is>
      </c>
      <c r="E44" t="inlineStr">
        <is>
          <t>ÅRE</t>
        </is>
      </c>
      <c r="G44" t="n">
        <v>14.2</v>
      </c>
      <c r="H44" t="n">
        <v>1</v>
      </c>
      <c r="I44" t="n">
        <v>5</v>
      </c>
      <c r="J44" t="n">
        <v>3</v>
      </c>
      <c r="K44" t="n">
        <v>0</v>
      </c>
      <c r="L44" t="n">
        <v>0</v>
      </c>
      <c r="M44" t="n">
        <v>0</v>
      </c>
      <c r="N44" t="n">
        <v>0</v>
      </c>
      <c r="O44" t="n">
        <v>3</v>
      </c>
      <c r="P44" t="n">
        <v>0</v>
      </c>
      <c r="Q44" t="n">
        <v>8</v>
      </c>
      <c r="R44" s="2" t="inlineStr">
        <is>
          <t>Doftskinn
Garnlav
Granticka
Grönkulla
Kärrkammossa
Mönjevaxing
Svavelriska
Trådticka</t>
        </is>
      </c>
      <c r="S44">
        <f>HYPERLINK("https://klasma.github.io/Logging_2321/artfynd/A 17107-2025 artfynd.xlsx", "A 17107-2025")</f>
        <v/>
      </c>
      <c r="T44">
        <f>HYPERLINK("https://klasma.github.io/Logging_2321/kartor/A 17107-2025 karta.png", "A 17107-2025")</f>
        <v/>
      </c>
      <c r="V44">
        <f>HYPERLINK("https://klasma.github.io/Logging_2321/klagomål/A 17107-2025 FSC-klagomål.docx", "A 17107-2025")</f>
        <v/>
      </c>
      <c r="W44">
        <f>HYPERLINK("https://klasma.github.io/Logging_2321/klagomålsmail/A 17107-2025 FSC-klagomål mail.docx", "A 17107-2025")</f>
        <v/>
      </c>
      <c r="X44">
        <f>HYPERLINK("https://klasma.github.io/Logging_2321/tillsyn/A 17107-2025 tillsynsbegäran.docx", "A 17107-2025")</f>
        <v/>
      </c>
      <c r="Y44">
        <f>HYPERLINK("https://klasma.github.io/Logging_2321/tillsynsmail/A 17107-2025 tillsynsbegäran mail.docx", "A 17107-2025")</f>
        <v/>
      </c>
    </row>
    <row r="45" ht="15" customHeight="1">
      <c r="A45" t="inlineStr">
        <is>
          <t>A 23822-2024</t>
        </is>
      </c>
      <c r="B45" s="1" t="n">
        <v>45455.46412037037</v>
      </c>
      <c r="C45" s="1" t="n">
        <v>45917</v>
      </c>
      <c r="D45" t="inlineStr">
        <is>
          <t>JÄMTLANDS LÄN</t>
        </is>
      </c>
      <c r="E45" t="inlineStr">
        <is>
          <t>ÅRE</t>
        </is>
      </c>
      <c r="G45" t="n">
        <v>4.8</v>
      </c>
      <c r="H45" t="n">
        <v>2</v>
      </c>
      <c r="I45" t="n">
        <v>0</v>
      </c>
      <c r="J45" t="n">
        <v>7</v>
      </c>
      <c r="K45" t="n">
        <v>1</v>
      </c>
      <c r="L45" t="n">
        <v>0</v>
      </c>
      <c r="M45" t="n">
        <v>0</v>
      </c>
      <c r="N45" t="n">
        <v>0</v>
      </c>
      <c r="O45" t="n">
        <v>8</v>
      </c>
      <c r="P45" t="n">
        <v>1</v>
      </c>
      <c r="Q45" t="n">
        <v>8</v>
      </c>
      <c r="R45" s="2" t="inlineStr">
        <is>
          <t>Knärot
Gammelgransskål
Garnlav
Harticka
Rosenticka
Rödbrun blekspik
Tretåig hackspett
Ullticka</t>
        </is>
      </c>
      <c r="S45">
        <f>HYPERLINK("https://klasma.github.io/Logging_2321/artfynd/A 23822-2024 artfynd.xlsx", "A 23822-2024")</f>
        <v/>
      </c>
      <c r="T45">
        <f>HYPERLINK("https://klasma.github.io/Logging_2321/kartor/A 23822-2024 karta.png", "A 23822-2024")</f>
        <v/>
      </c>
      <c r="U45">
        <f>HYPERLINK("https://klasma.github.io/Logging_2321/knärot/A 23822-2024 karta knärot.png", "A 23822-2024")</f>
        <v/>
      </c>
      <c r="V45">
        <f>HYPERLINK("https://klasma.github.io/Logging_2321/klagomål/A 23822-2024 FSC-klagomål.docx", "A 23822-2024")</f>
        <v/>
      </c>
      <c r="W45">
        <f>HYPERLINK("https://klasma.github.io/Logging_2321/klagomålsmail/A 23822-2024 FSC-klagomål mail.docx", "A 23822-2024")</f>
        <v/>
      </c>
      <c r="X45">
        <f>HYPERLINK("https://klasma.github.io/Logging_2321/tillsyn/A 23822-2024 tillsynsbegäran.docx", "A 23822-2024")</f>
        <v/>
      </c>
      <c r="Y45">
        <f>HYPERLINK("https://klasma.github.io/Logging_2321/tillsynsmail/A 23822-2024 tillsynsbegäran mail.docx", "A 23822-2024")</f>
        <v/>
      </c>
      <c r="Z45">
        <f>HYPERLINK("https://klasma.github.io/Logging_2321/fåglar/A 23822-2024 prioriterade fågelarter.docx", "A 23822-2024")</f>
        <v/>
      </c>
    </row>
    <row r="46" ht="15" customHeight="1">
      <c r="A46" t="inlineStr">
        <is>
          <t>A 31953-2021</t>
        </is>
      </c>
      <c r="B46" s="1" t="n">
        <v>44370</v>
      </c>
      <c r="C46" s="1" t="n">
        <v>45917</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53202-2020</t>
        </is>
      </c>
      <c r="B47" s="1" t="n">
        <v>44122</v>
      </c>
      <c r="C47" s="1" t="n">
        <v>45917</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27805-2022</t>
        </is>
      </c>
      <c r="B48" s="1" t="n">
        <v>44743</v>
      </c>
      <c r="C48" s="1" t="n">
        <v>45917</v>
      </c>
      <c r="D48" t="inlineStr">
        <is>
          <t>JÄMTLANDS LÄN</t>
        </is>
      </c>
      <c r="E48" t="inlineStr">
        <is>
          <t>ÅRE</t>
        </is>
      </c>
      <c r="G48" t="n">
        <v>106.2</v>
      </c>
      <c r="H48" t="n">
        <v>4</v>
      </c>
      <c r="I48" t="n">
        <v>0</v>
      </c>
      <c r="J48" t="n">
        <v>5</v>
      </c>
      <c r="K48" t="n">
        <v>0</v>
      </c>
      <c r="L48" t="n">
        <v>1</v>
      </c>
      <c r="M48" t="n">
        <v>0</v>
      </c>
      <c r="N48" t="n">
        <v>0</v>
      </c>
      <c r="O48" t="n">
        <v>6</v>
      </c>
      <c r="P48" t="n">
        <v>1</v>
      </c>
      <c r="Q48" t="n">
        <v>7</v>
      </c>
      <c r="R48" s="2" t="inlineStr">
        <is>
          <t>Grönfink
Garnlav
Grå blåbärsfältmätare
Kavernularia
Talltita
Tretåig hackspett
Lavskrika</t>
        </is>
      </c>
      <c r="S48">
        <f>HYPERLINK("https://klasma.github.io/Logging_2321/artfynd/A 27805-2022 artfynd.xlsx", "A 27805-2022")</f>
        <v/>
      </c>
      <c r="T48">
        <f>HYPERLINK("https://klasma.github.io/Logging_2321/kartor/A 27805-2022 karta.png", "A 27805-2022")</f>
        <v/>
      </c>
      <c r="V48">
        <f>HYPERLINK("https://klasma.github.io/Logging_2321/klagomål/A 27805-2022 FSC-klagomål.docx", "A 27805-2022")</f>
        <v/>
      </c>
      <c r="W48">
        <f>HYPERLINK("https://klasma.github.io/Logging_2321/klagomålsmail/A 27805-2022 FSC-klagomål mail.docx", "A 27805-2022")</f>
        <v/>
      </c>
      <c r="X48">
        <f>HYPERLINK("https://klasma.github.io/Logging_2321/tillsyn/A 27805-2022 tillsynsbegäran.docx", "A 27805-2022")</f>
        <v/>
      </c>
      <c r="Y48">
        <f>HYPERLINK("https://klasma.github.io/Logging_2321/tillsynsmail/A 27805-2022 tillsynsbegäran mail.docx", "A 27805-2022")</f>
        <v/>
      </c>
      <c r="Z48">
        <f>HYPERLINK("https://klasma.github.io/Logging_2321/fåglar/A 27805-2022 prioriterade fågelarter.docx", "A 27805-2022")</f>
        <v/>
      </c>
    </row>
    <row r="49" ht="15" customHeight="1">
      <c r="A49" t="inlineStr">
        <is>
          <t>A 40788-2023</t>
        </is>
      </c>
      <c r="B49" s="1" t="n">
        <v>45170</v>
      </c>
      <c r="C49" s="1" t="n">
        <v>45917</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32065-2022</t>
        </is>
      </c>
      <c r="B50" s="1" t="n">
        <v>44778.55710648148</v>
      </c>
      <c r="C50" s="1" t="n">
        <v>45917</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43942-2024</t>
        </is>
      </c>
      <c r="B51" s="1" t="n">
        <v>45572</v>
      </c>
      <c r="C51" s="1" t="n">
        <v>45917</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6236-2021</t>
        </is>
      </c>
      <c r="B52" s="1" t="n">
        <v>44231</v>
      </c>
      <c r="C52" s="1" t="n">
        <v>45917</v>
      </c>
      <c r="D52" t="inlineStr">
        <is>
          <t>JÄMTLANDS LÄN</t>
        </is>
      </c>
      <c r="E52" t="inlineStr">
        <is>
          <t>ÅRE</t>
        </is>
      </c>
      <c r="G52" t="n">
        <v>39.1</v>
      </c>
      <c r="H52" t="n">
        <v>2</v>
      </c>
      <c r="I52" t="n">
        <v>4</v>
      </c>
      <c r="J52" t="n">
        <v>1</v>
      </c>
      <c r="K52" t="n">
        <v>0</v>
      </c>
      <c r="L52" t="n">
        <v>0</v>
      </c>
      <c r="M52" t="n">
        <v>0</v>
      </c>
      <c r="N52" t="n">
        <v>0</v>
      </c>
      <c r="O52" t="n">
        <v>1</v>
      </c>
      <c r="P52" t="n">
        <v>0</v>
      </c>
      <c r="Q52" t="n">
        <v>6</v>
      </c>
      <c r="R52" s="2" t="inlineStr">
        <is>
          <t>Garnlav
Bårdlav
Gytterlav
Spindelblomster
Stuplav
Revlummer</t>
        </is>
      </c>
      <c r="S52">
        <f>HYPERLINK("https://klasma.github.io/Logging_2321/artfynd/A 6236-2021 artfynd.xlsx", "A 6236-2021")</f>
        <v/>
      </c>
      <c r="T52">
        <f>HYPERLINK("https://klasma.github.io/Logging_2321/kartor/A 6236-2021 karta.png", "A 6236-2021")</f>
        <v/>
      </c>
      <c r="V52">
        <f>HYPERLINK("https://klasma.github.io/Logging_2321/klagomål/A 6236-2021 FSC-klagomål.docx", "A 6236-2021")</f>
        <v/>
      </c>
      <c r="W52">
        <f>HYPERLINK("https://klasma.github.io/Logging_2321/klagomålsmail/A 6236-2021 FSC-klagomål mail.docx", "A 6236-2021")</f>
        <v/>
      </c>
      <c r="X52">
        <f>HYPERLINK("https://klasma.github.io/Logging_2321/tillsyn/A 6236-2021 tillsynsbegäran.docx", "A 6236-2021")</f>
        <v/>
      </c>
      <c r="Y52">
        <f>HYPERLINK("https://klasma.github.io/Logging_2321/tillsynsmail/A 6236-2021 tillsynsbegäran mail.docx", "A 6236-2021")</f>
        <v/>
      </c>
    </row>
    <row r="53" ht="15" customHeight="1">
      <c r="A53" t="inlineStr">
        <is>
          <t>A 37891-2025</t>
        </is>
      </c>
      <c r="B53" s="1" t="n">
        <v>45881.54024305556</v>
      </c>
      <c r="C53" s="1" t="n">
        <v>45917</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56888-2022</t>
        </is>
      </c>
      <c r="B54" s="1" t="n">
        <v>44894</v>
      </c>
      <c r="C54" s="1" t="n">
        <v>45917</v>
      </c>
      <c r="D54" t="inlineStr">
        <is>
          <t>JÄMTLANDS LÄN</t>
        </is>
      </c>
      <c r="E54" t="inlineStr">
        <is>
          <t>ÅRE</t>
        </is>
      </c>
      <c r="F54" t="inlineStr">
        <is>
          <t>Övriga Aktiebolag</t>
        </is>
      </c>
      <c r="G54" t="n">
        <v>46.2</v>
      </c>
      <c r="H54" t="n">
        <v>2</v>
      </c>
      <c r="I54" t="n">
        <v>1</v>
      </c>
      <c r="J54" t="n">
        <v>4</v>
      </c>
      <c r="K54" t="n">
        <v>1</v>
      </c>
      <c r="L54" t="n">
        <v>0</v>
      </c>
      <c r="M54" t="n">
        <v>0</v>
      </c>
      <c r="N54" t="n">
        <v>0</v>
      </c>
      <c r="O54" t="n">
        <v>5</v>
      </c>
      <c r="P54" t="n">
        <v>1</v>
      </c>
      <c r="Q54" t="n">
        <v>6</v>
      </c>
      <c r="R54" s="2" t="inlineStr">
        <is>
          <t>Liten hornflikmossa
Garnlav
Granticka
Spillkråka
Tretåig hackspett
Korallblylav</t>
        </is>
      </c>
      <c r="S54">
        <f>HYPERLINK("https://klasma.github.io/Logging_2321/artfynd/A 56888-2022 artfynd.xlsx", "A 56888-2022")</f>
        <v/>
      </c>
      <c r="T54">
        <f>HYPERLINK("https://klasma.github.io/Logging_2321/kartor/A 56888-2022 karta.png", "A 56888-2022")</f>
        <v/>
      </c>
      <c r="V54">
        <f>HYPERLINK("https://klasma.github.io/Logging_2321/klagomål/A 56888-2022 FSC-klagomål.docx", "A 56888-2022")</f>
        <v/>
      </c>
      <c r="W54">
        <f>HYPERLINK("https://klasma.github.io/Logging_2321/klagomålsmail/A 56888-2022 FSC-klagomål mail.docx", "A 56888-2022")</f>
        <v/>
      </c>
      <c r="X54">
        <f>HYPERLINK("https://klasma.github.io/Logging_2321/tillsyn/A 56888-2022 tillsynsbegäran.docx", "A 56888-2022")</f>
        <v/>
      </c>
      <c r="Y54">
        <f>HYPERLINK("https://klasma.github.io/Logging_2321/tillsynsmail/A 56888-2022 tillsynsbegäran mail.docx", "A 56888-2022")</f>
        <v/>
      </c>
      <c r="Z54">
        <f>HYPERLINK("https://klasma.github.io/Logging_2321/fåglar/A 56888-2022 prioriterade fågelarter.docx", "A 56888-2022")</f>
        <v/>
      </c>
    </row>
    <row r="55" ht="15" customHeight="1">
      <c r="A55" t="inlineStr">
        <is>
          <t>A 4938-2025</t>
        </is>
      </c>
      <c r="B55" s="1" t="n">
        <v>45688</v>
      </c>
      <c r="C55" s="1" t="n">
        <v>45917</v>
      </c>
      <c r="D55" t="inlineStr">
        <is>
          <t>JÄMTLANDS LÄN</t>
        </is>
      </c>
      <c r="E55" t="inlineStr">
        <is>
          <t>ÅRE</t>
        </is>
      </c>
      <c r="G55" t="n">
        <v>0.9</v>
      </c>
      <c r="H55" t="n">
        <v>0</v>
      </c>
      <c r="I55" t="n">
        <v>2</v>
      </c>
      <c r="J55" t="n">
        <v>2</v>
      </c>
      <c r="K55" t="n">
        <v>2</v>
      </c>
      <c r="L55" t="n">
        <v>0</v>
      </c>
      <c r="M55" t="n">
        <v>0</v>
      </c>
      <c r="N55" t="n">
        <v>0</v>
      </c>
      <c r="O55" t="n">
        <v>4</v>
      </c>
      <c r="P55" t="n">
        <v>2</v>
      </c>
      <c r="Q55" t="n">
        <v>6</v>
      </c>
      <c r="R55" s="2" t="inlineStr">
        <is>
          <t>Citronfingersvamp
Kejsarskivling
Garnlav
Skrovellav
Papegojvaxskivling
Svavelriska</t>
        </is>
      </c>
      <c r="S55">
        <f>HYPERLINK("https://klasma.github.io/Logging_2321/artfynd/A 4938-2025 artfynd.xlsx", "A 4938-2025")</f>
        <v/>
      </c>
      <c r="T55">
        <f>HYPERLINK("https://klasma.github.io/Logging_2321/kartor/A 4938-2025 karta.png", "A 4938-2025")</f>
        <v/>
      </c>
      <c r="V55">
        <f>HYPERLINK("https://klasma.github.io/Logging_2321/klagomål/A 4938-2025 FSC-klagomål.docx", "A 4938-2025")</f>
        <v/>
      </c>
      <c r="W55">
        <f>HYPERLINK("https://klasma.github.io/Logging_2321/klagomålsmail/A 4938-2025 FSC-klagomål mail.docx", "A 4938-2025")</f>
        <v/>
      </c>
      <c r="X55">
        <f>HYPERLINK("https://klasma.github.io/Logging_2321/tillsyn/A 4938-2025 tillsynsbegäran.docx", "A 4938-2025")</f>
        <v/>
      </c>
      <c r="Y55">
        <f>HYPERLINK("https://klasma.github.io/Logging_2321/tillsynsmail/A 4938-2025 tillsynsbegäran mail.docx", "A 4938-2025")</f>
        <v/>
      </c>
    </row>
    <row r="56" ht="15" customHeight="1">
      <c r="A56" t="inlineStr">
        <is>
          <t>A 14205-2021</t>
        </is>
      </c>
      <c r="B56" s="1" t="n">
        <v>44278</v>
      </c>
      <c r="C56" s="1" t="n">
        <v>45917</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46259-2024</t>
        </is>
      </c>
      <c r="B57" s="1" t="n">
        <v>45581</v>
      </c>
      <c r="C57" s="1" t="n">
        <v>45917</v>
      </c>
      <c r="D57" t="inlineStr">
        <is>
          <t>JÄMTLANDS LÄN</t>
        </is>
      </c>
      <c r="E57" t="inlineStr">
        <is>
          <t>ÅRE</t>
        </is>
      </c>
      <c r="G57" t="n">
        <v>4.7</v>
      </c>
      <c r="H57" t="n">
        <v>0</v>
      </c>
      <c r="I57" t="n">
        <v>3</v>
      </c>
      <c r="J57" t="n">
        <v>3</v>
      </c>
      <c r="K57" t="n">
        <v>0</v>
      </c>
      <c r="L57" t="n">
        <v>0</v>
      </c>
      <c r="M57" t="n">
        <v>0</v>
      </c>
      <c r="N57" t="n">
        <v>0</v>
      </c>
      <c r="O57" t="n">
        <v>3</v>
      </c>
      <c r="P57" t="n">
        <v>0</v>
      </c>
      <c r="Q57" t="n">
        <v>6</v>
      </c>
      <c r="R57" s="2" t="inlineStr">
        <is>
          <t>Garnlav
Granticka
Vitgrynig nållav
Diskvaxskivling
Svavelriska
Trådticka</t>
        </is>
      </c>
      <c r="S57">
        <f>HYPERLINK("https://klasma.github.io/Logging_2321/artfynd/A 46259-2024 artfynd.xlsx", "A 46259-2024")</f>
        <v/>
      </c>
      <c r="T57">
        <f>HYPERLINK("https://klasma.github.io/Logging_2321/kartor/A 46259-2024 karta.png", "A 46259-2024")</f>
        <v/>
      </c>
      <c r="V57">
        <f>HYPERLINK("https://klasma.github.io/Logging_2321/klagomål/A 46259-2024 FSC-klagomål.docx", "A 46259-2024")</f>
        <v/>
      </c>
      <c r="W57">
        <f>HYPERLINK("https://klasma.github.io/Logging_2321/klagomålsmail/A 46259-2024 FSC-klagomål mail.docx", "A 46259-2024")</f>
        <v/>
      </c>
      <c r="X57">
        <f>HYPERLINK("https://klasma.github.io/Logging_2321/tillsyn/A 46259-2024 tillsynsbegäran.docx", "A 46259-2024")</f>
        <v/>
      </c>
      <c r="Y57">
        <f>HYPERLINK("https://klasma.github.io/Logging_2321/tillsynsmail/A 46259-2024 tillsynsbegäran mail.docx", "A 46259-2024")</f>
        <v/>
      </c>
    </row>
    <row r="58" ht="15" customHeight="1">
      <c r="A58" t="inlineStr">
        <is>
          <t>A 30035-2024</t>
        </is>
      </c>
      <c r="B58" s="1" t="n">
        <v>45485</v>
      </c>
      <c r="C58" s="1" t="n">
        <v>45917</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30035-2024 artfynd.xlsx", "A 30035-2024")</f>
        <v/>
      </c>
      <c r="T58">
        <f>HYPERLINK("https://klasma.github.io/Logging_2321/kartor/A 30035-2024 karta.png", "A 30035-2024")</f>
        <v/>
      </c>
      <c r="V58">
        <f>HYPERLINK("https://klasma.github.io/Logging_2321/klagomål/A 30035-2024 FSC-klagomål.docx", "A 30035-2024")</f>
        <v/>
      </c>
      <c r="W58">
        <f>HYPERLINK("https://klasma.github.io/Logging_2321/klagomålsmail/A 30035-2024 FSC-klagomål mail.docx", "A 30035-2024")</f>
        <v/>
      </c>
      <c r="X58">
        <f>HYPERLINK("https://klasma.github.io/Logging_2321/tillsyn/A 30035-2024 tillsynsbegäran.docx", "A 30035-2024")</f>
        <v/>
      </c>
      <c r="Y58">
        <f>HYPERLINK("https://klasma.github.io/Logging_2321/tillsynsmail/A 30035-2024 tillsynsbegäran mail.docx", "A 30035-2024")</f>
        <v/>
      </c>
      <c r="Z58">
        <f>HYPERLINK("https://klasma.github.io/Logging_2321/fåglar/A 30035-2024 prioriterade fågelarter.docx", "A 30035-2024")</f>
        <v/>
      </c>
    </row>
    <row r="59" ht="15" customHeight="1">
      <c r="A59" t="inlineStr">
        <is>
          <t>A 24201-2021</t>
        </is>
      </c>
      <c r="B59" s="1" t="n">
        <v>44336</v>
      </c>
      <c r="C59" s="1" t="n">
        <v>45917</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58238-2021</t>
        </is>
      </c>
      <c r="B60" s="1" t="n">
        <v>44487</v>
      </c>
      <c r="C60" s="1" t="n">
        <v>45917</v>
      </c>
      <c r="D60" t="inlineStr">
        <is>
          <t>JÄMTLANDS LÄN</t>
        </is>
      </c>
      <c r="E60" t="inlineStr">
        <is>
          <t>ÅRE</t>
        </is>
      </c>
      <c r="G60" t="n">
        <v>42.2</v>
      </c>
      <c r="H60" t="n">
        <v>0</v>
      </c>
      <c r="I60" t="n">
        <v>0</v>
      </c>
      <c r="J60" t="n">
        <v>3</v>
      </c>
      <c r="K60" t="n">
        <v>2</v>
      </c>
      <c r="L60" t="n">
        <v>0</v>
      </c>
      <c r="M60" t="n">
        <v>0</v>
      </c>
      <c r="N60" t="n">
        <v>0</v>
      </c>
      <c r="O60" t="n">
        <v>5</v>
      </c>
      <c r="P60" t="n">
        <v>2</v>
      </c>
      <c r="Q60" t="n">
        <v>5</v>
      </c>
      <c r="R60" s="2" t="inlineStr">
        <is>
          <t>Lappticka
Norsk näverlav
Gammelgransskål
Gränsticka
Rödbrun blekspik</t>
        </is>
      </c>
      <c r="S60">
        <f>HYPERLINK("https://klasma.github.io/Logging_2321/artfynd/A 58238-2021 artfynd.xlsx", "A 58238-2021")</f>
        <v/>
      </c>
      <c r="T60">
        <f>HYPERLINK("https://klasma.github.io/Logging_2321/kartor/A 58238-2021 karta.png", "A 58238-2021")</f>
        <v/>
      </c>
      <c r="V60">
        <f>HYPERLINK("https://klasma.github.io/Logging_2321/klagomål/A 58238-2021 FSC-klagomål.docx", "A 58238-2021")</f>
        <v/>
      </c>
      <c r="W60">
        <f>HYPERLINK("https://klasma.github.io/Logging_2321/klagomålsmail/A 58238-2021 FSC-klagomål mail.docx", "A 58238-2021")</f>
        <v/>
      </c>
      <c r="X60">
        <f>HYPERLINK("https://klasma.github.io/Logging_2321/tillsyn/A 58238-2021 tillsynsbegäran.docx", "A 58238-2021")</f>
        <v/>
      </c>
      <c r="Y60">
        <f>HYPERLINK("https://klasma.github.io/Logging_2321/tillsynsmail/A 58238-2021 tillsynsbegäran mail.docx", "A 58238-2021")</f>
        <v/>
      </c>
    </row>
    <row r="61" ht="15" customHeight="1">
      <c r="A61" t="inlineStr">
        <is>
          <t>A 60246-2021</t>
        </is>
      </c>
      <c r="B61" s="1" t="n">
        <v>44495</v>
      </c>
      <c r="C61" s="1" t="n">
        <v>45917</v>
      </c>
      <c r="D61" t="inlineStr">
        <is>
          <t>JÄMTLANDS LÄN</t>
        </is>
      </c>
      <c r="E61" t="inlineStr">
        <is>
          <t>ÅRE</t>
        </is>
      </c>
      <c r="G61" t="n">
        <v>4.3</v>
      </c>
      <c r="H61" t="n">
        <v>1</v>
      </c>
      <c r="I61" t="n">
        <v>0</v>
      </c>
      <c r="J61" t="n">
        <v>4</v>
      </c>
      <c r="K61" t="n">
        <v>1</v>
      </c>
      <c r="L61" t="n">
        <v>0</v>
      </c>
      <c r="M61" t="n">
        <v>0</v>
      </c>
      <c r="N61" t="n">
        <v>0</v>
      </c>
      <c r="O61" t="n">
        <v>5</v>
      </c>
      <c r="P61" t="n">
        <v>1</v>
      </c>
      <c r="Q61" t="n">
        <v>5</v>
      </c>
      <c r="R61" s="2" t="inlineStr">
        <is>
          <t>Lappticka
Granticka
Tretåig hackspett
Ullticka
Vitgrynig nållav</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45114-2022</t>
        </is>
      </c>
      <c r="B62" s="1" t="n">
        <v>44843.84256944444</v>
      </c>
      <c r="C62" s="1" t="n">
        <v>45917</v>
      </c>
      <c r="D62" t="inlineStr">
        <is>
          <t>JÄMTLANDS LÄN</t>
        </is>
      </c>
      <c r="E62" t="inlineStr">
        <is>
          <t>ÅRE</t>
        </is>
      </c>
      <c r="G62" t="n">
        <v>2.1</v>
      </c>
      <c r="H62" t="n">
        <v>1</v>
      </c>
      <c r="I62" t="n">
        <v>3</v>
      </c>
      <c r="J62" t="n">
        <v>1</v>
      </c>
      <c r="K62" t="n">
        <v>0</v>
      </c>
      <c r="L62" t="n">
        <v>0</v>
      </c>
      <c r="M62" t="n">
        <v>0</v>
      </c>
      <c r="N62" t="n">
        <v>0</v>
      </c>
      <c r="O62" t="n">
        <v>1</v>
      </c>
      <c r="P62" t="n">
        <v>0</v>
      </c>
      <c r="Q62" t="n">
        <v>5</v>
      </c>
      <c r="R62" s="2" t="inlineStr">
        <is>
          <t>Lunglav
Luddlav
Strutbräken
Stuplav
Fläcknycklar</t>
        </is>
      </c>
      <c r="S62">
        <f>HYPERLINK("https://klasma.github.io/Logging_2321/artfynd/A 45114-2022 artfynd.xlsx", "A 45114-2022")</f>
        <v/>
      </c>
      <c r="T62">
        <f>HYPERLINK("https://klasma.github.io/Logging_2321/kartor/A 45114-2022 karta.png", "A 45114-2022")</f>
        <v/>
      </c>
      <c r="V62">
        <f>HYPERLINK("https://klasma.github.io/Logging_2321/klagomål/A 45114-2022 FSC-klagomål.docx", "A 45114-2022")</f>
        <v/>
      </c>
      <c r="W62">
        <f>HYPERLINK("https://klasma.github.io/Logging_2321/klagomålsmail/A 45114-2022 FSC-klagomål mail.docx", "A 45114-2022")</f>
        <v/>
      </c>
      <c r="X62">
        <f>HYPERLINK("https://klasma.github.io/Logging_2321/tillsyn/A 45114-2022 tillsynsbegäran.docx", "A 45114-2022")</f>
        <v/>
      </c>
      <c r="Y62">
        <f>HYPERLINK("https://klasma.github.io/Logging_2321/tillsynsmail/A 45114-2022 tillsynsbegäran mail.docx", "A 45114-2022")</f>
        <v/>
      </c>
    </row>
    <row r="63" ht="15" customHeight="1">
      <c r="A63" t="inlineStr">
        <is>
          <t>A 59380-2020</t>
        </is>
      </c>
      <c r="B63" s="1" t="n">
        <v>44145</v>
      </c>
      <c r="C63" s="1" t="n">
        <v>45917</v>
      </c>
      <c r="D63" t="inlineStr">
        <is>
          <t>JÄMTLANDS LÄN</t>
        </is>
      </c>
      <c r="E63" t="inlineStr">
        <is>
          <t>ÅRE</t>
        </is>
      </c>
      <c r="G63" t="n">
        <v>10.8</v>
      </c>
      <c r="H63" t="n">
        <v>0</v>
      </c>
      <c r="I63" t="n">
        <v>0</v>
      </c>
      <c r="J63" t="n">
        <v>5</v>
      </c>
      <c r="K63" t="n">
        <v>0</v>
      </c>
      <c r="L63" t="n">
        <v>0</v>
      </c>
      <c r="M63" t="n">
        <v>0</v>
      </c>
      <c r="N63" t="n">
        <v>0</v>
      </c>
      <c r="O63" t="n">
        <v>5</v>
      </c>
      <c r="P63" t="n">
        <v>0</v>
      </c>
      <c r="Q63" t="n">
        <v>5</v>
      </c>
      <c r="R63" s="2" t="inlineStr">
        <is>
          <t>Gammelgransskål
Gränsticka
Harticka
Lunglav
Skrovellav</t>
        </is>
      </c>
      <c r="S63">
        <f>HYPERLINK("https://klasma.github.io/Logging_2321/artfynd/A 59380-2020 artfynd.xlsx", "A 59380-2020")</f>
        <v/>
      </c>
      <c r="T63">
        <f>HYPERLINK("https://klasma.github.io/Logging_2321/kartor/A 59380-2020 karta.png", "A 59380-2020")</f>
        <v/>
      </c>
      <c r="V63">
        <f>HYPERLINK("https://klasma.github.io/Logging_2321/klagomål/A 59380-2020 FSC-klagomål.docx", "A 59380-2020")</f>
        <v/>
      </c>
      <c r="W63">
        <f>HYPERLINK("https://klasma.github.io/Logging_2321/klagomålsmail/A 59380-2020 FSC-klagomål mail.docx", "A 59380-2020")</f>
        <v/>
      </c>
      <c r="X63">
        <f>HYPERLINK("https://klasma.github.io/Logging_2321/tillsyn/A 59380-2020 tillsynsbegäran.docx", "A 59380-2020")</f>
        <v/>
      </c>
      <c r="Y63">
        <f>HYPERLINK("https://klasma.github.io/Logging_2321/tillsynsmail/A 59380-2020 tillsynsbegäran mail.docx", "A 59380-2020")</f>
        <v/>
      </c>
    </row>
    <row r="64" ht="15" customHeight="1">
      <c r="A64" t="inlineStr">
        <is>
          <t>A 14195-2021</t>
        </is>
      </c>
      <c r="B64" s="1" t="n">
        <v>44278</v>
      </c>
      <c r="C64" s="1" t="n">
        <v>45917</v>
      </c>
      <c r="D64" t="inlineStr">
        <is>
          <t>JÄMTLANDS LÄN</t>
        </is>
      </c>
      <c r="E64" t="inlineStr">
        <is>
          <t>ÅRE</t>
        </is>
      </c>
      <c r="G64" t="n">
        <v>23.1</v>
      </c>
      <c r="H64" t="n">
        <v>2</v>
      </c>
      <c r="I64" t="n">
        <v>0</v>
      </c>
      <c r="J64" t="n">
        <v>5</v>
      </c>
      <c r="K64" t="n">
        <v>0</v>
      </c>
      <c r="L64" t="n">
        <v>0</v>
      </c>
      <c r="M64" t="n">
        <v>0</v>
      </c>
      <c r="N64" t="n">
        <v>0</v>
      </c>
      <c r="O64" t="n">
        <v>5</v>
      </c>
      <c r="P64" t="n">
        <v>0</v>
      </c>
      <c r="Q64" t="n">
        <v>5</v>
      </c>
      <c r="R64" s="2" t="inlineStr">
        <is>
          <t>Garnlav
Granticka
Knottrig blåslav
Spillkråka
Tretåig hackspett</t>
        </is>
      </c>
      <c r="S64">
        <f>HYPERLINK("https://klasma.github.io/Logging_2321/artfynd/A 14195-2021 artfynd.xlsx", "A 14195-2021")</f>
        <v/>
      </c>
      <c r="T64">
        <f>HYPERLINK("https://klasma.github.io/Logging_2321/kartor/A 14195-2021 karta.png", "A 14195-2021")</f>
        <v/>
      </c>
      <c r="V64">
        <f>HYPERLINK("https://klasma.github.io/Logging_2321/klagomål/A 14195-2021 FSC-klagomål.docx", "A 14195-2021")</f>
        <v/>
      </c>
      <c r="W64">
        <f>HYPERLINK("https://klasma.github.io/Logging_2321/klagomålsmail/A 14195-2021 FSC-klagomål mail.docx", "A 14195-2021")</f>
        <v/>
      </c>
      <c r="X64">
        <f>HYPERLINK("https://klasma.github.io/Logging_2321/tillsyn/A 14195-2021 tillsynsbegäran.docx", "A 14195-2021")</f>
        <v/>
      </c>
      <c r="Y64">
        <f>HYPERLINK("https://klasma.github.io/Logging_2321/tillsynsmail/A 14195-2021 tillsynsbegäran mail.docx", "A 14195-2021")</f>
        <v/>
      </c>
      <c r="Z64">
        <f>HYPERLINK("https://klasma.github.io/Logging_2321/fåglar/A 14195-2021 prioriterade fågelarter.docx", "A 14195-2021")</f>
        <v/>
      </c>
    </row>
    <row r="65" ht="15" customHeight="1">
      <c r="A65" t="inlineStr">
        <is>
          <t>A 10491-2024</t>
        </is>
      </c>
      <c r="B65" s="1" t="n">
        <v>45366</v>
      </c>
      <c r="C65" s="1" t="n">
        <v>45917</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30034-2024</t>
        </is>
      </c>
      <c r="B66" s="1" t="n">
        <v>45485</v>
      </c>
      <c r="C66" s="1" t="n">
        <v>45917</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30034-2024 artfynd.xlsx", "A 30034-2024")</f>
        <v/>
      </c>
      <c r="T66">
        <f>HYPERLINK("https://klasma.github.io/Logging_2321/kartor/A 30034-2024 karta.png", "A 30034-2024")</f>
        <v/>
      </c>
      <c r="V66">
        <f>HYPERLINK("https://klasma.github.io/Logging_2321/klagomål/A 30034-2024 FSC-klagomål.docx", "A 30034-2024")</f>
        <v/>
      </c>
      <c r="W66">
        <f>HYPERLINK("https://klasma.github.io/Logging_2321/klagomålsmail/A 30034-2024 FSC-klagomål mail.docx", "A 30034-2024")</f>
        <v/>
      </c>
      <c r="X66">
        <f>HYPERLINK("https://klasma.github.io/Logging_2321/tillsyn/A 30034-2024 tillsynsbegäran.docx", "A 30034-2024")</f>
        <v/>
      </c>
      <c r="Y66">
        <f>HYPERLINK("https://klasma.github.io/Logging_2321/tillsynsmail/A 30034-2024 tillsynsbegäran mail.docx", "A 30034-2024")</f>
        <v/>
      </c>
    </row>
    <row r="67" ht="15" customHeight="1">
      <c r="A67" t="inlineStr">
        <is>
          <t>A 32097-2025</t>
        </is>
      </c>
      <c r="B67" s="1" t="n">
        <v>45835.4641087963</v>
      </c>
      <c r="C67" s="1" t="n">
        <v>45917</v>
      </c>
      <c r="D67" t="inlineStr">
        <is>
          <t>JÄMTLANDS LÄN</t>
        </is>
      </c>
      <c r="E67" t="inlineStr">
        <is>
          <t>ÅRE</t>
        </is>
      </c>
      <c r="G67" t="n">
        <v>6.2</v>
      </c>
      <c r="H67" t="n">
        <v>2</v>
      </c>
      <c r="I67" t="n">
        <v>3</v>
      </c>
      <c r="J67" t="n">
        <v>2</v>
      </c>
      <c r="K67" t="n">
        <v>0</v>
      </c>
      <c r="L67" t="n">
        <v>0</v>
      </c>
      <c r="M67" t="n">
        <v>0</v>
      </c>
      <c r="N67" t="n">
        <v>0</v>
      </c>
      <c r="O67" t="n">
        <v>2</v>
      </c>
      <c r="P67" t="n">
        <v>0</v>
      </c>
      <c r="Q67" t="n">
        <v>5</v>
      </c>
      <c r="R67" s="2" t="inlineStr">
        <is>
          <t>Granticka
Lunglav
Spindelblomster
Stuplav
Tvåblad</t>
        </is>
      </c>
      <c r="S67">
        <f>HYPERLINK("https://klasma.github.io/Logging_2321/artfynd/A 32097-2025 artfynd.xlsx", "A 32097-2025")</f>
        <v/>
      </c>
      <c r="T67">
        <f>HYPERLINK("https://klasma.github.io/Logging_2321/kartor/A 32097-2025 karta.png", "A 32097-2025")</f>
        <v/>
      </c>
      <c r="V67">
        <f>HYPERLINK("https://klasma.github.io/Logging_2321/klagomål/A 32097-2025 FSC-klagomål.docx", "A 32097-2025")</f>
        <v/>
      </c>
      <c r="W67">
        <f>HYPERLINK("https://klasma.github.io/Logging_2321/klagomålsmail/A 32097-2025 FSC-klagomål mail.docx", "A 32097-2025")</f>
        <v/>
      </c>
      <c r="X67">
        <f>HYPERLINK("https://klasma.github.io/Logging_2321/tillsyn/A 32097-2025 tillsynsbegäran.docx", "A 32097-2025")</f>
        <v/>
      </c>
      <c r="Y67">
        <f>HYPERLINK("https://klasma.github.io/Logging_2321/tillsynsmail/A 32097-2025 tillsynsbegäran mail.docx", "A 32097-2025")</f>
        <v/>
      </c>
    </row>
    <row r="68" ht="15" customHeight="1">
      <c r="A68" t="inlineStr">
        <is>
          <t>A 12988-2021</t>
        </is>
      </c>
      <c r="B68" s="1" t="n">
        <v>44271</v>
      </c>
      <c r="C68" s="1" t="n">
        <v>45917</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42565-2024</t>
        </is>
      </c>
      <c r="B69" s="1" t="n">
        <v>45565</v>
      </c>
      <c r="C69" s="1" t="n">
        <v>45917</v>
      </c>
      <c r="D69" t="inlineStr">
        <is>
          <t>JÄMTLANDS LÄN</t>
        </is>
      </c>
      <c r="E69" t="inlineStr">
        <is>
          <t>ÅRE</t>
        </is>
      </c>
      <c r="F69" t="inlineStr">
        <is>
          <t>Övriga Aktiebolag</t>
        </is>
      </c>
      <c r="G69" t="n">
        <v>8.4</v>
      </c>
      <c r="H69" t="n">
        <v>0</v>
      </c>
      <c r="I69" t="n">
        <v>0</v>
      </c>
      <c r="J69" t="n">
        <v>4</v>
      </c>
      <c r="K69" t="n">
        <v>1</v>
      </c>
      <c r="L69" t="n">
        <v>0</v>
      </c>
      <c r="M69" t="n">
        <v>0</v>
      </c>
      <c r="N69" t="n">
        <v>0</v>
      </c>
      <c r="O69" t="n">
        <v>5</v>
      </c>
      <c r="P69" t="n">
        <v>1</v>
      </c>
      <c r="Q69" t="n">
        <v>5</v>
      </c>
      <c r="R69" s="2" t="inlineStr">
        <is>
          <t>Norsk näverlav
Gammelgransskål
Garnlav
Gränsticka
Skrovellav</t>
        </is>
      </c>
      <c r="S69">
        <f>HYPERLINK("https://klasma.github.io/Logging_2321/artfynd/A 42565-2024 artfynd.xlsx", "A 42565-2024")</f>
        <v/>
      </c>
      <c r="T69">
        <f>HYPERLINK("https://klasma.github.io/Logging_2321/kartor/A 42565-2024 karta.png", "A 42565-2024")</f>
        <v/>
      </c>
      <c r="V69">
        <f>HYPERLINK("https://klasma.github.io/Logging_2321/klagomål/A 42565-2024 FSC-klagomål.docx", "A 42565-2024")</f>
        <v/>
      </c>
      <c r="W69">
        <f>HYPERLINK("https://klasma.github.io/Logging_2321/klagomålsmail/A 42565-2024 FSC-klagomål mail.docx", "A 42565-2024")</f>
        <v/>
      </c>
      <c r="X69">
        <f>HYPERLINK("https://klasma.github.io/Logging_2321/tillsyn/A 42565-2024 tillsynsbegäran.docx", "A 42565-2024")</f>
        <v/>
      </c>
      <c r="Y69">
        <f>HYPERLINK("https://klasma.github.io/Logging_2321/tillsynsmail/A 42565-2024 tillsynsbegäran mail.docx", "A 42565-2024")</f>
        <v/>
      </c>
    </row>
    <row r="70" ht="15" customHeight="1">
      <c r="A70" t="inlineStr">
        <is>
          <t>A 34735-2025</t>
        </is>
      </c>
      <c r="B70" s="1" t="n">
        <v>45848</v>
      </c>
      <c r="C70" s="1" t="n">
        <v>45917</v>
      </c>
      <c r="D70" t="inlineStr">
        <is>
          <t>JÄMTLANDS LÄN</t>
        </is>
      </c>
      <c r="E70" t="inlineStr">
        <is>
          <t>ÅRE</t>
        </is>
      </c>
      <c r="G70" t="n">
        <v>18.8</v>
      </c>
      <c r="H70" t="n">
        <v>1</v>
      </c>
      <c r="I70" t="n">
        <v>0</v>
      </c>
      <c r="J70" t="n">
        <v>4</v>
      </c>
      <c r="K70" t="n">
        <v>0</v>
      </c>
      <c r="L70" t="n">
        <v>0</v>
      </c>
      <c r="M70" t="n">
        <v>0</v>
      </c>
      <c r="N70" t="n">
        <v>0</v>
      </c>
      <c r="O70" t="n">
        <v>4</v>
      </c>
      <c r="P70" t="n">
        <v>0</v>
      </c>
      <c r="Q70" t="n">
        <v>5</v>
      </c>
      <c r="R70" s="2" t="inlineStr">
        <is>
          <t>Garnlav
Granticka
Gränsticka
Ullticka
Orre</t>
        </is>
      </c>
      <c r="S70">
        <f>HYPERLINK("https://klasma.github.io/Logging_2321/artfynd/A 34735-2025 artfynd.xlsx", "A 34735-2025")</f>
        <v/>
      </c>
      <c r="T70">
        <f>HYPERLINK("https://klasma.github.io/Logging_2321/kartor/A 34735-2025 karta.png", "A 34735-2025")</f>
        <v/>
      </c>
      <c r="U70">
        <f>HYPERLINK("https://klasma.github.io/Logging_2321/knärot/A 34735-2025 karta knärot.png", "A 34735-2025")</f>
        <v/>
      </c>
      <c r="V70">
        <f>HYPERLINK("https://klasma.github.io/Logging_2321/klagomål/A 34735-2025 FSC-klagomål.docx", "A 34735-2025")</f>
        <v/>
      </c>
      <c r="W70">
        <f>HYPERLINK("https://klasma.github.io/Logging_2321/klagomålsmail/A 34735-2025 FSC-klagomål mail.docx", "A 34735-2025")</f>
        <v/>
      </c>
      <c r="X70">
        <f>HYPERLINK("https://klasma.github.io/Logging_2321/tillsyn/A 34735-2025 tillsynsbegäran.docx", "A 34735-2025")</f>
        <v/>
      </c>
      <c r="Y70">
        <f>HYPERLINK("https://klasma.github.io/Logging_2321/tillsynsmail/A 34735-2025 tillsynsbegäran mail.docx", "A 34735-2025")</f>
        <v/>
      </c>
      <c r="Z70">
        <f>HYPERLINK("https://klasma.github.io/Logging_2321/fåglar/A 34735-2025 prioriterade fågelarter.docx", "A 34735-2025")</f>
        <v/>
      </c>
    </row>
    <row r="71" ht="15" customHeight="1">
      <c r="A71" t="inlineStr">
        <is>
          <t>A 17855-2024</t>
        </is>
      </c>
      <c r="B71" s="1" t="n">
        <v>45419</v>
      </c>
      <c r="C71" s="1" t="n">
        <v>45917</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19925-2025</t>
        </is>
      </c>
      <c r="B72" s="1" t="n">
        <v>45771.634375</v>
      </c>
      <c r="C72" s="1" t="n">
        <v>45917</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20039-2024</t>
        </is>
      </c>
      <c r="B73" s="1" t="n">
        <v>45434</v>
      </c>
      <c r="C73" s="1" t="n">
        <v>45917</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19277-2021</t>
        </is>
      </c>
      <c r="B74" s="1" t="n">
        <v>44309</v>
      </c>
      <c r="C74" s="1" t="n">
        <v>45917</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45917</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20035-2024</t>
        </is>
      </c>
      <c r="B76" s="1" t="n">
        <v>45434</v>
      </c>
      <c r="C76" s="1" t="n">
        <v>45917</v>
      </c>
      <c r="D76" t="inlineStr">
        <is>
          <t>JÄMTLANDS LÄN</t>
        </is>
      </c>
      <c r="E76" t="inlineStr">
        <is>
          <t>ÅRE</t>
        </is>
      </c>
      <c r="F76" t="inlineStr">
        <is>
          <t>Övriga Aktiebolag</t>
        </is>
      </c>
      <c r="G76" t="n">
        <v>15.4</v>
      </c>
      <c r="H76" t="n">
        <v>0</v>
      </c>
      <c r="I76" t="n">
        <v>0</v>
      </c>
      <c r="J76" t="n">
        <v>3</v>
      </c>
      <c r="K76" t="n">
        <v>1</v>
      </c>
      <c r="L76" t="n">
        <v>0</v>
      </c>
      <c r="M76" t="n">
        <v>0</v>
      </c>
      <c r="N76" t="n">
        <v>0</v>
      </c>
      <c r="O76" t="n">
        <v>4</v>
      </c>
      <c r="P76" t="n">
        <v>1</v>
      </c>
      <c r="Q76" t="n">
        <v>4</v>
      </c>
      <c r="R76" s="2" t="inlineStr">
        <is>
          <t>Norsk näverlav
Gammelgransskål
Garnlav
Gränsticka</t>
        </is>
      </c>
      <c r="S76">
        <f>HYPERLINK("https://klasma.github.io/Logging_2321/artfynd/A 20035-2024 artfynd.xlsx", "A 20035-2024")</f>
        <v/>
      </c>
      <c r="T76">
        <f>HYPERLINK("https://klasma.github.io/Logging_2321/kartor/A 20035-2024 karta.png", "A 20035-2024")</f>
        <v/>
      </c>
      <c r="V76">
        <f>HYPERLINK("https://klasma.github.io/Logging_2321/klagomål/A 20035-2024 FSC-klagomål.docx", "A 20035-2024")</f>
        <v/>
      </c>
      <c r="W76">
        <f>HYPERLINK("https://klasma.github.io/Logging_2321/klagomålsmail/A 20035-2024 FSC-klagomål mail.docx", "A 20035-2024")</f>
        <v/>
      </c>
      <c r="X76">
        <f>HYPERLINK("https://klasma.github.io/Logging_2321/tillsyn/A 20035-2024 tillsynsbegäran.docx", "A 20035-2024")</f>
        <v/>
      </c>
      <c r="Y76">
        <f>HYPERLINK("https://klasma.github.io/Logging_2321/tillsynsmail/A 20035-2024 tillsynsbegäran mail.docx", "A 20035-2024")</f>
        <v/>
      </c>
    </row>
    <row r="77" ht="15" customHeight="1">
      <c r="A77" t="inlineStr">
        <is>
          <t>A 57537-2024</t>
        </is>
      </c>
      <c r="B77" s="1" t="n">
        <v>45630</v>
      </c>
      <c r="C77" s="1" t="n">
        <v>45917</v>
      </c>
      <c r="D77" t="inlineStr">
        <is>
          <t>JÄMTLANDS LÄN</t>
        </is>
      </c>
      <c r="E77" t="inlineStr">
        <is>
          <t>ÅRE</t>
        </is>
      </c>
      <c r="G77" t="n">
        <v>19.1</v>
      </c>
      <c r="H77" t="n">
        <v>1</v>
      </c>
      <c r="I77" t="n">
        <v>0</v>
      </c>
      <c r="J77" t="n">
        <v>4</v>
      </c>
      <c r="K77" t="n">
        <v>0</v>
      </c>
      <c r="L77" t="n">
        <v>0</v>
      </c>
      <c r="M77" t="n">
        <v>0</v>
      </c>
      <c r="N77" t="n">
        <v>0</v>
      </c>
      <c r="O77" t="n">
        <v>4</v>
      </c>
      <c r="P77" t="n">
        <v>0</v>
      </c>
      <c r="Q77" t="n">
        <v>4</v>
      </c>
      <c r="R77" s="2" t="inlineStr">
        <is>
          <t>Garnlav
Granticka
Tretåig hackspett
Ullticka</t>
        </is>
      </c>
      <c r="S77">
        <f>HYPERLINK("https://klasma.github.io/Logging_2321/artfynd/A 57537-2024 artfynd.xlsx", "A 57537-2024")</f>
        <v/>
      </c>
      <c r="T77">
        <f>HYPERLINK("https://klasma.github.io/Logging_2321/kartor/A 57537-2024 karta.png", "A 57537-2024")</f>
        <v/>
      </c>
      <c r="V77">
        <f>HYPERLINK("https://klasma.github.io/Logging_2321/klagomål/A 57537-2024 FSC-klagomål.docx", "A 57537-2024")</f>
        <v/>
      </c>
      <c r="W77">
        <f>HYPERLINK("https://klasma.github.io/Logging_2321/klagomålsmail/A 57537-2024 FSC-klagomål mail.docx", "A 57537-2024")</f>
        <v/>
      </c>
      <c r="X77">
        <f>HYPERLINK("https://klasma.github.io/Logging_2321/tillsyn/A 57537-2024 tillsynsbegäran.docx", "A 57537-2024")</f>
        <v/>
      </c>
      <c r="Y77">
        <f>HYPERLINK("https://klasma.github.io/Logging_2321/tillsynsmail/A 57537-2024 tillsynsbegäran mail.docx", "A 57537-2024")</f>
        <v/>
      </c>
      <c r="Z77">
        <f>HYPERLINK("https://klasma.github.io/Logging_2321/fåglar/A 57537-2024 prioriterade fågelarter.docx", "A 57537-2024")</f>
        <v/>
      </c>
    </row>
    <row r="78" ht="15" customHeight="1">
      <c r="A78" t="inlineStr">
        <is>
          <t>A 56183-2022</t>
        </is>
      </c>
      <c r="B78" s="1" t="n">
        <v>44889</v>
      </c>
      <c r="C78" s="1" t="n">
        <v>45917</v>
      </c>
      <c r="D78" t="inlineStr">
        <is>
          <t>JÄMTLANDS LÄN</t>
        </is>
      </c>
      <c r="E78" t="inlineStr">
        <is>
          <t>ÅRE</t>
        </is>
      </c>
      <c r="G78" t="n">
        <v>29.8</v>
      </c>
      <c r="H78" t="n">
        <v>1</v>
      </c>
      <c r="I78" t="n">
        <v>0</v>
      </c>
      <c r="J78" t="n">
        <v>4</v>
      </c>
      <c r="K78" t="n">
        <v>0</v>
      </c>
      <c r="L78" t="n">
        <v>0</v>
      </c>
      <c r="M78" t="n">
        <v>0</v>
      </c>
      <c r="N78" t="n">
        <v>0</v>
      </c>
      <c r="O78" t="n">
        <v>4</v>
      </c>
      <c r="P78" t="n">
        <v>0</v>
      </c>
      <c r="Q78" t="n">
        <v>4</v>
      </c>
      <c r="R78" s="2" t="inlineStr">
        <is>
          <t>Gammelgransskål
Granticka
Skrovellav
Tretåig hackspett</t>
        </is>
      </c>
      <c r="S78">
        <f>HYPERLINK("https://klasma.github.io/Logging_2321/artfynd/A 56183-2022 artfynd.xlsx", "A 56183-2022")</f>
        <v/>
      </c>
      <c r="T78">
        <f>HYPERLINK("https://klasma.github.io/Logging_2321/kartor/A 56183-2022 karta.png", "A 56183-2022")</f>
        <v/>
      </c>
      <c r="V78">
        <f>HYPERLINK("https://klasma.github.io/Logging_2321/klagomål/A 56183-2022 FSC-klagomål.docx", "A 56183-2022")</f>
        <v/>
      </c>
      <c r="W78">
        <f>HYPERLINK("https://klasma.github.io/Logging_2321/klagomålsmail/A 56183-2022 FSC-klagomål mail.docx", "A 56183-2022")</f>
        <v/>
      </c>
      <c r="X78">
        <f>HYPERLINK("https://klasma.github.io/Logging_2321/tillsyn/A 56183-2022 tillsynsbegäran.docx", "A 56183-2022")</f>
        <v/>
      </c>
      <c r="Y78">
        <f>HYPERLINK("https://klasma.github.io/Logging_2321/tillsynsmail/A 56183-2022 tillsynsbegäran mail.docx", "A 56183-2022")</f>
        <v/>
      </c>
      <c r="Z78">
        <f>HYPERLINK("https://klasma.github.io/Logging_2321/fåglar/A 56183-2022 prioriterade fågelarter.docx", "A 56183-2022")</f>
        <v/>
      </c>
    </row>
    <row r="79" ht="15" customHeight="1">
      <c r="A79" t="inlineStr">
        <is>
          <t>A 10773-2021</t>
        </is>
      </c>
      <c r="B79" s="1" t="n">
        <v>44259</v>
      </c>
      <c r="C79" s="1" t="n">
        <v>45917</v>
      </c>
      <c r="D79" t="inlineStr">
        <is>
          <t>JÄMTLANDS LÄN</t>
        </is>
      </c>
      <c r="E79" t="inlineStr">
        <is>
          <t>ÅRE</t>
        </is>
      </c>
      <c r="G79" t="n">
        <v>22.9</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10773-2021 artfynd.xlsx", "A 10773-2021")</f>
        <v/>
      </c>
      <c r="T79">
        <f>HYPERLINK("https://klasma.github.io/Logging_2321/kartor/A 10773-2021 karta.png", "A 10773-2021")</f>
        <v/>
      </c>
      <c r="V79">
        <f>HYPERLINK("https://klasma.github.io/Logging_2321/klagomål/A 10773-2021 FSC-klagomål.docx", "A 10773-2021")</f>
        <v/>
      </c>
      <c r="W79">
        <f>HYPERLINK("https://klasma.github.io/Logging_2321/klagomålsmail/A 10773-2021 FSC-klagomål mail.docx", "A 10773-2021")</f>
        <v/>
      </c>
      <c r="X79">
        <f>HYPERLINK("https://klasma.github.io/Logging_2321/tillsyn/A 10773-2021 tillsynsbegäran.docx", "A 10773-2021")</f>
        <v/>
      </c>
      <c r="Y79">
        <f>HYPERLINK("https://klasma.github.io/Logging_2321/tillsynsmail/A 10773-2021 tillsynsbegäran mail.docx", "A 10773-2021")</f>
        <v/>
      </c>
      <c r="Z79">
        <f>HYPERLINK("https://klasma.github.io/Logging_2321/fåglar/A 10773-2021 prioriterade fågelarter.docx", "A 10773-2021")</f>
        <v/>
      </c>
    </row>
    <row r="80" ht="15" customHeight="1">
      <c r="A80" t="inlineStr">
        <is>
          <t>A 12269-2022</t>
        </is>
      </c>
      <c r="B80" s="1" t="n">
        <v>44637</v>
      </c>
      <c r="C80" s="1" t="n">
        <v>45917</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61875-2024</t>
        </is>
      </c>
      <c r="B81" s="1" t="n">
        <v>45651</v>
      </c>
      <c r="C81" s="1" t="n">
        <v>45917</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40245-2023</t>
        </is>
      </c>
      <c r="B82" s="1" t="n">
        <v>45167</v>
      </c>
      <c r="C82" s="1" t="n">
        <v>45917</v>
      </c>
      <c r="D82" t="inlineStr">
        <is>
          <t>JÄMTLANDS LÄN</t>
        </is>
      </c>
      <c r="E82" t="inlineStr">
        <is>
          <t>ÅRE</t>
        </is>
      </c>
      <c r="G82" t="n">
        <v>18.8</v>
      </c>
      <c r="H82" t="n">
        <v>1</v>
      </c>
      <c r="I82" t="n">
        <v>0</v>
      </c>
      <c r="J82" t="n">
        <v>3</v>
      </c>
      <c r="K82" t="n">
        <v>0</v>
      </c>
      <c r="L82" t="n">
        <v>0</v>
      </c>
      <c r="M82" t="n">
        <v>0</v>
      </c>
      <c r="N82" t="n">
        <v>0</v>
      </c>
      <c r="O82" t="n">
        <v>3</v>
      </c>
      <c r="P82" t="n">
        <v>0</v>
      </c>
      <c r="Q82" t="n">
        <v>3</v>
      </c>
      <c r="R82" s="2" t="inlineStr">
        <is>
          <t>Lunglav
Skrovellav
Tretåig hackspett</t>
        </is>
      </c>
      <c r="S82">
        <f>HYPERLINK("https://klasma.github.io/Logging_2321/artfynd/A 40245-2023 artfynd.xlsx", "A 40245-2023")</f>
        <v/>
      </c>
      <c r="T82">
        <f>HYPERLINK("https://klasma.github.io/Logging_2321/kartor/A 40245-2023 karta.png", "A 40245-2023")</f>
        <v/>
      </c>
      <c r="V82">
        <f>HYPERLINK("https://klasma.github.io/Logging_2321/klagomål/A 40245-2023 FSC-klagomål.docx", "A 40245-2023")</f>
        <v/>
      </c>
      <c r="W82">
        <f>HYPERLINK("https://klasma.github.io/Logging_2321/klagomålsmail/A 40245-2023 FSC-klagomål mail.docx", "A 40245-2023")</f>
        <v/>
      </c>
      <c r="X82">
        <f>HYPERLINK("https://klasma.github.io/Logging_2321/tillsyn/A 40245-2023 tillsynsbegäran.docx", "A 40245-2023")</f>
        <v/>
      </c>
      <c r="Y82">
        <f>HYPERLINK("https://klasma.github.io/Logging_2321/tillsynsmail/A 40245-2023 tillsynsbegäran mail.docx", "A 40245-2023")</f>
        <v/>
      </c>
      <c r="Z82">
        <f>HYPERLINK("https://klasma.github.io/Logging_2321/fåglar/A 40245-2023 prioriterade fågelarter.docx", "A 40245-2023")</f>
        <v/>
      </c>
    </row>
    <row r="83" ht="15" customHeight="1">
      <c r="A83" t="inlineStr">
        <is>
          <t>A 72934-2021</t>
        </is>
      </c>
      <c r="B83" s="1" t="n">
        <v>44547</v>
      </c>
      <c r="C83" s="1" t="n">
        <v>45917</v>
      </c>
      <c r="D83" t="inlineStr">
        <is>
          <t>JÄMTLANDS LÄN</t>
        </is>
      </c>
      <c r="E83" t="inlineStr">
        <is>
          <t>ÅRE</t>
        </is>
      </c>
      <c r="G83" t="n">
        <v>31.9</v>
      </c>
      <c r="H83" t="n">
        <v>0</v>
      </c>
      <c r="I83" t="n">
        <v>0</v>
      </c>
      <c r="J83" t="n">
        <v>3</v>
      </c>
      <c r="K83" t="n">
        <v>0</v>
      </c>
      <c r="L83" t="n">
        <v>0</v>
      </c>
      <c r="M83" t="n">
        <v>0</v>
      </c>
      <c r="N83" t="n">
        <v>0</v>
      </c>
      <c r="O83" t="n">
        <v>3</v>
      </c>
      <c r="P83" t="n">
        <v>0</v>
      </c>
      <c r="Q83" t="n">
        <v>3</v>
      </c>
      <c r="R83" s="2" t="inlineStr">
        <is>
          <t>Gränsticka
Skrovellav
Stjärntagging</t>
        </is>
      </c>
      <c r="S83">
        <f>HYPERLINK("https://klasma.github.io/Logging_2321/artfynd/A 72934-2021 artfynd.xlsx", "A 72934-2021")</f>
        <v/>
      </c>
      <c r="T83">
        <f>HYPERLINK("https://klasma.github.io/Logging_2321/kartor/A 72934-2021 karta.png", "A 72934-2021")</f>
        <v/>
      </c>
      <c r="V83">
        <f>HYPERLINK("https://klasma.github.io/Logging_2321/klagomål/A 72934-2021 FSC-klagomål.docx", "A 72934-2021")</f>
        <v/>
      </c>
      <c r="W83">
        <f>HYPERLINK("https://klasma.github.io/Logging_2321/klagomålsmail/A 72934-2021 FSC-klagomål mail.docx", "A 72934-2021")</f>
        <v/>
      </c>
      <c r="X83">
        <f>HYPERLINK("https://klasma.github.io/Logging_2321/tillsyn/A 72934-2021 tillsynsbegäran.docx", "A 72934-2021")</f>
        <v/>
      </c>
      <c r="Y83">
        <f>HYPERLINK("https://klasma.github.io/Logging_2321/tillsynsmail/A 72934-2021 tillsynsbegäran mail.docx", "A 72934-2021")</f>
        <v/>
      </c>
    </row>
    <row r="84" ht="15" customHeight="1">
      <c r="A84" t="inlineStr">
        <is>
          <t>A 58387-2023</t>
        </is>
      </c>
      <c r="B84" s="1" t="n">
        <v>45250</v>
      </c>
      <c r="C84" s="1" t="n">
        <v>45917</v>
      </c>
      <c r="D84" t="inlineStr">
        <is>
          <t>JÄMTLANDS LÄN</t>
        </is>
      </c>
      <c r="E84" t="inlineStr">
        <is>
          <t>ÅRE</t>
        </is>
      </c>
      <c r="G84" t="n">
        <v>24.7</v>
      </c>
      <c r="H84" t="n">
        <v>3</v>
      </c>
      <c r="I84" t="n">
        <v>0</v>
      </c>
      <c r="J84" t="n">
        <v>2</v>
      </c>
      <c r="K84" t="n">
        <v>0</v>
      </c>
      <c r="L84" t="n">
        <v>0</v>
      </c>
      <c r="M84" t="n">
        <v>0</v>
      </c>
      <c r="N84" t="n">
        <v>0</v>
      </c>
      <c r="O84" t="n">
        <v>2</v>
      </c>
      <c r="P84" t="n">
        <v>0</v>
      </c>
      <c r="Q84" t="n">
        <v>3</v>
      </c>
      <c r="R84" s="2" t="inlineStr">
        <is>
          <t>Spillkråka
Tretåig hackspett
Lavskrika</t>
        </is>
      </c>
      <c r="S84">
        <f>HYPERLINK("https://klasma.github.io/Logging_2321/artfynd/A 58387-2023 artfynd.xlsx", "A 58387-2023")</f>
        <v/>
      </c>
      <c r="T84">
        <f>HYPERLINK("https://klasma.github.io/Logging_2321/kartor/A 58387-2023 karta.png", "A 58387-2023")</f>
        <v/>
      </c>
      <c r="V84">
        <f>HYPERLINK("https://klasma.github.io/Logging_2321/klagomål/A 58387-2023 FSC-klagomål.docx", "A 58387-2023")</f>
        <v/>
      </c>
      <c r="W84">
        <f>HYPERLINK("https://klasma.github.io/Logging_2321/klagomålsmail/A 58387-2023 FSC-klagomål mail.docx", "A 58387-2023")</f>
        <v/>
      </c>
      <c r="X84">
        <f>HYPERLINK("https://klasma.github.io/Logging_2321/tillsyn/A 58387-2023 tillsynsbegäran.docx", "A 58387-2023")</f>
        <v/>
      </c>
      <c r="Y84">
        <f>HYPERLINK("https://klasma.github.io/Logging_2321/tillsynsmail/A 58387-2023 tillsynsbegäran mail.docx", "A 58387-2023")</f>
        <v/>
      </c>
      <c r="Z84">
        <f>HYPERLINK("https://klasma.github.io/Logging_2321/fåglar/A 58387-2023 prioriterade fågelarter.docx", "A 58387-2023")</f>
        <v/>
      </c>
    </row>
    <row r="85" ht="15" customHeight="1">
      <c r="A85" t="inlineStr">
        <is>
          <t>A 10501-2024</t>
        </is>
      </c>
      <c r="B85" s="1" t="n">
        <v>45366</v>
      </c>
      <c r="C85" s="1" t="n">
        <v>45917</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22601-2024</t>
        </is>
      </c>
      <c r="B86" s="1" t="n">
        <v>45447</v>
      </c>
      <c r="C86" s="1" t="n">
        <v>45917</v>
      </c>
      <c r="D86" t="inlineStr">
        <is>
          <t>JÄMTLANDS LÄN</t>
        </is>
      </c>
      <c r="E86" t="inlineStr">
        <is>
          <t>ÅRE</t>
        </is>
      </c>
      <c r="G86" t="n">
        <v>14.7</v>
      </c>
      <c r="H86" t="n">
        <v>0</v>
      </c>
      <c r="I86" t="n">
        <v>2</v>
      </c>
      <c r="J86" t="n">
        <v>1</v>
      </c>
      <c r="K86" t="n">
        <v>0</v>
      </c>
      <c r="L86" t="n">
        <v>0</v>
      </c>
      <c r="M86" t="n">
        <v>0</v>
      </c>
      <c r="N86" t="n">
        <v>0</v>
      </c>
      <c r="O86" t="n">
        <v>1</v>
      </c>
      <c r="P86" t="n">
        <v>0</v>
      </c>
      <c r="Q86" t="n">
        <v>3</v>
      </c>
      <c r="R86" s="2" t="inlineStr">
        <is>
          <t>Granticka
Nordlig tuffmossa
Svavelriska</t>
        </is>
      </c>
      <c r="S86">
        <f>HYPERLINK("https://klasma.github.io/Logging_2321/artfynd/A 22601-2024 artfynd.xlsx", "A 22601-2024")</f>
        <v/>
      </c>
      <c r="T86">
        <f>HYPERLINK("https://klasma.github.io/Logging_2321/kartor/A 22601-2024 karta.png", "A 22601-2024")</f>
        <v/>
      </c>
      <c r="V86">
        <f>HYPERLINK("https://klasma.github.io/Logging_2321/klagomål/A 22601-2024 FSC-klagomål.docx", "A 22601-2024")</f>
        <v/>
      </c>
      <c r="W86">
        <f>HYPERLINK("https://klasma.github.io/Logging_2321/klagomålsmail/A 22601-2024 FSC-klagomål mail.docx", "A 22601-2024")</f>
        <v/>
      </c>
      <c r="X86">
        <f>HYPERLINK("https://klasma.github.io/Logging_2321/tillsyn/A 22601-2024 tillsynsbegäran.docx", "A 22601-2024")</f>
        <v/>
      </c>
      <c r="Y86">
        <f>HYPERLINK("https://klasma.github.io/Logging_2321/tillsynsmail/A 22601-2024 tillsynsbegäran mail.docx", "A 22601-2024")</f>
        <v/>
      </c>
    </row>
    <row r="87" ht="15" customHeight="1">
      <c r="A87" t="inlineStr">
        <is>
          <t>A 21006-2022</t>
        </is>
      </c>
      <c r="B87" s="1" t="n">
        <v>44701</v>
      </c>
      <c r="C87" s="1" t="n">
        <v>45917</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14198-2021</t>
        </is>
      </c>
      <c r="B88" s="1" t="n">
        <v>44278</v>
      </c>
      <c r="C88" s="1" t="n">
        <v>45917</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23572-2021</t>
        </is>
      </c>
      <c r="B89" s="1" t="n">
        <v>44334</v>
      </c>
      <c r="C89" s="1" t="n">
        <v>45917</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23638-2023</t>
        </is>
      </c>
      <c r="B90" s="1" t="n">
        <v>45072</v>
      </c>
      <c r="C90" s="1" t="n">
        <v>45917</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57918-2024</t>
        </is>
      </c>
      <c r="B91" s="1" t="n">
        <v>45631</v>
      </c>
      <c r="C91" s="1" t="n">
        <v>45917</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58082-2022</t>
        </is>
      </c>
      <c r="B92" s="1" t="n">
        <v>44900</v>
      </c>
      <c r="C92" s="1" t="n">
        <v>45917</v>
      </c>
      <c r="D92" t="inlineStr">
        <is>
          <t>JÄMTLANDS LÄN</t>
        </is>
      </c>
      <c r="E92" t="inlineStr">
        <is>
          <t>ÅRE</t>
        </is>
      </c>
      <c r="G92" t="n">
        <v>28.2</v>
      </c>
      <c r="H92" t="n">
        <v>2</v>
      </c>
      <c r="I92" t="n">
        <v>1</v>
      </c>
      <c r="J92" t="n">
        <v>2</v>
      </c>
      <c r="K92" t="n">
        <v>0</v>
      </c>
      <c r="L92" t="n">
        <v>0</v>
      </c>
      <c r="M92" t="n">
        <v>0</v>
      </c>
      <c r="N92" t="n">
        <v>0</v>
      </c>
      <c r="O92" t="n">
        <v>2</v>
      </c>
      <c r="P92" t="n">
        <v>0</v>
      </c>
      <c r="Q92" t="n">
        <v>3</v>
      </c>
      <c r="R92" s="2" t="inlineStr">
        <is>
          <t>Spillkråka
Tretåig hackspett
Kambräken</t>
        </is>
      </c>
      <c r="S92">
        <f>HYPERLINK("https://klasma.github.io/Logging_2321/artfynd/A 58082-2022 artfynd.xlsx", "A 58082-2022")</f>
        <v/>
      </c>
      <c r="T92">
        <f>HYPERLINK("https://klasma.github.io/Logging_2321/kartor/A 58082-2022 karta.png", "A 58082-2022")</f>
        <v/>
      </c>
      <c r="V92">
        <f>HYPERLINK("https://klasma.github.io/Logging_2321/klagomål/A 58082-2022 FSC-klagomål.docx", "A 58082-2022")</f>
        <v/>
      </c>
      <c r="W92">
        <f>HYPERLINK("https://klasma.github.io/Logging_2321/klagomålsmail/A 58082-2022 FSC-klagomål mail.docx", "A 58082-2022")</f>
        <v/>
      </c>
      <c r="X92">
        <f>HYPERLINK("https://klasma.github.io/Logging_2321/tillsyn/A 58082-2022 tillsynsbegäran.docx", "A 58082-2022")</f>
        <v/>
      </c>
      <c r="Y92">
        <f>HYPERLINK("https://klasma.github.io/Logging_2321/tillsynsmail/A 58082-2022 tillsynsbegäran mail.docx", "A 58082-2022")</f>
        <v/>
      </c>
      <c r="Z92">
        <f>HYPERLINK("https://klasma.github.io/Logging_2321/fåglar/A 58082-2022 prioriterade fågelarter.docx", "A 58082-2022")</f>
        <v/>
      </c>
    </row>
    <row r="93" ht="15" customHeight="1">
      <c r="A93" t="inlineStr">
        <is>
          <t>A 10627-2023</t>
        </is>
      </c>
      <c r="B93" s="1" t="n">
        <v>44984</v>
      </c>
      <c r="C93" s="1" t="n">
        <v>45917</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36260-2023</t>
        </is>
      </c>
      <c r="B94" s="1" t="n">
        <v>45151</v>
      </c>
      <c r="C94" s="1" t="n">
        <v>45917</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13625-2023</t>
        </is>
      </c>
      <c r="B95" s="1" t="n">
        <v>45006</v>
      </c>
      <c r="C95" s="1" t="n">
        <v>45917</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23729-2023</t>
        </is>
      </c>
      <c r="B96" s="1" t="n">
        <v>45072</v>
      </c>
      <c r="C96" s="1" t="n">
        <v>45917</v>
      </c>
      <c r="D96" t="inlineStr">
        <is>
          <t>JÄMTLANDS LÄN</t>
        </is>
      </c>
      <c r="E96" t="inlineStr">
        <is>
          <t>ÅRE</t>
        </is>
      </c>
      <c r="G96" t="n">
        <v>4.3</v>
      </c>
      <c r="H96" t="n">
        <v>1</v>
      </c>
      <c r="I96" t="n">
        <v>0</v>
      </c>
      <c r="J96" t="n">
        <v>3</v>
      </c>
      <c r="K96" t="n">
        <v>0</v>
      </c>
      <c r="L96" t="n">
        <v>0</v>
      </c>
      <c r="M96" t="n">
        <v>0</v>
      </c>
      <c r="N96" t="n">
        <v>0</v>
      </c>
      <c r="O96" t="n">
        <v>3</v>
      </c>
      <c r="P96" t="n">
        <v>0</v>
      </c>
      <c r="Q96" t="n">
        <v>3</v>
      </c>
      <c r="R96" s="2" t="inlineStr">
        <is>
          <t>Granticka
Lunglav
Tretåig hackspett</t>
        </is>
      </c>
      <c r="S96">
        <f>HYPERLINK("https://klasma.github.io/Logging_2321/artfynd/A 23729-2023 artfynd.xlsx", "A 23729-2023")</f>
        <v/>
      </c>
      <c r="T96">
        <f>HYPERLINK("https://klasma.github.io/Logging_2321/kartor/A 23729-2023 karta.png", "A 23729-2023")</f>
        <v/>
      </c>
      <c r="V96">
        <f>HYPERLINK("https://klasma.github.io/Logging_2321/klagomål/A 23729-2023 FSC-klagomål.docx", "A 23729-2023")</f>
        <v/>
      </c>
      <c r="W96">
        <f>HYPERLINK("https://klasma.github.io/Logging_2321/klagomålsmail/A 23729-2023 FSC-klagomål mail.docx", "A 23729-2023")</f>
        <v/>
      </c>
      <c r="X96">
        <f>HYPERLINK("https://klasma.github.io/Logging_2321/tillsyn/A 23729-2023 tillsynsbegäran.docx", "A 23729-2023")</f>
        <v/>
      </c>
      <c r="Y96">
        <f>HYPERLINK("https://klasma.github.io/Logging_2321/tillsynsmail/A 23729-2023 tillsynsbegäran mail.docx", "A 23729-2023")</f>
        <v/>
      </c>
      <c r="Z96">
        <f>HYPERLINK("https://klasma.github.io/Logging_2321/fåglar/A 23729-2023 prioriterade fågelarter.docx", "A 23729-2023")</f>
        <v/>
      </c>
    </row>
    <row r="97" ht="15" customHeight="1">
      <c r="A97" t="inlineStr">
        <is>
          <t>A 20124-2023</t>
        </is>
      </c>
      <c r="B97" s="1" t="n">
        <v>45055</v>
      </c>
      <c r="C97" s="1" t="n">
        <v>45917</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59237-2022</t>
        </is>
      </c>
      <c r="B98" s="1" t="n">
        <v>44904</v>
      </c>
      <c r="C98" s="1" t="n">
        <v>45917</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22692-2025</t>
        </is>
      </c>
      <c r="B99" s="1" t="n">
        <v>45789.53834490741</v>
      </c>
      <c r="C99" s="1" t="n">
        <v>45917</v>
      </c>
      <c r="D99" t="inlineStr">
        <is>
          <t>JÄMTLANDS LÄN</t>
        </is>
      </c>
      <c r="E99" t="inlineStr">
        <is>
          <t>ÅRE</t>
        </is>
      </c>
      <c r="G99" t="n">
        <v>10.6</v>
      </c>
      <c r="H99" t="n">
        <v>0</v>
      </c>
      <c r="I99" t="n">
        <v>0</v>
      </c>
      <c r="J99" t="n">
        <v>3</v>
      </c>
      <c r="K99" t="n">
        <v>0</v>
      </c>
      <c r="L99" t="n">
        <v>0</v>
      </c>
      <c r="M99" t="n">
        <v>0</v>
      </c>
      <c r="N99" t="n">
        <v>0</v>
      </c>
      <c r="O99" t="n">
        <v>3</v>
      </c>
      <c r="P99" t="n">
        <v>0</v>
      </c>
      <c r="Q99" t="n">
        <v>3</v>
      </c>
      <c r="R99" s="2" t="inlineStr">
        <is>
          <t>Gammelgransskål
Garnlav
Skrovellav</t>
        </is>
      </c>
      <c r="S99">
        <f>HYPERLINK("https://klasma.github.io/Logging_2321/artfynd/A 22692-2025 artfynd.xlsx", "A 22692-2025")</f>
        <v/>
      </c>
      <c r="T99">
        <f>HYPERLINK("https://klasma.github.io/Logging_2321/kartor/A 22692-2025 karta.png", "A 22692-2025")</f>
        <v/>
      </c>
      <c r="V99">
        <f>HYPERLINK("https://klasma.github.io/Logging_2321/klagomål/A 22692-2025 FSC-klagomål.docx", "A 22692-2025")</f>
        <v/>
      </c>
      <c r="W99">
        <f>HYPERLINK("https://klasma.github.io/Logging_2321/klagomålsmail/A 22692-2025 FSC-klagomål mail.docx", "A 22692-2025")</f>
        <v/>
      </c>
      <c r="X99">
        <f>HYPERLINK("https://klasma.github.io/Logging_2321/tillsyn/A 22692-2025 tillsynsbegäran.docx", "A 22692-2025")</f>
        <v/>
      </c>
      <c r="Y99">
        <f>HYPERLINK("https://klasma.github.io/Logging_2321/tillsynsmail/A 22692-2025 tillsynsbegäran mail.docx", "A 22692-2025")</f>
        <v/>
      </c>
    </row>
    <row r="100" ht="15" customHeight="1">
      <c r="A100" t="inlineStr">
        <is>
          <t>A 52588-2024</t>
        </is>
      </c>
      <c r="B100" s="1" t="n">
        <v>45609.69825231482</v>
      </c>
      <c r="C100" s="1" t="n">
        <v>45917</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54988-2020</t>
        </is>
      </c>
      <c r="B101" s="1" t="n">
        <v>44130</v>
      </c>
      <c r="C101" s="1" t="n">
        <v>45917</v>
      </c>
      <c r="D101" t="inlineStr">
        <is>
          <t>JÄMTLANDS LÄN</t>
        </is>
      </c>
      <c r="E101" t="inlineStr">
        <is>
          <t>ÅRE</t>
        </is>
      </c>
      <c r="G101" t="n">
        <v>13.2</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HYPERLINK("https://klasma.github.io/Logging_2321/artfynd/A 54988-2020 artfynd.xlsx", "A 54988-2020")</f>
        <v/>
      </c>
      <c r="T101">
        <f>HYPERLINK("https://klasma.github.io/Logging_2321/kartor/A 54988-2020 karta.png", "A 54988-2020")</f>
        <v/>
      </c>
      <c r="V101">
        <f>HYPERLINK("https://klasma.github.io/Logging_2321/klagomål/A 54988-2020 FSC-klagomål.docx", "A 54988-2020")</f>
        <v/>
      </c>
      <c r="W101">
        <f>HYPERLINK("https://klasma.github.io/Logging_2321/klagomålsmail/A 54988-2020 FSC-klagomål mail.docx", "A 54988-2020")</f>
        <v/>
      </c>
      <c r="X101">
        <f>HYPERLINK("https://klasma.github.io/Logging_2321/tillsyn/A 54988-2020 tillsynsbegäran.docx", "A 54988-2020")</f>
        <v/>
      </c>
      <c r="Y101">
        <f>HYPERLINK("https://klasma.github.io/Logging_2321/tillsynsmail/A 54988-2020 tillsynsbegäran mail.docx", "A 54988-2020")</f>
        <v/>
      </c>
      <c r="Z101">
        <f>HYPERLINK("https://klasma.github.io/Logging_2321/fåglar/A 54988-2020 prioriterade fågelarter.docx", "A 54988-2020")</f>
        <v/>
      </c>
    </row>
    <row r="102" ht="15" customHeight="1">
      <c r="A102" t="inlineStr">
        <is>
          <t>A 52778-2020</t>
        </is>
      </c>
      <c r="B102" s="1" t="n">
        <v>44119</v>
      </c>
      <c r="C102" s="1" t="n">
        <v>45917</v>
      </c>
      <c r="D102" t="inlineStr">
        <is>
          <t>JÄMTLANDS LÄN</t>
        </is>
      </c>
      <c r="E102" t="inlineStr">
        <is>
          <t>ÅRE</t>
        </is>
      </c>
      <c r="G102" t="n">
        <v>16.5</v>
      </c>
      <c r="H102" t="n">
        <v>0</v>
      </c>
      <c r="I102" t="n">
        <v>0</v>
      </c>
      <c r="J102" t="n">
        <v>2</v>
      </c>
      <c r="K102" t="n">
        <v>0</v>
      </c>
      <c r="L102" t="n">
        <v>0</v>
      </c>
      <c r="M102" t="n">
        <v>0</v>
      </c>
      <c r="N102" t="n">
        <v>0</v>
      </c>
      <c r="O102" t="n">
        <v>2</v>
      </c>
      <c r="P102" t="n">
        <v>0</v>
      </c>
      <c r="Q102" t="n">
        <v>2</v>
      </c>
      <c r="R102" s="2" t="inlineStr">
        <is>
          <t>Garnlav
Granticka</t>
        </is>
      </c>
      <c r="S102">
        <f>HYPERLINK("https://klasma.github.io/Logging_2321/artfynd/A 52778-2020 artfynd.xlsx", "A 52778-2020")</f>
        <v/>
      </c>
      <c r="T102">
        <f>HYPERLINK("https://klasma.github.io/Logging_2321/kartor/A 52778-2020 karta.png", "A 52778-2020")</f>
        <v/>
      </c>
      <c r="V102">
        <f>HYPERLINK("https://klasma.github.io/Logging_2321/klagomål/A 52778-2020 FSC-klagomål.docx", "A 52778-2020")</f>
        <v/>
      </c>
      <c r="W102">
        <f>HYPERLINK("https://klasma.github.io/Logging_2321/klagomålsmail/A 52778-2020 FSC-klagomål mail.docx", "A 52778-2020")</f>
        <v/>
      </c>
      <c r="X102">
        <f>HYPERLINK("https://klasma.github.io/Logging_2321/tillsyn/A 52778-2020 tillsynsbegäran.docx", "A 52778-2020")</f>
        <v/>
      </c>
      <c r="Y102">
        <f>HYPERLINK("https://klasma.github.io/Logging_2321/tillsynsmail/A 52778-2020 tillsynsbegäran mail.docx", "A 52778-2020")</f>
        <v/>
      </c>
    </row>
    <row r="103" ht="15" customHeight="1">
      <c r="A103" t="inlineStr">
        <is>
          <t>A 54128-2023</t>
        </is>
      </c>
      <c r="B103" s="1" t="n">
        <v>45232</v>
      </c>
      <c r="C103" s="1" t="n">
        <v>45917</v>
      </c>
      <c r="D103" t="inlineStr">
        <is>
          <t>JÄMTLANDS LÄN</t>
        </is>
      </c>
      <c r="E103" t="inlineStr">
        <is>
          <t>ÅRE</t>
        </is>
      </c>
      <c r="G103" t="n">
        <v>3.9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54128-2023 artfynd.xlsx", "A 54128-2023")</f>
        <v/>
      </c>
      <c r="T103">
        <f>HYPERLINK("https://klasma.github.io/Logging_2321/kartor/A 54128-2023 karta.png", "A 54128-2023")</f>
        <v/>
      </c>
      <c r="V103">
        <f>HYPERLINK("https://klasma.github.io/Logging_2321/klagomål/A 54128-2023 FSC-klagomål.docx", "A 54128-2023")</f>
        <v/>
      </c>
      <c r="W103">
        <f>HYPERLINK("https://klasma.github.io/Logging_2321/klagomålsmail/A 54128-2023 FSC-klagomål mail.docx", "A 54128-2023")</f>
        <v/>
      </c>
      <c r="X103">
        <f>HYPERLINK("https://klasma.github.io/Logging_2321/tillsyn/A 54128-2023 tillsynsbegäran.docx", "A 54128-2023")</f>
        <v/>
      </c>
      <c r="Y103">
        <f>HYPERLINK("https://klasma.github.io/Logging_2321/tillsynsmail/A 54128-2023 tillsynsbegäran mail.docx", "A 54128-2023")</f>
        <v/>
      </c>
      <c r="Z103">
        <f>HYPERLINK("https://klasma.github.io/Logging_2321/fåglar/A 54128-2023 prioriterade fågelarter.docx", "A 54128-2023")</f>
        <v/>
      </c>
    </row>
    <row r="104" ht="15" customHeight="1">
      <c r="A104" t="inlineStr">
        <is>
          <t>A 18851-2022</t>
        </is>
      </c>
      <c r="B104" s="1" t="n">
        <v>44690</v>
      </c>
      <c r="C104" s="1" t="n">
        <v>45917</v>
      </c>
      <c r="D104" t="inlineStr">
        <is>
          <t>JÄMTLANDS LÄN</t>
        </is>
      </c>
      <c r="E104" t="inlineStr">
        <is>
          <t>ÅRE</t>
        </is>
      </c>
      <c r="G104" t="n">
        <v>10.4</v>
      </c>
      <c r="H104" t="n">
        <v>1</v>
      </c>
      <c r="I104" t="n">
        <v>0</v>
      </c>
      <c r="J104" t="n">
        <v>1</v>
      </c>
      <c r="K104" t="n">
        <v>0</v>
      </c>
      <c r="L104" t="n">
        <v>0</v>
      </c>
      <c r="M104" t="n">
        <v>0</v>
      </c>
      <c r="N104" t="n">
        <v>0</v>
      </c>
      <c r="O104" t="n">
        <v>1</v>
      </c>
      <c r="P104" t="n">
        <v>0</v>
      </c>
      <c r="Q104" t="n">
        <v>2</v>
      </c>
      <c r="R104" s="2" t="inlineStr">
        <is>
          <t>Garnlav
Orre</t>
        </is>
      </c>
      <c r="S104">
        <f>HYPERLINK("https://klasma.github.io/Logging_2321/artfynd/A 18851-2022 artfynd.xlsx", "A 18851-2022")</f>
        <v/>
      </c>
      <c r="T104">
        <f>HYPERLINK("https://klasma.github.io/Logging_2321/kartor/A 18851-2022 karta.png", "A 18851-2022")</f>
        <v/>
      </c>
      <c r="V104">
        <f>HYPERLINK("https://klasma.github.io/Logging_2321/klagomål/A 18851-2022 FSC-klagomål.docx", "A 18851-2022")</f>
        <v/>
      </c>
      <c r="W104">
        <f>HYPERLINK("https://klasma.github.io/Logging_2321/klagomålsmail/A 18851-2022 FSC-klagomål mail.docx", "A 18851-2022")</f>
        <v/>
      </c>
      <c r="X104">
        <f>HYPERLINK("https://klasma.github.io/Logging_2321/tillsyn/A 18851-2022 tillsynsbegäran.docx", "A 18851-2022")</f>
        <v/>
      </c>
      <c r="Y104">
        <f>HYPERLINK("https://klasma.github.io/Logging_2321/tillsynsmail/A 18851-2022 tillsynsbegäran mail.docx", "A 18851-2022")</f>
        <v/>
      </c>
      <c r="Z104">
        <f>HYPERLINK("https://klasma.github.io/Logging_2321/fåglar/A 18851-2022 prioriterade fågelarter.docx", "A 18851-2022")</f>
        <v/>
      </c>
    </row>
    <row r="105" ht="15" customHeight="1">
      <c r="A105" t="inlineStr">
        <is>
          <t>A 46984-2021</t>
        </is>
      </c>
      <c r="B105" s="1" t="n">
        <v>44446</v>
      </c>
      <c r="C105" s="1" t="n">
        <v>45917</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54055-2023</t>
        </is>
      </c>
      <c r="B106" s="1" t="n">
        <v>45231</v>
      </c>
      <c r="C106" s="1" t="n">
        <v>45917</v>
      </c>
      <c r="D106" t="inlineStr">
        <is>
          <t>JÄMTLANDS LÄN</t>
        </is>
      </c>
      <c r="E106" t="inlineStr">
        <is>
          <t>ÅRE</t>
        </is>
      </c>
      <c r="F106" t="inlineStr">
        <is>
          <t>Övriga Aktiebolag</t>
        </is>
      </c>
      <c r="G106" t="n">
        <v>14.1</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HYPERLINK("https://klasma.github.io/Logging_2321/artfynd/A 54055-2023 artfynd.xlsx", "A 54055-2023")</f>
        <v/>
      </c>
      <c r="T106">
        <f>HYPERLINK("https://klasma.github.io/Logging_2321/kartor/A 54055-2023 karta.png", "A 54055-2023")</f>
        <v/>
      </c>
      <c r="V106">
        <f>HYPERLINK("https://klasma.github.io/Logging_2321/klagomål/A 54055-2023 FSC-klagomål.docx", "A 54055-2023")</f>
        <v/>
      </c>
      <c r="W106">
        <f>HYPERLINK("https://klasma.github.io/Logging_2321/klagomålsmail/A 54055-2023 FSC-klagomål mail.docx", "A 54055-2023")</f>
        <v/>
      </c>
      <c r="X106">
        <f>HYPERLINK("https://klasma.github.io/Logging_2321/tillsyn/A 54055-2023 tillsynsbegäran.docx", "A 54055-2023")</f>
        <v/>
      </c>
      <c r="Y106">
        <f>HYPERLINK("https://klasma.github.io/Logging_2321/tillsynsmail/A 54055-2023 tillsynsbegäran mail.docx", "A 54055-2023")</f>
        <v/>
      </c>
      <c r="Z106">
        <f>HYPERLINK("https://klasma.github.io/Logging_2321/fåglar/A 54055-2023 prioriterade fågelarter.docx", "A 54055-2023")</f>
        <v/>
      </c>
    </row>
    <row r="107" ht="15" customHeight="1">
      <c r="A107" t="inlineStr">
        <is>
          <t>A 37204-2025</t>
        </is>
      </c>
      <c r="B107" s="1" t="n">
        <v>45875.69826388889</v>
      </c>
      <c r="C107" s="1" t="n">
        <v>45917</v>
      </c>
      <c r="D107" t="inlineStr">
        <is>
          <t>JÄMTLANDS LÄN</t>
        </is>
      </c>
      <c r="E107" t="inlineStr">
        <is>
          <t>ÅRE</t>
        </is>
      </c>
      <c r="G107" t="n">
        <v>2.9</v>
      </c>
      <c r="H107" t="n">
        <v>1</v>
      </c>
      <c r="I107" t="n">
        <v>1</v>
      </c>
      <c r="J107" t="n">
        <v>0</v>
      </c>
      <c r="K107" t="n">
        <v>0</v>
      </c>
      <c r="L107" t="n">
        <v>0</v>
      </c>
      <c r="M107" t="n">
        <v>0</v>
      </c>
      <c r="N107" t="n">
        <v>0</v>
      </c>
      <c r="O107" t="n">
        <v>0</v>
      </c>
      <c r="P107" t="n">
        <v>0</v>
      </c>
      <c r="Q107" t="n">
        <v>2</v>
      </c>
      <c r="R107" s="2" t="inlineStr">
        <is>
          <t>Norrlandslav
Revlummer</t>
        </is>
      </c>
      <c r="S107">
        <f>HYPERLINK("https://klasma.github.io/Logging_2321/artfynd/A 37204-2025 artfynd.xlsx", "A 37204-2025")</f>
        <v/>
      </c>
      <c r="T107">
        <f>HYPERLINK("https://klasma.github.io/Logging_2321/kartor/A 37204-2025 karta.png", "A 37204-2025")</f>
        <v/>
      </c>
      <c r="V107">
        <f>HYPERLINK("https://klasma.github.io/Logging_2321/klagomål/A 37204-2025 FSC-klagomål.docx", "A 37204-2025")</f>
        <v/>
      </c>
      <c r="W107">
        <f>HYPERLINK("https://klasma.github.io/Logging_2321/klagomålsmail/A 37204-2025 FSC-klagomål mail.docx", "A 37204-2025")</f>
        <v/>
      </c>
      <c r="X107">
        <f>HYPERLINK("https://klasma.github.io/Logging_2321/tillsyn/A 37204-2025 tillsynsbegäran.docx", "A 37204-2025")</f>
        <v/>
      </c>
      <c r="Y107">
        <f>HYPERLINK("https://klasma.github.io/Logging_2321/tillsynsmail/A 37204-2025 tillsynsbegäran mail.docx", "A 37204-2025")</f>
        <v/>
      </c>
    </row>
    <row r="108" ht="15" customHeight="1">
      <c r="A108" t="inlineStr">
        <is>
          <t>A 32114-2025</t>
        </is>
      </c>
      <c r="B108" s="1" t="n">
        <v>45835.48488425926</v>
      </c>
      <c r="C108" s="1" t="n">
        <v>45917</v>
      </c>
      <c r="D108" t="inlineStr">
        <is>
          <t>JÄMTLANDS LÄN</t>
        </is>
      </c>
      <c r="E108" t="inlineStr">
        <is>
          <t>ÅRE</t>
        </is>
      </c>
      <c r="G108" t="n">
        <v>1.6</v>
      </c>
      <c r="H108" t="n">
        <v>0</v>
      </c>
      <c r="I108" t="n">
        <v>0</v>
      </c>
      <c r="J108" t="n">
        <v>2</v>
      </c>
      <c r="K108" t="n">
        <v>0</v>
      </c>
      <c r="L108" t="n">
        <v>0</v>
      </c>
      <c r="M108" t="n">
        <v>0</v>
      </c>
      <c r="N108" t="n">
        <v>0</v>
      </c>
      <c r="O108" t="n">
        <v>2</v>
      </c>
      <c r="P108" t="n">
        <v>0</v>
      </c>
      <c r="Q108" t="n">
        <v>2</v>
      </c>
      <c r="R108" s="2" t="inlineStr">
        <is>
          <t>Kolflarnlav
Rosenticka</t>
        </is>
      </c>
      <c r="S108">
        <f>HYPERLINK("https://klasma.github.io/Logging_2321/artfynd/A 32114-2025 artfynd.xlsx", "A 32114-2025")</f>
        <v/>
      </c>
      <c r="T108">
        <f>HYPERLINK("https://klasma.github.io/Logging_2321/kartor/A 32114-2025 karta.png", "A 32114-2025")</f>
        <v/>
      </c>
      <c r="V108">
        <f>HYPERLINK("https://klasma.github.io/Logging_2321/klagomål/A 32114-2025 FSC-klagomål.docx", "A 32114-2025")</f>
        <v/>
      </c>
      <c r="W108">
        <f>HYPERLINK("https://klasma.github.io/Logging_2321/klagomålsmail/A 32114-2025 FSC-klagomål mail.docx", "A 32114-2025")</f>
        <v/>
      </c>
      <c r="X108">
        <f>HYPERLINK("https://klasma.github.io/Logging_2321/tillsyn/A 32114-2025 tillsynsbegäran.docx", "A 32114-2025")</f>
        <v/>
      </c>
      <c r="Y108">
        <f>HYPERLINK("https://klasma.github.io/Logging_2321/tillsynsmail/A 32114-2025 tillsynsbegäran mail.docx", "A 32114-2025")</f>
        <v/>
      </c>
    </row>
    <row r="109" ht="15" customHeight="1">
      <c r="A109" t="inlineStr">
        <is>
          <t>A 23625-2024</t>
        </is>
      </c>
      <c r="B109" s="1" t="n">
        <v>45454</v>
      </c>
      <c r="C109" s="1" t="n">
        <v>45917</v>
      </c>
      <c r="D109" t="inlineStr">
        <is>
          <t>JÄMTLANDS LÄN</t>
        </is>
      </c>
      <c r="E109" t="inlineStr">
        <is>
          <t>ÅRE</t>
        </is>
      </c>
      <c r="G109" t="n">
        <v>15.2</v>
      </c>
      <c r="H109" t="n">
        <v>2</v>
      </c>
      <c r="I109" t="n">
        <v>0</v>
      </c>
      <c r="J109" t="n">
        <v>1</v>
      </c>
      <c r="K109" t="n">
        <v>0</v>
      </c>
      <c r="L109" t="n">
        <v>0</v>
      </c>
      <c r="M109" t="n">
        <v>0</v>
      </c>
      <c r="N109" t="n">
        <v>0</v>
      </c>
      <c r="O109" t="n">
        <v>1</v>
      </c>
      <c r="P109" t="n">
        <v>0</v>
      </c>
      <c r="Q109" t="n">
        <v>2</v>
      </c>
      <c r="R109" s="2" t="inlineStr">
        <is>
          <t>Tretåig hackspett
Lavskrika</t>
        </is>
      </c>
      <c r="S109">
        <f>HYPERLINK("https://klasma.github.io/Logging_2321/artfynd/A 23625-2024 artfynd.xlsx", "A 23625-2024")</f>
        <v/>
      </c>
      <c r="T109">
        <f>HYPERLINK("https://klasma.github.io/Logging_2321/kartor/A 23625-2024 karta.png", "A 23625-2024")</f>
        <v/>
      </c>
      <c r="V109">
        <f>HYPERLINK("https://klasma.github.io/Logging_2321/klagomål/A 23625-2024 FSC-klagomål.docx", "A 23625-2024")</f>
        <v/>
      </c>
      <c r="W109">
        <f>HYPERLINK("https://klasma.github.io/Logging_2321/klagomålsmail/A 23625-2024 FSC-klagomål mail.docx", "A 23625-2024")</f>
        <v/>
      </c>
      <c r="X109">
        <f>HYPERLINK("https://klasma.github.io/Logging_2321/tillsyn/A 23625-2024 tillsynsbegäran.docx", "A 23625-2024")</f>
        <v/>
      </c>
      <c r="Y109">
        <f>HYPERLINK("https://klasma.github.io/Logging_2321/tillsynsmail/A 23625-2024 tillsynsbegäran mail.docx", "A 23625-2024")</f>
        <v/>
      </c>
      <c r="Z109">
        <f>HYPERLINK("https://klasma.github.io/Logging_2321/fåglar/A 23625-2024 prioriterade fågelarter.docx", "A 23625-2024")</f>
        <v/>
      </c>
    </row>
    <row r="110" ht="15" customHeight="1">
      <c r="A110" t="inlineStr">
        <is>
          <t>A 32207-2022</t>
        </is>
      </c>
      <c r="B110" s="1" t="n">
        <v>44781</v>
      </c>
      <c r="C110" s="1" t="n">
        <v>45917</v>
      </c>
      <c r="D110" t="inlineStr">
        <is>
          <t>JÄMTLANDS LÄN</t>
        </is>
      </c>
      <c r="E110" t="inlineStr">
        <is>
          <t>ÅRE</t>
        </is>
      </c>
      <c r="G110" t="n">
        <v>5.5</v>
      </c>
      <c r="H110" t="n">
        <v>1</v>
      </c>
      <c r="I110" t="n">
        <v>2</v>
      </c>
      <c r="J110" t="n">
        <v>0</v>
      </c>
      <c r="K110" t="n">
        <v>0</v>
      </c>
      <c r="L110" t="n">
        <v>0</v>
      </c>
      <c r="M110" t="n">
        <v>0</v>
      </c>
      <c r="N110" t="n">
        <v>0</v>
      </c>
      <c r="O110" t="n">
        <v>0</v>
      </c>
      <c r="P110" t="n">
        <v>0</v>
      </c>
      <c r="Q110" t="n">
        <v>2</v>
      </c>
      <c r="R110" s="2" t="inlineStr">
        <is>
          <t>Korallrot
Ögonpyrola</t>
        </is>
      </c>
      <c r="S110">
        <f>HYPERLINK("https://klasma.github.io/Logging_2321/artfynd/A 32207-2022 artfynd.xlsx", "A 32207-2022")</f>
        <v/>
      </c>
      <c r="T110">
        <f>HYPERLINK("https://klasma.github.io/Logging_2321/kartor/A 32207-2022 karta.png", "A 32207-2022")</f>
        <v/>
      </c>
      <c r="V110">
        <f>HYPERLINK("https://klasma.github.io/Logging_2321/klagomål/A 32207-2022 FSC-klagomål.docx", "A 32207-2022")</f>
        <v/>
      </c>
      <c r="W110">
        <f>HYPERLINK("https://klasma.github.io/Logging_2321/klagomålsmail/A 32207-2022 FSC-klagomål mail.docx", "A 32207-2022")</f>
        <v/>
      </c>
      <c r="X110">
        <f>HYPERLINK("https://klasma.github.io/Logging_2321/tillsyn/A 32207-2022 tillsynsbegäran.docx", "A 32207-2022")</f>
        <v/>
      </c>
      <c r="Y110">
        <f>HYPERLINK("https://klasma.github.io/Logging_2321/tillsynsmail/A 32207-2022 tillsynsbegäran mail.docx", "A 32207-2022")</f>
        <v/>
      </c>
    </row>
    <row r="111" ht="15" customHeight="1">
      <c r="A111" t="inlineStr">
        <is>
          <t>A 5388-2021</t>
        </is>
      </c>
      <c r="B111" s="1" t="n">
        <v>44229</v>
      </c>
      <c r="C111" s="1" t="n">
        <v>45917</v>
      </c>
      <c r="D111" t="inlineStr">
        <is>
          <t>JÄMTLANDS LÄN</t>
        </is>
      </c>
      <c r="E111" t="inlineStr">
        <is>
          <t>ÅRE</t>
        </is>
      </c>
      <c r="G111" t="n">
        <v>6.9</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HYPERLINK("https://klasma.github.io/Logging_2321/artfynd/A 5388-2021 artfynd.xlsx", "A 5388-2021")</f>
        <v/>
      </c>
      <c r="T111">
        <f>HYPERLINK("https://klasma.github.io/Logging_2321/kartor/A 5388-2021 karta.png", "A 5388-2021")</f>
        <v/>
      </c>
      <c r="V111">
        <f>HYPERLINK("https://klasma.github.io/Logging_2321/klagomål/A 5388-2021 FSC-klagomål.docx", "A 5388-2021")</f>
        <v/>
      </c>
      <c r="W111">
        <f>HYPERLINK("https://klasma.github.io/Logging_2321/klagomålsmail/A 5388-2021 FSC-klagomål mail.docx", "A 5388-2021")</f>
        <v/>
      </c>
      <c r="X111">
        <f>HYPERLINK("https://klasma.github.io/Logging_2321/tillsyn/A 5388-2021 tillsynsbegäran.docx", "A 5388-2021")</f>
        <v/>
      </c>
      <c r="Y111">
        <f>HYPERLINK("https://klasma.github.io/Logging_2321/tillsynsmail/A 5388-2021 tillsynsbegäran mail.docx", "A 5388-2021")</f>
        <v/>
      </c>
      <c r="Z111">
        <f>HYPERLINK("https://klasma.github.io/Logging_2321/fåglar/A 5388-2021 prioriterade fågelarter.docx", "A 5388-2021")</f>
        <v/>
      </c>
    </row>
    <row r="112" ht="15" customHeight="1">
      <c r="A112" t="inlineStr">
        <is>
          <t>A 23566-2021</t>
        </is>
      </c>
      <c r="B112" s="1" t="n">
        <v>44334</v>
      </c>
      <c r="C112" s="1" t="n">
        <v>45917</v>
      </c>
      <c r="D112" t="inlineStr">
        <is>
          <t>JÄMTLANDS LÄN</t>
        </is>
      </c>
      <c r="E112" t="inlineStr">
        <is>
          <t>ÅRE</t>
        </is>
      </c>
      <c r="G112" t="n">
        <v>20</v>
      </c>
      <c r="H112" t="n">
        <v>1</v>
      </c>
      <c r="I112" t="n">
        <v>1</v>
      </c>
      <c r="J112" t="n">
        <v>1</v>
      </c>
      <c r="K112" t="n">
        <v>0</v>
      </c>
      <c r="L112" t="n">
        <v>0</v>
      </c>
      <c r="M112" t="n">
        <v>0</v>
      </c>
      <c r="N112" t="n">
        <v>0</v>
      </c>
      <c r="O112" t="n">
        <v>1</v>
      </c>
      <c r="P112" t="n">
        <v>0</v>
      </c>
      <c r="Q112" t="n">
        <v>2</v>
      </c>
      <c r="R112" s="2" t="inlineStr">
        <is>
          <t>Skrovellav
Spindelblomster</t>
        </is>
      </c>
      <c r="S112">
        <f>HYPERLINK("https://klasma.github.io/Logging_2321/artfynd/A 23566-2021 artfynd.xlsx", "A 23566-2021")</f>
        <v/>
      </c>
      <c r="T112">
        <f>HYPERLINK("https://klasma.github.io/Logging_2321/kartor/A 23566-2021 karta.png", "A 23566-2021")</f>
        <v/>
      </c>
      <c r="V112">
        <f>HYPERLINK("https://klasma.github.io/Logging_2321/klagomål/A 23566-2021 FSC-klagomål.docx", "A 23566-2021")</f>
        <v/>
      </c>
      <c r="W112">
        <f>HYPERLINK("https://klasma.github.io/Logging_2321/klagomålsmail/A 23566-2021 FSC-klagomål mail.docx", "A 23566-2021")</f>
        <v/>
      </c>
      <c r="X112">
        <f>HYPERLINK("https://klasma.github.io/Logging_2321/tillsyn/A 23566-2021 tillsynsbegäran.docx", "A 23566-2021")</f>
        <v/>
      </c>
      <c r="Y112">
        <f>HYPERLINK("https://klasma.github.io/Logging_2321/tillsynsmail/A 23566-2021 tillsynsbegäran mail.docx", "A 23566-2021")</f>
        <v/>
      </c>
    </row>
    <row r="113" ht="15" customHeight="1">
      <c r="A113" t="inlineStr">
        <is>
          <t>A 6108-2023</t>
        </is>
      </c>
      <c r="B113" s="1" t="n">
        <v>44964</v>
      </c>
      <c r="C113" s="1" t="n">
        <v>45917</v>
      </c>
      <c r="D113" t="inlineStr">
        <is>
          <t>JÄMTLANDS LÄN</t>
        </is>
      </c>
      <c r="E113" t="inlineStr">
        <is>
          <t>ÅRE</t>
        </is>
      </c>
      <c r="G113" t="n">
        <v>15.4</v>
      </c>
      <c r="H113" t="n">
        <v>1</v>
      </c>
      <c r="I113" t="n">
        <v>0</v>
      </c>
      <c r="J113" t="n">
        <v>2</v>
      </c>
      <c r="K113" t="n">
        <v>0</v>
      </c>
      <c r="L113" t="n">
        <v>0</v>
      </c>
      <c r="M113" t="n">
        <v>0</v>
      </c>
      <c r="N113" t="n">
        <v>0</v>
      </c>
      <c r="O113" t="n">
        <v>2</v>
      </c>
      <c r="P113" t="n">
        <v>0</v>
      </c>
      <c r="Q113" t="n">
        <v>2</v>
      </c>
      <c r="R113" s="2" t="inlineStr">
        <is>
          <t>Skrovellav
Tretåig hackspett</t>
        </is>
      </c>
      <c r="S113">
        <f>HYPERLINK("https://klasma.github.io/Logging_2321/artfynd/A 6108-2023 artfynd.xlsx", "A 6108-2023")</f>
        <v/>
      </c>
      <c r="T113">
        <f>HYPERLINK("https://klasma.github.io/Logging_2321/kartor/A 6108-2023 karta.png", "A 6108-2023")</f>
        <v/>
      </c>
      <c r="V113">
        <f>HYPERLINK("https://klasma.github.io/Logging_2321/klagomål/A 6108-2023 FSC-klagomål.docx", "A 6108-2023")</f>
        <v/>
      </c>
      <c r="W113">
        <f>HYPERLINK("https://klasma.github.io/Logging_2321/klagomålsmail/A 6108-2023 FSC-klagomål mail.docx", "A 6108-2023")</f>
        <v/>
      </c>
      <c r="X113">
        <f>HYPERLINK("https://klasma.github.io/Logging_2321/tillsyn/A 6108-2023 tillsynsbegäran.docx", "A 6108-2023")</f>
        <v/>
      </c>
      <c r="Y113">
        <f>HYPERLINK("https://klasma.github.io/Logging_2321/tillsynsmail/A 6108-2023 tillsynsbegäran mail.docx", "A 6108-2023")</f>
        <v/>
      </c>
      <c r="Z113">
        <f>HYPERLINK("https://klasma.github.io/Logging_2321/fåglar/A 6108-2023 prioriterade fågelarter.docx", "A 6108-2023")</f>
        <v/>
      </c>
    </row>
    <row r="114" ht="15" customHeight="1">
      <c r="A114" t="inlineStr">
        <is>
          <t>A 22231-2022</t>
        </is>
      </c>
      <c r="B114" s="1" t="n">
        <v>44712</v>
      </c>
      <c r="C114" s="1" t="n">
        <v>45917</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36395-2025</t>
        </is>
      </c>
      <c r="B115" s="1" t="n">
        <v>45868.6211574074</v>
      </c>
      <c r="C115" s="1" t="n">
        <v>45917</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18719-2024</t>
        </is>
      </c>
      <c r="B116" s="1" t="n">
        <v>45426</v>
      </c>
      <c r="C116" s="1" t="n">
        <v>45917</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22974-2022</t>
        </is>
      </c>
      <c r="B117" s="1" t="n">
        <v>44716</v>
      </c>
      <c r="C117" s="1" t="n">
        <v>45917</v>
      </c>
      <c r="D117" t="inlineStr">
        <is>
          <t>JÄMTLANDS LÄN</t>
        </is>
      </c>
      <c r="E117" t="inlineStr">
        <is>
          <t>ÅRE</t>
        </is>
      </c>
      <c r="G117" t="n">
        <v>8.300000000000001</v>
      </c>
      <c r="H117" t="n">
        <v>1</v>
      </c>
      <c r="I117" t="n">
        <v>2</v>
      </c>
      <c r="J117" t="n">
        <v>0</v>
      </c>
      <c r="K117" t="n">
        <v>0</v>
      </c>
      <c r="L117" t="n">
        <v>0</v>
      </c>
      <c r="M117" t="n">
        <v>0</v>
      </c>
      <c r="N117" t="n">
        <v>0</v>
      </c>
      <c r="O117" t="n">
        <v>0</v>
      </c>
      <c r="P117" t="n">
        <v>0</v>
      </c>
      <c r="Q117" t="n">
        <v>2</v>
      </c>
      <c r="R117" s="2" t="inlineStr">
        <is>
          <t>Spindelblomster
Ögonpyrola</t>
        </is>
      </c>
      <c r="S117">
        <f>HYPERLINK("https://klasma.github.io/Logging_2321/artfynd/A 22974-2022 artfynd.xlsx", "A 22974-2022")</f>
        <v/>
      </c>
      <c r="T117">
        <f>HYPERLINK("https://klasma.github.io/Logging_2321/kartor/A 22974-2022 karta.png", "A 22974-2022")</f>
        <v/>
      </c>
      <c r="V117">
        <f>HYPERLINK("https://klasma.github.io/Logging_2321/klagomål/A 22974-2022 FSC-klagomål.docx", "A 22974-2022")</f>
        <v/>
      </c>
      <c r="W117">
        <f>HYPERLINK("https://klasma.github.io/Logging_2321/klagomålsmail/A 22974-2022 FSC-klagomål mail.docx", "A 22974-2022")</f>
        <v/>
      </c>
      <c r="X117">
        <f>HYPERLINK("https://klasma.github.io/Logging_2321/tillsyn/A 22974-2022 tillsynsbegäran.docx", "A 22974-2022")</f>
        <v/>
      </c>
      <c r="Y117">
        <f>HYPERLINK("https://klasma.github.io/Logging_2321/tillsynsmail/A 22974-2022 tillsynsbegäran mail.docx", "A 22974-2022")</f>
        <v/>
      </c>
    </row>
    <row r="118" ht="15" customHeight="1">
      <c r="A118" t="inlineStr">
        <is>
          <t>A 5531-2023</t>
        </is>
      </c>
      <c r="B118" s="1" t="n">
        <v>44957</v>
      </c>
      <c r="C118" s="1" t="n">
        <v>45917</v>
      </c>
      <c r="D118" t="inlineStr">
        <is>
          <t>JÄMTLANDS LÄN</t>
        </is>
      </c>
      <c r="E118" t="inlineStr">
        <is>
          <t>ÅRE</t>
        </is>
      </c>
      <c r="G118" t="n">
        <v>3.8</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5531-2023 artfynd.xlsx", "A 5531-2023")</f>
        <v/>
      </c>
      <c r="T118">
        <f>HYPERLINK("https://klasma.github.io/Logging_2321/kartor/A 5531-2023 karta.png", "A 5531-2023")</f>
        <v/>
      </c>
      <c r="V118">
        <f>HYPERLINK("https://klasma.github.io/Logging_2321/klagomål/A 5531-2023 FSC-klagomål.docx", "A 5531-2023")</f>
        <v/>
      </c>
      <c r="W118">
        <f>HYPERLINK("https://klasma.github.io/Logging_2321/klagomålsmail/A 5531-2023 FSC-klagomål mail.docx", "A 5531-2023")</f>
        <v/>
      </c>
      <c r="X118">
        <f>HYPERLINK("https://klasma.github.io/Logging_2321/tillsyn/A 5531-2023 tillsynsbegäran.docx", "A 5531-2023")</f>
        <v/>
      </c>
      <c r="Y118">
        <f>HYPERLINK("https://klasma.github.io/Logging_2321/tillsynsmail/A 5531-2023 tillsynsbegäran mail.docx", "A 5531-2023")</f>
        <v/>
      </c>
      <c r="Z118">
        <f>HYPERLINK("https://klasma.github.io/Logging_2321/fåglar/A 5531-2023 prioriterade fågelarter.docx", "A 5531-2023")</f>
        <v/>
      </c>
    </row>
    <row r="119" ht="15" customHeight="1">
      <c r="A119" t="inlineStr">
        <is>
          <t>A 64668-2021</t>
        </is>
      </c>
      <c r="B119" s="1" t="n">
        <v>44512</v>
      </c>
      <c r="C119" s="1" t="n">
        <v>45917</v>
      </c>
      <c r="D119" t="inlineStr">
        <is>
          <t>JÄMTLANDS LÄN</t>
        </is>
      </c>
      <c r="E119" t="inlineStr">
        <is>
          <t>ÅRE</t>
        </is>
      </c>
      <c r="G119" t="n">
        <v>1.9</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64668-2021 artfynd.xlsx", "A 64668-2021")</f>
        <v/>
      </c>
      <c r="T119">
        <f>HYPERLINK("https://klasma.github.io/Logging_2321/kartor/A 64668-2021 karta.png", "A 64668-2021")</f>
        <v/>
      </c>
      <c r="V119">
        <f>HYPERLINK("https://klasma.github.io/Logging_2321/klagomål/A 64668-2021 FSC-klagomål.docx", "A 64668-2021")</f>
        <v/>
      </c>
      <c r="W119">
        <f>HYPERLINK("https://klasma.github.io/Logging_2321/klagomålsmail/A 64668-2021 FSC-klagomål mail.docx", "A 64668-2021")</f>
        <v/>
      </c>
      <c r="X119">
        <f>HYPERLINK("https://klasma.github.io/Logging_2321/tillsyn/A 64668-2021 tillsynsbegäran.docx", "A 64668-2021")</f>
        <v/>
      </c>
      <c r="Y119">
        <f>HYPERLINK("https://klasma.github.io/Logging_2321/tillsynsmail/A 64668-2021 tillsynsbegäran mail.docx", "A 64668-2021")</f>
        <v/>
      </c>
      <c r="Z119">
        <f>HYPERLINK("https://klasma.github.io/Logging_2321/fåglar/A 64668-2021 prioriterade fågelarter.docx", "A 64668-2021")</f>
        <v/>
      </c>
    </row>
    <row r="120" ht="15" customHeight="1">
      <c r="A120" t="inlineStr">
        <is>
          <t>A 5418-2023</t>
        </is>
      </c>
      <c r="B120" s="1" t="n">
        <v>44957</v>
      </c>
      <c r="C120" s="1" t="n">
        <v>45917</v>
      </c>
      <c r="D120" t="inlineStr">
        <is>
          <t>JÄMTLANDS LÄN</t>
        </is>
      </c>
      <c r="E120" t="inlineStr">
        <is>
          <t>ÅRE</t>
        </is>
      </c>
      <c r="G120" t="n">
        <v>5</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5418-2023 artfynd.xlsx", "A 5418-2023")</f>
        <v/>
      </c>
      <c r="T120">
        <f>HYPERLINK("https://klasma.github.io/Logging_2321/kartor/A 5418-2023 karta.png", "A 5418-2023")</f>
        <v/>
      </c>
      <c r="V120">
        <f>HYPERLINK("https://klasma.github.io/Logging_2321/klagomål/A 5418-2023 FSC-klagomål.docx", "A 5418-2023")</f>
        <v/>
      </c>
      <c r="W120">
        <f>HYPERLINK("https://klasma.github.io/Logging_2321/klagomålsmail/A 5418-2023 FSC-klagomål mail.docx", "A 5418-2023")</f>
        <v/>
      </c>
      <c r="X120">
        <f>HYPERLINK("https://klasma.github.io/Logging_2321/tillsyn/A 5418-2023 tillsynsbegäran.docx", "A 5418-2023")</f>
        <v/>
      </c>
      <c r="Y120">
        <f>HYPERLINK("https://klasma.github.io/Logging_2321/tillsynsmail/A 5418-2023 tillsynsbegäran mail.docx", "A 5418-2023")</f>
        <v/>
      </c>
      <c r="Z120">
        <f>HYPERLINK("https://klasma.github.io/Logging_2321/fåglar/A 5418-2023 prioriterade fågelarter.docx", "A 5418-2023")</f>
        <v/>
      </c>
    </row>
    <row r="121" ht="15" customHeight="1">
      <c r="A121" t="inlineStr">
        <is>
          <t>A 60533-2022</t>
        </is>
      </c>
      <c r="B121" s="1" t="n">
        <v>44904</v>
      </c>
      <c r="C121" s="1" t="n">
        <v>45917</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8982-2025</t>
        </is>
      </c>
      <c r="B122" s="1" t="n">
        <v>45713.53458333333</v>
      </c>
      <c r="C122" s="1" t="n">
        <v>45917</v>
      </c>
      <c r="D122" t="inlineStr">
        <is>
          <t>JÄMTLANDS LÄN</t>
        </is>
      </c>
      <c r="E122" t="inlineStr">
        <is>
          <t>ÅRE</t>
        </is>
      </c>
      <c r="G122" t="n">
        <v>3.2</v>
      </c>
      <c r="H122" t="n">
        <v>0</v>
      </c>
      <c r="I122" t="n">
        <v>1</v>
      </c>
      <c r="J122" t="n">
        <v>1</v>
      </c>
      <c r="K122" t="n">
        <v>0</v>
      </c>
      <c r="L122" t="n">
        <v>0</v>
      </c>
      <c r="M122" t="n">
        <v>0</v>
      </c>
      <c r="N122" t="n">
        <v>0</v>
      </c>
      <c r="O122" t="n">
        <v>1</v>
      </c>
      <c r="P122" t="n">
        <v>0</v>
      </c>
      <c r="Q122" t="n">
        <v>2</v>
      </c>
      <c r="R122" s="2" t="inlineStr">
        <is>
          <t>Garnlav
Svavelriska</t>
        </is>
      </c>
      <c r="S122">
        <f>HYPERLINK("https://klasma.github.io/Logging_2321/artfynd/A 8982-2025 artfynd.xlsx", "A 8982-2025")</f>
        <v/>
      </c>
      <c r="T122">
        <f>HYPERLINK("https://klasma.github.io/Logging_2321/kartor/A 8982-2025 karta.png", "A 8982-2025")</f>
        <v/>
      </c>
      <c r="U122">
        <f>HYPERLINK("https://klasma.github.io/Logging_2321/knärot/A 8982-2025 karta knärot.png", "A 8982-2025")</f>
        <v/>
      </c>
      <c r="V122">
        <f>HYPERLINK("https://klasma.github.io/Logging_2321/klagomål/A 8982-2025 FSC-klagomål.docx", "A 8982-2025")</f>
        <v/>
      </c>
      <c r="W122">
        <f>HYPERLINK("https://klasma.github.io/Logging_2321/klagomålsmail/A 8982-2025 FSC-klagomål mail.docx", "A 8982-2025")</f>
        <v/>
      </c>
      <c r="X122">
        <f>HYPERLINK("https://klasma.github.io/Logging_2321/tillsyn/A 8982-2025 tillsynsbegäran.docx", "A 8982-2025")</f>
        <v/>
      </c>
      <c r="Y122">
        <f>HYPERLINK("https://klasma.github.io/Logging_2321/tillsynsmail/A 8982-2025 tillsynsbegäran mail.docx", "A 8982-2025")</f>
        <v/>
      </c>
    </row>
    <row r="123" ht="15" customHeight="1">
      <c r="A123" t="inlineStr">
        <is>
          <t>A 17489-2024</t>
        </is>
      </c>
      <c r="B123" s="1" t="n">
        <v>45415</v>
      </c>
      <c r="C123" s="1" t="n">
        <v>45917</v>
      </c>
      <c r="D123" t="inlineStr">
        <is>
          <t>JÄMTLANDS LÄN</t>
        </is>
      </c>
      <c r="E123" t="inlineStr">
        <is>
          <t>ÅRE</t>
        </is>
      </c>
      <c r="G123" t="n">
        <v>12.9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17489-2024 artfynd.xlsx", "A 17489-2024")</f>
        <v/>
      </c>
      <c r="T123">
        <f>HYPERLINK("https://klasma.github.io/Logging_2321/kartor/A 17489-2024 karta.png", "A 17489-2024")</f>
        <v/>
      </c>
      <c r="V123">
        <f>HYPERLINK("https://klasma.github.io/Logging_2321/klagomål/A 17489-2024 FSC-klagomål.docx", "A 17489-2024")</f>
        <v/>
      </c>
      <c r="W123">
        <f>HYPERLINK("https://klasma.github.io/Logging_2321/klagomålsmail/A 17489-2024 FSC-klagomål mail.docx", "A 17489-2024")</f>
        <v/>
      </c>
      <c r="X123">
        <f>HYPERLINK("https://klasma.github.io/Logging_2321/tillsyn/A 17489-2024 tillsynsbegäran.docx", "A 17489-2024")</f>
        <v/>
      </c>
      <c r="Y123">
        <f>HYPERLINK("https://klasma.github.io/Logging_2321/tillsynsmail/A 17489-2024 tillsynsbegäran mail.docx", "A 17489-2024")</f>
        <v/>
      </c>
      <c r="Z123">
        <f>HYPERLINK("https://klasma.github.io/Logging_2321/fåglar/A 17489-2024 prioriterade fågelarter.docx", "A 17489-2024")</f>
        <v/>
      </c>
    </row>
    <row r="124" ht="15" customHeight="1">
      <c r="A124" t="inlineStr">
        <is>
          <t>A 3152-2023</t>
        </is>
      </c>
      <c r="B124" s="1" t="n">
        <v>44946</v>
      </c>
      <c r="C124" s="1" t="n">
        <v>45917</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HYPERLINK("https://klasma.github.io/Logging_2321/artfynd/A 3152-2023 artfynd.xlsx", "A 3152-2023")</f>
        <v/>
      </c>
      <c r="T124">
        <f>HYPERLINK("https://klasma.github.io/Logging_2321/kartor/A 3152-2023 karta.png", "A 3152-2023")</f>
        <v/>
      </c>
      <c r="V124">
        <f>HYPERLINK("https://klasma.github.io/Logging_2321/klagomål/A 3152-2023 FSC-klagomål.docx", "A 3152-2023")</f>
        <v/>
      </c>
      <c r="W124">
        <f>HYPERLINK("https://klasma.github.io/Logging_2321/klagomålsmail/A 3152-2023 FSC-klagomål mail.docx", "A 3152-2023")</f>
        <v/>
      </c>
      <c r="X124">
        <f>HYPERLINK("https://klasma.github.io/Logging_2321/tillsyn/A 3152-2023 tillsynsbegäran.docx", "A 3152-2023")</f>
        <v/>
      </c>
      <c r="Y124">
        <f>HYPERLINK("https://klasma.github.io/Logging_2321/tillsynsmail/A 3152-2023 tillsynsbegäran mail.docx", "A 3152-2023")</f>
        <v/>
      </c>
      <c r="Z124">
        <f>HYPERLINK("https://klasma.github.io/Logging_2321/fåglar/A 3152-2023 prioriterade fågelarter.docx", "A 3152-2023")</f>
        <v/>
      </c>
    </row>
    <row r="125" ht="15" customHeight="1">
      <c r="A125" t="inlineStr">
        <is>
          <t>A 23706-2023</t>
        </is>
      </c>
      <c r="B125" s="1" t="n">
        <v>45072</v>
      </c>
      <c r="C125" s="1" t="n">
        <v>45917</v>
      </c>
      <c r="D125" t="inlineStr">
        <is>
          <t>JÄMTLANDS LÄN</t>
        </is>
      </c>
      <c r="E125" t="inlineStr">
        <is>
          <t>ÅRE</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23706-2023 artfynd.xlsx", "A 23706-2023")</f>
        <v/>
      </c>
      <c r="T125">
        <f>HYPERLINK("https://klasma.github.io/Logging_2321/kartor/A 23706-2023 karta.png", "A 23706-2023")</f>
        <v/>
      </c>
      <c r="V125">
        <f>HYPERLINK("https://klasma.github.io/Logging_2321/klagomål/A 23706-2023 FSC-klagomål.docx", "A 23706-2023")</f>
        <v/>
      </c>
      <c r="W125">
        <f>HYPERLINK("https://klasma.github.io/Logging_2321/klagomålsmail/A 23706-2023 FSC-klagomål mail.docx", "A 23706-2023")</f>
        <v/>
      </c>
      <c r="X125">
        <f>HYPERLINK("https://klasma.github.io/Logging_2321/tillsyn/A 23706-2023 tillsynsbegäran.docx", "A 23706-2023")</f>
        <v/>
      </c>
      <c r="Y125">
        <f>HYPERLINK("https://klasma.github.io/Logging_2321/tillsynsmail/A 23706-2023 tillsynsbegäran mail.docx", "A 23706-2023")</f>
        <v/>
      </c>
      <c r="Z125">
        <f>HYPERLINK("https://klasma.github.io/Logging_2321/fåglar/A 23706-2023 prioriterade fågelarter.docx", "A 23706-2023")</f>
        <v/>
      </c>
    </row>
    <row r="126" ht="15" customHeight="1">
      <c r="A126" t="inlineStr">
        <is>
          <t>A 20501-2021</t>
        </is>
      </c>
      <c r="B126" s="1" t="n">
        <v>44315.68802083333</v>
      </c>
      <c r="C126" s="1" t="n">
        <v>45917</v>
      </c>
      <c r="D126" t="inlineStr">
        <is>
          <t>JÄMTLANDS LÄN</t>
        </is>
      </c>
      <c r="E126" t="inlineStr">
        <is>
          <t>ÅRE</t>
        </is>
      </c>
      <c r="G126" t="n">
        <v>1.1</v>
      </c>
      <c r="H126" t="n">
        <v>1</v>
      </c>
      <c r="I126" t="n">
        <v>0</v>
      </c>
      <c r="J126" t="n">
        <v>1</v>
      </c>
      <c r="K126" t="n">
        <v>0</v>
      </c>
      <c r="L126" t="n">
        <v>0</v>
      </c>
      <c r="M126" t="n">
        <v>0</v>
      </c>
      <c r="N126" t="n">
        <v>0</v>
      </c>
      <c r="O126" t="n">
        <v>1</v>
      </c>
      <c r="P126" t="n">
        <v>0</v>
      </c>
      <c r="Q126" t="n">
        <v>1</v>
      </c>
      <c r="R126" s="2" t="inlineStr">
        <is>
          <t>Hornuggla</t>
        </is>
      </c>
      <c r="S126">
        <f>HYPERLINK("https://klasma.github.io/Logging_2321/artfynd/A 20501-2021 artfynd.xlsx", "A 20501-2021")</f>
        <v/>
      </c>
      <c r="T126">
        <f>HYPERLINK("https://klasma.github.io/Logging_2321/kartor/A 20501-2021 karta.png", "A 20501-2021")</f>
        <v/>
      </c>
      <c r="V126">
        <f>HYPERLINK("https://klasma.github.io/Logging_2321/klagomål/A 20501-2021 FSC-klagomål.docx", "A 20501-2021")</f>
        <v/>
      </c>
      <c r="W126">
        <f>HYPERLINK("https://klasma.github.io/Logging_2321/klagomålsmail/A 20501-2021 FSC-klagomål mail.docx", "A 20501-2021")</f>
        <v/>
      </c>
      <c r="X126">
        <f>HYPERLINK("https://klasma.github.io/Logging_2321/tillsyn/A 20501-2021 tillsynsbegäran.docx", "A 20501-2021")</f>
        <v/>
      </c>
      <c r="Y126">
        <f>HYPERLINK("https://klasma.github.io/Logging_2321/tillsynsmail/A 20501-2021 tillsynsbegäran mail.docx", "A 20501-2021")</f>
        <v/>
      </c>
      <c r="Z126">
        <f>HYPERLINK("https://klasma.github.io/Logging_2321/fåglar/A 20501-2021 prioriterade fågelarter.docx", "A 20501-2021")</f>
        <v/>
      </c>
    </row>
    <row r="127" ht="15" customHeight="1">
      <c r="A127" t="inlineStr">
        <is>
          <t>A 65517-2020</t>
        </is>
      </c>
      <c r="B127" s="1" t="n">
        <v>44173</v>
      </c>
      <c r="C127" s="1" t="n">
        <v>45917</v>
      </c>
      <c r="D127" t="inlineStr">
        <is>
          <t>JÄMTLANDS LÄN</t>
        </is>
      </c>
      <c r="E127" t="inlineStr">
        <is>
          <t>ÅRE</t>
        </is>
      </c>
      <c r="G127" t="n">
        <v>4.6</v>
      </c>
      <c r="H127" t="n">
        <v>0</v>
      </c>
      <c r="I127" t="n">
        <v>0</v>
      </c>
      <c r="J127" t="n">
        <v>1</v>
      </c>
      <c r="K127" t="n">
        <v>0</v>
      </c>
      <c r="L127" t="n">
        <v>0</v>
      </c>
      <c r="M127" t="n">
        <v>0</v>
      </c>
      <c r="N127" t="n">
        <v>0</v>
      </c>
      <c r="O127" t="n">
        <v>1</v>
      </c>
      <c r="P127" t="n">
        <v>0</v>
      </c>
      <c r="Q127" t="n">
        <v>1</v>
      </c>
      <c r="R127" s="2" t="inlineStr">
        <is>
          <t>Doftskinn</t>
        </is>
      </c>
      <c r="S127">
        <f>HYPERLINK("https://klasma.github.io/Logging_2321/artfynd/A 65517-2020 artfynd.xlsx", "A 65517-2020")</f>
        <v/>
      </c>
      <c r="T127">
        <f>HYPERLINK("https://klasma.github.io/Logging_2321/kartor/A 65517-2020 karta.png", "A 65517-2020")</f>
        <v/>
      </c>
      <c r="V127">
        <f>HYPERLINK("https://klasma.github.io/Logging_2321/klagomål/A 65517-2020 FSC-klagomål.docx", "A 65517-2020")</f>
        <v/>
      </c>
      <c r="W127">
        <f>HYPERLINK("https://klasma.github.io/Logging_2321/klagomålsmail/A 65517-2020 FSC-klagomål mail.docx", "A 65517-2020")</f>
        <v/>
      </c>
      <c r="X127">
        <f>HYPERLINK("https://klasma.github.io/Logging_2321/tillsyn/A 65517-2020 tillsynsbegäran.docx", "A 65517-2020")</f>
        <v/>
      </c>
      <c r="Y127">
        <f>HYPERLINK("https://klasma.github.io/Logging_2321/tillsynsmail/A 65517-2020 tillsynsbegäran mail.docx", "A 65517-2020")</f>
        <v/>
      </c>
    </row>
    <row r="128" ht="15" customHeight="1">
      <c r="A128" t="inlineStr">
        <is>
          <t>A 58117-2021</t>
        </is>
      </c>
      <c r="B128" s="1" t="n">
        <v>44487</v>
      </c>
      <c r="C128" s="1" t="n">
        <v>45917</v>
      </c>
      <c r="D128" t="inlineStr">
        <is>
          <t>JÄMTLANDS LÄN</t>
        </is>
      </c>
      <c r="E128" t="inlineStr">
        <is>
          <t>ÅRE</t>
        </is>
      </c>
      <c r="G128" t="n">
        <v>40.9</v>
      </c>
      <c r="H128" t="n">
        <v>0</v>
      </c>
      <c r="I128" t="n">
        <v>1</v>
      </c>
      <c r="J128" t="n">
        <v>0</v>
      </c>
      <c r="K128" t="n">
        <v>0</v>
      </c>
      <c r="L128" t="n">
        <v>0</v>
      </c>
      <c r="M128" t="n">
        <v>0</v>
      </c>
      <c r="N128" t="n">
        <v>0</v>
      </c>
      <c r="O128" t="n">
        <v>0</v>
      </c>
      <c r="P128" t="n">
        <v>0</v>
      </c>
      <c r="Q128" t="n">
        <v>1</v>
      </c>
      <c r="R128" s="2" t="inlineStr">
        <is>
          <t>Stuplav</t>
        </is>
      </c>
      <c r="S128">
        <f>HYPERLINK("https://klasma.github.io/Logging_2321/artfynd/A 58117-2021 artfynd.xlsx", "A 58117-2021")</f>
        <v/>
      </c>
      <c r="T128">
        <f>HYPERLINK("https://klasma.github.io/Logging_2321/kartor/A 58117-2021 karta.png", "A 58117-2021")</f>
        <v/>
      </c>
      <c r="V128">
        <f>HYPERLINK("https://klasma.github.io/Logging_2321/klagomål/A 58117-2021 FSC-klagomål.docx", "A 58117-2021")</f>
        <v/>
      </c>
      <c r="W128">
        <f>HYPERLINK("https://klasma.github.io/Logging_2321/klagomålsmail/A 58117-2021 FSC-klagomål mail.docx", "A 58117-2021")</f>
        <v/>
      </c>
      <c r="X128">
        <f>HYPERLINK("https://klasma.github.io/Logging_2321/tillsyn/A 58117-2021 tillsynsbegäran.docx", "A 58117-2021")</f>
        <v/>
      </c>
      <c r="Y128">
        <f>HYPERLINK("https://klasma.github.io/Logging_2321/tillsynsmail/A 58117-2021 tillsynsbegäran mail.docx", "A 58117-2021")</f>
        <v/>
      </c>
    </row>
    <row r="129" ht="15" customHeight="1">
      <c r="A129" t="inlineStr">
        <is>
          <t>A 58239-2021</t>
        </is>
      </c>
      <c r="B129" s="1" t="n">
        <v>44487</v>
      </c>
      <c r="C129" s="1" t="n">
        <v>45917</v>
      </c>
      <c r="D129" t="inlineStr">
        <is>
          <t>JÄMTLANDS LÄN</t>
        </is>
      </c>
      <c r="E129" t="inlineStr">
        <is>
          <t>ÅRE</t>
        </is>
      </c>
      <c r="G129" t="n">
        <v>25</v>
      </c>
      <c r="H129" t="n">
        <v>0</v>
      </c>
      <c r="I129" t="n">
        <v>0</v>
      </c>
      <c r="J129" t="n">
        <v>0</v>
      </c>
      <c r="K129" t="n">
        <v>1</v>
      </c>
      <c r="L129" t="n">
        <v>0</v>
      </c>
      <c r="M129" t="n">
        <v>0</v>
      </c>
      <c r="N129" t="n">
        <v>0</v>
      </c>
      <c r="O129" t="n">
        <v>1</v>
      </c>
      <c r="P129" t="n">
        <v>1</v>
      </c>
      <c r="Q129" t="n">
        <v>1</v>
      </c>
      <c r="R129" s="2" t="inlineStr">
        <is>
          <t>Rynkskinn</t>
        </is>
      </c>
      <c r="S129">
        <f>HYPERLINK("https://klasma.github.io/Logging_2321/artfynd/A 58239-2021 artfynd.xlsx", "A 58239-2021")</f>
        <v/>
      </c>
      <c r="T129">
        <f>HYPERLINK("https://klasma.github.io/Logging_2321/kartor/A 58239-2021 karta.png", "A 58239-2021")</f>
        <v/>
      </c>
      <c r="V129">
        <f>HYPERLINK("https://klasma.github.io/Logging_2321/klagomål/A 58239-2021 FSC-klagomål.docx", "A 58239-2021")</f>
        <v/>
      </c>
      <c r="W129">
        <f>HYPERLINK("https://klasma.github.io/Logging_2321/klagomålsmail/A 58239-2021 FSC-klagomål mail.docx", "A 58239-2021")</f>
        <v/>
      </c>
      <c r="X129">
        <f>HYPERLINK("https://klasma.github.io/Logging_2321/tillsyn/A 58239-2021 tillsynsbegäran.docx", "A 58239-2021")</f>
        <v/>
      </c>
      <c r="Y129">
        <f>HYPERLINK("https://klasma.github.io/Logging_2321/tillsynsmail/A 58239-2021 tillsynsbegäran mail.docx", "A 58239-2021")</f>
        <v/>
      </c>
    </row>
    <row r="130" ht="15" customHeight="1">
      <c r="A130" t="inlineStr">
        <is>
          <t>A 53598-2020</t>
        </is>
      </c>
      <c r="B130" s="1" t="n">
        <v>44124</v>
      </c>
      <c r="C130" s="1" t="n">
        <v>45917</v>
      </c>
      <c r="D130" t="inlineStr">
        <is>
          <t>JÄMTLANDS LÄN</t>
        </is>
      </c>
      <c r="E130" t="inlineStr">
        <is>
          <t>ÅRE</t>
        </is>
      </c>
      <c r="G130" t="n">
        <v>11.7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53598-2020 artfynd.xlsx", "A 53598-2020")</f>
        <v/>
      </c>
      <c r="T130">
        <f>HYPERLINK("https://klasma.github.io/Logging_2321/kartor/A 53598-2020 karta.png", "A 53598-2020")</f>
        <v/>
      </c>
      <c r="V130">
        <f>HYPERLINK("https://klasma.github.io/Logging_2321/klagomål/A 53598-2020 FSC-klagomål.docx", "A 53598-2020")</f>
        <v/>
      </c>
      <c r="W130">
        <f>HYPERLINK("https://klasma.github.io/Logging_2321/klagomålsmail/A 53598-2020 FSC-klagomål mail.docx", "A 53598-2020")</f>
        <v/>
      </c>
      <c r="X130">
        <f>HYPERLINK("https://klasma.github.io/Logging_2321/tillsyn/A 53598-2020 tillsynsbegäran.docx", "A 53598-2020")</f>
        <v/>
      </c>
      <c r="Y130">
        <f>HYPERLINK("https://klasma.github.io/Logging_2321/tillsynsmail/A 53598-2020 tillsynsbegäran mail.docx", "A 53598-2020")</f>
        <v/>
      </c>
      <c r="Z130">
        <f>HYPERLINK("https://klasma.github.io/Logging_2321/fåglar/A 53598-2020 prioriterade fågelarter.docx", "A 53598-2020")</f>
        <v/>
      </c>
    </row>
    <row r="131" ht="15" customHeight="1">
      <c r="A131" t="inlineStr">
        <is>
          <t>A 52542-2020</t>
        </is>
      </c>
      <c r="B131" s="1" t="n">
        <v>44116</v>
      </c>
      <c r="C131" s="1" t="n">
        <v>45917</v>
      </c>
      <c r="D131" t="inlineStr">
        <is>
          <t>JÄMTLANDS LÄN</t>
        </is>
      </c>
      <c r="E131" t="inlineStr">
        <is>
          <t>ÅRE</t>
        </is>
      </c>
      <c r="G131" t="n">
        <v>5.5</v>
      </c>
      <c r="H131" t="n">
        <v>0</v>
      </c>
      <c r="I131" t="n">
        <v>0</v>
      </c>
      <c r="J131" t="n">
        <v>1</v>
      </c>
      <c r="K131" t="n">
        <v>0</v>
      </c>
      <c r="L131" t="n">
        <v>0</v>
      </c>
      <c r="M131" t="n">
        <v>0</v>
      </c>
      <c r="N131" t="n">
        <v>0</v>
      </c>
      <c r="O131" t="n">
        <v>1</v>
      </c>
      <c r="P131" t="n">
        <v>0</v>
      </c>
      <c r="Q131" t="n">
        <v>1</v>
      </c>
      <c r="R131" s="2" t="inlineStr">
        <is>
          <t>Skrovellav</t>
        </is>
      </c>
      <c r="S131">
        <f>HYPERLINK("https://klasma.github.io/Logging_2321/artfynd/A 52542-2020 artfynd.xlsx", "A 52542-2020")</f>
        <v/>
      </c>
      <c r="T131">
        <f>HYPERLINK("https://klasma.github.io/Logging_2321/kartor/A 52542-2020 karta.png", "A 52542-2020")</f>
        <v/>
      </c>
      <c r="V131">
        <f>HYPERLINK("https://klasma.github.io/Logging_2321/klagomål/A 52542-2020 FSC-klagomål.docx", "A 52542-2020")</f>
        <v/>
      </c>
      <c r="W131">
        <f>HYPERLINK("https://klasma.github.io/Logging_2321/klagomålsmail/A 52542-2020 FSC-klagomål mail.docx", "A 52542-2020")</f>
        <v/>
      </c>
      <c r="X131">
        <f>HYPERLINK("https://klasma.github.io/Logging_2321/tillsyn/A 52542-2020 tillsynsbegäran.docx", "A 52542-2020")</f>
        <v/>
      </c>
      <c r="Y131">
        <f>HYPERLINK("https://klasma.github.io/Logging_2321/tillsynsmail/A 52542-2020 tillsynsbegäran mail.docx", "A 52542-2020")</f>
        <v/>
      </c>
    </row>
    <row r="132" ht="15" customHeight="1">
      <c r="A132" t="inlineStr">
        <is>
          <t>A 11781-2021</t>
        </is>
      </c>
      <c r="B132" s="1" t="n">
        <v>44265</v>
      </c>
      <c r="C132" s="1" t="n">
        <v>45917</v>
      </c>
      <c r="D132" t="inlineStr">
        <is>
          <t>JÄMTLANDS LÄN</t>
        </is>
      </c>
      <c r="E132" t="inlineStr">
        <is>
          <t>ÅRE</t>
        </is>
      </c>
      <c r="G132" t="n">
        <v>4.1</v>
      </c>
      <c r="H132" t="n">
        <v>0</v>
      </c>
      <c r="I132" t="n">
        <v>1</v>
      </c>
      <c r="J132" t="n">
        <v>0</v>
      </c>
      <c r="K132" t="n">
        <v>0</v>
      </c>
      <c r="L132" t="n">
        <v>0</v>
      </c>
      <c r="M132" t="n">
        <v>0</v>
      </c>
      <c r="N132" t="n">
        <v>0</v>
      </c>
      <c r="O132" t="n">
        <v>0</v>
      </c>
      <c r="P132" t="n">
        <v>0</v>
      </c>
      <c r="Q132" t="n">
        <v>1</v>
      </c>
      <c r="R132" s="2" t="inlineStr">
        <is>
          <t>Finbräken</t>
        </is>
      </c>
      <c r="S132">
        <f>HYPERLINK("https://klasma.github.io/Logging_2321/artfynd/A 11781-2021 artfynd.xlsx", "A 11781-2021")</f>
        <v/>
      </c>
      <c r="T132">
        <f>HYPERLINK("https://klasma.github.io/Logging_2321/kartor/A 11781-2021 karta.png", "A 11781-2021")</f>
        <v/>
      </c>
      <c r="V132">
        <f>HYPERLINK("https://klasma.github.io/Logging_2321/klagomål/A 11781-2021 FSC-klagomål.docx", "A 11781-2021")</f>
        <v/>
      </c>
      <c r="W132">
        <f>HYPERLINK("https://klasma.github.io/Logging_2321/klagomålsmail/A 11781-2021 FSC-klagomål mail.docx", "A 11781-2021")</f>
        <v/>
      </c>
      <c r="X132">
        <f>HYPERLINK("https://klasma.github.io/Logging_2321/tillsyn/A 11781-2021 tillsynsbegäran.docx", "A 11781-2021")</f>
        <v/>
      </c>
      <c r="Y132">
        <f>HYPERLINK("https://klasma.github.io/Logging_2321/tillsynsmail/A 11781-2021 tillsynsbegäran mail.docx", "A 11781-2021")</f>
        <v/>
      </c>
    </row>
    <row r="133" ht="15" customHeight="1">
      <c r="A133" t="inlineStr">
        <is>
          <t>A 11767-2021</t>
        </is>
      </c>
      <c r="B133" s="1" t="n">
        <v>44265</v>
      </c>
      <c r="C133" s="1" t="n">
        <v>45917</v>
      </c>
      <c r="D133" t="inlineStr">
        <is>
          <t>JÄMTLANDS LÄN</t>
        </is>
      </c>
      <c r="E133" t="inlineStr">
        <is>
          <t>ÅRE</t>
        </is>
      </c>
      <c r="G133" t="n">
        <v>15.4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11767-2021 artfynd.xlsx", "A 11767-2021")</f>
        <v/>
      </c>
      <c r="T133">
        <f>HYPERLINK("https://klasma.github.io/Logging_2321/kartor/A 11767-2021 karta.png", "A 11767-2021")</f>
        <v/>
      </c>
      <c r="V133">
        <f>HYPERLINK("https://klasma.github.io/Logging_2321/klagomål/A 11767-2021 FSC-klagomål.docx", "A 11767-2021")</f>
        <v/>
      </c>
      <c r="W133">
        <f>HYPERLINK("https://klasma.github.io/Logging_2321/klagomålsmail/A 11767-2021 FSC-klagomål mail.docx", "A 11767-2021")</f>
        <v/>
      </c>
      <c r="X133">
        <f>HYPERLINK("https://klasma.github.io/Logging_2321/tillsyn/A 11767-2021 tillsynsbegäran.docx", "A 11767-2021")</f>
        <v/>
      </c>
      <c r="Y133">
        <f>HYPERLINK("https://klasma.github.io/Logging_2321/tillsynsmail/A 11767-2021 tillsynsbegäran mail.docx", "A 11767-2021")</f>
        <v/>
      </c>
      <c r="Z133">
        <f>HYPERLINK("https://klasma.github.io/Logging_2321/fåglar/A 11767-2021 prioriterade fågelarter.docx", "A 11767-2021")</f>
        <v/>
      </c>
    </row>
    <row r="134" ht="15" customHeight="1">
      <c r="A134" t="inlineStr">
        <is>
          <t>A 65446-2020</t>
        </is>
      </c>
      <c r="B134" s="1" t="n">
        <v>44173</v>
      </c>
      <c r="C134" s="1" t="n">
        <v>45917</v>
      </c>
      <c r="D134" t="inlineStr">
        <is>
          <t>JÄMTLANDS LÄN</t>
        </is>
      </c>
      <c r="E134" t="inlineStr">
        <is>
          <t>ÅRE</t>
        </is>
      </c>
      <c r="G134" t="n">
        <v>7.2</v>
      </c>
      <c r="H134" t="n">
        <v>0</v>
      </c>
      <c r="I134" t="n">
        <v>0</v>
      </c>
      <c r="J134" t="n">
        <v>1</v>
      </c>
      <c r="K134" t="n">
        <v>0</v>
      </c>
      <c r="L134" t="n">
        <v>0</v>
      </c>
      <c r="M134" t="n">
        <v>0</v>
      </c>
      <c r="N134" t="n">
        <v>0</v>
      </c>
      <c r="O134" t="n">
        <v>1</v>
      </c>
      <c r="P134" t="n">
        <v>0</v>
      </c>
      <c r="Q134" t="n">
        <v>1</v>
      </c>
      <c r="R134" s="2" t="inlineStr">
        <is>
          <t>Ullticka</t>
        </is>
      </c>
      <c r="S134">
        <f>HYPERLINK("https://klasma.github.io/Logging_2321/artfynd/A 65446-2020 artfynd.xlsx", "A 65446-2020")</f>
        <v/>
      </c>
      <c r="T134">
        <f>HYPERLINK("https://klasma.github.io/Logging_2321/kartor/A 65446-2020 karta.png", "A 65446-2020")</f>
        <v/>
      </c>
      <c r="V134">
        <f>HYPERLINK("https://klasma.github.io/Logging_2321/klagomål/A 65446-2020 FSC-klagomål.docx", "A 65446-2020")</f>
        <v/>
      </c>
      <c r="W134">
        <f>HYPERLINK("https://klasma.github.io/Logging_2321/klagomålsmail/A 65446-2020 FSC-klagomål mail.docx", "A 65446-2020")</f>
        <v/>
      </c>
      <c r="X134">
        <f>HYPERLINK("https://klasma.github.io/Logging_2321/tillsyn/A 65446-2020 tillsynsbegäran.docx", "A 65446-2020")</f>
        <v/>
      </c>
      <c r="Y134">
        <f>HYPERLINK("https://klasma.github.io/Logging_2321/tillsynsmail/A 65446-2020 tillsynsbegäran mail.docx", "A 65446-2020")</f>
        <v/>
      </c>
    </row>
    <row r="135" ht="15" customHeight="1">
      <c r="A135" t="inlineStr">
        <is>
          <t>A 20500-2021</t>
        </is>
      </c>
      <c r="B135" s="1" t="n">
        <v>44315.68729166667</v>
      </c>
      <c r="C135" s="1" t="n">
        <v>45917</v>
      </c>
      <c r="D135" t="inlineStr">
        <is>
          <t>JÄMTLANDS LÄN</t>
        </is>
      </c>
      <c r="E135" t="inlineStr">
        <is>
          <t>ÅRE</t>
        </is>
      </c>
      <c r="G135" t="n">
        <v>3</v>
      </c>
      <c r="H135" t="n">
        <v>0</v>
      </c>
      <c r="I135" t="n">
        <v>1</v>
      </c>
      <c r="J135" t="n">
        <v>0</v>
      </c>
      <c r="K135" t="n">
        <v>0</v>
      </c>
      <c r="L135" t="n">
        <v>0</v>
      </c>
      <c r="M135" t="n">
        <v>0</v>
      </c>
      <c r="N135" t="n">
        <v>0</v>
      </c>
      <c r="O135" t="n">
        <v>0</v>
      </c>
      <c r="P135" t="n">
        <v>0</v>
      </c>
      <c r="Q135" t="n">
        <v>1</v>
      </c>
      <c r="R135" s="2" t="inlineStr">
        <is>
          <t>Svart trolldruva</t>
        </is>
      </c>
      <c r="S135">
        <f>HYPERLINK("https://klasma.github.io/Logging_2321/artfynd/A 20500-2021 artfynd.xlsx", "A 20500-2021")</f>
        <v/>
      </c>
      <c r="T135">
        <f>HYPERLINK("https://klasma.github.io/Logging_2321/kartor/A 20500-2021 karta.png", "A 20500-2021")</f>
        <v/>
      </c>
      <c r="V135">
        <f>HYPERLINK("https://klasma.github.io/Logging_2321/klagomål/A 20500-2021 FSC-klagomål.docx", "A 20500-2021")</f>
        <v/>
      </c>
      <c r="W135">
        <f>HYPERLINK("https://klasma.github.io/Logging_2321/klagomålsmail/A 20500-2021 FSC-klagomål mail.docx", "A 20500-2021")</f>
        <v/>
      </c>
      <c r="X135">
        <f>HYPERLINK("https://klasma.github.io/Logging_2321/tillsyn/A 20500-2021 tillsynsbegäran.docx", "A 20500-2021")</f>
        <v/>
      </c>
      <c r="Y135">
        <f>HYPERLINK("https://klasma.github.io/Logging_2321/tillsynsmail/A 20500-2021 tillsynsbegäran mail.docx", "A 20500-2021")</f>
        <v/>
      </c>
    </row>
    <row r="136" ht="15" customHeight="1">
      <c r="A136" t="inlineStr">
        <is>
          <t>A 10632-2023</t>
        </is>
      </c>
      <c r="B136" s="1" t="n">
        <v>44984</v>
      </c>
      <c r="C136" s="1" t="n">
        <v>45917</v>
      </c>
      <c r="D136" t="inlineStr">
        <is>
          <t>JÄMTLANDS LÄN</t>
        </is>
      </c>
      <c r="E136" t="inlineStr">
        <is>
          <t>ÅRE</t>
        </is>
      </c>
      <c r="G136" t="n">
        <v>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10632-2023 artfynd.xlsx", "A 10632-2023")</f>
        <v/>
      </c>
      <c r="T136">
        <f>HYPERLINK("https://klasma.github.io/Logging_2321/kartor/A 10632-2023 karta.png", "A 10632-2023")</f>
        <v/>
      </c>
      <c r="V136">
        <f>HYPERLINK("https://klasma.github.io/Logging_2321/klagomål/A 10632-2023 FSC-klagomål.docx", "A 10632-2023")</f>
        <v/>
      </c>
      <c r="W136">
        <f>HYPERLINK("https://klasma.github.io/Logging_2321/klagomålsmail/A 10632-2023 FSC-klagomål mail.docx", "A 10632-2023")</f>
        <v/>
      </c>
      <c r="X136">
        <f>HYPERLINK("https://klasma.github.io/Logging_2321/tillsyn/A 10632-2023 tillsynsbegäran.docx", "A 10632-2023")</f>
        <v/>
      </c>
      <c r="Y136">
        <f>HYPERLINK("https://klasma.github.io/Logging_2321/tillsynsmail/A 10632-2023 tillsynsbegäran mail.docx", "A 10632-2023")</f>
        <v/>
      </c>
      <c r="Z136">
        <f>HYPERLINK("https://klasma.github.io/Logging_2321/fåglar/A 10632-2023 prioriterade fågelarter.docx", "A 10632-2023")</f>
        <v/>
      </c>
    </row>
    <row r="137" ht="15" customHeight="1">
      <c r="A137" t="inlineStr">
        <is>
          <t>A 2422-2021</t>
        </is>
      </c>
      <c r="B137" s="1" t="n">
        <v>44214</v>
      </c>
      <c r="C137" s="1" t="n">
        <v>45917</v>
      </c>
      <c r="D137" t="inlineStr">
        <is>
          <t>JÄMTLANDS LÄN</t>
        </is>
      </c>
      <c r="E137" t="inlineStr">
        <is>
          <t>ÅRE</t>
        </is>
      </c>
      <c r="G137" t="n">
        <v>3.3</v>
      </c>
      <c r="H137" t="n">
        <v>1</v>
      </c>
      <c r="I137" t="n">
        <v>0</v>
      </c>
      <c r="J137" t="n">
        <v>0</v>
      </c>
      <c r="K137" t="n">
        <v>0</v>
      </c>
      <c r="L137" t="n">
        <v>0</v>
      </c>
      <c r="M137" t="n">
        <v>0</v>
      </c>
      <c r="N137" t="n">
        <v>0</v>
      </c>
      <c r="O137" t="n">
        <v>0</v>
      </c>
      <c r="P137" t="n">
        <v>0</v>
      </c>
      <c r="Q137" t="n">
        <v>1</v>
      </c>
      <c r="R137" s="2" t="inlineStr">
        <is>
          <t>Fläcknycklar</t>
        </is>
      </c>
      <c r="S137">
        <f>HYPERLINK("https://klasma.github.io/Logging_2321/artfynd/A 2422-2021 artfynd.xlsx", "A 2422-2021")</f>
        <v/>
      </c>
      <c r="T137">
        <f>HYPERLINK("https://klasma.github.io/Logging_2321/kartor/A 2422-2021 karta.png", "A 2422-2021")</f>
        <v/>
      </c>
      <c r="V137">
        <f>HYPERLINK("https://klasma.github.io/Logging_2321/klagomål/A 2422-2021 FSC-klagomål.docx", "A 2422-2021")</f>
        <v/>
      </c>
      <c r="W137">
        <f>HYPERLINK("https://klasma.github.io/Logging_2321/klagomålsmail/A 2422-2021 FSC-klagomål mail.docx", "A 2422-2021")</f>
        <v/>
      </c>
      <c r="X137">
        <f>HYPERLINK("https://klasma.github.io/Logging_2321/tillsyn/A 2422-2021 tillsynsbegäran.docx", "A 2422-2021")</f>
        <v/>
      </c>
      <c r="Y137">
        <f>HYPERLINK("https://klasma.github.io/Logging_2321/tillsynsmail/A 2422-2021 tillsynsbegäran mail.docx", "A 2422-2021")</f>
        <v/>
      </c>
    </row>
    <row r="138" ht="15" customHeight="1">
      <c r="A138" t="inlineStr">
        <is>
          <t>A 58226-2021</t>
        </is>
      </c>
      <c r="B138" s="1" t="n">
        <v>44487</v>
      </c>
      <c r="C138" s="1" t="n">
        <v>45917</v>
      </c>
      <c r="D138" t="inlineStr">
        <is>
          <t>JÄMTLANDS LÄN</t>
        </is>
      </c>
      <c r="E138" t="inlineStr">
        <is>
          <t>ÅRE</t>
        </is>
      </c>
      <c r="G138" t="n">
        <v>62.3</v>
      </c>
      <c r="H138" t="n">
        <v>0</v>
      </c>
      <c r="I138" t="n">
        <v>1</v>
      </c>
      <c r="J138" t="n">
        <v>0</v>
      </c>
      <c r="K138" t="n">
        <v>0</v>
      </c>
      <c r="L138" t="n">
        <v>0</v>
      </c>
      <c r="M138" t="n">
        <v>0</v>
      </c>
      <c r="N138" t="n">
        <v>0</v>
      </c>
      <c r="O138" t="n">
        <v>0</v>
      </c>
      <c r="P138" t="n">
        <v>0</v>
      </c>
      <c r="Q138" t="n">
        <v>1</v>
      </c>
      <c r="R138" s="2" t="inlineStr">
        <is>
          <t>Kambräken</t>
        </is>
      </c>
      <c r="S138">
        <f>HYPERLINK("https://klasma.github.io/Logging_2321/artfynd/A 58226-2021 artfynd.xlsx", "A 58226-2021")</f>
        <v/>
      </c>
      <c r="T138">
        <f>HYPERLINK("https://klasma.github.io/Logging_2321/kartor/A 58226-2021 karta.png", "A 58226-2021")</f>
        <v/>
      </c>
      <c r="V138">
        <f>HYPERLINK("https://klasma.github.io/Logging_2321/klagomål/A 58226-2021 FSC-klagomål.docx", "A 58226-2021")</f>
        <v/>
      </c>
      <c r="W138">
        <f>HYPERLINK("https://klasma.github.io/Logging_2321/klagomålsmail/A 58226-2021 FSC-klagomål mail.docx", "A 58226-2021")</f>
        <v/>
      </c>
      <c r="X138">
        <f>HYPERLINK("https://klasma.github.io/Logging_2321/tillsyn/A 58226-2021 tillsynsbegäran.docx", "A 58226-2021")</f>
        <v/>
      </c>
      <c r="Y138">
        <f>HYPERLINK("https://klasma.github.io/Logging_2321/tillsynsmail/A 58226-2021 tillsynsbegäran mail.docx", "A 58226-2021")</f>
        <v/>
      </c>
    </row>
    <row r="139" ht="15" customHeight="1">
      <c r="A139" t="inlineStr">
        <is>
          <t>A 12242-2022</t>
        </is>
      </c>
      <c r="B139" s="1" t="n">
        <v>44637</v>
      </c>
      <c r="C139" s="1" t="n">
        <v>45917</v>
      </c>
      <c r="D139" t="inlineStr">
        <is>
          <t>JÄMTLANDS LÄN</t>
        </is>
      </c>
      <c r="E139" t="inlineStr">
        <is>
          <t>ÅRE</t>
        </is>
      </c>
      <c r="G139" t="n">
        <v>53.4</v>
      </c>
      <c r="H139" t="n">
        <v>0</v>
      </c>
      <c r="I139" t="n">
        <v>0</v>
      </c>
      <c r="J139" t="n">
        <v>1</v>
      </c>
      <c r="K139" t="n">
        <v>0</v>
      </c>
      <c r="L139" t="n">
        <v>0</v>
      </c>
      <c r="M139" t="n">
        <v>0</v>
      </c>
      <c r="N139" t="n">
        <v>0</v>
      </c>
      <c r="O139" t="n">
        <v>1</v>
      </c>
      <c r="P139" t="n">
        <v>0</v>
      </c>
      <c r="Q139" t="n">
        <v>1</v>
      </c>
      <c r="R139" s="2" t="inlineStr">
        <is>
          <t>Granticka</t>
        </is>
      </c>
      <c r="S139">
        <f>HYPERLINK("https://klasma.github.io/Logging_2321/artfynd/A 12242-2022 artfynd.xlsx", "A 12242-2022")</f>
        <v/>
      </c>
      <c r="T139">
        <f>HYPERLINK("https://klasma.github.io/Logging_2321/kartor/A 12242-2022 karta.png", "A 12242-2022")</f>
        <v/>
      </c>
      <c r="V139">
        <f>HYPERLINK("https://klasma.github.io/Logging_2321/klagomål/A 12242-2022 FSC-klagomål.docx", "A 12242-2022")</f>
        <v/>
      </c>
      <c r="W139">
        <f>HYPERLINK("https://klasma.github.io/Logging_2321/klagomålsmail/A 12242-2022 FSC-klagomål mail.docx", "A 12242-2022")</f>
        <v/>
      </c>
      <c r="X139">
        <f>HYPERLINK("https://klasma.github.io/Logging_2321/tillsyn/A 12242-2022 tillsynsbegäran.docx", "A 12242-2022")</f>
        <v/>
      </c>
      <c r="Y139">
        <f>HYPERLINK("https://klasma.github.io/Logging_2321/tillsynsmail/A 12242-2022 tillsynsbegäran mail.docx", "A 12242-2022")</f>
        <v/>
      </c>
    </row>
    <row r="140" ht="15" customHeight="1">
      <c r="A140" t="inlineStr">
        <is>
          <t>A 12970-2021</t>
        </is>
      </c>
      <c r="B140" s="1" t="n">
        <v>44271</v>
      </c>
      <c r="C140" s="1" t="n">
        <v>45917</v>
      </c>
      <c r="D140" t="inlineStr">
        <is>
          <t>JÄMTLANDS LÄN</t>
        </is>
      </c>
      <c r="E140" t="inlineStr">
        <is>
          <t>ÅRE</t>
        </is>
      </c>
      <c r="G140" t="n">
        <v>20.5</v>
      </c>
      <c r="H140" t="n">
        <v>1</v>
      </c>
      <c r="I140" t="n">
        <v>1</v>
      </c>
      <c r="J140" t="n">
        <v>0</v>
      </c>
      <c r="K140" t="n">
        <v>0</v>
      </c>
      <c r="L140" t="n">
        <v>0</v>
      </c>
      <c r="M140" t="n">
        <v>0</v>
      </c>
      <c r="N140" t="n">
        <v>0</v>
      </c>
      <c r="O140" t="n">
        <v>0</v>
      </c>
      <c r="P140" t="n">
        <v>0</v>
      </c>
      <c r="Q140" t="n">
        <v>1</v>
      </c>
      <c r="R140" s="2" t="inlineStr">
        <is>
          <t>Spindelblomster</t>
        </is>
      </c>
      <c r="S140">
        <f>HYPERLINK("https://klasma.github.io/Logging_2321/artfynd/A 12970-2021 artfynd.xlsx", "A 12970-2021")</f>
        <v/>
      </c>
      <c r="T140">
        <f>HYPERLINK("https://klasma.github.io/Logging_2321/kartor/A 12970-2021 karta.png", "A 12970-2021")</f>
        <v/>
      </c>
      <c r="V140">
        <f>HYPERLINK("https://klasma.github.io/Logging_2321/klagomål/A 12970-2021 FSC-klagomål.docx", "A 12970-2021")</f>
        <v/>
      </c>
      <c r="W140">
        <f>HYPERLINK("https://klasma.github.io/Logging_2321/klagomålsmail/A 12970-2021 FSC-klagomål mail.docx", "A 12970-2021")</f>
        <v/>
      </c>
      <c r="X140">
        <f>HYPERLINK("https://klasma.github.io/Logging_2321/tillsyn/A 12970-2021 tillsynsbegäran.docx", "A 12970-2021")</f>
        <v/>
      </c>
      <c r="Y140">
        <f>HYPERLINK("https://klasma.github.io/Logging_2321/tillsynsmail/A 12970-2021 tillsynsbegäran mail.docx", "A 12970-2021")</f>
        <v/>
      </c>
    </row>
    <row r="141" ht="15" customHeight="1">
      <c r="A141" t="inlineStr">
        <is>
          <t>A 17636-2024</t>
        </is>
      </c>
      <c r="B141" s="1" t="n">
        <v>45418</v>
      </c>
      <c r="C141" s="1" t="n">
        <v>45917</v>
      </c>
      <c r="D141" t="inlineStr">
        <is>
          <t>JÄMTLANDS LÄN</t>
        </is>
      </c>
      <c r="E141" t="inlineStr">
        <is>
          <t>ÅRE</t>
        </is>
      </c>
      <c r="F141" t="inlineStr">
        <is>
          <t>Övriga Aktiebolag</t>
        </is>
      </c>
      <c r="G141" t="n">
        <v>12.4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17636-2024 artfynd.xlsx", "A 17636-2024")</f>
        <v/>
      </c>
      <c r="T141">
        <f>HYPERLINK("https://klasma.github.io/Logging_2321/kartor/A 17636-2024 karta.png", "A 17636-2024")</f>
        <v/>
      </c>
      <c r="V141">
        <f>HYPERLINK("https://klasma.github.io/Logging_2321/klagomål/A 17636-2024 FSC-klagomål.docx", "A 17636-2024")</f>
        <v/>
      </c>
      <c r="W141">
        <f>HYPERLINK("https://klasma.github.io/Logging_2321/klagomålsmail/A 17636-2024 FSC-klagomål mail.docx", "A 17636-2024")</f>
        <v/>
      </c>
      <c r="X141">
        <f>HYPERLINK("https://klasma.github.io/Logging_2321/tillsyn/A 17636-2024 tillsynsbegäran.docx", "A 17636-2024")</f>
        <v/>
      </c>
      <c r="Y141">
        <f>HYPERLINK("https://klasma.github.io/Logging_2321/tillsynsmail/A 17636-2024 tillsynsbegäran mail.docx", "A 17636-2024")</f>
        <v/>
      </c>
      <c r="Z141">
        <f>HYPERLINK("https://klasma.github.io/Logging_2321/fåglar/A 17636-2024 prioriterade fågelarter.docx", "A 17636-2024")</f>
        <v/>
      </c>
    </row>
    <row r="142" ht="15" customHeight="1">
      <c r="A142" t="inlineStr">
        <is>
          <t>A 5611-2023</t>
        </is>
      </c>
      <c r="B142" s="1" t="n">
        <v>44958</v>
      </c>
      <c r="C142" s="1" t="n">
        <v>45917</v>
      </c>
      <c r="D142" t="inlineStr">
        <is>
          <t>JÄMTLANDS LÄN</t>
        </is>
      </c>
      <c r="E142" t="inlineStr">
        <is>
          <t>ÅRE</t>
        </is>
      </c>
      <c r="G142" t="n">
        <v>10.5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5611-2023 artfynd.xlsx", "A 5611-2023")</f>
        <v/>
      </c>
      <c r="T142">
        <f>HYPERLINK("https://klasma.github.io/Logging_2321/kartor/A 5611-2023 karta.png", "A 5611-2023")</f>
        <v/>
      </c>
      <c r="V142">
        <f>HYPERLINK("https://klasma.github.io/Logging_2321/klagomål/A 5611-2023 FSC-klagomål.docx", "A 5611-2023")</f>
        <v/>
      </c>
      <c r="W142">
        <f>HYPERLINK("https://klasma.github.io/Logging_2321/klagomålsmail/A 5611-2023 FSC-klagomål mail.docx", "A 5611-2023")</f>
        <v/>
      </c>
      <c r="X142">
        <f>HYPERLINK("https://klasma.github.io/Logging_2321/tillsyn/A 5611-2023 tillsynsbegäran.docx", "A 5611-2023")</f>
        <v/>
      </c>
      <c r="Y142">
        <f>HYPERLINK("https://klasma.github.io/Logging_2321/tillsynsmail/A 5611-2023 tillsynsbegäran mail.docx", "A 5611-2023")</f>
        <v/>
      </c>
      <c r="Z142">
        <f>HYPERLINK("https://klasma.github.io/Logging_2321/fåglar/A 5611-2023 prioriterade fågelarter.docx", "A 5611-2023")</f>
        <v/>
      </c>
    </row>
    <row r="143" ht="15" customHeight="1">
      <c r="A143" t="inlineStr">
        <is>
          <t>A 15909-2025</t>
        </is>
      </c>
      <c r="B143" s="1" t="n">
        <v>45749</v>
      </c>
      <c r="C143" s="1" t="n">
        <v>45917</v>
      </c>
      <c r="D143" t="inlineStr">
        <is>
          <t>JÄMTLANDS LÄN</t>
        </is>
      </c>
      <c r="E143" t="inlineStr">
        <is>
          <t>ÅRE</t>
        </is>
      </c>
      <c r="G143" t="n">
        <v>23.8</v>
      </c>
      <c r="H143" t="n">
        <v>0</v>
      </c>
      <c r="I143" t="n">
        <v>0</v>
      </c>
      <c r="J143" t="n">
        <v>1</v>
      </c>
      <c r="K143" t="n">
        <v>0</v>
      </c>
      <c r="L143" t="n">
        <v>0</v>
      </c>
      <c r="M143" t="n">
        <v>0</v>
      </c>
      <c r="N143" t="n">
        <v>0</v>
      </c>
      <c r="O143" t="n">
        <v>1</v>
      </c>
      <c r="P143" t="n">
        <v>0</v>
      </c>
      <c r="Q143" t="n">
        <v>1</v>
      </c>
      <c r="R143" s="2" t="inlineStr">
        <is>
          <t>Garnlav</t>
        </is>
      </c>
      <c r="S143">
        <f>HYPERLINK("https://klasma.github.io/Logging_2321/artfynd/A 15909-2025 artfynd.xlsx", "A 15909-2025")</f>
        <v/>
      </c>
      <c r="T143">
        <f>HYPERLINK("https://klasma.github.io/Logging_2321/kartor/A 15909-2025 karta.png", "A 15909-2025")</f>
        <v/>
      </c>
      <c r="V143">
        <f>HYPERLINK("https://klasma.github.io/Logging_2321/klagomål/A 15909-2025 FSC-klagomål.docx", "A 15909-2025")</f>
        <v/>
      </c>
      <c r="W143">
        <f>HYPERLINK("https://klasma.github.io/Logging_2321/klagomålsmail/A 15909-2025 FSC-klagomål mail.docx", "A 15909-2025")</f>
        <v/>
      </c>
      <c r="X143">
        <f>HYPERLINK("https://klasma.github.io/Logging_2321/tillsyn/A 15909-2025 tillsynsbegäran.docx", "A 15909-2025")</f>
        <v/>
      </c>
      <c r="Y143">
        <f>HYPERLINK("https://klasma.github.io/Logging_2321/tillsynsmail/A 15909-2025 tillsynsbegäran mail.docx", "A 15909-2025")</f>
        <v/>
      </c>
    </row>
    <row r="144" ht="15" customHeight="1">
      <c r="A144" t="inlineStr">
        <is>
          <t>A 32216-2022</t>
        </is>
      </c>
      <c r="B144" s="1" t="n">
        <v>44781</v>
      </c>
      <c r="C144" s="1" t="n">
        <v>45917</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14245-2025</t>
        </is>
      </c>
      <c r="B145" s="1" t="n">
        <v>45740</v>
      </c>
      <c r="C145" s="1" t="n">
        <v>45917</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30032-2024</t>
        </is>
      </c>
      <c r="B146" s="1" t="n">
        <v>45485</v>
      </c>
      <c r="C146" s="1" t="n">
        <v>45917</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30032-2024 artfynd.xlsx", "A 30032-2024")</f>
        <v/>
      </c>
      <c r="T146">
        <f>HYPERLINK("https://klasma.github.io/Logging_2321/kartor/A 30032-2024 karta.png", "A 30032-2024")</f>
        <v/>
      </c>
      <c r="V146">
        <f>HYPERLINK("https://klasma.github.io/Logging_2321/klagomål/A 30032-2024 FSC-klagomål.docx", "A 30032-2024")</f>
        <v/>
      </c>
      <c r="W146">
        <f>HYPERLINK("https://klasma.github.io/Logging_2321/klagomålsmail/A 30032-2024 FSC-klagomål mail.docx", "A 30032-2024")</f>
        <v/>
      </c>
      <c r="X146">
        <f>HYPERLINK("https://klasma.github.io/Logging_2321/tillsyn/A 30032-2024 tillsynsbegäran.docx", "A 30032-2024")</f>
        <v/>
      </c>
      <c r="Y146">
        <f>HYPERLINK("https://klasma.github.io/Logging_2321/tillsynsmail/A 30032-2024 tillsynsbegäran mail.docx", "A 30032-2024")</f>
        <v/>
      </c>
    </row>
    <row r="147" ht="15" customHeight="1">
      <c r="A147" t="inlineStr">
        <is>
          <t>A 55194-2022</t>
        </is>
      </c>
      <c r="B147" s="1" t="n">
        <v>44886</v>
      </c>
      <c r="C147" s="1" t="n">
        <v>45917</v>
      </c>
      <c r="D147" t="inlineStr">
        <is>
          <t>JÄMTLANDS LÄN</t>
        </is>
      </c>
      <c r="E147" t="inlineStr">
        <is>
          <t>ÅRE</t>
        </is>
      </c>
      <c r="F147" t="inlineStr">
        <is>
          <t>Övriga Aktiebolag</t>
        </is>
      </c>
      <c r="G147" t="n">
        <v>1.7</v>
      </c>
      <c r="H147" t="n">
        <v>0</v>
      </c>
      <c r="I147" t="n">
        <v>0</v>
      </c>
      <c r="J147" t="n">
        <v>1</v>
      </c>
      <c r="K147" t="n">
        <v>0</v>
      </c>
      <c r="L147" t="n">
        <v>0</v>
      </c>
      <c r="M147" t="n">
        <v>0</v>
      </c>
      <c r="N147" t="n">
        <v>0</v>
      </c>
      <c r="O147" t="n">
        <v>1</v>
      </c>
      <c r="P147" t="n">
        <v>0</v>
      </c>
      <c r="Q147" t="n">
        <v>1</v>
      </c>
      <c r="R147" s="2" t="inlineStr">
        <is>
          <t>Vitskaftad svartspik</t>
        </is>
      </c>
      <c r="S147">
        <f>HYPERLINK("https://klasma.github.io/Logging_2321/artfynd/A 55194-2022 artfynd.xlsx", "A 55194-2022")</f>
        <v/>
      </c>
      <c r="T147">
        <f>HYPERLINK("https://klasma.github.io/Logging_2321/kartor/A 55194-2022 karta.png", "A 55194-2022")</f>
        <v/>
      </c>
      <c r="V147">
        <f>HYPERLINK("https://klasma.github.io/Logging_2321/klagomål/A 55194-2022 FSC-klagomål.docx", "A 55194-2022")</f>
        <v/>
      </c>
      <c r="W147">
        <f>HYPERLINK("https://klasma.github.io/Logging_2321/klagomålsmail/A 55194-2022 FSC-klagomål mail.docx", "A 55194-2022")</f>
        <v/>
      </c>
      <c r="X147">
        <f>HYPERLINK("https://klasma.github.io/Logging_2321/tillsyn/A 55194-2022 tillsynsbegäran.docx", "A 55194-2022")</f>
        <v/>
      </c>
      <c r="Y147">
        <f>HYPERLINK("https://klasma.github.io/Logging_2321/tillsynsmail/A 55194-2022 tillsynsbegäran mail.docx", "A 55194-2022")</f>
        <v/>
      </c>
    </row>
    <row r="148" ht="15" customHeight="1">
      <c r="A148" t="inlineStr">
        <is>
          <t>A 50321-2024</t>
        </is>
      </c>
      <c r="B148" s="1" t="n">
        <v>45600</v>
      </c>
      <c r="C148" s="1" t="n">
        <v>45917</v>
      </c>
      <c r="D148" t="inlineStr">
        <is>
          <t>JÄMTLANDS LÄN</t>
        </is>
      </c>
      <c r="E148" t="inlineStr">
        <is>
          <t>ÅRE</t>
        </is>
      </c>
      <c r="F148" t="inlineStr">
        <is>
          <t>Övriga Aktiebolag</t>
        </is>
      </c>
      <c r="G148" t="n">
        <v>2.6</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50321-2024 artfynd.xlsx", "A 50321-2024")</f>
        <v/>
      </c>
      <c r="T148">
        <f>HYPERLINK("https://klasma.github.io/Logging_2321/kartor/A 50321-2024 karta.png", "A 50321-2024")</f>
        <v/>
      </c>
      <c r="V148">
        <f>HYPERLINK("https://klasma.github.io/Logging_2321/klagomål/A 50321-2024 FSC-klagomål.docx", "A 50321-2024")</f>
        <v/>
      </c>
      <c r="W148">
        <f>HYPERLINK("https://klasma.github.io/Logging_2321/klagomålsmail/A 50321-2024 FSC-klagomål mail.docx", "A 50321-2024")</f>
        <v/>
      </c>
      <c r="X148">
        <f>HYPERLINK("https://klasma.github.io/Logging_2321/tillsyn/A 50321-2024 tillsynsbegäran.docx", "A 50321-2024")</f>
        <v/>
      </c>
      <c r="Y148">
        <f>HYPERLINK("https://klasma.github.io/Logging_2321/tillsynsmail/A 50321-2024 tillsynsbegäran mail.docx", "A 50321-2024")</f>
        <v/>
      </c>
      <c r="Z148">
        <f>HYPERLINK("https://klasma.github.io/Logging_2321/fåglar/A 50321-2024 prioriterade fågelarter.docx", "A 50321-2024")</f>
        <v/>
      </c>
    </row>
    <row r="149" ht="15" customHeight="1">
      <c r="A149" t="inlineStr">
        <is>
          <t>A 17692-2022</t>
        </is>
      </c>
      <c r="B149" s="1" t="n">
        <v>44680</v>
      </c>
      <c r="C149" s="1" t="n">
        <v>45917</v>
      </c>
      <c r="D149" t="inlineStr">
        <is>
          <t>JÄMTLANDS LÄN</t>
        </is>
      </c>
      <c r="E149" t="inlineStr">
        <is>
          <t>ÅRE</t>
        </is>
      </c>
      <c r="G149" t="n">
        <v>3.1</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17692-2022 artfynd.xlsx", "A 17692-2022")</f>
        <v/>
      </c>
      <c r="T149">
        <f>HYPERLINK("https://klasma.github.io/Logging_2321/kartor/A 17692-2022 karta.png", "A 17692-2022")</f>
        <v/>
      </c>
      <c r="V149">
        <f>HYPERLINK("https://klasma.github.io/Logging_2321/klagomål/A 17692-2022 FSC-klagomål.docx", "A 17692-2022")</f>
        <v/>
      </c>
      <c r="W149">
        <f>HYPERLINK("https://klasma.github.io/Logging_2321/klagomålsmail/A 17692-2022 FSC-klagomål mail.docx", "A 17692-2022")</f>
        <v/>
      </c>
      <c r="X149">
        <f>HYPERLINK("https://klasma.github.io/Logging_2321/tillsyn/A 17692-2022 tillsynsbegäran.docx", "A 17692-2022")</f>
        <v/>
      </c>
      <c r="Y149">
        <f>HYPERLINK("https://klasma.github.io/Logging_2321/tillsynsmail/A 17692-2022 tillsynsbegäran mail.docx", "A 17692-2022")</f>
        <v/>
      </c>
      <c r="Z149">
        <f>HYPERLINK("https://klasma.github.io/Logging_2321/fåglar/A 17692-2022 prioriterade fågelarter.docx", "A 17692-2022")</f>
        <v/>
      </c>
    </row>
    <row r="150" ht="15" customHeight="1">
      <c r="A150" t="inlineStr">
        <is>
          <t>A 45144-2024</t>
        </is>
      </c>
      <c r="B150" s="1" t="n">
        <v>45575.63767361111</v>
      </c>
      <c r="C150" s="1" t="n">
        <v>45917</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4937-2025</t>
        </is>
      </c>
      <c r="B151" s="1" t="n">
        <v>45688</v>
      </c>
      <c r="C151" s="1" t="n">
        <v>45917</v>
      </c>
      <c r="D151" t="inlineStr">
        <is>
          <t>JÄMTLANDS LÄN</t>
        </is>
      </c>
      <c r="E151" t="inlineStr">
        <is>
          <t>ÅRE</t>
        </is>
      </c>
      <c r="G151" t="n">
        <v>1.8</v>
      </c>
      <c r="H151" t="n">
        <v>0</v>
      </c>
      <c r="I151" t="n">
        <v>0</v>
      </c>
      <c r="J151" t="n">
        <v>1</v>
      </c>
      <c r="K151" t="n">
        <v>0</v>
      </c>
      <c r="L151" t="n">
        <v>0</v>
      </c>
      <c r="M151" t="n">
        <v>0</v>
      </c>
      <c r="N151" t="n">
        <v>0</v>
      </c>
      <c r="O151" t="n">
        <v>1</v>
      </c>
      <c r="P151" t="n">
        <v>0</v>
      </c>
      <c r="Q151" t="n">
        <v>1</v>
      </c>
      <c r="R151" s="2" t="inlineStr">
        <is>
          <t>Granticka</t>
        </is>
      </c>
      <c r="S151">
        <f>HYPERLINK("https://klasma.github.io/Logging_2321/artfynd/A 4937-2025 artfynd.xlsx", "A 4937-2025")</f>
        <v/>
      </c>
      <c r="T151">
        <f>HYPERLINK("https://klasma.github.io/Logging_2321/kartor/A 4937-2025 karta.png", "A 4937-2025")</f>
        <v/>
      </c>
      <c r="V151">
        <f>HYPERLINK("https://klasma.github.io/Logging_2321/klagomål/A 4937-2025 FSC-klagomål.docx", "A 4937-2025")</f>
        <v/>
      </c>
      <c r="W151">
        <f>HYPERLINK("https://klasma.github.io/Logging_2321/klagomålsmail/A 4937-2025 FSC-klagomål mail.docx", "A 4937-2025")</f>
        <v/>
      </c>
      <c r="X151">
        <f>HYPERLINK("https://klasma.github.io/Logging_2321/tillsyn/A 4937-2025 tillsynsbegäran.docx", "A 4937-2025")</f>
        <v/>
      </c>
      <c r="Y151">
        <f>HYPERLINK("https://klasma.github.io/Logging_2321/tillsynsmail/A 4937-2025 tillsynsbegäran mail.docx", "A 4937-2025")</f>
        <v/>
      </c>
    </row>
    <row r="152" ht="15" customHeight="1">
      <c r="A152" t="inlineStr">
        <is>
          <t>A 4775-2025</t>
        </is>
      </c>
      <c r="B152" s="1" t="n">
        <v>45688</v>
      </c>
      <c r="C152" s="1" t="n">
        <v>45917</v>
      </c>
      <c r="D152" t="inlineStr">
        <is>
          <t>JÄMTLANDS LÄN</t>
        </is>
      </c>
      <c r="E152" t="inlineStr">
        <is>
          <t>ÅRE</t>
        </is>
      </c>
      <c r="G152" t="n">
        <v>0.7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4775-2025 artfynd.xlsx", "A 4775-2025")</f>
        <v/>
      </c>
      <c r="T152">
        <f>HYPERLINK("https://klasma.github.io/Logging_2321/kartor/A 4775-2025 karta.png", "A 4775-2025")</f>
        <v/>
      </c>
      <c r="V152">
        <f>HYPERLINK("https://klasma.github.io/Logging_2321/klagomål/A 4775-2025 FSC-klagomål.docx", "A 4775-2025")</f>
        <v/>
      </c>
      <c r="W152">
        <f>HYPERLINK("https://klasma.github.io/Logging_2321/klagomålsmail/A 4775-2025 FSC-klagomål mail.docx", "A 4775-2025")</f>
        <v/>
      </c>
      <c r="X152">
        <f>HYPERLINK("https://klasma.github.io/Logging_2321/tillsyn/A 4775-2025 tillsynsbegäran.docx", "A 4775-2025")</f>
        <v/>
      </c>
      <c r="Y152">
        <f>HYPERLINK("https://klasma.github.io/Logging_2321/tillsynsmail/A 4775-2025 tillsynsbegäran mail.docx", "A 4775-2025")</f>
        <v/>
      </c>
      <c r="Z152">
        <f>HYPERLINK("https://klasma.github.io/Logging_2321/fåglar/A 4775-2025 prioriterade fågelarter.docx", "A 4775-2025")</f>
        <v/>
      </c>
    </row>
    <row r="153" ht="15" customHeight="1">
      <c r="A153" t="inlineStr">
        <is>
          <t>A 5480-2023</t>
        </is>
      </c>
      <c r="B153" s="1" t="n">
        <v>44957</v>
      </c>
      <c r="C153" s="1" t="n">
        <v>45917</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23556-2021</t>
        </is>
      </c>
      <c r="B154" s="1" t="n">
        <v>44334</v>
      </c>
      <c r="C154" s="1" t="n">
        <v>45917</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21939-2025</t>
        </is>
      </c>
      <c r="B155" s="1" t="n">
        <v>45784.58445601852</v>
      </c>
      <c r="C155" s="1" t="n">
        <v>45917</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18543-2021</t>
        </is>
      </c>
      <c r="B156" s="1" t="n">
        <v>44306</v>
      </c>
      <c r="C156" s="1" t="n">
        <v>45917</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53462-2024</t>
        </is>
      </c>
      <c r="B157" s="1" t="n">
        <v>45614.55241898148</v>
      </c>
      <c r="C157" s="1" t="n">
        <v>45917</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45917</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37082-2021</t>
        </is>
      </c>
      <c r="B159" s="1" t="n">
        <v>44395</v>
      </c>
      <c r="C159" s="1" t="n">
        <v>45917</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52746-2024</t>
        </is>
      </c>
      <c r="B160" s="1" t="n">
        <v>45610.4809375</v>
      </c>
      <c r="C160" s="1" t="n">
        <v>45917</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74392-2021</t>
        </is>
      </c>
      <c r="B161" s="1" t="n">
        <v>44559</v>
      </c>
      <c r="C161" s="1" t="n">
        <v>45917</v>
      </c>
      <c r="D161" t="inlineStr">
        <is>
          <t>JÄMTLANDS LÄN</t>
        </is>
      </c>
      <c r="E161" t="inlineStr">
        <is>
          <t>ÅRE</t>
        </is>
      </c>
      <c r="G161" t="n">
        <v>11.6</v>
      </c>
      <c r="H161" t="n">
        <v>0</v>
      </c>
      <c r="I161" t="n">
        <v>0</v>
      </c>
      <c r="J161" t="n">
        <v>1</v>
      </c>
      <c r="K161" t="n">
        <v>0</v>
      </c>
      <c r="L161" t="n">
        <v>0</v>
      </c>
      <c r="M161" t="n">
        <v>0</v>
      </c>
      <c r="N161" t="n">
        <v>0</v>
      </c>
      <c r="O161" t="n">
        <v>1</v>
      </c>
      <c r="P161" t="n">
        <v>0</v>
      </c>
      <c r="Q161" t="n">
        <v>1</v>
      </c>
      <c r="R161" s="2" t="inlineStr">
        <is>
          <t>Skrovellav</t>
        </is>
      </c>
      <c r="S161">
        <f>HYPERLINK("https://klasma.github.io/Logging_2321/artfynd/A 74392-2021 artfynd.xlsx", "A 74392-2021")</f>
        <v/>
      </c>
      <c r="T161">
        <f>HYPERLINK("https://klasma.github.io/Logging_2321/kartor/A 74392-2021 karta.png", "A 74392-2021")</f>
        <v/>
      </c>
      <c r="V161">
        <f>HYPERLINK("https://klasma.github.io/Logging_2321/klagomål/A 74392-2021 FSC-klagomål.docx", "A 74392-2021")</f>
        <v/>
      </c>
      <c r="W161">
        <f>HYPERLINK("https://klasma.github.io/Logging_2321/klagomålsmail/A 74392-2021 FSC-klagomål mail.docx", "A 74392-2021")</f>
        <v/>
      </c>
      <c r="X161">
        <f>HYPERLINK("https://klasma.github.io/Logging_2321/tillsyn/A 74392-2021 tillsynsbegäran.docx", "A 74392-2021")</f>
        <v/>
      </c>
      <c r="Y161">
        <f>HYPERLINK("https://klasma.github.io/Logging_2321/tillsynsmail/A 74392-2021 tillsynsbegäran mail.docx", "A 74392-2021")</f>
        <v/>
      </c>
    </row>
    <row r="162" ht="15" customHeight="1">
      <c r="A162" t="inlineStr">
        <is>
          <t>A 23818-2025</t>
        </is>
      </c>
      <c r="B162" s="1" t="n">
        <v>45793.58469907408</v>
      </c>
      <c r="C162" s="1" t="n">
        <v>45917</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8131-2024</t>
        </is>
      </c>
      <c r="B163" s="1" t="n">
        <v>45351</v>
      </c>
      <c r="C163" s="1" t="n">
        <v>45917</v>
      </c>
      <c r="D163" t="inlineStr">
        <is>
          <t>JÄMTLANDS LÄN</t>
        </is>
      </c>
      <c r="E163" t="inlineStr">
        <is>
          <t>ÅRE</t>
        </is>
      </c>
      <c r="F163" t="inlineStr">
        <is>
          <t>Övriga Aktiebolag</t>
        </is>
      </c>
      <c r="G163" t="n">
        <v>3.1</v>
      </c>
      <c r="H163" t="n">
        <v>0</v>
      </c>
      <c r="I163" t="n">
        <v>0</v>
      </c>
      <c r="J163" t="n">
        <v>0</v>
      </c>
      <c r="K163" t="n">
        <v>1</v>
      </c>
      <c r="L163" t="n">
        <v>0</v>
      </c>
      <c r="M163" t="n">
        <v>0</v>
      </c>
      <c r="N163" t="n">
        <v>0</v>
      </c>
      <c r="O163" t="n">
        <v>1</v>
      </c>
      <c r="P163" t="n">
        <v>1</v>
      </c>
      <c r="Q163" t="n">
        <v>1</v>
      </c>
      <c r="R163" s="2" t="inlineStr">
        <is>
          <t>Gräddporing</t>
        </is>
      </c>
      <c r="S163">
        <f>HYPERLINK("https://klasma.github.io/Logging_2321/artfynd/A 8131-2024 artfynd.xlsx", "A 8131-2024")</f>
        <v/>
      </c>
      <c r="T163">
        <f>HYPERLINK("https://klasma.github.io/Logging_2321/kartor/A 8131-2024 karta.png", "A 8131-2024")</f>
        <v/>
      </c>
      <c r="V163">
        <f>HYPERLINK("https://klasma.github.io/Logging_2321/klagomål/A 8131-2024 FSC-klagomål.docx", "A 8131-2024")</f>
        <v/>
      </c>
      <c r="W163">
        <f>HYPERLINK("https://klasma.github.io/Logging_2321/klagomålsmail/A 8131-2024 FSC-klagomål mail.docx", "A 8131-2024")</f>
        <v/>
      </c>
      <c r="X163">
        <f>HYPERLINK("https://klasma.github.io/Logging_2321/tillsyn/A 8131-2024 tillsynsbegäran.docx", "A 8131-2024")</f>
        <v/>
      </c>
      <c r="Y163">
        <f>HYPERLINK("https://klasma.github.io/Logging_2321/tillsynsmail/A 8131-2024 tillsynsbegäran mail.docx", "A 8131-2024")</f>
        <v/>
      </c>
    </row>
    <row r="164" ht="15" customHeight="1">
      <c r="A164" t="inlineStr">
        <is>
          <t>A 14826-2021</t>
        </is>
      </c>
      <c r="B164" s="1" t="n">
        <v>44280</v>
      </c>
      <c r="C164" s="1" t="n">
        <v>45917</v>
      </c>
      <c r="D164" t="inlineStr">
        <is>
          <t>JÄMTLANDS LÄN</t>
        </is>
      </c>
      <c r="E164" t="inlineStr">
        <is>
          <t>ÅRE</t>
        </is>
      </c>
      <c r="G164" t="n">
        <v>1.1</v>
      </c>
      <c r="H164" t="n">
        <v>0</v>
      </c>
      <c r="I164" t="n">
        <v>0</v>
      </c>
      <c r="J164" t="n">
        <v>0</v>
      </c>
      <c r="K164" t="n">
        <v>0</v>
      </c>
      <c r="L164" t="n">
        <v>0</v>
      </c>
      <c r="M164" t="n">
        <v>0</v>
      </c>
      <c r="N164" t="n">
        <v>0</v>
      </c>
      <c r="O164" t="n">
        <v>0</v>
      </c>
      <c r="P164" t="n">
        <v>0</v>
      </c>
      <c r="Q164" t="n">
        <v>0</v>
      </c>
      <c r="R164" s="2" t="inlineStr"/>
    </row>
    <row r="165" ht="15" customHeight="1">
      <c r="A165" t="inlineStr">
        <is>
          <t>A 5401-2021</t>
        </is>
      </c>
      <c r="B165" s="1" t="n">
        <v>44229</v>
      </c>
      <c r="C165" s="1" t="n">
        <v>45917</v>
      </c>
      <c r="D165" t="inlineStr">
        <is>
          <t>JÄMTLANDS LÄN</t>
        </is>
      </c>
      <c r="E165" t="inlineStr">
        <is>
          <t>ÅRE</t>
        </is>
      </c>
      <c r="G165" t="n">
        <v>10</v>
      </c>
      <c r="H165" t="n">
        <v>0</v>
      </c>
      <c r="I165" t="n">
        <v>0</v>
      </c>
      <c r="J165" t="n">
        <v>0</v>
      </c>
      <c r="K165" t="n">
        <v>0</v>
      </c>
      <c r="L165" t="n">
        <v>0</v>
      </c>
      <c r="M165" t="n">
        <v>0</v>
      </c>
      <c r="N165" t="n">
        <v>0</v>
      </c>
      <c r="O165" t="n">
        <v>0</v>
      </c>
      <c r="P165" t="n">
        <v>0</v>
      </c>
      <c r="Q165" t="n">
        <v>0</v>
      </c>
      <c r="R165" s="2" t="inlineStr"/>
    </row>
    <row r="166" ht="15" customHeight="1">
      <c r="A166" t="inlineStr">
        <is>
          <t>A 52548-2020</t>
        </is>
      </c>
      <c r="B166" s="1" t="n">
        <v>44116</v>
      </c>
      <c r="C166" s="1" t="n">
        <v>45917</v>
      </c>
      <c r="D166" t="inlineStr">
        <is>
          <t>JÄMTLANDS LÄN</t>
        </is>
      </c>
      <c r="E166" t="inlineStr">
        <is>
          <t>ÅRE</t>
        </is>
      </c>
      <c r="G166" t="n">
        <v>7.5</v>
      </c>
      <c r="H166" t="n">
        <v>0</v>
      </c>
      <c r="I166" t="n">
        <v>0</v>
      </c>
      <c r="J166" t="n">
        <v>0</v>
      </c>
      <c r="K166" t="n">
        <v>0</v>
      </c>
      <c r="L166" t="n">
        <v>0</v>
      </c>
      <c r="M166" t="n">
        <v>0</v>
      </c>
      <c r="N166" t="n">
        <v>0</v>
      </c>
      <c r="O166" t="n">
        <v>0</v>
      </c>
      <c r="P166" t="n">
        <v>0</v>
      </c>
      <c r="Q166" t="n">
        <v>0</v>
      </c>
      <c r="R166" s="2" t="inlineStr"/>
    </row>
    <row r="167" ht="15" customHeight="1">
      <c r="A167" t="inlineStr">
        <is>
          <t>A 65512-2020</t>
        </is>
      </c>
      <c r="B167" s="1" t="n">
        <v>44173</v>
      </c>
      <c r="C167" s="1" t="n">
        <v>45917</v>
      </c>
      <c r="D167" t="inlineStr">
        <is>
          <t>JÄMTLANDS LÄN</t>
        </is>
      </c>
      <c r="E167" t="inlineStr">
        <is>
          <t>ÅRE</t>
        </is>
      </c>
      <c r="G167" t="n">
        <v>5.6</v>
      </c>
      <c r="H167" t="n">
        <v>0</v>
      </c>
      <c r="I167" t="n">
        <v>0</v>
      </c>
      <c r="J167" t="n">
        <v>0</v>
      </c>
      <c r="K167" t="n">
        <v>0</v>
      </c>
      <c r="L167" t="n">
        <v>0</v>
      </c>
      <c r="M167" t="n">
        <v>0</v>
      </c>
      <c r="N167" t="n">
        <v>0</v>
      </c>
      <c r="O167" t="n">
        <v>0</v>
      </c>
      <c r="P167" t="n">
        <v>0</v>
      </c>
      <c r="Q167" t="n">
        <v>0</v>
      </c>
      <c r="R167" s="2" t="inlineStr"/>
    </row>
    <row r="168" ht="15" customHeight="1">
      <c r="A168" t="inlineStr">
        <is>
          <t>A 69801-2021</t>
        </is>
      </c>
      <c r="B168" s="1" t="n">
        <v>44532</v>
      </c>
      <c r="C168" s="1" t="n">
        <v>45917</v>
      </c>
      <c r="D168" t="inlineStr">
        <is>
          <t>JÄMTLANDS LÄN</t>
        </is>
      </c>
      <c r="E168" t="inlineStr">
        <is>
          <t>ÅRE</t>
        </is>
      </c>
      <c r="G168" t="n">
        <v>4</v>
      </c>
      <c r="H168" t="n">
        <v>0</v>
      </c>
      <c r="I168" t="n">
        <v>0</v>
      </c>
      <c r="J168" t="n">
        <v>0</v>
      </c>
      <c r="K168" t="n">
        <v>0</v>
      </c>
      <c r="L168" t="n">
        <v>0</v>
      </c>
      <c r="M168" t="n">
        <v>0</v>
      </c>
      <c r="N168" t="n">
        <v>0</v>
      </c>
      <c r="O168" t="n">
        <v>0</v>
      </c>
      <c r="P168" t="n">
        <v>0</v>
      </c>
      <c r="Q168" t="n">
        <v>0</v>
      </c>
      <c r="R168" s="2" t="inlineStr"/>
    </row>
    <row r="169" ht="15" customHeight="1">
      <c r="A169" t="inlineStr">
        <is>
          <t>A 65782-2021</t>
        </is>
      </c>
      <c r="B169" s="1" t="n">
        <v>44516</v>
      </c>
      <c r="C169" s="1" t="n">
        <v>45917</v>
      </c>
      <c r="D169" t="inlineStr">
        <is>
          <t>JÄMTLANDS LÄN</t>
        </is>
      </c>
      <c r="E169" t="inlineStr">
        <is>
          <t>ÅRE</t>
        </is>
      </c>
      <c r="G169" t="n">
        <v>0.5</v>
      </c>
      <c r="H169" t="n">
        <v>0</v>
      </c>
      <c r="I169" t="n">
        <v>0</v>
      </c>
      <c r="J169" t="n">
        <v>0</v>
      </c>
      <c r="K169" t="n">
        <v>0</v>
      </c>
      <c r="L169" t="n">
        <v>0</v>
      </c>
      <c r="M169" t="n">
        <v>0</v>
      </c>
      <c r="N169" t="n">
        <v>0</v>
      </c>
      <c r="O169" t="n">
        <v>0</v>
      </c>
      <c r="P169" t="n">
        <v>0</v>
      </c>
      <c r="Q169" t="n">
        <v>0</v>
      </c>
      <c r="R169" s="2" t="inlineStr"/>
    </row>
    <row r="170" ht="15" customHeight="1">
      <c r="A170" t="inlineStr">
        <is>
          <t>A 12827-2021</t>
        </is>
      </c>
      <c r="B170" s="1" t="n">
        <v>44271</v>
      </c>
      <c r="C170" s="1" t="n">
        <v>45917</v>
      </c>
      <c r="D170" t="inlineStr">
        <is>
          <t>JÄMTLANDS LÄN</t>
        </is>
      </c>
      <c r="E170" t="inlineStr">
        <is>
          <t>ÅRE</t>
        </is>
      </c>
      <c r="G170" t="n">
        <v>1.5</v>
      </c>
      <c r="H170" t="n">
        <v>0</v>
      </c>
      <c r="I170" t="n">
        <v>0</v>
      </c>
      <c r="J170" t="n">
        <v>0</v>
      </c>
      <c r="K170" t="n">
        <v>0</v>
      </c>
      <c r="L170" t="n">
        <v>0</v>
      </c>
      <c r="M170" t="n">
        <v>0</v>
      </c>
      <c r="N170" t="n">
        <v>0</v>
      </c>
      <c r="O170" t="n">
        <v>0</v>
      </c>
      <c r="P170" t="n">
        <v>0</v>
      </c>
      <c r="Q170" t="n">
        <v>0</v>
      </c>
      <c r="R170" s="2" t="inlineStr"/>
    </row>
    <row r="171" ht="15" customHeight="1">
      <c r="A171" t="inlineStr">
        <is>
          <t>A 37461-2021</t>
        </is>
      </c>
      <c r="B171" s="1" t="n">
        <v>44398</v>
      </c>
      <c r="C171" s="1" t="n">
        <v>45917</v>
      </c>
      <c r="D171" t="inlineStr">
        <is>
          <t>JÄMTLANDS LÄN</t>
        </is>
      </c>
      <c r="E171" t="inlineStr">
        <is>
          <t>ÅRE</t>
        </is>
      </c>
      <c r="G171" t="n">
        <v>11.7</v>
      </c>
      <c r="H171" t="n">
        <v>0</v>
      </c>
      <c r="I171" t="n">
        <v>0</v>
      </c>
      <c r="J171" t="n">
        <v>0</v>
      </c>
      <c r="K171" t="n">
        <v>0</v>
      </c>
      <c r="L171" t="n">
        <v>0</v>
      </c>
      <c r="M171" t="n">
        <v>0</v>
      </c>
      <c r="N171" t="n">
        <v>0</v>
      </c>
      <c r="O171" t="n">
        <v>0</v>
      </c>
      <c r="P171" t="n">
        <v>0</v>
      </c>
      <c r="Q171" t="n">
        <v>0</v>
      </c>
      <c r="R171" s="2" t="inlineStr"/>
    </row>
    <row r="172" ht="15" customHeight="1">
      <c r="A172" t="inlineStr">
        <is>
          <t>A 18443-2022</t>
        </is>
      </c>
      <c r="B172" s="1" t="n">
        <v>44686.48277777778</v>
      </c>
      <c r="C172" s="1" t="n">
        <v>45917</v>
      </c>
      <c r="D172" t="inlineStr">
        <is>
          <t>JÄMTLANDS LÄN</t>
        </is>
      </c>
      <c r="E172" t="inlineStr">
        <is>
          <t>ÅRE</t>
        </is>
      </c>
      <c r="G172" t="n">
        <v>5.1</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45917</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12387-2021</t>
        </is>
      </c>
      <c r="B174" s="1" t="n">
        <v>44267</v>
      </c>
      <c r="C174" s="1" t="n">
        <v>45917</v>
      </c>
      <c r="D174" t="inlineStr">
        <is>
          <t>JÄMTLANDS LÄN</t>
        </is>
      </c>
      <c r="E174" t="inlineStr">
        <is>
          <t>ÅRE</t>
        </is>
      </c>
      <c r="G174" t="n">
        <v>3.4</v>
      </c>
      <c r="H174" t="n">
        <v>0</v>
      </c>
      <c r="I174" t="n">
        <v>0</v>
      </c>
      <c r="J174" t="n">
        <v>0</v>
      </c>
      <c r="K174" t="n">
        <v>0</v>
      </c>
      <c r="L174" t="n">
        <v>0</v>
      </c>
      <c r="M174" t="n">
        <v>0</v>
      </c>
      <c r="N174" t="n">
        <v>0</v>
      </c>
      <c r="O174" t="n">
        <v>0</v>
      </c>
      <c r="P174" t="n">
        <v>0</v>
      </c>
      <c r="Q174" t="n">
        <v>0</v>
      </c>
      <c r="R174" s="2" t="inlineStr"/>
    </row>
    <row r="175" ht="15" customHeight="1">
      <c r="A175" t="inlineStr">
        <is>
          <t>A 60132-2021</t>
        </is>
      </c>
      <c r="B175" s="1" t="n">
        <v>44495</v>
      </c>
      <c r="C175" s="1" t="n">
        <v>45917</v>
      </c>
      <c r="D175" t="inlineStr">
        <is>
          <t>JÄMTLANDS LÄN</t>
        </is>
      </c>
      <c r="E175" t="inlineStr">
        <is>
          <t>ÅRE</t>
        </is>
      </c>
      <c r="G175" t="n">
        <v>3.7</v>
      </c>
      <c r="H175" t="n">
        <v>0</v>
      </c>
      <c r="I175" t="n">
        <v>0</v>
      </c>
      <c r="J175" t="n">
        <v>0</v>
      </c>
      <c r="K175" t="n">
        <v>0</v>
      </c>
      <c r="L175" t="n">
        <v>0</v>
      </c>
      <c r="M175" t="n">
        <v>0</v>
      </c>
      <c r="N175" t="n">
        <v>0</v>
      </c>
      <c r="O175" t="n">
        <v>0</v>
      </c>
      <c r="P175" t="n">
        <v>0</v>
      </c>
      <c r="Q175" t="n">
        <v>0</v>
      </c>
      <c r="R175" s="2" t="inlineStr"/>
    </row>
    <row r="176" ht="15" customHeight="1">
      <c r="A176" t="inlineStr">
        <is>
          <t>A 38265-2022</t>
        </is>
      </c>
      <c r="B176" s="1" t="n">
        <v>44812</v>
      </c>
      <c r="C176" s="1" t="n">
        <v>45917</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51042-2021</t>
        </is>
      </c>
      <c r="B177" s="1" t="n">
        <v>44461</v>
      </c>
      <c r="C177" s="1" t="n">
        <v>45917</v>
      </c>
      <c r="D177" t="inlineStr">
        <is>
          <t>JÄMTLANDS LÄN</t>
        </is>
      </c>
      <c r="E177" t="inlineStr">
        <is>
          <t>ÅRE</t>
        </is>
      </c>
      <c r="G177" t="n">
        <v>0.8</v>
      </c>
      <c r="H177" t="n">
        <v>0</v>
      </c>
      <c r="I177" t="n">
        <v>0</v>
      </c>
      <c r="J177" t="n">
        <v>0</v>
      </c>
      <c r="K177" t="n">
        <v>0</v>
      </c>
      <c r="L177" t="n">
        <v>0</v>
      </c>
      <c r="M177" t="n">
        <v>0</v>
      </c>
      <c r="N177" t="n">
        <v>0</v>
      </c>
      <c r="O177" t="n">
        <v>0</v>
      </c>
      <c r="P177" t="n">
        <v>0</v>
      </c>
      <c r="Q177" t="n">
        <v>0</v>
      </c>
      <c r="R177" s="2" t="inlineStr"/>
    </row>
    <row r="178" ht="15" customHeight="1">
      <c r="A178" t="inlineStr">
        <is>
          <t>A 58230-2021</t>
        </is>
      </c>
      <c r="B178" s="1" t="n">
        <v>44487</v>
      </c>
      <c r="C178" s="1" t="n">
        <v>45917</v>
      </c>
      <c r="D178" t="inlineStr">
        <is>
          <t>JÄMTLANDS LÄN</t>
        </is>
      </c>
      <c r="E178" t="inlineStr">
        <is>
          <t>ÅRE</t>
        </is>
      </c>
      <c r="G178" t="n">
        <v>19.3</v>
      </c>
      <c r="H178" t="n">
        <v>0</v>
      </c>
      <c r="I178" t="n">
        <v>0</v>
      </c>
      <c r="J178" t="n">
        <v>0</v>
      </c>
      <c r="K178" t="n">
        <v>0</v>
      </c>
      <c r="L178" t="n">
        <v>0</v>
      </c>
      <c r="M178" t="n">
        <v>0</v>
      </c>
      <c r="N178" t="n">
        <v>0</v>
      </c>
      <c r="O178" t="n">
        <v>0</v>
      </c>
      <c r="P178" t="n">
        <v>0</v>
      </c>
      <c r="Q178" t="n">
        <v>0</v>
      </c>
      <c r="R178" s="2" t="inlineStr"/>
    </row>
    <row r="179" ht="15" customHeight="1">
      <c r="A179" t="inlineStr">
        <is>
          <t>A 45461-2022</t>
        </is>
      </c>
      <c r="B179" s="1" t="n">
        <v>44841</v>
      </c>
      <c r="C179" s="1" t="n">
        <v>45917</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54015-2020</t>
        </is>
      </c>
      <c r="B180" s="1" t="n">
        <v>44125</v>
      </c>
      <c r="C180" s="1" t="n">
        <v>45917</v>
      </c>
      <c r="D180" t="inlineStr">
        <is>
          <t>JÄMTLANDS LÄN</t>
        </is>
      </c>
      <c r="E180" t="inlineStr">
        <is>
          <t>ÅRE</t>
        </is>
      </c>
      <c r="F180" t="inlineStr">
        <is>
          <t>Övriga Aktiebolag</t>
        </is>
      </c>
      <c r="G180" t="n">
        <v>3.6</v>
      </c>
      <c r="H180" t="n">
        <v>0</v>
      </c>
      <c r="I180" t="n">
        <v>0</v>
      </c>
      <c r="J180" t="n">
        <v>0</v>
      </c>
      <c r="K180" t="n">
        <v>0</v>
      </c>
      <c r="L180" t="n">
        <v>0</v>
      </c>
      <c r="M180" t="n">
        <v>0</v>
      </c>
      <c r="N180" t="n">
        <v>0</v>
      </c>
      <c r="O180" t="n">
        <v>0</v>
      </c>
      <c r="P180" t="n">
        <v>0</v>
      </c>
      <c r="Q180" t="n">
        <v>0</v>
      </c>
      <c r="R180" s="2" t="inlineStr"/>
    </row>
    <row r="181" ht="15" customHeight="1">
      <c r="A181" t="inlineStr">
        <is>
          <t>A 57578-2020</t>
        </is>
      </c>
      <c r="B181" s="1" t="n">
        <v>44140</v>
      </c>
      <c r="C181" s="1" t="n">
        <v>45917</v>
      </c>
      <c r="D181" t="inlineStr">
        <is>
          <t>JÄMTLANDS LÄN</t>
        </is>
      </c>
      <c r="E181" t="inlineStr">
        <is>
          <t>ÅRE</t>
        </is>
      </c>
      <c r="G181" t="n">
        <v>94.40000000000001</v>
      </c>
      <c r="H181" t="n">
        <v>0</v>
      </c>
      <c r="I181" t="n">
        <v>0</v>
      </c>
      <c r="J181" t="n">
        <v>0</v>
      </c>
      <c r="K181" t="n">
        <v>0</v>
      </c>
      <c r="L181" t="n">
        <v>0</v>
      </c>
      <c r="M181" t="n">
        <v>0</v>
      </c>
      <c r="N181" t="n">
        <v>0</v>
      </c>
      <c r="O181" t="n">
        <v>0</v>
      </c>
      <c r="P181" t="n">
        <v>0</v>
      </c>
      <c r="Q181" t="n">
        <v>0</v>
      </c>
      <c r="R181" s="2" t="inlineStr"/>
    </row>
    <row r="182" ht="15" customHeight="1">
      <c r="A182" t="inlineStr">
        <is>
          <t>A 65519-2020</t>
        </is>
      </c>
      <c r="B182" s="1" t="n">
        <v>44173</v>
      </c>
      <c r="C182" s="1" t="n">
        <v>45917</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65415-2021</t>
        </is>
      </c>
      <c r="B183" s="1" t="n">
        <v>44515</v>
      </c>
      <c r="C183" s="1" t="n">
        <v>45917</v>
      </c>
      <c r="D183" t="inlineStr">
        <is>
          <t>JÄMTLANDS LÄN</t>
        </is>
      </c>
      <c r="E183" t="inlineStr">
        <is>
          <t>ÅRE</t>
        </is>
      </c>
      <c r="G183" t="n">
        <v>2.7</v>
      </c>
      <c r="H183" t="n">
        <v>0</v>
      </c>
      <c r="I183" t="n">
        <v>0</v>
      </c>
      <c r="J183" t="n">
        <v>0</v>
      </c>
      <c r="K183" t="n">
        <v>0</v>
      </c>
      <c r="L183" t="n">
        <v>0</v>
      </c>
      <c r="M183" t="n">
        <v>0</v>
      </c>
      <c r="N183" t="n">
        <v>0</v>
      </c>
      <c r="O183" t="n">
        <v>0</v>
      </c>
      <c r="P183" t="n">
        <v>0</v>
      </c>
      <c r="Q183" t="n">
        <v>0</v>
      </c>
      <c r="R183" s="2" t="inlineStr"/>
    </row>
    <row r="184" ht="15" customHeight="1">
      <c r="A184" t="inlineStr">
        <is>
          <t>A 67541-2021</t>
        </is>
      </c>
      <c r="B184" s="1" t="n">
        <v>44524</v>
      </c>
      <c r="C184" s="1" t="n">
        <v>45917</v>
      </c>
      <c r="D184" t="inlineStr">
        <is>
          <t>JÄMTLANDS LÄN</t>
        </is>
      </c>
      <c r="E184" t="inlineStr">
        <is>
          <t>ÅRE</t>
        </is>
      </c>
      <c r="G184" t="n">
        <v>3</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45917</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45917</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45917</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45917</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45917</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45917</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45917</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45917</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45917</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45917</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45917</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73629-2021</t>
        </is>
      </c>
      <c r="B196" s="1" t="n">
        <v>44552</v>
      </c>
      <c r="C196" s="1" t="n">
        <v>45917</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57586-2020</t>
        </is>
      </c>
      <c r="B197" s="1" t="n">
        <v>44140</v>
      </c>
      <c r="C197" s="1" t="n">
        <v>45917</v>
      </c>
      <c r="D197" t="inlineStr">
        <is>
          <t>JÄMTLANDS LÄN</t>
        </is>
      </c>
      <c r="E197" t="inlineStr">
        <is>
          <t>ÅRE</t>
        </is>
      </c>
      <c r="G197" t="n">
        <v>9.5</v>
      </c>
      <c r="H197" t="n">
        <v>0</v>
      </c>
      <c r="I197" t="n">
        <v>0</v>
      </c>
      <c r="J197" t="n">
        <v>0</v>
      </c>
      <c r="K197" t="n">
        <v>0</v>
      </c>
      <c r="L197" t="n">
        <v>0</v>
      </c>
      <c r="M197" t="n">
        <v>0</v>
      </c>
      <c r="N197" t="n">
        <v>0</v>
      </c>
      <c r="O197" t="n">
        <v>0</v>
      </c>
      <c r="P197" t="n">
        <v>0</v>
      </c>
      <c r="Q197" t="n">
        <v>0</v>
      </c>
      <c r="R197" s="2" t="inlineStr"/>
    </row>
    <row r="198" ht="15" customHeight="1">
      <c r="A198" t="inlineStr">
        <is>
          <t>A 28881-2021</t>
        </is>
      </c>
      <c r="B198" s="1" t="n">
        <v>44357</v>
      </c>
      <c r="C198" s="1" t="n">
        <v>45917</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45917</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45917</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45917</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45917</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20827-2022</t>
        </is>
      </c>
      <c r="B203" s="1" t="n">
        <v>44700</v>
      </c>
      <c r="C203" s="1" t="n">
        <v>45917</v>
      </c>
      <c r="D203" t="inlineStr">
        <is>
          <t>JÄMTLANDS LÄN</t>
        </is>
      </c>
      <c r="E203" t="inlineStr">
        <is>
          <t>ÅRE</t>
        </is>
      </c>
      <c r="G203" t="n">
        <v>2.6</v>
      </c>
      <c r="H203" t="n">
        <v>0</v>
      </c>
      <c r="I203" t="n">
        <v>0</v>
      </c>
      <c r="J203" t="n">
        <v>0</v>
      </c>
      <c r="K203" t="n">
        <v>0</v>
      </c>
      <c r="L203" t="n">
        <v>0</v>
      </c>
      <c r="M203" t="n">
        <v>0</v>
      </c>
      <c r="N203" t="n">
        <v>0</v>
      </c>
      <c r="O203" t="n">
        <v>0</v>
      </c>
      <c r="P203" t="n">
        <v>0</v>
      </c>
      <c r="Q203" t="n">
        <v>0</v>
      </c>
      <c r="R203" s="2" t="inlineStr"/>
    </row>
    <row r="204" ht="15" customHeight="1">
      <c r="A204" t="inlineStr">
        <is>
          <t>A 65439-2020</t>
        </is>
      </c>
      <c r="B204" s="1" t="n">
        <v>44173</v>
      </c>
      <c r="C204" s="1" t="n">
        <v>45917</v>
      </c>
      <c r="D204" t="inlineStr">
        <is>
          <t>JÄMTLANDS LÄN</t>
        </is>
      </c>
      <c r="E204" t="inlineStr">
        <is>
          <t>ÅRE</t>
        </is>
      </c>
      <c r="G204" t="n">
        <v>6.2</v>
      </c>
      <c r="H204" t="n">
        <v>0</v>
      </c>
      <c r="I204" t="n">
        <v>0</v>
      </c>
      <c r="J204" t="n">
        <v>0</v>
      </c>
      <c r="K204" t="n">
        <v>0</v>
      </c>
      <c r="L204" t="n">
        <v>0</v>
      </c>
      <c r="M204" t="n">
        <v>0</v>
      </c>
      <c r="N204" t="n">
        <v>0</v>
      </c>
      <c r="O204" t="n">
        <v>0</v>
      </c>
      <c r="P204" t="n">
        <v>0</v>
      </c>
      <c r="Q204" t="n">
        <v>0</v>
      </c>
      <c r="R204" s="2" t="inlineStr"/>
    </row>
    <row r="205" ht="15" customHeight="1">
      <c r="A205" t="inlineStr">
        <is>
          <t>A 20816-2022</t>
        </is>
      </c>
      <c r="B205" s="1" t="n">
        <v>44700</v>
      </c>
      <c r="C205" s="1" t="n">
        <v>45917</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45917</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57594-2020</t>
        </is>
      </c>
      <c r="B207" s="1" t="n">
        <v>44140</v>
      </c>
      <c r="C207" s="1" t="n">
        <v>45917</v>
      </c>
      <c r="D207" t="inlineStr">
        <is>
          <t>JÄMTLANDS LÄN</t>
        </is>
      </c>
      <c r="E207" t="inlineStr">
        <is>
          <t>ÅRE</t>
        </is>
      </c>
      <c r="G207" t="n">
        <v>14.9</v>
      </c>
      <c r="H207" t="n">
        <v>0</v>
      </c>
      <c r="I207" t="n">
        <v>0</v>
      </c>
      <c r="J207" t="n">
        <v>0</v>
      </c>
      <c r="K207" t="n">
        <v>0</v>
      </c>
      <c r="L207" t="n">
        <v>0</v>
      </c>
      <c r="M207" t="n">
        <v>0</v>
      </c>
      <c r="N207" t="n">
        <v>0</v>
      </c>
      <c r="O207" t="n">
        <v>0</v>
      </c>
      <c r="P207" t="n">
        <v>0</v>
      </c>
      <c r="Q207" t="n">
        <v>0</v>
      </c>
      <c r="R207" s="2" t="inlineStr"/>
    </row>
    <row r="208" ht="15" customHeight="1">
      <c r="A208" t="inlineStr">
        <is>
          <t>A 8668-2021</t>
        </is>
      </c>
      <c r="B208" s="1" t="n">
        <v>44246</v>
      </c>
      <c r="C208" s="1" t="n">
        <v>45917</v>
      </c>
      <c r="D208" t="inlineStr">
        <is>
          <t>JÄMTLANDS LÄN</t>
        </is>
      </c>
      <c r="E208" t="inlineStr">
        <is>
          <t>ÅRE</t>
        </is>
      </c>
      <c r="G208" t="n">
        <v>19.5</v>
      </c>
      <c r="H208" t="n">
        <v>0</v>
      </c>
      <c r="I208" t="n">
        <v>0</v>
      </c>
      <c r="J208" t="n">
        <v>0</v>
      </c>
      <c r="K208" t="n">
        <v>0</v>
      </c>
      <c r="L208" t="n">
        <v>0</v>
      </c>
      <c r="M208" t="n">
        <v>0</v>
      </c>
      <c r="N208" t="n">
        <v>0</v>
      </c>
      <c r="O208" t="n">
        <v>0</v>
      </c>
      <c r="P208" t="n">
        <v>0</v>
      </c>
      <c r="Q208" t="n">
        <v>0</v>
      </c>
      <c r="R208" s="2" t="inlineStr"/>
    </row>
    <row r="209" ht="15" customHeight="1">
      <c r="A209" t="inlineStr">
        <is>
          <t>A 25122-2022</t>
        </is>
      </c>
      <c r="B209" s="1" t="n">
        <v>44729</v>
      </c>
      <c r="C209" s="1" t="n">
        <v>45917</v>
      </c>
      <c r="D209" t="inlineStr">
        <is>
          <t>JÄMTLANDS LÄN</t>
        </is>
      </c>
      <c r="E209" t="inlineStr">
        <is>
          <t>ÅRE</t>
        </is>
      </c>
      <c r="G209" t="n">
        <v>0.3</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45917</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45917</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45917</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49661-2020</t>
        </is>
      </c>
      <c r="B213" s="1" t="n">
        <v>44105</v>
      </c>
      <c r="C213" s="1" t="n">
        <v>45917</v>
      </c>
      <c r="D213" t="inlineStr">
        <is>
          <t>JÄMTLANDS LÄN</t>
        </is>
      </c>
      <c r="E213" t="inlineStr">
        <is>
          <t>ÅRE</t>
        </is>
      </c>
      <c r="F213" t="inlineStr">
        <is>
          <t>Övriga Aktiebolag</t>
        </is>
      </c>
      <c r="G213" t="n">
        <v>24.4</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45917</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45917</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32758-2022</t>
        </is>
      </c>
      <c r="B216" s="1" t="n">
        <v>44783</v>
      </c>
      <c r="C216" s="1" t="n">
        <v>45917</v>
      </c>
      <c r="D216" t="inlineStr">
        <is>
          <t>JÄMTLANDS LÄN</t>
        </is>
      </c>
      <c r="E216" t="inlineStr">
        <is>
          <t>ÅRE</t>
        </is>
      </c>
      <c r="G216" t="n">
        <v>8.4</v>
      </c>
      <c r="H216" t="n">
        <v>0</v>
      </c>
      <c r="I216" t="n">
        <v>0</v>
      </c>
      <c r="J216" t="n">
        <v>0</v>
      </c>
      <c r="K216" t="n">
        <v>0</v>
      </c>
      <c r="L216" t="n">
        <v>0</v>
      </c>
      <c r="M216" t="n">
        <v>0</v>
      </c>
      <c r="N216" t="n">
        <v>0</v>
      </c>
      <c r="O216" t="n">
        <v>0</v>
      </c>
      <c r="P216" t="n">
        <v>0</v>
      </c>
      <c r="Q216" t="n">
        <v>0</v>
      </c>
      <c r="R216" s="2" t="inlineStr"/>
    </row>
    <row r="217" ht="15" customHeight="1">
      <c r="A217" t="inlineStr">
        <is>
          <t>A 6113-2024</t>
        </is>
      </c>
      <c r="B217" s="1" t="n">
        <v>45337</v>
      </c>
      <c r="C217" s="1" t="n">
        <v>45917</v>
      </c>
      <c r="D217" t="inlineStr">
        <is>
          <t>JÄMTLANDS LÄN</t>
        </is>
      </c>
      <c r="E217" t="inlineStr">
        <is>
          <t>ÅRE</t>
        </is>
      </c>
      <c r="G217" t="n">
        <v>1.3</v>
      </c>
      <c r="H217" t="n">
        <v>0</v>
      </c>
      <c r="I217" t="n">
        <v>0</v>
      </c>
      <c r="J217" t="n">
        <v>0</v>
      </c>
      <c r="K217" t="n">
        <v>0</v>
      </c>
      <c r="L217" t="n">
        <v>0</v>
      </c>
      <c r="M217" t="n">
        <v>0</v>
      </c>
      <c r="N217" t="n">
        <v>0</v>
      </c>
      <c r="O217" t="n">
        <v>0</v>
      </c>
      <c r="P217" t="n">
        <v>0</v>
      </c>
      <c r="Q217" t="n">
        <v>0</v>
      </c>
      <c r="R217" s="2" t="inlineStr"/>
    </row>
    <row r="218" ht="15" customHeight="1">
      <c r="A218" t="inlineStr">
        <is>
          <t>A 8798-2025</t>
        </is>
      </c>
      <c r="B218" s="1" t="n">
        <v>45712</v>
      </c>
      <c r="C218" s="1" t="n">
        <v>45917</v>
      </c>
      <c r="D218" t="inlineStr">
        <is>
          <t>JÄMTLANDS LÄN</t>
        </is>
      </c>
      <c r="E218" t="inlineStr">
        <is>
          <t>ÅRE</t>
        </is>
      </c>
      <c r="G218" t="n">
        <v>1.6</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45917</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45917</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59753-2023</t>
        </is>
      </c>
      <c r="B221" s="1" t="n">
        <v>45254</v>
      </c>
      <c r="C221" s="1" t="n">
        <v>45917</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18374-2021</t>
        </is>
      </c>
      <c r="B222" s="1" t="n">
        <v>44305</v>
      </c>
      <c r="C222" s="1" t="n">
        <v>45917</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45917</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45917</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26533-2022</t>
        </is>
      </c>
      <c r="B225" s="1" t="n">
        <v>44739.4490162037</v>
      </c>
      <c r="C225" s="1" t="n">
        <v>45917</v>
      </c>
      <c r="D225" t="inlineStr">
        <is>
          <t>JÄMTLANDS LÄN</t>
        </is>
      </c>
      <c r="E225" t="inlineStr">
        <is>
          <t>ÅRE</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57158-2021</t>
        </is>
      </c>
      <c r="B226" s="1" t="n">
        <v>44482</v>
      </c>
      <c r="C226" s="1" t="n">
        <v>45917</v>
      </c>
      <c r="D226" t="inlineStr">
        <is>
          <t>JÄMTLANDS LÄN</t>
        </is>
      </c>
      <c r="E226" t="inlineStr">
        <is>
          <t>ÅRE</t>
        </is>
      </c>
      <c r="G226" t="n">
        <v>0.4</v>
      </c>
      <c r="H226" t="n">
        <v>0</v>
      </c>
      <c r="I226" t="n">
        <v>0</v>
      </c>
      <c r="J226" t="n">
        <v>0</v>
      </c>
      <c r="K226" t="n">
        <v>0</v>
      </c>
      <c r="L226" t="n">
        <v>0</v>
      </c>
      <c r="M226" t="n">
        <v>0</v>
      </c>
      <c r="N226" t="n">
        <v>0</v>
      </c>
      <c r="O226" t="n">
        <v>0</v>
      </c>
      <c r="P226" t="n">
        <v>0</v>
      </c>
      <c r="Q226" t="n">
        <v>0</v>
      </c>
      <c r="R226" s="2" t="inlineStr"/>
    </row>
    <row r="227" ht="15" customHeight="1">
      <c r="A227" t="inlineStr">
        <is>
          <t>A 54615-2022</t>
        </is>
      </c>
      <c r="B227" s="1" t="n">
        <v>44883.36125</v>
      </c>
      <c r="C227" s="1" t="n">
        <v>45917</v>
      </c>
      <c r="D227" t="inlineStr">
        <is>
          <t>JÄMTLANDS LÄN</t>
        </is>
      </c>
      <c r="E227" t="inlineStr">
        <is>
          <t>ÅRE</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54175-2023</t>
        </is>
      </c>
      <c r="B228" s="1" t="n">
        <v>45232</v>
      </c>
      <c r="C228" s="1" t="n">
        <v>45917</v>
      </c>
      <c r="D228" t="inlineStr">
        <is>
          <t>JÄMTLANDS LÄN</t>
        </is>
      </c>
      <c r="E228" t="inlineStr">
        <is>
          <t>ÅRE</t>
        </is>
      </c>
      <c r="G228" t="n">
        <v>0.1</v>
      </c>
      <c r="H228" t="n">
        <v>0</v>
      </c>
      <c r="I228" t="n">
        <v>0</v>
      </c>
      <c r="J228" t="n">
        <v>0</v>
      </c>
      <c r="K228" t="n">
        <v>0</v>
      </c>
      <c r="L228" t="n">
        <v>0</v>
      </c>
      <c r="M228" t="n">
        <v>0</v>
      </c>
      <c r="N228" t="n">
        <v>0</v>
      </c>
      <c r="O228" t="n">
        <v>0</v>
      </c>
      <c r="P228" t="n">
        <v>0</v>
      </c>
      <c r="Q228" t="n">
        <v>0</v>
      </c>
      <c r="R228" s="2" t="inlineStr"/>
    </row>
    <row r="229" ht="15" customHeight="1">
      <c r="A229" t="inlineStr">
        <is>
          <t>A 41266-2024</t>
        </is>
      </c>
      <c r="B229" s="1" t="n">
        <v>45559</v>
      </c>
      <c r="C229" s="1" t="n">
        <v>45917</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67972-2020</t>
        </is>
      </c>
      <c r="B230" s="1" t="n">
        <v>44182</v>
      </c>
      <c r="C230" s="1" t="n">
        <v>45917</v>
      </c>
      <c r="D230" t="inlineStr">
        <is>
          <t>JÄMTLANDS LÄN</t>
        </is>
      </c>
      <c r="E230" t="inlineStr">
        <is>
          <t>ÅRE</t>
        </is>
      </c>
      <c r="G230" t="n">
        <v>6</v>
      </c>
      <c r="H230" t="n">
        <v>0</v>
      </c>
      <c r="I230" t="n">
        <v>0</v>
      </c>
      <c r="J230" t="n">
        <v>0</v>
      </c>
      <c r="K230" t="n">
        <v>0</v>
      </c>
      <c r="L230" t="n">
        <v>0</v>
      </c>
      <c r="M230" t="n">
        <v>0</v>
      </c>
      <c r="N230" t="n">
        <v>0</v>
      </c>
      <c r="O230" t="n">
        <v>0</v>
      </c>
      <c r="P230" t="n">
        <v>0</v>
      </c>
      <c r="Q230" t="n">
        <v>0</v>
      </c>
      <c r="R230" s="2" t="inlineStr"/>
    </row>
    <row r="231" ht="15" customHeight="1">
      <c r="A231" t="inlineStr">
        <is>
          <t>A 29177-2024</t>
        </is>
      </c>
      <c r="B231" s="1" t="n">
        <v>45482.53859953704</v>
      </c>
      <c r="C231" s="1" t="n">
        <v>45917</v>
      </c>
      <c r="D231" t="inlineStr">
        <is>
          <t>JÄMTLANDS LÄN</t>
        </is>
      </c>
      <c r="E231" t="inlineStr">
        <is>
          <t>ÅRE</t>
        </is>
      </c>
      <c r="G231" t="n">
        <v>2.5</v>
      </c>
      <c r="H231" t="n">
        <v>0</v>
      </c>
      <c r="I231" t="n">
        <v>0</v>
      </c>
      <c r="J231" t="n">
        <v>0</v>
      </c>
      <c r="K231" t="n">
        <v>0</v>
      </c>
      <c r="L231" t="n">
        <v>0</v>
      </c>
      <c r="M231" t="n">
        <v>0</v>
      </c>
      <c r="N231" t="n">
        <v>0</v>
      </c>
      <c r="O231" t="n">
        <v>0</v>
      </c>
      <c r="P231" t="n">
        <v>0</v>
      </c>
      <c r="Q231" t="n">
        <v>0</v>
      </c>
      <c r="R231" s="2" t="inlineStr"/>
    </row>
    <row r="232" ht="15" customHeight="1">
      <c r="A232" t="inlineStr">
        <is>
          <t>A 49818-2022</t>
        </is>
      </c>
      <c r="B232" s="1" t="n">
        <v>44859</v>
      </c>
      <c r="C232" s="1" t="n">
        <v>45917</v>
      </c>
      <c r="D232" t="inlineStr">
        <is>
          <t>JÄMTLANDS LÄN</t>
        </is>
      </c>
      <c r="E232" t="inlineStr">
        <is>
          <t>ÅRE</t>
        </is>
      </c>
      <c r="G232" t="n">
        <v>63</v>
      </c>
      <c r="H232" t="n">
        <v>0</v>
      </c>
      <c r="I232" t="n">
        <v>0</v>
      </c>
      <c r="J232" t="n">
        <v>0</v>
      </c>
      <c r="K232" t="n">
        <v>0</v>
      </c>
      <c r="L232" t="n">
        <v>0</v>
      </c>
      <c r="M232" t="n">
        <v>0</v>
      </c>
      <c r="N232" t="n">
        <v>0</v>
      </c>
      <c r="O232" t="n">
        <v>0</v>
      </c>
      <c r="P232" t="n">
        <v>0</v>
      </c>
      <c r="Q232" t="n">
        <v>0</v>
      </c>
      <c r="R232" s="2" t="inlineStr"/>
    </row>
    <row r="233" ht="15" customHeight="1">
      <c r="A233" t="inlineStr">
        <is>
          <t>A 9775-2023</t>
        </is>
      </c>
      <c r="B233" s="1" t="n">
        <v>44984.60255787037</v>
      </c>
      <c r="C233" s="1" t="n">
        <v>45917</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22707-2021</t>
        </is>
      </c>
      <c r="B234" s="1" t="n">
        <v>44323</v>
      </c>
      <c r="C234" s="1" t="n">
        <v>45917</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18849-2022</t>
        </is>
      </c>
      <c r="B235" s="1" t="n">
        <v>44690</v>
      </c>
      <c r="C235" s="1" t="n">
        <v>45917</v>
      </c>
      <c r="D235" t="inlineStr">
        <is>
          <t>JÄMTLANDS LÄN</t>
        </is>
      </c>
      <c r="E235" t="inlineStr">
        <is>
          <t>ÅRE</t>
        </is>
      </c>
      <c r="G235" t="n">
        <v>12.8</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45917</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12940-2024</t>
        </is>
      </c>
      <c r="B237" s="1" t="n">
        <v>45385.46263888889</v>
      </c>
      <c r="C237" s="1" t="n">
        <v>45917</v>
      </c>
      <c r="D237" t="inlineStr">
        <is>
          <t>JÄMTLANDS LÄN</t>
        </is>
      </c>
      <c r="E237" t="inlineStr">
        <is>
          <t>ÅRE</t>
        </is>
      </c>
      <c r="G237" t="n">
        <v>2.5</v>
      </c>
      <c r="H237" t="n">
        <v>0</v>
      </c>
      <c r="I237" t="n">
        <v>0</v>
      </c>
      <c r="J237" t="n">
        <v>0</v>
      </c>
      <c r="K237" t="n">
        <v>0</v>
      </c>
      <c r="L237" t="n">
        <v>0</v>
      </c>
      <c r="M237" t="n">
        <v>0</v>
      </c>
      <c r="N237" t="n">
        <v>0</v>
      </c>
      <c r="O237" t="n">
        <v>0</v>
      </c>
      <c r="P237" t="n">
        <v>0</v>
      </c>
      <c r="Q237" t="n">
        <v>0</v>
      </c>
      <c r="R237" s="2" t="inlineStr"/>
    </row>
    <row r="238" ht="15" customHeight="1">
      <c r="A238" t="inlineStr">
        <is>
          <t>A 54904-2022</t>
        </is>
      </c>
      <c r="B238" s="1" t="n">
        <v>44886</v>
      </c>
      <c r="C238" s="1" t="n">
        <v>45917</v>
      </c>
      <c r="D238" t="inlineStr">
        <is>
          <t>JÄMTLANDS LÄN</t>
        </is>
      </c>
      <c r="E238" t="inlineStr">
        <is>
          <t>ÅRE</t>
        </is>
      </c>
      <c r="F238" t="inlineStr">
        <is>
          <t>Övriga Aktiebolag</t>
        </is>
      </c>
      <c r="G238" t="n">
        <v>12.2</v>
      </c>
      <c r="H238" t="n">
        <v>0</v>
      </c>
      <c r="I238" t="n">
        <v>0</v>
      </c>
      <c r="J238" t="n">
        <v>0</v>
      </c>
      <c r="K238" t="n">
        <v>0</v>
      </c>
      <c r="L238" t="n">
        <v>0</v>
      </c>
      <c r="M238" t="n">
        <v>0</v>
      </c>
      <c r="N238" t="n">
        <v>0</v>
      </c>
      <c r="O238" t="n">
        <v>0</v>
      </c>
      <c r="P238" t="n">
        <v>0</v>
      </c>
      <c r="Q238" t="n">
        <v>0</v>
      </c>
      <c r="R238" s="2" t="inlineStr"/>
    </row>
    <row r="239" ht="15" customHeight="1">
      <c r="A239" t="inlineStr">
        <is>
          <t>A 32241-2021</t>
        </is>
      </c>
      <c r="B239" s="1" t="n">
        <v>44371</v>
      </c>
      <c r="C239" s="1" t="n">
        <v>45917</v>
      </c>
      <c r="D239" t="inlineStr">
        <is>
          <t>JÄMTLANDS LÄN</t>
        </is>
      </c>
      <c r="E239" t="inlineStr">
        <is>
          <t>ÅRE</t>
        </is>
      </c>
      <c r="G239" t="n">
        <v>2.3</v>
      </c>
      <c r="H239" t="n">
        <v>0</v>
      </c>
      <c r="I239" t="n">
        <v>0</v>
      </c>
      <c r="J239" t="n">
        <v>0</v>
      </c>
      <c r="K239" t="n">
        <v>0</v>
      </c>
      <c r="L239" t="n">
        <v>0</v>
      </c>
      <c r="M239" t="n">
        <v>0</v>
      </c>
      <c r="N239" t="n">
        <v>0</v>
      </c>
      <c r="O239" t="n">
        <v>0</v>
      </c>
      <c r="P239" t="n">
        <v>0</v>
      </c>
      <c r="Q239" t="n">
        <v>0</v>
      </c>
      <c r="R239" s="2" t="inlineStr"/>
    </row>
    <row r="240" ht="15" customHeight="1">
      <c r="A240" t="inlineStr">
        <is>
          <t>A 1112-2025</t>
        </is>
      </c>
      <c r="B240" s="1" t="n">
        <v>45666</v>
      </c>
      <c r="C240" s="1" t="n">
        <v>45917</v>
      </c>
      <c r="D240" t="inlineStr">
        <is>
          <t>JÄMTLANDS LÄN</t>
        </is>
      </c>
      <c r="E240" t="inlineStr">
        <is>
          <t>ÅRE</t>
        </is>
      </c>
      <c r="F240" t="inlineStr">
        <is>
          <t>Övriga Aktiebolag</t>
        </is>
      </c>
      <c r="G240" t="n">
        <v>17.7</v>
      </c>
      <c r="H240" t="n">
        <v>0</v>
      </c>
      <c r="I240" t="n">
        <v>0</v>
      </c>
      <c r="J240" t="n">
        <v>0</v>
      </c>
      <c r="K240" t="n">
        <v>0</v>
      </c>
      <c r="L240" t="n">
        <v>0</v>
      </c>
      <c r="M240" t="n">
        <v>0</v>
      </c>
      <c r="N240" t="n">
        <v>0</v>
      </c>
      <c r="O240" t="n">
        <v>0</v>
      </c>
      <c r="P240" t="n">
        <v>0</v>
      </c>
      <c r="Q240" t="n">
        <v>0</v>
      </c>
      <c r="R240" s="2" t="inlineStr"/>
    </row>
    <row r="241" ht="15" customHeight="1">
      <c r="A241" t="inlineStr">
        <is>
          <t>A 23118-2022</t>
        </is>
      </c>
      <c r="B241" s="1" t="n">
        <v>44719.5662037037</v>
      </c>
      <c r="C241" s="1" t="n">
        <v>45917</v>
      </c>
      <c r="D241" t="inlineStr">
        <is>
          <t>JÄMTLANDS LÄN</t>
        </is>
      </c>
      <c r="E241" t="inlineStr">
        <is>
          <t>ÅRE</t>
        </is>
      </c>
      <c r="G241" t="n">
        <v>3.5</v>
      </c>
      <c r="H241" t="n">
        <v>0</v>
      </c>
      <c r="I241" t="n">
        <v>0</v>
      </c>
      <c r="J241" t="n">
        <v>0</v>
      </c>
      <c r="K241" t="n">
        <v>0</v>
      </c>
      <c r="L241" t="n">
        <v>0</v>
      </c>
      <c r="M241" t="n">
        <v>0</v>
      </c>
      <c r="N241" t="n">
        <v>0</v>
      </c>
      <c r="O241" t="n">
        <v>0</v>
      </c>
      <c r="P241" t="n">
        <v>0</v>
      </c>
      <c r="Q241" t="n">
        <v>0</v>
      </c>
      <c r="R241" s="2" t="inlineStr"/>
    </row>
    <row r="242" ht="15" customHeight="1">
      <c r="A242" t="inlineStr">
        <is>
          <t>A 1460-2024</t>
        </is>
      </c>
      <c r="B242" s="1" t="n">
        <v>45303.93322916667</v>
      </c>
      <c r="C242" s="1" t="n">
        <v>45917</v>
      </c>
      <c r="D242" t="inlineStr">
        <is>
          <t>JÄMTLANDS LÄN</t>
        </is>
      </c>
      <c r="E242" t="inlineStr">
        <is>
          <t>ÅRE</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60426-2022</t>
        </is>
      </c>
      <c r="B243" s="1" t="n">
        <v>44911.32092592592</v>
      </c>
      <c r="C243" s="1" t="n">
        <v>45917</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45324-2024</t>
        </is>
      </c>
      <c r="B244" s="1" t="n">
        <v>45576</v>
      </c>
      <c r="C244" s="1" t="n">
        <v>45917</v>
      </c>
      <c r="D244" t="inlineStr">
        <is>
          <t>JÄMTLANDS LÄN</t>
        </is>
      </c>
      <c r="E244" t="inlineStr">
        <is>
          <t>ÅRE</t>
        </is>
      </c>
      <c r="G244" t="n">
        <v>9.4</v>
      </c>
      <c r="H244" t="n">
        <v>0</v>
      </c>
      <c r="I244" t="n">
        <v>0</v>
      </c>
      <c r="J244" t="n">
        <v>0</v>
      </c>
      <c r="K244" t="n">
        <v>0</v>
      </c>
      <c r="L244" t="n">
        <v>0</v>
      </c>
      <c r="M244" t="n">
        <v>0</v>
      </c>
      <c r="N244" t="n">
        <v>0</v>
      </c>
      <c r="O244" t="n">
        <v>0</v>
      </c>
      <c r="P244" t="n">
        <v>0</v>
      </c>
      <c r="Q244" t="n">
        <v>0</v>
      </c>
      <c r="R244" s="2" t="inlineStr"/>
    </row>
    <row r="245" ht="15" customHeight="1">
      <c r="A245" t="inlineStr">
        <is>
          <t>A 56556-2022</t>
        </is>
      </c>
      <c r="B245" s="1" t="n">
        <v>44893.48930555556</v>
      </c>
      <c r="C245" s="1" t="n">
        <v>45917</v>
      </c>
      <c r="D245" t="inlineStr">
        <is>
          <t>JÄMTLANDS LÄN</t>
        </is>
      </c>
      <c r="E245" t="inlineStr">
        <is>
          <t>ÅRE</t>
        </is>
      </c>
      <c r="F245" t="inlineStr">
        <is>
          <t>Övriga Aktiebolag</t>
        </is>
      </c>
      <c r="G245" t="n">
        <v>4.9</v>
      </c>
      <c r="H245" t="n">
        <v>0</v>
      </c>
      <c r="I245" t="n">
        <v>0</v>
      </c>
      <c r="J245" t="n">
        <v>0</v>
      </c>
      <c r="K245" t="n">
        <v>0</v>
      </c>
      <c r="L245" t="n">
        <v>0</v>
      </c>
      <c r="M245" t="n">
        <v>0</v>
      </c>
      <c r="N245" t="n">
        <v>0</v>
      </c>
      <c r="O245" t="n">
        <v>0</v>
      </c>
      <c r="P245" t="n">
        <v>0</v>
      </c>
      <c r="Q245" t="n">
        <v>0</v>
      </c>
      <c r="R245" s="2" t="inlineStr"/>
    </row>
    <row r="246" ht="15" customHeight="1">
      <c r="A246" t="inlineStr">
        <is>
          <t>A 38268-2024</t>
        </is>
      </c>
      <c r="B246" s="1" t="n">
        <v>45545.59842592593</v>
      </c>
      <c r="C246" s="1" t="n">
        <v>45917</v>
      </c>
      <c r="D246" t="inlineStr">
        <is>
          <t>JÄMTLANDS LÄN</t>
        </is>
      </c>
      <c r="E246" t="inlineStr">
        <is>
          <t>ÅRE</t>
        </is>
      </c>
      <c r="G246" t="n">
        <v>1.2</v>
      </c>
      <c r="H246" t="n">
        <v>0</v>
      </c>
      <c r="I246" t="n">
        <v>0</v>
      </c>
      <c r="J246" t="n">
        <v>0</v>
      </c>
      <c r="K246" t="n">
        <v>0</v>
      </c>
      <c r="L246" t="n">
        <v>0</v>
      </c>
      <c r="M246" t="n">
        <v>0</v>
      </c>
      <c r="N246" t="n">
        <v>0</v>
      </c>
      <c r="O246" t="n">
        <v>0</v>
      </c>
      <c r="P246" t="n">
        <v>0</v>
      </c>
      <c r="Q246" t="n">
        <v>0</v>
      </c>
      <c r="R246" s="2" t="inlineStr"/>
    </row>
    <row r="247" ht="15" customHeight="1">
      <c r="A247" t="inlineStr">
        <is>
          <t>A 51277-2023</t>
        </is>
      </c>
      <c r="B247" s="1" t="n">
        <v>45219</v>
      </c>
      <c r="C247" s="1" t="n">
        <v>45917</v>
      </c>
      <c r="D247" t="inlineStr">
        <is>
          <t>JÄMTLANDS LÄN</t>
        </is>
      </c>
      <c r="E247" t="inlineStr">
        <is>
          <t>ÅRE</t>
        </is>
      </c>
      <c r="G247" t="n">
        <v>0.9</v>
      </c>
      <c r="H247" t="n">
        <v>0</v>
      </c>
      <c r="I247" t="n">
        <v>0</v>
      </c>
      <c r="J247" t="n">
        <v>0</v>
      </c>
      <c r="K247" t="n">
        <v>0</v>
      </c>
      <c r="L247" t="n">
        <v>0</v>
      </c>
      <c r="M247" t="n">
        <v>0</v>
      </c>
      <c r="N247" t="n">
        <v>0</v>
      </c>
      <c r="O247" t="n">
        <v>0</v>
      </c>
      <c r="P247" t="n">
        <v>0</v>
      </c>
      <c r="Q247" t="n">
        <v>0</v>
      </c>
      <c r="R247" s="2" t="inlineStr"/>
    </row>
    <row r="248" ht="15" customHeight="1">
      <c r="A248" t="inlineStr">
        <is>
          <t>A 51282-2023</t>
        </is>
      </c>
      <c r="B248" s="1" t="n">
        <v>45219</v>
      </c>
      <c r="C248" s="1" t="n">
        <v>45917</v>
      </c>
      <c r="D248" t="inlineStr">
        <is>
          <t>JÄMTLANDS LÄN</t>
        </is>
      </c>
      <c r="E248" t="inlineStr">
        <is>
          <t>ÅRE</t>
        </is>
      </c>
      <c r="G248" t="n">
        <v>2.3</v>
      </c>
      <c r="H248" t="n">
        <v>0</v>
      </c>
      <c r="I248" t="n">
        <v>0</v>
      </c>
      <c r="J248" t="n">
        <v>0</v>
      </c>
      <c r="K248" t="n">
        <v>0</v>
      </c>
      <c r="L248" t="n">
        <v>0</v>
      </c>
      <c r="M248" t="n">
        <v>0</v>
      </c>
      <c r="N248" t="n">
        <v>0</v>
      </c>
      <c r="O248" t="n">
        <v>0</v>
      </c>
      <c r="P248" t="n">
        <v>0</v>
      </c>
      <c r="Q248" t="n">
        <v>0</v>
      </c>
      <c r="R248" s="2" t="inlineStr"/>
    </row>
    <row r="249" ht="15" customHeight="1">
      <c r="A249" t="inlineStr">
        <is>
          <t>A 20804-2024</t>
        </is>
      </c>
      <c r="B249" s="1" t="n">
        <v>45439.30988425926</v>
      </c>
      <c r="C249" s="1" t="n">
        <v>45917</v>
      </c>
      <c r="D249" t="inlineStr">
        <is>
          <t>JÄMTLANDS LÄN</t>
        </is>
      </c>
      <c r="E249" t="inlineStr">
        <is>
          <t>ÅRE</t>
        </is>
      </c>
      <c r="G249" t="n">
        <v>6.4</v>
      </c>
      <c r="H249" t="n">
        <v>0</v>
      </c>
      <c r="I249" t="n">
        <v>0</v>
      </c>
      <c r="J249" t="n">
        <v>0</v>
      </c>
      <c r="K249" t="n">
        <v>0</v>
      </c>
      <c r="L249" t="n">
        <v>0</v>
      </c>
      <c r="M249" t="n">
        <v>0</v>
      </c>
      <c r="N249" t="n">
        <v>0</v>
      </c>
      <c r="O249" t="n">
        <v>0</v>
      </c>
      <c r="P249" t="n">
        <v>0</v>
      </c>
      <c r="Q249" t="n">
        <v>0</v>
      </c>
      <c r="R249" s="2" t="inlineStr"/>
    </row>
    <row r="250" ht="15" customHeight="1">
      <c r="A250" t="inlineStr">
        <is>
          <t>A 45834-2024</t>
        </is>
      </c>
      <c r="B250" s="1" t="n">
        <v>45579.91509259259</v>
      </c>
      <c r="C250" s="1" t="n">
        <v>45917</v>
      </c>
      <c r="D250" t="inlineStr">
        <is>
          <t>JÄMTLANDS LÄN</t>
        </is>
      </c>
      <c r="E250" t="inlineStr">
        <is>
          <t>ÅRE</t>
        </is>
      </c>
      <c r="G250" t="n">
        <v>3.9</v>
      </c>
      <c r="H250" t="n">
        <v>0</v>
      </c>
      <c r="I250" t="n">
        <v>0</v>
      </c>
      <c r="J250" t="n">
        <v>0</v>
      </c>
      <c r="K250" t="n">
        <v>0</v>
      </c>
      <c r="L250" t="n">
        <v>0</v>
      </c>
      <c r="M250" t="n">
        <v>0</v>
      </c>
      <c r="N250" t="n">
        <v>0</v>
      </c>
      <c r="O250" t="n">
        <v>0</v>
      </c>
      <c r="P250" t="n">
        <v>0</v>
      </c>
      <c r="Q250" t="n">
        <v>0</v>
      </c>
      <c r="R250" s="2" t="inlineStr"/>
    </row>
    <row r="251" ht="15" customHeight="1">
      <c r="A251" t="inlineStr">
        <is>
          <t>A 6232-2021</t>
        </is>
      </c>
      <c r="B251" s="1" t="n">
        <v>44231</v>
      </c>
      <c r="C251" s="1" t="n">
        <v>45917</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54385-2023</t>
        </is>
      </c>
      <c r="B252" s="1" t="n">
        <v>45233.35863425926</v>
      </c>
      <c r="C252" s="1" t="n">
        <v>45917</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40653-2022</t>
        </is>
      </c>
      <c r="B253" s="1" t="n">
        <v>44818</v>
      </c>
      <c r="C253" s="1" t="n">
        <v>45917</v>
      </c>
      <c r="D253" t="inlineStr">
        <is>
          <t>JÄMTLANDS LÄN</t>
        </is>
      </c>
      <c r="E253" t="inlineStr">
        <is>
          <t>ÅRE</t>
        </is>
      </c>
      <c r="G253" t="n">
        <v>1.4</v>
      </c>
      <c r="H253" t="n">
        <v>0</v>
      </c>
      <c r="I253" t="n">
        <v>0</v>
      </c>
      <c r="J253" t="n">
        <v>0</v>
      </c>
      <c r="K253" t="n">
        <v>0</v>
      </c>
      <c r="L253" t="n">
        <v>0</v>
      </c>
      <c r="M253" t="n">
        <v>0</v>
      </c>
      <c r="N253" t="n">
        <v>0</v>
      </c>
      <c r="O253" t="n">
        <v>0</v>
      </c>
      <c r="P253" t="n">
        <v>0</v>
      </c>
      <c r="Q253" t="n">
        <v>0</v>
      </c>
      <c r="R253" s="2" t="inlineStr"/>
    </row>
    <row r="254" ht="15" customHeight="1">
      <c r="A254" t="inlineStr">
        <is>
          <t>A 25275-2025</t>
        </is>
      </c>
      <c r="B254" s="1" t="n">
        <v>45800.55372685185</v>
      </c>
      <c r="C254" s="1" t="n">
        <v>45917</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36234-2023</t>
        </is>
      </c>
      <c r="B255" s="1" t="n">
        <v>45150</v>
      </c>
      <c r="C255" s="1" t="n">
        <v>45917</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57102-2024</t>
        </is>
      </c>
      <c r="B256" s="1" t="n">
        <v>45629.35856481481</v>
      </c>
      <c r="C256" s="1" t="n">
        <v>45917</v>
      </c>
      <c r="D256" t="inlineStr">
        <is>
          <t>JÄMTLANDS LÄN</t>
        </is>
      </c>
      <c r="E256" t="inlineStr">
        <is>
          <t>ÅRE</t>
        </is>
      </c>
      <c r="G256" t="n">
        <v>3.3</v>
      </c>
      <c r="H256" t="n">
        <v>0</v>
      </c>
      <c r="I256" t="n">
        <v>0</v>
      </c>
      <c r="J256" t="n">
        <v>0</v>
      </c>
      <c r="K256" t="n">
        <v>0</v>
      </c>
      <c r="L256" t="n">
        <v>0</v>
      </c>
      <c r="M256" t="n">
        <v>0</v>
      </c>
      <c r="N256" t="n">
        <v>0</v>
      </c>
      <c r="O256" t="n">
        <v>0</v>
      </c>
      <c r="P256" t="n">
        <v>0</v>
      </c>
      <c r="Q256" t="n">
        <v>0</v>
      </c>
      <c r="R256" s="2" t="inlineStr"/>
    </row>
    <row r="257" ht="15" customHeight="1">
      <c r="A257" t="inlineStr">
        <is>
          <t>A 56576-2022</t>
        </is>
      </c>
      <c r="B257" s="1" t="n">
        <v>44893</v>
      </c>
      <c r="C257" s="1" t="n">
        <v>45917</v>
      </c>
      <c r="D257" t="inlineStr">
        <is>
          <t>JÄMTLANDS LÄN</t>
        </is>
      </c>
      <c r="E257" t="inlineStr">
        <is>
          <t>ÅRE</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12944-2024</t>
        </is>
      </c>
      <c r="B258" s="1" t="n">
        <v>45385</v>
      </c>
      <c r="C258" s="1" t="n">
        <v>45917</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59352-2021</t>
        </is>
      </c>
      <c r="B259" s="1" t="n">
        <v>44490</v>
      </c>
      <c r="C259" s="1" t="n">
        <v>45917</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16681-2025</t>
        </is>
      </c>
      <c r="B260" s="1" t="n">
        <v>45754</v>
      </c>
      <c r="C260" s="1" t="n">
        <v>45917</v>
      </c>
      <c r="D260" t="inlineStr">
        <is>
          <t>JÄMTLANDS LÄN</t>
        </is>
      </c>
      <c r="E260" t="inlineStr">
        <is>
          <t>ÅRE</t>
        </is>
      </c>
      <c r="G260" t="n">
        <v>9.9</v>
      </c>
      <c r="H260" t="n">
        <v>0</v>
      </c>
      <c r="I260" t="n">
        <v>0</v>
      </c>
      <c r="J260" t="n">
        <v>0</v>
      </c>
      <c r="K260" t="n">
        <v>0</v>
      </c>
      <c r="L260" t="n">
        <v>0</v>
      </c>
      <c r="M260" t="n">
        <v>0</v>
      </c>
      <c r="N260" t="n">
        <v>0</v>
      </c>
      <c r="O260" t="n">
        <v>0</v>
      </c>
      <c r="P260" t="n">
        <v>0</v>
      </c>
      <c r="Q260" t="n">
        <v>0</v>
      </c>
      <c r="R260" s="2" t="inlineStr"/>
    </row>
    <row r="261" ht="15" customHeight="1">
      <c r="A261" t="inlineStr">
        <is>
          <t>A 8788-2025</t>
        </is>
      </c>
      <c r="B261" s="1" t="n">
        <v>45712</v>
      </c>
      <c r="C261" s="1" t="n">
        <v>45917</v>
      </c>
      <c r="D261" t="inlineStr">
        <is>
          <t>JÄMTLANDS LÄN</t>
        </is>
      </c>
      <c r="E261" t="inlineStr">
        <is>
          <t>ÅRE</t>
        </is>
      </c>
      <c r="G261" t="n">
        <v>2.7</v>
      </c>
      <c r="H261" t="n">
        <v>0</v>
      </c>
      <c r="I261" t="n">
        <v>0</v>
      </c>
      <c r="J261" t="n">
        <v>0</v>
      </c>
      <c r="K261" t="n">
        <v>0</v>
      </c>
      <c r="L261" t="n">
        <v>0</v>
      </c>
      <c r="M261" t="n">
        <v>0</v>
      </c>
      <c r="N261" t="n">
        <v>0</v>
      </c>
      <c r="O261" t="n">
        <v>0</v>
      </c>
      <c r="P261" t="n">
        <v>0</v>
      </c>
      <c r="Q261" t="n">
        <v>0</v>
      </c>
      <c r="R261" s="2" t="inlineStr"/>
    </row>
    <row r="262" ht="15" customHeight="1">
      <c r="A262" t="inlineStr">
        <is>
          <t>A 53014-2023</t>
        </is>
      </c>
      <c r="B262" s="1" t="n">
        <v>45226</v>
      </c>
      <c r="C262" s="1" t="n">
        <v>45917</v>
      </c>
      <c r="D262" t="inlineStr">
        <is>
          <t>JÄMTLANDS LÄN</t>
        </is>
      </c>
      <c r="E262" t="inlineStr">
        <is>
          <t>ÅRE</t>
        </is>
      </c>
      <c r="F262" t="inlineStr">
        <is>
          <t>Övriga Aktiebolag</t>
        </is>
      </c>
      <c r="G262" t="n">
        <v>7.5</v>
      </c>
      <c r="H262" t="n">
        <v>0</v>
      </c>
      <c r="I262" t="n">
        <v>0</v>
      </c>
      <c r="J262" t="n">
        <v>0</v>
      </c>
      <c r="K262" t="n">
        <v>0</v>
      </c>
      <c r="L262" t="n">
        <v>0</v>
      </c>
      <c r="M262" t="n">
        <v>0</v>
      </c>
      <c r="N262" t="n">
        <v>0</v>
      </c>
      <c r="O262" t="n">
        <v>0</v>
      </c>
      <c r="P262" t="n">
        <v>0</v>
      </c>
      <c r="Q262" t="n">
        <v>0</v>
      </c>
      <c r="R262" s="2" t="inlineStr"/>
    </row>
    <row r="263" ht="15" customHeight="1">
      <c r="A263" t="inlineStr">
        <is>
          <t>A 5651-2023</t>
        </is>
      </c>
      <c r="B263" s="1" t="n">
        <v>44958</v>
      </c>
      <c r="C263" s="1" t="n">
        <v>45917</v>
      </c>
      <c r="D263" t="inlineStr">
        <is>
          <t>JÄMTLANDS LÄN</t>
        </is>
      </c>
      <c r="E263" t="inlineStr">
        <is>
          <t>ÅRE</t>
        </is>
      </c>
      <c r="G263" t="n">
        <v>5.7</v>
      </c>
      <c r="H263" t="n">
        <v>0</v>
      </c>
      <c r="I263" t="n">
        <v>0</v>
      </c>
      <c r="J263" t="n">
        <v>0</v>
      </c>
      <c r="K263" t="n">
        <v>0</v>
      </c>
      <c r="L263" t="n">
        <v>0</v>
      </c>
      <c r="M263" t="n">
        <v>0</v>
      </c>
      <c r="N263" t="n">
        <v>0</v>
      </c>
      <c r="O263" t="n">
        <v>0</v>
      </c>
      <c r="P263" t="n">
        <v>0</v>
      </c>
      <c r="Q263" t="n">
        <v>0</v>
      </c>
      <c r="R263" s="2" t="inlineStr"/>
    </row>
    <row r="264" ht="15" customHeight="1">
      <c r="A264" t="inlineStr">
        <is>
          <t>A 1529-2025</t>
        </is>
      </c>
      <c r="B264" s="1" t="n">
        <v>45670</v>
      </c>
      <c r="C264" s="1" t="n">
        <v>45917</v>
      </c>
      <c r="D264" t="inlineStr">
        <is>
          <t>JÄMTLANDS LÄN</t>
        </is>
      </c>
      <c r="E264" t="inlineStr">
        <is>
          <t>ÅRE</t>
        </is>
      </c>
      <c r="G264" t="n">
        <v>13.3</v>
      </c>
      <c r="H264" t="n">
        <v>0</v>
      </c>
      <c r="I264" t="n">
        <v>0</v>
      </c>
      <c r="J264" t="n">
        <v>0</v>
      </c>
      <c r="K264" t="n">
        <v>0</v>
      </c>
      <c r="L264" t="n">
        <v>0</v>
      </c>
      <c r="M264" t="n">
        <v>0</v>
      </c>
      <c r="N264" t="n">
        <v>0</v>
      </c>
      <c r="O264" t="n">
        <v>0</v>
      </c>
      <c r="P264" t="n">
        <v>0</v>
      </c>
      <c r="Q264" t="n">
        <v>0</v>
      </c>
      <c r="R264" s="2" t="inlineStr"/>
    </row>
    <row r="265" ht="15" customHeight="1">
      <c r="A265" t="inlineStr">
        <is>
          <t>A 1541-2025</t>
        </is>
      </c>
      <c r="B265" s="1" t="n">
        <v>45670</v>
      </c>
      <c r="C265" s="1" t="n">
        <v>45917</v>
      </c>
      <c r="D265" t="inlineStr">
        <is>
          <t>JÄMTLANDS LÄN</t>
        </is>
      </c>
      <c r="E265" t="inlineStr">
        <is>
          <t>ÅRE</t>
        </is>
      </c>
      <c r="G265" t="n">
        <v>16.4</v>
      </c>
      <c r="H265" t="n">
        <v>0</v>
      </c>
      <c r="I265" t="n">
        <v>0</v>
      </c>
      <c r="J265" t="n">
        <v>0</v>
      </c>
      <c r="K265" t="n">
        <v>0</v>
      </c>
      <c r="L265" t="n">
        <v>0</v>
      </c>
      <c r="M265" t="n">
        <v>0</v>
      </c>
      <c r="N265" t="n">
        <v>0</v>
      </c>
      <c r="O265" t="n">
        <v>0</v>
      </c>
      <c r="P265" t="n">
        <v>0</v>
      </c>
      <c r="Q265" t="n">
        <v>0</v>
      </c>
      <c r="R265" s="2" t="inlineStr"/>
    </row>
    <row r="266" ht="15" customHeight="1">
      <c r="A266" t="inlineStr">
        <is>
          <t>A 15482-2024</t>
        </is>
      </c>
      <c r="B266" s="1" t="n">
        <v>45401.49361111111</v>
      </c>
      <c r="C266" s="1" t="n">
        <v>45917</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16667-2025</t>
        </is>
      </c>
      <c r="B267" s="1" t="n">
        <v>45754</v>
      </c>
      <c r="C267" s="1" t="n">
        <v>45917</v>
      </c>
      <c r="D267" t="inlineStr">
        <is>
          <t>JÄMTLANDS LÄN</t>
        </is>
      </c>
      <c r="E267" t="inlineStr">
        <is>
          <t>ÅRE</t>
        </is>
      </c>
      <c r="G267" t="n">
        <v>9.5</v>
      </c>
      <c r="H267" t="n">
        <v>0</v>
      </c>
      <c r="I267" t="n">
        <v>0</v>
      </c>
      <c r="J267" t="n">
        <v>0</v>
      </c>
      <c r="K267" t="n">
        <v>0</v>
      </c>
      <c r="L267" t="n">
        <v>0</v>
      </c>
      <c r="M267" t="n">
        <v>0</v>
      </c>
      <c r="N267" t="n">
        <v>0</v>
      </c>
      <c r="O267" t="n">
        <v>0</v>
      </c>
      <c r="P267" t="n">
        <v>0</v>
      </c>
      <c r="Q267" t="n">
        <v>0</v>
      </c>
      <c r="R267" s="2" t="inlineStr"/>
    </row>
    <row r="268" ht="15" customHeight="1">
      <c r="A268" t="inlineStr">
        <is>
          <t>A 59916-2023</t>
        </is>
      </c>
      <c r="B268" s="1" t="n">
        <v>45257.64270833333</v>
      </c>
      <c r="C268" s="1" t="n">
        <v>45917</v>
      </c>
      <c r="D268" t="inlineStr">
        <is>
          <t>JÄMTLANDS LÄN</t>
        </is>
      </c>
      <c r="E268" t="inlineStr">
        <is>
          <t>ÅRE</t>
        </is>
      </c>
      <c r="G268" t="n">
        <v>0.7</v>
      </c>
      <c r="H268" t="n">
        <v>0</v>
      </c>
      <c r="I268" t="n">
        <v>0</v>
      </c>
      <c r="J268" t="n">
        <v>0</v>
      </c>
      <c r="K268" t="n">
        <v>0</v>
      </c>
      <c r="L268" t="n">
        <v>0</v>
      </c>
      <c r="M268" t="n">
        <v>0</v>
      </c>
      <c r="N268" t="n">
        <v>0</v>
      </c>
      <c r="O268" t="n">
        <v>0</v>
      </c>
      <c r="P268" t="n">
        <v>0</v>
      </c>
      <c r="Q268" t="n">
        <v>0</v>
      </c>
      <c r="R268" s="2" t="inlineStr"/>
    </row>
    <row r="269" ht="15" customHeight="1">
      <c r="A269" t="inlineStr">
        <is>
          <t>A 47664-2022</t>
        </is>
      </c>
      <c r="B269" s="1" t="n">
        <v>44854.46388888889</v>
      </c>
      <c r="C269" s="1" t="n">
        <v>45917</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20170-2025</t>
        </is>
      </c>
      <c r="B270" s="1" t="n">
        <v>45772.57789351852</v>
      </c>
      <c r="C270" s="1" t="n">
        <v>45917</v>
      </c>
      <c r="D270" t="inlineStr">
        <is>
          <t>JÄMTLANDS LÄN</t>
        </is>
      </c>
      <c r="E270" t="inlineStr">
        <is>
          <t>ÅRE</t>
        </is>
      </c>
      <c r="G270" t="n">
        <v>0.1</v>
      </c>
      <c r="H270" t="n">
        <v>0</v>
      </c>
      <c r="I270" t="n">
        <v>0</v>
      </c>
      <c r="J270" t="n">
        <v>0</v>
      </c>
      <c r="K270" t="n">
        <v>0</v>
      </c>
      <c r="L270" t="n">
        <v>0</v>
      </c>
      <c r="M270" t="n">
        <v>0</v>
      </c>
      <c r="N270" t="n">
        <v>0</v>
      </c>
      <c r="O270" t="n">
        <v>0</v>
      </c>
      <c r="P270" t="n">
        <v>0</v>
      </c>
      <c r="Q270" t="n">
        <v>0</v>
      </c>
      <c r="R270" s="2" t="inlineStr"/>
    </row>
    <row r="271" ht="15" customHeight="1">
      <c r="A271" t="inlineStr">
        <is>
          <t>A 57448-2023</t>
        </is>
      </c>
      <c r="B271" s="1" t="n">
        <v>45246.34405092592</v>
      </c>
      <c r="C271" s="1" t="n">
        <v>45917</v>
      </c>
      <c r="D271" t="inlineStr">
        <is>
          <t>JÄMTLANDS LÄN</t>
        </is>
      </c>
      <c r="E271" t="inlineStr">
        <is>
          <t>ÅRE</t>
        </is>
      </c>
      <c r="G271" t="n">
        <v>11.9</v>
      </c>
      <c r="H271" t="n">
        <v>0</v>
      </c>
      <c r="I271" t="n">
        <v>0</v>
      </c>
      <c r="J271" t="n">
        <v>0</v>
      </c>
      <c r="K271" t="n">
        <v>0</v>
      </c>
      <c r="L271" t="n">
        <v>0</v>
      </c>
      <c r="M271" t="n">
        <v>0</v>
      </c>
      <c r="N271" t="n">
        <v>0</v>
      </c>
      <c r="O271" t="n">
        <v>0</v>
      </c>
      <c r="P271" t="n">
        <v>0</v>
      </c>
      <c r="Q271" t="n">
        <v>0</v>
      </c>
      <c r="R271" s="2" t="inlineStr"/>
    </row>
    <row r="272" ht="15" customHeight="1">
      <c r="A272" t="inlineStr">
        <is>
          <t>A 61331-2021</t>
        </is>
      </c>
      <c r="B272" s="1" t="n">
        <v>44498</v>
      </c>
      <c r="C272" s="1" t="n">
        <v>45917</v>
      </c>
      <c r="D272" t="inlineStr">
        <is>
          <t>JÄMTLANDS LÄN</t>
        </is>
      </c>
      <c r="E272" t="inlineStr">
        <is>
          <t>ÅRE</t>
        </is>
      </c>
      <c r="G272" t="n">
        <v>8.4</v>
      </c>
      <c r="H272" t="n">
        <v>0</v>
      </c>
      <c r="I272" t="n">
        <v>0</v>
      </c>
      <c r="J272" t="n">
        <v>0</v>
      </c>
      <c r="K272" t="n">
        <v>0</v>
      </c>
      <c r="L272" t="n">
        <v>0</v>
      </c>
      <c r="M272" t="n">
        <v>0</v>
      </c>
      <c r="N272" t="n">
        <v>0</v>
      </c>
      <c r="O272" t="n">
        <v>0</v>
      </c>
      <c r="P272" t="n">
        <v>0</v>
      </c>
      <c r="Q272" t="n">
        <v>0</v>
      </c>
      <c r="R272" s="2" t="inlineStr"/>
    </row>
    <row r="273" ht="15" customHeight="1">
      <c r="A273" t="inlineStr">
        <is>
          <t>A 34357-2021</t>
        </is>
      </c>
      <c r="B273" s="1" t="n">
        <v>44379</v>
      </c>
      <c r="C273" s="1" t="n">
        <v>45917</v>
      </c>
      <c r="D273" t="inlineStr">
        <is>
          <t>JÄMTLANDS LÄN</t>
        </is>
      </c>
      <c r="E273" t="inlineStr">
        <is>
          <t>ÅRE</t>
        </is>
      </c>
      <c r="G273" t="n">
        <v>7.1</v>
      </c>
      <c r="H273" t="n">
        <v>0</v>
      </c>
      <c r="I273" t="n">
        <v>0</v>
      </c>
      <c r="J273" t="n">
        <v>0</v>
      </c>
      <c r="K273" t="n">
        <v>0</v>
      </c>
      <c r="L273" t="n">
        <v>0</v>
      </c>
      <c r="M273" t="n">
        <v>0</v>
      </c>
      <c r="N273" t="n">
        <v>0</v>
      </c>
      <c r="O273" t="n">
        <v>0</v>
      </c>
      <c r="P273" t="n">
        <v>0</v>
      </c>
      <c r="Q273" t="n">
        <v>0</v>
      </c>
      <c r="R273" s="2" t="inlineStr"/>
    </row>
    <row r="274" ht="15" customHeight="1">
      <c r="A274" t="inlineStr">
        <is>
          <t>A 49748-2020</t>
        </is>
      </c>
      <c r="B274" s="1" t="n">
        <v>44106</v>
      </c>
      <c r="C274" s="1" t="n">
        <v>45917</v>
      </c>
      <c r="D274" t="inlineStr">
        <is>
          <t>JÄMTLANDS LÄN</t>
        </is>
      </c>
      <c r="E274" t="inlineStr">
        <is>
          <t>ÅRE</t>
        </is>
      </c>
      <c r="G274" t="n">
        <v>13.4</v>
      </c>
      <c r="H274" t="n">
        <v>0</v>
      </c>
      <c r="I274" t="n">
        <v>0</v>
      </c>
      <c r="J274" t="n">
        <v>0</v>
      </c>
      <c r="K274" t="n">
        <v>0</v>
      </c>
      <c r="L274" t="n">
        <v>0</v>
      </c>
      <c r="M274" t="n">
        <v>0</v>
      </c>
      <c r="N274" t="n">
        <v>0</v>
      </c>
      <c r="O274" t="n">
        <v>0</v>
      </c>
      <c r="P274" t="n">
        <v>0</v>
      </c>
      <c r="Q274" t="n">
        <v>0</v>
      </c>
      <c r="R274" s="2" t="inlineStr"/>
    </row>
    <row r="275" ht="15" customHeight="1">
      <c r="A275" t="inlineStr">
        <is>
          <t>A 69170-2021</t>
        </is>
      </c>
      <c r="B275" s="1" t="n">
        <v>44529</v>
      </c>
      <c r="C275" s="1" t="n">
        <v>45917</v>
      </c>
      <c r="D275" t="inlineStr">
        <is>
          <t>JÄMTLANDS LÄN</t>
        </is>
      </c>
      <c r="E275" t="inlineStr">
        <is>
          <t>ÅRE</t>
        </is>
      </c>
      <c r="G275" t="n">
        <v>114.4</v>
      </c>
      <c r="H275" t="n">
        <v>0</v>
      </c>
      <c r="I275" t="n">
        <v>0</v>
      </c>
      <c r="J275" t="n">
        <v>0</v>
      </c>
      <c r="K275" t="n">
        <v>0</v>
      </c>
      <c r="L275" t="n">
        <v>0</v>
      </c>
      <c r="M275" t="n">
        <v>0</v>
      </c>
      <c r="N275" t="n">
        <v>0</v>
      </c>
      <c r="O275" t="n">
        <v>0</v>
      </c>
      <c r="P275" t="n">
        <v>0</v>
      </c>
      <c r="Q275" t="n">
        <v>0</v>
      </c>
      <c r="R275" s="2" t="inlineStr"/>
    </row>
    <row r="276" ht="15" customHeight="1">
      <c r="A276" t="inlineStr">
        <is>
          <t>A 38456-2021</t>
        </is>
      </c>
      <c r="B276" s="1" t="n">
        <v>44406</v>
      </c>
      <c r="C276" s="1" t="n">
        <v>45917</v>
      </c>
      <c r="D276" t="inlineStr">
        <is>
          <t>JÄMTLANDS LÄN</t>
        </is>
      </c>
      <c r="E276" t="inlineStr">
        <is>
          <t>ÅRE</t>
        </is>
      </c>
      <c r="G276" t="n">
        <v>19.8</v>
      </c>
      <c r="H276" t="n">
        <v>0</v>
      </c>
      <c r="I276" t="n">
        <v>0</v>
      </c>
      <c r="J276" t="n">
        <v>0</v>
      </c>
      <c r="K276" t="n">
        <v>0</v>
      </c>
      <c r="L276" t="n">
        <v>0</v>
      </c>
      <c r="M276" t="n">
        <v>0</v>
      </c>
      <c r="N276" t="n">
        <v>0</v>
      </c>
      <c r="O276" t="n">
        <v>0</v>
      </c>
      <c r="P276" t="n">
        <v>0</v>
      </c>
      <c r="Q276" t="n">
        <v>0</v>
      </c>
      <c r="R276" s="2" t="inlineStr"/>
    </row>
    <row r="277" ht="15" customHeight="1">
      <c r="A277" t="inlineStr">
        <is>
          <t>A 58232-2021</t>
        </is>
      </c>
      <c r="B277" s="1" t="n">
        <v>44487</v>
      </c>
      <c r="C277" s="1" t="n">
        <v>45917</v>
      </c>
      <c r="D277" t="inlineStr">
        <is>
          <t>JÄMTLANDS LÄN</t>
        </is>
      </c>
      <c r="E277" t="inlineStr">
        <is>
          <t>ÅRE</t>
        </is>
      </c>
      <c r="G277" t="n">
        <v>43.7</v>
      </c>
      <c r="H277" t="n">
        <v>0</v>
      </c>
      <c r="I277" t="n">
        <v>0</v>
      </c>
      <c r="J277" t="n">
        <v>0</v>
      </c>
      <c r="K277" t="n">
        <v>0</v>
      </c>
      <c r="L277" t="n">
        <v>0</v>
      </c>
      <c r="M277" t="n">
        <v>0</v>
      </c>
      <c r="N277" t="n">
        <v>0</v>
      </c>
      <c r="O277" t="n">
        <v>0</v>
      </c>
      <c r="P277" t="n">
        <v>0</v>
      </c>
      <c r="Q277" t="n">
        <v>0</v>
      </c>
      <c r="R277" s="2" t="inlineStr"/>
    </row>
    <row r="278" ht="15" customHeight="1">
      <c r="A278" t="inlineStr">
        <is>
          <t>A 40339-2021</t>
        </is>
      </c>
      <c r="B278" s="1" t="n">
        <v>44419</v>
      </c>
      <c r="C278" s="1" t="n">
        <v>45917</v>
      </c>
      <c r="D278" t="inlineStr">
        <is>
          <t>JÄMTLANDS LÄN</t>
        </is>
      </c>
      <c r="E278" t="inlineStr">
        <is>
          <t>ÅRE</t>
        </is>
      </c>
      <c r="G278" t="n">
        <v>6.4</v>
      </c>
      <c r="H278" t="n">
        <v>0</v>
      </c>
      <c r="I278" t="n">
        <v>0</v>
      </c>
      <c r="J278" t="n">
        <v>0</v>
      </c>
      <c r="K278" t="n">
        <v>0</v>
      </c>
      <c r="L278" t="n">
        <v>0</v>
      </c>
      <c r="M278" t="n">
        <v>0</v>
      </c>
      <c r="N278" t="n">
        <v>0</v>
      </c>
      <c r="O278" t="n">
        <v>0</v>
      </c>
      <c r="P278" t="n">
        <v>0</v>
      </c>
      <c r="Q278" t="n">
        <v>0</v>
      </c>
      <c r="R278" s="2" t="inlineStr"/>
    </row>
    <row r="279" ht="15" customHeight="1">
      <c r="A279" t="inlineStr">
        <is>
          <t>A 42136-2022</t>
        </is>
      </c>
      <c r="B279" s="1" t="n">
        <v>44830</v>
      </c>
      <c r="C279" s="1" t="n">
        <v>45917</v>
      </c>
      <c r="D279" t="inlineStr">
        <is>
          <t>JÄMTLANDS LÄN</t>
        </is>
      </c>
      <c r="E279" t="inlineStr">
        <is>
          <t>ÅRE</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1159-2023</t>
        </is>
      </c>
      <c r="B280" s="1" t="n">
        <v>44935.66199074074</v>
      </c>
      <c r="C280" s="1" t="n">
        <v>45917</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60016-2020</t>
        </is>
      </c>
      <c r="B281" s="1" t="n">
        <v>44151</v>
      </c>
      <c r="C281" s="1" t="n">
        <v>45917</v>
      </c>
      <c r="D281" t="inlineStr">
        <is>
          <t>JÄMTLANDS LÄN</t>
        </is>
      </c>
      <c r="E281" t="inlineStr">
        <is>
          <t>ÅRE</t>
        </is>
      </c>
      <c r="G281" t="n">
        <v>14.7</v>
      </c>
      <c r="H281" t="n">
        <v>0</v>
      </c>
      <c r="I281" t="n">
        <v>0</v>
      </c>
      <c r="J281" t="n">
        <v>0</v>
      </c>
      <c r="K281" t="n">
        <v>0</v>
      </c>
      <c r="L281" t="n">
        <v>0</v>
      </c>
      <c r="M281" t="n">
        <v>0</v>
      </c>
      <c r="N281" t="n">
        <v>0</v>
      </c>
      <c r="O281" t="n">
        <v>0</v>
      </c>
      <c r="P281" t="n">
        <v>0</v>
      </c>
      <c r="Q281" t="n">
        <v>0</v>
      </c>
      <c r="R281" s="2" t="inlineStr"/>
    </row>
    <row r="282" ht="15" customHeight="1">
      <c r="A282" t="inlineStr">
        <is>
          <t>A 59968-2023</t>
        </is>
      </c>
      <c r="B282" s="1" t="n">
        <v>45254</v>
      </c>
      <c r="C282" s="1" t="n">
        <v>45917</v>
      </c>
      <c r="D282" t="inlineStr">
        <is>
          <t>JÄMTLANDS LÄN</t>
        </is>
      </c>
      <c r="E282" t="inlineStr">
        <is>
          <t>ÅRE</t>
        </is>
      </c>
      <c r="G282" t="n">
        <v>1.7</v>
      </c>
      <c r="H282" t="n">
        <v>0</v>
      </c>
      <c r="I282" t="n">
        <v>0</v>
      </c>
      <c r="J282" t="n">
        <v>0</v>
      </c>
      <c r="K282" t="n">
        <v>0</v>
      </c>
      <c r="L282" t="n">
        <v>0</v>
      </c>
      <c r="M282" t="n">
        <v>0</v>
      </c>
      <c r="N282" t="n">
        <v>0</v>
      </c>
      <c r="O282" t="n">
        <v>0</v>
      </c>
      <c r="P282" t="n">
        <v>0</v>
      </c>
      <c r="Q282" t="n">
        <v>0</v>
      </c>
      <c r="R282" s="2" t="inlineStr"/>
    </row>
    <row r="283" ht="15" customHeight="1">
      <c r="A283" t="inlineStr">
        <is>
          <t>A 33230-2024</t>
        </is>
      </c>
      <c r="B283" s="1" t="n">
        <v>45518.57418981481</v>
      </c>
      <c r="C283" s="1" t="n">
        <v>45917</v>
      </c>
      <c r="D283" t="inlineStr">
        <is>
          <t>JÄMTLANDS LÄN</t>
        </is>
      </c>
      <c r="E283" t="inlineStr">
        <is>
          <t>ÅRE</t>
        </is>
      </c>
      <c r="G283" t="n">
        <v>2.4</v>
      </c>
      <c r="H283" t="n">
        <v>0</v>
      </c>
      <c r="I283" t="n">
        <v>0</v>
      </c>
      <c r="J283" t="n">
        <v>0</v>
      </c>
      <c r="K283" t="n">
        <v>0</v>
      </c>
      <c r="L283" t="n">
        <v>0</v>
      </c>
      <c r="M283" t="n">
        <v>0</v>
      </c>
      <c r="N283" t="n">
        <v>0</v>
      </c>
      <c r="O283" t="n">
        <v>0</v>
      </c>
      <c r="P283" t="n">
        <v>0</v>
      </c>
      <c r="Q283" t="n">
        <v>0</v>
      </c>
      <c r="R283" s="2" t="inlineStr"/>
    </row>
    <row r="284" ht="15" customHeight="1">
      <c r="A284" t="inlineStr">
        <is>
          <t>A 43446-2023</t>
        </is>
      </c>
      <c r="B284" s="1" t="n">
        <v>45184.35760416667</v>
      </c>
      <c r="C284" s="1" t="n">
        <v>45917</v>
      </c>
      <c r="D284" t="inlineStr">
        <is>
          <t>JÄMTLANDS LÄN</t>
        </is>
      </c>
      <c r="E284" t="inlineStr">
        <is>
          <t>ÅRE</t>
        </is>
      </c>
      <c r="F284" t="inlineStr">
        <is>
          <t>Övriga Aktiebolag</t>
        </is>
      </c>
      <c r="G284" t="n">
        <v>6.4</v>
      </c>
      <c r="H284" t="n">
        <v>0</v>
      </c>
      <c r="I284" t="n">
        <v>0</v>
      </c>
      <c r="J284" t="n">
        <v>0</v>
      </c>
      <c r="K284" t="n">
        <v>0</v>
      </c>
      <c r="L284" t="n">
        <v>0</v>
      </c>
      <c r="M284" t="n">
        <v>0</v>
      </c>
      <c r="N284" t="n">
        <v>0</v>
      </c>
      <c r="O284" t="n">
        <v>0</v>
      </c>
      <c r="P284" t="n">
        <v>0</v>
      </c>
      <c r="Q284" t="n">
        <v>0</v>
      </c>
      <c r="R284" s="2" t="inlineStr"/>
    </row>
    <row r="285" ht="15" customHeight="1">
      <c r="A285" t="inlineStr">
        <is>
          <t>A 43449-2023</t>
        </is>
      </c>
      <c r="B285" s="1" t="n">
        <v>45184.36697916667</v>
      </c>
      <c r="C285" s="1" t="n">
        <v>45917</v>
      </c>
      <c r="D285" t="inlineStr">
        <is>
          <t>JÄMTLANDS LÄN</t>
        </is>
      </c>
      <c r="E285" t="inlineStr">
        <is>
          <t>ÅRE</t>
        </is>
      </c>
      <c r="F285" t="inlineStr">
        <is>
          <t>Övriga Aktiebolag</t>
        </is>
      </c>
      <c r="G285" t="n">
        <v>3.1</v>
      </c>
      <c r="H285" t="n">
        <v>0</v>
      </c>
      <c r="I285" t="n">
        <v>0</v>
      </c>
      <c r="J285" t="n">
        <v>0</v>
      </c>
      <c r="K285" t="n">
        <v>0</v>
      </c>
      <c r="L285" t="n">
        <v>0</v>
      </c>
      <c r="M285" t="n">
        <v>0</v>
      </c>
      <c r="N285" t="n">
        <v>0</v>
      </c>
      <c r="O285" t="n">
        <v>0</v>
      </c>
      <c r="P285" t="n">
        <v>0</v>
      </c>
      <c r="Q285" t="n">
        <v>0</v>
      </c>
      <c r="R285" s="2" t="inlineStr"/>
    </row>
    <row r="286" ht="15" customHeight="1">
      <c r="A286" t="inlineStr">
        <is>
          <t>A 42244-2024</t>
        </is>
      </c>
      <c r="B286" s="1" t="n">
        <v>45562.56747685185</v>
      </c>
      <c r="C286" s="1" t="n">
        <v>45917</v>
      </c>
      <c r="D286" t="inlineStr">
        <is>
          <t>JÄMTLANDS LÄN</t>
        </is>
      </c>
      <c r="E286" t="inlineStr">
        <is>
          <t>ÅRE</t>
        </is>
      </c>
      <c r="F286" t="inlineStr">
        <is>
          <t>Övriga Aktiebolag</t>
        </is>
      </c>
      <c r="G286" t="n">
        <v>6</v>
      </c>
      <c r="H286" t="n">
        <v>0</v>
      </c>
      <c r="I286" t="n">
        <v>0</v>
      </c>
      <c r="J286" t="n">
        <v>0</v>
      </c>
      <c r="K286" t="n">
        <v>0</v>
      </c>
      <c r="L286" t="n">
        <v>0</v>
      </c>
      <c r="M286" t="n">
        <v>0</v>
      </c>
      <c r="N286" t="n">
        <v>0</v>
      </c>
      <c r="O286" t="n">
        <v>0</v>
      </c>
      <c r="P286" t="n">
        <v>0</v>
      </c>
      <c r="Q286" t="n">
        <v>0</v>
      </c>
      <c r="R286" s="2" t="inlineStr"/>
    </row>
    <row r="287" ht="15" customHeight="1">
      <c r="A287" t="inlineStr">
        <is>
          <t>A 51444-2024</t>
        </is>
      </c>
      <c r="B287" s="1" t="n">
        <v>45604.48304398148</v>
      </c>
      <c r="C287" s="1" t="n">
        <v>45917</v>
      </c>
      <c r="D287" t="inlineStr">
        <is>
          <t>JÄMTLANDS LÄN</t>
        </is>
      </c>
      <c r="E287" t="inlineStr">
        <is>
          <t>ÅRE</t>
        </is>
      </c>
      <c r="G287" t="n">
        <v>2.2</v>
      </c>
      <c r="H287" t="n">
        <v>0</v>
      </c>
      <c r="I287" t="n">
        <v>0</v>
      </c>
      <c r="J287" t="n">
        <v>0</v>
      </c>
      <c r="K287" t="n">
        <v>0</v>
      </c>
      <c r="L287" t="n">
        <v>0</v>
      </c>
      <c r="M287" t="n">
        <v>0</v>
      </c>
      <c r="N287" t="n">
        <v>0</v>
      </c>
      <c r="O287" t="n">
        <v>0</v>
      </c>
      <c r="P287" t="n">
        <v>0</v>
      </c>
      <c r="Q287" t="n">
        <v>0</v>
      </c>
      <c r="R287" s="2" t="inlineStr"/>
    </row>
    <row r="288" ht="15" customHeight="1">
      <c r="A288" t="inlineStr">
        <is>
          <t>A 58508-2023</t>
        </is>
      </c>
      <c r="B288" s="1" t="n">
        <v>45246</v>
      </c>
      <c r="C288" s="1" t="n">
        <v>45917</v>
      </c>
      <c r="D288" t="inlineStr">
        <is>
          <t>JÄMTLANDS LÄN</t>
        </is>
      </c>
      <c r="E288" t="inlineStr">
        <is>
          <t>ÅRE</t>
        </is>
      </c>
      <c r="G288" t="n">
        <v>21.8</v>
      </c>
      <c r="H288" t="n">
        <v>0</v>
      </c>
      <c r="I288" t="n">
        <v>0</v>
      </c>
      <c r="J288" t="n">
        <v>0</v>
      </c>
      <c r="K288" t="n">
        <v>0</v>
      </c>
      <c r="L288" t="n">
        <v>0</v>
      </c>
      <c r="M288" t="n">
        <v>0</v>
      </c>
      <c r="N288" t="n">
        <v>0</v>
      </c>
      <c r="O288" t="n">
        <v>0</v>
      </c>
      <c r="P288" t="n">
        <v>0</v>
      </c>
      <c r="Q288" t="n">
        <v>0</v>
      </c>
      <c r="R288" s="2" t="inlineStr"/>
    </row>
    <row r="289" ht="15" customHeight="1">
      <c r="A289" t="inlineStr">
        <is>
          <t>A 278-2023</t>
        </is>
      </c>
      <c r="B289" s="1" t="n">
        <v>44928</v>
      </c>
      <c r="C289" s="1" t="n">
        <v>45917</v>
      </c>
      <c r="D289" t="inlineStr">
        <is>
          <t>JÄMTLANDS LÄN</t>
        </is>
      </c>
      <c r="E289" t="inlineStr">
        <is>
          <t>ÅRE</t>
        </is>
      </c>
      <c r="G289" t="n">
        <v>2.4</v>
      </c>
      <c r="H289" t="n">
        <v>0</v>
      </c>
      <c r="I289" t="n">
        <v>0</v>
      </c>
      <c r="J289" t="n">
        <v>0</v>
      </c>
      <c r="K289" t="n">
        <v>0</v>
      </c>
      <c r="L289" t="n">
        <v>0</v>
      </c>
      <c r="M289" t="n">
        <v>0</v>
      </c>
      <c r="N289" t="n">
        <v>0</v>
      </c>
      <c r="O289" t="n">
        <v>0</v>
      </c>
      <c r="P289" t="n">
        <v>0</v>
      </c>
      <c r="Q289" t="n">
        <v>0</v>
      </c>
      <c r="R289" s="2" t="inlineStr"/>
    </row>
    <row r="290" ht="15" customHeight="1">
      <c r="A290" t="inlineStr">
        <is>
          <t>A 6232-2021</t>
        </is>
      </c>
      <c r="B290" s="1" t="n">
        <v>44231</v>
      </c>
      <c r="C290" s="1" t="n">
        <v>45917</v>
      </c>
      <c r="D290" t="inlineStr">
        <is>
          <t>JÄMTLANDS LÄN</t>
        </is>
      </c>
      <c r="E290" t="inlineStr">
        <is>
          <t>ÅRE</t>
        </is>
      </c>
      <c r="G290" t="n">
        <v>4.8</v>
      </c>
      <c r="H290" t="n">
        <v>0</v>
      </c>
      <c r="I290" t="n">
        <v>0</v>
      </c>
      <c r="J290" t="n">
        <v>0</v>
      </c>
      <c r="K290" t="n">
        <v>0</v>
      </c>
      <c r="L290" t="n">
        <v>0</v>
      </c>
      <c r="M290" t="n">
        <v>0</v>
      </c>
      <c r="N290" t="n">
        <v>0</v>
      </c>
      <c r="O290" t="n">
        <v>0</v>
      </c>
      <c r="P290" t="n">
        <v>0</v>
      </c>
      <c r="Q290" t="n">
        <v>0</v>
      </c>
      <c r="R290" s="2" t="inlineStr"/>
    </row>
    <row r="291" ht="15" customHeight="1">
      <c r="A291" t="inlineStr">
        <is>
          <t>A 56352-2020</t>
        </is>
      </c>
      <c r="B291" s="1" t="n">
        <v>44135</v>
      </c>
      <c r="C291" s="1" t="n">
        <v>45917</v>
      </c>
      <c r="D291" t="inlineStr">
        <is>
          <t>JÄMTLANDS LÄN</t>
        </is>
      </c>
      <c r="E291" t="inlineStr">
        <is>
          <t>ÅRE</t>
        </is>
      </c>
      <c r="G291" t="n">
        <v>95.09999999999999</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45917</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14283-2025</t>
        </is>
      </c>
      <c r="B293" s="1" t="n">
        <v>45740.65851851852</v>
      </c>
      <c r="C293" s="1" t="n">
        <v>45917</v>
      </c>
      <c r="D293" t="inlineStr">
        <is>
          <t>JÄMTLANDS LÄN</t>
        </is>
      </c>
      <c r="E293" t="inlineStr">
        <is>
          <t>ÅRE</t>
        </is>
      </c>
      <c r="G293" t="n">
        <v>4.6</v>
      </c>
      <c r="H293" t="n">
        <v>0</v>
      </c>
      <c r="I293" t="n">
        <v>0</v>
      </c>
      <c r="J293" t="n">
        <v>0</v>
      </c>
      <c r="K293" t="n">
        <v>0</v>
      </c>
      <c r="L293" t="n">
        <v>0</v>
      </c>
      <c r="M293" t="n">
        <v>0</v>
      </c>
      <c r="N293" t="n">
        <v>0</v>
      </c>
      <c r="O293" t="n">
        <v>0</v>
      </c>
      <c r="P293" t="n">
        <v>0</v>
      </c>
      <c r="Q293" t="n">
        <v>0</v>
      </c>
      <c r="R293" s="2" t="inlineStr"/>
    </row>
    <row r="294" ht="15" customHeight="1">
      <c r="A294" t="inlineStr">
        <is>
          <t>A 12292-2023</t>
        </is>
      </c>
      <c r="B294" s="1" t="n">
        <v>44998</v>
      </c>
      <c r="C294" s="1" t="n">
        <v>45917</v>
      </c>
      <c r="D294" t="inlineStr">
        <is>
          <t>JÄMTLANDS LÄN</t>
        </is>
      </c>
      <c r="E294" t="inlineStr">
        <is>
          <t>ÅRE</t>
        </is>
      </c>
      <c r="G294" t="n">
        <v>3.5</v>
      </c>
      <c r="H294" t="n">
        <v>0</v>
      </c>
      <c r="I294" t="n">
        <v>0</v>
      </c>
      <c r="J294" t="n">
        <v>0</v>
      </c>
      <c r="K294" t="n">
        <v>0</v>
      </c>
      <c r="L294" t="n">
        <v>0</v>
      </c>
      <c r="M294" t="n">
        <v>0</v>
      </c>
      <c r="N294" t="n">
        <v>0</v>
      </c>
      <c r="O294" t="n">
        <v>0</v>
      </c>
      <c r="P294" t="n">
        <v>0</v>
      </c>
      <c r="Q294" t="n">
        <v>0</v>
      </c>
      <c r="R294" s="2" t="inlineStr"/>
    </row>
    <row r="295" ht="15" customHeight="1">
      <c r="A295" t="inlineStr">
        <is>
          <t>A 12294-2023</t>
        </is>
      </c>
      <c r="B295" s="1" t="n">
        <v>44998.75266203703</v>
      </c>
      <c r="C295" s="1" t="n">
        <v>45917</v>
      </c>
      <c r="D295" t="inlineStr">
        <is>
          <t>JÄMTLANDS LÄN</t>
        </is>
      </c>
      <c r="E295" t="inlineStr">
        <is>
          <t>ÅRE</t>
        </is>
      </c>
      <c r="G295" t="n">
        <v>1.4</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45917</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25379-2024</t>
        </is>
      </c>
      <c r="B297" s="1" t="n">
        <v>45462</v>
      </c>
      <c r="C297" s="1" t="n">
        <v>45917</v>
      </c>
      <c r="D297" t="inlineStr">
        <is>
          <t>JÄMTLANDS LÄN</t>
        </is>
      </c>
      <c r="E297" t="inlineStr">
        <is>
          <t>ÅRE</t>
        </is>
      </c>
      <c r="G297" t="n">
        <v>4.5</v>
      </c>
      <c r="H297" t="n">
        <v>0</v>
      </c>
      <c r="I297" t="n">
        <v>0</v>
      </c>
      <c r="J297" t="n">
        <v>0</v>
      </c>
      <c r="K297" t="n">
        <v>0</v>
      </c>
      <c r="L297" t="n">
        <v>0</v>
      </c>
      <c r="M297" t="n">
        <v>0</v>
      </c>
      <c r="N297" t="n">
        <v>0</v>
      </c>
      <c r="O297" t="n">
        <v>0</v>
      </c>
      <c r="P297" t="n">
        <v>0</v>
      </c>
      <c r="Q297" t="n">
        <v>0</v>
      </c>
      <c r="R297" s="2" t="inlineStr"/>
    </row>
    <row r="298" ht="15" customHeight="1">
      <c r="A298" t="inlineStr">
        <is>
          <t>A 43324-2022</t>
        </is>
      </c>
      <c r="B298" s="1" t="n">
        <v>44834</v>
      </c>
      <c r="C298" s="1" t="n">
        <v>45917</v>
      </c>
      <c r="D298" t="inlineStr">
        <is>
          <t>JÄMTLANDS LÄN</t>
        </is>
      </c>
      <c r="E298" t="inlineStr">
        <is>
          <t>ÅRE</t>
        </is>
      </c>
      <c r="F298" t="inlineStr">
        <is>
          <t>Bergvik skog öst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32210-2022</t>
        </is>
      </c>
      <c r="B299" s="1" t="n">
        <v>44781</v>
      </c>
      <c r="C299" s="1" t="n">
        <v>45917</v>
      </c>
      <c r="D299" t="inlineStr">
        <is>
          <t>JÄMTLANDS LÄN</t>
        </is>
      </c>
      <c r="E299" t="inlineStr">
        <is>
          <t>ÅRE</t>
        </is>
      </c>
      <c r="G299" t="n">
        <v>17.3</v>
      </c>
      <c r="H299" t="n">
        <v>0</v>
      </c>
      <c r="I299" t="n">
        <v>0</v>
      </c>
      <c r="J299" t="n">
        <v>0</v>
      </c>
      <c r="K299" t="n">
        <v>0</v>
      </c>
      <c r="L299" t="n">
        <v>0</v>
      </c>
      <c r="M299" t="n">
        <v>0</v>
      </c>
      <c r="N299" t="n">
        <v>0</v>
      </c>
      <c r="O299" t="n">
        <v>0</v>
      </c>
      <c r="P299" t="n">
        <v>0</v>
      </c>
      <c r="Q299" t="n">
        <v>0</v>
      </c>
      <c r="R299" s="2" t="inlineStr"/>
    </row>
    <row r="300" ht="15" customHeight="1">
      <c r="A300" t="inlineStr">
        <is>
          <t>A 7970-2023</t>
        </is>
      </c>
      <c r="B300" s="1" t="n">
        <v>44970</v>
      </c>
      <c r="C300" s="1" t="n">
        <v>45917</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58758-2022</t>
        </is>
      </c>
      <c r="B301" s="1" t="n">
        <v>44903</v>
      </c>
      <c r="C301" s="1" t="n">
        <v>45917</v>
      </c>
      <c r="D301" t="inlineStr">
        <is>
          <t>JÄMTLANDS LÄN</t>
        </is>
      </c>
      <c r="E301" t="inlineStr">
        <is>
          <t>ÅRE</t>
        </is>
      </c>
      <c r="F301" t="inlineStr">
        <is>
          <t>Övriga Aktiebolag</t>
        </is>
      </c>
      <c r="G301" t="n">
        <v>42.9</v>
      </c>
      <c r="H301" t="n">
        <v>0</v>
      </c>
      <c r="I301" t="n">
        <v>0</v>
      </c>
      <c r="J301" t="n">
        <v>0</v>
      </c>
      <c r="K301" t="n">
        <v>0</v>
      </c>
      <c r="L301" t="n">
        <v>0</v>
      </c>
      <c r="M301" t="n">
        <v>0</v>
      </c>
      <c r="N301" t="n">
        <v>0</v>
      </c>
      <c r="O301" t="n">
        <v>0</v>
      </c>
      <c r="P301" t="n">
        <v>0</v>
      </c>
      <c r="Q301" t="n">
        <v>0</v>
      </c>
      <c r="R301" s="2" t="inlineStr"/>
    </row>
    <row r="302" ht="15" customHeight="1">
      <c r="A302" t="inlineStr">
        <is>
          <t>A 71968-2021</t>
        </is>
      </c>
      <c r="B302" s="1" t="n">
        <v>44540</v>
      </c>
      <c r="C302" s="1" t="n">
        <v>45917</v>
      </c>
      <c r="D302" t="inlineStr">
        <is>
          <t>JÄMTLANDS LÄN</t>
        </is>
      </c>
      <c r="E302" t="inlineStr">
        <is>
          <t>ÅRE</t>
        </is>
      </c>
      <c r="G302" t="n">
        <v>7</v>
      </c>
      <c r="H302" t="n">
        <v>0</v>
      </c>
      <c r="I302" t="n">
        <v>0</v>
      </c>
      <c r="J302" t="n">
        <v>0</v>
      </c>
      <c r="K302" t="n">
        <v>0</v>
      </c>
      <c r="L302" t="n">
        <v>0</v>
      </c>
      <c r="M302" t="n">
        <v>0</v>
      </c>
      <c r="N302" t="n">
        <v>0</v>
      </c>
      <c r="O302" t="n">
        <v>0</v>
      </c>
      <c r="P302" t="n">
        <v>0</v>
      </c>
      <c r="Q302" t="n">
        <v>0</v>
      </c>
      <c r="R302" s="2" t="inlineStr"/>
    </row>
    <row r="303" ht="15" customHeight="1">
      <c r="A303" t="inlineStr">
        <is>
          <t>A 4870-2021</t>
        </is>
      </c>
      <c r="B303" s="1" t="n">
        <v>44225</v>
      </c>
      <c r="C303" s="1" t="n">
        <v>45917</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45453-2024</t>
        </is>
      </c>
      <c r="B304" s="1" t="n">
        <v>45576.66674768519</v>
      </c>
      <c r="C304" s="1" t="n">
        <v>45917</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54116-2023</t>
        </is>
      </c>
      <c r="B305" s="1" t="n">
        <v>45232</v>
      </c>
      <c r="C305" s="1" t="n">
        <v>45917</v>
      </c>
      <c r="D305" t="inlineStr">
        <is>
          <t>JÄMTLANDS LÄN</t>
        </is>
      </c>
      <c r="E305" t="inlineStr">
        <is>
          <t>ÅRE</t>
        </is>
      </c>
      <c r="G305" t="n">
        <v>3.8</v>
      </c>
      <c r="H305" t="n">
        <v>0</v>
      </c>
      <c r="I305" t="n">
        <v>0</v>
      </c>
      <c r="J305" t="n">
        <v>0</v>
      </c>
      <c r="K305" t="n">
        <v>0</v>
      </c>
      <c r="L305" t="n">
        <v>0</v>
      </c>
      <c r="M305" t="n">
        <v>0</v>
      </c>
      <c r="N305" t="n">
        <v>0</v>
      </c>
      <c r="O305" t="n">
        <v>0</v>
      </c>
      <c r="P305" t="n">
        <v>0</v>
      </c>
      <c r="Q305" t="n">
        <v>0</v>
      </c>
      <c r="R305" s="2" t="inlineStr"/>
    </row>
    <row r="306" ht="15" customHeight="1">
      <c r="A306" t="inlineStr">
        <is>
          <t>A 46444-2024</t>
        </is>
      </c>
      <c r="B306" s="1" t="n">
        <v>45582</v>
      </c>
      <c r="C306" s="1" t="n">
        <v>45917</v>
      </c>
      <c r="D306" t="inlineStr">
        <is>
          <t>JÄMTLANDS LÄN</t>
        </is>
      </c>
      <c r="E306" t="inlineStr">
        <is>
          <t>ÅRE</t>
        </is>
      </c>
      <c r="G306" t="n">
        <v>19.6</v>
      </c>
      <c r="H306" t="n">
        <v>0</v>
      </c>
      <c r="I306" t="n">
        <v>0</v>
      </c>
      <c r="J306" t="n">
        <v>0</v>
      </c>
      <c r="K306" t="n">
        <v>0</v>
      </c>
      <c r="L306" t="n">
        <v>0</v>
      </c>
      <c r="M306" t="n">
        <v>0</v>
      </c>
      <c r="N306" t="n">
        <v>0</v>
      </c>
      <c r="O306" t="n">
        <v>0</v>
      </c>
      <c r="P306" t="n">
        <v>0</v>
      </c>
      <c r="Q306" t="n">
        <v>0</v>
      </c>
      <c r="R306" s="2" t="inlineStr"/>
    </row>
    <row r="307" ht="15" customHeight="1">
      <c r="A307" t="inlineStr">
        <is>
          <t>A 5610-2025</t>
        </is>
      </c>
      <c r="B307" s="1" t="n">
        <v>45693.60425925926</v>
      </c>
      <c r="C307" s="1" t="n">
        <v>45917</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44512-2023</t>
        </is>
      </c>
      <c r="B308" s="1" t="n">
        <v>45184</v>
      </c>
      <c r="C308" s="1" t="n">
        <v>45917</v>
      </c>
      <c r="D308" t="inlineStr">
        <is>
          <t>JÄMTLANDS LÄN</t>
        </is>
      </c>
      <c r="E308" t="inlineStr">
        <is>
          <t>ÅRE</t>
        </is>
      </c>
      <c r="G308" t="n">
        <v>12.5</v>
      </c>
      <c r="H308" t="n">
        <v>0</v>
      </c>
      <c r="I308" t="n">
        <v>0</v>
      </c>
      <c r="J308" t="n">
        <v>0</v>
      </c>
      <c r="K308" t="n">
        <v>0</v>
      </c>
      <c r="L308" t="n">
        <v>0</v>
      </c>
      <c r="M308" t="n">
        <v>0</v>
      </c>
      <c r="N308" t="n">
        <v>0</v>
      </c>
      <c r="O308" t="n">
        <v>0</v>
      </c>
      <c r="P308" t="n">
        <v>0</v>
      </c>
      <c r="Q308" t="n">
        <v>0</v>
      </c>
      <c r="R308" s="2" t="inlineStr"/>
    </row>
    <row r="309" ht="15" customHeight="1">
      <c r="A309" t="inlineStr">
        <is>
          <t>A 33003-2022</t>
        </is>
      </c>
      <c r="B309" s="1" t="n">
        <v>44784</v>
      </c>
      <c r="C309" s="1" t="n">
        <v>45917</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5611-2025</t>
        </is>
      </c>
      <c r="B310" s="1" t="n">
        <v>45693.60480324074</v>
      </c>
      <c r="C310" s="1" t="n">
        <v>45917</v>
      </c>
      <c r="D310" t="inlineStr">
        <is>
          <t>JÄMTLANDS LÄN</t>
        </is>
      </c>
      <c r="E310" t="inlineStr">
        <is>
          <t>ÅRE</t>
        </is>
      </c>
      <c r="G310" t="n">
        <v>2.9</v>
      </c>
      <c r="H310" t="n">
        <v>0</v>
      </c>
      <c r="I310" t="n">
        <v>0</v>
      </c>
      <c r="J310" t="n">
        <v>0</v>
      </c>
      <c r="K310" t="n">
        <v>0</v>
      </c>
      <c r="L310" t="n">
        <v>0</v>
      </c>
      <c r="M310" t="n">
        <v>0</v>
      </c>
      <c r="N310" t="n">
        <v>0</v>
      </c>
      <c r="O310" t="n">
        <v>0</v>
      </c>
      <c r="P310" t="n">
        <v>0</v>
      </c>
      <c r="Q310" t="n">
        <v>0</v>
      </c>
      <c r="R310" s="2" t="inlineStr"/>
    </row>
    <row r="311" ht="15" customHeight="1">
      <c r="A311" t="inlineStr">
        <is>
          <t>A 71043-2021</t>
        </is>
      </c>
      <c r="B311" s="1" t="n">
        <v>44538</v>
      </c>
      <c r="C311" s="1" t="n">
        <v>45917</v>
      </c>
      <c r="D311" t="inlineStr">
        <is>
          <t>JÄMTLANDS LÄN</t>
        </is>
      </c>
      <c r="E311" t="inlineStr">
        <is>
          <t>ÅRE</t>
        </is>
      </c>
      <c r="G311" t="n">
        <v>0.4</v>
      </c>
      <c r="H311" t="n">
        <v>0</v>
      </c>
      <c r="I311" t="n">
        <v>0</v>
      </c>
      <c r="J311" t="n">
        <v>0</v>
      </c>
      <c r="K311" t="n">
        <v>0</v>
      </c>
      <c r="L311" t="n">
        <v>0</v>
      </c>
      <c r="M311" t="n">
        <v>0</v>
      </c>
      <c r="N311" t="n">
        <v>0</v>
      </c>
      <c r="O311" t="n">
        <v>0</v>
      </c>
      <c r="P311" t="n">
        <v>0</v>
      </c>
      <c r="Q311" t="n">
        <v>0</v>
      </c>
      <c r="R311" s="2" t="inlineStr"/>
    </row>
    <row r="312" ht="15" customHeight="1">
      <c r="A312" t="inlineStr">
        <is>
          <t>A 66755-2020</t>
        </is>
      </c>
      <c r="B312" s="1" t="n">
        <v>44179</v>
      </c>
      <c r="C312" s="1" t="n">
        <v>45917</v>
      </c>
      <c r="D312" t="inlineStr">
        <is>
          <t>JÄMTLANDS LÄN</t>
        </is>
      </c>
      <c r="E312" t="inlineStr">
        <is>
          <t>ÅRE</t>
        </is>
      </c>
      <c r="G312" t="n">
        <v>3.5</v>
      </c>
      <c r="H312" t="n">
        <v>0</v>
      </c>
      <c r="I312" t="n">
        <v>0</v>
      </c>
      <c r="J312" t="n">
        <v>0</v>
      </c>
      <c r="K312" t="n">
        <v>0</v>
      </c>
      <c r="L312" t="n">
        <v>0</v>
      </c>
      <c r="M312" t="n">
        <v>0</v>
      </c>
      <c r="N312" t="n">
        <v>0</v>
      </c>
      <c r="O312" t="n">
        <v>0</v>
      </c>
      <c r="P312" t="n">
        <v>0</v>
      </c>
      <c r="Q312" t="n">
        <v>0</v>
      </c>
      <c r="R312" s="2" t="inlineStr"/>
    </row>
    <row r="313" ht="15" customHeight="1">
      <c r="A313" t="inlineStr">
        <is>
          <t>A 40341-2021</t>
        </is>
      </c>
      <c r="B313" s="1" t="n">
        <v>44419</v>
      </c>
      <c r="C313" s="1" t="n">
        <v>45917</v>
      </c>
      <c r="D313" t="inlineStr">
        <is>
          <t>JÄMTLANDS LÄN</t>
        </is>
      </c>
      <c r="E313" t="inlineStr">
        <is>
          <t>ÅRE</t>
        </is>
      </c>
      <c r="G313" t="n">
        <v>3</v>
      </c>
      <c r="H313" t="n">
        <v>0</v>
      </c>
      <c r="I313" t="n">
        <v>0</v>
      </c>
      <c r="J313" t="n">
        <v>0</v>
      </c>
      <c r="K313" t="n">
        <v>0</v>
      </c>
      <c r="L313" t="n">
        <v>0</v>
      </c>
      <c r="M313" t="n">
        <v>0</v>
      </c>
      <c r="N313" t="n">
        <v>0</v>
      </c>
      <c r="O313" t="n">
        <v>0</v>
      </c>
      <c r="P313" t="n">
        <v>0</v>
      </c>
      <c r="Q313" t="n">
        <v>0</v>
      </c>
      <c r="R313" s="2" t="inlineStr"/>
    </row>
    <row r="314" ht="15" customHeight="1">
      <c r="A314" t="inlineStr">
        <is>
          <t>A 37249-2025</t>
        </is>
      </c>
      <c r="B314" s="1" t="n">
        <v>45876.40699074074</v>
      </c>
      <c r="C314" s="1" t="n">
        <v>45917</v>
      </c>
      <c r="D314" t="inlineStr">
        <is>
          <t>JÄMTLANDS LÄN</t>
        </is>
      </c>
      <c r="E314" t="inlineStr">
        <is>
          <t>ÅRE</t>
        </is>
      </c>
      <c r="G314" t="n">
        <v>1.9</v>
      </c>
      <c r="H314" t="n">
        <v>0</v>
      </c>
      <c r="I314" t="n">
        <v>0</v>
      </c>
      <c r="J314" t="n">
        <v>0</v>
      </c>
      <c r="K314" t="n">
        <v>0</v>
      </c>
      <c r="L314" t="n">
        <v>0</v>
      </c>
      <c r="M314" t="n">
        <v>0</v>
      </c>
      <c r="N314" t="n">
        <v>0</v>
      </c>
      <c r="O314" t="n">
        <v>0</v>
      </c>
      <c r="P314" t="n">
        <v>0</v>
      </c>
      <c r="Q314" t="n">
        <v>0</v>
      </c>
      <c r="R314" s="2" t="inlineStr"/>
    </row>
    <row r="315" ht="15" customHeight="1">
      <c r="A315" t="inlineStr">
        <is>
          <t>A 51500-2024</t>
        </is>
      </c>
      <c r="B315" s="1" t="n">
        <v>45604.54693287037</v>
      </c>
      <c r="C315" s="1" t="n">
        <v>45917</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40336-2021</t>
        </is>
      </c>
      <c r="B316" s="1" t="n">
        <v>44419</v>
      </c>
      <c r="C316" s="1" t="n">
        <v>45917</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48599-2023</t>
        </is>
      </c>
      <c r="B317" s="1" t="n">
        <v>45208</v>
      </c>
      <c r="C317" s="1" t="n">
        <v>45917</v>
      </c>
      <c r="D317" t="inlineStr">
        <is>
          <t>JÄMTLANDS LÄN</t>
        </is>
      </c>
      <c r="E317" t="inlineStr">
        <is>
          <t>ÅRE</t>
        </is>
      </c>
      <c r="G317" t="n">
        <v>1.1</v>
      </c>
      <c r="H317" t="n">
        <v>0</v>
      </c>
      <c r="I317" t="n">
        <v>0</v>
      </c>
      <c r="J317" t="n">
        <v>0</v>
      </c>
      <c r="K317" t="n">
        <v>0</v>
      </c>
      <c r="L317" t="n">
        <v>0</v>
      </c>
      <c r="M317" t="n">
        <v>0</v>
      </c>
      <c r="N317" t="n">
        <v>0</v>
      </c>
      <c r="O317" t="n">
        <v>0</v>
      </c>
      <c r="P317" t="n">
        <v>0</v>
      </c>
      <c r="Q317" t="n">
        <v>0</v>
      </c>
      <c r="R317" s="2" t="inlineStr"/>
    </row>
    <row r="318" ht="15" customHeight="1">
      <c r="A318" t="inlineStr">
        <is>
          <t>A 55944-2022</t>
        </is>
      </c>
      <c r="B318" s="1" t="n">
        <v>44889</v>
      </c>
      <c r="C318" s="1" t="n">
        <v>45917</v>
      </c>
      <c r="D318" t="inlineStr">
        <is>
          <t>JÄMTLANDS LÄN</t>
        </is>
      </c>
      <c r="E318" t="inlineStr">
        <is>
          <t>ÅRE</t>
        </is>
      </c>
      <c r="G318" t="n">
        <v>11.1</v>
      </c>
      <c r="H318" t="n">
        <v>0</v>
      </c>
      <c r="I318" t="n">
        <v>0</v>
      </c>
      <c r="J318" t="n">
        <v>0</v>
      </c>
      <c r="K318" t="n">
        <v>0</v>
      </c>
      <c r="L318" t="n">
        <v>0</v>
      </c>
      <c r="M318" t="n">
        <v>0</v>
      </c>
      <c r="N318" t="n">
        <v>0</v>
      </c>
      <c r="O318" t="n">
        <v>0</v>
      </c>
      <c r="P318" t="n">
        <v>0</v>
      </c>
      <c r="Q318" t="n">
        <v>0</v>
      </c>
      <c r="R318" s="2" t="inlineStr"/>
    </row>
    <row r="319" ht="15" customHeight="1">
      <c r="A319" t="inlineStr">
        <is>
          <t>A 47075-2024</t>
        </is>
      </c>
      <c r="B319" s="1" t="n">
        <v>45586.5008912037</v>
      </c>
      <c r="C319" s="1" t="n">
        <v>45917</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61622-2023</t>
        </is>
      </c>
      <c r="B320" s="1" t="n">
        <v>45261</v>
      </c>
      <c r="C320" s="1" t="n">
        <v>45917</v>
      </c>
      <c r="D320" t="inlineStr">
        <is>
          <t>JÄMTLANDS LÄN</t>
        </is>
      </c>
      <c r="E320" t="inlineStr">
        <is>
          <t>ÅRE</t>
        </is>
      </c>
      <c r="G320" t="n">
        <v>1.6</v>
      </c>
      <c r="H320" t="n">
        <v>0</v>
      </c>
      <c r="I320" t="n">
        <v>0</v>
      </c>
      <c r="J320" t="n">
        <v>0</v>
      </c>
      <c r="K320" t="n">
        <v>0</v>
      </c>
      <c r="L320" t="n">
        <v>0</v>
      </c>
      <c r="M320" t="n">
        <v>0</v>
      </c>
      <c r="N320" t="n">
        <v>0</v>
      </c>
      <c r="O320" t="n">
        <v>0</v>
      </c>
      <c r="P320" t="n">
        <v>0</v>
      </c>
      <c r="Q320" t="n">
        <v>0</v>
      </c>
      <c r="R320" s="2" t="inlineStr"/>
    </row>
    <row r="321" ht="15" customHeight="1">
      <c r="A321" t="inlineStr">
        <is>
          <t>A 66083-2020</t>
        </is>
      </c>
      <c r="B321" s="1" t="n">
        <v>44172</v>
      </c>
      <c r="C321" s="1" t="n">
        <v>45917</v>
      </c>
      <c r="D321" t="inlineStr">
        <is>
          <t>JÄMTLANDS LÄN</t>
        </is>
      </c>
      <c r="E321" t="inlineStr">
        <is>
          <t>ÅRE</t>
        </is>
      </c>
      <c r="G321" t="n">
        <v>213.4</v>
      </c>
      <c r="H321" t="n">
        <v>0</v>
      </c>
      <c r="I321" t="n">
        <v>0</v>
      </c>
      <c r="J321" t="n">
        <v>0</v>
      </c>
      <c r="K321" t="n">
        <v>0</v>
      </c>
      <c r="L321" t="n">
        <v>0</v>
      </c>
      <c r="M321" t="n">
        <v>0</v>
      </c>
      <c r="N321" t="n">
        <v>0</v>
      </c>
      <c r="O321" t="n">
        <v>0</v>
      </c>
      <c r="P321" t="n">
        <v>0</v>
      </c>
      <c r="Q321" t="n">
        <v>0</v>
      </c>
      <c r="R321" s="2" t="inlineStr"/>
    </row>
    <row r="322" ht="15" customHeight="1">
      <c r="A322" t="inlineStr">
        <is>
          <t>A 45161-2024</t>
        </is>
      </c>
      <c r="B322" s="1" t="n">
        <v>45575.64982638889</v>
      </c>
      <c r="C322" s="1" t="n">
        <v>45917</v>
      </c>
      <c r="D322" t="inlineStr">
        <is>
          <t>JÄMTLANDS LÄN</t>
        </is>
      </c>
      <c r="E322" t="inlineStr">
        <is>
          <t>ÅRE</t>
        </is>
      </c>
      <c r="G322" t="n">
        <v>6.9</v>
      </c>
      <c r="H322" t="n">
        <v>0</v>
      </c>
      <c r="I322" t="n">
        <v>0</v>
      </c>
      <c r="J322" t="n">
        <v>0</v>
      </c>
      <c r="K322" t="n">
        <v>0</v>
      </c>
      <c r="L322" t="n">
        <v>0</v>
      </c>
      <c r="M322" t="n">
        <v>0</v>
      </c>
      <c r="N322" t="n">
        <v>0</v>
      </c>
      <c r="O322" t="n">
        <v>0</v>
      </c>
      <c r="P322" t="n">
        <v>0</v>
      </c>
      <c r="Q322" t="n">
        <v>0</v>
      </c>
      <c r="R322" s="2" t="inlineStr"/>
    </row>
    <row r="323" ht="15" customHeight="1">
      <c r="A323" t="inlineStr">
        <is>
          <t>A 15480-2024</t>
        </is>
      </c>
      <c r="B323" s="1" t="n">
        <v>45401.49065972222</v>
      </c>
      <c r="C323" s="1" t="n">
        <v>45917</v>
      </c>
      <c r="D323" t="inlineStr">
        <is>
          <t>JÄMTLANDS LÄN</t>
        </is>
      </c>
      <c r="E323" t="inlineStr">
        <is>
          <t>ÅRE</t>
        </is>
      </c>
      <c r="G323" t="n">
        <v>11.8</v>
      </c>
      <c r="H323" t="n">
        <v>0</v>
      </c>
      <c r="I323" t="n">
        <v>0</v>
      </c>
      <c r="J323" t="n">
        <v>0</v>
      </c>
      <c r="K323" t="n">
        <v>0</v>
      </c>
      <c r="L323" t="n">
        <v>0</v>
      </c>
      <c r="M323" t="n">
        <v>0</v>
      </c>
      <c r="N323" t="n">
        <v>0</v>
      </c>
      <c r="O323" t="n">
        <v>0</v>
      </c>
      <c r="P323" t="n">
        <v>0</v>
      </c>
      <c r="Q323" t="n">
        <v>0</v>
      </c>
      <c r="R323" s="2" t="inlineStr"/>
    </row>
    <row r="324" ht="15" customHeight="1">
      <c r="A324" t="inlineStr">
        <is>
          <t>A 20160-2025</t>
        </is>
      </c>
      <c r="B324" s="1" t="n">
        <v>45772.56753472222</v>
      </c>
      <c r="C324" s="1" t="n">
        <v>45917</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59215-2024</t>
        </is>
      </c>
      <c r="B325" s="1" t="n">
        <v>45636</v>
      </c>
      <c r="C325" s="1" t="n">
        <v>45917</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45917</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68545-2020</t>
        </is>
      </c>
      <c r="B327" s="1" t="n">
        <v>44186</v>
      </c>
      <c r="C327" s="1" t="n">
        <v>45917</v>
      </c>
      <c r="D327" t="inlineStr">
        <is>
          <t>JÄMTLANDS LÄN</t>
        </is>
      </c>
      <c r="E327" t="inlineStr">
        <is>
          <t>ÅRE</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43342-2024</t>
        </is>
      </c>
      <c r="B328" s="1" t="n">
        <v>45568.55114583333</v>
      </c>
      <c r="C328" s="1" t="n">
        <v>45917</v>
      </c>
      <c r="D328" t="inlineStr">
        <is>
          <t>JÄMTLANDS LÄN</t>
        </is>
      </c>
      <c r="E328" t="inlineStr">
        <is>
          <t>ÅRE</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58940-2021</t>
        </is>
      </c>
      <c r="B329" s="1" t="n">
        <v>44489</v>
      </c>
      <c r="C329" s="1" t="n">
        <v>45917</v>
      </c>
      <c r="D329" t="inlineStr">
        <is>
          <t>JÄMTLANDS LÄN</t>
        </is>
      </c>
      <c r="E329" t="inlineStr">
        <is>
          <t>ÅRE</t>
        </is>
      </c>
      <c r="G329" t="n">
        <v>5.8</v>
      </c>
      <c r="H329" t="n">
        <v>0</v>
      </c>
      <c r="I329" t="n">
        <v>0</v>
      </c>
      <c r="J329" t="n">
        <v>0</v>
      </c>
      <c r="K329" t="n">
        <v>0</v>
      </c>
      <c r="L329" t="n">
        <v>0</v>
      </c>
      <c r="M329" t="n">
        <v>0</v>
      </c>
      <c r="N329" t="n">
        <v>0</v>
      </c>
      <c r="O329" t="n">
        <v>0</v>
      </c>
      <c r="P329" t="n">
        <v>0</v>
      </c>
      <c r="Q329" t="n">
        <v>0</v>
      </c>
      <c r="R329" s="2" t="inlineStr"/>
    </row>
    <row r="330" ht="15" customHeight="1">
      <c r="A330" t="inlineStr">
        <is>
          <t>A 61183-2023</t>
        </is>
      </c>
      <c r="B330" s="1" t="n">
        <v>45263</v>
      </c>
      <c r="C330" s="1" t="n">
        <v>45917</v>
      </c>
      <c r="D330" t="inlineStr">
        <is>
          <t>JÄMTLANDS LÄN</t>
        </is>
      </c>
      <c r="E330" t="inlineStr">
        <is>
          <t>ÅRE</t>
        </is>
      </c>
      <c r="G330" t="n">
        <v>8.4</v>
      </c>
      <c r="H330" t="n">
        <v>0</v>
      </c>
      <c r="I330" t="n">
        <v>0</v>
      </c>
      <c r="J330" t="n">
        <v>0</v>
      </c>
      <c r="K330" t="n">
        <v>0</v>
      </c>
      <c r="L330" t="n">
        <v>0</v>
      </c>
      <c r="M330" t="n">
        <v>0</v>
      </c>
      <c r="N330" t="n">
        <v>0</v>
      </c>
      <c r="O330" t="n">
        <v>0</v>
      </c>
      <c r="P330" t="n">
        <v>0</v>
      </c>
      <c r="Q330" t="n">
        <v>0</v>
      </c>
      <c r="R330" s="2" t="inlineStr"/>
    </row>
    <row r="331" ht="15" customHeight="1">
      <c r="A331" t="inlineStr">
        <is>
          <t>A 15305-2021</t>
        </is>
      </c>
      <c r="B331" s="1" t="n">
        <v>44284</v>
      </c>
      <c r="C331" s="1" t="n">
        <v>45917</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12179-2023</t>
        </is>
      </c>
      <c r="B332" s="1" t="n">
        <v>44998</v>
      </c>
      <c r="C332" s="1" t="n">
        <v>45917</v>
      </c>
      <c r="D332" t="inlineStr">
        <is>
          <t>JÄMTLANDS LÄN</t>
        </is>
      </c>
      <c r="E332" t="inlineStr">
        <is>
          <t>ÅRE</t>
        </is>
      </c>
      <c r="G332" t="n">
        <v>8.5</v>
      </c>
      <c r="H332" t="n">
        <v>0</v>
      </c>
      <c r="I332" t="n">
        <v>0</v>
      </c>
      <c r="J332" t="n">
        <v>0</v>
      </c>
      <c r="K332" t="n">
        <v>0</v>
      </c>
      <c r="L332" t="n">
        <v>0</v>
      </c>
      <c r="M332" t="n">
        <v>0</v>
      </c>
      <c r="N332" t="n">
        <v>0</v>
      </c>
      <c r="O332" t="n">
        <v>0</v>
      </c>
      <c r="P332" t="n">
        <v>0</v>
      </c>
      <c r="Q332" t="n">
        <v>0</v>
      </c>
      <c r="R332" s="2" t="inlineStr"/>
    </row>
    <row r="333" ht="15" customHeight="1">
      <c r="A333" t="inlineStr">
        <is>
          <t>A 61481-2022</t>
        </is>
      </c>
      <c r="B333" s="1" t="n">
        <v>44910</v>
      </c>
      <c r="C333" s="1" t="n">
        <v>45917</v>
      </c>
      <c r="D333" t="inlineStr">
        <is>
          <t>JÄMTLANDS LÄN</t>
        </is>
      </c>
      <c r="E333" t="inlineStr">
        <is>
          <t>ÅRE</t>
        </is>
      </c>
      <c r="G333" t="n">
        <v>0.4</v>
      </c>
      <c r="H333" t="n">
        <v>0</v>
      </c>
      <c r="I333" t="n">
        <v>0</v>
      </c>
      <c r="J333" t="n">
        <v>0</v>
      </c>
      <c r="K333" t="n">
        <v>0</v>
      </c>
      <c r="L333" t="n">
        <v>0</v>
      </c>
      <c r="M333" t="n">
        <v>0</v>
      </c>
      <c r="N333" t="n">
        <v>0</v>
      </c>
      <c r="O333" t="n">
        <v>0</v>
      </c>
      <c r="P333" t="n">
        <v>0</v>
      </c>
      <c r="Q333" t="n">
        <v>0</v>
      </c>
      <c r="R333" s="2" t="inlineStr"/>
    </row>
    <row r="334" ht="15" customHeight="1">
      <c r="A334" t="inlineStr">
        <is>
          <t>A 56736-2023</t>
        </is>
      </c>
      <c r="B334" s="1" t="n">
        <v>45244</v>
      </c>
      <c r="C334" s="1" t="n">
        <v>45917</v>
      </c>
      <c r="D334" t="inlineStr">
        <is>
          <t>JÄMTLANDS LÄN</t>
        </is>
      </c>
      <c r="E334" t="inlineStr">
        <is>
          <t>ÅRE</t>
        </is>
      </c>
      <c r="F334" t="inlineStr">
        <is>
          <t>Övriga Aktiebolag</t>
        </is>
      </c>
      <c r="G334" t="n">
        <v>10.7</v>
      </c>
      <c r="H334" t="n">
        <v>0</v>
      </c>
      <c r="I334" t="n">
        <v>0</v>
      </c>
      <c r="J334" t="n">
        <v>0</v>
      </c>
      <c r="K334" t="n">
        <v>0</v>
      </c>
      <c r="L334" t="n">
        <v>0</v>
      </c>
      <c r="M334" t="n">
        <v>0</v>
      </c>
      <c r="N334" t="n">
        <v>0</v>
      </c>
      <c r="O334" t="n">
        <v>0</v>
      </c>
      <c r="P334" t="n">
        <v>0</v>
      </c>
      <c r="Q334" t="n">
        <v>0</v>
      </c>
      <c r="R334" s="2" t="inlineStr"/>
    </row>
    <row r="335" ht="15" customHeight="1">
      <c r="A335" t="inlineStr">
        <is>
          <t>A 43307-2024</t>
        </is>
      </c>
      <c r="B335" s="1" t="n">
        <v>45568.44303240741</v>
      </c>
      <c r="C335" s="1" t="n">
        <v>45917</v>
      </c>
      <c r="D335" t="inlineStr">
        <is>
          <t>JÄMTLANDS LÄN</t>
        </is>
      </c>
      <c r="E335" t="inlineStr">
        <is>
          <t>ÅRE</t>
        </is>
      </c>
      <c r="F335" t="inlineStr">
        <is>
          <t>Övriga Aktiebolag</t>
        </is>
      </c>
      <c r="G335" t="n">
        <v>1.1</v>
      </c>
      <c r="H335" t="n">
        <v>0</v>
      </c>
      <c r="I335" t="n">
        <v>0</v>
      </c>
      <c r="J335" t="n">
        <v>0</v>
      </c>
      <c r="K335" t="n">
        <v>0</v>
      </c>
      <c r="L335" t="n">
        <v>0</v>
      </c>
      <c r="M335" t="n">
        <v>0</v>
      </c>
      <c r="N335" t="n">
        <v>0</v>
      </c>
      <c r="O335" t="n">
        <v>0</v>
      </c>
      <c r="P335" t="n">
        <v>0</v>
      </c>
      <c r="Q335" t="n">
        <v>0</v>
      </c>
      <c r="R335" s="2" t="inlineStr"/>
    </row>
    <row r="336" ht="15" customHeight="1">
      <c r="A336" t="inlineStr">
        <is>
          <t>A 61566-2021</t>
        </is>
      </c>
      <c r="B336" s="1" t="n">
        <v>44496</v>
      </c>
      <c r="C336" s="1" t="n">
        <v>45917</v>
      </c>
      <c r="D336" t="inlineStr">
        <is>
          <t>JÄMTLANDS LÄN</t>
        </is>
      </c>
      <c r="E336" t="inlineStr">
        <is>
          <t>ÅRE</t>
        </is>
      </c>
      <c r="F336" t="inlineStr">
        <is>
          <t>Övriga statliga verk och myndigheter</t>
        </is>
      </c>
      <c r="G336" t="n">
        <v>10.9</v>
      </c>
      <c r="H336" t="n">
        <v>0</v>
      </c>
      <c r="I336" t="n">
        <v>0</v>
      </c>
      <c r="J336" t="n">
        <v>0</v>
      </c>
      <c r="K336" t="n">
        <v>0</v>
      </c>
      <c r="L336" t="n">
        <v>0</v>
      </c>
      <c r="M336" t="n">
        <v>0</v>
      </c>
      <c r="N336" t="n">
        <v>0</v>
      </c>
      <c r="O336" t="n">
        <v>0</v>
      </c>
      <c r="P336" t="n">
        <v>0</v>
      </c>
      <c r="Q336" t="n">
        <v>0</v>
      </c>
      <c r="R336" s="2" t="inlineStr"/>
    </row>
    <row r="337" ht="15" customHeight="1">
      <c r="A337" t="inlineStr">
        <is>
          <t>A 61340-2022</t>
        </is>
      </c>
      <c r="B337" s="1" t="n">
        <v>44909</v>
      </c>
      <c r="C337" s="1" t="n">
        <v>45917</v>
      </c>
      <c r="D337" t="inlineStr">
        <is>
          <t>JÄMTLANDS LÄN</t>
        </is>
      </c>
      <c r="E337" t="inlineStr">
        <is>
          <t>ÅRE</t>
        </is>
      </c>
      <c r="G337" t="n">
        <v>4.4</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45917</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12857-2021</t>
        </is>
      </c>
      <c r="B339" s="1" t="n">
        <v>44270</v>
      </c>
      <c r="C339" s="1" t="n">
        <v>45917</v>
      </c>
      <c r="D339" t="inlineStr">
        <is>
          <t>JÄMTLANDS LÄN</t>
        </is>
      </c>
      <c r="E339" t="inlineStr">
        <is>
          <t>ÅRE</t>
        </is>
      </c>
      <c r="F339" t="inlineStr">
        <is>
          <t>Kommuner</t>
        </is>
      </c>
      <c r="G339" t="n">
        <v>17.2</v>
      </c>
      <c r="H339" t="n">
        <v>0</v>
      </c>
      <c r="I339" t="n">
        <v>0</v>
      </c>
      <c r="J339" t="n">
        <v>0</v>
      </c>
      <c r="K339" t="n">
        <v>0</v>
      </c>
      <c r="L339" t="n">
        <v>0</v>
      </c>
      <c r="M339" t="n">
        <v>0</v>
      </c>
      <c r="N339" t="n">
        <v>0</v>
      </c>
      <c r="O339" t="n">
        <v>0</v>
      </c>
      <c r="P339" t="n">
        <v>0</v>
      </c>
      <c r="Q339" t="n">
        <v>0</v>
      </c>
      <c r="R339" s="2" t="inlineStr"/>
    </row>
    <row r="340" ht="15" customHeight="1">
      <c r="A340" t="inlineStr">
        <is>
          <t>A 21897-2021</t>
        </is>
      </c>
      <c r="B340" s="1" t="n">
        <v>44322</v>
      </c>
      <c r="C340" s="1" t="n">
        <v>45917</v>
      </c>
      <c r="D340" t="inlineStr">
        <is>
          <t>JÄMTLANDS LÄN</t>
        </is>
      </c>
      <c r="E340" t="inlineStr">
        <is>
          <t>ÅRE</t>
        </is>
      </c>
      <c r="G340" t="n">
        <v>41.4</v>
      </c>
      <c r="H340" t="n">
        <v>0</v>
      </c>
      <c r="I340" t="n">
        <v>0</v>
      </c>
      <c r="J340" t="n">
        <v>0</v>
      </c>
      <c r="K340" t="n">
        <v>0</v>
      </c>
      <c r="L340" t="n">
        <v>0</v>
      </c>
      <c r="M340" t="n">
        <v>0</v>
      </c>
      <c r="N340" t="n">
        <v>0</v>
      </c>
      <c r="O340" t="n">
        <v>0</v>
      </c>
      <c r="P340" t="n">
        <v>0</v>
      </c>
      <c r="Q340" t="n">
        <v>0</v>
      </c>
      <c r="R340" s="2" t="inlineStr"/>
    </row>
    <row r="341" ht="15" customHeight="1">
      <c r="A341" t="inlineStr">
        <is>
          <t>A 13383-2022</t>
        </is>
      </c>
      <c r="B341" s="1" t="n">
        <v>44637</v>
      </c>
      <c r="C341" s="1" t="n">
        <v>45917</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38285-2025</t>
        </is>
      </c>
      <c r="B342" s="1" t="n">
        <v>45883.43145833333</v>
      </c>
      <c r="C342" s="1" t="n">
        <v>45917</v>
      </c>
      <c r="D342" t="inlineStr">
        <is>
          <t>JÄMTLANDS LÄN</t>
        </is>
      </c>
      <c r="E342" t="inlineStr">
        <is>
          <t>ÅRE</t>
        </is>
      </c>
      <c r="G342" t="n">
        <v>2.6</v>
      </c>
      <c r="H342" t="n">
        <v>0</v>
      </c>
      <c r="I342" t="n">
        <v>0</v>
      </c>
      <c r="J342" t="n">
        <v>0</v>
      </c>
      <c r="K342" t="n">
        <v>0</v>
      </c>
      <c r="L342" t="n">
        <v>0</v>
      </c>
      <c r="M342" t="n">
        <v>0</v>
      </c>
      <c r="N342" t="n">
        <v>0</v>
      </c>
      <c r="O342" t="n">
        <v>0</v>
      </c>
      <c r="P342" t="n">
        <v>0</v>
      </c>
      <c r="Q342" t="n">
        <v>0</v>
      </c>
      <c r="R342" s="2" t="inlineStr"/>
    </row>
    <row r="343" ht="15" customHeight="1">
      <c r="A343" t="inlineStr">
        <is>
          <t>A 5460-2023</t>
        </is>
      </c>
      <c r="B343" s="1" t="n">
        <v>44960</v>
      </c>
      <c r="C343" s="1" t="n">
        <v>45917</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61926-2022</t>
        </is>
      </c>
      <c r="B344" s="1" t="n">
        <v>44917</v>
      </c>
      <c r="C344" s="1" t="n">
        <v>45917</v>
      </c>
      <c r="D344" t="inlineStr">
        <is>
          <t>JÄMTLANDS LÄN</t>
        </is>
      </c>
      <c r="E344" t="inlineStr">
        <is>
          <t>ÅRE</t>
        </is>
      </c>
      <c r="G344" t="n">
        <v>18</v>
      </c>
      <c r="H344" t="n">
        <v>0</v>
      </c>
      <c r="I344" t="n">
        <v>0</v>
      </c>
      <c r="J344" t="n">
        <v>0</v>
      </c>
      <c r="K344" t="n">
        <v>0</v>
      </c>
      <c r="L344" t="n">
        <v>0</v>
      </c>
      <c r="M344" t="n">
        <v>0</v>
      </c>
      <c r="N344" t="n">
        <v>0</v>
      </c>
      <c r="O344" t="n">
        <v>0</v>
      </c>
      <c r="P344" t="n">
        <v>0</v>
      </c>
      <c r="Q344" t="n">
        <v>0</v>
      </c>
      <c r="R344" s="2" t="inlineStr"/>
    </row>
    <row r="345" ht="15" customHeight="1">
      <c r="A345" t="inlineStr">
        <is>
          <t>A 49702-2024</t>
        </is>
      </c>
      <c r="B345" s="1" t="n">
        <v>45596</v>
      </c>
      <c r="C345" s="1" t="n">
        <v>45917</v>
      </c>
      <c r="D345" t="inlineStr">
        <is>
          <t>JÄMTLANDS LÄN</t>
        </is>
      </c>
      <c r="E345" t="inlineStr">
        <is>
          <t>ÅRE</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38609-2025</t>
        </is>
      </c>
      <c r="B346" s="1" t="n">
        <v>45884.53554398148</v>
      </c>
      <c r="C346" s="1" t="n">
        <v>45917</v>
      </c>
      <c r="D346" t="inlineStr">
        <is>
          <t>JÄMTLANDS LÄN</t>
        </is>
      </c>
      <c r="E346" t="inlineStr">
        <is>
          <t>ÅRE</t>
        </is>
      </c>
      <c r="G346" t="n">
        <v>6.1</v>
      </c>
      <c r="H346" t="n">
        <v>0</v>
      </c>
      <c r="I346" t="n">
        <v>0</v>
      </c>
      <c r="J346" t="n">
        <v>0</v>
      </c>
      <c r="K346" t="n">
        <v>0</v>
      </c>
      <c r="L346" t="n">
        <v>0</v>
      </c>
      <c r="M346" t="n">
        <v>0</v>
      </c>
      <c r="N346" t="n">
        <v>0</v>
      </c>
      <c r="O346" t="n">
        <v>0</v>
      </c>
      <c r="P346" t="n">
        <v>0</v>
      </c>
      <c r="Q346" t="n">
        <v>0</v>
      </c>
      <c r="R346" s="2" t="inlineStr"/>
    </row>
    <row r="347" ht="15" customHeight="1">
      <c r="A347" t="inlineStr">
        <is>
          <t>A 9777-2021</t>
        </is>
      </c>
      <c r="B347" s="1" t="n">
        <v>44252</v>
      </c>
      <c r="C347" s="1" t="n">
        <v>45917</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26722-2021</t>
        </is>
      </c>
      <c r="B348" s="1" t="n">
        <v>44349</v>
      </c>
      <c r="C348" s="1" t="n">
        <v>45917</v>
      </c>
      <c r="D348" t="inlineStr">
        <is>
          <t>JÄMTLANDS LÄN</t>
        </is>
      </c>
      <c r="E348" t="inlineStr">
        <is>
          <t>ÅRE</t>
        </is>
      </c>
      <c r="G348" t="n">
        <v>11.4</v>
      </c>
      <c r="H348" t="n">
        <v>0</v>
      </c>
      <c r="I348" t="n">
        <v>0</v>
      </c>
      <c r="J348" t="n">
        <v>0</v>
      </c>
      <c r="K348" t="n">
        <v>0</v>
      </c>
      <c r="L348" t="n">
        <v>0</v>
      </c>
      <c r="M348" t="n">
        <v>0</v>
      </c>
      <c r="N348" t="n">
        <v>0</v>
      </c>
      <c r="O348" t="n">
        <v>0</v>
      </c>
      <c r="P348" t="n">
        <v>0</v>
      </c>
      <c r="Q348" t="n">
        <v>0</v>
      </c>
      <c r="R348" s="2" t="inlineStr"/>
    </row>
    <row r="349" ht="15" customHeight="1">
      <c r="A349" t="inlineStr">
        <is>
          <t>A 39202-2025</t>
        </is>
      </c>
      <c r="B349" s="1" t="n">
        <v>45888.72116898148</v>
      </c>
      <c r="C349" s="1" t="n">
        <v>45917</v>
      </c>
      <c r="D349" t="inlineStr">
        <is>
          <t>JÄMTLANDS LÄN</t>
        </is>
      </c>
      <c r="E349" t="inlineStr">
        <is>
          <t>ÅRE</t>
        </is>
      </c>
      <c r="G349" t="n">
        <v>4.4</v>
      </c>
      <c r="H349" t="n">
        <v>0</v>
      </c>
      <c r="I349" t="n">
        <v>0</v>
      </c>
      <c r="J349" t="n">
        <v>0</v>
      </c>
      <c r="K349" t="n">
        <v>0</v>
      </c>
      <c r="L349" t="n">
        <v>0</v>
      </c>
      <c r="M349" t="n">
        <v>0</v>
      </c>
      <c r="N349" t="n">
        <v>0</v>
      </c>
      <c r="O349" t="n">
        <v>0</v>
      </c>
      <c r="P349" t="n">
        <v>0</v>
      </c>
      <c r="Q349" t="n">
        <v>0</v>
      </c>
      <c r="R349" s="2" t="inlineStr"/>
    </row>
    <row r="350" ht="15" customHeight="1">
      <c r="A350" t="inlineStr">
        <is>
          <t>A 39115-2025</t>
        </is>
      </c>
      <c r="B350" s="1" t="n">
        <v>45888.55096064815</v>
      </c>
      <c r="C350" s="1" t="n">
        <v>45917</v>
      </c>
      <c r="D350" t="inlineStr">
        <is>
          <t>JÄMTLANDS LÄN</t>
        </is>
      </c>
      <c r="E350" t="inlineStr">
        <is>
          <t>ÅRE</t>
        </is>
      </c>
      <c r="F350" t="inlineStr">
        <is>
          <t>Övriga statliga verk och myndigheter</t>
        </is>
      </c>
      <c r="G350" t="n">
        <v>11.4</v>
      </c>
      <c r="H350" t="n">
        <v>0</v>
      </c>
      <c r="I350" t="n">
        <v>0</v>
      </c>
      <c r="J350" t="n">
        <v>0</v>
      </c>
      <c r="K350" t="n">
        <v>0</v>
      </c>
      <c r="L350" t="n">
        <v>0</v>
      </c>
      <c r="M350" t="n">
        <v>0</v>
      </c>
      <c r="N350" t="n">
        <v>0</v>
      </c>
      <c r="O350" t="n">
        <v>0</v>
      </c>
      <c r="P350" t="n">
        <v>0</v>
      </c>
      <c r="Q350" t="n">
        <v>0</v>
      </c>
      <c r="R350" s="2" t="inlineStr"/>
    </row>
    <row r="351" ht="15" customHeight="1">
      <c r="A351" t="inlineStr">
        <is>
          <t>A 3196-2023</t>
        </is>
      </c>
      <c r="B351" s="1" t="n">
        <v>44946</v>
      </c>
      <c r="C351" s="1" t="n">
        <v>45917</v>
      </c>
      <c r="D351" t="inlineStr">
        <is>
          <t>JÄMTLANDS LÄN</t>
        </is>
      </c>
      <c r="E351" t="inlineStr">
        <is>
          <t>ÅRE</t>
        </is>
      </c>
      <c r="G351" t="n">
        <v>5.1</v>
      </c>
      <c r="H351" t="n">
        <v>0</v>
      </c>
      <c r="I351" t="n">
        <v>0</v>
      </c>
      <c r="J351" t="n">
        <v>0</v>
      </c>
      <c r="K351" t="n">
        <v>0</v>
      </c>
      <c r="L351" t="n">
        <v>0</v>
      </c>
      <c r="M351" t="n">
        <v>0</v>
      </c>
      <c r="N351" t="n">
        <v>0</v>
      </c>
      <c r="O351" t="n">
        <v>0</v>
      </c>
      <c r="P351" t="n">
        <v>0</v>
      </c>
      <c r="Q351" t="n">
        <v>0</v>
      </c>
      <c r="R351" s="2" t="inlineStr"/>
    </row>
    <row r="352" ht="15" customHeight="1">
      <c r="A352" t="inlineStr">
        <is>
          <t>A 2374-2023</t>
        </is>
      </c>
      <c r="B352" s="1" t="n">
        <v>44942.69005787037</v>
      </c>
      <c r="C352" s="1" t="n">
        <v>45917</v>
      </c>
      <c r="D352" t="inlineStr">
        <is>
          <t>JÄMTLANDS LÄN</t>
        </is>
      </c>
      <c r="E352" t="inlineStr">
        <is>
          <t>ÅRE</t>
        </is>
      </c>
      <c r="G352" t="n">
        <v>0.6</v>
      </c>
      <c r="H352" t="n">
        <v>0</v>
      </c>
      <c r="I352" t="n">
        <v>0</v>
      </c>
      <c r="J352" t="n">
        <v>0</v>
      </c>
      <c r="K352" t="n">
        <v>0</v>
      </c>
      <c r="L352" t="n">
        <v>0</v>
      </c>
      <c r="M352" t="n">
        <v>0</v>
      </c>
      <c r="N352" t="n">
        <v>0</v>
      </c>
      <c r="O352" t="n">
        <v>0</v>
      </c>
      <c r="P352" t="n">
        <v>0</v>
      </c>
      <c r="Q352" t="n">
        <v>0</v>
      </c>
      <c r="R352" s="2" t="inlineStr"/>
    </row>
    <row r="353" ht="15" customHeight="1">
      <c r="A353" t="inlineStr">
        <is>
          <t>A 45796-2024</t>
        </is>
      </c>
      <c r="B353" s="1" t="n">
        <v>45579.67354166666</v>
      </c>
      <c r="C353" s="1" t="n">
        <v>45917</v>
      </c>
      <c r="D353" t="inlineStr">
        <is>
          <t>JÄMTLANDS LÄN</t>
        </is>
      </c>
      <c r="E353" t="inlineStr">
        <is>
          <t>ÅRE</t>
        </is>
      </c>
      <c r="G353" t="n">
        <v>5</v>
      </c>
      <c r="H353" t="n">
        <v>0</v>
      </c>
      <c r="I353" t="n">
        <v>0</v>
      </c>
      <c r="J353" t="n">
        <v>0</v>
      </c>
      <c r="K353" t="n">
        <v>0</v>
      </c>
      <c r="L353" t="n">
        <v>0</v>
      </c>
      <c r="M353" t="n">
        <v>0</v>
      </c>
      <c r="N353" t="n">
        <v>0</v>
      </c>
      <c r="O353" t="n">
        <v>0</v>
      </c>
      <c r="P353" t="n">
        <v>0</v>
      </c>
      <c r="Q353" t="n">
        <v>0</v>
      </c>
      <c r="R353" s="2" t="inlineStr"/>
    </row>
    <row r="354" ht="15" customHeight="1">
      <c r="A354" t="inlineStr">
        <is>
          <t>A 39509-2025</t>
        </is>
      </c>
      <c r="B354" s="1" t="n">
        <v>45890.40737268519</v>
      </c>
      <c r="C354" s="1" t="n">
        <v>45917</v>
      </c>
      <c r="D354" t="inlineStr">
        <is>
          <t>JÄMTLANDS LÄN</t>
        </is>
      </c>
      <c r="E354" t="inlineStr">
        <is>
          <t>ÅRE</t>
        </is>
      </c>
      <c r="G354" t="n">
        <v>5.6</v>
      </c>
      <c r="H354" t="n">
        <v>0</v>
      </c>
      <c r="I354" t="n">
        <v>0</v>
      </c>
      <c r="J354" t="n">
        <v>0</v>
      </c>
      <c r="K354" t="n">
        <v>0</v>
      </c>
      <c r="L354" t="n">
        <v>0</v>
      </c>
      <c r="M354" t="n">
        <v>0</v>
      </c>
      <c r="N354" t="n">
        <v>0</v>
      </c>
      <c r="O354" t="n">
        <v>0</v>
      </c>
      <c r="P354" t="n">
        <v>0</v>
      </c>
      <c r="Q354" t="n">
        <v>0</v>
      </c>
      <c r="R354" s="2" t="inlineStr"/>
    </row>
    <row r="355" ht="15" customHeight="1">
      <c r="A355" t="inlineStr">
        <is>
          <t>A 65239-2021</t>
        </is>
      </c>
      <c r="B355" s="1" t="n">
        <v>44515</v>
      </c>
      <c r="C355" s="1" t="n">
        <v>45917</v>
      </c>
      <c r="D355" t="inlineStr">
        <is>
          <t>JÄMTLANDS LÄN</t>
        </is>
      </c>
      <c r="E355" t="inlineStr">
        <is>
          <t>ÅRE</t>
        </is>
      </c>
      <c r="G355" t="n">
        <v>0</v>
      </c>
      <c r="H355" t="n">
        <v>0</v>
      </c>
      <c r="I355" t="n">
        <v>0</v>
      </c>
      <c r="J355" t="n">
        <v>0</v>
      </c>
      <c r="K355" t="n">
        <v>0</v>
      </c>
      <c r="L355" t="n">
        <v>0</v>
      </c>
      <c r="M355" t="n">
        <v>0</v>
      </c>
      <c r="N355" t="n">
        <v>0</v>
      </c>
      <c r="O355" t="n">
        <v>0</v>
      </c>
      <c r="P355" t="n">
        <v>0</v>
      </c>
      <c r="Q355" t="n">
        <v>0</v>
      </c>
      <c r="R355" s="2" t="inlineStr"/>
    </row>
    <row r="356" ht="15" customHeight="1">
      <c r="A356" t="inlineStr">
        <is>
          <t>A 54907-2023</t>
        </is>
      </c>
      <c r="B356" s="1" t="n">
        <v>45236.65784722222</v>
      </c>
      <c r="C356" s="1" t="n">
        <v>45917</v>
      </c>
      <c r="D356" t="inlineStr">
        <is>
          <t>JÄMTLANDS LÄN</t>
        </is>
      </c>
      <c r="E356" t="inlineStr">
        <is>
          <t>ÅRE</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21905-2021</t>
        </is>
      </c>
      <c r="B357" s="1" t="n">
        <v>44322</v>
      </c>
      <c r="C357" s="1" t="n">
        <v>45917</v>
      </c>
      <c r="D357" t="inlineStr">
        <is>
          <t>JÄMTLANDS LÄN</t>
        </is>
      </c>
      <c r="E357" t="inlineStr">
        <is>
          <t>ÅRE</t>
        </is>
      </c>
      <c r="G357" t="n">
        <v>14.3</v>
      </c>
      <c r="H357" t="n">
        <v>0</v>
      </c>
      <c r="I357" t="n">
        <v>0</v>
      </c>
      <c r="J357" t="n">
        <v>0</v>
      </c>
      <c r="K357" t="n">
        <v>0</v>
      </c>
      <c r="L357" t="n">
        <v>0</v>
      </c>
      <c r="M357" t="n">
        <v>0</v>
      </c>
      <c r="N357" t="n">
        <v>0</v>
      </c>
      <c r="O357" t="n">
        <v>0</v>
      </c>
      <c r="P357" t="n">
        <v>0</v>
      </c>
      <c r="Q357" t="n">
        <v>0</v>
      </c>
      <c r="R357" s="2" t="inlineStr"/>
    </row>
    <row r="358" ht="15" customHeight="1">
      <c r="A358" t="inlineStr">
        <is>
          <t>A 3147-2023</t>
        </is>
      </c>
      <c r="B358" s="1" t="n">
        <v>44946</v>
      </c>
      <c r="C358" s="1" t="n">
        <v>45917</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34925-2025</t>
        </is>
      </c>
      <c r="B359" s="1" t="n">
        <v>45849</v>
      </c>
      <c r="C359" s="1" t="n">
        <v>45917</v>
      </c>
      <c r="D359" t="inlineStr">
        <is>
          <t>JÄMTLANDS LÄN</t>
        </is>
      </c>
      <c r="E359" t="inlineStr">
        <is>
          <t>ÅRE</t>
        </is>
      </c>
      <c r="G359" t="n">
        <v>1.9</v>
      </c>
      <c r="H359" t="n">
        <v>0</v>
      </c>
      <c r="I359" t="n">
        <v>0</v>
      </c>
      <c r="J359" t="n">
        <v>0</v>
      </c>
      <c r="K359" t="n">
        <v>0</v>
      </c>
      <c r="L359" t="n">
        <v>0</v>
      </c>
      <c r="M359" t="n">
        <v>0</v>
      </c>
      <c r="N359" t="n">
        <v>0</v>
      </c>
      <c r="O359" t="n">
        <v>0</v>
      </c>
      <c r="P359" t="n">
        <v>0</v>
      </c>
      <c r="Q359" t="n">
        <v>0</v>
      </c>
      <c r="R359" s="2" t="inlineStr"/>
    </row>
    <row r="360" ht="15" customHeight="1">
      <c r="A360" t="inlineStr">
        <is>
          <t>A 3263-2023</t>
        </is>
      </c>
      <c r="B360" s="1" t="n">
        <v>44948.98751157407</v>
      </c>
      <c r="C360" s="1" t="n">
        <v>45917</v>
      </c>
      <c r="D360" t="inlineStr">
        <is>
          <t>JÄMTLANDS LÄN</t>
        </is>
      </c>
      <c r="E360" t="inlineStr">
        <is>
          <t>ÅRE</t>
        </is>
      </c>
      <c r="G360" t="n">
        <v>1.7</v>
      </c>
      <c r="H360" t="n">
        <v>0</v>
      </c>
      <c r="I360" t="n">
        <v>0</v>
      </c>
      <c r="J360" t="n">
        <v>0</v>
      </c>
      <c r="K360" t="n">
        <v>0</v>
      </c>
      <c r="L360" t="n">
        <v>0</v>
      </c>
      <c r="M360" t="n">
        <v>0</v>
      </c>
      <c r="N360" t="n">
        <v>0</v>
      </c>
      <c r="O360" t="n">
        <v>0</v>
      </c>
      <c r="P360" t="n">
        <v>0</v>
      </c>
      <c r="Q360" t="n">
        <v>0</v>
      </c>
      <c r="R360" s="2" t="inlineStr"/>
    </row>
    <row r="361" ht="15" customHeight="1">
      <c r="A361" t="inlineStr">
        <is>
          <t>A 57150-2021</t>
        </is>
      </c>
      <c r="B361" s="1" t="n">
        <v>44482</v>
      </c>
      <c r="C361" s="1" t="n">
        <v>45917</v>
      </c>
      <c r="D361" t="inlineStr">
        <is>
          <t>JÄMTLANDS LÄN</t>
        </is>
      </c>
      <c r="E361" t="inlineStr">
        <is>
          <t>ÅRE</t>
        </is>
      </c>
      <c r="G361" t="n">
        <v>1.3</v>
      </c>
      <c r="H361" t="n">
        <v>0</v>
      </c>
      <c r="I361" t="n">
        <v>0</v>
      </c>
      <c r="J361" t="n">
        <v>0</v>
      </c>
      <c r="K361" t="n">
        <v>0</v>
      </c>
      <c r="L361" t="n">
        <v>0</v>
      </c>
      <c r="M361" t="n">
        <v>0</v>
      </c>
      <c r="N361" t="n">
        <v>0</v>
      </c>
      <c r="O361" t="n">
        <v>0</v>
      </c>
      <c r="P361" t="n">
        <v>0</v>
      </c>
      <c r="Q361" t="n">
        <v>0</v>
      </c>
      <c r="R361" s="2" t="inlineStr"/>
    </row>
    <row r="362" ht="15" customHeight="1">
      <c r="A362" t="inlineStr">
        <is>
          <t>A 46789-2024</t>
        </is>
      </c>
      <c r="B362" s="1" t="n">
        <v>45583.53219907408</v>
      </c>
      <c r="C362" s="1" t="n">
        <v>45917</v>
      </c>
      <c r="D362" t="inlineStr">
        <is>
          <t>JÄMTLANDS LÄN</t>
        </is>
      </c>
      <c r="E362" t="inlineStr">
        <is>
          <t>ÅRE</t>
        </is>
      </c>
      <c r="F362" t="inlineStr">
        <is>
          <t>Övriga Aktiebolag</t>
        </is>
      </c>
      <c r="G362" t="n">
        <v>2.7</v>
      </c>
      <c r="H362" t="n">
        <v>0</v>
      </c>
      <c r="I362" t="n">
        <v>0</v>
      </c>
      <c r="J362" t="n">
        <v>0</v>
      </c>
      <c r="K362" t="n">
        <v>0</v>
      </c>
      <c r="L362" t="n">
        <v>0</v>
      </c>
      <c r="M362" t="n">
        <v>0</v>
      </c>
      <c r="N362" t="n">
        <v>0</v>
      </c>
      <c r="O362" t="n">
        <v>0</v>
      </c>
      <c r="P362" t="n">
        <v>0</v>
      </c>
      <c r="Q362" t="n">
        <v>0</v>
      </c>
      <c r="R362" s="2" t="inlineStr"/>
    </row>
    <row r="363" ht="15" customHeight="1">
      <c r="A363" t="inlineStr">
        <is>
          <t>A 26032-2023</t>
        </is>
      </c>
      <c r="B363" s="1" t="n">
        <v>45091.31304398148</v>
      </c>
      <c r="C363" s="1" t="n">
        <v>45917</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26033-2023</t>
        </is>
      </c>
      <c r="B364" s="1" t="n">
        <v>45091.31530092593</v>
      </c>
      <c r="C364" s="1" t="n">
        <v>45917</v>
      </c>
      <c r="D364" t="inlineStr">
        <is>
          <t>JÄMTLANDS LÄN</t>
        </is>
      </c>
      <c r="E364" t="inlineStr">
        <is>
          <t>ÅRE</t>
        </is>
      </c>
      <c r="G364" t="n">
        <v>0.7</v>
      </c>
      <c r="H364" t="n">
        <v>0</v>
      </c>
      <c r="I364" t="n">
        <v>0</v>
      </c>
      <c r="J364" t="n">
        <v>0</v>
      </c>
      <c r="K364" t="n">
        <v>0</v>
      </c>
      <c r="L364" t="n">
        <v>0</v>
      </c>
      <c r="M364" t="n">
        <v>0</v>
      </c>
      <c r="N364" t="n">
        <v>0</v>
      </c>
      <c r="O364" t="n">
        <v>0</v>
      </c>
      <c r="P364" t="n">
        <v>0</v>
      </c>
      <c r="Q364" t="n">
        <v>0</v>
      </c>
      <c r="R364" s="2" t="inlineStr"/>
    </row>
    <row r="365" ht="15" customHeight="1">
      <c r="A365" t="inlineStr">
        <is>
          <t>A 35058-2025</t>
        </is>
      </c>
      <c r="B365" s="1" t="n">
        <v>45849</v>
      </c>
      <c r="C365" s="1" t="n">
        <v>45917</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39742-2025</t>
        </is>
      </c>
      <c r="B366" s="1" t="n">
        <v>45891.37998842593</v>
      </c>
      <c r="C366" s="1" t="n">
        <v>45917</v>
      </c>
      <c r="D366" t="inlineStr">
        <is>
          <t>JÄMTLANDS LÄN</t>
        </is>
      </c>
      <c r="E366" t="inlineStr">
        <is>
          <t>ÅRE</t>
        </is>
      </c>
      <c r="F366" t="inlineStr">
        <is>
          <t>Övriga statliga verk och myndigheter</t>
        </is>
      </c>
      <c r="G366" t="n">
        <v>6.2</v>
      </c>
      <c r="H366" t="n">
        <v>0</v>
      </c>
      <c r="I366" t="n">
        <v>0</v>
      </c>
      <c r="J366" t="n">
        <v>0</v>
      </c>
      <c r="K366" t="n">
        <v>0</v>
      </c>
      <c r="L366" t="n">
        <v>0</v>
      </c>
      <c r="M366" t="n">
        <v>0</v>
      </c>
      <c r="N366" t="n">
        <v>0</v>
      </c>
      <c r="O366" t="n">
        <v>0</v>
      </c>
      <c r="P366" t="n">
        <v>0</v>
      </c>
      <c r="Q366" t="n">
        <v>0</v>
      </c>
      <c r="R366" s="2" t="inlineStr"/>
    </row>
    <row r="367" ht="15" customHeight="1">
      <c r="A367" t="inlineStr">
        <is>
          <t>A 4777-2025</t>
        </is>
      </c>
      <c r="B367" s="1" t="n">
        <v>45688</v>
      </c>
      <c r="C367" s="1" t="n">
        <v>45917</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34805-2025</t>
        </is>
      </c>
      <c r="B368" s="1" t="n">
        <v>45849.33071759259</v>
      </c>
      <c r="C368" s="1" t="n">
        <v>45917</v>
      </c>
      <c r="D368" t="inlineStr">
        <is>
          <t>JÄMTLANDS LÄN</t>
        </is>
      </c>
      <c r="E368" t="inlineStr">
        <is>
          <t>ÅRE</t>
        </is>
      </c>
      <c r="G368" t="n">
        <v>2.2</v>
      </c>
      <c r="H368" t="n">
        <v>0</v>
      </c>
      <c r="I368" t="n">
        <v>0</v>
      </c>
      <c r="J368" t="n">
        <v>0</v>
      </c>
      <c r="K368" t="n">
        <v>0</v>
      </c>
      <c r="L368" t="n">
        <v>0</v>
      </c>
      <c r="M368" t="n">
        <v>0</v>
      </c>
      <c r="N368" t="n">
        <v>0</v>
      </c>
      <c r="O368" t="n">
        <v>0</v>
      </c>
      <c r="P368" t="n">
        <v>0</v>
      </c>
      <c r="Q368" t="n">
        <v>0</v>
      </c>
      <c r="R368" s="2" t="inlineStr"/>
    </row>
    <row r="369" ht="15" customHeight="1">
      <c r="A369" t="inlineStr">
        <is>
          <t>A 34897-2025</t>
        </is>
      </c>
      <c r="B369" s="1" t="n">
        <v>45849</v>
      </c>
      <c r="C369" s="1" t="n">
        <v>45917</v>
      </c>
      <c r="D369" t="inlineStr">
        <is>
          <t>JÄMTLANDS LÄN</t>
        </is>
      </c>
      <c r="E369" t="inlineStr">
        <is>
          <t>ÅRE</t>
        </is>
      </c>
      <c r="G369" t="n">
        <v>1.6</v>
      </c>
      <c r="H369" t="n">
        <v>0</v>
      </c>
      <c r="I369" t="n">
        <v>0</v>
      </c>
      <c r="J369" t="n">
        <v>0</v>
      </c>
      <c r="K369" t="n">
        <v>0</v>
      </c>
      <c r="L369" t="n">
        <v>0</v>
      </c>
      <c r="M369" t="n">
        <v>0</v>
      </c>
      <c r="N369" t="n">
        <v>0</v>
      </c>
      <c r="O369" t="n">
        <v>0</v>
      </c>
      <c r="P369" t="n">
        <v>0</v>
      </c>
      <c r="Q369" t="n">
        <v>0</v>
      </c>
      <c r="R369" s="2" t="inlineStr"/>
    </row>
    <row r="370" ht="15" customHeight="1">
      <c r="A370" t="inlineStr">
        <is>
          <t>A 35054-2025</t>
        </is>
      </c>
      <c r="B370" s="1" t="n">
        <v>45849</v>
      </c>
      <c r="C370" s="1" t="n">
        <v>45917</v>
      </c>
      <c r="D370" t="inlineStr">
        <is>
          <t>JÄMTLANDS LÄN</t>
        </is>
      </c>
      <c r="E370" t="inlineStr">
        <is>
          <t>ÅRE</t>
        </is>
      </c>
      <c r="G370" t="n">
        <v>5.3</v>
      </c>
      <c r="H370" t="n">
        <v>0</v>
      </c>
      <c r="I370" t="n">
        <v>0</v>
      </c>
      <c r="J370" t="n">
        <v>0</v>
      </c>
      <c r="K370" t="n">
        <v>0</v>
      </c>
      <c r="L370" t="n">
        <v>0</v>
      </c>
      <c r="M370" t="n">
        <v>0</v>
      </c>
      <c r="N370" t="n">
        <v>0</v>
      </c>
      <c r="O370" t="n">
        <v>0</v>
      </c>
      <c r="P370" t="n">
        <v>0</v>
      </c>
      <c r="Q370" t="n">
        <v>0</v>
      </c>
      <c r="R370" s="2" t="inlineStr"/>
    </row>
    <row r="371" ht="15" customHeight="1">
      <c r="A371" t="inlineStr">
        <is>
          <t>A 39744-2025</t>
        </is>
      </c>
      <c r="B371" s="1" t="n">
        <v>45891.38489583333</v>
      </c>
      <c r="C371" s="1" t="n">
        <v>45917</v>
      </c>
      <c r="D371" t="inlineStr">
        <is>
          <t>JÄMTLANDS LÄN</t>
        </is>
      </c>
      <c r="E371" t="inlineStr">
        <is>
          <t>ÅRE</t>
        </is>
      </c>
      <c r="F371" t="inlineStr">
        <is>
          <t>Övriga statliga verk och myndigheter</t>
        </is>
      </c>
      <c r="G371" t="n">
        <v>14.4</v>
      </c>
      <c r="H371" t="n">
        <v>0</v>
      </c>
      <c r="I371" t="n">
        <v>0</v>
      </c>
      <c r="J371" t="n">
        <v>0</v>
      </c>
      <c r="K371" t="n">
        <v>0</v>
      </c>
      <c r="L371" t="n">
        <v>0</v>
      </c>
      <c r="M371" t="n">
        <v>0</v>
      </c>
      <c r="N371" t="n">
        <v>0</v>
      </c>
      <c r="O371" t="n">
        <v>0</v>
      </c>
      <c r="P371" t="n">
        <v>0</v>
      </c>
      <c r="Q371" t="n">
        <v>0</v>
      </c>
      <c r="R371" s="2" t="inlineStr"/>
    </row>
    <row r="372" ht="15" customHeight="1">
      <c r="A372" t="inlineStr">
        <is>
          <t>A 14202-2021</t>
        </is>
      </c>
      <c r="B372" s="1" t="n">
        <v>44278</v>
      </c>
      <c r="C372" s="1" t="n">
        <v>45917</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19705-2023</t>
        </is>
      </c>
      <c r="B373" s="1" t="n">
        <v>45051</v>
      </c>
      <c r="C373" s="1" t="n">
        <v>45917</v>
      </c>
      <c r="D373" t="inlineStr">
        <is>
          <t>JÄMTLANDS LÄN</t>
        </is>
      </c>
      <c r="E373" t="inlineStr">
        <is>
          <t>ÅRE</t>
        </is>
      </c>
      <c r="G373" t="n">
        <v>4.7</v>
      </c>
      <c r="H373" t="n">
        <v>0</v>
      </c>
      <c r="I373" t="n">
        <v>0</v>
      </c>
      <c r="J373" t="n">
        <v>0</v>
      </c>
      <c r="K373" t="n">
        <v>0</v>
      </c>
      <c r="L373" t="n">
        <v>0</v>
      </c>
      <c r="M373" t="n">
        <v>0</v>
      </c>
      <c r="N373" t="n">
        <v>0</v>
      </c>
      <c r="O373" t="n">
        <v>0</v>
      </c>
      <c r="P373" t="n">
        <v>0</v>
      </c>
      <c r="Q373" t="n">
        <v>0</v>
      </c>
      <c r="R373" s="2" t="inlineStr"/>
    </row>
    <row r="374" ht="15" customHeight="1">
      <c r="A374" t="inlineStr">
        <is>
          <t>A 17751-2025</t>
        </is>
      </c>
      <c r="B374" s="1" t="n">
        <v>45758</v>
      </c>
      <c r="C374" s="1" t="n">
        <v>45917</v>
      </c>
      <c r="D374" t="inlineStr">
        <is>
          <t>JÄMTLANDS LÄN</t>
        </is>
      </c>
      <c r="E374" t="inlineStr">
        <is>
          <t>ÅRE</t>
        </is>
      </c>
      <c r="G374" t="n">
        <v>1.8</v>
      </c>
      <c r="H374" t="n">
        <v>0</v>
      </c>
      <c r="I374" t="n">
        <v>0</v>
      </c>
      <c r="J374" t="n">
        <v>0</v>
      </c>
      <c r="K374" t="n">
        <v>0</v>
      </c>
      <c r="L374" t="n">
        <v>0</v>
      </c>
      <c r="M374" t="n">
        <v>0</v>
      </c>
      <c r="N374" t="n">
        <v>0</v>
      </c>
      <c r="O374" t="n">
        <v>0</v>
      </c>
      <c r="P374" t="n">
        <v>0</v>
      </c>
      <c r="Q374" t="n">
        <v>0</v>
      </c>
      <c r="R374" s="2" t="inlineStr"/>
    </row>
    <row r="375" ht="15" customHeight="1">
      <c r="A375" t="inlineStr">
        <is>
          <t>A 44889-2023</t>
        </is>
      </c>
      <c r="B375" s="1" t="n">
        <v>45190</v>
      </c>
      <c r="C375" s="1" t="n">
        <v>45917</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13221-2022</t>
        </is>
      </c>
      <c r="B376" s="1" t="n">
        <v>44644</v>
      </c>
      <c r="C376" s="1" t="n">
        <v>45917</v>
      </c>
      <c r="D376" t="inlineStr">
        <is>
          <t>JÄMTLANDS LÄN</t>
        </is>
      </c>
      <c r="E376" t="inlineStr">
        <is>
          <t>ÅRE</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61524-2021</t>
        </is>
      </c>
      <c r="B377" s="1" t="n">
        <v>44496</v>
      </c>
      <c r="C377" s="1" t="n">
        <v>45917</v>
      </c>
      <c r="D377" t="inlineStr">
        <is>
          <t>JÄMTLANDS LÄN</t>
        </is>
      </c>
      <c r="E377" t="inlineStr">
        <is>
          <t>ÅRE</t>
        </is>
      </c>
      <c r="F377" t="inlineStr">
        <is>
          <t>Övriga statliga verk och myndigheter</t>
        </is>
      </c>
      <c r="G377" t="n">
        <v>15</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45917</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40318-2025</t>
        </is>
      </c>
      <c r="B379" s="1" t="n">
        <v>45895.43939814815</v>
      </c>
      <c r="C379" s="1" t="n">
        <v>45917</v>
      </c>
      <c r="D379" t="inlineStr">
        <is>
          <t>JÄMTLANDS LÄN</t>
        </is>
      </c>
      <c r="E379" t="inlineStr">
        <is>
          <t>ÅRE</t>
        </is>
      </c>
      <c r="G379" t="n">
        <v>5.9</v>
      </c>
      <c r="H379" t="n">
        <v>0</v>
      </c>
      <c r="I379" t="n">
        <v>0</v>
      </c>
      <c r="J379" t="n">
        <v>0</v>
      </c>
      <c r="K379" t="n">
        <v>0</v>
      </c>
      <c r="L379" t="n">
        <v>0</v>
      </c>
      <c r="M379" t="n">
        <v>0</v>
      </c>
      <c r="N379" t="n">
        <v>0</v>
      </c>
      <c r="O379" t="n">
        <v>0</v>
      </c>
      <c r="P379" t="n">
        <v>0</v>
      </c>
      <c r="Q379" t="n">
        <v>0</v>
      </c>
      <c r="R379" s="2" t="inlineStr"/>
    </row>
    <row r="380" ht="15" customHeight="1">
      <c r="A380" t="inlineStr">
        <is>
          <t>A 12193-2023</t>
        </is>
      </c>
      <c r="B380" s="1" t="n">
        <v>44998</v>
      </c>
      <c r="C380" s="1" t="n">
        <v>45917</v>
      </c>
      <c r="D380" t="inlineStr">
        <is>
          <t>JÄMTLANDS LÄN</t>
        </is>
      </c>
      <c r="E380" t="inlineStr">
        <is>
          <t>ÅRE</t>
        </is>
      </c>
      <c r="G380" t="n">
        <v>14.7</v>
      </c>
      <c r="H380" t="n">
        <v>0</v>
      </c>
      <c r="I380" t="n">
        <v>0</v>
      </c>
      <c r="J380" t="n">
        <v>0</v>
      </c>
      <c r="K380" t="n">
        <v>0</v>
      </c>
      <c r="L380" t="n">
        <v>0</v>
      </c>
      <c r="M380" t="n">
        <v>0</v>
      </c>
      <c r="N380" t="n">
        <v>0</v>
      </c>
      <c r="O380" t="n">
        <v>0</v>
      </c>
      <c r="P380" t="n">
        <v>0</v>
      </c>
      <c r="Q380" t="n">
        <v>0</v>
      </c>
      <c r="R380" s="2" t="inlineStr"/>
    </row>
    <row r="381" ht="15" customHeight="1">
      <c r="A381" t="inlineStr">
        <is>
          <t>A 17566-2023</t>
        </is>
      </c>
      <c r="B381" s="1" t="n">
        <v>45034</v>
      </c>
      <c r="C381" s="1" t="n">
        <v>45917</v>
      </c>
      <c r="D381" t="inlineStr">
        <is>
          <t>JÄMTLANDS LÄN</t>
        </is>
      </c>
      <c r="E381" t="inlineStr">
        <is>
          <t>ÅRE</t>
        </is>
      </c>
      <c r="G381" t="n">
        <v>4.8</v>
      </c>
      <c r="H381" t="n">
        <v>0</v>
      </c>
      <c r="I381" t="n">
        <v>0</v>
      </c>
      <c r="J381" t="n">
        <v>0</v>
      </c>
      <c r="K381" t="n">
        <v>0</v>
      </c>
      <c r="L381" t="n">
        <v>0</v>
      </c>
      <c r="M381" t="n">
        <v>0</v>
      </c>
      <c r="N381" t="n">
        <v>0</v>
      </c>
      <c r="O381" t="n">
        <v>0</v>
      </c>
      <c r="P381" t="n">
        <v>0</v>
      </c>
      <c r="Q381" t="n">
        <v>0</v>
      </c>
      <c r="R381" s="2" t="inlineStr"/>
    </row>
    <row r="382" ht="15" customHeight="1">
      <c r="A382" t="inlineStr">
        <is>
          <t>A 73086-2021</t>
        </is>
      </c>
      <c r="B382" s="1" t="n">
        <v>44550</v>
      </c>
      <c r="C382" s="1" t="n">
        <v>45917</v>
      </c>
      <c r="D382" t="inlineStr">
        <is>
          <t>JÄMTLANDS LÄN</t>
        </is>
      </c>
      <c r="E382" t="inlineStr">
        <is>
          <t>ÅRE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8294-2021</t>
        </is>
      </c>
      <c r="B383" s="1" t="n">
        <v>44243</v>
      </c>
      <c r="C383" s="1" t="n">
        <v>45917</v>
      </c>
      <c r="D383" t="inlineStr">
        <is>
          <t>JÄMTLANDS LÄN</t>
        </is>
      </c>
      <c r="E383" t="inlineStr">
        <is>
          <t>ÅRE</t>
        </is>
      </c>
      <c r="G383" t="n">
        <v>16.5</v>
      </c>
      <c r="H383" t="n">
        <v>0</v>
      </c>
      <c r="I383" t="n">
        <v>0</v>
      </c>
      <c r="J383" t="n">
        <v>0</v>
      </c>
      <c r="K383" t="n">
        <v>0</v>
      </c>
      <c r="L383" t="n">
        <v>0</v>
      </c>
      <c r="M383" t="n">
        <v>0</v>
      </c>
      <c r="N383" t="n">
        <v>0</v>
      </c>
      <c r="O383" t="n">
        <v>0</v>
      </c>
      <c r="P383" t="n">
        <v>0</v>
      </c>
      <c r="Q383" t="n">
        <v>0</v>
      </c>
      <c r="R383" s="2" t="inlineStr"/>
    </row>
    <row r="384" ht="15" customHeight="1">
      <c r="A384" t="inlineStr">
        <is>
          <t>A 61806-2021</t>
        </is>
      </c>
      <c r="B384" s="1" t="n">
        <v>44498</v>
      </c>
      <c r="C384" s="1" t="n">
        <v>45917</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61014-2024</t>
        </is>
      </c>
      <c r="B385" s="1" t="n">
        <v>45645.449375</v>
      </c>
      <c r="C385" s="1" t="n">
        <v>45917</v>
      </c>
      <c r="D385" t="inlineStr">
        <is>
          <t>JÄMTLANDS LÄN</t>
        </is>
      </c>
      <c r="E385" t="inlineStr">
        <is>
          <t>ÅRE</t>
        </is>
      </c>
      <c r="F385" t="inlineStr">
        <is>
          <t>Övriga Aktiebolag</t>
        </is>
      </c>
      <c r="G385" t="n">
        <v>4.9</v>
      </c>
      <c r="H385" t="n">
        <v>0</v>
      </c>
      <c r="I385" t="n">
        <v>0</v>
      </c>
      <c r="J385" t="n">
        <v>0</v>
      </c>
      <c r="K385" t="n">
        <v>0</v>
      </c>
      <c r="L385" t="n">
        <v>0</v>
      </c>
      <c r="M385" t="n">
        <v>0</v>
      </c>
      <c r="N385" t="n">
        <v>0</v>
      </c>
      <c r="O385" t="n">
        <v>0</v>
      </c>
      <c r="P385" t="n">
        <v>0</v>
      </c>
      <c r="Q385" t="n">
        <v>0</v>
      </c>
      <c r="R385" s="2" t="inlineStr"/>
    </row>
    <row r="386" ht="15" customHeight="1">
      <c r="A386" t="inlineStr">
        <is>
          <t>A 54324-2023</t>
        </is>
      </c>
      <c r="B386" s="1" t="n">
        <v>45225</v>
      </c>
      <c r="C386" s="1" t="n">
        <v>45917</v>
      </c>
      <c r="D386" t="inlineStr">
        <is>
          <t>JÄMTLANDS LÄN</t>
        </is>
      </c>
      <c r="E386" t="inlineStr">
        <is>
          <t>ÅRE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20485-2024</t>
        </is>
      </c>
      <c r="B387" s="1" t="n">
        <v>45435.7403125</v>
      </c>
      <c r="C387" s="1" t="n">
        <v>45917</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10285-2021</t>
        </is>
      </c>
      <c r="B388" s="1" t="n">
        <v>44257</v>
      </c>
      <c r="C388" s="1" t="n">
        <v>45917</v>
      </c>
      <c r="D388" t="inlineStr">
        <is>
          <t>JÄMTLANDS LÄN</t>
        </is>
      </c>
      <c r="E388" t="inlineStr">
        <is>
          <t>ÅRE</t>
        </is>
      </c>
      <c r="G388" t="n">
        <v>2.9</v>
      </c>
      <c r="H388" t="n">
        <v>0</v>
      </c>
      <c r="I388" t="n">
        <v>0</v>
      </c>
      <c r="J388" t="n">
        <v>0</v>
      </c>
      <c r="K388" t="n">
        <v>0</v>
      </c>
      <c r="L388" t="n">
        <v>0</v>
      </c>
      <c r="M388" t="n">
        <v>0</v>
      </c>
      <c r="N388" t="n">
        <v>0</v>
      </c>
      <c r="O388" t="n">
        <v>0</v>
      </c>
      <c r="P388" t="n">
        <v>0</v>
      </c>
      <c r="Q388" t="n">
        <v>0</v>
      </c>
      <c r="R388" s="2" t="inlineStr"/>
    </row>
    <row r="389" ht="15" customHeight="1">
      <c r="A389" t="inlineStr">
        <is>
          <t>A 53500-2024</t>
        </is>
      </c>
      <c r="B389" s="1" t="n">
        <v>45614</v>
      </c>
      <c r="C389" s="1" t="n">
        <v>45917</v>
      </c>
      <c r="D389" t="inlineStr">
        <is>
          <t>JÄMTLANDS LÄN</t>
        </is>
      </c>
      <c r="E389" t="inlineStr">
        <is>
          <t>ÅRE</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42592-2024</t>
        </is>
      </c>
      <c r="B390" s="1" t="n">
        <v>45565</v>
      </c>
      <c r="C390" s="1" t="n">
        <v>45917</v>
      </c>
      <c r="D390" t="inlineStr">
        <is>
          <t>JÄMTLANDS LÄN</t>
        </is>
      </c>
      <c r="E390" t="inlineStr">
        <is>
          <t>ÅRE</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37739-2023</t>
        </is>
      </c>
      <c r="B391" s="1" t="n">
        <v>45159</v>
      </c>
      <c r="C391" s="1" t="n">
        <v>45917</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37758-2023</t>
        </is>
      </c>
      <c r="B392" s="1" t="n">
        <v>45159</v>
      </c>
      <c r="C392" s="1" t="n">
        <v>45917</v>
      </c>
      <c r="D392" t="inlineStr">
        <is>
          <t>JÄMTLANDS LÄN</t>
        </is>
      </c>
      <c r="E392" t="inlineStr">
        <is>
          <t>ÅRE</t>
        </is>
      </c>
      <c r="G392" t="n">
        <v>20.1</v>
      </c>
      <c r="H392" t="n">
        <v>0</v>
      </c>
      <c r="I392" t="n">
        <v>0</v>
      </c>
      <c r="J392" t="n">
        <v>0</v>
      </c>
      <c r="K392" t="n">
        <v>0</v>
      </c>
      <c r="L392" t="n">
        <v>0</v>
      </c>
      <c r="M392" t="n">
        <v>0</v>
      </c>
      <c r="N392" t="n">
        <v>0</v>
      </c>
      <c r="O392" t="n">
        <v>0</v>
      </c>
      <c r="P392" t="n">
        <v>0</v>
      </c>
      <c r="Q392" t="n">
        <v>0</v>
      </c>
      <c r="R392" s="2" t="inlineStr"/>
    </row>
    <row r="393" ht="15" customHeight="1">
      <c r="A393" t="inlineStr">
        <is>
          <t>A 23561-2021</t>
        </is>
      </c>
      <c r="B393" s="1" t="n">
        <v>44334</v>
      </c>
      <c r="C393" s="1" t="n">
        <v>45917</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60935-2022</t>
        </is>
      </c>
      <c r="B394" s="1" t="n">
        <v>44908</v>
      </c>
      <c r="C394" s="1" t="n">
        <v>45917</v>
      </c>
      <c r="D394" t="inlineStr">
        <is>
          <t>JÄMTLANDS LÄN</t>
        </is>
      </c>
      <c r="E394" t="inlineStr">
        <is>
          <t>ÅRE</t>
        </is>
      </c>
      <c r="G394" t="n">
        <v>0.8</v>
      </c>
      <c r="H394" t="n">
        <v>0</v>
      </c>
      <c r="I394" t="n">
        <v>0</v>
      </c>
      <c r="J394" t="n">
        <v>0</v>
      </c>
      <c r="K394" t="n">
        <v>0</v>
      </c>
      <c r="L394" t="n">
        <v>0</v>
      </c>
      <c r="M394" t="n">
        <v>0</v>
      </c>
      <c r="N394" t="n">
        <v>0</v>
      </c>
      <c r="O394" t="n">
        <v>0</v>
      </c>
      <c r="P394" t="n">
        <v>0</v>
      </c>
      <c r="Q394" t="n">
        <v>0</v>
      </c>
      <c r="R394" s="2" t="inlineStr"/>
    </row>
    <row r="395" ht="15" customHeight="1">
      <c r="A395" t="inlineStr">
        <is>
          <t>A 6049-2025</t>
        </is>
      </c>
      <c r="B395" s="1" t="n">
        <v>45695</v>
      </c>
      <c r="C395" s="1" t="n">
        <v>45917</v>
      </c>
      <c r="D395" t="inlineStr">
        <is>
          <t>JÄMTLANDS LÄN</t>
        </is>
      </c>
      <c r="E395" t="inlineStr">
        <is>
          <t>ÅRE</t>
        </is>
      </c>
      <c r="G395" t="n">
        <v>58.3</v>
      </c>
      <c r="H395" t="n">
        <v>0</v>
      </c>
      <c r="I395" t="n">
        <v>0</v>
      </c>
      <c r="J395" t="n">
        <v>0</v>
      </c>
      <c r="K395" t="n">
        <v>0</v>
      </c>
      <c r="L395" t="n">
        <v>0</v>
      </c>
      <c r="M395" t="n">
        <v>0</v>
      </c>
      <c r="N395" t="n">
        <v>0</v>
      </c>
      <c r="O395" t="n">
        <v>0</v>
      </c>
      <c r="P395" t="n">
        <v>0</v>
      </c>
      <c r="Q395" t="n">
        <v>0</v>
      </c>
      <c r="R395" s="2" t="inlineStr"/>
    </row>
    <row r="396" ht="15" customHeight="1">
      <c r="A396" t="inlineStr">
        <is>
          <t>A 14204-2021</t>
        </is>
      </c>
      <c r="B396" s="1" t="n">
        <v>44278</v>
      </c>
      <c r="C396" s="1" t="n">
        <v>45917</v>
      </c>
      <c r="D396" t="inlineStr">
        <is>
          <t>JÄMTLANDS LÄN</t>
        </is>
      </c>
      <c r="E396" t="inlineStr">
        <is>
          <t>ÅRE</t>
        </is>
      </c>
      <c r="G396" t="n">
        <v>24.6</v>
      </c>
      <c r="H396" t="n">
        <v>0</v>
      </c>
      <c r="I396" t="n">
        <v>0</v>
      </c>
      <c r="J396" t="n">
        <v>0</v>
      </c>
      <c r="K396" t="n">
        <v>0</v>
      </c>
      <c r="L396" t="n">
        <v>0</v>
      </c>
      <c r="M396" t="n">
        <v>0</v>
      </c>
      <c r="N396" t="n">
        <v>0</v>
      </c>
      <c r="O396" t="n">
        <v>0</v>
      </c>
      <c r="P396" t="n">
        <v>0</v>
      </c>
      <c r="Q396" t="n">
        <v>0</v>
      </c>
      <c r="R396" s="2" t="inlineStr"/>
    </row>
    <row r="397" ht="15" customHeight="1">
      <c r="A397" t="inlineStr">
        <is>
          <t>A 12168-2023</t>
        </is>
      </c>
      <c r="B397" s="1" t="n">
        <v>44998</v>
      </c>
      <c r="C397" s="1" t="n">
        <v>45917</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12173-2023</t>
        </is>
      </c>
      <c r="B398" s="1" t="n">
        <v>44998</v>
      </c>
      <c r="C398" s="1" t="n">
        <v>45917</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33379-2024</t>
        </is>
      </c>
      <c r="B399" s="1" t="n">
        <v>45519.4495949074</v>
      </c>
      <c r="C399" s="1" t="n">
        <v>45917</v>
      </c>
      <c r="D399" t="inlineStr">
        <is>
          <t>JÄMTLANDS LÄN</t>
        </is>
      </c>
      <c r="E399" t="inlineStr">
        <is>
          <t>ÅRE</t>
        </is>
      </c>
      <c r="G399" t="n">
        <v>1.5</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45917</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49303-2024</t>
        </is>
      </c>
      <c r="B401" s="1" t="n">
        <v>45595</v>
      </c>
      <c r="C401" s="1" t="n">
        <v>45917</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24655-2023</t>
        </is>
      </c>
      <c r="B402" s="1" t="n">
        <v>45084.47790509259</v>
      </c>
      <c r="C402" s="1" t="n">
        <v>45917</v>
      </c>
      <c r="D402" t="inlineStr">
        <is>
          <t>JÄMTLANDS LÄN</t>
        </is>
      </c>
      <c r="E402" t="inlineStr">
        <is>
          <t>ÅRE</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66790-2020</t>
        </is>
      </c>
      <c r="B403" s="1" t="n">
        <v>44179</v>
      </c>
      <c r="C403" s="1" t="n">
        <v>45917</v>
      </c>
      <c r="D403" t="inlineStr">
        <is>
          <t>JÄMTLANDS LÄN</t>
        </is>
      </c>
      <c r="E403" t="inlineStr">
        <is>
          <t>ÅRE</t>
        </is>
      </c>
      <c r="G403" t="n">
        <v>2.3</v>
      </c>
      <c r="H403" t="n">
        <v>0</v>
      </c>
      <c r="I403" t="n">
        <v>0</v>
      </c>
      <c r="J403" t="n">
        <v>0</v>
      </c>
      <c r="K403" t="n">
        <v>0</v>
      </c>
      <c r="L403" t="n">
        <v>0</v>
      </c>
      <c r="M403" t="n">
        <v>0</v>
      </c>
      <c r="N403" t="n">
        <v>0</v>
      </c>
      <c r="O403" t="n">
        <v>0</v>
      </c>
      <c r="P403" t="n">
        <v>0</v>
      </c>
      <c r="Q403" t="n">
        <v>0</v>
      </c>
      <c r="R403" s="2" t="inlineStr"/>
    </row>
    <row r="404" ht="15" customHeight="1">
      <c r="A404" t="inlineStr">
        <is>
          <t>A 12669-2023</t>
        </is>
      </c>
      <c r="B404" s="1" t="n">
        <v>45000</v>
      </c>
      <c r="C404" s="1" t="n">
        <v>45917</v>
      </c>
      <c r="D404" t="inlineStr">
        <is>
          <t>JÄMTLANDS LÄN</t>
        </is>
      </c>
      <c r="E404" t="inlineStr">
        <is>
          <t>ÅRE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13561-2025</t>
        </is>
      </c>
      <c r="B405" s="1" t="n">
        <v>45736.5587037037</v>
      </c>
      <c r="C405" s="1" t="n">
        <v>45917</v>
      </c>
      <c r="D405" t="inlineStr">
        <is>
          <t>JÄMTLANDS LÄN</t>
        </is>
      </c>
      <c r="E405" t="inlineStr">
        <is>
          <t>ÅRE</t>
        </is>
      </c>
      <c r="F405" t="inlineStr">
        <is>
          <t>Övriga statliga verk och myndigheter</t>
        </is>
      </c>
      <c r="G405" t="n">
        <v>3.8</v>
      </c>
      <c r="H405" t="n">
        <v>0</v>
      </c>
      <c r="I405" t="n">
        <v>0</v>
      </c>
      <c r="J405" t="n">
        <v>0</v>
      </c>
      <c r="K405" t="n">
        <v>0</v>
      </c>
      <c r="L405" t="n">
        <v>0</v>
      </c>
      <c r="M405" t="n">
        <v>0</v>
      </c>
      <c r="N405" t="n">
        <v>0</v>
      </c>
      <c r="O405" t="n">
        <v>0</v>
      </c>
      <c r="P405" t="n">
        <v>0</v>
      </c>
      <c r="Q405" t="n">
        <v>0</v>
      </c>
      <c r="R405" s="2" t="inlineStr"/>
    </row>
    <row r="406" ht="15" customHeight="1">
      <c r="A406" t="inlineStr">
        <is>
          <t>A 31388-2021</t>
        </is>
      </c>
      <c r="B406" s="1" t="n">
        <v>44369</v>
      </c>
      <c r="C406" s="1" t="n">
        <v>45917</v>
      </c>
      <c r="D406" t="inlineStr">
        <is>
          <t>JÄMTLANDS LÄN</t>
        </is>
      </c>
      <c r="E406" t="inlineStr">
        <is>
          <t>ÅRE</t>
        </is>
      </c>
      <c r="G406" t="n">
        <v>2</v>
      </c>
      <c r="H406" t="n">
        <v>0</v>
      </c>
      <c r="I406" t="n">
        <v>0</v>
      </c>
      <c r="J406" t="n">
        <v>0</v>
      </c>
      <c r="K406" t="n">
        <v>0</v>
      </c>
      <c r="L406" t="n">
        <v>0</v>
      </c>
      <c r="M406" t="n">
        <v>0</v>
      </c>
      <c r="N406" t="n">
        <v>0</v>
      </c>
      <c r="O406" t="n">
        <v>0</v>
      </c>
      <c r="P406" t="n">
        <v>0</v>
      </c>
      <c r="Q406" t="n">
        <v>0</v>
      </c>
      <c r="R406" s="2" t="inlineStr"/>
    </row>
    <row r="407" ht="15" customHeight="1">
      <c r="A407" t="inlineStr">
        <is>
          <t>A 23805-2024</t>
        </is>
      </c>
      <c r="B407" s="1" t="n">
        <v>45455.44194444444</v>
      </c>
      <c r="C407" s="1" t="n">
        <v>45917</v>
      </c>
      <c r="D407" t="inlineStr">
        <is>
          <t>JÄMTLANDS LÄN</t>
        </is>
      </c>
      <c r="E407" t="inlineStr">
        <is>
          <t>ÅRE</t>
        </is>
      </c>
      <c r="G407" t="n">
        <v>1.5</v>
      </c>
      <c r="H407" t="n">
        <v>0</v>
      </c>
      <c r="I407" t="n">
        <v>0</v>
      </c>
      <c r="J407" t="n">
        <v>0</v>
      </c>
      <c r="K407" t="n">
        <v>0</v>
      </c>
      <c r="L407" t="n">
        <v>0</v>
      </c>
      <c r="M407" t="n">
        <v>0</v>
      </c>
      <c r="N407" t="n">
        <v>0</v>
      </c>
      <c r="O407" t="n">
        <v>0</v>
      </c>
      <c r="P407" t="n">
        <v>0</v>
      </c>
      <c r="Q407" t="n">
        <v>0</v>
      </c>
      <c r="R407" s="2" t="inlineStr"/>
    </row>
    <row r="408" ht="15" customHeight="1">
      <c r="A408" t="inlineStr">
        <is>
          <t>A 60899-2022</t>
        </is>
      </c>
      <c r="B408" s="1" t="n">
        <v>44908</v>
      </c>
      <c r="C408" s="1" t="n">
        <v>45917</v>
      </c>
      <c r="D408" t="inlineStr">
        <is>
          <t>JÄMTLANDS LÄN</t>
        </is>
      </c>
      <c r="E408" t="inlineStr">
        <is>
          <t>ÅRE</t>
        </is>
      </c>
      <c r="G408" t="n">
        <v>0.6</v>
      </c>
      <c r="H408" t="n">
        <v>0</v>
      </c>
      <c r="I408" t="n">
        <v>0</v>
      </c>
      <c r="J408" t="n">
        <v>0</v>
      </c>
      <c r="K408" t="n">
        <v>0</v>
      </c>
      <c r="L408" t="n">
        <v>0</v>
      </c>
      <c r="M408" t="n">
        <v>0</v>
      </c>
      <c r="N408" t="n">
        <v>0</v>
      </c>
      <c r="O408" t="n">
        <v>0</v>
      </c>
      <c r="P408" t="n">
        <v>0</v>
      </c>
      <c r="Q408" t="n">
        <v>0</v>
      </c>
      <c r="R408" s="2" t="inlineStr"/>
    </row>
    <row r="409" ht="15" customHeight="1">
      <c r="A409" t="inlineStr">
        <is>
          <t>A 59784-2024</t>
        </is>
      </c>
      <c r="B409" s="1" t="n">
        <v>45639.57988425926</v>
      </c>
      <c r="C409" s="1" t="n">
        <v>45917</v>
      </c>
      <c r="D409" t="inlineStr">
        <is>
          <t>JÄMTLANDS LÄN</t>
        </is>
      </c>
      <c r="E409" t="inlineStr">
        <is>
          <t>ÅRE</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22603-2025</t>
        </is>
      </c>
      <c r="B410" s="1" t="n">
        <v>45786</v>
      </c>
      <c r="C410" s="1" t="n">
        <v>45917</v>
      </c>
      <c r="D410" t="inlineStr">
        <is>
          <t>JÄMTLANDS LÄN</t>
        </is>
      </c>
      <c r="E410" t="inlineStr">
        <is>
          <t>ÅRE</t>
        </is>
      </c>
      <c r="G410" t="n">
        <v>1.4</v>
      </c>
      <c r="H410" t="n">
        <v>0</v>
      </c>
      <c r="I410" t="n">
        <v>0</v>
      </c>
      <c r="J410" t="n">
        <v>0</v>
      </c>
      <c r="K410" t="n">
        <v>0</v>
      </c>
      <c r="L410" t="n">
        <v>0</v>
      </c>
      <c r="M410" t="n">
        <v>0</v>
      </c>
      <c r="N410" t="n">
        <v>0</v>
      </c>
      <c r="O410" t="n">
        <v>0</v>
      </c>
      <c r="P410" t="n">
        <v>0</v>
      </c>
      <c r="Q410" t="n">
        <v>0</v>
      </c>
      <c r="R410" s="2" t="inlineStr"/>
    </row>
    <row r="411" ht="15" customHeight="1">
      <c r="A411" t="inlineStr">
        <is>
          <t>A 19275-2021</t>
        </is>
      </c>
      <c r="B411" s="1" t="n">
        <v>44309</v>
      </c>
      <c r="C411" s="1" t="n">
        <v>45917</v>
      </c>
      <c r="D411" t="inlineStr">
        <is>
          <t>JÄMTLANDS LÄN</t>
        </is>
      </c>
      <c r="E411" t="inlineStr">
        <is>
          <t>ÅRE</t>
        </is>
      </c>
      <c r="G411" t="n">
        <v>16.4</v>
      </c>
      <c r="H411" t="n">
        <v>0</v>
      </c>
      <c r="I411" t="n">
        <v>0</v>
      </c>
      <c r="J411" t="n">
        <v>0</v>
      </c>
      <c r="K411" t="n">
        <v>0</v>
      </c>
      <c r="L411" t="n">
        <v>0</v>
      </c>
      <c r="M411" t="n">
        <v>0</v>
      </c>
      <c r="N411" t="n">
        <v>0</v>
      </c>
      <c r="O411" t="n">
        <v>0</v>
      </c>
      <c r="P411" t="n">
        <v>0</v>
      </c>
      <c r="Q411" t="n">
        <v>0</v>
      </c>
      <c r="R411" s="2" t="inlineStr"/>
    </row>
    <row r="412" ht="15" customHeight="1">
      <c r="A412" t="inlineStr">
        <is>
          <t>A 53611-2024</t>
        </is>
      </c>
      <c r="B412" s="1" t="n">
        <v>45614.70510416666</v>
      </c>
      <c r="C412" s="1" t="n">
        <v>45917</v>
      </c>
      <c r="D412" t="inlineStr">
        <is>
          <t>JÄMTLANDS LÄN</t>
        </is>
      </c>
      <c r="E412" t="inlineStr">
        <is>
          <t>ÅRE</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13841-2024</t>
        </is>
      </c>
      <c r="B413" s="1" t="n">
        <v>45391</v>
      </c>
      <c r="C413" s="1" t="n">
        <v>45917</v>
      </c>
      <c r="D413" t="inlineStr">
        <is>
          <t>JÄMTLANDS LÄN</t>
        </is>
      </c>
      <c r="E413" t="inlineStr">
        <is>
          <t>ÅRE</t>
        </is>
      </c>
      <c r="G413" t="n">
        <v>6.7</v>
      </c>
      <c r="H413" t="n">
        <v>0</v>
      </c>
      <c r="I413" t="n">
        <v>0</v>
      </c>
      <c r="J413" t="n">
        <v>0</v>
      </c>
      <c r="K413" t="n">
        <v>0</v>
      </c>
      <c r="L413" t="n">
        <v>0</v>
      </c>
      <c r="M413" t="n">
        <v>0</v>
      </c>
      <c r="N413" t="n">
        <v>0</v>
      </c>
      <c r="O413" t="n">
        <v>0</v>
      </c>
      <c r="P413" t="n">
        <v>0</v>
      </c>
      <c r="Q413" t="n">
        <v>0</v>
      </c>
      <c r="R413" s="2" t="inlineStr"/>
    </row>
    <row r="414" ht="15" customHeight="1">
      <c r="A414" t="inlineStr">
        <is>
          <t>A 17883-2021</t>
        </is>
      </c>
      <c r="B414" s="1" t="n">
        <v>44301</v>
      </c>
      <c r="C414" s="1" t="n">
        <v>45917</v>
      </c>
      <c r="D414" t="inlineStr">
        <is>
          <t>JÄMTLANDS LÄN</t>
        </is>
      </c>
      <c r="E414" t="inlineStr">
        <is>
          <t>ÅRE</t>
        </is>
      </c>
      <c r="F414" t="inlineStr">
        <is>
          <t>Övriga Aktiebolag</t>
        </is>
      </c>
      <c r="G414" t="n">
        <v>6.7</v>
      </c>
      <c r="H414" t="n">
        <v>0</v>
      </c>
      <c r="I414" t="n">
        <v>0</v>
      </c>
      <c r="J414" t="n">
        <v>0</v>
      </c>
      <c r="K414" t="n">
        <v>0</v>
      </c>
      <c r="L414" t="n">
        <v>0</v>
      </c>
      <c r="M414" t="n">
        <v>0</v>
      </c>
      <c r="N414" t="n">
        <v>0</v>
      </c>
      <c r="O414" t="n">
        <v>0</v>
      </c>
      <c r="P414" t="n">
        <v>0</v>
      </c>
      <c r="Q414" t="n">
        <v>0</v>
      </c>
      <c r="R414" s="2" t="inlineStr"/>
    </row>
    <row r="415" ht="15" customHeight="1">
      <c r="A415" t="inlineStr">
        <is>
          <t>A 57864-2024</t>
        </is>
      </c>
      <c r="B415" s="1" t="n">
        <v>45631.43578703704</v>
      </c>
      <c r="C415" s="1" t="n">
        <v>45917</v>
      </c>
      <c r="D415" t="inlineStr">
        <is>
          <t>JÄMTLANDS LÄN</t>
        </is>
      </c>
      <c r="E415" t="inlineStr">
        <is>
          <t>ÅRE</t>
        </is>
      </c>
      <c r="G415" t="n">
        <v>1.5</v>
      </c>
      <c r="H415" t="n">
        <v>0</v>
      </c>
      <c r="I415" t="n">
        <v>0</v>
      </c>
      <c r="J415" t="n">
        <v>0</v>
      </c>
      <c r="K415" t="n">
        <v>0</v>
      </c>
      <c r="L415" t="n">
        <v>0</v>
      </c>
      <c r="M415" t="n">
        <v>0</v>
      </c>
      <c r="N415" t="n">
        <v>0</v>
      </c>
      <c r="O415" t="n">
        <v>0</v>
      </c>
      <c r="P415" t="n">
        <v>0</v>
      </c>
      <c r="Q415" t="n">
        <v>0</v>
      </c>
      <c r="R415" s="2" t="inlineStr"/>
    </row>
    <row r="416" ht="15" customHeight="1">
      <c r="A416" t="inlineStr">
        <is>
          <t>A 36015-2025</t>
        </is>
      </c>
      <c r="B416" s="1" t="n">
        <v>45863.61373842593</v>
      </c>
      <c r="C416" s="1" t="n">
        <v>45917</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36013-2025</t>
        </is>
      </c>
      <c r="B417" s="1" t="n">
        <v>45863.60643518518</v>
      </c>
      <c r="C417" s="1" t="n">
        <v>45917</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51317-2023</t>
        </is>
      </c>
      <c r="B418" s="1" t="n">
        <v>45219.57061342592</v>
      </c>
      <c r="C418" s="1" t="n">
        <v>45917</v>
      </c>
      <c r="D418" t="inlineStr">
        <is>
          <t>JÄMTLANDS LÄN</t>
        </is>
      </c>
      <c r="E418" t="inlineStr">
        <is>
          <t>ÅRE</t>
        </is>
      </c>
      <c r="G418" t="n">
        <v>2.9</v>
      </c>
      <c r="H418" t="n">
        <v>0</v>
      </c>
      <c r="I418" t="n">
        <v>0</v>
      </c>
      <c r="J418" t="n">
        <v>0</v>
      </c>
      <c r="K418" t="n">
        <v>0</v>
      </c>
      <c r="L418" t="n">
        <v>0</v>
      </c>
      <c r="M418" t="n">
        <v>0</v>
      </c>
      <c r="N418" t="n">
        <v>0</v>
      </c>
      <c r="O418" t="n">
        <v>0</v>
      </c>
      <c r="P418" t="n">
        <v>0</v>
      </c>
      <c r="Q418" t="n">
        <v>0</v>
      </c>
      <c r="R418" s="2" t="inlineStr"/>
    </row>
    <row r="419" ht="15" customHeight="1">
      <c r="A419" t="inlineStr">
        <is>
          <t>A 56609-2023</t>
        </is>
      </c>
      <c r="B419" s="1" t="n">
        <v>45243.66828703704</v>
      </c>
      <c r="C419" s="1" t="n">
        <v>45917</v>
      </c>
      <c r="D419" t="inlineStr">
        <is>
          <t>JÄMTLANDS LÄN</t>
        </is>
      </c>
      <c r="E419" t="inlineStr">
        <is>
          <t>ÅRE</t>
        </is>
      </c>
      <c r="G419" t="n">
        <v>17.9</v>
      </c>
      <c r="H419" t="n">
        <v>0</v>
      </c>
      <c r="I419" t="n">
        <v>0</v>
      </c>
      <c r="J419" t="n">
        <v>0</v>
      </c>
      <c r="K419" t="n">
        <v>0</v>
      </c>
      <c r="L419" t="n">
        <v>0</v>
      </c>
      <c r="M419" t="n">
        <v>0</v>
      </c>
      <c r="N419" t="n">
        <v>0</v>
      </c>
      <c r="O419" t="n">
        <v>0</v>
      </c>
      <c r="P419" t="n">
        <v>0</v>
      </c>
      <c r="Q419" t="n">
        <v>0</v>
      </c>
      <c r="R419" s="2" t="inlineStr"/>
    </row>
    <row r="420" ht="15" customHeight="1">
      <c r="A420" t="inlineStr">
        <is>
          <t>A 28817-2021</t>
        </is>
      </c>
      <c r="B420" s="1" t="n">
        <v>44357</v>
      </c>
      <c r="C420" s="1" t="n">
        <v>45917</v>
      </c>
      <c r="D420" t="inlineStr">
        <is>
          <t>JÄMTLANDS LÄN</t>
        </is>
      </c>
      <c r="E420" t="inlineStr">
        <is>
          <t>ÅRE</t>
        </is>
      </c>
      <c r="G420" t="n">
        <v>21.4</v>
      </c>
      <c r="H420" t="n">
        <v>0</v>
      </c>
      <c r="I420" t="n">
        <v>0</v>
      </c>
      <c r="J420" t="n">
        <v>0</v>
      </c>
      <c r="K420" t="n">
        <v>0</v>
      </c>
      <c r="L420" t="n">
        <v>0</v>
      </c>
      <c r="M420" t="n">
        <v>0</v>
      </c>
      <c r="N420" t="n">
        <v>0</v>
      </c>
      <c r="O420" t="n">
        <v>0</v>
      </c>
      <c r="P420" t="n">
        <v>0</v>
      </c>
      <c r="Q420" t="n">
        <v>0</v>
      </c>
      <c r="R420" s="2" t="inlineStr"/>
    </row>
    <row r="421" ht="15" customHeight="1">
      <c r="A421" t="inlineStr">
        <is>
          <t>A 47052-2022</t>
        </is>
      </c>
      <c r="B421" s="1" t="n">
        <v>44851</v>
      </c>
      <c r="C421" s="1" t="n">
        <v>45917</v>
      </c>
      <c r="D421" t="inlineStr">
        <is>
          <t>JÄMTLANDS LÄN</t>
        </is>
      </c>
      <c r="E421" t="inlineStr">
        <is>
          <t>ÅRE</t>
        </is>
      </c>
      <c r="G421" t="n">
        <v>90.8</v>
      </c>
      <c r="H421" t="n">
        <v>0</v>
      </c>
      <c r="I421" t="n">
        <v>0</v>
      </c>
      <c r="J421" t="n">
        <v>0</v>
      </c>
      <c r="K421" t="n">
        <v>0</v>
      </c>
      <c r="L421" t="n">
        <v>0</v>
      </c>
      <c r="M421" t="n">
        <v>0</v>
      </c>
      <c r="N421" t="n">
        <v>0</v>
      </c>
      <c r="O421" t="n">
        <v>0</v>
      </c>
      <c r="P421" t="n">
        <v>0</v>
      </c>
      <c r="Q421" t="n">
        <v>0</v>
      </c>
      <c r="R421" s="2" t="inlineStr"/>
    </row>
    <row r="422" ht="15" customHeight="1">
      <c r="A422" t="inlineStr">
        <is>
          <t>A 13082-2025</t>
        </is>
      </c>
      <c r="B422" s="1" t="n">
        <v>45734.62666666666</v>
      </c>
      <c r="C422" s="1" t="n">
        <v>45917</v>
      </c>
      <c r="D422" t="inlineStr">
        <is>
          <t>JÄMTLANDS LÄN</t>
        </is>
      </c>
      <c r="E422" t="inlineStr">
        <is>
          <t>ÅRE</t>
        </is>
      </c>
      <c r="G422" t="n">
        <v>3.5</v>
      </c>
      <c r="H422" t="n">
        <v>0</v>
      </c>
      <c r="I422" t="n">
        <v>0</v>
      </c>
      <c r="J422" t="n">
        <v>0</v>
      </c>
      <c r="K422" t="n">
        <v>0</v>
      </c>
      <c r="L422" t="n">
        <v>0</v>
      </c>
      <c r="M422" t="n">
        <v>0</v>
      </c>
      <c r="N422" t="n">
        <v>0</v>
      </c>
      <c r="O422" t="n">
        <v>0</v>
      </c>
      <c r="P422" t="n">
        <v>0</v>
      </c>
      <c r="Q422" t="n">
        <v>0</v>
      </c>
      <c r="R422" s="2" t="inlineStr"/>
    </row>
    <row r="423" ht="15" customHeight="1">
      <c r="A423" t="inlineStr">
        <is>
          <t>A 17576-2024</t>
        </is>
      </c>
      <c r="B423" s="1" t="n">
        <v>45415</v>
      </c>
      <c r="C423" s="1" t="n">
        <v>45917</v>
      </c>
      <c r="D423" t="inlineStr">
        <is>
          <t>JÄMTLANDS LÄN</t>
        </is>
      </c>
      <c r="E423" t="inlineStr">
        <is>
          <t>ÅRE</t>
        </is>
      </c>
      <c r="G423" t="n">
        <v>0.1</v>
      </c>
      <c r="H423" t="n">
        <v>0</v>
      </c>
      <c r="I423" t="n">
        <v>0</v>
      </c>
      <c r="J423" t="n">
        <v>0</v>
      </c>
      <c r="K423" t="n">
        <v>0</v>
      </c>
      <c r="L423" t="n">
        <v>0</v>
      </c>
      <c r="M423" t="n">
        <v>0</v>
      </c>
      <c r="N423" t="n">
        <v>0</v>
      </c>
      <c r="O423" t="n">
        <v>0</v>
      </c>
      <c r="P423" t="n">
        <v>0</v>
      </c>
      <c r="Q423" t="n">
        <v>0</v>
      </c>
      <c r="R423" s="2" t="inlineStr"/>
    </row>
    <row r="424" ht="15" customHeight="1">
      <c r="A424" t="inlineStr">
        <is>
          <t>A 8443-2023</t>
        </is>
      </c>
      <c r="B424" s="1" t="n">
        <v>44977</v>
      </c>
      <c r="C424" s="1" t="n">
        <v>45917</v>
      </c>
      <c r="D424" t="inlineStr">
        <is>
          <t>JÄMTLANDS LÄN</t>
        </is>
      </c>
      <c r="E424" t="inlineStr">
        <is>
          <t>ÅRE</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45917</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30379-2024</t>
        </is>
      </c>
      <c r="B426" s="1" t="n">
        <v>45491.43815972222</v>
      </c>
      <c r="C426" s="1" t="n">
        <v>45917</v>
      </c>
      <c r="D426" t="inlineStr">
        <is>
          <t>JÄMTLANDS LÄN</t>
        </is>
      </c>
      <c r="E426" t="inlineStr">
        <is>
          <t>ÅRE</t>
        </is>
      </c>
      <c r="G426" t="n">
        <v>2.4</v>
      </c>
      <c r="H426" t="n">
        <v>0</v>
      </c>
      <c r="I426" t="n">
        <v>0</v>
      </c>
      <c r="J426" t="n">
        <v>0</v>
      </c>
      <c r="K426" t="n">
        <v>0</v>
      </c>
      <c r="L426" t="n">
        <v>0</v>
      </c>
      <c r="M426" t="n">
        <v>0</v>
      </c>
      <c r="N426" t="n">
        <v>0</v>
      </c>
      <c r="O426" t="n">
        <v>0</v>
      </c>
      <c r="P426" t="n">
        <v>0</v>
      </c>
      <c r="Q426" t="n">
        <v>0</v>
      </c>
      <c r="R426" s="2" t="inlineStr"/>
    </row>
    <row r="427" ht="15" customHeight="1">
      <c r="A427" t="inlineStr">
        <is>
          <t>A 42876-2025</t>
        </is>
      </c>
      <c r="B427" s="1" t="n">
        <v>45908</v>
      </c>
      <c r="C427" s="1" t="n">
        <v>45917</v>
      </c>
      <c r="D427" t="inlineStr">
        <is>
          <t>JÄMTLANDS LÄN</t>
        </is>
      </c>
      <c r="E427" t="inlineStr">
        <is>
          <t>ÅRE</t>
        </is>
      </c>
      <c r="G427" t="n">
        <v>0.3</v>
      </c>
      <c r="H427" t="n">
        <v>0</v>
      </c>
      <c r="I427" t="n">
        <v>0</v>
      </c>
      <c r="J427" t="n">
        <v>0</v>
      </c>
      <c r="K427" t="n">
        <v>0</v>
      </c>
      <c r="L427" t="n">
        <v>0</v>
      </c>
      <c r="M427" t="n">
        <v>0</v>
      </c>
      <c r="N427" t="n">
        <v>0</v>
      </c>
      <c r="O427" t="n">
        <v>0</v>
      </c>
      <c r="P427" t="n">
        <v>0</v>
      </c>
      <c r="Q427" t="n">
        <v>0</v>
      </c>
      <c r="R427" s="2" t="inlineStr"/>
    </row>
    <row r="428" ht="15" customHeight="1">
      <c r="A428" t="inlineStr">
        <is>
          <t>A 43767-2025</t>
        </is>
      </c>
      <c r="B428" s="1" t="n">
        <v>45912.49256944445</v>
      </c>
      <c r="C428" s="1" t="n">
        <v>45917</v>
      </c>
      <c r="D428" t="inlineStr">
        <is>
          <t>JÄMTLANDS LÄN</t>
        </is>
      </c>
      <c r="E428" t="inlineStr">
        <is>
          <t>ÅRE</t>
        </is>
      </c>
      <c r="G428" t="n">
        <v>7.1</v>
      </c>
      <c r="H428" t="n">
        <v>0</v>
      </c>
      <c r="I428" t="n">
        <v>0</v>
      </c>
      <c r="J428" t="n">
        <v>0</v>
      </c>
      <c r="K428" t="n">
        <v>0</v>
      </c>
      <c r="L428" t="n">
        <v>0</v>
      </c>
      <c r="M428" t="n">
        <v>0</v>
      </c>
      <c r="N428" t="n">
        <v>0</v>
      </c>
      <c r="O428" t="n">
        <v>0</v>
      </c>
      <c r="P428" t="n">
        <v>0</v>
      </c>
      <c r="Q428" t="n">
        <v>0</v>
      </c>
      <c r="R428" s="2" t="inlineStr"/>
    </row>
    <row r="429" ht="15" customHeight="1">
      <c r="A429" t="inlineStr">
        <is>
          <t>A 43769-2025</t>
        </is>
      </c>
      <c r="B429" s="1" t="n">
        <v>45912.49420138889</v>
      </c>
      <c r="C429" s="1" t="n">
        <v>45917</v>
      </c>
      <c r="D429" t="inlineStr">
        <is>
          <t>JÄMTLANDS LÄN</t>
        </is>
      </c>
      <c r="E429" t="inlineStr">
        <is>
          <t>ÅRE</t>
        </is>
      </c>
      <c r="G429" t="n">
        <v>6.1</v>
      </c>
      <c r="H429" t="n">
        <v>0</v>
      </c>
      <c r="I429" t="n">
        <v>0</v>
      </c>
      <c r="J429" t="n">
        <v>0</v>
      </c>
      <c r="K429" t="n">
        <v>0</v>
      </c>
      <c r="L429" t="n">
        <v>0</v>
      </c>
      <c r="M429" t="n">
        <v>0</v>
      </c>
      <c r="N429" t="n">
        <v>0</v>
      </c>
      <c r="O429" t="n">
        <v>0</v>
      </c>
      <c r="P429" t="n">
        <v>0</v>
      </c>
      <c r="Q429" t="n">
        <v>0</v>
      </c>
      <c r="R429" s="2" t="inlineStr"/>
    </row>
    <row r="430" ht="15" customHeight="1">
      <c r="A430" t="inlineStr">
        <is>
          <t>A 11500-2022</t>
        </is>
      </c>
      <c r="B430" s="1" t="n">
        <v>44631</v>
      </c>
      <c r="C430" s="1" t="n">
        <v>45917</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23117-2022</t>
        </is>
      </c>
      <c r="B431" s="1" t="n">
        <v>44719.56572916666</v>
      </c>
      <c r="C431" s="1" t="n">
        <v>45917</v>
      </c>
      <c r="D431" t="inlineStr">
        <is>
          <t>JÄMTLANDS LÄN</t>
        </is>
      </c>
      <c r="E431" t="inlineStr">
        <is>
          <t>ÅRE</t>
        </is>
      </c>
      <c r="G431" t="n">
        <v>3.5</v>
      </c>
      <c r="H431" t="n">
        <v>0</v>
      </c>
      <c r="I431" t="n">
        <v>0</v>
      </c>
      <c r="J431" t="n">
        <v>0</v>
      </c>
      <c r="K431" t="n">
        <v>0</v>
      </c>
      <c r="L431" t="n">
        <v>0</v>
      </c>
      <c r="M431" t="n">
        <v>0</v>
      </c>
      <c r="N431" t="n">
        <v>0</v>
      </c>
      <c r="O431" t="n">
        <v>0</v>
      </c>
      <c r="P431" t="n">
        <v>0</v>
      </c>
      <c r="Q431" t="n">
        <v>0</v>
      </c>
      <c r="R431" s="2" t="inlineStr"/>
    </row>
    <row r="432" ht="15" customHeight="1">
      <c r="A432" t="inlineStr">
        <is>
          <t>A 12182-2023</t>
        </is>
      </c>
      <c r="B432" s="1" t="n">
        <v>44998</v>
      </c>
      <c r="C432" s="1" t="n">
        <v>45917</v>
      </c>
      <c r="D432" t="inlineStr">
        <is>
          <t>JÄMTLANDS LÄN</t>
        </is>
      </c>
      <c r="E432" t="inlineStr">
        <is>
          <t>ÅRE</t>
        </is>
      </c>
      <c r="G432" t="n">
        <v>11.7</v>
      </c>
      <c r="H432" t="n">
        <v>0</v>
      </c>
      <c r="I432" t="n">
        <v>0</v>
      </c>
      <c r="J432" t="n">
        <v>0</v>
      </c>
      <c r="K432" t="n">
        <v>0</v>
      </c>
      <c r="L432" t="n">
        <v>0</v>
      </c>
      <c r="M432" t="n">
        <v>0</v>
      </c>
      <c r="N432" t="n">
        <v>0</v>
      </c>
      <c r="O432" t="n">
        <v>0</v>
      </c>
      <c r="P432" t="n">
        <v>0</v>
      </c>
      <c r="Q432" t="n">
        <v>0</v>
      </c>
      <c r="R432" s="2" t="inlineStr"/>
    </row>
    <row r="433" ht="15" customHeight="1">
      <c r="A433" t="inlineStr">
        <is>
          <t>A 25926-2023</t>
        </is>
      </c>
      <c r="B433" s="1" t="n">
        <v>45085</v>
      </c>
      <c r="C433" s="1" t="n">
        <v>45917</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15889-2025</t>
        </is>
      </c>
      <c r="B434" s="1" t="n">
        <v>45749.4075</v>
      </c>
      <c r="C434" s="1" t="n">
        <v>45917</v>
      </c>
      <c r="D434" t="inlineStr">
        <is>
          <t>JÄMTLANDS LÄN</t>
        </is>
      </c>
      <c r="E434" t="inlineStr">
        <is>
          <t>ÅRE</t>
        </is>
      </c>
      <c r="G434" t="n">
        <v>1.4</v>
      </c>
      <c r="H434" t="n">
        <v>0</v>
      </c>
      <c r="I434" t="n">
        <v>0</v>
      </c>
      <c r="J434" t="n">
        <v>0</v>
      </c>
      <c r="K434" t="n">
        <v>0</v>
      </c>
      <c r="L434" t="n">
        <v>0</v>
      </c>
      <c r="M434" t="n">
        <v>0</v>
      </c>
      <c r="N434" t="n">
        <v>0</v>
      </c>
      <c r="O434" t="n">
        <v>0</v>
      </c>
      <c r="P434" t="n">
        <v>0</v>
      </c>
      <c r="Q434" t="n">
        <v>0</v>
      </c>
      <c r="R434" s="2" t="inlineStr"/>
    </row>
    <row r="435" ht="15" customHeight="1">
      <c r="A435" t="inlineStr">
        <is>
          <t>A 43768-2025</t>
        </is>
      </c>
      <c r="B435" s="1" t="n">
        <v>45912.49289351852</v>
      </c>
      <c r="C435" s="1" t="n">
        <v>45917</v>
      </c>
      <c r="D435" t="inlineStr">
        <is>
          <t>JÄMTLANDS LÄN</t>
        </is>
      </c>
      <c r="E435" t="inlineStr">
        <is>
          <t>ÅRE</t>
        </is>
      </c>
      <c r="G435" t="n">
        <v>1.4</v>
      </c>
      <c r="H435" t="n">
        <v>0</v>
      </c>
      <c r="I435" t="n">
        <v>0</v>
      </c>
      <c r="J435" t="n">
        <v>0</v>
      </c>
      <c r="K435" t="n">
        <v>0</v>
      </c>
      <c r="L435" t="n">
        <v>0</v>
      </c>
      <c r="M435" t="n">
        <v>0</v>
      </c>
      <c r="N435" t="n">
        <v>0</v>
      </c>
      <c r="O435" t="n">
        <v>0</v>
      </c>
      <c r="P435" t="n">
        <v>0</v>
      </c>
      <c r="Q435" t="n">
        <v>0</v>
      </c>
      <c r="R435" s="2" t="inlineStr"/>
    </row>
    <row r="436" ht="15" customHeight="1">
      <c r="A436" t="inlineStr">
        <is>
          <t>A 18264-2023</t>
        </is>
      </c>
      <c r="B436" s="1" t="n">
        <v>45041</v>
      </c>
      <c r="C436" s="1" t="n">
        <v>45917</v>
      </c>
      <c r="D436" t="inlineStr">
        <is>
          <t>JÄMTLANDS LÄN</t>
        </is>
      </c>
      <c r="E436" t="inlineStr">
        <is>
          <t>ÅRE</t>
        </is>
      </c>
      <c r="G436" t="n">
        <v>0.2</v>
      </c>
      <c r="H436" t="n">
        <v>0</v>
      </c>
      <c r="I436" t="n">
        <v>0</v>
      </c>
      <c r="J436" t="n">
        <v>0</v>
      </c>
      <c r="K436" t="n">
        <v>0</v>
      </c>
      <c r="L436" t="n">
        <v>0</v>
      </c>
      <c r="M436" t="n">
        <v>0</v>
      </c>
      <c r="N436" t="n">
        <v>0</v>
      </c>
      <c r="O436" t="n">
        <v>0</v>
      </c>
      <c r="P436" t="n">
        <v>0</v>
      </c>
      <c r="Q436" t="n">
        <v>0</v>
      </c>
      <c r="R436" s="2" t="inlineStr"/>
    </row>
    <row r="437" ht="15" customHeight="1">
      <c r="A437" t="inlineStr">
        <is>
          <t>A 30080-2024</t>
        </is>
      </c>
      <c r="B437" s="1" t="n">
        <v>45485</v>
      </c>
      <c r="C437" s="1" t="n">
        <v>45917</v>
      </c>
      <c r="D437" t="inlineStr">
        <is>
          <t>JÄMTLANDS LÄN</t>
        </is>
      </c>
      <c r="E437" t="inlineStr">
        <is>
          <t>ÅRE</t>
        </is>
      </c>
      <c r="G437" t="n">
        <v>24.6</v>
      </c>
      <c r="H437" t="n">
        <v>0</v>
      </c>
      <c r="I437" t="n">
        <v>0</v>
      </c>
      <c r="J437" t="n">
        <v>0</v>
      </c>
      <c r="K437" t="n">
        <v>0</v>
      </c>
      <c r="L437" t="n">
        <v>0</v>
      </c>
      <c r="M437" t="n">
        <v>0</v>
      </c>
      <c r="N437" t="n">
        <v>0</v>
      </c>
      <c r="O437" t="n">
        <v>0</v>
      </c>
      <c r="P437" t="n">
        <v>0</v>
      </c>
      <c r="Q437" t="n">
        <v>0</v>
      </c>
      <c r="R437" s="2" t="inlineStr"/>
    </row>
    <row r="438" ht="15" customHeight="1">
      <c r="A438" t="inlineStr">
        <is>
          <t>A 30081-2024</t>
        </is>
      </c>
      <c r="B438" s="1" t="n">
        <v>45485</v>
      </c>
      <c r="C438" s="1" t="n">
        <v>45917</v>
      </c>
      <c r="D438" t="inlineStr">
        <is>
          <t>JÄMTLANDS LÄN</t>
        </is>
      </c>
      <c r="E438" t="inlineStr">
        <is>
          <t>ÅRE</t>
        </is>
      </c>
      <c r="G438" t="n">
        <v>17.8</v>
      </c>
      <c r="H438" t="n">
        <v>0</v>
      </c>
      <c r="I438" t="n">
        <v>0</v>
      </c>
      <c r="J438" t="n">
        <v>0</v>
      </c>
      <c r="K438" t="n">
        <v>0</v>
      </c>
      <c r="L438" t="n">
        <v>0</v>
      </c>
      <c r="M438" t="n">
        <v>0</v>
      </c>
      <c r="N438" t="n">
        <v>0</v>
      </c>
      <c r="O438" t="n">
        <v>0</v>
      </c>
      <c r="P438" t="n">
        <v>0</v>
      </c>
      <c r="Q438" t="n">
        <v>0</v>
      </c>
      <c r="R438" s="2" t="inlineStr"/>
    </row>
    <row r="439" ht="15" customHeight="1">
      <c r="A439" t="inlineStr">
        <is>
          <t>A 34931-2025</t>
        </is>
      </c>
      <c r="B439" s="1" t="n">
        <v>45849</v>
      </c>
      <c r="C439" s="1" t="n">
        <v>45917</v>
      </c>
      <c r="D439" t="inlineStr">
        <is>
          <t>JÄMTLANDS LÄN</t>
        </is>
      </c>
      <c r="E439" t="inlineStr">
        <is>
          <t>ÅRE</t>
        </is>
      </c>
      <c r="G439" t="n">
        <v>1.4</v>
      </c>
      <c r="H439" t="n">
        <v>0</v>
      </c>
      <c r="I439" t="n">
        <v>0</v>
      </c>
      <c r="J439" t="n">
        <v>0</v>
      </c>
      <c r="K439" t="n">
        <v>0</v>
      </c>
      <c r="L439" t="n">
        <v>0</v>
      </c>
      <c r="M439" t="n">
        <v>0</v>
      </c>
      <c r="N439" t="n">
        <v>0</v>
      </c>
      <c r="O439" t="n">
        <v>0</v>
      </c>
      <c r="P439" t="n">
        <v>0</v>
      </c>
      <c r="Q439" t="n">
        <v>0</v>
      </c>
      <c r="R439" s="2" t="inlineStr"/>
    </row>
    <row r="440" ht="15" customHeight="1">
      <c r="A440" t="inlineStr">
        <is>
          <t>A 56842-2022</t>
        </is>
      </c>
      <c r="B440" s="1" t="n">
        <v>44894.47856481482</v>
      </c>
      <c r="C440" s="1" t="n">
        <v>45917</v>
      </c>
      <c r="D440" t="inlineStr">
        <is>
          <t>JÄMTLANDS LÄN</t>
        </is>
      </c>
      <c r="E440" t="inlineStr">
        <is>
          <t>ÅRE</t>
        </is>
      </c>
      <c r="F440" t="inlineStr">
        <is>
          <t>Övriga Aktiebolag</t>
        </is>
      </c>
      <c r="G440" t="n">
        <v>7.9</v>
      </c>
      <c r="H440" t="n">
        <v>0</v>
      </c>
      <c r="I440" t="n">
        <v>0</v>
      </c>
      <c r="J440" t="n">
        <v>0</v>
      </c>
      <c r="K440" t="n">
        <v>0</v>
      </c>
      <c r="L440" t="n">
        <v>0</v>
      </c>
      <c r="M440" t="n">
        <v>0</v>
      </c>
      <c r="N440" t="n">
        <v>0</v>
      </c>
      <c r="O440" t="n">
        <v>0</v>
      </c>
      <c r="P440" t="n">
        <v>0</v>
      </c>
      <c r="Q440" t="n">
        <v>0</v>
      </c>
      <c r="R440" s="2" t="inlineStr"/>
    </row>
    <row r="441" ht="15" customHeight="1">
      <c r="A441" t="inlineStr">
        <is>
          <t>A 13039-2024</t>
        </is>
      </c>
      <c r="B441" s="1" t="n">
        <v>45385</v>
      </c>
      <c r="C441" s="1" t="n">
        <v>45917</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911-2022</t>
        </is>
      </c>
      <c r="B442" s="1" t="n">
        <v>44570</v>
      </c>
      <c r="C442" s="1" t="n">
        <v>45917</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1414-2023</t>
        </is>
      </c>
      <c r="B443" s="1" t="n">
        <v>44936</v>
      </c>
      <c r="C443" s="1" t="n">
        <v>45917</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22602-2025</t>
        </is>
      </c>
      <c r="B444" s="1" t="n">
        <v>45786</v>
      </c>
      <c r="C444" s="1" t="n">
        <v>45917</v>
      </c>
      <c r="D444" t="inlineStr">
        <is>
          <t>JÄMTLANDS LÄN</t>
        </is>
      </c>
      <c r="E444" t="inlineStr">
        <is>
          <t>ÅRE</t>
        </is>
      </c>
      <c r="G444" t="n">
        <v>13.1</v>
      </c>
      <c r="H444" t="n">
        <v>0</v>
      </c>
      <c r="I444" t="n">
        <v>0</v>
      </c>
      <c r="J444" t="n">
        <v>0</v>
      </c>
      <c r="K444" t="n">
        <v>0</v>
      </c>
      <c r="L444" t="n">
        <v>0</v>
      </c>
      <c r="M444" t="n">
        <v>0</v>
      </c>
      <c r="N444" t="n">
        <v>0</v>
      </c>
      <c r="O444" t="n">
        <v>0</v>
      </c>
      <c r="P444" t="n">
        <v>0</v>
      </c>
      <c r="Q444" t="n">
        <v>0</v>
      </c>
      <c r="R444" s="2" t="inlineStr"/>
    </row>
    <row r="445" ht="15" customHeight="1">
      <c r="A445" t="inlineStr">
        <is>
          <t>A 55056-2024</t>
        </is>
      </c>
      <c r="B445" s="1" t="n">
        <v>45621.40034722222</v>
      </c>
      <c r="C445" s="1" t="n">
        <v>45917</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39069-2024</t>
        </is>
      </c>
      <c r="B446" s="1" t="n">
        <v>45548.53166666667</v>
      </c>
      <c r="C446" s="1" t="n">
        <v>45917</v>
      </c>
      <c r="D446" t="inlineStr">
        <is>
          <t>JÄMTLANDS LÄN</t>
        </is>
      </c>
      <c r="E446" t="inlineStr">
        <is>
          <t>ÅRE</t>
        </is>
      </c>
      <c r="G446" t="n">
        <v>0.5</v>
      </c>
      <c r="H446" t="n">
        <v>0</v>
      </c>
      <c r="I446" t="n">
        <v>0</v>
      </c>
      <c r="J446" t="n">
        <v>0</v>
      </c>
      <c r="K446" t="n">
        <v>0</v>
      </c>
      <c r="L446" t="n">
        <v>0</v>
      </c>
      <c r="M446" t="n">
        <v>0</v>
      </c>
      <c r="N446" t="n">
        <v>0</v>
      </c>
      <c r="O446" t="n">
        <v>0</v>
      </c>
      <c r="P446" t="n">
        <v>0</v>
      </c>
      <c r="Q446" t="n">
        <v>0</v>
      </c>
      <c r="R446" s="2" t="inlineStr"/>
    </row>
    <row r="447" ht="15" customHeight="1">
      <c r="A447" t="inlineStr">
        <is>
          <t>A 9312-2025</t>
        </is>
      </c>
      <c r="B447" s="1" t="n">
        <v>45714.68869212963</v>
      </c>
      <c r="C447" s="1" t="n">
        <v>45917</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56910-2022</t>
        </is>
      </c>
      <c r="B448" s="1" t="n">
        <v>44894.59936342593</v>
      </c>
      <c r="C448" s="1" t="n">
        <v>45917</v>
      </c>
      <c r="D448" t="inlineStr">
        <is>
          <t>JÄMTLANDS LÄN</t>
        </is>
      </c>
      <c r="E448" t="inlineStr">
        <is>
          <t>ÅRE</t>
        </is>
      </c>
      <c r="F448" t="inlineStr">
        <is>
          <t>Övriga Aktiebolag</t>
        </is>
      </c>
      <c r="G448" t="n">
        <v>4.9</v>
      </c>
      <c r="H448" t="n">
        <v>0</v>
      </c>
      <c r="I448" t="n">
        <v>0</v>
      </c>
      <c r="J448" t="n">
        <v>0</v>
      </c>
      <c r="K448" t="n">
        <v>0</v>
      </c>
      <c r="L448" t="n">
        <v>0</v>
      </c>
      <c r="M448" t="n">
        <v>0</v>
      </c>
      <c r="N448" t="n">
        <v>0</v>
      </c>
      <c r="O448" t="n">
        <v>0</v>
      </c>
      <c r="P448" t="n">
        <v>0</v>
      </c>
      <c r="Q448" t="n">
        <v>0</v>
      </c>
      <c r="R448" s="2" t="inlineStr"/>
    </row>
    <row r="449" ht="15" customHeight="1">
      <c r="A449" t="inlineStr">
        <is>
          <t>A 40386-2025</t>
        </is>
      </c>
      <c r="B449" s="1" t="n">
        <v>45895</v>
      </c>
      <c r="C449" s="1" t="n">
        <v>45917</v>
      </c>
      <c r="D449" t="inlineStr">
        <is>
          <t>JÄMTLANDS LÄN</t>
        </is>
      </c>
      <c r="E449" t="inlineStr">
        <is>
          <t>ÅRE</t>
        </is>
      </c>
      <c r="F449" t="inlineStr">
        <is>
          <t>Övriga Aktiebolag</t>
        </is>
      </c>
      <c r="G449" t="n">
        <v>7.5</v>
      </c>
      <c r="H449" t="n">
        <v>0</v>
      </c>
      <c r="I449" t="n">
        <v>0</v>
      </c>
      <c r="J449" t="n">
        <v>0</v>
      </c>
      <c r="K449" t="n">
        <v>0</v>
      </c>
      <c r="L449" t="n">
        <v>0</v>
      </c>
      <c r="M449" t="n">
        <v>0</v>
      </c>
      <c r="N449" t="n">
        <v>0</v>
      </c>
      <c r="O449" t="n">
        <v>0</v>
      </c>
      <c r="P449" t="n">
        <v>0</v>
      </c>
      <c r="Q449" t="n">
        <v>0</v>
      </c>
      <c r="R449" s="2" t="inlineStr"/>
    </row>
    <row r="450" ht="15" customHeight="1">
      <c r="A450" t="inlineStr">
        <is>
          <t>A 56976-2023</t>
        </is>
      </c>
      <c r="B450" s="1" t="n">
        <v>45244.64202546296</v>
      </c>
      <c r="C450" s="1" t="n">
        <v>45917</v>
      </c>
      <c r="D450" t="inlineStr">
        <is>
          <t>JÄMTLANDS LÄN</t>
        </is>
      </c>
      <c r="E450" t="inlineStr">
        <is>
          <t>ÅRE</t>
        </is>
      </c>
      <c r="F450" t="inlineStr">
        <is>
          <t>Övriga Aktiebolag</t>
        </is>
      </c>
      <c r="G450" t="n">
        <v>4.9</v>
      </c>
      <c r="H450" t="n">
        <v>0</v>
      </c>
      <c r="I450" t="n">
        <v>0</v>
      </c>
      <c r="J450" t="n">
        <v>0</v>
      </c>
      <c r="K450" t="n">
        <v>0</v>
      </c>
      <c r="L450" t="n">
        <v>0</v>
      </c>
      <c r="M450" t="n">
        <v>0</v>
      </c>
      <c r="N450" t="n">
        <v>0</v>
      </c>
      <c r="O450" t="n">
        <v>0</v>
      </c>
      <c r="P450" t="n">
        <v>0</v>
      </c>
      <c r="Q450" t="n">
        <v>0</v>
      </c>
      <c r="R450" s="2" t="inlineStr"/>
    </row>
    <row r="451" ht="15" customHeight="1">
      <c r="A451" t="inlineStr">
        <is>
          <t>A 27630-2025</t>
        </is>
      </c>
      <c r="B451" s="1" t="n">
        <v>45813</v>
      </c>
      <c r="C451" s="1" t="n">
        <v>45917</v>
      </c>
      <c r="D451" t="inlineStr">
        <is>
          <t>JÄMTLANDS LÄN</t>
        </is>
      </c>
      <c r="E451" t="inlineStr">
        <is>
          <t>ÅRE</t>
        </is>
      </c>
      <c r="G451" t="n">
        <v>8.4</v>
      </c>
      <c r="H451" t="n">
        <v>0</v>
      </c>
      <c r="I451" t="n">
        <v>0</v>
      </c>
      <c r="J451" t="n">
        <v>0</v>
      </c>
      <c r="K451" t="n">
        <v>0</v>
      </c>
      <c r="L451" t="n">
        <v>0</v>
      </c>
      <c r="M451" t="n">
        <v>0</v>
      </c>
      <c r="N451" t="n">
        <v>0</v>
      </c>
      <c r="O451" t="n">
        <v>0</v>
      </c>
      <c r="P451" t="n">
        <v>0</v>
      </c>
      <c r="Q451" t="n">
        <v>0</v>
      </c>
      <c r="R451" s="2" t="inlineStr"/>
    </row>
    <row r="452" ht="15" customHeight="1">
      <c r="A452" t="inlineStr">
        <is>
          <t>A 49267-2024</t>
        </is>
      </c>
      <c r="B452" s="1" t="n">
        <v>45595</v>
      </c>
      <c r="C452" s="1" t="n">
        <v>45917</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29294-2023</t>
        </is>
      </c>
      <c r="B453" s="1" t="n">
        <v>45098</v>
      </c>
      <c r="C453" s="1" t="n">
        <v>45917</v>
      </c>
      <c r="D453" t="inlineStr">
        <is>
          <t>JÄMTLANDS LÄN</t>
        </is>
      </c>
      <c r="E453" t="inlineStr">
        <is>
          <t>ÅRE</t>
        </is>
      </c>
      <c r="G453" t="n">
        <v>0.7</v>
      </c>
      <c r="H453" t="n">
        <v>0</v>
      </c>
      <c r="I453" t="n">
        <v>0</v>
      </c>
      <c r="J453" t="n">
        <v>0</v>
      </c>
      <c r="K453" t="n">
        <v>0</v>
      </c>
      <c r="L453" t="n">
        <v>0</v>
      </c>
      <c r="M453" t="n">
        <v>0</v>
      </c>
      <c r="N453" t="n">
        <v>0</v>
      </c>
      <c r="O453" t="n">
        <v>0</v>
      </c>
      <c r="P453" t="n">
        <v>0</v>
      </c>
      <c r="Q453" t="n">
        <v>0</v>
      </c>
      <c r="R453" s="2" t="inlineStr"/>
    </row>
    <row r="454" ht="15" customHeight="1">
      <c r="A454" t="inlineStr">
        <is>
          <t>A 33015-2022</t>
        </is>
      </c>
      <c r="B454" s="1" t="n">
        <v>44784</v>
      </c>
      <c r="C454" s="1" t="n">
        <v>45917</v>
      </c>
      <c r="D454" t="inlineStr">
        <is>
          <t>JÄMTLANDS LÄN</t>
        </is>
      </c>
      <c r="E454" t="inlineStr">
        <is>
          <t>ÅRE</t>
        </is>
      </c>
      <c r="G454" t="n">
        <v>5.1</v>
      </c>
      <c r="H454" t="n">
        <v>0</v>
      </c>
      <c r="I454" t="n">
        <v>0</v>
      </c>
      <c r="J454" t="n">
        <v>0</v>
      </c>
      <c r="K454" t="n">
        <v>0</v>
      </c>
      <c r="L454" t="n">
        <v>0</v>
      </c>
      <c r="M454" t="n">
        <v>0</v>
      </c>
      <c r="N454" t="n">
        <v>0</v>
      </c>
      <c r="O454" t="n">
        <v>0</v>
      </c>
      <c r="P454" t="n">
        <v>0</v>
      </c>
      <c r="Q454" t="n">
        <v>0</v>
      </c>
      <c r="R454" s="2" t="inlineStr"/>
    </row>
    <row r="455" ht="15" customHeight="1">
      <c r="A455" t="inlineStr">
        <is>
          <t>A 12288-2023</t>
        </is>
      </c>
      <c r="B455" s="1" t="n">
        <v>44998.73143518518</v>
      </c>
      <c r="C455" s="1" t="n">
        <v>45917</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47069-2024</t>
        </is>
      </c>
      <c r="B456" s="1" t="n">
        <v>45586.48003472222</v>
      </c>
      <c r="C456" s="1" t="n">
        <v>45917</v>
      </c>
      <c r="D456" t="inlineStr">
        <is>
          <t>JÄMTLANDS LÄN</t>
        </is>
      </c>
      <c r="E456" t="inlineStr">
        <is>
          <t>ÅRE</t>
        </is>
      </c>
      <c r="G456" t="n">
        <v>7.1</v>
      </c>
      <c r="H456" t="n">
        <v>0</v>
      </c>
      <c r="I456" t="n">
        <v>0</v>
      </c>
      <c r="J456" t="n">
        <v>0</v>
      </c>
      <c r="K456" t="n">
        <v>0</v>
      </c>
      <c r="L456" t="n">
        <v>0</v>
      </c>
      <c r="M456" t="n">
        <v>0</v>
      </c>
      <c r="N456" t="n">
        <v>0</v>
      </c>
      <c r="O456" t="n">
        <v>0</v>
      </c>
      <c r="P456" t="n">
        <v>0</v>
      </c>
      <c r="Q456" t="n">
        <v>0</v>
      </c>
      <c r="R456" s="2" t="inlineStr"/>
    </row>
    <row r="457" ht="15" customHeight="1">
      <c r="A457" t="inlineStr">
        <is>
          <t>A 61978-2023</t>
        </is>
      </c>
      <c r="B457" s="1" t="n">
        <v>45266.59711805556</v>
      </c>
      <c r="C457" s="1" t="n">
        <v>45917</v>
      </c>
      <c r="D457" t="inlineStr">
        <is>
          <t>JÄMTLANDS LÄN</t>
        </is>
      </c>
      <c r="E457" t="inlineStr">
        <is>
          <t>ÅRE</t>
        </is>
      </c>
      <c r="G457" t="n">
        <v>5.5</v>
      </c>
      <c r="H457" t="n">
        <v>0</v>
      </c>
      <c r="I457" t="n">
        <v>0</v>
      </c>
      <c r="J457" t="n">
        <v>0</v>
      </c>
      <c r="K457" t="n">
        <v>0</v>
      </c>
      <c r="L457" t="n">
        <v>0</v>
      </c>
      <c r="M457" t="n">
        <v>0</v>
      </c>
      <c r="N457" t="n">
        <v>0</v>
      </c>
      <c r="O457" t="n">
        <v>0</v>
      </c>
      <c r="P457" t="n">
        <v>0</v>
      </c>
      <c r="Q457" t="n">
        <v>0</v>
      </c>
      <c r="R457" s="2" t="inlineStr"/>
    </row>
    <row r="458" ht="15" customHeight="1">
      <c r="A458" t="inlineStr">
        <is>
          <t>A 33117-2023</t>
        </is>
      </c>
      <c r="B458" s="1" t="n">
        <v>45126</v>
      </c>
      <c r="C458" s="1" t="n">
        <v>45917</v>
      </c>
      <c r="D458" t="inlineStr">
        <is>
          <t>JÄMTLANDS LÄN</t>
        </is>
      </c>
      <c r="E458" t="inlineStr">
        <is>
          <t>ÅRE</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36975-2025</t>
        </is>
      </c>
      <c r="B459" s="1" t="n">
        <v>45874.63773148148</v>
      </c>
      <c r="C459" s="1" t="n">
        <v>45917</v>
      </c>
      <c r="D459" t="inlineStr">
        <is>
          <t>JÄMTLANDS LÄN</t>
        </is>
      </c>
      <c r="E459" t="inlineStr">
        <is>
          <t>ÅRE</t>
        </is>
      </c>
      <c r="F459" t="inlineStr">
        <is>
          <t>Övriga Aktiebolag</t>
        </is>
      </c>
      <c r="G459" t="n">
        <v>3.2</v>
      </c>
      <c r="H459" t="n">
        <v>0</v>
      </c>
      <c r="I459" t="n">
        <v>0</v>
      </c>
      <c r="J459" t="n">
        <v>0</v>
      </c>
      <c r="K459" t="n">
        <v>0</v>
      </c>
      <c r="L459" t="n">
        <v>0</v>
      </c>
      <c r="M459" t="n">
        <v>0</v>
      </c>
      <c r="N459" t="n">
        <v>0</v>
      </c>
      <c r="O459" t="n">
        <v>0</v>
      </c>
      <c r="P459" t="n">
        <v>0</v>
      </c>
      <c r="Q459" t="n">
        <v>0</v>
      </c>
      <c r="R459" s="2" t="inlineStr"/>
    </row>
    <row r="460" ht="15" customHeight="1">
      <c r="A460" t="inlineStr">
        <is>
          <t>A 48177-2020</t>
        </is>
      </c>
      <c r="B460" s="1" t="n">
        <v>44102</v>
      </c>
      <c r="C460" s="1" t="n">
        <v>45917</v>
      </c>
      <c r="D460" t="inlineStr">
        <is>
          <t>JÄMTLANDS LÄN</t>
        </is>
      </c>
      <c r="E460" t="inlineStr">
        <is>
          <t>ÅRE</t>
        </is>
      </c>
      <c r="G460" t="n">
        <v>1.5</v>
      </c>
      <c r="H460" t="n">
        <v>0</v>
      </c>
      <c r="I460" t="n">
        <v>0</v>
      </c>
      <c r="J460" t="n">
        <v>0</v>
      </c>
      <c r="K460" t="n">
        <v>0</v>
      </c>
      <c r="L460" t="n">
        <v>0</v>
      </c>
      <c r="M460" t="n">
        <v>0</v>
      </c>
      <c r="N460" t="n">
        <v>0</v>
      </c>
      <c r="O460" t="n">
        <v>0</v>
      </c>
      <c r="P460" t="n">
        <v>0</v>
      </c>
      <c r="Q460" t="n">
        <v>0</v>
      </c>
      <c r="R460" s="2" t="inlineStr"/>
    </row>
    <row r="461" ht="15" customHeight="1">
      <c r="A461" t="inlineStr">
        <is>
          <t>A 41273-2025</t>
        </is>
      </c>
      <c r="B461" s="1" t="n">
        <v>45898</v>
      </c>
      <c r="C461" s="1" t="n">
        <v>45917</v>
      </c>
      <c r="D461" t="inlineStr">
        <is>
          <t>JÄMTLANDS LÄN</t>
        </is>
      </c>
      <c r="E461" t="inlineStr">
        <is>
          <t>ÅRE</t>
        </is>
      </c>
      <c r="F461" t="inlineStr">
        <is>
          <t>Övriga Aktiebolag</t>
        </is>
      </c>
      <c r="G461" t="n">
        <v>3.1</v>
      </c>
      <c r="H461" t="n">
        <v>0</v>
      </c>
      <c r="I461" t="n">
        <v>0</v>
      </c>
      <c r="J461" t="n">
        <v>0</v>
      </c>
      <c r="K461" t="n">
        <v>0</v>
      </c>
      <c r="L461" t="n">
        <v>0</v>
      </c>
      <c r="M461" t="n">
        <v>0</v>
      </c>
      <c r="N461" t="n">
        <v>0</v>
      </c>
      <c r="O461" t="n">
        <v>0</v>
      </c>
      <c r="P461" t="n">
        <v>0</v>
      </c>
      <c r="Q461" t="n">
        <v>0</v>
      </c>
      <c r="R461" s="2" t="inlineStr"/>
    </row>
    <row r="462" ht="15" customHeight="1">
      <c r="A462" t="inlineStr">
        <is>
          <t>A 41280-2025</t>
        </is>
      </c>
      <c r="B462" s="1" t="n">
        <v>45898</v>
      </c>
      <c r="C462" s="1" t="n">
        <v>45917</v>
      </c>
      <c r="D462" t="inlineStr">
        <is>
          <t>JÄMTLANDS LÄN</t>
        </is>
      </c>
      <c r="E462" t="inlineStr">
        <is>
          <t>ÅRE</t>
        </is>
      </c>
      <c r="F462" t="inlineStr">
        <is>
          <t>Övriga Aktiebolag</t>
        </is>
      </c>
      <c r="G462" t="n">
        <v>4.5</v>
      </c>
      <c r="H462" t="n">
        <v>0</v>
      </c>
      <c r="I462" t="n">
        <v>0</v>
      </c>
      <c r="J462" t="n">
        <v>0</v>
      </c>
      <c r="K462" t="n">
        <v>0</v>
      </c>
      <c r="L462" t="n">
        <v>0</v>
      </c>
      <c r="M462" t="n">
        <v>0</v>
      </c>
      <c r="N462" t="n">
        <v>0</v>
      </c>
      <c r="O462" t="n">
        <v>0</v>
      </c>
      <c r="P462" t="n">
        <v>0</v>
      </c>
      <c r="Q462" t="n">
        <v>0</v>
      </c>
      <c r="R462" s="2" t="inlineStr"/>
    </row>
    <row r="463" ht="15" customHeight="1">
      <c r="A463" t="inlineStr">
        <is>
          <t>A 376-2024</t>
        </is>
      </c>
      <c r="B463" s="1" t="n">
        <v>45296</v>
      </c>
      <c r="C463" s="1" t="n">
        <v>45917</v>
      </c>
      <c r="D463" t="inlineStr">
        <is>
          <t>JÄMTLANDS LÄN</t>
        </is>
      </c>
      <c r="E463" t="inlineStr">
        <is>
          <t>ÅRE</t>
        </is>
      </c>
      <c r="F463" t="inlineStr">
        <is>
          <t>Kyrkan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37118-2025</t>
        </is>
      </c>
      <c r="B464" s="1" t="n">
        <v>45875</v>
      </c>
      <c r="C464" s="1" t="n">
        <v>45917</v>
      </c>
      <c r="D464" t="inlineStr">
        <is>
          <t>JÄMTLANDS LÄN</t>
        </is>
      </c>
      <c r="E464" t="inlineStr">
        <is>
          <t>ÅRE</t>
        </is>
      </c>
      <c r="G464" t="n">
        <v>2.9</v>
      </c>
      <c r="H464" t="n">
        <v>0</v>
      </c>
      <c r="I464" t="n">
        <v>0</v>
      </c>
      <c r="J464" t="n">
        <v>0</v>
      </c>
      <c r="K464" t="n">
        <v>0</v>
      </c>
      <c r="L464" t="n">
        <v>0</v>
      </c>
      <c r="M464" t="n">
        <v>0</v>
      </c>
      <c r="N464" t="n">
        <v>0</v>
      </c>
      <c r="O464" t="n">
        <v>0</v>
      </c>
      <c r="P464" t="n">
        <v>0</v>
      </c>
      <c r="Q464" t="n">
        <v>0</v>
      </c>
      <c r="R464" s="2" t="inlineStr"/>
    </row>
    <row r="465" ht="15" customHeight="1">
      <c r="A465" t="inlineStr">
        <is>
          <t>A 37178-2025</t>
        </is>
      </c>
      <c r="B465" s="1" t="n">
        <v>45875</v>
      </c>
      <c r="C465" s="1" t="n">
        <v>45917</v>
      </c>
      <c r="D465" t="inlineStr">
        <is>
          <t>JÄMTLANDS LÄN</t>
        </is>
      </c>
      <c r="E465" t="inlineStr">
        <is>
          <t>ÅRE</t>
        </is>
      </c>
      <c r="G465" t="n">
        <v>5</v>
      </c>
      <c r="H465" t="n">
        <v>0</v>
      </c>
      <c r="I465" t="n">
        <v>0</v>
      </c>
      <c r="J465" t="n">
        <v>0</v>
      </c>
      <c r="K465" t="n">
        <v>0</v>
      </c>
      <c r="L465" t="n">
        <v>0</v>
      </c>
      <c r="M465" t="n">
        <v>0</v>
      </c>
      <c r="N465" t="n">
        <v>0</v>
      </c>
      <c r="O465" t="n">
        <v>0</v>
      </c>
      <c r="P465" t="n">
        <v>0</v>
      </c>
      <c r="Q465" t="n">
        <v>0</v>
      </c>
      <c r="R465" s="2" t="inlineStr"/>
    </row>
    <row r="466" ht="15" customHeight="1">
      <c r="A466" t="inlineStr">
        <is>
          <t>A 69592-2021</t>
        </is>
      </c>
      <c r="B466" s="1" t="n">
        <v>44531</v>
      </c>
      <c r="C466" s="1" t="n">
        <v>45917</v>
      </c>
      <c r="D466" t="inlineStr">
        <is>
          <t>JÄMTLANDS LÄN</t>
        </is>
      </c>
      <c r="E466" t="inlineStr">
        <is>
          <t>ÅRE</t>
        </is>
      </c>
      <c r="G466" t="n">
        <v>4.7</v>
      </c>
      <c r="H466" t="n">
        <v>0</v>
      </c>
      <c r="I466" t="n">
        <v>0</v>
      </c>
      <c r="J466" t="n">
        <v>0</v>
      </c>
      <c r="K466" t="n">
        <v>0</v>
      </c>
      <c r="L466" t="n">
        <v>0</v>
      </c>
      <c r="M466" t="n">
        <v>0</v>
      </c>
      <c r="N466" t="n">
        <v>0</v>
      </c>
      <c r="O466" t="n">
        <v>0</v>
      </c>
      <c r="P466" t="n">
        <v>0</v>
      </c>
      <c r="Q466" t="n">
        <v>0</v>
      </c>
      <c r="R466" s="2" t="inlineStr"/>
    </row>
    <row r="467" ht="15" customHeight="1">
      <c r="A467" t="inlineStr">
        <is>
          <t>A 37158-2025</t>
        </is>
      </c>
      <c r="B467" s="1" t="n">
        <v>45875</v>
      </c>
      <c r="C467" s="1" t="n">
        <v>45917</v>
      </c>
      <c r="D467" t="inlineStr">
        <is>
          <t>JÄMTLANDS LÄN</t>
        </is>
      </c>
      <c r="E467" t="inlineStr">
        <is>
          <t>ÅRE</t>
        </is>
      </c>
      <c r="G467" t="n">
        <v>4.7</v>
      </c>
      <c r="H467" t="n">
        <v>0</v>
      </c>
      <c r="I467" t="n">
        <v>0</v>
      </c>
      <c r="J467" t="n">
        <v>0</v>
      </c>
      <c r="K467" t="n">
        <v>0</v>
      </c>
      <c r="L467" t="n">
        <v>0</v>
      </c>
      <c r="M467" t="n">
        <v>0</v>
      </c>
      <c r="N467" t="n">
        <v>0</v>
      </c>
      <c r="O467" t="n">
        <v>0</v>
      </c>
      <c r="P467" t="n">
        <v>0</v>
      </c>
      <c r="Q467" t="n">
        <v>0</v>
      </c>
      <c r="R467" s="2" t="inlineStr"/>
    </row>
    <row r="468" ht="15" customHeight="1">
      <c r="A468" t="inlineStr">
        <is>
          <t>A 37159-2025</t>
        </is>
      </c>
      <c r="B468" s="1" t="n">
        <v>45875</v>
      </c>
      <c r="C468" s="1" t="n">
        <v>45917</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44251-2025</t>
        </is>
      </c>
      <c r="B469" s="1" t="n">
        <v>45915.69837962963</v>
      </c>
      <c r="C469" s="1" t="n">
        <v>45917</v>
      </c>
      <c r="D469" t="inlineStr">
        <is>
          <t>JÄMTLANDS LÄN</t>
        </is>
      </c>
      <c r="E469" t="inlineStr">
        <is>
          <t>ÅRE</t>
        </is>
      </c>
      <c r="G469" t="n">
        <v>0.2</v>
      </c>
      <c r="H469" t="n">
        <v>0</v>
      </c>
      <c r="I469" t="n">
        <v>0</v>
      </c>
      <c r="J469" t="n">
        <v>0</v>
      </c>
      <c r="K469" t="n">
        <v>0</v>
      </c>
      <c r="L469" t="n">
        <v>0</v>
      </c>
      <c r="M469" t="n">
        <v>0</v>
      </c>
      <c r="N469" t="n">
        <v>0</v>
      </c>
      <c r="O469" t="n">
        <v>0</v>
      </c>
      <c r="P469" t="n">
        <v>0</v>
      </c>
      <c r="Q469" t="n">
        <v>0</v>
      </c>
      <c r="R469" s="2" t="inlineStr"/>
    </row>
    <row r="470" ht="15" customHeight="1">
      <c r="A470" t="inlineStr">
        <is>
          <t>A 44418-2025</t>
        </is>
      </c>
      <c r="B470" s="1" t="n">
        <v>45916.54578703704</v>
      </c>
      <c r="C470" s="1" t="n">
        <v>45917</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54250-2024</t>
        </is>
      </c>
      <c r="B471" s="1" t="n">
        <v>45616</v>
      </c>
      <c r="C471" s="1" t="n">
        <v>45917</v>
      </c>
      <c r="D471" t="inlineStr">
        <is>
          <t>JÄMTLANDS LÄN</t>
        </is>
      </c>
      <c r="E471" t="inlineStr">
        <is>
          <t>ÅRE</t>
        </is>
      </c>
      <c r="G471" t="n">
        <v>2.8</v>
      </c>
      <c r="H471" t="n">
        <v>0</v>
      </c>
      <c r="I471" t="n">
        <v>0</v>
      </c>
      <c r="J471" t="n">
        <v>0</v>
      </c>
      <c r="K471" t="n">
        <v>0</v>
      </c>
      <c r="L471" t="n">
        <v>0</v>
      </c>
      <c r="M471" t="n">
        <v>0</v>
      </c>
      <c r="N471" t="n">
        <v>0</v>
      </c>
      <c r="O471" t="n">
        <v>0</v>
      </c>
      <c r="P471" t="n">
        <v>0</v>
      </c>
      <c r="Q471" t="n">
        <v>0</v>
      </c>
      <c r="R471" s="2" t="inlineStr"/>
    </row>
    <row r="472" ht="15" customHeight="1">
      <c r="A472" t="inlineStr">
        <is>
          <t>A 9126-2025</t>
        </is>
      </c>
      <c r="B472" s="1" t="n">
        <v>45713</v>
      </c>
      <c r="C472" s="1" t="n">
        <v>45917</v>
      </c>
      <c r="D472" t="inlineStr">
        <is>
          <t>JÄMTLANDS LÄN</t>
        </is>
      </c>
      <c r="E472" t="inlineStr">
        <is>
          <t>ÅRE</t>
        </is>
      </c>
      <c r="G472" t="n">
        <v>2</v>
      </c>
      <c r="H472" t="n">
        <v>0</v>
      </c>
      <c r="I472" t="n">
        <v>0</v>
      </c>
      <c r="J472" t="n">
        <v>0</v>
      </c>
      <c r="K472" t="n">
        <v>0</v>
      </c>
      <c r="L472" t="n">
        <v>0</v>
      </c>
      <c r="M472" t="n">
        <v>0</v>
      </c>
      <c r="N472" t="n">
        <v>0</v>
      </c>
      <c r="O472" t="n">
        <v>0</v>
      </c>
      <c r="P472" t="n">
        <v>0</v>
      </c>
      <c r="Q472" t="n">
        <v>0</v>
      </c>
      <c r="R472" s="2" t="inlineStr"/>
    </row>
    <row r="473" ht="15" customHeight="1">
      <c r="A473" t="inlineStr">
        <is>
          <t>A 36974-2025</t>
        </is>
      </c>
      <c r="B473" s="1" t="n">
        <v>45874.63766203704</v>
      </c>
      <c r="C473" s="1" t="n">
        <v>45917</v>
      </c>
      <c r="D473" t="inlineStr">
        <is>
          <t>JÄMTLANDS LÄN</t>
        </is>
      </c>
      <c r="E473" t="inlineStr">
        <is>
          <t>ÅRE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10567-2025</t>
        </is>
      </c>
      <c r="B474" s="1" t="n">
        <v>45714</v>
      </c>
      <c r="C474" s="1" t="n">
        <v>45917</v>
      </c>
      <c r="D474" t="inlineStr">
        <is>
          <t>JÄMTLANDS LÄN</t>
        </is>
      </c>
      <c r="E474" t="inlineStr">
        <is>
          <t>ÅRE</t>
        </is>
      </c>
      <c r="G474" t="n">
        <v>3.6</v>
      </c>
      <c r="H474" t="n">
        <v>0</v>
      </c>
      <c r="I474" t="n">
        <v>0</v>
      </c>
      <c r="J474" t="n">
        <v>0</v>
      </c>
      <c r="K474" t="n">
        <v>0</v>
      </c>
      <c r="L474" t="n">
        <v>0</v>
      </c>
      <c r="M474" t="n">
        <v>0</v>
      </c>
      <c r="N474" t="n">
        <v>0</v>
      </c>
      <c r="O474" t="n">
        <v>0</v>
      </c>
      <c r="P474" t="n">
        <v>0</v>
      </c>
      <c r="Q474" t="n">
        <v>0</v>
      </c>
      <c r="R474" s="2" t="inlineStr"/>
    </row>
    <row r="475" ht="15" customHeight="1">
      <c r="A475" t="inlineStr">
        <is>
          <t>A 2376-2023</t>
        </is>
      </c>
      <c r="B475" s="1" t="n">
        <v>44942</v>
      </c>
      <c r="C475" s="1" t="n">
        <v>45917</v>
      </c>
      <c r="D475" t="inlineStr">
        <is>
          <t>JÄMTLANDS LÄN</t>
        </is>
      </c>
      <c r="E475" t="inlineStr">
        <is>
          <t>ÅRE</t>
        </is>
      </c>
      <c r="G475" t="n">
        <v>0.1</v>
      </c>
      <c r="H475" t="n">
        <v>0</v>
      </c>
      <c r="I475" t="n">
        <v>0</v>
      </c>
      <c r="J475" t="n">
        <v>0</v>
      </c>
      <c r="K475" t="n">
        <v>0</v>
      </c>
      <c r="L475" t="n">
        <v>0</v>
      </c>
      <c r="M475" t="n">
        <v>0</v>
      </c>
      <c r="N475" t="n">
        <v>0</v>
      </c>
      <c r="O475" t="n">
        <v>0</v>
      </c>
      <c r="P475" t="n">
        <v>0</v>
      </c>
      <c r="Q475" t="n">
        <v>0</v>
      </c>
      <c r="R475" s="2" t="inlineStr"/>
    </row>
    <row r="476" ht="15" customHeight="1">
      <c r="A476" t="inlineStr">
        <is>
          <t>A 52470-2022</t>
        </is>
      </c>
      <c r="B476" s="1" t="n">
        <v>44874.48167824074</v>
      </c>
      <c r="C476" s="1" t="n">
        <v>45917</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13559-2025</t>
        </is>
      </c>
      <c r="B477" s="1" t="n">
        <v>45736.55288194444</v>
      </c>
      <c r="C477" s="1" t="n">
        <v>45917</v>
      </c>
      <c r="D477" t="inlineStr">
        <is>
          <t>JÄMTLANDS LÄN</t>
        </is>
      </c>
      <c r="E477" t="inlineStr">
        <is>
          <t>ÅRE</t>
        </is>
      </c>
      <c r="F477" t="inlineStr">
        <is>
          <t>Övriga statliga verk och myndigheter</t>
        </is>
      </c>
      <c r="G477" t="n">
        <v>0.4</v>
      </c>
      <c r="H477" t="n">
        <v>0</v>
      </c>
      <c r="I477" t="n">
        <v>0</v>
      </c>
      <c r="J477" t="n">
        <v>0</v>
      </c>
      <c r="K477" t="n">
        <v>0</v>
      </c>
      <c r="L477" t="n">
        <v>0</v>
      </c>
      <c r="M477" t="n">
        <v>0</v>
      </c>
      <c r="N477" t="n">
        <v>0</v>
      </c>
      <c r="O477" t="n">
        <v>0</v>
      </c>
      <c r="P477" t="n">
        <v>0</v>
      </c>
      <c r="Q477" t="n">
        <v>0</v>
      </c>
      <c r="R477" s="2" t="inlineStr"/>
    </row>
    <row r="478" ht="15" customHeight="1">
      <c r="A478" t="inlineStr">
        <is>
          <t>A 52707-2022</t>
        </is>
      </c>
      <c r="B478" s="1" t="n">
        <v>44874</v>
      </c>
      <c r="C478" s="1" t="n">
        <v>45917</v>
      </c>
      <c r="D478" t="inlineStr">
        <is>
          <t>JÄMTLANDS LÄN</t>
        </is>
      </c>
      <c r="E478" t="inlineStr">
        <is>
          <t>ÅRE</t>
        </is>
      </c>
      <c r="F478" t="inlineStr">
        <is>
          <t>Övriga Aktiebolag</t>
        </is>
      </c>
      <c r="G478" t="n">
        <v>2.3</v>
      </c>
      <c r="H478" t="n">
        <v>0</v>
      </c>
      <c r="I478" t="n">
        <v>0</v>
      </c>
      <c r="J478" t="n">
        <v>0</v>
      </c>
      <c r="K478" t="n">
        <v>0</v>
      </c>
      <c r="L478" t="n">
        <v>0</v>
      </c>
      <c r="M478" t="n">
        <v>0</v>
      </c>
      <c r="N478" t="n">
        <v>0</v>
      </c>
      <c r="O478" t="n">
        <v>0</v>
      </c>
      <c r="P478" t="n">
        <v>0</v>
      </c>
      <c r="Q478" t="n">
        <v>0</v>
      </c>
      <c r="R478" s="2" t="inlineStr"/>
    </row>
    <row r="479" ht="15" customHeight="1">
      <c r="A479" t="inlineStr">
        <is>
          <t>A 46976-2024</t>
        </is>
      </c>
      <c r="B479" s="1" t="n">
        <v>45586</v>
      </c>
      <c r="C479" s="1" t="n">
        <v>45917</v>
      </c>
      <c r="D479" t="inlineStr">
        <is>
          <t>JÄMTLANDS LÄN</t>
        </is>
      </c>
      <c r="E479" t="inlineStr">
        <is>
          <t>ÅRE</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25710-2024</t>
        </is>
      </c>
      <c r="B480" s="1" t="n">
        <v>45463</v>
      </c>
      <c r="C480" s="1" t="n">
        <v>45917</v>
      </c>
      <c r="D480" t="inlineStr">
        <is>
          <t>JÄMTLANDS LÄN</t>
        </is>
      </c>
      <c r="E480" t="inlineStr">
        <is>
          <t>ÅRE</t>
        </is>
      </c>
      <c r="G480" t="n">
        <v>4.5</v>
      </c>
      <c r="H480" t="n">
        <v>0</v>
      </c>
      <c r="I480" t="n">
        <v>0</v>
      </c>
      <c r="J480" t="n">
        <v>0</v>
      </c>
      <c r="K480" t="n">
        <v>0</v>
      </c>
      <c r="L480" t="n">
        <v>0</v>
      </c>
      <c r="M480" t="n">
        <v>0</v>
      </c>
      <c r="N480" t="n">
        <v>0</v>
      </c>
      <c r="O480" t="n">
        <v>0</v>
      </c>
      <c r="P480" t="n">
        <v>0</v>
      </c>
      <c r="Q480" t="n">
        <v>0</v>
      </c>
      <c r="R480" s="2" t="inlineStr"/>
    </row>
    <row r="481" ht="15" customHeight="1">
      <c r="A481" t="inlineStr">
        <is>
          <t>A 3066-2023</t>
        </is>
      </c>
      <c r="B481" s="1" t="n">
        <v>44946</v>
      </c>
      <c r="C481" s="1" t="n">
        <v>45917</v>
      </c>
      <c r="D481" t="inlineStr">
        <is>
          <t>JÄMTLANDS LÄN</t>
        </is>
      </c>
      <c r="E481" t="inlineStr">
        <is>
          <t>ÅRE</t>
        </is>
      </c>
      <c r="G481" t="n">
        <v>1.3</v>
      </c>
      <c r="H481" t="n">
        <v>0</v>
      </c>
      <c r="I481" t="n">
        <v>0</v>
      </c>
      <c r="J481" t="n">
        <v>0</v>
      </c>
      <c r="K481" t="n">
        <v>0</v>
      </c>
      <c r="L481" t="n">
        <v>0</v>
      </c>
      <c r="M481" t="n">
        <v>0</v>
      </c>
      <c r="N481" t="n">
        <v>0</v>
      </c>
      <c r="O481" t="n">
        <v>0</v>
      </c>
      <c r="P481" t="n">
        <v>0</v>
      </c>
      <c r="Q481" t="n">
        <v>0</v>
      </c>
      <c r="R481" s="2" t="inlineStr"/>
    </row>
    <row r="482" ht="15" customHeight="1">
      <c r="A482" t="inlineStr">
        <is>
          <t>A 3149-2023</t>
        </is>
      </c>
      <c r="B482" s="1" t="n">
        <v>44946.5500925926</v>
      </c>
      <c r="C482" s="1" t="n">
        <v>45917</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52427-2021</t>
        </is>
      </c>
      <c r="B483" s="1" t="n">
        <v>44466.34178240741</v>
      </c>
      <c r="C483" s="1" t="n">
        <v>45917</v>
      </c>
      <c r="D483" t="inlineStr">
        <is>
          <t>JÄMTLANDS LÄN</t>
        </is>
      </c>
      <c r="E483" t="inlineStr">
        <is>
          <t>ÅRE</t>
        </is>
      </c>
      <c r="G483" t="n">
        <v>4</v>
      </c>
      <c r="H483" t="n">
        <v>0</v>
      </c>
      <c r="I483" t="n">
        <v>0</v>
      </c>
      <c r="J483" t="n">
        <v>0</v>
      </c>
      <c r="K483" t="n">
        <v>0</v>
      </c>
      <c r="L483" t="n">
        <v>0</v>
      </c>
      <c r="M483" t="n">
        <v>0</v>
      </c>
      <c r="N483" t="n">
        <v>0</v>
      </c>
      <c r="O483" t="n">
        <v>0</v>
      </c>
      <c r="P483" t="n">
        <v>0</v>
      </c>
      <c r="Q483" t="n">
        <v>0</v>
      </c>
      <c r="R483" s="2" t="inlineStr"/>
    </row>
    <row r="484" ht="15" customHeight="1">
      <c r="A484" t="inlineStr">
        <is>
          <t>A 54164-2023</t>
        </is>
      </c>
      <c r="B484" s="1" t="n">
        <v>45232.47815972222</v>
      </c>
      <c r="C484" s="1" t="n">
        <v>45917</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67270-2020</t>
        </is>
      </c>
      <c r="B485" s="1" t="n">
        <v>44179</v>
      </c>
      <c r="C485" s="1" t="n">
        <v>45917</v>
      </c>
      <c r="D485" t="inlineStr">
        <is>
          <t>JÄMTLANDS LÄN</t>
        </is>
      </c>
      <c r="E485" t="inlineStr">
        <is>
          <t>ÅRE</t>
        </is>
      </c>
      <c r="G485" t="n">
        <v>4.2</v>
      </c>
      <c r="H485" t="n">
        <v>0</v>
      </c>
      <c r="I485" t="n">
        <v>0</v>
      </c>
      <c r="J485" t="n">
        <v>0</v>
      </c>
      <c r="K485" t="n">
        <v>0</v>
      </c>
      <c r="L485" t="n">
        <v>0</v>
      </c>
      <c r="M485" t="n">
        <v>0</v>
      </c>
      <c r="N485" t="n">
        <v>0</v>
      </c>
      <c r="O485" t="n">
        <v>0</v>
      </c>
      <c r="P485" t="n">
        <v>0</v>
      </c>
      <c r="Q485" t="n">
        <v>0</v>
      </c>
      <c r="R485" s="2" t="inlineStr"/>
    </row>
    <row r="486" ht="15" customHeight="1">
      <c r="A486" t="inlineStr">
        <is>
          <t>A 51452-2024</t>
        </is>
      </c>
      <c r="B486" s="1" t="n">
        <v>45604.49045138889</v>
      </c>
      <c r="C486" s="1" t="n">
        <v>45917</v>
      </c>
      <c r="D486" t="inlineStr">
        <is>
          <t>JÄMTLANDS LÄN</t>
        </is>
      </c>
      <c r="E486" t="inlineStr">
        <is>
          <t>ÅRE</t>
        </is>
      </c>
      <c r="G486" t="n">
        <v>8</v>
      </c>
      <c r="H486" t="n">
        <v>0</v>
      </c>
      <c r="I486" t="n">
        <v>0</v>
      </c>
      <c r="J486" t="n">
        <v>0</v>
      </c>
      <c r="K486" t="n">
        <v>0</v>
      </c>
      <c r="L486" t="n">
        <v>0</v>
      </c>
      <c r="M486" t="n">
        <v>0</v>
      </c>
      <c r="N486" t="n">
        <v>0</v>
      </c>
      <c r="O486" t="n">
        <v>0</v>
      </c>
      <c r="P486" t="n">
        <v>0</v>
      </c>
      <c r="Q486" t="n">
        <v>0</v>
      </c>
      <c r="R486" s="2" t="inlineStr"/>
    </row>
    <row r="487" ht="15" customHeight="1">
      <c r="A487" t="inlineStr">
        <is>
          <t>A 20999-2024</t>
        </is>
      </c>
      <c r="B487" s="1" t="n">
        <v>45439</v>
      </c>
      <c r="C487" s="1" t="n">
        <v>45917</v>
      </c>
      <c r="D487" t="inlineStr">
        <is>
          <t>JÄMTLANDS LÄN</t>
        </is>
      </c>
      <c r="E487" t="inlineStr">
        <is>
          <t>ÅRE</t>
        </is>
      </c>
      <c r="G487" t="n">
        <v>5.7</v>
      </c>
      <c r="H487" t="n">
        <v>0</v>
      </c>
      <c r="I487" t="n">
        <v>0</v>
      </c>
      <c r="J487" t="n">
        <v>0</v>
      </c>
      <c r="K487" t="n">
        <v>0</v>
      </c>
      <c r="L487" t="n">
        <v>0</v>
      </c>
      <c r="M487" t="n">
        <v>0</v>
      </c>
      <c r="N487" t="n">
        <v>0</v>
      </c>
      <c r="O487" t="n">
        <v>0</v>
      </c>
      <c r="P487" t="n">
        <v>0</v>
      </c>
      <c r="Q487" t="n">
        <v>0</v>
      </c>
      <c r="R487" s="2" t="inlineStr"/>
    </row>
    <row r="488" ht="15" customHeight="1">
      <c r="A488" t="inlineStr">
        <is>
          <t>A 45113-2024</t>
        </is>
      </c>
      <c r="B488" s="1" t="n">
        <v>45575.59709490741</v>
      </c>
      <c r="C488" s="1" t="n">
        <v>45917</v>
      </c>
      <c r="D488" t="inlineStr">
        <is>
          <t>JÄMTLANDS LÄN</t>
        </is>
      </c>
      <c r="E488" t="inlineStr">
        <is>
          <t>ÅRE</t>
        </is>
      </c>
      <c r="G488" t="n">
        <v>3.7</v>
      </c>
      <c r="H488" t="n">
        <v>0</v>
      </c>
      <c r="I488" t="n">
        <v>0</v>
      </c>
      <c r="J488" t="n">
        <v>0</v>
      </c>
      <c r="K488" t="n">
        <v>0</v>
      </c>
      <c r="L488" t="n">
        <v>0</v>
      </c>
      <c r="M488" t="n">
        <v>0</v>
      </c>
      <c r="N488" t="n">
        <v>0</v>
      </c>
      <c r="O488" t="n">
        <v>0</v>
      </c>
      <c r="P488" t="n">
        <v>0</v>
      </c>
      <c r="Q488" t="n">
        <v>0</v>
      </c>
      <c r="R488" s="2" t="inlineStr"/>
    </row>
    <row r="489" ht="15" customHeight="1">
      <c r="A489" t="inlineStr">
        <is>
          <t>A 39071-2024</t>
        </is>
      </c>
      <c r="B489" s="1" t="n">
        <v>45548.53193287037</v>
      </c>
      <c r="C489" s="1" t="n">
        <v>45917</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58917-2022</t>
        </is>
      </c>
      <c r="B490" s="1" t="n">
        <v>44903</v>
      </c>
      <c r="C490" s="1" t="n">
        <v>45917</v>
      </c>
      <c r="D490" t="inlineStr">
        <is>
          <t>JÄMTLANDS LÄN</t>
        </is>
      </c>
      <c r="E490" t="inlineStr">
        <is>
          <t>ÅRE</t>
        </is>
      </c>
      <c r="F490" t="inlineStr">
        <is>
          <t>Övriga Aktiebolag</t>
        </is>
      </c>
      <c r="G490" t="n">
        <v>3.3</v>
      </c>
      <c r="H490" t="n">
        <v>0</v>
      </c>
      <c r="I490" t="n">
        <v>0</v>
      </c>
      <c r="J490" t="n">
        <v>0</v>
      </c>
      <c r="K490" t="n">
        <v>0</v>
      </c>
      <c r="L490" t="n">
        <v>0</v>
      </c>
      <c r="M490" t="n">
        <v>0</v>
      </c>
      <c r="N490" t="n">
        <v>0</v>
      </c>
      <c r="O490" t="n">
        <v>0</v>
      </c>
      <c r="P490" t="n">
        <v>0</v>
      </c>
      <c r="Q490" t="n">
        <v>0</v>
      </c>
      <c r="R490" s="2" t="inlineStr"/>
    </row>
    <row r="491" ht="15" customHeight="1">
      <c r="A491" t="inlineStr">
        <is>
          <t>A 37734-2023</t>
        </is>
      </c>
      <c r="B491" s="1" t="n">
        <v>45159.61971064815</v>
      </c>
      <c r="C491" s="1" t="n">
        <v>45917</v>
      </c>
      <c r="D491" t="inlineStr">
        <is>
          <t>JÄMTLANDS LÄN</t>
        </is>
      </c>
      <c r="E491" t="inlineStr">
        <is>
          <t>ÅRE</t>
        </is>
      </c>
      <c r="G491" t="n">
        <v>3.4</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45917</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33239-2024</t>
        </is>
      </c>
      <c r="B493" s="1" t="n">
        <v>45518.59618055556</v>
      </c>
      <c r="C493" s="1" t="n">
        <v>45917</v>
      </c>
      <c r="D493" t="inlineStr">
        <is>
          <t>JÄMTLANDS LÄN</t>
        </is>
      </c>
      <c r="E493" t="inlineStr">
        <is>
          <t>ÅRE</t>
        </is>
      </c>
      <c r="G493" t="n">
        <v>1</v>
      </c>
      <c r="H493" t="n">
        <v>0</v>
      </c>
      <c r="I493" t="n">
        <v>0</v>
      </c>
      <c r="J493" t="n">
        <v>0</v>
      </c>
      <c r="K493" t="n">
        <v>0</v>
      </c>
      <c r="L493" t="n">
        <v>0</v>
      </c>
      <c r="M493" t="n">
        <v>0</v>
      </c>
      <c r="N493" t="n">
        <v>0</v>
      </c>
      <c r="O493" t="n">
        <v>0</v>
      </c>
      <c r="P493" t="n">
        <v>0</v>
      </c>
      <c r="Q493" t="n">
        <v>0</v>
      </c>
      <c r="R493" s="2" t="inlineStr"/>
    </row>
    <row r="494" ht="15" customHeight="1">
      <c r="A494" t="inlineStr">
        <is>
          <t>A 57770-2023</t>
        </is>
      </c>
      <c r="B494" s="1" t="n">
        <v>45246.92542824074</v>
      </c>
      <c r="C494" s="1" t="n">
        <v>45917</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57710-2021</t>
        </is>
      </c>
      <c r="B495" s="1" t="n">
        <v>44484</v>
      </c>
      <c r="C495" s="1" t="n">
        <v>45917</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556-2023</t>
        </is>
      </c>
      <c r="B496" s="1" t="n">
        <v>44930</v>
      </c>
      <c r="C496" s="1" t="n">
        <v>45917</v>
      </c>
      <c r="D496" t="inlineStr">
        <is>
          <t>JÄMTLANDS LÄN</t>
        </is>
      </c>
      <c r="E496" t="inlineStr">
        <is>
          <t>ÅRE</t>
        </is>
      </c>
      <c r="G496" t="n">
        <v>14.9</v>
      </c>
      <c r="H496" t="n">
        <v>0</v>
      </c>
      <c r="I496" t="n">
        <v>0</v>
      </c>
      <c r="J496" t="n">
        <v>0</v>
      </c>
      <c r="K496" t="n">
        <v>0</v>
      </c>
      <c r="L496" t="n">
        <v>0</v>
      </c>
      <c r="M496" t="n">
        <v>0</v>
      </c>
      <c r="N496" t="n">
        <v>0</v>
      </c>
      <c r="O496" t="n">
        <v>0</v>
      </c>
      <c r="P496" t="n">
        <v>0</v>
      </c>
      <c r="Q496" t="n">
        <v>0</v>
      </c>
      <c r="R496" s="2" t="inlineStr"/>
    </row>
    <row r="497" ht="15" customHeight="1">
      <c r="A497" t="inlineStr">
        <is>
          <t>A 393-2024</t>
        </is>
      </c>
      <c r="B497" s="1" t="n">
        <v>45296.43614583334</v>
      </c>
      <c r="C497" s="1" t="n">
        <v>45917</v>
      </c>
      <c r="D497" t="inlineStr">
        <is>
          <t>JÄMTLANDS LÄN</t>
        </is>
      </c>
      <c r="E497" t="inlineStr">
        <is>
          <t>ÅRE</t>
        </is>
      </c>
      <c r="G497" t="n">
        <v>6.5</v>
      </c>
      <c r="H497" t="n">
        <v>0</v>
      </c>
      <c r="I497" t="n">
        <v>0</v>
      </c>
      <c r="J497" t="n">
        <v>0</v>
      </c>
      <c r="K497" t="n">
        <v>0</v>
      </c>
      <c r="L497" t="n">
        <v>0</v>
      </c>
      <c r="M497" t="n">
        <v>0</v>
      </c>
      <c r="N497" t="n">
        <v>0</v>
      </c>
      <c r="O497" t="n">
        <v>0</v>
      </c>
      <c r="P497" t="n">
        <v>0</v>
      </c>
      <c r="Q497" t="n">
        <v>0</v>
      </c>
      <c r="R497" s="2" t="inlineStr"/>
    </row>
    <row r="498" ht="15" customHeight="1">
      <c r="A498" t="inlineStr">
        <is>
          <t>A 66083-2020</t>
        </is>
      </c>
      <c r="B498" s="1" t="n">
        <v>44172</v>
      </c>
      <c r="C498" s="1" t="n">
        <v>45917</v>
      </c>
      <c r="D498" t="inlineStr">
        <is>
          <t>JÄMTLANDS LÄN</t>
        </is>
      </c>
      <c r="E498" t="inlineStr">
        <is>
          <t>ÅRE</t>
        </is>
      </c>
      <c r="G498" t="n">
        <v>349.9</v>
      </c>
      <c r="H498" t="n">
        <v>0</v>
      </c>
      <c r="I498" t="n">
        <v>0</v>
      </c>
      <c r="J498" t="n">
        <v>0</v>
      </c>
      <c r="K498" t="n">
        <v>0</v>
      </c>
      <c r="L498" t="n">
        <v>0</v>
      </c>
      <c r="M498" t="n">
        <v>0</v>
      </c>
      <c r="N498" t="n">
        <v>0</v>
      </c>
      <c r="O498" t="n">
        <v>0</v>
      </c>
      <c r="P498" t="n">
        <v>0</v>
      </c>
      <c r="Q498" t="n">
        <v>0</v>
      </c>
      <c r="R498" s="2" t="inlineStr"/>
    </row>
    <row r="499" ht="15" customHeight="1">
      <c r="A499" t="inlineStr">
        <is>
          <t>A 53899-2023</t>
        </is>
      </c>
      <c r="B499" s="1" t="n">
        <v>45231.54160879629</v>
      </c>
      <c r="C499" s="1" t="n">
        <v>45917</v>
      </c>
      <c r="D499" t="inlineStr">
        <is>
          <t>JÄMTLANDS LÄN</t>
        </is>
      </c>
      <c r="E499" t="inlineStr">
        <is>
          <t>ÅRE</t>
        </is>
      </c>
      <c r="G499" t="n">
        <v>20.4</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45917</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12227-2023</t>
        </is>
      </c>
      <c r="B501" s="1" t="n">
        <v>44998.60261574074</v>
      </c>
      <c r="C501" s="1" t="n">
        <v>45917</v>
      </c>
      <c r="D501" t="inlineStr">
        <is>
          <t>JÄMTLANDS LÄN</t>
        </is>
      </c>
      <c r="E501" t="inlineStr">
        <is>
          <t>ÅRE</t>
        </is>
      </c>
      <c r="G501" t="n">
        <v>2.9</v>
      </c>
      <c r="H501" t="n">
        <v>0</v>
      </c>
      <c r="I501" t="n">
        <v>0</v>
      </c>
      <c r="J501" t="n">
        <v>0</v>
      </c>
      <c r="K501" t="n">
        <v>0</v>
      </c>
      <c r="L501" t="n">
        <v>0</v>
      </c>
      <c r="M501" t="n">
        <v>0</v>
      </c>
      <c r="N501" t="n">
        <v>0</v>
      </c>
      <c r="O501" t="n">
        <v>0</v>
      </c>
      <c r="P501" t="n">
        <v>0</v>
      </c>
      <c r="Q501" t="n">
        <v>0</v>
      </c>
      <c r="R501" s="2" t="inlineStr"/>
    </row>
    <row r="502" ht="15" customHeight="1">
      <c r="A502" t="inlineStr">
        <is>
          <t>A 34538-2023</t>
        </is>
      </c>
      <c r="B502" s="1" t="n">
        <v>45134</v>
      </c>
      <c r="C502" s="1" t="n">
        <v>45917</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58889-2022</t>
        </is>
      </c>
      <c r="B503" s="1" t="n">
        <v>44896</v>
      </c>
      <c r="C503" s="1" t="n">
        <v>45917</v>
      </c>
      <c r="D503" t="inlineStr">
        <is>
          <t>JÄMTLANDS LÄN</t>
        </is>
      </c>
      <c r="E503" t="inlineStr">
        <is>
          <t>ÅRE</t>
        </is>
      </c>
      <c r="G503" t="n">
        <v>6.9</v>
      </c>
      <c r="H503" t="n">
        <v>0</v>
      </c>
      <c r="I503" t="n">
        <v>0</v>
      </c>
      <c r="J503" t="n">
        <v>0</v>
      </c>
      <c r="K503" t="n">
        <v>0</v>
      </c>
      <c r="L503" t="n">
        <v>0</v>
      </c>
      <c r="M503" t="n">
        <v>0</v>
      </c>
      <c r="N503" t="n">
        <v>0</v>
      </c>
      <c r="O503" t="n">
        <v>0</v>
      </c>
      <c r="P503" t="n">
        <v>0</v>
      </c>
      <c r="Q503" t="n">
        <v>0</v>
      </c>
      <c r="R503" s="2" t="inlineStr"/>
    </row>
    <row r="504" ht="15" customHeight="1">
      <c r="A504" t="inlineStr">
        <is>
          <t>A 7573-2023</t>
        </is>
      </c>
      <c r="B504" s="1" t="n">
        <v>44967</v>
      </c>
      <c r="C504" s="1" t="n">
        <v>45917</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45242-2023</t>
        </is>
      </c>
      <c r="B505" s="1" t="n">
        <v>45187</v>
      </c>
      <c r="C505" s="1" t="n">
        <v>45917</v>
      </c>
      <c r="D505" t="inlineStr">
        <is>
          <t>JÄMTLANDS LÄN</t>
        </is>
      </c>
      <c r="E505" t="inlineStr">
        <is>
          <t>ÅRE</t>
        </is>
      </c>
      <c r="G505" t="n">
        <v>2.9</v>
      </c>
      <c r="H505" t="n">
        <v>0</v>
      </c>
      <c r="I505" t="n">
        <v>0</v>
      </c>
      <c r="J505" t="n">
        <v>0</v>
      </c>
      <c r="K505" t="n">
        <v>0</v>
      </c>
      <c r="L505" t="n">
        <v>0</v>
      </c>
      <c r="M505" t="n">
        <v>0</v>
      </c>
      <c r="N505" t="n">
        <v>0</v>
      </c>
      <c r="O505" t="n">
        <v>0</v>
      </c>
      <c r="P505" t="n">
        <v>0</v>
      </c>
      <c r="Q505" t="n">
        <v>0</v>
      </c>
      <c r="R505" s="2" t="inlineStr"/>
    </row>
    <row r="506" ht="15" customHeight="1">
      <c r="A506" t="inlineStr">
        <is>
          <t>A 1491-2024</t>
        </is>
      </c>
      <c r="B506" s="1" t="n">
        <v>45305</v>
      </c>
      <c r="C506" s="1" t="n">
        <v>45917</v>
      </c>
      <c r="D506" t="inlineStr">
        <is>
          <t>JÄMTLANDS LÄN</t>
        </is>
      </c>
      <c r="E506" t="inlineStr">
        <is>
          <t>ÅRE</t>
        </is>
      </c>
      <c r="G506" t="n">
        <v>31.4</v>
      </c>
      <c r="H506" t="n">
        <v>0</v>
      </c>
      <c r="I506" t="n">
        <v>0</v>
      </c>
      <c r="J506" t="n">
        <v>0</v>
      </c>
      <c r="K506" t="n">
        <v>0</v>
      </c>
      <c r="L506" t="n">
        <v>0</v>
      </c>
      <c r="M506" t="n">
        <v>0</v>
      </c>
      <c r="N506" t="n">
        <v>0</v>
      </c>
      <c r="O506" t="n">
        <v>0</v>
      </c>
      <c r="P506" t="n">
        <v>0</v>
      </c>
      <c r="Q506" t="n">
        <v>0</v>
      </c>
      <c r="R506" s="2" t="inlineStr"/>
    </row>
    <row r="507" ht="15" customHeight="1">
      <c r="A507" t="inlineStr">
        <is>
          <t>A 61815-2021</t>
        </is>
      </c>
      <c r="B507" s="1" t="n">
        <v>44498</v>
      </c>
      <c r="C507" s="1" t="n">
        <v>45917</v>
      </c>
      <c r="D507" t="inlineStr">
        <is>
          <t>JÄMTLANDS LÄN</t>
        </is>
      </c>
      <c r="E507" t="inlineStr">
        <is>
          <t>ÅRE</t>
        </is>
      </c>
      <c r="G507" t="n">
        <v>7.4</v>
      </c>
      <c r="H507" t="n">
        <v>0</v>
      </c>
      <c r="I507" t="n">
        <v>0</v>
      </c>
      <c r="J507" t="n">
        <v>0</v>
      </c>
      <c r="K507" t="n">
        <v>0</v>
      </c>
      <c r="L507" t="n">
        <v>0</v>
      </c>
      <c r="M507" t="n">
        <v>0</v>
      </c>
      <c r="N507" t="n">
        <v>0</v>
      </c>
      <c r="O507" t="n">
        <v>0</v>
      </c>
      <c r="P507" t="n">
        <v>0</v>
      </c>
      <c r="Q507" t="n">
        <v>0</v>
      </c>
      <c r="R507" s="2" t="inlineStr"/>
    </row>
    <row r="508" ht="15" customHeight="1">
      <c r="A508" t="inlineStr">
        <is>
          <t>A 49747-2020</t>
        </is>
      </c>
      <c r="B508" s="1" t="n">
        <v>44106</v>
      </c>
      <c r="C508" s="1" t="n">
        <v>45917</v>
      </c>
      <c r="D508" t="inlineStr">
        <is>
          <t>JÄMTLANDS LÄN</t>
        </is>
      </c>
      <c r="E508" t="inlineStr">
        <is>
          <t>ÅRE</t>
        </is>
      </c>
      <c r="G508" t="n">
        <v>9.4</v>
      </c>
      <c r="H508" t="n">
        <v>0</v>
      </c>
      <c r="I508" t="n">
        <v>0</v>
      </c>
      <c r="J508" t="n">
        <v>0</v>
      </c>
      <c r="K508" t="n">
        <v>0</v>
      </c>
      <c r="L508" t="n">
        <v>0</v>
      </c>
      <c r="M508" t="n">
        <v>0</v>
      </c>
      <c r="N508" t="n">
        <v>0</v>
      </c>
      <c r="O508" t="n">
        <v>0</v>
      </c>
      <c r="P508" t="n">
        <v>0</v>
      </c>
      <c r="Q508" t="n">
        <v>0</v>
      </c>
      <c r="R508" s="2" t="inlineStr"/>
    </row>
    <row r="509" ht="15" customHeight="1">
      <c r="A509" t="inlineStr">
        <is>
          <t>A 30263-2023</t>
        </is>
      </c>
      <c r="B509" s="1" t="n">
        <v>45099</v>
      </c>
      <c r="C509" s="1" t="n">
        <v>45917</v>
      </c>
      <c r="D509" t="inlineStr">
        <is>
          <t>JÄMTLANDS LÄN</t>
        </is>
      </c>
      <c r="E509" t="inlineStr">
        <is>
          <t>ÅRE</t>
        </is>
      </c>
      <c r="G509" t="n">
        <v>15.9</v>
      </c>
      <c r="H509" t="n">
        <v>0</v>
      </c>
      <c r="I509" t="n">
        <v>0</v>
      </c>
      <c r="J509" t="n">
        <v>0</v>
      </c>
      <c r="K509" t="n">
        <v>0</v>
      </c>
      <c r="L509" t="n">
        <v>0</v>
      </c>
      <c r="M509" t="n">
        <v>0</v>
      </c>
      <c r="N509" t="n">
        <v>0</v>
      </c>
      <c r="O509" t="n">
        <v>0</v>
      </c>
      <c r="P509" t="n">
        <v>0</v>
      </c>
      <c r="Q509" t="n">
        <v>0</v>
      </c>
      <c r="R509" s="2" t="inlineStr"/>
    </row>
    <row r="510" ht="15" customHeight="1">
      <c r="A510" t="inlineStr">
        <is>
          <t>A 12287-2023</t>
        </is>
      </c>
      <c r="B510" s="1" t="n">
        <v>44998.72736111111</v>
      </c>
      <c r="C510" s="1" t="n">
        <v>45917</v>
      </c>
      <c r="D510" t="inlineStr">
        <is>
          <t>JÄMTLANDS LÄN</t>
        </is>
      </c>
      <c r="E510" t="inlineStr">
        <is>
          <t>ÅRE</t>
        </is>
      </c>
      <c r="G510" t="n">
        <v>3.1</v>
      </c>
      <c r="H510" t="n">
        <v>0</v>
      </c>
      <c r="I510" t="n">
        <v>0</v>
      </c>
      <c r="J510" t="n">
        <v>0</v>
      </c>
      <c r="K510" t="n">
        <v>0</v>
      </c>
      <c r="L510" t="n">
        <v>0</v>
      </c>
      <c r="M510" t="n">
        <v>0</v>
      </c>
      <c r="N510" t="n">
        <v>0</v>
      </c>
      <c r="O510" t="n">
        <v>0</v>
      </c>
      <c r="P510" t="n">
        <v>0</v>
      </c>
      <c r="Q510" t="n">
        <v>0</v>
      </c>
      <c r="R510" s="2" t="inlineStr"/>
    </row>
    <row r="511" ht="15" customHeight="1">
      <c r="A511" t="inlineStr">
        <is>
          <t>A 12290-2023</t>
        </is>
      </c>
      <c r="B511" s="1" t="n">
        <v>44998.73545138889</v>
      </c>
      <c r="C511" s="1" t="n">
        <v>45917</v>
      </c>
      <c r="D511" t="inlineStr">
        <is>
          <t>JÄMTLANDS LÄN</t>
        </is>
      </c>
      <c r="E511" t="inlineStr">
        <is>
          <t>ÅRE</t>
        </is>
      </c>
      <c r="G511" t="n">
        <v>2.8</v>
      </c>
      <c r="H511" t="n">
        <v>0</v>
      </c>
      <c r="I511" t="n">
        <v>0</v>
      </c>
      <c r="J511" t="n">
        <v>0</v>
      </c>
      <c r="K511" t="n">
        <v>0</v>
      </c>
      <c r="L511" t="n">
        <v>0</v>
      </c>
      <c r="M511" t="n">
        <v>0</v>
      </c>
      <c r="N511" t="n">
        <v>0</v>
      </c>
      <c r="O511" t="n">
        <v>0</v>
      </c>
      <c r="P511" t="n">
        <v>0</v>
      </c>
      <c r="Q511" t="n">
        <v>0</v>
      </c>
      <c r="R511" s="2" t="inlineStr"/>
    </row>
    <row r="512" ht="15" customHeight="1">
      <c r="A512" t="inlineStr">
        <is>
          <t>A 12291-2023</t>
        </is>
      </c>
      <c r="B512" s="1" t="n">
        <v>44998.74140046296</v>
      </c>
      <c r="C512" s="1" t="n">
        <v>45917</v>
      </c>
      <c r="D512" t="inlineStr">
        <is>
          <t>JÄMTLANDS LÄN</t>
        </is>
      </c>
      <c r="E512" t="inlineStr">
        <is>
          <t>ÅRE</t>
        </is>
      </c>
      <c r="G512" t="n">
        <v>6</v>
      </c>
      <c r="H512" t="n">
        <v>0</v>
      </c>
      <c r="I512" t="n">
        <v>0</v>
      </c>
      <c r="J512" t="n">
        <v>0</v>
      </c>
      <c r="K512" t="n">
        <v>0</v>
      </c>
      <c r="L512" t="n">
        <v>0</v>
      </c>
      <c r="M512" t="n">
        <v>0</v>
      </c>
      <c r="N512" t="n">
        <v>0</v>
      </c>
      <c r="O512" t="n">
        <v>0</v>
      </c>
      <c r="P512" t="n">
        <v>0</v>
      </c>
      <c r="Q512" t="n">
        <v>0</v>
      </c>
      <c r="R512" s="2" t="inlineStr"/>
    </row>
    <row r="513" ht="15" customHeight="1">
      <c r="A513" t="inlineStr">
        <is>
          <t>A 59387-2022</t>
        </is>
      </c>
      <c r="B513" s="1" t="n">
        <v>44905</v>
      </c>
      <c r="C513" s="1" t="n">
        <v>45917</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44609-2024</t>
        </is>
      </c>
      <c r="B514" s="1" t="n">
        <v>45574.51212962963</v>
      </c>
      <c r="C514" s="1" t="n">
        <v>45917</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8217-2021</t>
        </is>
      </c>
      <c r="B515" s="1" t="n">
        <v>44244</v>
      </c>
      <c r="C515" s="1" t="n">
        <v>45917</v>
      </c>
      <c r="D515" t="inlineStr">
        <is>
          <t>JÄMTLANDS LÄN</t>
        </is>
      </c>
      <c r="E515" t="inlineStr">
        <is>
          <t>ÅRE</t>
        </is>
      </c>
      <c r="G515" t="n">
        <v>51.8</v>
      </c>
      <c r="H515" t="n">
        <v>0</v>
      </c>
      <c r="I515" t="n">
        <v>0</v>
      </c>
      <c r="J515" t="n">
        <v>0</v>
      </c>
      <c r="K515" t="n">
        <v>0</v>
      </c>
      <c r="L515" t="n">
        <v>0</v>
      </c>
      <c r="M515" t="n">
        <v>0</v>
      </c>
      <c r="N515" t="n">
        <v>0</v>
      </c>
      <c r="O515" t="n">
        <v>0</v>
      </c>
      <c r="P515" t="n">
        <v>0</v>
      </c>
      <c r="Q515" t="n">
        <v>0</v>
      </c>
      <c r="R515" s="2" t="inlineStr"/>
    </row>
    <row r="516" ht="15" customHeight="1">
      <c r="A516" t="inlineStr">
        <is>
          <t>A 41677-2024</t>
        </is>
      </c>
      <c r="B516" s="1" t="n">
        <v>45560.66037037037</v>
      </c>
      <c r="C516" s="1" t="n">
        <v>45917</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41688-2024</t>
        </is>
      </c>
      <c r="B517" s="1" t="n">
        <v>45560.67542824074</v>
      </c>
      <c r="C517" s="1" t="n">
        <v>45917</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59397-2021</t>
        </is>
      </c>
      <c r="B518" s="1" t="n">
        <v>44491</v>
      </c>
      <c r="C518" s="1" t="n">
        <v>45917</v>
      </c>
      <c r="D518" t="inlineStr">
        <is>
          <t>JÄMTLANDS LÄN</t>
        </is>
      </c>
      <c r="E518" t="inlineStr">
        <is>
          <t>ÅRE</t>
        </is>
      </c>
      <c r="F518" t="inlineStr">
        <is>
          <t>Övriga Aktiebolag</t>
        </is>
      </c>
      <c r="G518" t="n">
        <v>7.6</v>
      </c>
      <c r="H518" t="n">
        <v>0</v>
      </c>
      <c r="I518" t="n">
        <v>0</v>
      </c>
      <c r="J518" t="n">
        <v>0</v>
      </c>
      <c r="K518" t="n">
        <v>0</v>
      </c>
      <c r="L518" t="n">
        <v>0</v>
      </c>
      <c r="M518" t="n">
        <v>0</v>
      </c>
      <c r="N518" t="n">
        <v>0</v>
      </c>
      <c r="O518" t="n">
        <v>0</v>
      </c>
      <c r="P518" t="n">
        <v>0</v>
      </c>
      <c r="Q518" t="n">
        <v>0</v>
      </c>
      <c r="R518" s="2" t="inlineStr"/>
    </row>
    <row r="519" ht="15" customHeight="1">
      <c r="A519" t="inlineStr">
        <is>
          <t>A 4218-2025</t>
        </is>
      </c>
      <c r="B519" s="1" t="n">
        <v>45685</v>
      </c>
      <c r="C519" s="1" t="n">
        <v>45917</v>
      </c>
      <c r="D519" t="inlineStr">
        <is>
          <t>JÄMTLANDS LÄN</t>
        </is>
      </c>
      <c r="E519" t="inlineStr">
        <is>
          <t>ÅRE</t>
        </is>
      </c>
      <c r="F519" t="inlineStr">
        <is>
          <t>Övriga Aktiebolag</t>
        </is>
      </c>
      <c r="G519" t="n">
        <v>10.1</v>
      </c>
      <c r="H519" t="n">
        <v>0</v>
      </c>
      <c r="I519" t="n">
        <v>0</v>
      </c>
      <c r="J519" t="n">
        <v>0</v>
      </c>
      <c r="K519" t="n">
        <v>0</v>
      </c>
      <c r="L519" t="n">
        <v>0</v>
      </c>
      <c r="M519" t="n">
        <v>0</v>
      </c>
      <c r="N519" t="n">
        <v>0</v>
      </c>
      <c r="O519" t="n">
        <v>0</v>
      </c>
      <c r="P519" t="n">
        <v>0</v>
      </c>
      <c r="Q519" t="n">
        <v>0</v>
      </c>
      <c r="R519" s="2" t="inlineStr"/>
    </row>
    <row r="520" ht="15" customHeight="1">
      <c r="A520" t="inlineStr">
        <is>
          <t>A 23159-2024</t>
        </is>
      </c>
      <c r="B520" s="1" t="n">
        <v>45450.7033912037</v>
      </c>
      <c r="C520" s="1" t="n">
        <v>45917</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23651-2025</t>
        </is>
      </c>
      <c r="B521" s="1" t="n">
        <v>45792.70914351852</v>
      </c>
      <c r="C521" s="1" t="n">
        <v>45917</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73800-2021</t>
        </is>
      </c>
      <c r="B522" s="1" t="n">
        <v>44552</v>
      </c>
      <c r="C522" s="1" t="n">
        <v>45917</v>
      </c>
      <c r="D522" t="inlineStr">
        <is>
          <t>JÄMTLANDS LÄN</t>
        </is>
      </c>
      <c r="E522" t="inlineStr">
        <is>
          <t>ÅRE</t>
        </is>
      </c>
      <c r="G522" t="n">
        <v>8.6</v>
      </c>
      <c r="H522" t="n">
        <v>0</v>
      </c>
      <c r="I522" t="n">
        <v>0</v>
      </c>
      <c r="J522" t="n">
        <v>0</v>
      </c>
      <c r="K522" t="n">
        <v>0</v>
      </c>
      <c r="L522" t="n">
        <v>0</v>
      </c>
      <c r="M522" t="n">
        <v>0</v>
      </c>
      <c r="N522" t="n">
        <v>0</v>
      </c>
      <c r="O522" t="n">
        <v>0</v>
      </c>
      <c r="P522" t="n">
        <v>0</v>
      </c>
      <c r="Q522" t="n">
        <v>0</v>
      </c>
      <c r="R522" s="2" t="inlineStr"/>
    </row>
    <row r="523" ht="15" customHeight="1">
      <c r="A523" t="inlineStr">
        <is>
          <t>A 15692-2025</t>
        </is>
      </c>
      <c r="B523" s="1" t="n">
        <v>45748</v>
      </c>
      <c r="C523" s="1" t="n">
        <v>45917</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44925-2024</t>
        </is>
      </c>
      <c r="B524" s="1" t="n">
        <v>45575.40700231482</v>
      </c>
      <c r="C524" s="1" t="n">
        <v>45917</v>
      </c>
      <c r="D524" t="inlineStr">
        <is>
          <t>JÄMTLANDS LÄN</t>
        </is>
      </c>
      <c r="E524" t="inlineStr">
        <is>
          <t>ÅRE</t>
        </is>
      </c>
      <c r="F524" t="inlineStr">
        <is>
          <t>Övriga Aktiebolag</t>
        </is>
      </c>
      <c r="G524" t="n">
        <v>22.3</v>
      </c>
      <c r="H524" t="n">
        <v>0</v>
      </c>
      <c r="I524" t="n">
        <v>0</v>
      </c>
      <c r="J524" t="n">
        <v>0</v>
      </c>
      <c r="K524" t="n">
        <v>0</v>
      </c>
      <c r="L524" t="n">
        <v>0</v>
      </c>
      <c r="M524" t="n">
        <v>0</v>
      </c>
      <c r="N524" t="n">
        <v>0</v>
      </c>
      <c r="O524" t="n">
        <v>0</v>
      </c>
      <c r="P524" t="n">
        <v>0</v>
      </c>
      <c r="Q524" t="n">
        <v>0</v>
      </c>
      <c r="R524" s="2" t="inlineStr"/>
    </row>
    <row r="525" ht="15" customHeight="1">
      <c r="A525" t="inlineStr">
        <is>
          <t>A 12177-2025</t>
        </is>
      </c>
      <c r="B525" s="1" t="n">
        <v>45729.45119212963</v>
      </c>
      <c r="C525" s="1" t="n">
        <v>45917</v>
      </c>
      <c r="D525" t="inlineStr">
        <is>
          <t>JÄMTLANDS LÄN</t>
        </is>
      </c>
      <c r="E525" t="inlineStr">
        <is>
          <t>ÅRE</t>
        </is>
      </c>
      <c r="F525" t="inlineStr">
        <is>
          <t>Övriga Aktiebolag</t>
        </is>
      </c>
      <c r="G525" t="n">
        <v>13.2</v>
      </c>
      <c r="H525" t="n">
        <v>0</v>
      </c>
      <c r="I525" t="n">
        <v>0</v>
      </c>
      <c r="J525" t="n">
        <v>0</v>
      </c>
      <c r="K525" t="n">
        <v>0</v>
      </c>
      <c r="L525" t="n">
        <v>0</v>
      </c>
      <c r="M525" t="n">
        <v>0</v>
      </c>
      <c r="N525" t="n">
        <v>0</v>
      </c>
      <c r="O525" t="n">
        <v>0</v>
      </c>
      <c r="P525" t="n">
        <v>0</v>
      </c>
      <c r="Q525" t="n">
        <v>0</v>
      </c>
      <c r="R525" s="2" t="inlineStr"/>
    </row>
    <row r="526" ht="15" customHeight="1">
      <c r="A526" t="inlineStr">
        <is>
          <t>A 64245-2021</t>
        </is>
      </c>
      <c r="B526" s="1" t="n">
        <v>44510</v>
      </c>
      <c r="C526" s="1" t="n">
        <v>45917</v>
      </c>
      <c r="D526" t="inlineStr">
        <is>
          <t>JÄMTLANDS LÄN</t>
        </is>
      </c>
      <c r="E526" t="inlineStr">
        <is>
          <t>ÅRE</t>
        </is>
      </c>
      <c r="G526" t="n">
        <v>1.8</v>
      </c>
      <c r="H526" t="n">
        <v>0</v>
      </c>
      <c r="I526" t="n">
        <v>0</v>
      </c>
      <c r="J526" t="n">
        <v>0</v>
      </c>
      <c r="K526" t="n">
        <v>0</v>
      </c>
      <c r="L526" t="n">
        <v>0</v>
      </c>
      <c r="M526" t="n">
        <v>0</v>
      </c>
      <c r="N526" t="n">
        <v>0</v>
      </c>
      <c r="O526" t="n">
        <v>0</v>
      </c>
      <c r="P526" t="n">
        <v>0</v>
      </c>
      <c r="Q526" t="n">
        <v>0</v>
      </c>
      <c r="R526" s="2" t="inlineStr"/>
    </row>
    <row r="527" ht="15" customHeight="1">
      <c r="A527" t="inlineStr">
        <is>
          <t>A 9613-2021</t>
        </is>
      </c>
      <c r="B527" s="1" t="n">
        <v>44251</v>
      </c>
      <c r="C527" s="1" t="n">
        <v>45917</v>
      </c>
      <c r="D527" t="inlineStr">
        <is>
          <t>JÄMTLANDS LÄN</t>
        </is>
      </c>
      <c r="E527" t="inlineStr">
        <is>
          <t>ÅRE</t>
        </is>
      </c>
      <c r="G527" t="n">
        <v>2</v>
      </c>
      <c r="H527" t="n">
        <v>0</v>
      </c>
      <c r="I527" t="n">
        <v>0</v>
      </c>
      <c r="J527" t="n">
        <v>0</v>
      </c>
      <c r="K527" t="n">
        <v>0</v>
      </c>
      <c r="L527" t="n">
        <v>0</v>
      </c>
      <c r="M527" t="n">
        <v>0</v>
      </c>
      <c r="N527" t="n">
        <v>0</v>
      </c>
      <c r="O527" t="n">
        <v>0</v>
      </c>
      <c r="P527" t="n">
        <v>0</v>
      </c>
      <c r="Q527" t="n">
        <v>0</v>
      </c>
      <c r="R527" s="2" t="inlineStr"/>
    </row>
    <row r="528" ht="15" customHeight="1">
      <c r="A528" t="inlineStr">
        <is>
          <t>A 61924-2022</t>
        </is>
      </c>
      <c r="B528" s="1" t="n">
        <v>44917</v>
      </c>
      <c r="C528" s="1" t="n">
        <v>45917</v>
      </c>
      <c r="D528" t="inlineStr">
        <is>
          <t>JÄMTLANDS LÄN</t>
        </is>
      </c>
      <c r="E528" t="inlineStr">
        <is>
          <t>ÅRE</t>
        </is>
      </c>
      <c r="G528" t="n">
        <v>39.8</v>
      </c>
      <c r="H528" t="n">
        <v>0</v>
      </c>
      <c r="I528" t="n">
        <v>0</v>
      </c>
      <c r="J528" t="n">
        <v>0</v>
      </c>
      <c r="K528" t="n">
        <v>0</v>
      </c>
      <c r="L528" t="n">
        <v>0</v>
      </c>
      <c r="M528" t="n">
        <v>0</v>
      </c>
      <c r="N528" t="n">
        <v>0</v>
      </c>
      <c r="O528" t="n">
        <v>0</v>
      </c>
      <c r="P528" t="n">
        <v>0</v>
      </c>
      <c r="Q528" t="n">
        <v>0</v>
      </c>
      <c r="R528" s="2" t="inlineStr"/>
    </row>
    <row r="529" ht="15" customHeight="1">
      <c r="A529" t="inlineStr">
        <is>
          <t>A 61295-2023</t>
        </is>
      </c>
      <c r="B529" s="1" t="n">
        <v>45264</v>
      </c>
      <c r="C529" s="1" t="n">
        <v>45917</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37729-2023</t>
        </is>
      </c>
      <c r="B530" s="1" t="n">
        <v>45159</v>
      </c>
      <c r="C530" s="1" t="n">
        <v>45917</v>
      </c>
      <c r="D530" t="inlineStr">
        <is>
          <t>JÄMTLANDS LÄN</t>
        </is>
      </c>
      <c r="E530" t="inlineStr">
        <is>
          <t>ÅRE</t>
        </is>
      </c>
      <c r="G530" t="n">
        <v>2.4</v>
      </c>
      <c r="H530" t="n">
        <v>0</v>
      </c>
      <c r="I530" t="n">
        <v>0</v>
      </c>
      <c r="J530" t="n">
        <v>0</v>
      </c>
      <c r="K530" t="n">
        <v>0</v>
      </c>
      <c r="L530" t="n">
        <v>0</v>
      </c>
      <c r="M530" t="n">
        <v>0</v>
      </c>
      <c r="N530" t="n">
        <v>0</v>
      </c>
      <c r="O530" t="n">
        <v>0</v>
      </c>
      <c r="P530" t="n">
        <v>0</v>
      </c>
      <c r="Q530" t="n">
        <v>0</v>
      </c>
      <c r="R530" s="2" t="inlineStr"/>
    </row>
    <row r="531" ht="15" customHeight="1">
      <c r="A531" t="inlineStr">
        <is>
          <t>A 50099-2021</t>
        </is>
      </c>
      <c r="B531" s="1" t="n">
        <v>44456</v>
      </c>
      <c r="C531" s="1" t="n">
        <v>45917</v>
      </c>
      <c r="D531" t="inlineStr">
        <is>
          <t>JÄMTLANDS LÄN</t>
        </is>
      </c>
      <c r="E531" t="inlineStr">
        <is>
          <t>ÅRE</t>
        </is>
      </c>
      <c r="G531" t="n">
        <v>6.2</v>
      </c>
      <c r="H531" t="n">
        <v>0</v>
      </c>
      <c r="I531" t="n">
        <v>0</v>
      </c>
      <c r="J531" t="n">
        <v>0</v>
      </c>
      <c r="K531" t="n">
        <v>0</v>
      </c>
      <c r="L531" t="n">
        <v>0</v>
      </c>
      <c r="M531" t="n">
        <v>0</v>
      </c>
      <c r="N531" t="n">
        <v>0</v>
      </c>
      <c r="O531" t="n">
        <v>0</v>
      </c>
      <c r="P531" t="n">
        <v>0</v>
      </c>
      <c r="Q531" t="n">
        <v>0</v>
      </c>
      <c r="R531" s="2" t="inlineStr"/>
    </row>
    <row r="532" ht="15" customHeight="1">
      <c r="A532" t="inlineStr">
        <is>
          <t>A 20480-2024</t>
        </is>
      </c>
      <c r="B532" s="1" t="n">
        <v>45435.71126157408</v>
      </c>
      <c r="C532" s="1" t="n">
        <v>45917</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59666-2023</t>
        </is>
      </c>
      <c r="B533" s="1" t="n">
        <v>45254.96476851852</v>
      </c>
      <c r="C533" s="1" t="n">
        <v>45917</v>
      </c>
      <c r="D533" t="inlineStr">
        <is>
          <t>JÄMTLANDS LÄN</t>
        </is>
      </c>
      <c r="E533" t="inlineStr">
        <is>
          <t>ÅRE</t>
        </is>
      </c>
      <c r="G533" t="n">
        <v>6.6</v>
      </c>
      <c r="H533" t="n">
        <v>0</v>
      </c>
      <c r="I533" t="n">
        <v>0</v>
      </c>
      <c r="J533" t="n">
        <v>0</v>
      </c>
      <c r="K533" t="n">
        <v>0</v>
      </c>
      <c r="L533" t="n">
        <v>0</v>
      </c>
      <c r="M533" t="n">
        <v>0</v>
      </c>
      <c r="N533" t="n">
        <v>0</v>
      </c>
      <c r="O533" t="n">
        <v>0</v>
      </c>
      <c r="P533" t="n">
        <v>0</v>
      </c>
      <c r="Q533" t="n">
        <v>0</v>
      </c>
      <c r="R533" s="2" t="inlineStr"/>
    </row>
    <row r="534" ht="15" customHeight="1">
      <c r="A534" t="inlineStr">
        <is>
          <t>A 8983-2021</t>
        </is>
      </c>
      <c r="B534" s="1" t="n">
        <v>44231</v>
      </c>
      <c r="C534" s="1" t="n">
        <v>45917</v>
      </c>
      <c r="D534" t="inlineStr">
        <is>
          <t>JÄMTLANDS LÄN</t>
        </is>
      </c>
      <c r="E534" t="inlineStr">
        <is>
          <t>ÅRE</t>
        </is>
      </c>
      <c r="G534" t="n">
        <v>4.1</v>
      </c>
      <c r="H534" t="n">
        <v>0</v>
      </c>
      <c r="I534" t="n">
        <v>0</v>
      </c>
      <c r="J534" t="n">
        <v>0</v>
      </c>
      <c r="K534" t="n">
        <v>0</v>
      </c>
      <c r="L534" t="n">
        <v>0</v>
      </c>
      <c r="M534" t="n">
        <v>0</v>
      </c>
      <c r="N534" t="n">
        <v>0</v>
      </c>
      <c r="O534" t="n">
        <v>0</v>
      </c>
      <c r="P534" t="n">
        <v>0</v>
      </c>
      <c r="Q534" t="n">
        <v>0</v>
      </c>
      <c r="R534" s="2" t="inlineStr"/>
    </row>
    <row r="535" ht="15" customHeight="1">
      <c r="A535" t="inlineStr">
        <is>
          <t>A 21181-2025</t>
        </is>
      </c>
      <c r="B535" s="1" t="n">
        <v>45779.43696759259</v>
      </c>
      <c r="C535" s="1" t="n">
        <v>45917</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36048-2023</t>
        </is>
      </c>
      <c r="B536" s="1" t="n">
        <v>45149.42868055555</v>
      </c>
      <c r="C536" s="1" t="n">
        <v>45917</v>
      </c>
      <c r="D536" t="inlineStr">
        <is>
          <t>JÄMTLANDS LÄN</t>
        </is>
      </c>
      <c r="E536" t="inlineStr">
        <is>
          <t>ÅRE</t>
        </is>
      </c>
      <c r="G536" t="n">
        <v>11.4</v>
      </c>
      <c r="H536" t="n">
        <v>0</v>
      </c>
      <c r="I536" t="n">
        <v>0</v>
      </c>
      <c r="J536" t="n">
        <v>0</v>
      </c>
      <c r="K536" t="n">
        <v>0</v>
      </c>
      <c r="L536" t="n">
        <v>0</v>
      </c>
      <c r="M536" t="n">
        <v>0</v>
      </c>
      <c r="N536" t="n">
        <v>0</v>
      </c>
      <c r="O536" t="n">
        <v>0</v>
      </c>
      <c r="P536" t="n">
        <v>0</v>
      </c>
      <c r="Q536" t="n">
        <v>0</v>
      </c>
      <c r="R536" s="2" t="inlineStr"/>
    </row>
    <row r="537" ht="15" customHeight="1">
      <c r="A537" t="inlineStr">
        <is>
          <t>A 21167-2025</t>
        </is>
      </c>
      <c r="B537" s="1" t="n">
        <v>45779.41253472222</v>
      </c>
      <c r="C537" s="1" t="n">
        <v>45917</v>
      </c>
      <c r="D537" t="inlineStr">
        <is>
          <t>JÄMTLANDS LÄN</t>
        </is>
      </c>
      <c r="E537" t="inlineStr">
        <is>
          <t>ÅRE</t>
        </is>
      </c>
      <c r="G537" t="n">
        <v>0.4</v>
      </c>
      <c r="H537" t="n">
        <v>0</v>
      </c>
      <c r="I537" t="n">
        <v>0</v>
      </c>
      <c r="J537" t="n">
        <v>0</v>
      </c>
      <c r="K537" t="n">
        <v>0</v>
      </c>
      <c r="L537" t="n">
        <v>0</v>
      </c>
      <c r="M537" t="n">
        <v>0</v>
      </c>
      <c r="N537" t="n">
        <v>0</v>
      </c>
      <c r="O537" t="n">
        <v>0</v>
      </c>
      <c r="P537" t="n">
        <v>0</v>
      </c>
      <c r="Q537" t="n">
        <v>0</v>
      </c>
      <c r="R537" s="2" t="inlineStr"/>
    </row>
    <row r="538" ht="15" customHeight="1">
      <c r="A538" t="inlineStr">
        <is>
          <t>A 45279-2024</t>
        </is>
      </c>
      <c r="B538" s="1" t="n">
        <v>45576.37496527778</v>
      </c>
      <c r="C538" s="1" t="n">
        <v>45917</v>
      </c>
      <c r="D538" t="inlineStr">
        <is>
          <t>JÄMTLANDS LÄN</t>
        </is>
      </c>
      <c r="E538" t="inlineStr">
        <is>
          <t>ÅRE</t>
        </is>
      </c>
      <c r="G538" t="n">
        <v>17.2</v>
      </c>
      <c r="H538" t="n">
        <v>0</v>
      </c>
      <c r="I538" t="n">
        <v>0</v>
      </c>
      <c r="J538" t="n">
        <v>0</v>
      </c>
      <c r="K538" t="n">
        <v>0</v>
      </c>
      <c r="L538" t="n">
        <v>0</v>
      </c>
      <c r="M538" t="n">
        <v>0</v>
      </c>
      <c r="N538" t="n">
        <v>0</v>
      </c>
      <c r="O538" t="n">
        <v>0</v>
      </c>
      <c r="P538" t="n">
        <v>0</v>
      </c>
      <c r="Q538" t="n">
        <v>0</v>
      </c>
      <c r="R538" s="2" t="inlineStr"/>
    </row>
    <row r="539" ht="15" customHeight="1">
      <c r="A539" t="inlineStr">
        <is>
          <t>A 3154-2023</t>
        </is>
      </c>
      <c r="B539" s="1" t="n">
        <v>44946.56012731481</v>
      </c>
      <c r="C539" s="1" t="n">
        <v>45917</v>
      </c>
      <c r="D539" t="inlineStr">
        <is>
          <t>JÄMTLANDS LÄN</t>
        </is>
      </c>
      <c r="E539" t="inlineStr">
        <is>
          <t>ÅRE</t>
        </is>
      </c>
      <c r="G539" t="n">
        <v>5.1</v>
      </c>
      <c r="H539" t="n">
        <v>0</v>
      </c>
      <c r="I539" t="n">
        <v>0</v>
      </c>
      <c r="J539" t="n">
        <v>0</v>
      </c>
      <c r="K539" t="n">
        <v>0</v>
      </c>
      <c r="L539" t="n">
        <v>0</v>
      </c>
      <c r="M539" t="n">
        <v>0</v>
      </c>
      <c r="N539" t="n">
        <v>0</v>
      </c>
      <c r="O539" t="n">
        <v>0</v>
      </c>
      <c r="P539" t="n">
        <v>0</v>
      </c>
      <c r="Q539" t="n">
        <v>0</v>
      </c>
      <c r="R539" s="2" t="inlineStr"/>
    </row>
    <row r="540" ht="15" customHeight="1">
      <c r="A540" t="inlineStr">
        <is>
          <t>A 3204-2023</t>
        </is>
      </c>
      <c r="B540" s="1" t="n">
        <v>44946</v>
      </c>
      <c r="C540" s="1" t="n">
        <v>45917</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52677-2024</t>
        </is>
      </c>
      <c r="B541" s="1" t="n">
        <v>45610.38560185185</v>
      </c>
      <c r="C541" s="1" t="n">
        <v>45917</v>
      </c>
      <c r="D541" t="inlineStr">
        <is>
          <t>JÄMTLANDS LÄN</t>
        </is>
      </c>
      <c r="E541" t="inlineStr">
        <is>
          <t>ÅRE</t>
        </is>
      </c>
      <c r="F541" t="inlineStr">
        <is>
          <t>Övriga Aktiebolag</t>
        </is>
      </c>
      <c r="G541" t="n">
        <v>3</v>
      </c>
      <c r="H541" t="n">
        <v>0</v>
      </c>
      <c r="I541" t="n">
        <v>0</v>
      </c>
      <c r="J541" t="n">
        <v>0</v>
      </c>
      <c r="K541" t="n">
        <v>0</v>
      </c>
      <c r="L541" t="n">
        <v>0</v>
      </c>
      <c r="M541" t="n">
        <v>0</v>
      </c>
      <c r="N541" t="n">
        <v>0</v>
      </c>
      <c r="O541" t="n">
        <v>0</v>
      </c>
      <c r="P541" t="n">
        <v>0</v>
      </c>
      <c r="Q541" t="n">
        <v>0</v>
      </c>
      <c r="R541" s="2" t="inlineStr"/>
    </row>
    <row r="542" ht="15" customHeight="1">
      <c r="A542" t="inlineStr">
        <is>
          <t>A 49313-2024</t>
        </is>
      </c>
      <c r="B542" s="1" t="n">
        <v>45595</v>
      </c>
      <c r="C542" s="1" t="n">
        <v>45917</v>
      </c>
      <c r="D542" t="inlineStr">
        <is>
          <t>JÄMTLANDS LÄN</t>
        </is>
      </c>
      <c r="E542" t="inlineStr">
        <is>
          <t>ÅRE</t>
        </is>
      </c>
      <c r="G542" t="n">
        <v>1.1</v>
      </c>
      <c r="H542" t="n">
        <v>0</v>
      </c>
      <c r="I542" t="n">
        <v>0</v>
      </c>
      <c r="J542" t="n">
        <v>0</v>
      </c>
      <c r="K542" t="n">
        <v>0</v>
      </c>
      <c r="L542" t="n">
        <v>0</v>
      </c>
      <c r="M542" t="n">
        <v>0</v>
      </c>
      <c r="N542" t="n">
        <v>0</v>
      </c>
      <c r="O542" t="n">
        <v>0</v>
      </c>
      <c r="P542" t="n">
        <v>0</v>
      </c>
      <c r="Q542" t="n">
        <v>0</v>
      </c>
      <c r="R542" s="2" t="inlineStr"/>
    </row>
    <row r="543" ht="15" customHeight="1">
      <c r="A543" t="inlineStr">
        <is>
          <t>A 54247-2024</t>
        </is>
      </c>
      <c r="B543" s="1" t="n">
        <v>45616</v>
      </c>
      <c r="C543" s="1" t="n">
        <v>45917</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13301-2024</t>
        </is>
      </c>
      <c r="B544" s="1" t="n">
        <v>45386</v>
      </c>
      <c r="C544" s="1" t="n">
        <v>45917</v>
      </c>
      <c r="D544" t="inlineStr">
        <is>
          <t>JÄMTLANDS LÄN</t>
        </is>
      </c>
      <c r="E544" t="inlineStr">
        <is>
          <t>ÅRE</t>
        </is>
      </c>
      <c r="G544" t="n">
        <v>9</v>
      </c>
      <c r="H544" t="n">
        <v>0</v>
      </c>
      <c r="I544" t="n">
        <v>0</v>
      </c>
      <c r="J544" t="n">
        <v>0</v>
      </c>
      <c r="K544" t="n">
        <v>0</v>
      </c>
      <c r="L544" t="n">
        <v>0</v>
      </c>
      <c r="M544" t="n">
        <v>0</v>
      </c>
      <c r="N544" t="n">
        <v>0</v>
      </c>
      <c r="O544" t="n">
        <v>0</v>
      </c>
      <c r="P544" t="n">
        <v>0</v>
      </c>
      <c r="Q544" t="n">
        <v>0</v>
      </c>
      <c r="R544" s="2" t="inlineStr"/>
    </row>
    <row r="545" ht="15" customHeight="1">
      <c r="A545" t="inlineStr">
        <is>
          <t>A 13370-2024</t>
        </is>
      </c>
      <c r="B545" s="1" t="n">
        <v>45387</v>
      </c>
      <c r="C545" s="1" t="n">
        <v>45917</v>
      </c>
      <c r="D545" t="inlineStr">
        <is>
          <t>JÄMTLANDS LÄN</t>
        </is>
      </c>
      <c r="E545" t="inlineStr">
        <is>
          <t>ÅRE</t>
        </is>
      </c>
      <c r="G545" t="n">
        <v>8.5</v>
      </c>
      <c r="H545" t="n">
        <v>0</v>
      </c>
      <c r="I545" t="n">
        <v>0</v>
      </c>
      <c r="J545" t="n">
        <v>0</v>
      </c>
      <c r="K545" t="n">
        <v>0</v>
      </c>
      <c r="L545" t="n">
        <v>0</v>
      </c>
      <c r="M545" t="n">
        <v>0</v>
      </c>
      <c r="N545" t="n">
        <v>0</v>
      </c>
      <c r="O545" t="n">
        <v>0</v>
      </c>
      <c r="P545" t="n">
        <v>0</v>
      </c>
      <c r="Q545" t="n">
        <v>0</v>
      </c>
      <c r="R545" s="2" t="inlineStr"/>
    </row>
    <row r="546" ht="15" customHeight="1">
      <c r="A546" t="inlineStr">
        <is>
          <t>A 46559-2024</t>
        </is>
      </c>
      <c r="B546" s="1" t="n">
        <v>45582</v>
      </c>
      <c r="C546" s="1" t="n">
        <v>45917</v>
      </c>
      <c r="D546" t="inlineStr">
        <is>
          <t>JÄMTLANDS LÄN</t>
        </is>
      </c>
      <c r="E546" t="inlineStr">
        <is>
          <t>ÅRE</t>
        </is>
      </c>
      <c r="G546" t="n">
        <v>6.2</v>
      </c>
      <c r="H546" t="n">
        <v>0</v>
      </c>
      <c r="I546" t="n">
        <v>0</v>
      </c>
      <c r="J546" t="n">
        <v>0</v>
      </c>
      <c r="K546" t="n">
        <v>0</v>
      </c>
      <c r="L546" t="n">
        <v>0</v>
      </c>
      <c r="M546" t="n">
        <v>0</v>
      </c>
      <c r="N546" t="n">
        <v>0</v>
      </c>
      <c r="O546" t="n">
        <v>0</v>
      </c>
      <c r="P546" t="n">
        <v>0</v>
      </c>
      <c r="Q546" t="n">
        <v>0</v>
      </c>
      <c r="R546" s="2" t="inlineStr"/>
    </row>
    <row r="547" ht="15" customHeight="1">
      <c r="A547" t="inlineStr">
        <is>
          <t>A 15884-2023</t>
        </is>
      </c>
      <c r="B547" s="1" t="n">
        <v>45022</v>
      </c>
      <c r="C547" s="1" t="n">
        <v>45917</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47076-2024</t>
        </is>
      </c>
      <c r="B548" s="1" t="n">
        <v>45586.50180555556</v>
      </c>
      <c r="C548" s="1" t="n">
        <v>45917</v>
      </c>
      <c r="D548" t="inlineStr">
        <is>
          <t>JÄMTLANDS LÄN</t>
        </is>
      </c>
      <c r="E548" t="inlineStr">
        <is>
          <t>ÅRE</t>
        </is>
      </c>
      <c r="G548" t="n">
        <v>6.5</v>
      </c>
      <c r="H548" t="n">
        <v>0</v>
      </c>
      <c r="I548" t="n">
        <v>0</v>
      </c>
      <c r="J548" t="n">
        <v>0</v>
      </c>
      <c r="K548" t="n">
        <v>0</v>
      </c>
      <c r="L548" t="n">
        <v>0</v>
      </c>
      <c r="M548" t="n">
        <v>0</v>
      </c>
      <c r="N548" t="n">
        <v>0</v>
      </c>
      <c r="O548" t="n">
        <v>0</v>
      </c>
      <c r="P548" t="n">
        <v>0</v>
      </c>
      <c r="Q548" t="n">
        <v>0</v>
      </c>
      <c r="R548" s="2" t="inlineStr"/>
    </row>
    <row r="549" ht="15" customHeight="1">
      <c r="A549" t="inlineStr">
        <is>
          <t>A 49296-2024</t>
        </is>
      </c>
      <c r="B549" s="1" t="n">
        <v>45595</v>
      </c>
      <c r="C549" s="1" t="n">
        <v>45917</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6358-2025</t>
        </is>
      </c>
      <c r="B550" s="1" t="n">
        <v>45699.36491898148</v>
      </c>
      <c r="C550" s="1" t="n">
        <v>45917</v>
      </c>
      <c r="D550" t="inlineStr">
        <is>
          <t>JÄMTLANDS LÄN</t>
        </is>
      </c>
      <c r="E550" t="inlineStr">
        <is>
          <t>ÅRE</t>
        </is>
      </c>
      <c r="G550" t="n">
        <v>5.6</v>
      </c>
      <c r="H550" t="n">
        <v>0</v>
      </c>
      <c r="I550" t="n">
        <v>0</v>
      </c>
      <c r="J550" t="n">
        <v>0</v>
      </c>
      <c r="K550" t="n">
        <v>0</v>
      </c>
      <c r="L550" t="n">
        <v>0</v>
      </c>
      <c r="M550" t="n">
        <v>0</v>
      </c>
      <c r="N550" t="n">
        <v>0</v>
      </c>
      <c r="O550" t="n">
        <v>0</v>
      </c>
      <c r="P550" t="n">
        <v>0</v>
      </c>
      <c r="Q550" t="n">
        <v>0</v>
      </c>
      <c r="R550" s="2" t="inlineStr"/>
    </row>
    <row r="551" ht="15" customHeight="1">
      <c r="A551" t="inlineStr">
        <is>
          <t>A 18253-2023</t>
        </is>
      </c>
      <c r="B551" s="1" t="n">
        <v>45041.48034722222</v>
      </c>
      <c r="C551" s="1" t="n">
        <v>45917</v>
      </c>
      <c r="D551" t="inlineStr">
        <is>
          <t>JÄMTLANDS LÄN</t>
        </is>
      </c>
      <c r="E551" t="inlineStr">
        <is>
          <t>ÅRE</t>
        </is>
      </c>
      <c r="G551" t="n">
        <v>1.3</v>
      </c>
      <c r="H551" t="n">
        <v>0</v>
      </c>
      <c r="I551" t="n">
        <v>0</v>
      </c>
      <c r="J551" t="n">
        <v>0</v>
      </c>
      <c r="K551" t="n">
        <v>0</v>
      </c>
      <c r="L551" t="n">
        <v>0</v>
      </c>
      <c r="M551" t="n">
        <v>0</v>
      </c>
      <c r="N551" t="n">
        <v>0</v>
      </c>
      <c r="O551" t="n">
        <v>0</v>
      </c>
      <c r="P551" t="n">
        <v>0</v>
      </c>
      <c r="Q551" t="n">
        <v>0</v>
      </c>
      <c r="R551" s="2" t="inlineStr"/>
    </row>
    <row r="552" ht="15" customHeight="1">
      <c r="A552" t="inlineStr">
        <is>
          <t>A 60122-2021</t>
        </is>
      </c>
      <c r="B552" s="1" t="n">
        <v>44495</v>
      </c>
      <c r="C552" s="1" t="n">
        <v>45917</v>
      </c>
      <c r="D552" t="inlineStr">
        <is>
          <t>JÄMTLANDS LÄN</t>
        </is>
      </c>
      <c r="E552" t="inlineStr">
        <is>
          <t>ÅRE</t>
        </is>
      </c>
      <c r="G552" t="n">
        <v>46.7</v>
      </c>
      <c r="H552" t="n">
        <v>0</v>
      </c>
      <c r="I552" t="n">
        <v>0</v>
      </c>
      <c r="J552" t="n">
        <v>0</v>
      </c>
      <c r="K552" t="n">
        <v>0</v>
      </c>
      <c r="L552" t="n">
        <v>0</v>
      </c>
      <c r="M552" t="n">
        <v>0</v>
      </c>
      <c r="N552" t="n">
        <v>0</v>
      </c>
      <c r="O552" t="n">
        <v>0</v>
      </c>
      <c r="P552" t="n">
        <v>0</v>
      </c>
      <c r="Q552" t="n">
        <v>0</v>
      </c>
      <c r="R552" s="2" t="inlineStr"/>
    </row>
    <row r="553" ht="15" customHeight="1">
      <c r="A553" t="inlineStr">
        <is>
          <t>A 33625-2022</t>
        </is>
      </c>
      <c r="B553" s="1" t="n">
        <v>44789</v>
      </c>
      <c r="C553" s="1" t="n">
        <v>45917</v>
      </c>
      <c r="D553" t="inlineStr">
        <is>
          <t>JÄMTLANDS LÄN</t>
        </is>
      </c>
      <c r="E553" t="inlineStr">
        <is>
          <t>ÅRE</t>
        </is>
      </c>
      <c r="G553" t="n">
        <v>20.7</v>
      </c>
      <c r="H553" t="n">
        <v>0</v>
      </c>
      <c r="I553" t="n">
        <v>0</v>
      </c>
      <c r="J553" t="n">
        <v>0</v>
      </c>
      <c r="K553" t="n">
        <v>0</v>
      </c>
      <c r="L553" t="n">
        <v>0</v>
      </c>
      <c r="M553" t="n">
        <v>0</v>
      </c>
      <c r="N553" t="n">
        <v>0</v>
      </c>
      <c r="O553" t="n">
        <v>0</v>
      </c>
      <c r="P553" t="n">
        <v>0</v>
      </c>
      <c r="Q553" t="n">
        <v>0</v>
      </c>
      <c r="R553" s="2" t="inlineStr"/>
    </row>
    <row r="554" ht="15" customHeight="1">
      <c r="A554" t="inlineStr">
        <is>
          <t>A 12286-2023</t>
        </is>
      </c>
      <c r="B554" s="1" t="n">
        <v>44998.72263888889</v>
      </c>
      <c r="C554" s="1" t="n">
        <v>45917</v>
      </c>
      <c r="D554" t="inlineStr">
        <is>
          <t>JÄMTLANDS LÄN</t>
        </is>
      </c>
      <c r="E554" t="inlineStr">
        <is>
          <t>ÅRE</t>
        </is>
      </c>
      <c r="G554" t="n">
        <v>7.3</v>
      </c>
      <c r="H554" t="n">
        <v>0</v>
      </c>
      <c r="I554" t="n">
        <v>0</v>
      </c>
      <c r="J554" t="n">
        <v>0</v>
      </c>
      <c r="K554" t="n">
        <v>0</v>
      </c>
      <c r="L554" t="n">
        <v>0</v>
      </c>
      <c r="M554" t="n">
        <v>0</v>
      </c>
      <c r="N554" t="n">
        <v>0</v>
      </c>
      <c r="O554" t="n">
        <v>0</v>
      </c>
      <c r="P554" t="n">
        <v>0</v>
      </c>
      <c r="Q554" t="n">
        <v>0</v>
      </c>
      <c r="R554" s="2" t="inlineStr"/>
    </row>
    <row r="555" ht="15" customHeight="1">
      <c r="A555" t="inlineStr">
        <is>
          <t>A 45105-2024</t>
        </is>
      </c>
      <c r="B555" s="1" t="n">
        <v>45575.5909837963</v>
      </c>
      <c r="C555" s="1" t="n">
        <v>45917</v>
      </c>
      <c r="D555" t="inlineStr">
        <is>
          <t>JÄMTLANDS LÄN</t>
        </is>
      </c>
      <c r="E555" t="inlineStr">
        <is>
          <t>ÅRE</t>
        </is>
      </c>
      <c r="F555" t="inlineStr">
        <is>
          <t>Övriga Aktiebolag</t>
        </is>
      </c>
      <c r="G555" t="n">
        <v>5</v>
      </c>
      <c r="H555" t="n">
        <v>0</v>
      </c>
      <c r="I555" t="n">
        <v>0</v>
      </c>
      <c r="J555" t="n">
        <v>0</v>
      </c>
      <c r="K555" t="n">
        <v>0</v>
      </c>
      <c r="L555" t="n">
        <v>0</v>
      </c>
      <c r="M555" t="n">
        <v>0</v>
      </c>
      <c r="N555" t="n">
        <v>0</v>
      </c>
      <c r="O555" t="n">
        <v>0</v>
      </c>
      <c r="P555" t="n">
        <v>0</v>
      </c>
      <c r="Q555" t="n">
        <v>0</v>
      </c>
      <c r="R555" s="2" t="inlineStr"/>
    </row>
    <row r="556" ht="15" customHeight="1">
      <c r="A556" t="inlineStr">
        <is>
          <t>A 11112-2022</t>
        </is>
      </c>
      <c r="B556" s="1" t="n">
        <v>44628</v>
      </c>
      <c r="C556" s="1" t="n">
        <v>45917</v>
      </c>
      <c r="D556" t="inlineStr">
        <is>
          <t>JÄMTLANDS LÄN</t>
        </is>
      </c>
      <c r="E556" t="inlineStr">
        <is>
          <t>ÅRE</t>
        </is>
      </c>
      <c r="G556" t="n">
        <v>6.6</v>
      </c>
      <c r="H556" t="n">
        <v>0</v>
      </c>
      <c r="I556" t="n">
        <v>0</v>
      </c>
      <c r="J556" t="n">
        <v>0</v>
      </c>
      <c r="K556" t="n">
        <v>0</v>
      </c>
      <c r="L556" t="n">
        <v>0</v>
      </c>
      <c r="M556" t="n">
        <v>0</v>
      </c>
      <c r="N556" t="n">
        <v>0</v>
      </c>
      <c r="O556" t="n">
        <v>0</v>
      </c>
      <c r="P556" t="n">
        <v>0</v>
      </c>
      <c r="Q556" t="n">
        <v>0</v>
      </c>
      <c r="R556" s="2" t="inlineStr"/>
    </row>
    <row r="557" ht="15" customHeight="1">
      <c r="A557" t="inlineStr">
        <is>
          <t>A 39195-2024</t>
        </is>
      </c>
      <c r="B557" s="1" t="n">
        <v>45548.6934837963</v>
      </c>
      <c r="C557" s="1" t="n">
        <v>45917</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17703-2023</t>
        </is>
      </c>
      <c r="B558" s="1" t="n">
        <v>45037.35443287037</v>
      </c>
      <c r="C558" s="1" t="n">
        <v>45917</v>
      </c>
      <c r="D558" t="inlineStr">
        <is>
          <t>JÄMTLANDS LÄN</t>
        </is>
      </c>
      <c r="E558" t="inlineStr">
        <is>
          <t>ÅRE</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54186-2024</t>
        </is>
      </c>
      <c r="B559" s="1" t="n">
        <v>45616</v>
      </c>
      <c r="C559" s="1" t="n">
        <v>45917</v>
      </c>
      <c r="D559" t="inlineStr">
        <is>
          <t>JÄMTLANDS LÄN</t>
        </is>
      </c>
      <c r="E559" t="inlineStr">
        <is>
          <t>ÅRE</t>
        </is>
      </c>
      <c r="G559" t="n">
        <v>2.9</v>
      </c>
      <c r="H559" t="n">
        <v>0</v>
      </c>
      <c r="I559" t="n">
        <v>0</v>
      </c>
      <c r="J559" t="n">
        <v>0</v>
      </c>
      <c r="K559" t="n">
        <v>0</v>
      </c>
      <c r="L559" t="n">
        <v>0</v>
      </c>
      <c r="M559" t="n">
        <v>0</v>
      </c>
      <c r="N559" t="n">
        <v>0</v>
      </c>
      <c r="O559" t="n">
        <v>0</v>
      </c>
      <c r="P559" t="n">
        <v>0</v>
      </c>
      <c r="Q559" t="n">
        <v>0</v>
      </c>
      <c r="R559" s="2" t="inlineStr"/>
    </row>
    <row r="560" ht="15" customHeight="1">
      <c r="A560" t="inlineStr">
        <is>
          <t>A 50951-2023</t>
        </is>
      </c>
      <c r="B560" s="1" t="n">
        <v>45218</v>
      </c>
      <c r="C560" s="1" t="n">
        <v>45917</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25200-2025</t>
        </is>
      </c>
      <c r="B561" s="1" t="n">
        <v>45800.4615625</v>
      </c>
      <c r="C561" s="1" t="n">
        <v>45917</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25208-2025</t>
        </is>
      </c>
      <c r="B562" s="1" t="n">
        <v>45800.46927083333</v>
      </c>
      <c r="C562" s="1" t="n">
        <v>45917</v>
      </c>
      <c r="D562" t="inlineStr">
        <is>
          <t>JÄMTLANDS LÄN</t>
        </is>
      </c>
      <c r="E562" t="inlineStr">
        <is>
          <t>ÅRE</t>
        </is>
      </c>
      <c r="G562" t="n">
        <v>1.5</v>
      </c>
      <c r="H562" t="n">
        <v>0</v>
      </c>
      <c r="I562" t="n">
        <v>0</v>
      </c>
      <c r="J562" t="n">
        <v>0</v>
      </c>
      <c r="K562" t="n">
        <v>0</v>
      </c>
      <c r="L562" t="n">
        <v>0</v>
      </c>
      <c r="M562" t="n">
        <v>0</v>
      </c>
      <c r="N562" t="n">
        <v>0</v>
      </c>
      <c r="O562" t="n">
        <v>0</v>
      </c>
      <c r="P562" t="n">
        <v>0</v>
      </c>
      <c r="Q562" t="n">
        <v>0</v>
      </c>
      <c r="R562" s="2" t="inlineStr"/>
    </row>
    <row r="563" ht="15" customHeight="1">
      <c r="A563" t="inlineStr">
        <is>
          <t>A 73798-2021</t>
        </is>
      </c>
      <c r="B563" s="1" t="n">
        <v>44552</v>
      </c>
      <c r="C563" s="1" t="n">
        <v>45917</v>
      </c>
      <c r="D563" t="inlineStr">
        <is>
          <t>JÄMTLANDS LÄN</t>
        </is>
      </c>
      <c r="E563" t="inlineStr">
        <is>
          <t>ÅRE</t>
        </is>
      </c>
      <c r="G563" t="n">
        <v>2.5</v>
      </c>
      <c r="H563" t="n">
        <v>0</v>
      </c>
      <c r="I563" t="n">
        <v>0</v>
      </c>
      <c r="J563" t="n">
        <v>0</v>
      </c>
      <c r="K563" t="n">
        <v>0</v>
      </c>
      <c r="L563" t="n">
        <v>0</v>
      </c>
      <c r="M563" t="n">
        <v>0</v>
      </c>
      <c r="N563" t="n">
        <v>0</v>
      </c>
      <c r="O563" t="n">
        <v>0</v>
      </c>
      <c r="P563" t="n">
        <v>0</v>
      </c>
      <c r="Q563" t="n">
        <v>0</v>
      </c>
      <c r="R563" s="2" t="inlineStr"/>
    </row>
    <row r="564" ht="15" customHeight="1">
      <c r="A564" t="inlineStr">
        <is>
          <t>A 25224-2025</t>
        </is>
      </c>
      <c r="B564" s="1" t="n">
        <v>45800.48087962963</v>
      </c>
      <c r="C564" s="1" t="n">
        <v>45917</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52676-2023</t>
        </is>
      </c>
      <c r="B565" s="1" t="n">
        <v>45225.6890625</v>
      </c>
      <c r="C565" s="1" t="n">
        <v>45917</v>
      </c>
      <c r="D565" t="inlineStr">
        <is>
          <t>JÄMTLANDS LÄN</t>
        </is>
      </c>
      <c r="E565" t="inlineStr">
        <is>
          <t>ÅRE</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12216-2023</t>
        </is>
      </c>
      <c r="B566" s="1" t="n">
        <v>44998</v>
      </c>
      <c r="C566" s="1" t="n">
        <v>45917</v>
      </c>
      <c r="D566" t="inlineStr">
        <is>
          <t>JÄMTLANDS LÄN</t>
        </is>
      </c>
      <c r="E566" t="inlineStr">
        <is>
          <t>ÅRE</t>
        </is>
      </c>
      <c r="G566" t="n">
        <v>11.8</v>
      </c>
      <c r="H566" t="n">
        <v>0</v>
      </c>
      <c r="I566" t="n">
        <v>0</v>
      </c>
      <c r="J566" t="n">
        <v>0</v>
      </c>
      <c r="K566" t="n">
        <v>0</v>
      </c>
      <c r="L566" t="n">
        <v>0</v>
      </c>
      <c r="M566" t="n">
        <v>0</v>
      </c>
      <c r="N566" t="n">
        <v>0</v>
      </c>
      <c r="O566" t="n">
        <v>0</v>
      </c>
      <c r="P566" t="n">
        <v>0</v>
      </c>
      <c r="Q566" t="n">
        <v>0</v>
      </c>
      <c r="R566" s="2" t="inlineStr"/>
    </row>
    <row r="567" ht="15" customHeight="1">
      <c r="A567" t="inlineStr">
        <is>
          <t>A 12224-2023</t>
        </is>
      </c>
      <c r="B567" s="1" t="n">
        <v>44998.59913194444</v>
      </c>
      <c r="C567" s="1" t="n">
        <v>45917</v>
      </c>
      <c r="D567" t="inlineStr">
        <is>
          <t>JÄMTLANDS LÄN</t>
        </is>
      </c>
      <c r="E567" t="inlineStr">
        <is>
          <t>ÅRE</t>
        </is>
      </c>
      <c r="G567" t="n">
        <v>3.2</v>
      </c>
      <c r="H567" t="n">
        <v>0</v>
      </c>
      <c r="I567" t="n">
        <v>0</v>
      </c>
      <c r="J567" t="n">
        <v>0</v>
      </c>
      <c r="K567" t="n">
        <v>0</v>
      </c>
      <c r="L567" t="n">
        <v>0</v>
      </c>
      <c r="M567" t="n">
        <v>0</v>
      </c>
      <c r="N567" t="n">
        <v>0</v>
      </c>
      <c r="O567" t="n">
        <v>0</v>
      </c>
      <c r="P567" t="n">
        <v>0</v>
      </c>
      <c r="Q567" t="n">
        <v>0</v>
      </c>
      <c r="R567" s="2" t="inlineStr"/>
    </row>
    <row r="568" ht="15" customHeight="1">
      <c r="A568" t="inlineStr">
        <is>
          <t>A 55033-2024</t>
        </is>
      </c>
      <c r="B568" s="1" t="n">
        <v>45621.38193287037</v>
      </c>
      <c r="C568" s="1" t="n">
        <v>45917</v>
      </c>
      <c r="D568" t="inlineStr">
        <is>
          <t>JÄMTLANDS LÄN</t>
        </is>
      </c>
      <c r="E568" t="inlineStr">
        <is>
          <t>ÅRE</t>
        </is>
      </c>
      <c r="G568" t="n">
        <v>1.1</v>
      </c>
      <c r="H568" t="n">
        <v>0</v>
      </c>
      <c r="I568" t="n">
        <v>0</v>
      </c>
      <c r="J568" t="n">
        <v>0</v>
      </c>
      <c r="K568" t="n">
        <v>0</v>
      </c>
      <c r="L568" t="n">
        <v>0</v>
      </c>
      <c r="M568" t="n">
        <v>0</v>
      </c>
      <c r="N568" t="n">
        <v>0</v>
      </c>
      <c r="O568" t="n">
        <v>0</v>
      </c>
      <c r="P568" t="n">
        <v>0</v>
      </c>
      <c r="Q568" t="n">
        <v>0</v>
      </c>
      <c r="R568" s="2" t="inlineStr"/>
    </row>
    <row r="569" ht="15" customHeight="1">
      <c r="A569" t="inlineStr">
        <is>
          <t>A 69568-2021</t>
        </is>
      </c>
      <c r="B569" s="1" t="n">
        <v>44531</v>
      </c>
      <c r="C569" s="1" t="n">
        <v>45917</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11914-2024</t>
        </is>
      </c>
      <c r="B570" s="1" t="n">
        <v>45376.58467592593</v>
      </c>
      <c r="C570" s="1" t="n">
        <v>45917</v>
      </c>
      <c r="D570" t="inlineStr">
        <is>
          <t>JÄMTLANDS LÄN</t>
        </is>
      </c>
      <c r="E570" t="inlineStr">
        <is>
          <t>ÅRE</t>
        </is>
      </c>
      <c r="G570" t="n">
        <v>2.5</v>
      </c>
      <c r="H570" t="n">
        <v>0</v>
      </c>
      <c r="I570" t="n">
        <v>0</v>
      </c>
      <c r="J570" t="n">
        <v>0</v>
      </c>
      <c r="K570" t="n">
        <v>0</v>
      </c>
      <c r="L570" t="n">
        <v>0</v>
      </c>
      <c r="M570" t="n">
        <v>0</v>
      </c>
      <c r="N570" t="n">
        <v>0</v>
      </c>
      <c r="O570" t="n">
        <v>0</v>
      </c>
      <c r="P570" t="n">
        <v>0</v>
      </c>
      <c r="Q570" t="n">
        <v>0</v>
      </c>
      <c r="R570" s="2" t="inlineStr"/>
    </row>
    <row r="571" ht="15" customHeight="1">
      <c r="A571" t="inlineStr">
        <is>
          <t>A 41653-2024</t>
        </is>
      </c>
      <c r="B571" s="1" t="n">
        <v>45560.64059027778</v>
      </c>
      <c r="C571" s="1" t="n">
        <v>45917</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41686-2024</t>
        </is>
      </c>
      <c r="B572" s="1" t="n">
        <v>45560.67016203704</v>
      </c>
      <c r="C572" s="1" t="n">
        <v>45917</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50344-2024</t>
        </is>
      </c>
      <c r="B573" s="1" t="n">
        <v>45600</v>
      </c>
      <c r="C573" s="1" t="n">
        <v>45917</v>
      </c>
      <c r="D573" t="inlineStr">
        <is>
          <t>JÄMTLANDS LÄN</t>
        </is>
      </c>
      <c r="E573" t="inlineStr">
        <is>
          <t>ÅRE</t>
        </is>
      </c>
      <c r="G573" t="n">
        <v>4</v>
      </c>
      <c r="H573" t="n">
        <v>0</v>
      </c>
      <c r="I573" t="n">
        <v>0</v>
      </c>
      <c r="J573" t="n">
        <v>0</v>
      </c>
      <c r="K573" t="n">
        <v>0</v>
      </c>
      <c r="L573" t="n">
        <v>0</v>
      </c>
      <c r="M573" t="n">
        <v>0</v>
      </c>
      <c r="N573" t="n">
        <v>0</v>
      </c>
      <c r="O573" t="n">
        <v>0</v>
      </c>
      <c r="P573" t="n">
        <v>0</v>
      </c>
      <c r="Q573" t="n">
        <v>0</v>
      </c>
      <c r="R573" s="2" t="inlineStr"/>
    </row>
    <row r="574" ht="15" customHeight="1">
      <c r="A574" t="inlineStr">
        <is>
          <t>A 27946-2021</t>
        </is>
      </c>
      <c r="B574" s="1" t="n">
        <v>44354</v>
      </c>
      <c r="C574" s="1" t="n">
        <v>45917</v>
      </c>
      <c r="D574" t="inlineStr">
        <is>
          <t>JÄMTLANDS LÄN</t>
        </is>
      </c>
      <c r="E574" t="inlineStr">
        <is>
          <t>ÅRE</t>
        </is>
      </c>
      <c r="G574" t="n">
        <v>0.3</v>
      </c>
      <c r="H574" t="n">
        <v>0</v>
      </c>
      <c r="I574" t="n">
        <v>0</v>
      </c>
      <c r="J574" t="n">
        <v>0</v>
      </c>
      <c r="K574" t="n">
        <v>0</v>
      </c>
      <c r="L574" t="n">
        <v>0</v>
      </c>
      <c r="M574" t="n">
        <v>0</v>
      </c>
      <c r="N574" t="n">
        <v>0</v>
      </c>
      <c r="O574" t="n">
        <v>0</v>
      </c>
      <c r="P574" t="n">
        <v>0</v>
      </c>
      <c r="Q574" t="n">
        <v>0</v>
      </c>
      <c r="R574" s="2" t="inlineStr"/>
    </row>
    <row r="575" ht="15" customHeight="1">
      <c r="A575" t="inlineStr">
        <is>
          <t>A 59325-2024</t>
        </is>
      </c>
      <c r="B575" s="1" t="n">
        <v>45636</v>
      </c>
      <c r="C575" s="1" t="n">
        <v>45917</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4272-2025</t>
        </is>
      </c>
      <c r="B576" s="1" t="n">
        <v>45685</v>
      </c>
      <c r="C576" s="1" t="n">
        <v>45917</v>
      </c>
      <c r="D576" t="inlineStr">
        <is>
          <t>JÄMTLANDS LÄN</t>
        </is>
      </c>
      <c r="E576" t="inlineStr">
        <is>
          <t>ÅRE</t>
        </is>
      </c>
      <c r="F576" t="inlineStr">
        <is>
          <t>Övriga Aktiebolag</t>
        </is>
      </c>
      <c r="G576" t="n">
        <v>16.6</v>
      </c>
      <c r="H576" t="n">
        <v>0</v>
      </c>
      <c r="I576" t="n">
        <v>0</v>
      </c>
      <c r="J576" t="n">
        <v>0</v>
      </c>
      <c r="K576" t="n">
        <v>0</v>
      </c>
      <c r="L576" t="n">
        <v>0</v>
      </c>
      <c r="M576" t="n">
        <v>0</v>
      </c>
      <c r="N576" t="n">
        <v>0</v>
      </c>
      <c r="O576" t="n">
        <v>0</v>
      </c>
      <c r="P576" t="n">
        <v>0</v>
      </c>
      <c r="Q576" t="n">
        <v>0</v>
      </c>
      <c r="R576" s="2" t="inlineStr"/>
    </row>
    <row r="577" ht="15" customHeight="1">
      <c r="A577" t="inlineStr">
        <is>
          <t>A 18531-2021</t>
        </is>
      </c>
      <c r="B577" s="1" t="n">
        <v>44306</v>
      </c>
      <c r="C577" s="1" t="n">
        <v>45917</v>
      </c>
      <c r="D577" t="inlineStr">
        <is>
          <t>JÄMTLANDS LÄN</t>
        </is>
      </c>
      <c r="E577" t="inlineStr">
        <is>
          <t>ÅRE</t>
        </is>
      </c>
      <c r="G577" t="n">
        <v>4</v>
      </c>
      <c r="H577" t="n">
        <v>0</v>
      </c>
      <c r="I577" t="n">
        <v>0</v>
      </c>
      <c r="J577" t="n">
        <v>0</v>
      </c>
      <c r="K577" t="n">
        <v>0</v>
      </c>
      <c r="L577" t="n">
        <v>0</v>
      </c>
      <c r="M577" t="n">
        <v>0</v>
      </c>
      <c r="N577" t="n">
        <v>0</v>
      </c>
      <c r="O577" t="n">
        <v>0</v>
      </c>
      <c r="P577" t="n">
        <v>0</v>
      </c>
      <c r="Q577" t="n">
        <v>0</v>
      </c>
      <c r="R577" s="2" t="inlineStr"/>
    </row>
    <row r="578" ht="15" customHeight="1">
      <c r="A578" t="inlineStr">
        <is>
          <t>A 21464-2022</t>
        </is>
      </c>
      <c r="B578" s="1" t="n">
        <v>44706</v>
      </c>
      <c r="C578" s="1" t="n">
        <v>45917</v>
      </c>
      <c r="D578" t="inlineStr">
        <is>
          <t>JÄMTLANDS LÄN</t>
        </is>
      </c>
      <c r="E578" t="inlineStr">
        <is>
          <t>ÅRE</t>
        </is>
      </c>
      <c r="G578" t="n">
        <v>10.9</v>
      </c>
      <c r="H578" t="n">
        <v>0</v>
      </c>
      <c r="I578" t="n">
        <v>0</v>
      </c>
      <c r="J578" t="n">
        <v>0</v>
      </c>
      <c r="K578" t="n">
        <v>0</v>
      </c>
      <c r="L578" t="n">
        <v>0</v>
      </c>
      <c r="M578" t="n">
        <v>0</v>
      </c>
      <c r="N578" t="n">
        <v>0</v>
      </c>
      <c r="O578" t="n">
        <v>0</v>
      </c>
      <c r="P578" t="n">
        <v>0</v>
      </c>
      <c r="Q578" t="n">
        <v>0</v>
      </c>
      <c r="R578" s="2" t="inlineStr"/>
    </row>
    <row r="579" ht="15" customHeight="1">
      <c r="A579" t="inlineStr">
        <is>
          <t>A 4181-2025</t>
        </is>
      </c>
      <c r="B579" s="1" t="n">
        <v>45685.44300925926</v>
      </c>
      <c r="C579" s="1" t="n">
        <v>45917</v>
      </c>
      <c r="D579" t="inlineStr">
        <is>
          <t>JÄMTLANDS LÄN</t>
        </is>
      </c>
      <c r="E579" t="inlineStr">
        <is>
          <t>ÅRE</t>
        </is>
      </c>
      <c r="F579" t="inlineStr">
        <is>
          <t>Övriga Aktiebolag</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43456-2023</t>
        </is>
      </c>
      <c r="B580" s="1" t="n">
        <v>45184.37474537037</v>
      </c>
      <c r="C580" s="1" t="n">
        <v>45917</v>
      </c>
      <c r="D580" t="inlineStr">
        <is>
          <t>JÄMTLANDS LÄN</t>
        </is>
      </c>
      <c r="E580" t="inlineStr">
        <is>
          <t>ÅRE</t>
        </is>
      </c>
      <c r="F580" t="inlineStr">
        <is>
          <t>Övriga Aktiebolag</t>
        </is>
      </c>
      <c r="G580" t="n">
        <v>8.9</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45917</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46788-2024</t>
        </is>
      </c>
      <c r="B582" s="1" t="n">
        <v>45583.53219907408</v>
      </c>
      <c r="C582" s="1" t="n">
        <v>45917</v>
      </c>
      <c r="D582" t="inlineStr">
        <is>
          <t>JÄMTLANDS LÄN</t>
        </is>
      </c>
      <c r="E582" t="inlineStr">
        <is>
          <t>ÅRE</t>
        </is>
      </c>
      <c r="F582" t="inlineStr">
        <is>
          <t>Övriga Aktiebolag</t>
        </is>
      </c>
      <c r="G582" t="n">
        <v>0.3</v>
      </c>
      <c r="H582" t="n">
        <v>0</v>
      </c>
      <c r="I582" t="n">
        <v>0</v>
      </c>
      <c r="J582" t="n">
        <v>0</v>
      </c>
      <c r="K582" t="n">
        <v>0</v>
      </c>
      <c r="L582" t="n">
        <v>0</v>
      </c>
      <c r="M582" t="n">
        <v>0</v>
      </c>
      <c r="N582" t="n">
        <v>0</v>
      </c>
      <c r="O582" t="n">
        <v>0</v>
      </c>
      <c r="P582" t="n">
        <v>0</v>
      </c>
      <c r="Q582" t="n">
        <v>0</v>
      </c>
      <c r="R582" s="2" t="inlineStr"/>
    </row>
    <row r="583" ht="15" customHeight="1">
      <c r="A583" t="inlineStr">
        <is>
          <t>A 68518-2020</t>
        </is>
      </c>
      <c r="B583" s="1" t="n">
        <v>44186</v>
      </c>
      <c r="C583" s="1" t="n">
        <v>45917</v>
      </c>
      <c r="D583" t="inlineStr">
        <is>
          <t>JÄMTLANDS LÄN</t>
        </is>
      </c>
      <c r="E583" t="inlineStr">
        <is>
          <t>ÅRE</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60962-2023</t>
        </is>
      </c>
      <c r="B584" s="1" t="n">
        <v>45261.46787037037</v>
      </c>
      <c r="C584" s="1" t="n">
        <v>45917</v>
      </c>
      <c r="D584" t="inlineStr">
        <is>
          <t>JÄMTLANDS LÄN</t>
        </is>
      </c>
      <c r="E584" t="inlineStr">
        <is>
          <t>ÅRE</t>
        </is>
      </c>
      <c r="G584" t="n">
        <v>3.2</v>
      </c>
      <c r="H584" t="n">
        <v>0</v>
      </c>
      <c r="I584" t="n">
        <v>0</v>
      </c>
      <c r="J584" t="n">
        <v>0</v>
      </c>
      <c r="K584" t="n">
        <v>0</v>
      </c>
      <c r="L584" t="n">
        <v>0</v>
      </c>
      <c r="M584" t="n">
        <v>0</v>
      </c>
      <c r="N584" t="n">
        <v>0</v>
      </c>
      <c r="O584" t="n">
        <v>0</v>
      </c>
      <c r="P584" t="n">
        <v>0</v>
      </c>
      <c r="Q584" t="n">
        <v>0</v>
      </c>
      <c r="R584" s="2" t="inlineStr"/>
    </row>
    <row r="585">
      <c r="A585" t="inlineStr">
        <is>
          <t>A 60973-2023</t>
        </is>
      </c>
      <c r="B585" s="1" t="n">
        <v>45261.47321759259</v>
      </c>
      <c r="C585" s="1" t="n">
        <v>45917</v>
      </c>
      <c r="D585" t="inlineStr">
        <is>
          <t>JÄMTLANDS LÄN</t>
        </is>
      </c>
      <c r="E585" t="inlineStr">
        <is>
          <t>ÅRE</t>
        </is>
      </c>
      <c r="G585" t="n">
        <v>3.1</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2025-09-17T08:59:27Z</dcterms:created>
  <dcterms:modified xmlns:dcterms="http://purl.org/dc/terms/" xmlns:xsi="http://www.w3.org/2001/XMLSchema-instance" xsi:type="dcterms:W3CDTF">2025-09-17T08:59:27Z</dcterms:modified>
</cp:coreProperties>
</file>