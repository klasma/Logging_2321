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45974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45847.55841435185</v>
      </c>
      <c r="C3" s="1" t="n">
        <v>45974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45974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45974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45974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10635-2023</t>
        </is>
      </c>
      <c r="B7" s="1" t="n">
        <v>44984</v>
      </c>
      <c r="C7" s="1" t="n">
        <v>45974</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40318-2025</t>
        </is>
      </c>
      <c r="B8" s="1" t="n">
        <v>45895.43939814815</v>
      </c>
      <c r="C8" s="1" t="n">
        <v>45974</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45974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45974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45974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45974</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45974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45974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45974</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45974</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45974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45974</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45974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45974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45974</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13031-2023</t>
        </is>
      </c>
      <c r="B22" s="1" t="n">
        <v>44998</v>
      </c>
      <c r="C22" s="1" t="n">
        <v>45974</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45974</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45974</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6089-2025</t>
        </is>
      </c>
      <c r="B25" s="1" t="n">
        <v>45697.72040509259</v>
      </c>
      <c r="C25" s="1" t="n">
        <v>45974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45974</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4945-2025</t>
        </is>
      </c>
      <c r="B27" s="1" t="n">
        <v>45688</v>
      </c>
      <c r="C27" s="1" t="n">
        <v>45974</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15905-2025</t>
        </is>
      </c>
      <c r="B28" s="1" t="n">
        <v>45749</v>
      </c>
      <c r="C28" s="1" t="n">
        <v>45974</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45974</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45974</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50311-2024</t>
        </is>
      </c>
      <c r="B31" s="1" t="n">
        <v>45600</v>
      </c>
      <c r="C31" s="1" t="n">
        <v>45974</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43967-2024</t>
        </is>
      </c>
      <c r="B32" s="1" t="n">
        <v>45572</v>
      </c>
      <c r="C32" s="1" t="n">
        <v>45974</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45974</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45974</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45974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40788-2023</t>
        </is>
      </c>
      <c r="B36" s="1" t="n">
        <v>45170</v>
      </c>
      <c r="C36" s="1" t="n">
        <v>45974</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45974</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45974</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42592-2024</t>
        </is>
      </c>
      <c r="B39" s="1" t="n">
        <v>45565</v>
      </c>
      <c r="C39" s="1" t="n">
        <v>45974</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45974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45974</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45974</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45974</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45974</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20664-2021</t>
        </is>
      </c>
      <c r="B45" s="1" t="n">
        <v>44316</v>
      </c>
      <c r="C45" s="1" t="n">
        <v>45974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45974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45974</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10619-2023</t>
        </is>
      </c>
      <c r="B48" s="1" t="n">
        <v>44984</v>
      </c>
      <c r="C48" s="1" t="n">
        <v>45974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45455.46412037037</v>
      </c>
      <c r="C49" s="1" t="n">
        <v>45974</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47944-2025</t>
        </is>
      </c>
      <c r="B50" s="1" t="n">
        <v>45931</v>
      </c>
      <c r="C50" s="1" t="n">
        <v>45974</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45974</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45974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45974</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45974</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52119-2025</t>
        </is>
      </c>
      <c r="B55" s="1" t="n">
        <v>45952.71653935185</v>
      </c>
      <c r="C55" s="1" t="n">
        <v>45974</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45974</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45974</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45974</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45974</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45974</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45974</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30035-2024</t>
        </is>
      </c>
      <c r="B62" s="1" t="n">
        <v>45485</v>
      </c>
      <c r="C62" s="1" t="n">
        <v>45974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46259-2024</t>
        </is>
      </c>
      <c r="B63" s="1" t="n">
        <v>45581</v>
      </c>
      <c r="C63" s="1" t="n">
        <v>45974</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37891-2025</t>
        </is>
      </c>
      <c r="B64" s="1" t="n">
        <v>45881.54024305556</v>
      </c>
      <c r="C64" s="1" t="n">
        <v>45974</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4938-2025</t>
        </is>
      </c>
      <c r="B65" s="1" t="n">
        <v>45688</v>
      </c>
      <c r="C65" s="1" t="n">
        <v>45974</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45974</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45974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45974</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45974</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45974</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30034-2024</t>
        </is>
      </c>
      <c r="B71" s="1" t="n">
        <v>45485</v>
      </c>
      <c r="C71" s="1" t="n">
        <v>45974</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30034-2024 artfynd.xlsx", "A 30034-2024")</f>
        <v/>
      </c>
      <c r="T71">
        <f>HYPERLINK("https://klasma.github.io/Logging_2321/kartor/A 30034-2024 karta.png", "A 30034-2024")</f>
        <v/>
      </c>
      <c r="V71">
        <f>HYPERLINK("https://klasma.github.io/Logging_2321/klagomål/A 30034-2024 FSC-klagomål.docx", "A 30034-2024")</f>
        <v/>
      </c>
      <c r="W71">
        <f>HYPERLINK("https://klasma.github.io/Logging_2321/klagomålsmail/A 30034-2024 FSC-klagomål mail.docx", "A 30034-2024")</f>
        <v/>
      </c>
      <c r="X71">
        <f>HYPERLINK("https://klasma.github.io/Logging_2321/tillsyn/A 30034-2024 tillsynsbegäran.docx", "A 30034-2024")</f>
        <v/>
      </c>
      <c r="Y71">
        <f>HYPERLINK("https://klasma.github.io/Logging_2321/tillsynsmail/A 30034-2024 tillsynsbegäran mail.docx", "A 30034-2024")</f>
        <v/>
      </c>
    </row>
    <row r="72" ht="15" customHeight="1">
      <c r="A72" t="inlineStr">
        <is>
          <t>A 32097-2025</t>
        </is>
      </c>
      <c r="B72" s="1" t="n">
        <v>45835.4641087963</v>
      </c>
      <c r="C72" s="1" t="n">
        <v>45974</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12988-2021</t>
        </is>
      </c>
      <c r="B73" s="1" t="n">
        <v>44271</v>
      </c>
      <c r="C73" s="1" t="n">
        <v>45974</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17855-2024</t>
        </is>
      </c>
      <c r="B74" s="1" t="n">
        <v>45419</v>
      </c>
      <c r="C74" s="1" t="n">
        <v>45974</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14195-2021</t>
        </is>
      </c>
      <c r="B75" s="1" t="n">
        <v>44278</v>
      </c>
      <c r="C75" s="1" t="n">
        <v>45974</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20039-2024</t>
        </is>
      </c>
      <c r="B76" s="1" t="n">
        <v>45434</v>
      </c>
      <c r="C76" s="1" t="n">
        <v>45974</v>
      </c>
      <c r="D76" t="inlineStr">
        <is>
          <t>JÄMTLANDS LÄN</t>
        </is>
      </c>
      <c r="E76" t="inlineStr">
        <is>
          <t>ÅRE</t>
        </is>
      </c>
      <c r="G76" t="n">
        <v>5.3</v>
      </c>
      <c r="H76" t="n">
        <v>1</v>
      </c>
      <c r="I76" t="n">
        <v>0</v>
      </c>
      <c r="J76" t="n">
        <v>4</v>
      </c>
      <c r="K76" t="n">
        <v>1</v>
      </c>
      <c r="L76" t="n">
        <v>0</v>
      </c>
      <c r="M76" t="n">
        <v>0</v>
      </c>
      <c r="N76" t="n">
        <v>0</v>
      </c>
      <c r="O76" t="n">
        <v>5</v>
      </c>
      <c r="P76" t="n">
        <v>1</v>
      </c>
      <c r="Q76" t="n">
        <v>5</v>
      </c>
      <c r="R76" s="2" t="inlineStr">
        <is>
          <t>Vågticka
Garnlav
Gränsticka
Tretåig hackspett
Ullticka</t>
        </is>
      </c>
      <c r="S76">
        <f>HYPERLINK("https://klasma.github.io/Logging_2321/artfynd/A 20039-2024 artfynd.xlsx", "A 20039-2024")</f>
        <v/>
      </c>
      <c r="T76">
        <f>HYPERLINK("https://klasma.github.io/Logging_2321/kartor/A 20039-2024 karta.png", "A 20039-2024")</f>
        <v/>
      </c>
      <c r="V76">
        <f>HYPERLINK("https://klasma.github.io/Logging_2321/klagomål/A 20039-2024 FSC-klagomål.docx", "A 20039-2024")</f>
        <v/>
      </c>
      <c r="W76">
        <f>HYPERLINK("https://klasma.github.io/Logging_2321/klagomålsmail/A 20039-2024 FSC-klagomål mail.docx", "A 20039-2024")</f>
        <v/>
      </c>
      <c r="X76">
        <f>HYPERLINK("https://klasma.github.io/Logging_2321/tillsyn/A 20039-2024 tillsynsbegäran.docx", "A 20039-2024")</f>
        <v/>
      </c>
      <c r="Y76">
        <f>HYPERLINK("https://klasma.github.io/Logging_2321/tillsynsmail/A 20039-2024 tillsynsbegäran mail.docx", "A 20039-2024")</f>
        <v/>
      </c>
      <c r="Z76">
        <f>HYPERLINK("https://klasma.github.io/Logging_2321/fåglar/A 20039-2024 prioriterade fågelarter.docx", "A 20039-2024")</f>
        <v/>
      </c>
    </row>
    <row r="77" ht="15" customHeight="1">
      <c r="A77" t="inlineStr">
        <is>
          <t>A 53436-2025</t>
        </is>
      </c>
      <c r="B77" s="1" t="n">
        <v>45959.63353009259</v>
      </c>
      <c r="C77" s="1" t="n">
        <v>45974</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10491-2024</t>
        </is>
      </c>
      <c r="B78" s="1" t="n">
        <v>45366</v>
      </c>
      <c r="C78" s="1" t="n">
        <v>45974</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4775-2025</t>
        </is>
      </c>
      <c r="B79" s="1" t="n">
        <v>45688</v>
      </c>
      <c r="C79" s="1" t="n">
        <v>45974</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42565-2024</t>
        </is>
      </c>
      <c r="B80" s="1" t="n">
        <v>45565</v>
      </c>
      <c r="C80" s="1" t="n">
        <v>45974</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54374-2025</t>
        </is>
      </c>
      <c r="B81" s="1" t="n">
        <v>45965.41842592593</v>
      </c>
      <c r="C81" s="1" t="n">
        <v>45974</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19925-2025</t>
        </is>
      </c>
      <c r="B82" s="1" t="n">
        <v>45771.634375</v>
      </c>
      <c r="C82" s="1" t="n">
        <v>45974</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57537-2024</t>
        </is>
      </c>
      <c r="B83" s="1" t="n">
        <v>45630</v>
      </c>
      <c r="C83" s="1" t="n">
        <v>45974</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56183-2022</t>
        </is>
      </c>
      <c r="B84" s="1" t="n">
        <v>44889</v>
      </c>
      <c r="C84" s="1" t="n">
        <v>45974</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45974</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45974</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19277-2021</t>
        </is>
      </c>
      <c r="B87" s="1" t="n">
        <v>44309</v>
      </c>
      <c r="C87" s="1" t="n">
        <v>45974</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14198-2021</t>
        </is>
      </c>
      <c r="B88" s="1" t="n">
        <v>44278</v>
      </c>
      <c r="C88" s="1" t="n">
        <v>45974</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36260-2023</t>
        </is>
      </c>
      <c r="B89" s="1" t="n">
        <v>45151</v>
      </c>
      <c r="C89" s="1" t="n">
        <v>45974</v>
      </c>
      <c r="D89" t="inlineStr">
        <is>
          <t>JÄMTLANDS LÄN</t>
        </is>
      </c>
      <c r="E89" t="inlineStr">
        <is>
          <t>ÅRE</t>
        </is>
      </c>
      <c r="G89" t="n">
        <v>2.6</v>
      </c>
      <c r="H89" t="n">
        <v>0</v>
      </c>
      <c r="I89" t="n">
        <v>3</v>
      </c>
      <c r="J89" t="n">
        <v>0</v>
      </c>
      <c r="K89" t="n">
        <v>0</v>
      </c>
      <c r="L89" t="n">
        <v>0</v>
      </c>
      <c r="M89" t="n">
        <v>0</v>
      </c>
      <c r="N89" t="n">
        <v>0</v>
      </c>
      <c r="O89" t="n">
        <v>0</v>
      </c>
      <c r="P89" t="n">
        <v>0</v>
      </c>
      <c r="Q89" t="n">
        <v>3</v>
      </c>
      <c r="R89" s="2" t="inlineStr">
        <is>
          <t>Svavelriska
Underviol
Vedticka</t>
        </is>
      </c>
      <c r="S89">
        <f>HYPERLINK("https://klasma.github.io/Logging_2321/artfynd/A 36260-2023 artfynd.xlsx", "A 36260-2023")</f>
        <v/>
      </c>
      <c r="T89">
        <f>HYPERLINK("https://klasma.github.io/Logging_2321/kartor/A 36260-2023 karta.png", "A 36260-2023")</f>
        <v/>
      </c>
      <c r="V89">
        <f>HYPERLINK("https://klasma.github.io/Logging_2321/klagomål/A 36260-2023 FSC-klagomål.docx", "A 36260-2023")</f>
        <v/>
      </c>
      <c r="W89">
        <f>HYPERLINK("https://klasma.github.io/Logging_2321/klagomålsmail/A 36260-2023 FSC-klagomål mail.docx", "A 36260-2023")</f>
        <v/>
      </c>
      <c r="X89">
        <f>HYPERLINK("https://klasma.github.io/Logging_2321/tillsyn/A 36260-2023 tillsynsbegäran.docx", "A 36260-2023")</f>
        <v/>
      </c>
      <c r="Y89">
        <f>HYPERLINK("https://klasma.github.io/Logging_2321/tillsynsmail/A 36260-2023 tillsynsbegäran mail.docx", "A 36260-2023")</f>
        <v/>
      </c>
    </row>
    <row r="90" ht="15" customHeight="1">
      <c r="A90" t="inlineStr">
        <is>
          <t>A 72934-2021</t>
        </is>
      </c>
      <c r="B90" s="1" t="n">
        <v>44547</v>
      </c>
      <c r="C90" s="1" t="n">
        <v>45974</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23638-2023</t>
        </is>
      </c>
      <c r="B91" s="1" t="n">
        <v>45072</v>
      </c>
      <c r="C91" s="1" t="n">
        <v>45974</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45974</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22692-2025</t>
        </is>
      </c>
      <c r="B93" s="1" t="n">
        <v>45789.53834490741</v>
      </c>
      <c r="C93" s="1" t="n">
        <v>45974</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21006-2022</t>
        </is>
      </c>
      <c r="B94" s="1" t="n">
        <v>44701</v>
      </c>
      <c r="C94" s="1" t="n">
        <v>45974</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12269-2022</t>
        </is>
      </c>
      <c r="B95" s="1" t="n">
        <v>44637</v>
      </c>
      <c r="C95" s="1" t="n">
        <v>45974</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40245-2023</t>
        </is>
      </c>
      <c r="B96" s="1" t="n">
        <v>45167</v>
      </c>
      <c r="C96" s="1" t="n">
        <v>45974</v>
      </c>
      <c r="D96" t="inlineStr">
        <is>
          <t>JÄMTLANDS LÄN</t>
        </is>
      </c>
      <c r="E96" t="inlineStr">
        <is>
          <t>ÅRE</t>
        </is>
      </c>
      <c r="G96" t="n">
        <v>18.8</v>
      </c>
      <c r="H96" t="n">
        <v>1</v>
      </c>
      <c r="I96" t="n">
        <v>0</v>
      </c>
      <c r="J96" t="n">
        <v>3</v>
      </c>
      <c r="K96" t="n">
        <v>0</v>
      </c>
      <c r="L96" t="n">
        <v>0</v>
      </c>
      <c r="M96" t="n">
        <v>0</v>
      </c>
      <c r="N96" t="n">
        <v>0</v>
      </c>
      <c r="O96" t="n">
        <v>3</v>
      </c>
      <c r="P96" t="n">
        <v>0</v>
      </c>
      <c r="Q96" t="n">
        <v>3</v>
      </c>
      <c r="R96" s="2" t="inlineStr">
        <is>
          <t>Lunglav
Skrovellav
Tretåig hackspett</t>
        </is>
      </c>
      <c r="S96">
        <f>HYPERLINK("https://klasma.github.io/Logging_2321/artfynd/A 40245-2023 artfynd.xlsx", "A 40245-2023")</f>
        <v/>
      </c>
      <c r="T96">
        <f>HYPERLINK("https://klasma.github.io/Logging_2321/kartor/A 40245-2023 karta.png", "A 40245-2023")</f>
        <v/>
      </c>
      <c r="V96">
        <f>HYPERLINK("https://klasma.github.io/Logging_2321/klagomål/A 40245-2023 FSC-klagomål.docx", "A 40245-2023")</f>
        <v/>
      </c>
      <c r="W96">
        <f>HYPERLINK("https://klasma.github.io/Logging_2321/klagomålsmail/A 40245-2023 FSC-klagomål mail.docx", "A 40245-2023")</f>
        <v/>
      </c>
      <c r="X96">
        <f>HYPERLINK("https://klasma.github.io/Logging_2321/tillsyn/A 40245-2023 tillsynsbegäran.docx", "A 40245-2023")</f>
        <v/>
      </c>
      <c r="Y96">
        <f>HYPERLINK("https://klasma.github.io/Logging_2321/tillsynsmail/A 40245-2023 tillsynsbegäran mail.docx", "A 40245-2023")</f>
        <v/>
      </c>
      <c r="Z96">
        <f>HYPERLINK("https://klasma.github.io/Logging_2321/fåglar/A 40245-2023 prioriterade fågelarter.docx", "A 40245-2023")</f>
        <v/>
      </c>
    </row>
    <row r="97" ht="15" customHeight="1">
      <c r="A97" t="inlineStr">
        <is>
          <t>A 58387-2023</t>
        </is>
      </c>
      <c r="B97" s="1" t="n">
        <v>45250</v>
      </c>
      <c r="C97" s="1" t="n">
        <v>45974</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61875-2024</t>
        </is>
      </c>
      <c r="B98" s="1" t="n">
        <v>45651</v>
      </c>
      <c r="C98" s="1" t="n">
        <v>45974</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20124-2023</t>
        </is>
      </c>
      <c r="B99" s="1" t="n">
        <v>45055</v>
      </c>
      <c r="C99" s="1" t="n">
        <v>45974</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13625-2023</t>
        </is>
      </c>
      <c r="B100" s="1" t="n">
        <v>45006</v>
      </c>
      <c r="C100" s="1" t="n">
        <v>45974</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Lunglav
Tretåig hackspett
Vitskaftad svartspik</t>
        </is>
      </c>
      <c r="S100">
        <f>HYPERLINK("https://klasma.github.io/Logging_2321/artfynd/A 13625-2023 artfynd.xlsx", "A 13625-2023")</f>
        <v/>
      </c>
      <c r="T100">
        <f>HYPERLINK("https://klasma.github.io/Logging_2321/kartor/A 13625-2023 karta.png", "A 13625-2023")</f>
        <v/>
      </c>
      <c r="V100">
        <f>HYPERLINK("https://klasma.github.io/Logging_2321/klagomål/A 13625-2023 FSC-klagomål.docx", "A 13625-2023")</f>
        <v/>
      </c>
      <c r="W100">
        <f>HYPERLINK("https://klasma.github.io/Logging_2321/klagomålsmail/A 13625-2023 FSC-klagomål mail.docx", "A 13625-2023")</f>
        <v/>
      </c>
      <c r="X100">
        <f>HYPERLINK("https://klasma.github.io/Logging_2321/tillsyn/A 13625-2023 tillsynsbegäran.docx", "A 13625-2023")</f>
        <v/>
      </c>
      <c r="Y100">
        <f>HYPERLINK("https://klasma.github.io/Logging_2321/tillsynsmail/A 13625-2023 tillsynsbegäran mail.docx", "A 13625-2023")</f>
        <v/>
      </c>
      <c r="Z100">
        <f>HYPERLINK("https://klasma.github.io/Logging_2321/fåglar/A 13625-2023 prioriterade fågelarter.docx", "A 13625-2023")</f>
        <v/>
      </c>
    </row>
    <row r="101" ht="15" customHeight="1">
      <c r="A101" t="inlineStr">
        <is>
          <t>A 23729-2023</t>
        </is>
      </c>
      <c r="B101" s="1" t="n">
        <v>45072</v>
      </c>
      <c r="C101" s="1" t="n">
        <v>45974</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58082-2022</t>
        </is>
      </c>
      <c r="B102" s="1" t="n">
        <v>44900</v>
      </c>
      <c r="C102" s="1" t="n">
        <v>45974</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10501-2024</t>
        </is>
      </c>
      <c r="B103" s="1" t="n">
        <v>45366</v>
      </c>
      <c r="C103" s="1" t="n">
        <v>45974</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57918-2024</t>
        </is>
      </c>
      <c r="B104" s="1" t="n">
        <v>45631</v>
      </c>
      <c r="C104" s="1" t="n">
        <v>45974</v>
      </c>
      <c r="D104" t="inlineStr">
        <is>
          <t>JÄMTLANDS LÄN</t>
        </is>
      </c>
      <c r="E104" t="inlineStr">
        <is>
          <t>ÅRE</t>
        </is>
      </c>
      <c r="F104" t="inlineStr">
        <is>
          <t>Övriga Aktiebolag</t>
        </is>
      </c>
      <c r="G104" t="n">
        <v>18.8</v>
      </c>
      <c r="H104" t="n">
        <v>1</v>
      </c>
      <c r="I104" t="n">
        <v>0</v>
      </c>
      <c r="J104" t="n">
        <v>3</v>
      </c>
      <c r="K104" t="n">
        <v>0</v>
      </c>
      <c r="L104" t="n">
        <v>0</v>
      </c>
      <c r="M104" t="n">
        <v>0</v>
      </c>
      <c r="N104" t="n">
        <v>0</v>
      </c>
      <c r="O104" t="n">
        <v>3</v>
      </c>
      <c r="P104" t="n">
        <v>0</v>
      </c>
      <c r="Q104" t="n">
        <v>3</v>
      </c>
      <c r="R104" s="2" t="inlineStr">
        <is>
          <t>Gammelgransskål
Garnlav
Tretåig hackspett</t>
        </is>
      </c>
      <c r="S104">
        <f>HYPERLINK("https://klasma.github.io/Logging_2321/artfynd/A 57918-2024 artfynd.xlsx", "A 57918-2024")</f>
        <v/>
      </c>
      <c r="T104">
        <f>HYPERLINK("https://klasma.github.io/Logging_2321/kartor/A 57918-2024 karta.png", "A 57918-2024")</f>
        <v/>
      </c>
      <c r="V104">
        <f>HYPERLINK("https://klasma.github.io/Logging_2321/klagomål/A 57918-2024 FSC-klagomål.docx", "A 57918-2024")</f>
        <v/>
      </c>
      <c r="W104">
        <f>HYPERLINK("https://klasma.github.io/Logging_2321/klagomålsmail/A 57918-2024 FSC-klagomål mail.docx", "A 57918-2024")</f>
        <v/>
      </c>
      <c r="X104">
        <f>HYPERLINK("https://klasma.github.io/Logging_2321/tillsyn/A 57918-2024 tillsynsbegäran.docx", "A 57918-2024")</f>
        <v/>
      </c>
      <c r="Y104">
        <f>HYPERLINK("https://klasma.github.io/Logging_2321/tillsynsmail/A 57918-2024 tillsynsbegäran mail.docx", "A 57918-2024")</f>
        <v/>
      </c>
      <c r="Z104">
        <f>HYPERLINK("https://klasma.github.io/Logging_2321/fåglar/A 57918-2024 prioriterade fågelarter.docx", "A 57918-2024")</f>
        <v/>
      </c>
    </row>
    <row r="105" ht="15" customHeight="1">
      <c r="A105" t="inlineStr">
        <is>
          <t>A 40386-2025</t>
        </is>
      </c>
      <c r="B105" s="1" t="n">
        <v>45895</v>
      </c>
      <c r="C105" s="1" t="n">
        <v>45974</v>
      </c>
      <c r="D105" t="inlineStr">
        <is>
          <t>JÄMTLANDS LÄN</t>
        </is>
      </c>
      <c r="E105" t="inlineStr">
        <is>
          <t>ÅRE</t>
        </is>
      </c>
      <c r="F105" t="inlineStr">
        <is>
          <t>Övriga Aktiebolag</t>
        </is>
      </c>
      <c r="G105" t="n">
        <v>7.5</v>
      </c>
      <c r="H105" t="n">
        <v>3</v>
      </c>
      <c r="I105" t="n">
        <v>0</v>
      </c>
      <c r="J105" t="n">
        <v>1</v>
      </c>
      <c r="K105" t="n">
        <v>0</v>
      </c>
      <c r="L105" t="n">
        <v>0</v>
      </c>
      <c r="M105" t="n">
        <v>0</v>
      </c>
      <c r="N105" t="n">
        <v>0</v>
      </c>
      <c r="O105" t="n">
        <v>1</v>
      </c>
      <c r="P105" t="n">
        <v>0</v>
      </c>
      <c r="Q105" t="n">
        <v>3</v>
      </c>
      <c r="R105" s="2" t="inlineStr">
        <is>
          <t>Tretåig hackspett
Lavskrika
Tjäder</t>
        </is>
      </c>
      <c r="S105">
        <f>HYPERLINK("https://klasma.github.io/Logging_2321/artfynd/A 40386-2025 artfynd.xlsx", "A 40386-2025")</f>
        <v/>
      </c>
      <c r="T105">
        <f>HYPERLINK("https://klasma.github.io/Logging_2321/kartor/A 40386-2025 karta.png", "A 40386-2025")</f>
        <v/>
      </c>
      <c r="V105">
        <f>HYPERLINK("https://klasma.github.io/Logging_2321/klagomål/A 40386-2025 FSC-klagomål.docx", "A 40386-2025")</f>
        <v/>
      </c>
      <c r="W105">
        <f>HYPERLINK("https://klasma.github.io/Logging_2321/klagomålsmail/A 40386-2025 FSC-klagomål mail.docx", "A 40386-2025")</f>
        <v/>
      </c>
      <c r="X105">
        <f>HYPERLINK("https://klasma.github.io/Logging_2321/tillsyn/A 40386-2025 tillsynsbegäran.docx", "A 40386-2025")</f>
        <v/>
      </c>
      <c r="Y105">
        <f>HYPERLINK("https://klasma.github.io/Logging_2321/tillsynsmail/A 40386-2025 tillsynsbegäran mail.docx", "A 40386-2025")</f>
        <v/>
      </c>
      <c r="Z105">
        <f>HYPERLINK("https://klasma.github.io/Logging_2321/fåglar/A 40386-2025 prioriterade fågelarter.docx", "A 40386-2025")</f>
        <v/>
      </c>
    </row>
    <row r="106" ht="15" customHeight="1">
      <c r="A106" t="inlineStr">
        <is>
          <t>A 10627-2023</t>
        </is>
      </c>
      <c r="B106" s="1" t="n">
        <v>44984</v>
      </c>
      <c r="C106" s="1" t="n">
        <v>45974</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47988-2025</t>
        </is>
      </c>
      <c r="B107" s="1" t="n">
        <v>45931</v>
      </c>
      <c r="C107" s="1" t="n">
        <v>45974</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10773-2021</t>
        </is>
      </c>
      <c r="B108" s="1" t="n">
        <v>44259</v>
      </c>
      <c r="C108" s="1" t="n">
        <v>45974</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22601-2024</t>
        </is>
      </c>
      <c r="B109" s="1" t="n">
        <v>45447</v>
      </c>
      <c r="C109" s="1" t="n">
        <v>45974</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52588-2024</t>
        </is>
      </c>
      <c r="B110" s="1" t="n">
        <v>45609.69825231482</v>
      </c>
      <c r="C110" s="1" t="n">
        <v>45974</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54376-2025</t>
        </is>
      </c>
      <c r="B111" s="1" t="n">
        <v>45965.42515046296</v>
      </c>
      <c r="C111" s="1" t="n">
        <v>45974</v>
      </c>
      <c r="D111" t="inlineStr">
        <is>
          <t>JÄMTLANDS LÄN</t>
        </is>
      </c>
      <c r="E111" t="inlineStr">
        <is>
          <t>ÅRE</t>
        </is>
      </c>
      <c r="G111" t="n">
        <v>5.3</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54376-2025 artfynd.xlsx", "A 54376-2025")</f>
        <v/>
      </c>
      <c r="T111">
        <f>HYPERLINK("https://klasma.github.io/Logging_2321/kartor/A 54376-2025 karta.png", "A 54376-2025")</f>
        <v/>
      </c>
      <c r="V111">
        <f>HYPERLINK("https://klasma.github.io/Logging_2321/klagomål/A 54376-2025 FSC-klagomål.docx", "A 54376-2025")</f>
        <v/>
      </c>
      <c r="W111">
        <f>HYPERLINK("https://klasma.github.io/Logging_2321/klagomålsmail/A 54376-2025 FSC-klagomål mail.docx", "A 54376-2025")</f>
        <v/>
      </c>
      <c r="X111">
        <f>HYPERLINK("https://klasma.github.io/Logging_2321/tillsyn/A 54376-2025 tillsynsbegäran.docx", "A 54376-2025")</f>
        <v/>
      </c>
      <c r="Y111">
        <f>HYPERLINK("https://klasma.github.io/Logging_2321/tillsynsmail/A 54376-2025 tillsynsbegäran mail.docx", "A 54376-2025")</f>
        <v/>
      </c>
    </row>
    <row r="112" ht="15" customHeight="1">
      <c r="A112" t="inlineStr">
        <is>
          <t>A 23572-2021</t>
        </is>
      </c>
      <c r="B112" s="1" t="n">
        <v>44334</v>
      </c>
      <c r="C112" s="1" t="n">
        <v>45974</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46984-2021</t>
        </is>
      </c>
      <c r="B113" s="1" t="n">
        <v>44446</v>
      </c>
      <c r="C113" s="1" t="n">
        <v>45974</v>
      </c>
      <c r="D113" t="inlineStr">
        <is>
          <t>JÄMTLANDS LÄN</t>
        </is>
      </c>
      <c r="E113" t="inlineStr">
        <is>
          <t>ÅRE</t>
        </is>
      </c>
      <c r="G113" t="n">
        <v>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46984-2021 artfynd.xlsx", "A 46984-2021")</f>
        <v/>
      </c>
      <c r="T113">
        <f>HYPERLINK("https://klasma.github.io/Logging_2321/kartor/A 46984-2021 karta.png", "A 46984-2021")</f>
        <v/>
      </c>
      <c r="V113">
        <f>HYPERLINK("https://klasma.github.io/Logging_2321/klagomål/A 46984-2021 FSC-klagomål.docx", "A 46984-2021")</f>
        <v/>
      </c>
      <c r="W113">
        <f>HYPERLINK("https://klasma.github.io/Logging_2321/klagomålsmail/A 46984-2021 FSC-klagomål mail.docx", "A 46984-2021")</f>
        <v/>
      </c>
      <c r="X113">
        <f>HYPERLINK("https://klasma.github.io/Logging_2321/tillsyn/A 46984-2021 tillsynsbegäran.docx", "A 46984-2021")</f>
        <v/>
      </c>
      <c r="Y113">
        <f>HYPERLINK("https://klasma.github.io/Logging_2321/tillsynsmail/A 46984-2021 tillsynsbegäran mail.docx", "A 46984-2021")</f>
        <v/>
      </c>
      <c r="Z113">
        <f>HYPERLINK("https://klasma.github.io/Logging_2321/fåglar/A 46984-2021 prioriterade fågelarter.docx", "A 46984-2021")</f>
        <v/>
      </c>
    </row>
    <row r="114" ht="15" customHeight="1">
      <c r="A114" t="inlineStr">
        <is>
          <t>A 18851-2022</t>
        </is>
      </c>
      <c r="B114" s="1" t="n">
        <v>44690</v>
      </c>
      <c r="C114" s="1" t="n">
        <v>45974</v>
      </c>
      <c r="D114" t="inlineStr">
        <is>
          <t>JÄMTLANDS LÄN</t>
        </is>
      </c>
      <c r="E114" t="inlineStr">
        <is>
          <t>ÅRE</t>
        </is>
      </c>
      <c r="G114" t="n">
        <v>10.4</v>
      </c>
      <c r="H114" t="n">
        <v>1</v>
      </c>
      <c r="I114" t="n">
        <v>0</v>
      </c>
      <c r="J114" t="n">
        <v>1</v>
      </c>
      <c r="K114" t="n">
        <v>0</v>
      </c>
      <c r="L114" t="n">
        <v>0</v>
      </c>
      <c r="M114" t="n">
        <v>0</v>
      </c>
      <c r="N114" t="n">
        <v>0</v>
      </c>
      <c r="O114" t="n">
        <v>1</v>
      </c>
      <c r="P114" t="n">
        <v>0</v>
      </c>
      <c r="Q114" t="n">
        <v>2</v>
      </c>
      <c r="R114" s="2" t="inlineStr">
        <is>
          <t>Garnlav
Orre</t>
        </is>
      </c>
      <c r="S114">
        <f>HYPERLINK("https://klasma.github.io/Logging_2321/artfynd/A 18851-2022 artfynd.xlsx", "A 18851-2022")</f>
        <v/>
      </c>
      <c r="T114">
        <f>HYPERLINK("https://klasma.github.io/Logging_2321/kartor/A 18851-2022 karta.png", "A 18851-2022")</f>
        <v/>
      </c>
      <c r="V114">
        <f>HYPERLINK("https://klasma.github.io/Logging_2321/klagomål/A 18851-2022 FSC-klagomål.docx", "A 18851-2022")</f>
        <v/>
      </c>
      <c r="W114">
        <f>HYPERLINK("https://klasma.github.io/Logging_2321/klagomålsmail/A 18851-2022 FSC-klagomål mail.docx", "A 18851-2022")</f>
        <v/>
      </c>
      <c r="X114">
        <f>HYPERLINK("https://klasma.github.io/Logging_2321/tillsyn/A 18851-2022 tillsynsbegäran.docx", "A 18851-2022")</f>
        <v/>
      </c>
      <c r="Y114">
        <f>HYPERLINK("https://klasma.github.io/Logging_2321/tillsynsmail/A 18851-2022 tillsynsbegäran mail.docx", "A 18851-2022")</f>
        <v/>
      </c>
      <c r="Z114">
        <f>HYPERLINK("https://klasma.github.io/Logging_2321/fåglar/A 18851-2022 prioriterade fågelarter.docx", "A 18851-2022")</f>
        <v/>
      </c>
    </row>
    <row r="115" ht="15" customHeight="1">
      <c r="A115" t="inlineStr">
        <is>
          <t>A 6108-2023</t>
        </is>
      </c>
      <c r="B115" s="1" t="n">
        <v>44964</v>
      </c>
      <c r="C115" s="1" t="n">
        <v>45974</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23566-2021</t>
        </is>
      </c>
      <c r="B116" s="1" t="n">
        <v>44334</v>
      </c>
      <c r="C116" s="1" t="n">
        <v>45974</v>
      </c>
      <c r="D116" t="inlineStr">
        <is>
          <t>JÄMTLANDS LÄN</t>
        </is>
      </c>
      <c r="E116" t="inlineStr">
        <is>
          <t>ÅRE</t>
        </is>
      </c>
      <c r="G116" t="n">
        <v>20</v>
      </c>
      <c r="H116" t="n">
        <v>1</v>
      </c>
      <c r="I116" t="n">
        <v>1</v>
      </c>
      <c r="J116" t="n">
        <v>1</v>
      </c>
      <c r="K116" t="n">
        <v>0</v>
      </c>
      <c r="L116" t="n">
        <v>0</v>
      </c>
      <c r="M116" t="n">
        <v>0</v>
      </c>
      <c r="N116" t="n">
        <v>0</v>
      </c>
      <c r="O116" t="n">
        <v>1</v>
      </c>
      <c r="P116" t="n">
        <v>0</v>
      </c>
      <c r="Q116" t="n">
        <v>2</v>
      </c>
      <c r="R116" s="2" t="inlineStr">
        <is>
          <t>Skrovellav
Spindelblomster</t>
        </is>
      </c>
      <c r="S116">
        <f>HYPERLINK("https://klasma.github.io/Logging_2321/artfynd/A 23566-2021 artfynd.xlsx", "A 23566-2021")</f>
        <v/>
      </c>
      <c r="T116">
        <f>HYPERLINK("https://klasma.github.io/Logging_2321/kartor/A 23566-2021 karta.png", "A 23566-2021")</f>
        <v/>
      </c>
      <c r="V116">
        <f>HYPERLINK("https://klasma.github.io/Logging_2321/klagomål/A 23566-2021 FSC-klagomål.docx", "A 23566-2021")</f>
        <v/>
      </c>
      <c r="W116">
        <f>HYPERLINK("https://klasma.github.io/Logging_2321/klagomålsmail/A 23566-2021 FSC-klagomål mail.docx", "A 23566-2021")</f>
        <v/>
      </c>
      <c r="X116">
        <f>HYPERLINK("https://klasma.github.io/Logging_2321/tillsyn/A 23566-2021 tillsynsbegäran.docx", "A 23566-2021")</f>
        <v/>
      </c>
      <c r="Y116">
        <f>HYPERLINK("https://klasma.github.io/Logging_2321/tillsynsmail/A 23566-2021 tillsynsbegäran mail.docx", "A 23566-2021")</f>
        <v/>
      </c>
    </row>
    <row r="117" ht="15" customHeight="1">
      <c r="A117" t="inlineStr">
        <is>
          <t>A 3152-2023</t>
        </is>
      </c>
      <c r="B117" s="1" t="n">
        <v>44946</v>
      </c>
      <c r="C117" s="1" t="n">
        <v>45974</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3152-2023 artfynd.xlsx", "A 3152-2023")</f>
        <v/>
      </c>
      <c r="T117">
        <f>HYPERLINK("https://klasma.github.io/Logging_2321/kartor/A 3152-2023 karta.png", "A 3152-2023")</f>
        <v/>
      </c>
      <c r="V117">
        <f>HYPERLINK("https://klasma.github.io/Logging_2321/klagomål/A 3152-2023 FSC-klagomål.docx", "A 3152-2023")</f>
        <v/>
      </c>
      <c r="W117">
        <f>HYPERLINK("https://klasma.github.io/Logging_2321/klagomålsmail/A 3152-2023 FSC-klagomål mail.docx", "A 3152-2023")</f>
        <v/>
      </c>
      <c r="X117">
        <f>HYPERLINK("https://klasma.github.io/Logging_2321/tillsyn/A 3152-2023 tillsynsbegäran.docx", "A 3152-2023")</f>
        <v/>
      </c>
      <c r="Y117">
        <f>HYPERLINK("https://klasma.github.io/Logging_2321/tillsynsmail/A 3152-2023 tillsynsbegäran mail.docx", "A 3152-2023")</f>
        <v/>
      </c>
      <c r="Z117">
        <f>HYPERLINK("https://klasma.github.io/Logging_2321/fåglar/A 3152-2023 prioriterade fågelarter.docx", "A 3152-2023")</f>
        <v/>
      </c>
    </row>
    <row r="118" ht="15" customHeight="1">
      <c r="A118" t="inlineStr">
        <is>
          <t>A 60533-2022</t>
        </is>
      </c>
      <c r="B118" s="1" t="n">
        <v>44904</v>
      </c>
      <c r="C118" s="1" t="n">
        <v>45974</v>
      </c>
      <c r="D118" t="inlineStr">
        <is>
          <t>JÄMTLANDS LÄN</t>
        </is>
      </c>
      <c r="E118" t="inlineStr">
        <is>
          <t>ÅRE</t>
        </is>
      </c>
      <c r="G118" t="n">
        <v>3.6</v>
      </c>
      <c r="H118" t="n">
        <v>2</v>
      </c>
      <c r="I118" t="n">
        <v>0</v>
      </c>
      <c r="J118" t="n">
        <v>2</v>
      </c>
      <c r="K118" t="n">
        <v>0</v>
      </c>
      <c r="L118" t="n">
        <v>0</v>
      </c>
      <c r="M118" t="n">
        <v>0</v>
      </c>
      <c r="N118" t="n">
        <v>0</v>
      </c>
      <c r="O118" t="n">
        <v>2</v>
      </c>
      <c r="P118" t="n">
        <v>0</v>
      </c>
      <c r="Q118" t="n">
        <v>2</v>
      </c>
      <c r="R118" s="2" t="inlineStr">
        <is>
          <t>Talltita
Tretåig hackspett</t>
        </is>
      </c>
      <c r="S118">
        <f>HYPERLINK("https://klasma.github.io/Logging_2321/artfynd/A 60533-2022 artfynd.xlsx", "A 60533-2022")</f>
        <v/>
      </c>
      <c r="T118">
        <f>HYPERLINK("https://klasma.github.io/Logging_2321/kartor/A 60533-2022 karta.png", "A 60533-2022")</f>
        <v/>
      </c>
      <c r="V118">
        <f>HYPERLINK("https://klasma.github.io/Logging_2321/klagomål/A 60533-2022 FSC-klagomål.docx", "A 60533-2022")</f>
        <v/>
      </c>
      <c r="W118">
        <f>HYPERLINK("https://klasma.github.io/Logging_2321/klagomålsmail/A 60533-2022 FSC-klagomål mail.docx", "A 60533-2022")</f>
        <v/>
      </c>
      <c r="X118">
        <f>HYPERLINK("https://klasma.github.io/Logging_2321/tillsyn/A 60533-2022 tillsynsbegäran.docx", "A 60533-2022")</f>
        <v/>
      </c>
      <c r="Y118">
        <f>HYPERLINK("https://klasma.github.io/Logging_2321/tillsynsmail/A 60533-2022 tillsynsbegäran mail.docx", "A 60533-2022")</f>
        <v/>
      </c>
      <c r="Z118">
        <f>HYPERLINK("https://klasma.github.io/Logging_2321/fåglar/A 60533-2022 prioriterade fågelarter.docx", "A 60533-2022")</f>
        <v/>
      </c>
    </row>
    <row r="119" ht="15" customHeight="1">
      <c r="A119" t="inlineStr">
        <is>
          <t>A 22231-2022</t>
        </is>
      </c>
      <c r="B119" s="1" t="n">
        <v>44712</v>
      </c>
      <c r="C119" s="1" t="n">
        <v>45974</v>
      </c>
      <c r="D119" t="inlineStr">
        <is>
          <t>JÄMTLANDS LÄN</t>
        </is>
      </c>
      <c r="E119" t="inlineStr">
        <is>
          <t>ÅRE</t>
        </is>
      </c>
      <c r="G119" t="n">
        <v>15</v>
      </c>
      <c r="H119" t="n">
        <v>0</v>
      </c>
      <c r="I119" t="n">
        <v>0</v>
      </c>
      <c r="J119" t="n">
        <v>2</v>
      </c>
      <c r="K119" t="n">
        <v>0</v>
      </c>
      <c r="L119" t="n">
        <v>0</v>
      </c>
      <c r="M119" t="n">
        <v>0</v>
      </c>
      <c r="N119" t="n">
        <v>0</v>
      </c>
      <c r="O119" t="n">
        <v>2</v>
      </c>
      <c r="P119" t="n">
        <v>0</v>
      </c>
      <c r="Q119" t="n">
        <v>2</v>
      </c>
      <c r="R119" s="2" t="inlineStr">
        <is>
          <t>Gammelgransskål
Granticka</t>
        </is>
      </c>
      <c r="S119">
        <f>HYPERLINK("https://klasma.github.io/Logging_2321/artfynd/A 22231-2022 artfynd.xlsx", "A 22231-2022")</f>
        <v/>
      </c>
      <c r="T119">
        <f>HYPERLINK("https://klasma.github.io/Logging_2321/kartor/A 22231-2022 karta.png", "A 22231-2022")</f>
        <v/>
      </c>
      <c r="V119">
        <f>HYPERLINK("https://klasma.github.io/Logging_2321/klagomål/A 22231-2022 FSC-klagomål.docx", "A 22231-2022")</f>
        <v/>
      </c>
      <c r="W119">
        <f>HYPERLINK("https://klasma.github.io/Logging_2321/klagomålsmail/A 22231-2022 FSC-klagomål mail.docx", "A 22231-2022")</f>
        <v/>
      </c>
      <c r="X119">
        <f>HYPERLINK("https://klasma.github.io/Logging_2321/tillsyn/A 22231-2022 tillsynsbegäran.docx", "A 22231-2022")</f>
        <v/>
      </c>
      <c r="Y119">
        <f>HYPERLINK("https://klasma.github.io/Logging_2321/tillsynsmail/A 22231-2022 tillsynsbegäran mail.docx", "A 22231-2022")</f>
        <v/>
      </c>
    </row>
    <row r="120" ht="15" customHeight="1">
      <c r="A120" t="inlineStr">
        <is>
          <t>A 5388-2021</t>
        </is>
      </c>
      <c r="B120" s="1" t="n">
        <v>44229</v>
      </c>
      <c r="C120" s="1" t="n">
        <v>45974</v>
      </c>
      <c r="D120" t="inlineStr">
        <is>
          <t>JÄMTLANDS LÄN</t>
        </is>
      </c>
      <c r="E120" t="inlineStr">
        <is>
          <t>ÅRE</t>
        </is>
      </c>
      <c r="G120" t="n">
        <v>6.9</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5388-2021 artfynd.xlsx", "A 5388-2021")</f>
        <v/>
      </c>
      <c r="T120">
        <f>HYPERLINK("https://klasma.github.io/Logging_2321/kartor/A 5388-2021 karta.png", "A 5388-2021")</f>
        <v/>
      </c>
      <c r="V120">
        <f>HYPERLINK("https://klasma.github.io/Logging_2321/klagomål/A 5388-2021 FSC-klagomål.docx", "A 5388-2021")</f>
        <v/>
      </c>
      <c r="W120">
        <f>HYPERLINK("https://klasma.github.io/Logging_2321/klagomålsmail/A 5388-2021 FSC-klagomål mail.docx", "A 5388-2021")</f>
        <v/>
      </c>
      <c r="X120">
        <f>HYPERLINK("https://klasma.github.io/Logging_2321/tillsyn/A 5388-2021 tillsynsbegäran.docx", "A 5388-2021")</f>
        <v/>
      </c>
      <c r="Y120">
        <f>HYPERLINK("https://klasma.github.io/Logging_2321/tillsynsmail/A 5388-2021 tillsynsbegäran mail.docx", "A 5388-2021")</f>
        <v/>
      </c>
      <c r="Z120">
        <f>HYPERLINK("https://klasma.github.io/Logging_2321/fåglar/A 5388-2021 prioriterade fågelarter.docx", "A 5388-2021")</f>
        <v/>
      </c>
    </row>
    <row r="121" ht="15" customHeight="1">
      <c r="A121" t="inlineStr">
        <is>
          <t>A 5418-2023</t>
        </is>
      </c>
      <c r="B121" s="1" t="n">
        <v>44957</v>
      </c>
      <c r="C121" s="1" t="n">
        <v>45974</v>
      </c>
      <c r="D121" t="inlineStr">
        <is>
          <t>JÄMTLANDS LÄN</t>
        </is>
      </c>
      <c r="E121" t="inlineStr">
        <is>
          <t>ÅRE</t>
        </is>
      </c>
      <c r="G121" t="n">
        <v>5</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5418-2023 artfynd.xlsx", "A 5418-2023")</f>
        <v/>
      </c>
      <c r="T121">
        <f>HYPERLINK("https://klasma.github.io/Logging_2321/kartor/A 5418-2023 karta.png", "A 5418-2023")</f>
        <v/>
      </c>
      <c r="V121">
        <f>HYPERLINK("https://klasma.github.io/Logging_2321/klagomål/A 5418-2023 FSC-klagomål.docx", "A 5418-2023")</f>
        <v/>
      </c>
      <c r="W121">
        <f>HYPERLINK("https://klasma.github.io/Logging_2321/klagomålsmail/A 5418-2023 FSC-klagomål mail.docx", "A 5418-2023")</f>
        <v/>
      </c>
      <c r="X121">
        <f>HYPERLINK("https://klasma.github.io/Logging_2321/tillsyn/A 5418-2023 tillsynsbegäran.docx", "A 5418-2023")</f>
        <v/>
      </c>
      <c r="Y121">
        <f>HYPERLINK("https://klasma.github.io/Logging_2321/tillsynsmail/A 5418-2023 tillsynsbegäran mail.docx", "A 5418-2023")</f>
        <v/>
      </c>
      <c r="Z121">
        <f>HYPERLINK("https://klasma.github.io/Logging_2321/fåglar/A 5418-2023 prioriterade fågelarter.docx", "A 5418-2023")</f>
        <v/>
      </c>
    </row>
    <row r="122" ht="15" customHeight="1">
      <c r="A122" t="inlineStr">
        <is>
          <t>A 54055-2023</t>
        </is>
      </c>
      <c r="B122" s="1" t="n">
        <v>45231</v>
      </c>
      <c r="C122" s="1" t="n">
        <v>45974</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23706-2023</t>
        </is>
      </c>
      <c r="B123" s="1" t="n">
        <v>45072</v>
      </c>
      <c r="C123" s="1" t="n">
        <v>45974</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22974-2022</t>
        </is>
      </c>
      <c r="B124" s="1" t="n">
        <v>44716</v>
      </c>
      <c r="C124" s="1" t="n">
        <v>45974</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17489-2024</t>
        </is>
      </c>
      <c r="B125" s="1" t="n">
        <v>45415</v>
      </c>
      <c r="C125" s="1" t="n">
        <v>45974</v>
      </c>
      <c r="D125" t="inlineStr">
        <is>
          <t>JÄMTLANDS LÄN</t>
        </is>
      </c>
      <c r="E125" t="inlineStr">
        <is>
          <t>ÅRE</t>
        </is>
      </c>
      <c r="G125" t="n">
        <v>12.9</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17489-2024 artfynd.xlsx", "A 17489-2024")</f>
        <v/>
      </c>
      <c r="T125">
        <f>HYPERLINK("https://klasma.github.io/Logging_2321/kartor/A 17489-2024 karta.png", "A 17489-2024")</f>
        <v/>
      </c>
      <c r="V125">
        <f>HYPERLINK("https://klasma.github.io/Logging_2321/klagomål/A 17489-2024 FSC-klagomål.docx", "A 17489-2024")</f>
        <v/>
      </c>
      <c r="W125">
        <f>HYPERLINK("https://klasma.github.io/Logging_2321/klagomålsmail/A 17489-2024 FSC-klagomål mail.docx", "A 17489-2024")</f>
        <v/>
      </c>
      <c r="X125">
        <f>HYPERLINK("https://klasma.github.io/Logging_2321/tillsyn/A 17489-2024 tillsynsbegäran.docx", "A 17489-2024")</f>
        <v/>
      </c>
      <c r="Y125">
        <f>HYPERLINK("https://klasma.github.io/Logging_2321/tillsynsmail/A 17489-2024 tillsynsbegäran mail.docx", "A 17489-2024")</f>
        <v/>
      </c>
      <c r="Z125">
        <f>HYPERLINK("https://klasma.github.io/Logging_2321/fåglar/A 17489-2024 prioriterade fågelarter.docx", "A 17489-2024")</f>
        <v/>
      </c>
    </row>
    <row r="126" ht="15" customHeight="1">
      <c r="A126" t="inlineStr">
        <is>
          <t>A 32114-2025</t>
        </is>
      </c>
      <c r="B126" s="1" t="n">
        <v>45835.48488425926</v>
      </c>
      <c r="C126" s="1" t="n">
        <v>45974</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36395-2025</t>
        </is>
      </c>
      <c r="B127" s="1" t="n">
        <v>45868.6211574074</v>
      </c>
      <c r="C127" s="1" t="n">
        <v>45974</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37204-2025</t>
        </is>
      </c>
      <c r="B128" s="1" t="n">
        <v>45875.69826388889</v>
      </c>
      <c r="C128" s="1" t="n">
        <v>45974</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45974</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18719-2024</t>
        </is>
      </c>
      <c r="B130" s="1" t="n">
        <v>45426</v>
      </c>
      <c r="C130" s="1" t="n">
        <v>45974</v>
      </c>
      <c r="D130" t="inlineStr">
        <is>
          <t>JÄMTLANDS LÄN</t>
        </is>
      </c>
      <c r="E130" t="inlineStr">
        <is>
          <t>ÅRE</t>
        </is>
      </c>
      <c r="F130" t="inlineStr">
        <is>
          <t>Övriga Aktiebolag</t>
        </is>
      </c>
      <c r="G130" t="n">
        <v>6.6</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18719-2024 artfynd.xlsx", "A 18719-2024")</f>
        <v/>
      </c>
      <c r="T130">
        <f>HYPERLINK("https://klasma.github.io/Logging_2321/kartor/A 18719-2024 karta.png", "A 18719-2024")</f>
        <v/>
      </c>
      <c r="V130">
        <f>HYPERLINK("https://klasma.github.io/Logging_2321/klagomål/A 18719-2024 FSC-klagomål.docx", "A 18719-2024")</f>
        <v/>
      </c>
      <c r="W130">
        <f>HYPERLINK("https://klasma.github.io/Logging_2321/klagomålsmail/A 18719-2024 FSC-klagomål mail.docx", "A 18719-2024")</f>
        <v/>
      </c>
      <c r="X130">
        <f>HYPERLINK("https://klasma.github.io/Logging_2321/tillsyn/A 18719-2024 tillsynsbegäran.docx", "A 18719-2024")</f>
        <v/>
      </c>
      <c r="Y130">
        <f>HYPERLINK("https://klasma.github.io/Logging_2321/tillsynsmail/A 18719-2024 tillsynsbegäran mail.docx", "A 18719-2024")</f>
        <v/>
      </c>
      <c r="Z130">
        <f>HYPERLINK("https://klasma.github.io/Logging_2321/fåglar/A 18719-2024 prioriterade fågelarter.docx", "A 18719-2024")</f>
        <v/>
      </c>
    </row>
    <row r="131" ht="15" customHeight="1">
      <c r="A131" t="inlineStr">
        <is>
          <t>A 47993-2025</t>
        </is>
      </c>
      <c r="B131" s="1" t="n">
        <v>45931</v>
      </c>
      <c r="C131" s="1" t="n">
        <v>45974</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54128-2023</t>
        </is>
      </c>
      <c r="B132" s="1" t="n">
        <v>45232</v>
      </c>
      <c r="C132" s="1" t="n">
        <v>45974</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23625-2024</t>
        </is>
      </c>
      <c r="B133" s="1" t="n">
        <v>45454</v>
      </c>
      <c r="C133" s="1" t="n">
        <v>45974</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64668-2021</t>
        </is>
      </c>
      <c r="B134" s="1" t="n">
        <v>44512</v>
      </c>
      <c r="C134" s="1" t="n">
        <v>45974</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64668-2021 artfynd.xlsx", "A 64668-2021")</f>
        <v/>
      </c>
      <c r="T134">
        <f>HYPERLINK("https://klasma.github.io/Logging_2321/kartor/A 64668-2021 karta.png", "A 64668-2021")</f>
        <v/>
      </c>
      <c r="V134">
        <f>HYPERLINK("https://klasma.github.io/Logging_2321/klagomål/A 64668-2021 FSC-klagomål.docx", "A 64668-2021")</f>
        <v/>
      </c>
      <c r="W134">
        <f>HYPERLINK("https://klasma.github.io/Logging_2321/klagomålsmail/A 64668-2021 FSC-klagomål mail.docx", "A 64668-2021")</f>
        <v/>
      </c>
      <c r="X134">
        <f>HYPERLINK("https://klasma.github.io/Logging_2321/tillsyn/A 64668-2021 tillsynsbegäran.docx", "A 64668-2021")</f>
        <v/>
      </c>
      <c r="Y134">
        <f>HYPERLINK("https://klasma.github.io/Logging_2321/tillsynsmail/A 64668-2021 tillsynsbegäran mail.docx", "A 64668-2021")</f>
        <v/>
      </c>
      <c r="Z134">
        <f>HYPERLINK("https://klasma.github.io/Logging_2321/fåglar/A 64668-2021 prioriterade fågelarter.docx", "A 64668-2021")</f>
        <v/>
      </c>
    </row>
    <row r="135" ht="15" customHeight="1">
      <c r="A135" t="inlineStr">
        <is>
          <t>A 32207-2022</t>
        </is>
      </c>
      <c r="B135" s="1" t="n">
        <v>44781</v>
      </c>
      <c r="C135" s="1" t="n">
        <v>45974</v>
      </c>
      <c r="D135" t="inlineStr">
        <is>
          <t>JÄMTLANDS LÄN</t>
        </is>
      </c>
      <c r="E135" t="inlineStr">
        <is>
          <t>ÅRE</t>
        </is>
      </c>
      <c r="G135" t="n">
        <v>5.5</v>
      </c>
      <c r="H135" t="n">
        <v>1</v>
      </c>
      <c r="I135" t="n">
        <v>2</v>
      </c>
      <c r="J135" t="n">
        <v>0</v>
      </c>
      <c r="K135" t="n">
        <v>0</v>
      </c>
      <c r="L135" t="n">
        <v>0</v>
      </c>
      <c r="M135" t="n">
        <v>0</v>
      </c>
      <c r="N135" t="n">
        <v>0</v>
      </c>
      <c r="O135" t="n">
        <v>0</v>
      </c>
      <c r="P135" t="n">
        <v>0</v>
      </c>
      <c r="Q135" t="n">
        <v>2</v>
      </c>
      <c r="R135" s="2" t="inlineStr">
        <is>
          <t>Korallrot
Ögonpyrola</t>
        </is>
      </c>
      <c r="S135">
        <f>HYPERLINK("https://klasma.github.io/Logging_2321/artfynd/A 32207-2022 artfynd.xlsx", "A 32207-2022")</f>
        <v/>
      </c>
      <c r="T135">
        <f>HYPERLINK("https://klasma.github.io/Logging_2321/kartor/A 32207-2022 karta.png", "A 32207-2022")</f>
        <v/>
      </c>
      <c r="V135">
        <f>HYPERLINK("https://klasma.github.io/Logging_2321/klagomål/A 32207-2022 FSC-klagomål.docx", "A 32207-2022")</f>
        <v/>
      </c>
      <c r="W135">
        <f>HYPERLINK("https://klasma.github.io/Logging_2321/klagomålsmail/A 32207-2022 FSC-klagomål mail.docx", "A 32207-2022")</f>
        <v/>
      </c>
      <c r="X135">
        <f>HYPERLINK("https://klasma.github.io/Logging_2321/tillsyn/A 32207-2022 tillsynsbegäran.docx", "A 32207-2022")</f>
        <v/>
      </c>
      <c r="Y135">
        <f>HYPERLINK("https://klasma.github.io/Logging_2321/tillsynsmail/A 32207-2022 tillsynsbegäran mail.docx", "A 32207-2022")</f>
        <v/>
      </c>
    </row>
    <row r="136" ht="15" customHeight="1">
      <c r="A136" t="inlineStr">
        <is>
          <t>A 5531-2023</t>
        </is>
      </c>
      <c r="B136" s="1" t="n">
        <v>44957</v>
      </c>
      <c r="C136" s="1" t="n">
        <v>45974</v>
      </c>
      <c r="D136" t="inlineStr">
        <is>
          <t>JÄMTLANDS LÄN</t>
        </is>
      </c>
      <c r="E136" t="inlineStr">
        <is>
          <t>ÅRE</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5531-2023 artfynd.xlsx", "A 5531-2023")</f>
        <v/>
      </c>
      <c r="T136">
        <f>HYPERLINK("https://klasma.github.io/Logging_2321/kartor/A 5531-2023 karta.png", "A 5531-2023")</f>
        <v/>
      </c>
      <c r="V136">
        <f>HYPERLINK("https://klasma.github.io/Logging_2321/klagomål/A 5531-2023 FSC-klagomål.docx", "A 5531-2023")</f>
        <v/>
      </c>
      <c r="W136">
        <f>HYPERLINK("https://klasma.github.io/Logging_2321/klagomålsmail/A 5531-2023 FSC-klagomål mail.docx", "A 5531-2023")</f>
        <v/>
      </c>
      <c r="X136">
        <f>HYPERLINK("https://klasma.github.io/Logging_2321/tillsyn/A 5531-2023 tillsynsbegäran.docx", "A 5531-2023")</f>
        <v/>
      </c>
      <c r="Y136">
        <f>HYPERLINK("https://klasma.github.io/Logging_2321/tillsynsmail/A 5531-2023 tillsynsbegäran mail.docx", "A 5531-2023")</f>
        <v/>
      </c>
      <c r="Z136">
        <f>HYPERLINK("https://klasma.github.io/Logging_2321/fåglar/A 5531-2023 prioriterade fågelarter.docx", "A 5531-2023")</f>
        <v/>
      </c>
    </row>
    <row r="137" ht="15" customHeight="1">
      <c r="A137" t="inlineStr">
        <is>
          <t>A 20501-2021</t>
        </is>
      </c>
      <c r="B137" s="1" t="n">
        <v>44315.68802083333</v>
      </c>
      <c r="C137" s="1" t="n">
        <v>45974</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45974</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58117-2021</t>
        </is>
      </c>
      <c r="B139" s="1" t="n">
        <v>44487</v>
      </c>
      <c r="C139" s="1" t="n">
        <v>45974</v>
      </c>
      <c r="D139" t="inlineStr">
        <is>
          <t>JÄMTLANDS LÄN</t>
        </is>
      </c>
      <c r="E139" t="inlineStr">
        <is>
          <t>ÅRE</t>
        </is>
      </c>
      <c r="G139" t="n">
        <v>40.9</v>
      </c>
      <c r="H139" t="n">
        <v>0</v>
      </c>
      <c r="I139" t="n">
        <v>1</v>
      </c>
      <c r="J139" t="n">
        <v>0</v>
      </c>
      <c r="K139" t="n">
        <v>0</v>
      </c>
      <c r="L139" t="n">
        <v>0</v>
      </c>
      <c r="M139" t="n">
        <v>0</v>
      </c>
      <c r="N139" t="n">
        <v>0</v>
      </c>
      <c r="O139" t="n">
        <v>0</v>
      </c>
      <c r="P139" t="n">
        <v>0</v>
      </c>
      <c r="Q139" t="n">
        <v>1</v>
      </c>
      <c r="R139" s="2" t="inlineStr">
        <is>
          <t>Stuplav</t>
        </is>
      </c>
      <c r="S139">
        <f>HYPERLINK("https://klasma.github.io/Logging_2321/artfynd/A 58117-2021 artfynd.xlsx", "A 58117-2021")</f>
        <v/>
      </c>
      <c r="T139">
        <f>HYPERLINK("https://klasma.github.io/Logging_2321/kartor/A 58117-2021 karta.png", "A 58117-2021")</f>
        <v/>
      </c>
      <c r="V139">
        <f>HYPERLINK("https://klasma.github.io/Logging_2321/klagomål/A 58117-2021 FSC-klagomål.docx", "A 58117-2021")</f>
        <v/>
      </c>
      <c r="W139">
        <f>HYPERLINK("https://klasma.github.io/Logging_2321/klagomålsmail/A 58117-2021 FSC-klagomål mail.docx", "A 58117-2021")</f>
        <v/>
      </c>
      <c r="X139">
        <f>HYPERLINK("https://klasma.github.io/Logging_2321/tillsyn/A 58117-2021 tillsynsbegäran.docx", "A 58117-2021")</f>
        <v/>
      </c>
      <c r="Y139">
        <f>HYPERLINK("https://klasma.github.io/Logging_2321/tillsynsmail/A 58117-2021 tillsynsbegäran mail.docx", "A 58117-2021")</f>
        <v/>
      </c>
    </row>
    <row r="140" ht="15" customHeight="1">
      <c r="A140" t="inlineStr">
        <is>
          <t>A 58239-2021</t>
        </is>
      </c>
      <c r="B140" s="1" t="n">
        <v>44487</v>
      </c>
      <c r="C140" s="1" t="n">
        <v>45974</v>
      </c>
      <c r="D140" t="inlineStr">
        <is>
          <t>JÄMTLANDS LÄN</t>
        </is>
      </c>
      <c r="E140" t="inlineStr">
        <is>
          <t>ÅRE</t>
        </is>
      </c>
      <c r="G140" t="n">
        <v>25</v>
      </c>
      <c r="H140" t="n">
        <v>0</v>
      </c>
      <c r="I140" t="n">
        <v>0</v>
      </c>
      <c r="J140" t="n">
        <v>0</v>
      </c>
      <c r="K140" t="n">
        <v>1</v>
      </c>
      <c r="L140" t="n">
        <v>0</v>
      </c>
      <c r="M140" t="n">
        <v>0</v>
      </c>
      <c r="N140" t="n">
        <v>0</v>
      </c>
      <c r="O140" t="n">
        <v>1</v>
      </c>
      <c r="P140" t="n">
        <v>1</v>
      </c>
      <c r="Q140" t="n">
        <v>1</v>
      </c>
      <c r="R140" s="2" t="inlineStr">
        <is>
          <t>Rynkskinn</t>
        </is>
      </c>
      <c r="S140">
        <f>HYPERLINK("https://klasma.github.io/Logging_2321/artfynd/A 58239-2021 artfynd.xlsx", "A 58239-2021")</f>
        <v/>
      </c>
      <c r="T140">
        <f>HYPERLINK("https://klasma.github.io/Logging_2321/kartor/A 58239-2021 karta.png", "A 58239-2021")</f>
        <v/>
      </c>
      <c r="V140">
        <f>HYPERLINK("https://klasma.github.io/Logging_2321/klagomål/A 58239-2021 FSC-klagomål.docx", "A 58239-2021")</f>
        <v/>
      </c>
      <c r="W140">
        <f>HYPERLINK("https://klasma.github.io/Logging_2321/klagomålsmail/A 58239-2021 FSC-klagomål mail.docx", "A 58239-2021")</f>
        <v/>
      </c>
      <c r="X140">
        <f>HYPERLINK("https://klasma.github.io/Logging_2321/tillsyn/A 58239-2021 tillsynsbegäran.docx", "A 58239-2021")</f>
        <v/>
      </c>
      <c r="Y140">
        <f>HYPERLINK("https://klasma.github.io/Logging_2321/tillsynsmail/A 58239-2021 tillsynsbegäran mail.docx", "A 58239-2021")</f>
        <v/>
      </c>
    </row>
    <row r="141" ht="15" customHeight="1">
      <c r="A141" t="inlineStr">
        <is>
          <t>A 11781-2021</t>
        </is>
      </c>
      <c r="B141" s="1" t="n">
        <v>44265</v>
      </c>
      <c r="C141" s="1" t="n">
        <v>45974</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45974</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45974</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45974</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74392-2021</t>
        </is>
      </c>
      <c r="B145" s="1" t="n">
        <v>44559</v>
      </c>
      <c r="C145" s="1" t="n">
        <v>45974</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55194-2022</t>
        </is>
      </c>
      <c r="B146" s="1" t="n">
        <v>44886</v>
      </c>
      <c r="C146" s="1" t="n">
        <v>45974</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17636-2024</t>
        </is>
      </c>
      <c r="B147" s="1" t="n">
        <v>45418</v>
      </c>
      <c r="C147" s="1" t="n">
        <v>45974</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12970-2021</t>
        </is>
      </c>
      <c r="B148" s="1" t="n">
        <v>44271</v>
      </c>
      <c r="C148" s="1" t="n">
        <v>45974</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10632-2023</t>
        </is>
      </c>
      <c r="B149" s="1" t="n">
        <v>44984</v>
      </c>
      <c r="C149" s="1" t="n">
        <v>45974</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30032-2024</t>
        </is>
      </c>
      <c r="B150" s="1" t="n">
        <v>45485</v>
      </c>
      <c r="C150" s="1" t="n">
        <v>45974</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30032-2024 artfynd.xlsx", "A 30032-2024")</f>
        <v/>
      </c>
      <c r="T150">
        <f>HYPERLINK("https://klasma.github.io/Logging_2321/kartor/A 30032-2024 karta.png", "A 30032-2024")</f>
        <v/>
      </c>
      <c r="V150">
        <f>HYPERLINK("https://klasma.github.io/Logging_2321/klagomål/A 30032-2024 FSC-klagomål.docx", "A 30032-2024")</f>
        <v/>
      </c>
      <c r="W150">
        <f>HYPERLINK("https://klasma.github.io/Logging_2321/klagomålsmail/A 30032-2024 FSC-klagomål mail.docx", "A 30032-2024")</f>
        <v/>
      </c>
      <c r="X150">
        <f>HYPERLINK("https://klasma.github.io/Logging_2321/tillsyn/A 30032-2024 tillsynsbegäran.docx", "A 30032-2024")</f>
        <v/>
      </c>
      <c r="Y150">
        <f>HYPERLINK("https://klasma.github.io/Logging_2321/tillsynsmail/A 30032-2024 tillsynsbegäran mail.docx", "A 30032-2024")</f>
        <v/>
      </c>
    </row>
    <row r="151" ht="15" customHeight="1">
      <c r="A151" t="inlineStr">
        <is>
          <t>A 8131-2024</t>
        </is>
      </c>
      <c r="B151" s="1" t="n">
        <v>45351</v>
      </c>
      <c r="C151" s="1" t="n">
        <v>45974</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12242-2022</t>
        </is>
      </c>
      <c r="B152" s="1" t="n">
        <v>44637</v>
      </c>
      <c r="C152" s="1" t="n">
        <v>45974</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61471-2023</t>
        </is>
      </c>
      <c r="B153" s="1" t="n">
        <v>45264</v>
      </c>
      <c r="C153" s="1" t="n">
        <v>45974</v>
      </c>
      <c r="D153" t="inlineStr">
        <is>
          <t>JÄMTLANDS LÄN</t>
        </is>
      </c>
      <c r="E153" t="inlineStr">
        <is>
          <t>ÅRE</t>
        </is>
      </c>
      <c r="G153" t="n">
        <v>1</v>
      </c>
      <c r="H153" t="n">
        <v>0</v>
      </c>
      <c r="I153" t="n">
        <v>0</v>
      </c>
      <c r="J153" t="n">
        <v>1</v>
      </c>
      <c r="K153" t="n">
        <v>0</v>
      </c>
      <c r="L153" t="n">
        <v>0</v>
      </c>
      <c r="M153" t="n">
        <v>0</v>
      </c>
      <c r="N153" t="n">
        <v>0</v>
      </c>
      <c r="O153" t="n">
        <v>1</v>
      </c>
      <c r="P153" t="n">
        <v>0</v>
      </c>
      <c r="Q153" t="n">
        <v>1</v>
      </c>
      <c r="R153" s="2" t="inlineStr">
        <is>
          <t>Skrovellav</t>
        </is>
      </c>
      <c r="S153">
        <f>HYPERLINK("https://klasma.github.io/Logging_2321/artfynd/A 61471-2023 artfynd.xlsx", "A 61471-2023")</f>
        <v/>
      </c>
      <c r="T153">
        <f>HYPERLINK("https://klasma.github.io/Logging_2321/kartor/A 61471-2023 karta.png", "A 61471-2023")</f>
        <v/>
      </c>
      <c r="V153">
        <f>HYPERLINK("https://klasma.github.io/Logging_2321/klagomål/A 61471-2023 FSC-klagomål.docx", "A 61471-2023")</f>
        <v/>
      </c>
      <c r="W153">
        <f>HYPERLINK("https://klasma.github.io/Logging_2321/klagomålsmail/A 61471-2023 FSC-klagomål mail.docx", "A 61471-2023")</f>
        <v/>
      </c>
      <c r="X153">
        <f>HYPERLINK("https://klasma.github.io/Logging_2321/tillsyn/A 61471-2023 tillsynsbegäran.docx", "A 61471-2023")</f>
        <v/>
      </c>
      <c r="Y153">
        <f>HYPERLINK("https://klasma.github.io/Logging_2321/tillsynsmail/A 61471-2023 tillsynsbegäran mail.docx", "A 61471-2023")</f>
        <v/>
      </c>
    </row>
    <row r="154" ht="15" customHeight="1">
      <c r="A154" t="inlineStr">
        <is>
          <t>A 18543-2021</t>
        </is>
      </c>
      <c r="B154" s="1" t="n">
        <v>44306</v>
      </c>
      <c r="C154" s="1" t="n">
        <v>45974</v>
      </c>
      <c r="D154" t="inlineStr">
        <is>
          <t>JÄMTLANDS LÄN</t>
        </is>
      </c>
      <c r="E154" t="inlineStr">
        <is>
          <t>ÅRE</t>
        </is>
      </c>
      <c r="G154" t="n">
        <v>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18543-2021 artfynd.xlsx", "A 18543-2021")</f>
        <v/>
      </c>
      <c r="T154">
        <f>HYPERLINK("https://klasma.github.io/Logging_2321/kartor/A 18543-2021 karta.png", "A 18543-2021")</f>
        <v/>
      </c>
      <c r="V154">
        <f>HYPERLINK("https://klasma.github.io/Logging_2321/klagomål/A 18543-2021 FSC-klagomål.docx", "A 18543-2021")</f>
        <v/>
      </c>
      <c r="W154">
        <f>HYPERLINK("https://klasma.github.io/Logging_2321/klagomålsmail/A 18543-2021 FSC-klagomål mail.docx", "A 18543-2021")</f>
        <v/>
      </c>
      <c r="X154">
        <f>HYPERLINK("https://klasma.github.io/Logging_2321/tillsyn/A 18543-2021 tillsynsbegäran.docx", "A 18543-2021")</f>
        <v/>
      </c>
      <c r="Y154">
        <f>HYPERLINK("https://klasma.github.io/Logging_2321/tillsynsmail/A 18543-2021 tillsynsbegäran mail.docx", "A 18543-2021")</f>
        <v/>
      </c>
      <c r="Z154">
        <f>HYPERLINK("https://klasma.github.io/Logging_2321/fåglar/A 18543-2021 prioriterade fågelarter.docx", "A 18543-2021")</f>
        <v/>
      </c>
    </row>
    <row r="155" ht="15" customHeight="1">
      <c r="A155" t="inlineStr">
        <is>
          <t>A 23818-2025</t>
        </is>
      </c>
      <c r="B155" s="1" t="n">
        <v>45793.58469907408</v>
      </c>
      <c r="C155" s="1" t="n">
        <v>45974</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45144-2024</t>
        </is>
      </c>
      <c r="B156" s="1" t="n">
        <v>45575.63767361111</v>
      </c>
      <c r="C156" s="1" t="n">
        <v>45974</v>
      </c>
      <c r="D156" t="inlineStr">
        <is>
          <t>JÄMTLANDS LÄN</t>
        </is>
      </c>
      <c r="E156" t="inlineStr">
        <is>
          <t>ÅRE</t>
        </is>
      </c>
      <c r="F156" t="inlineStr">
        <is>
          <t>Övriga Aktiebolag</t>
        </is>
      </c>
      <c r="G156" t="n">
        <v>14.7</v>
      </c>
      <c r="H156" t="n">
        <v>0</v>
      </c>
      <c r="I156" t="n">
        <v>0</v>
      </c>
      <c r="J156" t="n">
        <v>1</v>
      </c>
      <c r="K156" t="n">
        <v>0</v>
      </c>
      <c r="L156" t="n">
        <v>0</v>
      </c>
      <c r="M156" t="n">
        <v>0</v>
      </c>
      <c r="N156" t="n">
        <v>0</v>
      </c>
      <c r="O156" t="n">
        <v>1</v>
      </c>
      <c r="P156" t="n">
        <v>0</v>
      </c>
      <c r="Q156" t="n">
        <v>1</v>
      </c>
      <c r="R156" s="2" t="inlineStr">
        <is>
          <t>Garnlav</t>
        </is>
      </c>
      <c r="S156">
        <f>HYPERLINK("https://klasma.github.io/Logging_2321/artfynd/A 45144-2024 artfynd.xlsx", "A 45144-2024")</f>
        <v/>
      </c>
      <c r="T156">
        <f>HYPERLINK("https://klasma.github.io/Logging_2321/kartor/A 45144-2024 karta.png", "A 45144-2024")</f>
        <v/>
      </c>
      <c r="V156">
        <f>HYPERLINK("https://klasma.github.io/Logging_2321/klagomål/A 45144-2024 FSC-klagomål.docx", "A 45144-2024")</f>
        <v/>
      </c>
      <c r="W156">
        <f>HYPERLINK("https://klasma.github.io/Logging_2321/klagomålsmail/A 45144-2024 FSC-klagomål mail.docx", "A 45144-2024")</f>
        <v/>
      </c>
      <c r="X156">
        <f>HYPERLINK("https://klasma.github.io/Logging_2321/tillsyn/A 45144-2024 tillsynsbegäran.docx", "A 45144-2024")</f>
        <v/>
      </c>
      <c r="Y156">
        <f>HYPERLINK("https://klasma.github.io/Logging_2321/tillsynsmail/A 45144-2024 tillsynsbegäran mail.docx", "A 45144-2024")</f>
        <v/>
      </c>
    </row>
    <row r="157" ht="15" customHeight="1">
      <c r="A157" t="inlineStr">
        <is>
          <t>A 52746-2024</t>
        </is>
      </c>
      <c r="B157" s="1" t="n">
        <v>45610.4809375</v>
      </c>
      <c r="C157" s="1" t="n">
        <v>45974</v>
      </c>
      <c r="D157" t="inlineStr">
        <is>
          <t>JÄMTLANDS LÄN</t>
        </is>
      </c>
      <c r="E157" t="inlineStr">
        <is>
          <t>ÅRE</t>
        </is>
      </c>
      <c r="G157" t="n">
        <v>1.4</v>
      </c>
      <c r="H157" t="n">
        <v>1</v>
      </c>
      <c r="I157" t="n">
        <v>0</v>
      </c>
      <c r="J157" t="n">
        <v>0</v>
      </c>
      <c r="K157" t="n">
        <v>0</v>
      </c>
      <c r="L157" t="n">
        <v>0</v>
      </c>
      <c r="M157" t="n">
        <v>0</v>
      </c>
      <c r="N157" t="n">
        <v>0</v>
      </c>
      <c r="O157" t="n">
        <v>0</v>
      </c>
      <c r="P157" t="n">
        <v>0</v>
      </c>
      <c r="Q157" t="n">
        <v>1</v>
      </c>
      <c r="R157" s="2" t="inlineStr">
        <is>
          <t>Blåsippa</t>
        </is>
      </c>
      <c r="S157">
        <f>HYPERLINK("https://klasma.github.io/Logging_2321/artfynd/A 52746-2024 artfynd.xlsx", "A 52746-2024")</f>
        <v/>
      </c>
      <c r="T157">
        <f>HYPERLINK("https://klasma.github.io/Logging_2321/kartor/A 52746-2024 karta.png", "A 52746-2024")</f>
        <v/>
      </c>
      <c r="V157">
        <f>HYPERLINK("https://klasma.github.io/Logging_2321/klagomål/A 52746-2024 FSC-klagomål.docx", "A 52746-2024")</f>
        <v/>
      </c>
      <c r="W157">
        <f>HYPERLINK("https://klasma.github.io/Logging_2321/klagomålsmail/A 52746-2024 FSC-klagomål mail.docx", "A 52746-2024")</f>
        <v/>
      </c>
      <c r="X157">
        <f>HYPERLINK("https://klasma.github.io/Logging_2321/tillsyn/A 52746-2024 tillsynsbegäran.docx", "A 52746-2024")</f>
        <v/>
      </c>
      <c r="Y157">
        <f>HYPERLINK("https://klasma.github.io/Logging_2321/tillsynsmail/A 52746-2024 tillsynsbegäran mail.docx", "A 52746-2024")</f>
        <v/>
      </c>
    </row>
    <row r="158" ht="15" customHeight="1">
      <c r="A158" t="inlineStr">
        <is>
          <t>A 37082-2021</t>
        </is>
      </c>
      <c r="B158" s="1" t="n">
        <v>44395</v>
      </c>
      <c r="C158" s="1" t="n">
        <v>45974</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11781-2021</t>
        </is>
      </c>
      <c r="B159" s="1" t="n">
        <v>44265</v>
      </c>
      <c r="C159" s="1" t="n">
        <v>45974</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53462-2024</t>
        </is>
      </c>
      <c r="B160" s="1" t="n">
        <v>45614.55241898148</v>
      </c>
      <c r="C160" s="1" t="n">
        <v>45974</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14245-2025</t>
        </is>
      </c>
      <c r="B161" s="1" t="n">
        <v>45740</v>
      </c>
      <c r="C161" s="1" t="n">
        <v>45974</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14245-2025 artfynd.xlsx", "A 14245-2025")</f>
        <v/>
      </c>
      <c r="T161">
        <f>HYPERLINK("https://klasma.github.io/Logging_2321/kartor/A 14245-2025 karta.png", "A 14245-2025")</f>
        <v/>
      </c>
      <c r="V161">
        <f>HYPERLINK("https://klasma.github.io/Logging_2321/klagomål/A 14245-2025 FSC-klagomål.docx", "A 14245-2025")</f>
        <v/>
      </c>
      <c r="W161">
        <f>HYPERLINK("https://klasma.github.io/Logging_2321/klagomålsmail/A 14245-2025 FSC-klagomål mail.docx", "A 14245-2025")</f>
        <v/>
      </c>
      <c r="X161">
        <f>HYPERLINK("https://klasma.github.io/Logging_2321/tillsyn/A 14245-2025 tillsynsbegäran.docx", "A 14245-2025")</f>
        <v/>
      </c>
      <c r="Y161">
        <f>HYPERLINK("https://klasma.github.io/Logging_2321/tillsynsmail/A 14245-2025 tillsynsbegäran mail.docx", "A 14245-2025")</f>
        <v/>
      </c>
      <c r="Z161">
        <f>HYPERLINK("https://klasma.github.io/Logging_2321/fåglar/A 14245-2025 prioriterade fågelarter.docx", "A 14245-2025")</f>
        <v/>
      </c>
    </row>
    <row r="162" ht="15" customHeight="1">
      <c r="A162" t="inlineStr">
        <is>
          <t>A 21939-2025</t>
        </is>
      </c>
      <c r="B162" s="1" t="n">
        <v>45784.58445601852</v>
      </c>
      <c r="C162" s="1" t="n">
        <v>45974</v>
      </c>
      <c r="D162" t="inlineStr">
        <is>
          <t>JÄMTLANDS LÄN</t>
        </is>
      </c>
      <c r="E162" t="inlineStr">
        <is>
          <t>ÅRE</t>
        </is>
      </c>
      <c r="G162" t="n">
        <v>6.5</v>
      </c>
      <c r="H162" t="n">
        <v>0</v>
      </c>
      <c r="I162" t="n">
        <v>1</v>
      </c>
      <c r="J162" t="n">
        <v>0</v>
      </c>
      <c r="K162" t="n">
        <v>0</v>
      </c>
      <c r="L162" t="n">
        <v>0</v>
      </c>
      <c r="M162" t="n">
        <v>0</v>
      </c>
      <c r="N162" t="n">
        <v>0</v>
      </c>
      <c r="O162" t="n">
        <v>0</v>
      </c>
      <c r="P162" t="n">
        <v>0</v>
      </c>
      <c r="Q162" t="n">
        <v>1</v>
      </c>
      <c r="R162" s="2" t="inlineStr">
        <is>
          <t>Finbräken</t>
        </is>
      </c>
      <c r="S162">
        <f>HYPERLINK("https://klasma.github.io/Logging_2321/artfynd/A 21939-2025 artfynd.xlsx", "A 21939-2025")</f>
        <v/>
      </c>
      <c r="T162">
        <f>HYPERLINK("https://klasma.github.io/Logging_2321/kartor/A 21939-2025 karta.png", "A 21939-2025")</f>
        <v/>
      </c>
      <c r="V162">
        <f>HYPERLINK("https://klasma.github.io/Logging_2321/klagomål/A 21939-2025 FSC-klagomål.docx", "A 21939-2025")</f>
        <v/>
      </c>
      <c r="W162">
        <f>HYPERLINK("https://klasma.github.io/Logging_2321/klagomålsmail/A 21939-2025 FSC-klagomål mail.docx", "A 21939-2025")</f>
        <v/>
      </c>
      <c r="X162">
        <f>HYPERLINK("https://klasma.github.io/Logging_2321/tillsyn/A 21939-2025 tillsynsbegäran.docx", "A 21939-2025")</f>
        <v/>
      </c>
      <c r="Y162">
        <f>HYPERLINK("https://klasma.github.io/Logging_2321/tillsynsmail/A 21939-2025 tillsynsbegäran mail.docx", "A 21939-2025")</f>
        <v/>
      </c>
    </row>
    <row r="163" ht="15" customHeight="1">
      <c r="A163" t="inlineStr">
        <is>
          <t>A 2422-2021</t>
        </is>
      </c>
      <c r="B163" s="1" t="n">
        <v>44214</v>
      </c>
      <c r="C163" s="1" t="n">
        <v>45974</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17692-2022</t>
        </is>
      </c>
      <c r="B164" s="1" t="n">
        <v>44680</v>
      </c>
      <c r="C164" s="1" t="n">
        <v>45974</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58226-2021</t>
        </is>
      </c>
      <c r="B165" s="1" t="n">
        <v>44487</v>
      </c>
      <c r="C165" s="1" t="n">
        <v>45974</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50321-2024</t>
        </is>
      </c>
      <c r="B166" s="1" t="n">
        <v>45600</v>
      </c>
      <c r="C166" s="1" t="n">
        <v>45974</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5611-2023</t>
        </is>
      </c>
      <c r="B167" s="1" t="n">
        <v>44958</v>
      </c>
      <c r="C167" s="1" t="n">
        <v>45974</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4937-2025</t>
        </is>
      </c>
      <c r="B168" s="1" t="n">
        <v>45688</v>
      </c>
      <c r="C168" s="1" t="n">
        <v>45974</v>
      </c>
      <c r="D168" t="inlineStr">
        <is>
          <t>JÄMTLANDS LÄN</t>
        </is>
      </c>
      <c r="E168" t="inlineStr">
        <is>
          <t>ÅRE</t>
        </is>
      </c>
      <c r="G168" t="n">
        <v>1.8</v>
      </c>
      <c r="H168" t="n">
        <v>0</v>
      </c>
      <c r="I168" t="n">
        <v>0</v>
      </c>
      <c r="J168" t="n">
        <v>1</v>
      </c>
      <c r="K168" t="n">
        <v>0</v>
      </c>
      <c r="L168" t="n">
        <v>0</v>
      </c>
      <c r="M168" t="n">
        <v>0</v>
      </c>
      <c r="N168" t="n">
        <v>0</v>
      </c>
      <c r="O168" t="n">
        <v>1</v>
      </c>
      <c r="P168" t="n">
        <v>0</v>
      </c>
      <c r="Q168" t="n">
        <v>1</v>
      </c>
      <c r="R168" s="2" t="inlineStr">
        <is>
          <t>Granticka</t>
        </is>
      </c>
      <c r="S168">
        <f>HYPERLINK("https://klasma.github.io/Logging_2321/artfynd/A 4937-2025 artfynd.xlsx", "A 4937-2025")</f>
        <v/>
      </c>
      <c r="T168">
        <f>HYPERLINK("https://klasma.github.io/Logging_2321/kartor/A 4937-2025 karta.png", "A 4937-2025")</f>
        <v/>
      </c>
      <c r="V168">
        <f>HYPERLINK("https://klasma.github.io/Logging_2321/klagomål/A 4937-2025 FSC-klagomål.docx", "A 4937-2025")</f>
        <v/>
      </c>
      <c r="W168">
        <f>HYPERLINK("https://klasma.github.io/Logging_2321/klagomålsmail/A 4937-2025 FSC-klagomål mail.docx", "A 4937-2025")</f>
        <v/>
      </c>
      <c r="X168">
        <f>HYPERLINK("https://klasma.github.io/Logging_2321/tillsyn/A 4937-2025 tillsynsbegäran.docx", "A 4937-2025")</f>
        <v/>
      </c>
      <c r="Y168">
        <f>HYPERLINK("https://klasma.github.io/Logging_2321/tillsynsmail/A 4937-2025 tillsynsbegäran mail.docx", "A 4937-2025")</f>
        <v/>
      </c>
    </row>
    <row r="169" ht="15" customHeight="1">
      <c r="A169" t="inlineStr">
        <is>
          <t>A 32216-2022</t>
        </is>
      </c>
      <c r="B169" s="1" t="n">
        <v>44781</v>
      </c>
      <c r="C169" s="1" t="n">
        <v>45974</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5480-2023</t>
        </is>
      </c>
      <c r="B170" s="1" t="n">
        <v>44957</v>
      </c>
      <c r="C170" s="1" t="n">
        <v>45974</v>
      </c>
      <c r="D170" t="inlineStr">
        <is>
          <t>JÄMTLANDS LÄN</t>
        </is>
      </c>
      <c r="E170" t="inlineStr">
        <is>
          <t>ÅRE</t>
        </is>
      </c>
      <c r="G170" t="n">
        <v>3.3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5480-2023 artfynd.xlsx", "A 5480-2023")</f>
        <v/>
      </c>
      <c r="T170">
        <f>HYPERLINK("https://klasma.github.io/Logging_2321/kartor/A 5480-2023 karta.png", "A 5480-2023")</f>
        <v/>
      </c>
      <c r="V170">
        <f>HYPERLINK("https://klasma.github.io/Logging_2321/klagomål/A 5480-2023 FSC-klagomål.docx", "A 5480-2023")</f>
        <v/>
      </c>
      <c r="W170">
        <f>HYPERLINK("https://klasma.github.io/Logging_2321/klagomålsmail/A 5480-2023 FSC-klagomål mail.docx", "A 5480-2023")</f>
        <v/>
      </c>
      <c r="X170">
        <f>HYPERLINK("https://klasma.github.io/Logging_2321/tillsyn/A 5480-2023 tillsynsbegäran.docx", "A 5480-2023")</f>
        <v/>
      </c>
      <c r="Y170">
        <f>HYPERLINK("https://klasma.github.io/Logging_2321/tillsynsmail/A 5480-2023 tillsynsbegäran mail.docx", "A 5480-2023")</f>
        <v/>
      </c>
      <c r="Z170">
        <f>HYPERLINK("https://klasma.github.io/Logging_2321/fåglar/A 5480-2023 prioriterade fågelarter.docx", "A 5480-2023")</f>
        <v/>
      </c>
    </row>
    <row r="171" ht="15" customHeight="1">
      <c r="A171" t="inlineStr">
        <is>
          <t>A 23556-2021</t>
        </is>
      </c>
      <c r="B171" s="1" t="n">
        <v>44334</v>
      </c>
      <c r="C171" s="1" t="n">
        <v>45974</v>
      </c>
      <c r="D171" t="inlineStr">
        <is>
          <t>JÄMTLANDS LÄN</t>
        </is>
      </c>
      <c r="E171" t="inlineStr">
        <is>
          <t>ÅRE</t>
        </is>
      </c>
      <c r="G171" t="n">
        <v>11.1</v>
      </c>
      <c r="H171" t="n">
        <v>1</v>
      </c>
      <c r="I171" t="n">
        <v>1</v>
      </c>
      <c r="J171" t="n">
        <v>0</v>
      </c>
      <c r="K171" t="n">
        <v>0</v>
      </c>
      <c r="L171" t="n">
        <v>0</v>
      </c>
      <c r="M171" t="n">
        <v>0</v>
      </c>
      <c r="N171" t="n">
        <v>0</v>
      </c>
      <c r="O171" t="n">
        <v>0</v>
      </c>
      <c r="P171" t="n">
        <v>0</v>
      </c>
      <c r="Q171" t="n">
        <v>1</v>
      </c>
      <c r="R171" s="2" t="inlineStr">
        <is>
          <t>Tvåblad</t>
        </is>
      </c>
      <c r="S171">
        <f>HYPERLINK("https://klasma.github.io/Logging_2321/artfynd/A 23556-2021 artfynd.xlsx", "A 23556-2021")</f>
        <v/>
      </c>
      <c r="T171">
        <f>HYPERLINK("https://klasma.github.io/Logging_2321/kartor/A 23556-2021 karta.png", "A 23556-2021")</f>
        <v/>
      </c>
      <c r="V171">
        <f>HYPERLINK("https://klasma.github.io/Logging_2321/klagomål/A 23556-2021 FSC-klagomål.docx", "A 23556-2021")</f>
        <v/>
      </c>
      <c r="W171">
        <f>HYPERLINK("https://klasma.github.io/Logging_2321/klagomålsmail/A 23556-2021 FSC-klagomål mail.docx", "A 23556-2021")</f>
        <v/>
      </c>
      <c r="X171">
        <f>HYPERLINK("https://klasma.github.io/Logging_2321/tillsyn/A 23556-2021 tillsynsbegäran.docx", "A 23556-2021")</f>
        <v/>
      </c>
      <c r="Y171">
        <f>HYPERLINK("https://klasma.github.io/Logging_2321/tillsynsmail/A 23556-2021 tillsynsbegäran mail.docx", "A 23556-2021")</f>
        <v/>
      </c>
    </row>
    <row r="172" ht="15" customHeight="1">
      <c r="A172" t="inlineStr">
        <is>
          <t>A 15909-2025</t>
        </is>
      </c>
      <c r="B172" s="1" t="n">
        <v>45749</v>
      </c>
      <c r="C172" s="1" t="n">
        <v>45974</v>
      </c>
      <c r="D172" t="inlineStr">
        <is>
          <t>JÄMTLANDS LÄN</t>
        </is>
      </c>
      <c r="E172" t="inlineStr">
        <is>
          <t>ÅRE</t>
        </is>
      </c>
      <c r="G172" t="n">
        <v>23.8</v>
      </c>
      <c r="H172" t="n">
        <v>0</v>
      </c>
      <c r="I172" t="n">
        <v>0</v>
      </c>
      <c r="J172" t="n">
        <v>1</v>
      </c>
      <c r="K172" t="n">
        <v>0</v>
      </c>
      <c r="L172" t="n">
        <v>0</v>
      </c>
      <c r="M172" t="n">
        <v>0</v>
      </c>
      <c r="N172" t="n">
        <v>0</v>
      </c>
      <c r="O172" t="n">
        <v>1</v>
      </c>
      <c r="P172" t="n">
        <v>0</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55718-2025</t>
        </is>
      </c>
      <c r="B173" s="1" t="n">
        <v>45972.49988425926</v>
      </c>
      <c r="C173" s="1" t="n">
        <v>45974</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14826-2021</t>
        </is>
      </c>
      <c r="B174" s="1" t="n">
        <v>44280</v>
      </c>
      <c r="C174" s="1" t="n">
        <v>45974</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45974</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45974</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45974</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45974</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45974</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45974</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45974</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45974</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45974</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45974</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45974</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45974</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45974</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65519-2020</t>
        </is>
      </c>
      <c r="B188" s="1" t="n">
        <v>44173</v>
      </c>
      <c r="C188" s="1" t="n">
        <v>45974</v>
      </c>
      <c r="D188" t="inlineStr">
        <is>
          <t>JÄMTLANDS LÄN</t>
        </is>
      </c>
      <c r="E188" t="inlineStr">
        <is>
          <t>ÅRE</t>
        </is>
      </c>
      <c r="G188" t="n">
        <v>1.1</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45974</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45974</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45974</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45974</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10191-2021</t>
        </is>
      </c>
      <c r="B193" s="1" t="n">
        <v>44256</v>
      </c>
      <c r="C193" s="1" t="n">
        <v>45974</v>
      </c>
      <c r="D193" t="inlineStr">
        <is>
          <t>JÄMTLANDS LÄN</t>
        </is>
      </c>
      <c r="E193" t="inlineStr">
        <is>
          <t>ÅRE</t>
        </is>
      </c>
      <c r="G193" t="n">
        <v>2.3</v>
      </c>
      <c r="H193" t="n">
        <v>0</v>
      </c>
      <c r="I193" t="n">
        <v>0</v>
      </c>
      <c r="J193" t="n">
        <v>0</v>
      </c>
      <c r="K193" t="n">
        <v>0</v>
      </c>
      <c r="L193" t="n">
        <v>0</v>
      </c>
      <c r="M193" t="n">
        <v>0</v>
      </c>
      <c r="N193" t="n">
        <v>0</v>
      </c>
      <c r="O193" t="n">
        <v>0</v>
      </c>
      <c r="P193" t="n">
        <v>0</v>
      </c>
      <c r="Q193" t="n">
        <v>0</v>
      </c>
      <c r="R193" s="2" t="inlineStr"/>
    </row>
    <row r="194" ht="15" customHeight="1">
      <c r="A194" t="inlineStr">
        <is>
          <t>A 68594-2020</t>
        </is>
      </c>
      <c r="B194" s="1" t="n">
        <v>44186</v>
      </c>
      <c r="C194" s="1" t="n">
        <v>45974</v>
      </c>
      <c r="D194" t="inlineStr">
        <is>
          <t>JÄMTLANDS LÄN</t>
        </is>
      </c>
      <c r="E194" t="inlineStr">
        <is>
          <t>ÅRE</t>
        </is>
      </c>
      <c r="G194" t="n">
        <v>2.8</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45974</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64355-2020</t>
        </is>
      </c>
      <c r="B196" s="1" t="n">
        <v>44168</v>
      </c>
      <c r="C196" s="1" t="n">
        <v>45974</v>
      </c>
      <c r="D196" t="inlineStr">
        <is>
          <t>JÄMTLANDS LÄN</t>
        </is>
      </c>
      <c r="E196" t="inlineStr">
        <is>
          <t>ÅRE</t>
        </is>
      </c>
      <c r="G196" t="n">
        <v>2.1</v>
      </c>
      <c r="H196" t="n">
        <v>0</v>
      </c>
      <c r="I196" t="n">
        <v>0</v>
      </c>
      <c r="J196" t="n">
        <v>0</v>
      </c>
      <c r="K196" t="n">
        <v>0</v>
      </c>
      <c r="L196" t="n">
        <v>0</v>
      </c>
      <c r="M196" t="n">
        <v>0</v>
      </c>
      <c r="N196" t="n">
        <v>0</v>
      </c>
      <c r="O196" t="n">
        <v>0</v>
      </c>
      <c r="P196" t="n">
        <v>0</v>
      </c>
      <c r="Q196" t="n">
        <v>0</v>
      </c>
      <c r="R196" s="2" t="inlineStr"/>
    </row>
    <row r="197" ht="15" customHeight="1">
      <c r="A197" t="inlineStr">
        <is>
          <t>A 8668-2021</t>
        </is>
      </c>
      <c r="B197" s="1" t="n">
        <v>44246</v>
      </c>
      <c r="C197" s="1" t="n">
        <v>45974</v>
      </c>
      <c r="D197" t="inlineStr">
        <is>
          <t>JÄMTLANDS LÄN</t>
        </is>
      </c>
      <c r="E197" t="inlineStr">
        <is>
          <t>ÅRE</t>
        </is>
      </c>
      <c r="G197" t="n">
        <v>19.5</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45974</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45974</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45974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2230-2022</t>
        </is>
      </c>
      <c r="B201" s="1" t="n">
        <v>44578</v>
      </c>
      <c r="C201" s="1" t="n">
        <v>45974</v>
      </c>
      <c r="D201" t="inlineStr">
        <is>
          <t>JÄMTLANDS LÄN</t>
        </is>
      </c>
      <c r="E201" t="inlineStr">
        <is>
          <t>ÅRE</t>
        </is>
      </c>
      <c r="G201" t="n">
        <v>1.6</v>
      </c>
      <c r="H201" t="n">
        <v>0</v>
      </c>
      <c r="I201" t="n">
        <v>0</v>
      </c>
      <c r="J201" t="n">
        <v>0</v>
      </c>
      <c r="K201" t="n">
        <v>0</v>
      </c>
      <c r="L201" t="n">
        <v>0</v>
      </c>
      <c r="M201" t="n">
        <v>0</v>
      </c>
      <c r="N201" t="n">
        <v>0</v>
      </c>
      <c r="O201" t="n">
        <v>0</v>
      </c>
      <c r="P201" t="n">
        <v>0</v>
      </c>
      <c r="Q201" t="n">
        <v>0</v>
      </c>
      <c r="R201" s="2" t="inlineStr"/>
    </row>
    <row r="202" ht="15" customHeight="1">
      <c r="A202" t="inlineStr">
        <is>
          <t>A 20816-2022</t>
        </is>
      </c>
      <c r="B202" s="1" t="n">
        <v>44700</v>
      </c>
      <c r="C202" s="1" t="n">
        <v>45974</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45974</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72214-2021</t>
        </is>
      </c>
      <c r="B204" s="1" t="n">
        <v>44544.72591435185</v>
      </c>
      <c r="C204" s="1" t="n">
        <v>45974</v>
      </c>
      <c r="D204" t="inlineStr">
        <is>
          <t>JÄMTLANDS LÄN</t>
        </is>
      </c>
      <c r="E204" t="inlineStr">
        <is>
          <t>ÅRE</t>
        </is>
      </c>
      <c r="G204" t="n">
        <v>14.1</v>
      </c>
      <c r="H204" t="n">
        <v>0</v>
      </c>
      <c r="I204" t="n">
        <v>0</v>
      </c>
      <c r="J204" t="n">
        <v>0</v>
      </c>
      <c r="K204" t="n">
        <v>0</v>
      </c>
      <c r="L204" t="n">
        <v>0</v>
      </c>
      <c r="M204" t="n">
        <v>0</v>
      </c>
      <c r="N204" t="n">
        <v>0</v>
      </c>
      <c r="O204" t="n">
        <v>0</v>
      </c>
      <c r="P204" t="n">
        <v>0</v>
      </c>
      <c r="Q204" t="n">
        <v>0</v>
      </c>
      <c r="R204" s="2" t="inlineStr"/>
    </row>
    <row r="205" ht="15" customHeight="1">
      <c r="A205" t="inlineStr">
        <is>
          <t>A 72215-2021</t>
        </is>
      </c>
      <c r="B205" s="1" t="n">
        <v>44544</v>
      </c>
      <c r="C205" s="1" t="n">
        <v>45974</v>
      </c>
      <c r="D205" t="inlineStr">
        <is>
          <t>JÄMTLANDS LÄN</t>
        </is>
      </c>
      <c r="E205" t="inlineStr">
        <is>
          <t>ÅRE</t>
        </is>
      </c>
      <c r="G205" t="n">
        <v>3.9</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45974</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37086-2021</t>
        </is>
      </c>
      <c r="B207" s="1" t="n">
        <v>44395</v>
      </c>
      <c r="C207" s="1" t="n">
        <v>45974</v>
      </c>
      <c r="D207" t="inlineStr">
        <is>
          <t>JÄMTLANDS LÄN</t>
        </is>
      </c>
      <c r="E207" t="inlineStr">
        <is>
          <t>ÅRE</t>
        </is>
      </c>
      <c r="G207" t="n">
        <v>34.1</v>
      </c>
      <c r="H207" t="n">
        <v>0</v>
      </c>
      <c r="I207" t="n">
        <v>0</v>
      </c>
      <c r="J207" t="n">
        <v>0</v>
      </c>
      <c r="K207" t="n">
        <v>0</v>
      </c>
      <c r="L207" t="n">
        <v>0</v>
      </c>
      <c r="M207" t="n">
        <v>0</v>
      </c>
      <c r="N207" t="n">
        <v>0</v>
      </c>
      <c r="O207" t="n">
        <v>0</v>
      </c>
      <c r="P207" t="n">
        <v>0</v>
      </c>
      <c r="Q207" t="n">
        <v>0</v>
      </c>
      <c r="R207" s="2" t="inlineStr"/>
    </row>
    <row r="208" ht="15" customHeight="1">
      <c r="A208" t="inlineStr">
        <is>
          <t>A 43583-2022</t>
        </is>
      </c>
      <c r="B208" s="1" t="n">
        <v>44834</v>
      </c>
      <c r="C208" s="1" t="n">
        <v>45974</v>
      </c>
      <c r="D208" t="inlineStr">
        <is>
          <t>JÄMTLANDS LÄN</t>
        </is>
      </c>
      <c r="E208" t="inlineStr">
        <is>
          <t>ÅRE</t>
        </is>
      </c>
      <c r="G208" t="n">
        <v>6.7</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45974</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45974</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45974</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45974</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45974</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45974</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45974</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45974</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45974</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65439-2020</t>
        </is>
      </c>
      <c r="B218" s="1" t="n">
        <v>44173</v>
      </c>
      <c r="C218" s="1" t="n">
        <v>45974</v>
      </c>
      <c r="D218" t="inlineStr">
        <is>
          <t>JÄMTLANDS LÄN</t>
        </is>
      </c>
      <c r="E218" t="inlineStr">
        <is>
          <t>ÅRE</t>
        </is>
      </c>
      <c r="G218" t="n">
        <v>6.2</v>
      </c>
      <c r="H218" t="n">
        <v>0</v>
      </c>
      <c r="I218" t="n">
        <v>0</v>
      </c>
      <c r="J218" t="n">
        <v>0</v>
      </c>
      <c r="K218" t="n">
        <v>0</v>
      </c>
      <c r="L218" t="n">
        <v>0</v>
      </c>
      <c r="M218" t="n">
        <v>0</v>
      </c>
      <c r="N218" t="n">
        <v>0</v>
      </c>
      <c r="O218" t="n">
        <v>0</v>
      </c>
      <c r="P218" t="n">
        <v>0</v>
      </c>
      <c r="Q218" t="n">
        <v>0</v>
      </c>
      <c r="R218" s="2" t="inlineStr"/>
    </row>
    <row r="219" ht="15" customHeight="1">
      <c r="A219" t="inlineStr">
        <is>
          <t>A 33565-2022</t>
        </is>
      </c>
      <c r="B219" s="1" t="n">
        <v>44789</v>
      </c>
      <c r="C219" s="1" t="n">
        <v>45974</v>
      </c>
      <c r="D219" t="inlineStr">
        <is>
          <t>JÄMTLANDS LÄN</t>
        </is>
      </c>
      <c r="E219" t="inlineStr">
        <is>
          <t>ÅRE</t>
        </is>
      </c>
      <c r="G219" t="n">
        <v>0.6</v>
      </c>
      <c r="H219" t="n">
        <v>0</v>
      </c>
      <c r="I219" t="n">
        <v>0</v>
      </c>
      <c r="J219" t="n">
        <v>0</v>
      </c>
      <c r="K219" t="n">
        <v>0</v>
      </c>
      <c r="L219" t="n">
        <v>0</v>
      </c>
      <c r="M219" t="n">
        <v>0</v>
      </c>
      <c r="N219" t="n">
        <v>0</v>
      </c>
      <c r="O219" t="n">
        <v>0</v>
      </c>
      <c r="P219" t="n">
        <v>0</v>
      </c>
      <c r="Q219" t="n">
        <v>0</v>
      </c>
      <c r="R219" s="2" t="inlineStr"/>
    </row>
    <row r="220" ht="15" customHeight="1">
      <c r="A220" t="inlineStr">
        <is>
          <t>A 12940-2024</t>
        </is>
      </c>
      <c r="B220" s="1" t="n">
        <v>45385.46263888889</v>
      </c>
      <c r="C220" s="1" t="n">
        <v>45974</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4838-2021</t>
        </is>
      </c>
      <c r="B221" s="1" t="n">
        <v>44225</v>
      </c>
      <c r="C221" s="1" t="n">
        <v>45974</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58508-2023</t>
        </is>
      </c>
      <c r="B222" s="1" t="n">
        <v>45246</v>
      </c>
      <c r="C222" s="1" t="n">
        <v>45974</v>
      </c>
      <c r="D222" t="inlineStr">
        <is>
          <t>JÄMTLANDS LÄN</t>
        </is>
      </c>
      <c r="E222" t="inlineStr">
        <is>
          <t>ÅRE</t>
        </is>
      </c>
      <c r="G222" t="n">
        <v>21.8</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45974</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39069-2024</t>
        </is>
      </c>
      <c r="B224" s="1" t="n">
        <v>45548.53166666667</v>
      </c>
      <c r="C224" s="1" t="n">
        <v>45974</v>
      </c>
      <c r="D224" t="inlineStr">
        <is>
          <t>JÄMTLANDS LÄN</t>
        </is>
      </c>
      <c r="E224" t="inlineStr">
        <is>
          <t>ÅRE</t>
        </is>
      </c>
      <c r="G224" t="n">
        <v>0.5</v>
      </c>
      <c r="H224" t="n">
        <v>0</v>
      </c>
      <c r="I224" t="n">
        <v>0</v>
      </c>
      <c r="J224" t="n">
        <v>0</v>
      </c>
      <c r="K224" t="n">
        <v>0</v>
      </c>
      <c r="L224" t="n">
        <v>0</v>
      </c>
      <c r="M224" t="n">
        <v>0</v>
      </c>
      <c r="N224" t="n">
        <v>0</v>
      </c>
      <c r="O224" t="n">
        <v>0</v>
      </c>
      <c r="P224" t="n">
        <v>0</v>
      </c>
      <c r="Q224" t="n">
        <v>0</v>
      </c>
      <c r="R224" s="2" t="inlineStr"/>
    </row>
    <row r="225" ht="15" customHeight="1">
      <c r="A225" t="inlineStr">
        <is>
          <t>A 26533-2022</t>
        </is>
      </c>
      <c r="B225" s="1" t="n">
        <v>44739.4490162037</v>
      </c>
      <c r="C225" s="1" t="n">
        <v>45974</v>
      </c>
      <c r="D225" t="inlineStr">
        <is>
          <t>JÄMTLANDS LÄN</t>
        </is>
      </c>
      <c r="E225" t="inlineStr">
        <is>
          <t>ÅRE</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12944-2024</t>
        </is>
      </c>
      <c r="B226" s="1" t="n">
        <v>45385</v>
      </c>
      <c r="C226" s="1" t="n">
        <v>45974</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64237-2021</t>
        </is>
      </c>
      <c r="B227" s="1" t="n">
        <v>44510</v>
      </c>
      <c r="C227" s="1" t="n">
        <v>45974</v>
      </c>
      <c r="D227" t="inlineStr">
        <is>
          <t>JÄMTLANDS LÄN</t>
        </is>
      </c>
      <c r="E227" t="inlineStr">
        <is>
          <t>ÅRE</t>
        </is>
      </c>
      <c r="G227" t="n">
        <v>2.7</v>
      </c>
      <c r="H227" t="n">
        <v>0</v>
      </c>
      <c r="I227" t="n">
        <v>0</v>
      </c>
      <c r="J227" t="n">
        <v>0</v>
      </c>
      <c r="K227" t="n">
        <v>0</v>
      </c>
      <c r="L227" t="n">
        <v>0</v>
      </c>
      <c r="M227" t="n">
        <v>0</v>
      </c>
      <c r="N227" t="n">
        <v>0</v>
      </c>
      <c r="O227" t="n">
        <v>0</v>
      </c>
      <c r="P227" t="n">
        <v>0</v>
      </c>
      <c r="Q227" t="n">
        <v>0</v>
      </c>
      <c r="R227" s="2" t="inlineStr"/>
    </row>
    <row r="228" ht="15" customHeight="1">
      <c r="A228" t="inlineStr">
        <is>
          <t>A 30263-2023</t>
        </is>
      </c>
      <c r="B228" s="1" t="n">
        <v>45099</v>
      </c>
      <c r="C228" s="1" t="n">
        <v>45974</v>
      </c>
      <c r="D228" t="inlineStr">
        <is>
          <t>JÄMTLANDS LÄN</t>
        </is>
      </c>
      <c r="E228" t="inlineStr">
        <is>
          <t>ÅRE</t>
        </is>
      </c>
      <c r="G228" t="n">
        <v>15.9</v>
      </c>
      <c r="H228" t="n">
        <v>0</v>
      </c>
      <c r="I228" t="n">
        <v>0</v>
      </c>
      <c r="J228" t="n">
        <v>0</v>
      </c>
      <c r="K228" t="n">
        <v>0</v>
      </c>
      <c r="L228" t="n">
        <v>0</v>
      </c>
      <c r="M228" t="n">
        <v>0</v>
      </c>
      <c r="N228" t="n">
        <v>0</v>
      </c>
      <c r="O228" t="n">
        <v>0</v>
      </c>
      <c r="P228" t="n">
        <v>0</v>
      </c>
      <c r="Q228" t="n">
        <v>0</v>
      </c>
      <c r="R228" s="2" t="inlineStr"/>
    </row>
    <row r="229" ht="15" customHeight="1">
      <c r="A229" t="inlineStr">
        <is>
          <t>A 43342-2024</t>
        </is>
      </c>
      <c r="B229" s="1" t="n">
        <v>45568.55114583333</v>
      </c>
      <c r="C229" s="1" t="n">
        <v>45974</v>
      </c>
      <c r="D229" t="inlineStr">
        <is>
          <t>JÄMTLANDS LÄN</t>
        </is>
      </c>
      <c r="E229" t="inlineStr">
        <is>
          <t>ÅRE</t>
        </is>
      </c>
      <c r="F229" t="inlineStr">
        <is>
          <t>Övriga Aktiebolag</t>
        </is>
      </c>
      <c r="G229" t="n">
        <v>4.8</v>
      </c>
      <c r="H229" t="n">
        <v>0</v>
      </c>
      <c r="I229" t="n">
        <v>0</v>
      </c>
      <c r="J229" t="n">
        <v>0</v>
      </c>
      <c r="K229" t="n">
        <v>0</v>
      </c>
      <c r="L229" t="n">
        <v>0</v>
      </c>
      <c r="M229" t="n">
        <v>0</v>
      </c>
      <c r="N229" t="n">
        <v>0</v>
      </c>
      <c r="O229" t="n">
        <v>0</v>
      </c>
      <c r="P229" t="n">
        <v>0</v>
      </c>
      <c r="Q229" t="n">
        <v>0</v>
      </c>
      <c r="R229" s="2" t="inlineStr"/>
    </row>
    <row r="230" ht="15" customHeight="1">
      <c r="A230" t="inlineStr">
        <is>
          <t>A 13039-2024</t>
        </is>
      </c>
      <c r="B230" s="1" t="n">
        <v>45385</v>
      </c>
      <c r="C230" s="1" t="n">
        <v>45974</v>
      </c>
      <c r="D230" t="inlineStr">
        <is>
          <t>JÄMTLANDS LÄN</t>
        </is>
      </c>
      <c r="E230" t="inlineStr">
        <is>
          <t>ÅRE</t>
        </is>
      </c>
      <c r="G230" t="n">
        <v>1.8</v>
      </c>
      <c r="H230" t="n">
        <v>0</v>
      </c>
      <c r="I230" t="n">
        <v>0</v>
      </c>
      <c r="J230" t="n">
        <v>0</v>
      </c>
      <c r="K230" t="n">
        <v>0</v>
      </c>
      <c r="L230" t="n">
        <v>0</v>
      </c>
      <c r="M230" t="n">
        <v>0</v>
      </c>
      <c r="N230" t="n">
        <v>0</v>
      </c>
      <c r="O230" t="n">
        <v>0</v>
      </c>
      <c r="P230" t="n">
        <v>0</v>
      </c>
      <c r="Q230" t="n">
        <v>0</v>
      </c>
      <c r="R230" s="2" t="inlineStr"/>
    </row>
    <row r="231" ht="15" customHeight="1">
      <c r="A231" t="inlineStr">
        <is>
          <t>A 10285-2021</t>
        </is>
      </c>
      <c r="B231" s="1" t="n">
        <v>44257</v>
      </c>
      <c r="C231" s="1" t="n">
        <v>45974</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46976-2024</t>
        </is>
      </c>
      <c r="B232" s="1" t="n">
        <v>45586</v>
      </c>
      <c r="C232" s="1" t="n">
        <v>45974</v>
      </c>
      <c r="D232" t="inlineStr">
        <is>
          <t>JÄMTLANDS LÄN</t>
        </is>
      </c>
      <c r="E232" t="inlineStr">
        <is>
          <t>ÅRE</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36219-2022</t>
        </is>
      </c>
      <c r="B233" s="1" t="n">
        <v>44803</v>
      </c>
      <c r="C233" s="1" t="n">
        <v>45974</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61183-2023</t>
        </is>
      </c>
      <c r="B234" s="1" t="n">
        <v>45263</v>
      </c>
      <c r="C234" s="1" t="n">
        <v>45974</v>
      </c>
      <c r="D234" t="inlineStr">
        <is>
          <t>JÄMTLANDS LÄN</t>
        </is>
      </c>
      <c r="E234" t="inlineStr">
        <is>
          <t>ÅRE</t>
        </is>
      </c>
      <c r="G234" t="n">
        <v>8.4</v>
      </c>
      <c r="H234" t="n">
        <v>0</v>
      </c>
      <c r="I234" t="n">
        <v>0</v>
      </c>
      <c r="J234" t="n">
        <v>0</v>
      </c>
      <c r="K234" t="n">
        <v>0</v>
      </c>
      <c r="L234" t="n">
        <v>0</v>
      </c>
      <c r="M234" t="n">
        <v>0</v>
      </c>
      <c r="N234" t="n">
        <v>0</v>
      </c>
      <c r="O234" t="n">
        <v>0</v>
      </c>
      <c r="P234" t="n">
        <v>0</v>
      </c>
      <c r="Q234" t="n">
        <v>0</v>
      </c>
      <c r="R234" s="2" t="inlineStr"/>
    </row>
    <row r="235" ht="15" customHeight="1">
      <c r="A235" t="inlineStr">
        <is>
          <t>A 38268-2024</t>
        </is>
      </c>
      <c r="B235" s="1" t="n">
        <v>45545.59842592593</v>
      </c>
      <c r="C235" s="1" t="n">
        <v>45974</v>
      </c>
      <c r="D235" t="inlineStr">
        <is>
          <t>JÄMTLANDS LÄN</t>
        </is>
      </c>
      <c r="E235" t="inlineStr">
        <is>
          <t>ÅRE</t>
        </is>
      </c>
      <c r="G235" t="n">
        <v>1.2</v>
      </c>
      <c r="H235" t="n">
        <v>0</v>
      </c>
      <c r="I235" t="n">
        <v>0</v>
      </c>
      <c r="J235" t="n">
        <v>0</v>
      </c>
      <c r="K235" t="n">
        <v>0</v>
      </c>
      <c r="L235" t="n">
        <v>0</v>
      </c>
      <c r="M235" t="n">
        <v>0</v>
      </c>
      <c r="N235" t="n">
        <v>0</v>
      </c>
      <c r="O235" t="n">
        <v>0</v>
      </c>
      <c r="P235" t="n">
        <v>0</v>
      </c>
      <c r="Q235" t="n">
        <v>0</v>
      </c>
      <c r="R235" s="2" t="inlineStr"/>
    </row>
    <row r="236" ht="15" customHeight="1">
      <c r="A236" t="inlineStr">
        <is>
          <t>A 18849-2022</t>
        </is>
      </c>
      <c r="B236" s="1" t="n">
        <v>44690</v>
      </c>
      <c r="C236" s="1" t="n">
        <v>45974</v>
      </c>
      <c r="D236" t="inlineStr">
        <is>
          <t>JÄMTLANDS LÄN</t>
        </is>
      </c>
      <c r="E236" t="inlineStr">
        <is>
          <t>ÅRE</t>
        </is>
      </c>
      <c r="G236" t="n">
        <v>12.8</v>
      </c>
      <c r="H236" t="n">
        <v>0</v>
      </c>
      <c r="I236" t="n">
        <v>0</v>
      </c>
      <c r="J236" t="n">
        <v>0</v>
      </c>
      <c r="K236" t="n">
        <v>0</v>
      </c>
      <c r="L236" t="n">
        <v>0</v>
      </c>
      <c r="M236" t="n">
        <v>0</v>
      </c>
      <c r="N236" t="n">
        <v>0</v>
      </c>
      <c r="O236" t="n">
        <v>0</v>
      </c>
      <c r="P236" t="n">
        <v>0</v>
      </c>
      <c r="Q236" t="n">
        <v>0</v>
      </c>
      <c r="R236" s="2" t="inlineStr"/>
    </row>
    <row r="237" ht="15" customHeight="1">
      <c r="A237" t="inlineStr">
        <is>
          <t>A 60962-2023</t>
        </is>
      </c>
      <c r="B237" s="1" t="n">
        <v>45261.46787037037</v>
      </c>
      <c r="C237" s="1" t="n">
        <v>45974</v>
      </c>
      <c r="D237" t="inlineStr">
        <is>
          <t>JÄMTLANDS LÄN</t>
        </is>
      </c>
      <c r="E237" t="inlineStr">
        <is>
          <t>ÅRE</t>
        </is>
      </c>
      <c r="G237" t="n">
        <v>3.2</v>
      </c>
      <c r="H237" t="n">
        <v>0</v>
      </c>
      <c r="I237" t="n">
        <v>0</v>
      </c>
      <c r="J237" t="n">
        <v>0</v>
      </c>
      <c r="K237" t="n">
        <v>0</v>
      </c>
      <c r="L237" t="n">
        <v>0</v>
      </c>
      <c r="M237" t="n">
        <v>0</v>
      </c>
      <c r="N237" t="n">
        <v>0</v>
      </c>
      <c r="O237" t="n">
        <v>0</v>
      </c>
      <c r="P237" t="n">
        <v>0</v>
      </c>
      <c r="Q237" t="n">
        <v>0</v>
      </c>
      <c r="R237" s="2" t="inlineStr"/>
    </row>
    <row r="238" ht="15" customHeight="1">
      <c r="A238" t="inlineStr">
        <is>
          <t>A 60973-2023</t>
        </is>
      </c>
      <c r="B238" s="1" t="n">
        <v>45261.47321759259</v>
      </c>
      <c r="C238" s="1" t="n">
        <v>45974</v>
      </c>
      <c r="D238" t="inlineStr">
        <is>
          <t>JÄMTLANDS LÄN</t>
        </is>
      </c>
      <c r="E238" t="inlineStr">
        <is>
          <t>ÅRE</t>
        </is>
      </c>
      <c r="G238" t="n">
        <v>3.1</v>
      </c>
      <c r="H238" t="n">
        <v>0</v>
      </c>
      <c r="I238" t="n">
        <v>0</v>
      </c>
      <c r="J238" t="n">
        <v>0</v>
      </c>
      <c r="K238" t="n">
        <v>0</v>
      </c>
      <c r="L238" t="n">
        <v>0</v>
      </c>
      <c r="M238" t="n">
        <v>0</v>
      </c>
      <c r="N238" t="n">
        <v>0</v>
      </c>
      <c r="O238" t="n">
        <v>0</v>
      </c>
      <c r="P238" t="n">
        <v>0</v>
      </c>
      <c r="Q238" t="n">
        <v>0</v>
      </c>
      <c r="R238" s="2" t="inlineStr"/>
    </row>
    <row r="239" ht="15" customHeight="1">
      <c r="A239" t="inlineStr">
        <is>
          <t>A 24585-2021</t>
        </is>
      </c>
      <c r="B239" s="1" t="n">
        <v>44337</v>
      </c>
      <c r="C239" s="1" t="n">
        <v>45974</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59352-2021</t>
        </is>
      </c>
      <c r="B240" s="1" t="n">
        <v>44490</v>
      </c>
      <c r="C240" s="1" t="n">
        <v>45974</v>
      </c>
      <c r="D240" t="inlineStr">
        <is>
          <t>JÄMTLANDS LÄN</t>
        </is>
      </c>
      <c r="E240" t="inlineStr">
        <is>
          <t>ÅRE</t>
        </is>
      </c>
      <c r="G240" t="n">
        <v>0.4</v>
      </c>
      <c r="H240" t="n">
        <v>0</v>
      </c>
      <c r="I240" t="n">
        <v>0</v>
      </c>
      <c r="J240" t="n">
        <v>0</v>
      </c>
      <c r="K240" t="n">
        <v>0</v>
      </c>
      <c r="L240" t="n">
        <v>0</v>
      </c>
      <c r="M240" t="n">
        <v>0</v>
      </c>
      <c r="N240" t="n">
        <v>0</v>
      </c>
      <c r="O240" t="n">
        <v>0</v>
      </c>
      <c r="P240" t="n">
        <v>0</v>
      </c>
      <c r="Q240" t="n">
        <v>0</v>
      </c>
      <c r="R240" s="2" t="inlineStr"/>
    </row>
    <row r="241" ht="15" customHeight="1">
      <c r="A241" t="inlineStr">
        <is>
          <t>A 52676-2023</t>
        </is>
      </c>
      <c r="B241" s="1" t="n">
        <v>45225.6890625</v>
      </c>
      <c r="C241" s="1" t="n">
        <v>45974</v>
      </c>
      <c r="D241" t="inlineStr">
        <is>
          <t>JÄMTLANDS LÄN</t>
        </is>
      </c>
      <c r="E241" t="inlineStr">
        <is>
          <t>ÅRE</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23117-2022</t>
        </is>
      </c>
      <c r="B242" s="1" t="n">
        <v>44719.56572916666</v>
      </c>
      <c r="C242" s="1" t="n">
        <v>45974</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14202-2021</t>
        </is>
      </c>
      <c r="B243" s="1" t="n">
        <v>44278</v>
      </c>
      <c r="C243" s="1" t="n">
        <v>45974</v>
      </c>
      <c r="D243" t="inlineStr">
        <is>
          <t>JÄMTLANDS LÄN</t>
        </is>
      </c>
      <c r="E243" t="inlineStr">
        <is>
          <t>ÅRE</t>
        </is>
      </c>
      <c r="G243" t="n">
        <v>17.8</v>
      </c>
      <c r="H243" t="n">
        <v>0</v>
      </c>
      <c r="I243" t="n">
        <v>0</v>
      </c>
      <c r="J243" t="n">
        <v>0</v>
      </c>
      <c r="K243" t="n">
        <v>0</v>
      </c>
      <c r="L243" t="n">
        <v>0</v>
      </c>
      <c r="M243" t="n">
        <v>0</v>
      </c>
      <c r="N243" t="n">
        <v>0</v>
      </c>
      <c r="O243" t="n">
        <v>0</v>
      </c>
      <c r="P243" t="n">
        <v>0</v>
      </c>
      <c r="Q243" t="n">
        <v>0</v>
      </c>
      <c r="R243" s="2" t="inlineStr"/>
    </row>
    <row r="244" ht="15" customHeight="1">
      <c r="A244" t="inlineStr">
        <is>
          <t>A 2376-2023</t>
        </is>
      </c>
      <c r="B244" s="1" t="n">
        <v>44942</v>
      </c>
      <c r="C244" s="1" t="n">
        <v>45974</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33230-2024</t>
        </is>
      </c>
      <c r="B245" s="1" t="n">
        <v>45518.57418981481</v>
      </c>
      <c r="C245" s="1" t="n">
        <v>45974</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45974</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50344-2024</t>
        </is>
      </c>
      <c r="B247" s="1" t="n">
        <v>45600</v>
      </c>
      <c r="C247" s="1" t="n">
        <v>45974</v>
      </c>
      <c r="D247" t="inlineStr">
        <is>
          <t>JÄMTLANDS LÄN</t>
        </is>
      </c>
      <c r="E247" t="inlineStr">
        <is>
          <t>ÅRE</t>
        </is>
      </c>
      <c r="G247" t="n">
        <v>4</v>
      </c>
      <c r="H247" t="n">
        <v>0</v>
      </c>
      <c r="I247" t="n">
        <v>0</v>
      </c>
      <c r="J247" t="n">
        <v>0</v>
      </c>
      <c r="K247" t="n">
        <v>0</v>
      </c>
      <c r="L247" t="n">
        <v>0</v>
      </c>
      <c r="M247" t="n">
        <v>0</v>
      </c>
      <c r="N247" t="n">
        <v>0</v>
      </c>
      <c r="O247" t="n">
        <v>0</v>
      </c>
      <c r="P247" t="n">
        <v>0</v>
      </c>
      <c r="Q247" t="n">
        <v>0</v>
      </c>
      <c r="R247" s="2" t="inlineStr"/>
    </row>
    <row r="248" ht="15" customHeight="1">
      <c r="A248" t="inlineStr">
        <is>
          <t>A 12290-2023</t>
        </is>
      </c>
      <c r="B248" s="1" t="n">
        <v>44998.73545138889</v>
      </c>
      <c r="C248" s="1" t="n">
        <v>45974</v>
      </c>
      <c r="D248" t="inlineStr">
        <is>
          <t>JÄMTLANDS LÄN</t>
        </is>
      </c>
      <c r="E248" t="inlineStr">
        <is>
          <t>ÅRE</t>
        </is>
      </c>
      <c r="G248" t="n">
        <v>2.8</v>
      </c>
      <c r="H248" t="n">
        <v>0</v>
      </c>
      <c r="I248" t="n">
        <v>0</v>
      </c>
      <c r="J248" t="n">
        <v>0</v>
      </c>
      <c r="K248" t="n">
        <v>0</v>
      </c>
      <c r="L248" t="n">
        <v>0</v>
      </c>
      <c r="M248" t="n">
        <v>0</v>
      </c>
      <c r="N248" t="n">
        <v>0</v>
      </c>
      <c r="O248" t="n">
        <v>0</v>
      </c>
      <c r="P248" t="n">
        <v>0</v>
      </c>
      <c r="Q248" t="n">
        <v>0</v>
      </c>
      <c r="R248" s="2" t="inlineStr"/>
    </row>
    <row r="249" ht="15" customHeight="1">
      <c r="A249" t="inlineStr">
        <is>
          <t>A 12291-2023</t>
        </is>
      </c>
      <c r="B249" s="1" t="n">
        <v>44998.74140046296</v>
      </c>
      <c r="C249" s="1" t="n">
        <v>45974</v>
      </c>
      <c r="D249" t="inlineStr">
        <is>
          <t>JÄMTLANDS LÄN</t>
        </is>
      </c>
      <c r="E249" t="inlineStr">
        <is>
          <t>ÅRE</t>
        </is>
      </c>
      <c r="G249" t="n">
        <v>6</v>
      </c>
      <c r="H249" t="n">
        <v>0</v>
      </c>
      <c r="I249" t="n">
        <v>0</v>
      </c>
      <c r="J249" t="n">
        <v>0</v>
      </c>
      <c r="K249" t="n">
        <v>0</v>
      </c>
      <c r="L249" t="n">
        <v>0</v>
      </c>
      <c r="M249" t="n">
        <v>0</v>
      </c>
      <c r="N249" t="n">
        <v>0</v>
      </c>
      <c r="O249" t="n">
        <v>0</v>
      </c>
      <c r="P249" t="n">
        <v>0</v>
      </c>
      <c r="Q249" t="n">
        <v>0</v>
      </c>
      <c r="R249" s="2" t="inlineStr"/>
    </row>
    <row r="250" ht="15" customHeight="1">
      <c r="A250" t="inlineStr">
        <is>
          <t>A 40339-2021</t>
        </is>
      </c>
      <c r="B250" s="1" t="n">
        <v>44419</v>
      </c>
      <c r="C250" s="1" t="n">
        <v>45974</v>
      </c>
      <c r="D250" t="inlineStr">
        <is>
          <t>JÄMTLANDS LÄN</t>
        </is>
      </c>
      <c r="E250" t="inlineStr">
        <is>
          <t>ÅRE</t>
        </is>
      </c>
      <c r="G250" t="n">
        <v>6.4</v>
      </c>
      <c r="H250" t="n">
        <v>0</v>
      </c>
      <c r="I250" t="n">
        <v>0</v>
      </c>
      <c r="J250" t="n">
        <v>0</v>
      </c>
      <c r="K250" t="n">
        <v>0</v>
      </c>
      <c r="L250" t="n">
        <v>0</v>
      </c>
      <c r="M250" t="n">
        <v>0</v>
      </c>
      <c r="N250" t="n">
        <v>0</v>
      </c>
      <c r="O250" t="n">
        <v>0</v>
      </c>
      <c r="P250" t="n">
        <v>0</v>
      </c>
      <c r="Q250" t="n">
        <v>0</v>
      </c>
      <c r="R250" s="2" t="inlineStr"/>
    </row>
    <row r="251" ht="15" customHeight="1">
      <c r="A251" t="inlineStr">
        <is>
          <t>A 61340-2022</t>
        </is>
      </c>
      <c r="B251" s="1" t="n">
        <v>44909</v>
      </c>
      <c r="C251" s="1" t="n">
        <v>45974</v>
      </c>
      <c r="D251" t="inlineStr">
        <is>
          <t>JÄMTLANDS LÄN</t>
        </is>
      </c>
      <c r="E251" t="inlineStr">
        <is>
          <t>ÅRE</t>
        </is>
      </c>
      <c r="G251" t="n">
        <v>4.4</v>
      </c>
      <c r="H251" t="n">
        <v>0</v>
      </c>
      <c r="I251" t="n">
        <v>0</v>
      </c>
      <c r="J251" t="n">
        <v>0</v>
      </c>
      <c r="K251" t="n">
        <v>0</v>
      </c>
      <c r="L251" t="n">
        <v>0</v>
      </c>
      <c r="M251" t="n">
        <v>0</v>
      </c>
      <c r="N251" t="n">
        <v>0</v>
      </c>
      <c r="O251" t="n">
        <v>0</v>
      </c>
      <c r="P251" t="n">
        <v>0</v>
      </c>
      <c r="Q251" t="n">
        <v>0</v>
      </c>
      <c r="R251" s="2" t="inlineStr"/>
    </row>
    <row r="252" ht="15" customHeight="1">
      <c r="A252" t="inlineStr">
        <is>
          <t>A 41686-2024</t>
        </is>
      </c>
      <c r="B252" s="1" t="n">
        <v>45560.67016203704</v>
      </c>
      <c r="C252" s="1" t="n">
        <v>45974</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66790-2020</t>
        </is>
      </c>
      <c r="B253" s="1" t="n">
        <v>44179</v>
      </c>
      <c r="C253" s="1" t="n">
        <v>45974</v>
      </c>
      <c r="D253" t="inlineStr">
        <is>
          <t>JÄMTLANDS LÄN</t>
        </is>
      </c>
      <c r="E253" t="inlineStr">
        <is>
          <t>ÅRE</t>
        </is>
      </c>
      <c r="G253" t="n">
        <v>2.3</v>
      </c>
      <c r="H253" t="n">
        <v>0</v>
      </c>
      <c r="I253" t="n">
        <v>0</v>
      </c>
      <c r="J253" t="n">
        <v>0</v>
      </c>
      <c r="K253" t="n">
        <v>0</v>
      </c>
      <c r="L253" t="n">
        <v>0</v>
      </c>
      <c r="M253" t="n">
        <v>0</v>
      </c>
      <c r="N253" t="n">
        <v>0</v>
      </c>
      <c r="O253" t="n">
        <v>0</v>
      </c>
      <c r="P253" t="n">
        <v>0</v>
      </c>
      <c r="Q253" t="n">
        <v>0</v>
      </c>
      <c r="R253" s="2" t="inlineStr"/>
    </row>
    <row r="254" ht="15" customHeight="1">
      <c r="A254" t="inlineStr">
        <is>
          <t>A 45796-2024</t>
        </is>
      </c>
      <c r="B254" s="1" t="n">
        <v>45579.67354166666</v>
      </c>
      <c r="C254" s="1" t="n">
        <v>45974</v>
      </c>
      <c r="D254" t="inlineStr">
        <is>
          <t>JÄMTLANDS LÄN</t>
        </is>
      </c>
      <c r="E254" t="inlineStr">
        <is>
          <t>ÅRE</t>
        </is>
      </c>
      <c r="G254" t="n">
        <v>5</v>
      </c>
      <c r="H254" t="n">
        <v>0</v>
      </c>
      <c r="I254" t="n">
        <v>0</v>
      </c>
      <c r="J254" t="n">
        <v>0</v>
      </c>
      <c r="K254" t="n">
        <v>0</v>
      </c>
      <c r="L254" t="n">
        <v>0</v>
      </c>
      <c r="M254" t="n">
        <v>0</v>
      </c>
      <c r="N254" t="n">
        <v>0</v>
      </c>
      <c r="O254" t="n">
        <v>0</v>
      </c>
      <c r="P254" t="n">
        <v>0</v>
      </c>
      <c r="Q254" t="n">
        <v>0</v>
      </c>
      <c r="R254" s="2" t="inlineStr"/>
    </row>
    <row r="255" ht="15" customHeight="1">
      <c r="A255" t="inlineStr">
        <is>
          <t>A 41653-2024</t>
        </is>
      </c>
      <c r="B255" s="1" t="n">
        <v>45560.64059027778</v>
      </c>
      <c r="C255" s="1" t="n">
        <v>45974</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376-2024</t>
        </is>
      </c>
      <c r="B256" s="1" t="n">
        <v>45296</v>
      </c>
      <c r="C256" s="1" t="n">
        <v>45974</v>
      </c>
      <c r="D256" t="inlineStr">
        <is>
          <t>JÄMTLANDS LÄN</t>
        </is>
      </c>
      <c r="E256" t="inlineStr">
        <is>
          <t>ÅRE</t>
        </is>
      </c>
      <c r="F256" t="inlineStr">
        <is>
          <t>Kyrkan</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21905-2021</t>
        </is>
      </c>
      <c r="B257" s="1" t="n">
        <v>44322</v>
      </c>
      <c r="C257" s="1" t="n">
        <v>45974</v>
      </c>
      <c r="D257" t="inlineStr">
        <is>
          <t>JÄMTLANDS LÄN</t>
        </is>
      </c>
      <c r="E257" t="inlineStr">
        <is>
          <t>ÅRE</t>
        </is>
      </c>
      <c r="G257" t="n">
        <v>14.3</v>
      </c>
      <c r="H257" t="n">
        <v>0</v>
      </c>
      <c r="I257" t="n">
        <v>0</v>
      </c>
      <c r="J257" t="n">
        <v>0</v>
      </c>
      <c r="K257" t="n">
        <v>0</v>
      </c>
      <c r="L257" t="n">
        <v>0</v>
      </c>
      <c r="M257" t="n">
        <v>0</v>
      </c>
      <c r="N257" t="n">
        <v>0</v>
      </c>
      <c r="O257" t="n">
        <v>0</v>
      </c>
      <c r="P257" t="n">
        <v>0</v>
      </c>
      <c r="Q257" t="n">
        <v>0</v>
      </c>
      <c r="R257" s="2" t="inlineStr"/>
    </row>
    <row r="258" ht="15" customHeight="1">
      <c r="A258" t="inlineStr">
        <is>
          <t>A 61295-2023</t>
        </is>
      </c>
      <c r="B258" s="1" t="n">
        <v>45264</v>
      </c>
      <c r="C258" s="1" t="n">
        <v>45974</v>
      </c>
      <c r="D258" t="inlineStr">
        <is>
          <t>JÄMTLANDS LÄN</t>
        </is>
      </c>
      <c r="E258" t="inlineStr">
        <is>
          <t>ÅRE</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3204-2023</t>
        </is>
      </c>
      <c r="B259" s="1" t="n">
        <v>44946</v>
      </c>
      <c r="C259" s="1" t="n">
        <v>45974</v>
      </c>
      <c r="D259" t="inlineStr">
        <is>
          <t>JÄMTLANDS LÄN</t>
        </is>
      </c>
      <c r="E259" t="inlineStr">
        <is>
          <t>ÅRE</t>
        </is>
      </c>
      <c r="G259" t="n">
        <v>1.9</v>
      </c>
      <c r="H259" t="n">
        <v>0</v>
      </c>
      <c r="I259" t="n">
        <v>0</v>
      </c>
      <c r="J259" t="n">
        <v>0</v>
      </c>
      <c r="K259" t="n">
        <v>0</v>
      </c>
      <c r="L259" t="n">
        <v>0</v>
      </c>
      <c r="M259" t="n">
        <v>0</v>
      </c>
      <c r="N259" t="n">
        <v>0</v>
      </c>
      <c r="O259" t="n">
        <v>0</v>
      </c>
      <c r="P259" t="n">
        <v>0</v>
      </c>
      <c r="Q259" t="n">
        <v>0</v>
      </c>
      <c r="R259" s="2" t="inlineStr"/>
    </row>
    <row r="260" ht="15" customHeight="1">
      <c r="A260" t="inlineStr">
        <is>
          <t>A 61331-2021</t>
        </is>
      </c>
      <c r="B260" s="1" t="n">
        <v>44498</v>
      </c>
      <c r="C260" s="1" t="n">
        <v>45974</v>
      </c>
      <c r="D260" t="inlineStr">
        <is>
          <t>JÄMTLANDS LÄN</t>
        </is>
      </c>
      <c r="E260" t="inlineStr">
        <is>
          <t>ÅRE</t>
        </is>
      </c>
      <c r="G260" t="n">
        <v>8.4</v>
      </c>
      <c r="H260" t="n">
        <v>0</v>
      </c>
      <c r="I260" t="n">
        <v>0</v>
      </c>
      <c r="J260" t="n">
        <v>0</v>
      </c>
      <c r="K260" t="n">
        <v>0</v>
      </c>
      <c r="L260" t="n">
        <v>0</v>
      </c>
      <c r="M260" t="n">
        <v>0</v>
      </c>
      <c r="N260" t="n">
        <v>0</v>
      </c>
      <c r="O260" t="n">
        <v>0</v>
      </c>
      <c r="P260" t="n">
        <v>0</v>
      </c>
      <c r="Q260" t="n">
        <v>0</v>
      </c>
      <c r="R260" s="2" t="inlineStr"/>
    </row>
    <row r="261" ht="15" customHeight="1">
      <c r="A261" t="inlineStr">
        <is>
          <t>A 61806-2021</t>
        </is>
      </c>
      <c r="B261" s="1" t="n">
        <v>44498</v>
      </c>
      <c r="C261" s="1" t="n">
        <v>45974</v>
      </c>
      <c r="D261" t="inlineStr">
        <is>
          <t>JÄMTLANDS LÄN</t>
        </is>
      </c>
      <c r="E261" t="inlineStr">
        <is>
          <t>ÅRE</t>
        </is>
      </c>
      <c r="G261" t="n">
        <v>0.7</v>
      </c>
      <c r="H261" t="n">
        <v>0</v>
      </c>
      <c r="I261" t="n">
        <v>0</v>
      </c>
      <c r="J261" t="n">
        <v>0</v>
      </c>
      <c r="K261" t="n">
        <v>0</v>
      </c>
      <c r="L261" t="n">
        <v>0</v>
      </c>
      <c r="M261" t="n">
        <v>0</v>
      </c>
      <c r="N261" t="n">
        <v>0</v>
      </c>
      <c r="O261" t="n">
        <v>0</v>
      </c>
      <c r="P261" t="n">
        <v>0</v>
      </c>
      <c r="Q261" t="n">
        <v>0</v>
      </c>
      <c r="R261" s="2" t="inlineStr"/>
    </row>
    <row r="262" ht="15" customHeight="1">
      <c r="A262" t="inlineStr">
        <is>
          <t>A 56609-2023</t>
        </is>
      </c>
      <c r="B262" s="1" t="n">
        <v>45243.66828703704</v>
      </c>
      <c r="C262" s="1" t="n">
        <v>45974</v>
      </c>
      <c r="D262" t="inlineStr">
        <is>
          <t>JÄMTLANDS LÄN</t>
        </is>
      </c>
      <c r="E262" t="inlineStr">
        <is>
          <t>ÅRE</t>
        </is>
      </c>
      <c r="G262" t="n">
        <v>17.9</v>
      </c>
      <c r="H262" t="n">
        <v>0</v>
      </c>
      <c r="I262" t="n">
        <v>0</v>
      </c>
      <c r="J262" t="n">
        <v>0</v>
      </c>
      <c r="K262" t="n">
        <v>0</v>
      </c>
      <c r="L262" t="n">
        <v>0</v>
      </c>
      <c r="M262" t="n">
        <v>0</v>
      </c>
      <c r="N262" t="n">
        <v>0</v>
      </c>
      <c r="O262" t="n">
        <v>0</v>
      </c>
      <c r="P262" t="n">
        <v>0</v>
      </c>
      <c r="Q262" t="n">
        <v>0</v>
      </c>
      <c r="R262" s="2" t="inlineStr"/>
    </row>
    <row r="263" ht="15" customHeight="1">
      <c r="A263" t="inlineStr">
        <is>
          <t>A 31388-2021</t>
        </is>
      </c>
      <c r="B263" s="1" t="n">
        <v>44369</v>
      </c>
      <c r="C263" s="1" t="n">
        <v>45974</v>
      </c>
      <c r="D263" t="inlineStr">
        <is>
          <t>JÄMTLANDS LÄN</t>
        </is>
      </c>
      <c r="E263" t="inlineStr">
        <is>
          <t>ÅRE</t>
        </is>
      </c>
      <c r="G263" t="n">
        <v>2</v>
      </c>
      <c r="H263" t="n">
        <v>0</v>
      </c>
      <c r="I263" t="n">
        <v>0</v>
      </c>
      <c r="J263" t="n">
        <v>0</v>
      </c>
      <c r="K263" t="n">
        <v>0</v>
      </c>
      <c r="L263" t="n">
        <v>0</v>
      </c>
      <c r="M263" t="n">
        <v>0</v>
      </c>
      <c r="N263" t="n">
        <v>0</v>
      </c>
      <c r="O263" t="n">
        <v>0</v>
      </c>
      <c r="P263" t="n">
        <v>0</v>
      </c>
      <c r="Q263" t="n">
        <v>0</v>
      </c>
      <c r="R263" s="2" t="inlineStr"/>
    </row>
    <row r="264" ht="15" customHeight="1">
      <c r="A264" t="inlineStr">
        <is>
          <t>A 12182-2023</t>
        </is>
      </c>
      <c r="B264" s="1" t="n">
        <v>44998</v>
      </c>
      <c r="C264" s="1" t="n">
        <v>45974</v>
      </c>
      <c r="D264" t="inlineStr">
        <is>
          <t>JÄMTLANDS LÄN</t>
        </is>
      </c>
      <c r="E264" t="inlineStr">
        <is>
          <t>ÅRE</t>
        </is>
      </c>
      <c r="G264" t="n">
        <v>11.7</v>
      </c>
      <c r="H264" t="n">
        <v>0</v>
      </c>
      <c r="I264" t="n">
        <v>0</v>
      </c>
      <c r="J264" t="n">
        <v>0</v>
      </c>
      <c r="K264" t="n">
        <v>0</v>
      </c>
      <c r="L264" t="n">
        <v>0</v>
      </c>
      <c r="M264" t="n">
        <v>0</v>
      </c>
      <c r="N264" t="n">
        <v>0</v>
      </c>
      <c r="O264" t="n">
        <v>0</v>
      </c>
      <c r="P264" t="n">
        <v>0</v>
      </c>
      <c r="Q264" t="n">
        <v>0</v>
      </c>
      <c r="R264" s="2" t="inlineStr"/>
    </row>
    <row r="265" ht="15" customHeight="1">
      <c r="A265" t="inlineStr">
        <is>
          <t>A 71968-2021</t>
        </is>
      </c>
      <c r="B265" s="1" t="n">
        <v>44540</v>
      </c>
      <c r="C265" s="1" t="n">
        <v>45974</v>
      </c>
      <c r="D265" t="inlineStr">
        <is>
          <t>JÄMTLANDS LÄN</t>
        </is>
      </c>
      <c r="E265" t="inlineStr">
        <is>
          <t>ÅRE</t>
        </is>
      </c>
      <c r="G265" t="n">
        <v>7</v>
      </c>
      <c r="H265" t="n">
        <v>0</v>
      </c>
      <c r="I265" t="n">
        <v>0</v>
      </c>
      <c r="J265" t="n">
        <v>0</v>
      </c>
      <c r="K265" t="n">
        <v>0</v>
      </c>
      <c r="L265" t="n">
        <v>0</v>
      </c>
      <c r="M265" t="n">
        <v>0</v>
      </c>
      <c r="N265" t="n">
        <v>0</v>
      </c>
      <c r="O265" t="n">
        <v>0</v>
      </c>
      <c r="P265" t="n">
        <v>0</v>
      </c>
      <c r="Q265" t="n">
        <v>0</v>
      </c>
      <c r="R265" s="2" t="inlineStr"/>
    </row>
    <row r="266" ht="15" customHeight="1">
      <c r="A266" t="inlineStr">
        <is>
          <t>A 18253-2023</t>
        </is>
      </c>
      <c r="B266" s="1" t="n">
        <v>45041.48034722222</v>
      </c>
      <c r="C266" s="1" t="n">
        <v>45974</v>
      </c>
      <c r="D266" t="inlineStr">
        <is>
          <t>JÄMTLANDS LÄN</t>
        </is>
      </c>
      <c r="E266" t="inlineStr">
        <is>
          <t>ÅRE</t>
        </is>
      </c>
      <c r="G266" t="n">
        <v>1.3</v>
      </c>
      <c r="H266" t="n">
        <v>0</v>
      </c>
      <c r="I266" t="n">
        <v>0</v>
      </c>
      <c r="J266" t="n">
        <v>0</v>
      </c>
      <c r="K266" t="n">
        <v>0</v>
      </c>
      <c r="L266" t="n">
        <v>0</v>
      </c>
      <c r="M266" t="n">
        <v>0</v>
      </c>
      <c r="N266" t="n">
        <v>0</v>
      </c>
      <c r="O266" t="n">
        <v>0</v>
      </c>
      <c r="P266" t="n">
        <v>0</v>
      </c>
      <c r="Q266" t="n">
        <v>0</v>
      </c>
      <c r="R266" s="2" t="inlineStr"/>
    </row>
    <row r="267" ht="15" customHeight="1">
      <c r="A267" t="inlineStr">
        <is>
          <t>A 46788-2024</t>
        </is>
      </c>
      <c r="B267" s="1" t="n">
        <v>45583.53219907408</v>
      </c>
      <c r="C267" s="1" t="n">
        <v>45974</v>
      </c>
      <c r="D267" t="inlineStr">
        <is>
          <t>JÄMTLANDS LÄN</t>
        </is>
      </c>
      <c r="E267" t="inlineStr">
        <is>
          <t>ÅRE</t>
        </is>
      </c>
      <c r="F267" t="inlineStr">
        <is>
          <t>Övriga Aktiebolag</t>
        </is>
      </c>
      <c r="G267" t="n">
        <v>0.3</v>
      </c>
      <c r="H267" t="n">
        <v>0</v>
      </c>
      <c r="I267" t="n">
        <v>0</v>
      </c>
      <c r="J267" t="n">
        <v>0</v>
      </c>
      <c r="K267" t="n">
        <v>0</v>
      </c>
      <c r="L267" t="n">
        <v>0</v>
      </c>
      <c r="M267" t="n">
        <v>0</v>
      </c>
      <c r="N267" t="n">
        <v>0</v>
      </c>
      <c r="O267" t="n">
        <v>0</v>
      </c>
      <c r="P267" t="n">
        <v>0</v>
      </c>
      <c r="Q267" t="n">
        <v>0</v>
      </c>
      <c r="R267" s="2" t="inlineStr"/>
    </row>
    <row r="268" ht="15" customHeight="1">
      <c r="A268" t="inlineStr">
        <is>
          <t>A 60899-2022</t>
        </is>
      </c>
      <c r="B268" s="1" t="n">
        <v>44908</v>
      </c>
      <c r="C268" s="1" t="n">
        <v>45974</v>
      </c>
      <c r="D268" t="inlineStr">
        <is>
          <t>JÄMTLANDS LÄN</t>
        </is>
      </c>
      <c r="E268" t="inlineStr">
        <is>
          <t>ÅRE</t>
        </is>
      </c>
      <c r="G268" t="n">
        <v>0.6</v>
      </c>
      <c r="H268" t="n">
        <v>0</v>
      </c>
      <c r="I268" t="n">
        <v>0</v>
      </c>
      <c r="J268" t="n">
        <v>0</v>
      </c>
      <c r="K268" t="n">
        <v>0</v>
      </c>
      <c r="L268" t="n">
        <v>0</v>
      </c>
      <c r="M268" t="n">
        <v>0</v>
      </c>
      <c r="N268" t="n">
        <v>0</v>
      </c>
      <c r="O268" t="n">
        <v>0</v>
      </c>
      <c r="P268" t="n">
        <v>0</v>
      </c>
      <c r="Q268" t="n">
        <v>0</v>
      </c>
      <c r="R268" s="2" t="inlineStr"/>
    </row>
    <row r="269" ht="15" customHeight="1">
      <c r="A269" t="inlineStr">
        <is>
          <t>A 54324-2023</t>
        </is>
      </c>
      <c r="B269" s="1" t="n">
        <v>45225</v>
      </c>
      <c r="C269" s="1" t="n">
        <v>45974</v>
      </c>
      <c r="D269" t="inlineStr">
        <is>
          <t>JÄMTLANDS LÄN</t>
        </is>
      </c>
      <c r="E269" t="inlineStr">
        <is>
          <t>ÅRE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54385-2023</t>
        </is>
      </c>
      <c r="B270" s="1" t="n">
        <v>45233.35863425926</v>
      </c>
      <c r="C270" s="1" t="n">
        <v>45974</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59397-2021</t>
        </is>
      </c>
      <c r="B271" s="1" t="n">
        <v>44491</v>
      </c>
      <c r="C271" s="1" t="n">
        <v>45974</v>
      </c>
      <c r="D271" t="inlineStr">
        <is>
          <t>JÄMTLANDS LÄN</t>
        </is>
      </c>
      <c r="E271" t="inlineStr">
        <is>
          <t>ÅRE</t>
        </is>
      </c>
      <c r="F271" t="inlineStr">
        <is>
          <t>Övriga Aktiebolag</t>
        </is>
      </c>
      <c r="G271" t="n">
        <v>7.6</v>
      </c>
      <c r="H271" t="n">
        <v>0</v>
      </c>
      <c r="I271" t="n">
        <v>0</v>
      </c>
      <c r="J271" t="n">
        <v>0</v>
      </c>
      <c r="K271" t="n">
        <v>0</v>
      </c>
      <c r="L271" t="n">
        <v>0</v>
      </c>
      <c r="M271" t="n">
        <v>0</v>
      </c>
      <c r="N271" t="n">
        <v>0</v>
      </c>
      <c r="O271" t="n">
        <v>0</v>
      </c>
      <c r="P271" t="n">
        <v>0</v>
      </c>
      <c r="Q271" t="n">
        <v>0</v>
      </c>
      <c r="R271" s="2" t="inlineStr"/>
    </row>
    <row r="272" ht="15" customHeight="1">
      <c r="A272" t="inlineStr">
        <is>
          <t>A 3149-2023</t>
        </is>
      </c>
      <c r="B272" s="1" t="n">
        <v>44946.5500925926</v>
      </c>
      <c r="C272" s="1" t="n">
        <v>45974</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45324-2024</t>
        </is>
      </c>
      <c r="B273" s="1" t="n">
        <v>45576</v>
      </c>
      <c r="C273" s="1" t="n">
        <v>45974</v>
      </c>
      <c r="D273" t="inlineStr">
        <is>
          <t>JÄMTLANDS LÄN</t>
        </is>
      </c>
      <c r="E273" t="inlineStr">
        <is>
          <t>ÅRE</t>
        </is>
      </c>
      <c r="G273" t="n">
        <v>9.4</v>
      </c>
      <c r="H273" t="n">
        <v>0</v>
      </c>
      <c r="I273" t="n">
        <v>0</v>
      </c>
      <c r="J273" t="n">
        <v>0</v>
      </c>
      <c r="K273" t="n">
        <v>0</v>
      </c>
      <c r="L273" t="n">
        <v>0</v>
      </c>
      <c r="M273" t="n">
        <v>0</v>
      </c>
      <c r="N273" t="n">
        <v>0</v>
      </c>
      <c r="O273" t="n">
        <v>0</v>
      </c>
      <c r="P273" t="n">
        <v>0</v>
      </c>
      <c r="Q273" t="n">
        <v>0</v>
      </c>
      <c r="R273" s="2" t="inlineStr"/>
    </row>
    <row r="274" ht="15" customHeight="1">
      <c r="A274" t="inlineStr">
        <is>
          <t>A 59916-2023</t>
        </is>
      </c>
      <c r="B274" s="1" t="n">
        <v>45257.64270833333</v>
      </c>
      <c r="C274" s="1" t="n">
        <v>45974</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42244-2024</t>
        </is>
      </c>
      <c r="B275" s="1" t="n">
        <v>45562.56747685185</v>
      </c>
      <c r="C275" s="1" t="n">
        <v>45974</v>
      </c>
      <c r="D275" t="inlineStr">
        <is>
          <t>JÄMTLANDS LÄN</t>
        </is>
      </c>
      <c r="E275" t="inlineStr">
        <is>
          <t>ÅRE</t>
        </is>
      </c>
      <c r="F275" t="inlineStr">
        <is>
          <t>Övriga Aktiebolag</t>
        </is>
      </c>
      <c r="G275" t="n">
        <v>6</v>
      </c>
      <c r="H275" t="n">
        <v>0</v>
      </c>
      <c r="I275" t="n">
        <v>0</v>
      </c>
      <c r="J275" t="n">
        <v>0</v>
      </c>
      <c r="K275" t="n">
        <v>0</v>
      </c>
      <c r="L275" t="n">
        <v>0</v>
      </c>
      <c r="M275" t="n">
        <v>0</v>
      </c>
      <c r="N275" t="n">
        <v>0</v>
      </c>
      <c r="O275" t="n">
        <v>0</v>
      </c>
      <c r="P275" t="n">
        <v>0</v>
      </c>
      <c r="Q275" t="n">
        <v>0</v>
      </c>
      <c r="R275" s="2" t="inlineStr"/>
    </row>
    <row r="276" ht="15" customHeight="1">
      <c r="A276" t="inlineStr">
        <is>
          <t>A 556-2023</t>
        </is>
      </c>
      <c r="B276" s="1" t="n">
        <v>44930</v>
      </c>
      <c r="C276" s="1" t="n">
        <v>45974</v>
      </c>
      <c r="D276" t="inlineStr">
        <is>
          <t>JÄMTLANDS LÄN</t>
        </is>
      </c>
      <c r="E276" t="inlineStr">
        <is>
          <t>ÅRE</t>
        </is>
      </c>
      <c r="G276" t="n">
        <v>14.9</v>
      </c>
      <c r="H276" t="n">
        <v>0</v>
      </c>
      <c r="I276" t="n">
        <v>0</v>
      </c>
      <c r="J276" t="n">
        <v>0</v>
      </c>
      <c r="K276" t="n">
        <v>0</v>
      </c>
      <c r="L276" t="n">
        <v>0</v>
      </c>
      <c r="M276" t="n">
        <v>0</v>
      </c>
      <c r="N276" t="n">
        <v>0</v>
      </c>
      <c r="O276" t="n">
        <v>0</v>
      </c>
      <c r="P276" t="n">
        <v>0</v>
      </c>
      <c r="Q276" t="n">
        <v>0</v>
      </c>
      <c r="R276" s="2" t="inlineStr"/>
    </row>
    <row r="277" ht="15" customHeight="1">
      <c r="A277" t="inlineStr">
        <is>
          <t>A 34357-2021</t>
        </is>
      </c>
      <c r="B277" s="1" t="n">
        <v>44379</v>
      </c>
      <c r="C277" s="1" t="n">
        <v>45974</v>
      </c>
      <c r="D277" t="inlineStr">
        <is>
          <t>JÄMTLANDS LÄN</t>
        </is>
      </c>
      <c r="E277" t="inlineStr">
        <is>
          <t>ÅRE</t>
        </is>
      </c>
      <c r="G277" t="n">
        <v>7.1</v>
      </c>
      <c r="H277" t="n">
        <v>0</v>
      </c>
      <c r="I277" t="n">
        <v>0</v>
      </c>
      <c r="J277" t="n">
        <v>0</v>
      </c>
      <c r="K277" t="n">
        <v>0</v>
      </c>
      <c r="L277" t="n">
        <v>0</v>
      </c>
      <c r="M277" t="n">
        <v>0</v>
      </c>
      <c r="N277" t="n">
        <v>0</v>
      </c>
      <c r="O277" t="n">
        <v>0</v>
      </c>
      <c r="P277" t="n">
        <v>0</v>
      </c>
      <c r="Q277" t="n">
        <v>0</v>
      </c>
      <c r="R277" s="2" t="inlineStr"/>
    </row>
    <row r="278" ht="15" customHeight="1">
      <c r="A278" t="inlineStr">
        <is>
          <t>A 12288-2023</t>
        </is>
      </c>
      <c r="B278" s="1" t="n">
        <v>44998.73143518518</v>
      </c>
      <c r="C278" s="1" t="n">
        <v>45974</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73086-2021</t>
        </is>
      </c>
      <c r="B279" s="1" t="n">
        <v>44550</v>
      </c>
      <c r="C279" s="1" t="n">
        <v>45974</v>
      </c>
      <c r="D279" t="inlineStr">
        <is>
          <t>JÄMTLANDS LÄN</t>
        </is>
      </c>
      <c r="E279" t="inlineStr">
        <is>
          <t>ÅRE</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58917-2022</t>
        </is>
      </c>
      <c r="B280" s="1" t="n">
        <v>44903</v>
      </c>
      <c r="C280" s="1" t="n">
        <v>45974</v>
      </c>
      <c r="D280" t="inlineStr">
        <is>
          <t>JÄMTLANDS LÄN</t>
        </is>
      </c>
      <c r="E280" t="inlineStr">
        <is>
          <t>ÅRE</t>
        </is>
      </c>
      <c r="F280" t="inlineStr">
        <is>
          <t>Övriga Aktiebolag</t>
        </is>
      </c>
      <c r="G280" t="n">
        <v>3.3</v>
      </c>
      <c r="H280" t="n">
        <v>0</v>
      </c>
      <c r="I280" t="n">
        <v>0</v>
      </c>
      <c r="J280" t="n">
        <v>0</v>
      </c>
      <c r="K280" t="n">
        <v>0</v>
      </c>
      <c r="L280" t="n">
        <v>0</v>
      </c>
      <c r="M280" t="n">
        <v>0</v>
      </c>
      <c r="N280" t="n">
        <v>0</v>
      </c>
      <c r="O280" t="n">
        <v>0</v>
      </c>
      <c r="P280" t="n">
        <v>0</v>
      </c>
      <c r="Q280" t="n">
        <v>0</v>
      </c>
      <c r="R280" s="2" t="inlineStr"/>
    </row>
    <row r="281" ht="15" customHeight="1">
      <c r="A281" t="inlineStr">
        <is>
          <t>A 57864-2024</t>
        </is>
      </c>
      <c r="B281" s="1" t="n">
        <v>45631.43578703704</v>
      </c>
      <c r="C281" s="1" t="n">
        <v>45974</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40341-2021</t>
        </is>
      </c>
      <c r="B282" s="1" t="n">
        <v>44419</v>
      </c>
      <c r="C282" s="1" t="n">
        <v>45974</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54250-2024</t>
        </is>
      </c>
      <c r="B283" s="1" t="n">
        <v>45616</v>
      </c>
      <c r="C283" s="1" t="n">
        <v>45974</v>
      </c>
      <c r="D283" t="inlineStr">
        <is>
          <t>JÄMTLANDS LÄN</t>
        </is>
      </c>
      <c r="E283" t="inlineStr">
        <is>
          <t>ÅRE</t>
        </is>
      </c>
      <c r="G283" t="n">
        <v>2.8</v>
      </c>
      <c r="H283" t="n">
        <v>0</v>
      </c>
      <c r="I283" t="n">
        <v>0</v>
      </c>
      <c r="J283" t="n">
        <v>0</v>
      </c>
      <c r="K283" t="n">
        <v>0</v>
      </c>
      <c r="L283" t="n">
        <v>0</v>
      </c>
      <c r="M283" t="n">
        <v>0</v>
      </c>
      <c r="N283" t="n">
        <v>0</v>
      </c>
      <c r="O283" t="n">
        <v>0</v>
      </c>
      <c r="P283" t="n">
        <v>0</v>
      </c>
      <c r="Q283" t="n">
        <v>0</v>
      </c>
      <c r="R283" s="2" t="inlineStr"/>
    </row>
    <row r="284" ht="15" customHeight="1">
      <c r="A284" t="inlineStr">
        <is>
          <t>A 37729-2023</t>
        </is>
      </c>
      <c r="B284" s="1" t="n">
        <v>45159</v>
      </c>
      <c r="C284" s="1" t="n">
        <v>45974</v>
      </c>
      <c r="D284" t="inlineStr">
        <is>
          <t>JÄMTLANDS LÄN</t>
        </is>
      </c>
      <c r="E284" t="inlineStr">
        <is>
          <t>ÅRE</t>
        </is>
      </c>
      <c r="G284" t="n">
        <v>2.4</v>
      </c>
      <c r="H284" t="n">
        <v>0</v>
      </c>
      <c r="I284" t="n">
        <v>0</v>
      </c>
      <c r="J284" t="n">
        <v>0</v>
      </c>
      <c r="K284" t="n">
        <v>0</v>
      </c>
      <c r="L284" t="n">
        <v>0</v>
      </c>
      <c r="M284" t="n">
        <v>0</v>
      </c>
      <c r="N284" t="n">
        <v>0</v>
      </c>
      <c r="O284" t="n">
        <v>0</v>
      </c>
      <c r="P284" t="n">
        <v>0</v>
      </c>
      <c r="Q284" t="n">
        <v>0</v>
      </c>
      <c r="R284" s="2" t="inlineStr"/>
    </row>
    <row r="285" ht="15" customHeight="1">
      <c r="A285" t="inlineStr">
        <is>
          <t>A 36234-2023</t>
        </is>
      </c>
      <c r="B285" s="1" t="n">
        <v>45150</v>
      </c>
      <c r="C285" s="1" t="n">
        <v>45974</v>
      </c>
      <c r="D285" t="inlineStr">
        <is>
          <t>JÄMTLANDS LÄN</t>
        </is>
      </c>
      <c r="E285" t="inlineStr">
        <is>
          <t>ÅRE</t>
        </is>
      </c>
      <c r="G285" t="n">
        <v>0.9</v>
      </c>
      <c r="H285" t="n">
        <v>0</v>
      </c>
      <c r="I285" t="n">
        <v>0</v>
      </c>
      <c r="J285" t="n">
        <v>0</v>
      </c>
      <c r="K285" t="n">
        <v>0</v>
      </c>
      <c r="L285" t="n">
        <v>0</v>
      </c>
      <c r="M285" t="n">
        <v>0</v>
      </c>
      <c r="N285" t="n">
        <v>0</v>
      </c>
      <c r="O285" t="n">
        <v>0</v>
      </c>
      <c r="P285" t="n">
        <v>0</v>
      </c>
      <c r="Q285" t="n">
        <v>0</v>
      </c>
      <c r="R285" s="2" t="inlineStr"/>
    </row>
    <row r="286" ht="15" customHeight="1">
      <c r="A286" t="inlineStr">
        <is>
          <t>A 61803-2021</t>
        </is>
      </c>
      <c r="B286" s="1" t="n">
        <v>44498</v>
      </c>
      <c r="C286" s="1" t="n">
        <v>45974</v>
      </c>
      <c r="D286" t="inlineStr">
        <is>
          <t>JÄMTLANDS LÄN</t>
        </is>
      </c>
      <c r="E286" t="inlineStr">
        <is>
          <t>ÅRE</t>
        </is>
      </c>
      <c r="G286" t="n">
        <v>0.9</v>
      </c>
      <c r="H286" t="n">
        <v>0</v>
      </c>
      <c r="I286" t="n">
        <v>0</v>
      </c>
      <c r="J286" t="n">
        <v>0</v>
      </c>
      <c r="K286" t="n">
        <v>0</v>
      </c>
      <c r="L286" t="n">
        <v>0</v>
      </c>
      <c r="M286" t="n">
        <v>0</v>
      </c>
      <c r="N286" t="n">
        <v>0</v>
      </c>
      <c r="O286" t="n">
        <v>0</v>
      </c>
      <c r="P286" t="n">
        <v>0</v>
      </c>
      <c r="Q286" t="n">
        <v>0</v>
      </c>
      <c r="R286" s="2" t="inlineStr"/>
    </row>
    <row r="287" ht="15" customHeight="1">
      <c r="A287" t="inlineStr">
        <is>
          <t>A 38456-2021</t>
        </is>
      </c>
      <c r="B287" s="1" t="n">
        <v>44406</v>
      </c>
      <c r="C287" s="1" t="n">
        <v>45974</v>
      </c>
      <c r="D287" t="inlineStr">
        <is>
          <t>JÄMTLANDS LÄN</t>
        </is>
      </c>
      <c r="E287" t="inlineStr">
        <is>
          <t>ÅRE</t>
        </is>
      </c>
      <c r="G287" t="n">
        <v>19.8</v>
      </c>
      <c r="H287" t="n">
        <v>0</v>
      </c>
      <c r="I287" t="n">
        <v>0</v>
      </c>
      <c r="J287" t="n">
        <v>0</v>
      </c>
      <c r="K287" t="n">
        <v>0</v>
      </c>
      <c r="L287" t="n">
        <v>0</v>
      </c>
      <c r="M287" t="n">
        <v>0</v>
      </c>
      <c r="N287" t="n">
        <v>0</v>
      </c>
      <c r="O287" t="n">
        <v>0</v>
      </c>
      <c r="P287" t="n">
        <v>0</v>
      </c>
      <c r="Q287" t="n">
        <v>0</v>
      </c>
      <c r="R287" s="2" t="inlineStr"/>
    </row>
    <row r="288" ht="15" customHeight="1">
      <c r="A288" t="inlineStr">
        <is>
          <t>A 69568-2021</t>
        </is>
      </c>
      <c r="B288" s="1" t="n">
        <v>44531</v>
      </c>
      <c r="C288" s="1" t="n">
        <v>45974</v>
      </c>
      <c r="D288" t="inlineStr">
        <is>
          <t>JÄMTLANDS LÄN</t>
        </is>
      </c>
      <c r="E288" t="inlineStr">
        <is>
          <t>ÅRE</t>
        </is>
      </c>
      <c r="G288" t="n">
        <v>2.9</v>
      </c>
      <c r="H288" t="n">
        <v>0</v>
      </c>
      <c r="I288" t="n">
        <v>0</v>
      </c>
      <c r="J288" t="n">
        <v>0</v>
      </c>
      <c r="K288" t="n">
        <v>0</v>
      </c>
      <c r="L288" t="n">
        <v>0</v>
      </c>
      <c r="M288" t="n">
        <v>0</v>
      </c>
      <c r="N288" t="n">
        <v>0</v>
      </c>
      <c r="O288" t="n">
        <v>0</v>
      </c>
      <c r="P288" t="n">
        <v>0</v>
      </c>
      <c r="Q288" t="n">
        <v>0</v>
      </c>
      <c r="R288" s="2" t="inlineStr"/>
    </row>
    <row r="289" ht="15" customHeight="1">
      <c r="A289" t="inlineStr">
        <is>
          <t>A 36048-2023</t>
        </is>
      </c>
      <c r="B289" s="1" t="n">
        <v>45149.42868055555</v>
      </c>
      <c r="C289" s="1" t="n">
        <v>45974</v>
      </c>
      <c r="D289" t="inlineStr">
        <is>
          <t>JÄMTLANDS LÄN</t>
        </is>
      </c>
      <c r="E289" t="inlineStr">
        <is>
          <t>ÅRE</t>
        </is>
      </c>
      <c r="G289" t="n">
        <v>11.4</v>
      </c>
      <c r="H289" t="n">
        <v>0</v>
      </c>
      <c r="I289" t="n">
        <v>0</v>
      </c>
      <c r="J289" t="n">
        <v>0</v>
      </c>
      <c r="K289" t="n">
        <v>0</v>
      </c>
      <c r="L289" t="n">
        <v>0</v>
      </c>
      <c r="M289" t="n">
        <v>0</v>
      </c>
      <c r="N289" t="n">
        <v>0</v>
      </c>
      <c r="O289" t="n">
        <v>0</v>
      </c>
      <c r="P289" t="n">
        <v>0</v>
      </c>
      <c r="Q289" t="n">
        <v>0</v>
      </c>
      <c r="R289" s="2" t="inlineStr"/>
    </row>
    <row r="290" ht="15" customHeight="1">
      <c r="A290" t="inlineStr">
        <is>
          <t>A 9312-2025</t>
        </is>
      </c>
      <c r="B290" s="1" t="n">
        <v>45714.68869212963</v>
      </c>
      <c r="C290" s="1" t="n">
        <v>45974</v>
      </c>
      <c r="D290" t="inlineStr">
        <is>
          <t>JÄMTLANDS LÄN</t>
        </is>
      </c>
      <c r="E290" t="inlineStr">
        <is>
          <t>ÅRE</t>
        </is>
      </c>
      <c r="G290" t="n">
        <v>1.2</v>
      </c>
      <c r="H290" t="n">
        <v>0</v>
      </c>
      <c r="I290" t="n">
        <v>0</v>
      </c>
      <c r="J290" t="n">
        <v>0</v>
      </c>
      <c r="K290" t="n">
        <v>0</v>
      </c>
      <c r="L290" t="n">
        <v>0</v>
      </c>
      <c r="M290" t="n">
        <v>0</v>
      </c>
      <c r="N290" t="n">
        <v>0</v>
      </c>
      <c r="O290" t="n">
        <v>0</v>
      </c>
      <c r="P290" t="n">
        <v>0</v>
      </c>
      <c r="Q290" t="n">
        <v>0</v>
      </c>
      <c r="R290" s="2" t="inlineStr"/>
    </row>
    <row r="291" ht="15" customHeight="1">
      <c r="A291" t="inlineStr">
        <is>
          <t>A 19705-2023</t>
        </is>
      </c>
      <c r="B291" s="1" t="n">
        <v>45051</v>
      </c>
      <c r="C291" s="1" t="n">
        <v>45974</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68537-2020</t>
        </is>
      </c>
      <c r="B292" s="1" t="n">
        <v>44186</v>
      </c>
      <c r="C292" s="1" t="n">
        <v>45974</v>
      </c>
      <c r="D292" t="inlineStr">
        <is>
          <t>JÄMTLANDS LÄN</t>
        </is>
      </c>
      <c r="E292" t="inlineStr">
        <is>
          <t>ÅRE</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68545-2020</t>
        </is>
      </c>
      <c r="B293" s="1" t="n">
        <v>44186</v>
      </c>
      <c r="C293" s="1" t="n">
        <v>45974</v>
      </c>
      <c r="D293" t="inlineStr">
        <is>
          <t>JÄMTLANDS LÄN</t>
        </is>
      </c>
      <c r="E293" t="inlineStr">
        <is>
          <t>ÅRE</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61622-2023</t>
        </is>
      </c>
      <c r="B294" s="1" t="n">
        <v>45261</v>
      </c>
      <c r="C294" s="1" t="n">
        <v>45974</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69592-2021</t>
        </is>
      </c>
      <c r="B295" s="1" t="n">
        <v>44531</v>
      </c>
      <c r="C295" s="1" t="n">
        <v>45974</v>
      </c>
      <c r="D295" t="inlineStr">
        <is>
          <t>JÄMTLANDS LÄN</t>
        </is>
      </c>
      <c r="E295" t="inlineStr">
        <is>
          <t>ÅRE</t>
        </is>
      </c>
      <c r="G295" t="n">
        <v>4.7</v>
      </c>
      <c r="H295" t="n">
        <v>0</v>
      </c>
      <c r="I295" t="n">
        <v>0</v>
      </c>
      <c r="J295" t="n">
        <v>0</v>
      </c>
      <c r="K295" t="n">
        <v>0</v>
      </c>
      <c r="L295" t="n">
        <v>0</v>
      </c>
      <c r="M295" t="n">
        <v>0</v>
      </c>
      <c r="N295" t="n">
        <v>0</v>
      </c>
      <c r="O295" t="n">
        <v>0</v>
      </c>
      <c r="P295" t="n">
        <v>0</v>
      </c>
      <c r="Q295" t="n">
        <v>0</v>
      </c>
      <c r="R295" s="2" t="inlineStr"/>
    </row>
    <row r="296" ht="15" customHeight="1">
      <c r="A296" t="inlineStr">
        <is>
          <t>A 30080-2024</t>
        </is>
      </c>
      <c r="B296" s="1" t="n">
        <v>45485</v>
      </c>
      <c r="C296" s="1" t="n">
        <v>45974</v>
      </c>
      <c r="D296" t="inlineStr">
        <is>
          <t>JÄMTLANDS LÄN</t>
        </is>
      </c>
      <c r="E296" t="inlineStr">
        <is>
          <t>ÅRE</t>
        </is>
      </c>
      <c r="G296" t="n">
        <v>24.6</v>
      </c>
      <c r="H296" t="n">
        <v>0</v>
      </c>
      <c r="I296" t="n">
        <v>0</v>
      </c>
      <c r="J296" t="n">
        <v>0</v>
      </c>
      <c r="K296" t="n">
        <v>0</v>
      </c>
      <c r="L296" t="n">
        <v>0</v>
      </c>
      <c r="M296" t="n">
        <v>0</v>
      </c>
      <c r="N296" t="n">
        <v>0</v>
      </c>
      <c r="O296" t="n">
        <v>0</v>
      </c>
      <c r="P296" t="n">
        <v>0</v>
      </c>
      <c r="Q296" t="n">
        <v>0</v>
      </c>
      <c r="R296" s="2" t="inlineStr"/>
    </row>
    <row r="297" ht="15" customHeight="1">
      <c r="A297" t="inlineStr">
        <is>
          <t>A 30081-2024</t>
        </is>
      </c>
      <c r="B297" s="1" t="n">
        <v>45485</v>
      </c>
      <c r="C297" s="1" t="n">
        <v>45974</v>
      </c>
      <c r="D297" t="inlineStr">
        <is>
          <t>JÄMTLANDS LÄN</t>
        </is>
      </c>
      <c r="E297" t="inlineStr">
        <is>
          <t>ÅRE</t>
        </is>
      </c>
      <c r="G297" t="n">
        <v>17.8</v>
      </c>
      <c r="H297" t="n">
        <v>0</v>
      </c>
      <c r="I297" t="n">
        <v>0</v>
      </c>
      <c r="J297" t="n">
        <v>0</v>
      </c>
      <c r="K297" t="n">
        <v>0</v>
      </c>
      <c r="L297" t="n">
        <v>0</v>
      </c>
      <c r="M297" t="n">
        <v>0</v>
      </c>
      <c r="N297" t="n">
        <v>0</v>
      </c>
      <c r="O297" t="n">
        <v>0</v>
      </c>
      <c r="P297" t="n">
        <v>0</v>
      </c>
      <c r="Q297" t="n">
        <v>0</v>
      </c>
      <c r="R297" s="2" t="inlineStr"/>
    </row>
    <row r="298" ht="15" customHeight="1">
      <c r="A298" t="inlineStr">
        <is>
          <t>A 9775-2023</t>
        </is>
      </c>
      <c r="B298" s="1" t="n">
        <v>44984.60255787037</v>
      </c>
      <c r="C298" s="1" t="n">
        <v>45974</v>
      </c>
      <c r="D298" t="inlineStr">
        <is>
          <t>JÄMTLANDS LÄN</t>
        </is>
      </c>
      <c r="E298" t="inlineStr">
        <is>
          <t>ÅRE</t>
        </is>
      </c>
      <c r="G298" t="n">
        <v>2.4</v>
      </c>
      <c r="H298" t="n">
        <v>0</v>
      </c>
      <c r="I298" t="n">
        <v>0</v>
      </c>
      <c r="J298" t="n">
        <v>0</v>
      </c>
      <c r="K298" t="n">
        <v>0</v>
      </c>
      <c r="L298" t="n">
        <v>0</v>
      </c>
      <c r="M298" t="n">
        <v>0</v>
      </c>
      <c r="N298" t="n">
        <v>0</v>
      </c>
      <c r="O298" t="n">
        <v>0</v>
      </c>
      <c r="P298" t="n">
        <v>0</v>
      </c>
      <c r="Q298" t="n">
        <v>0</v>
      </c>
      <c r="R298" s="2" t="inlineStr"/>
    </row>
    <row r="299" ht="15" customHeight="1">
      <c r="A299" t="inlineStr">
        <is>
          <t>A 60426-2022</t>
        </is>
      </c>
      <c r="B299" s="1" t="n">
        <v>44911.32092592592</v>
      </c>
      <c r="C299" s="1" t="n">
        <v>45974</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34538-2023</t>
        </is>
      </c>
      <c r="B300" s="1" t="n">
        <v>45134</v>
      </c>
      <c r="C300" s="1" t="n">
        <v>45974</v>
      </c>
      <c r="D300" t="inlineStr">
        <is>
          <t>JÄMTLANDS LÄN</t>
        </is>
      </c>
      <c r="E300" t="inlineStr">
        <is>
          <t>ÅRE</t>
        </is>
      </c>
      <c r="G300" t="n">
        <v>1.3</v>
      </c>
      <c r="H300" t="n">
        <v>0</v>
      </c>
      <c r="I300" t="n">
        <v>0</v>
      </c>
      <c r="J300" t="n">
        <v>0</v>
      </c>
      <c r="K300" t="n">
        <v>0</v>
      </c>
      <c r="L300" t="n">
        <v>0</v>
      </c>
      <c r="M300" t="n">
        <v>0</v>
      </c>
      <c r="N300" t="n">
        <v>0</v>
      </c>
      <c r="O300" t="n">
        <v>0</v>
      </c>
      <c r="P300" t="n">
        <v>0</v>
      </c>
      <c r="Q300" t="n">
        <v>0</v>
      </c>
      <c r="R300" s="2" t="inlineStr"/>
    </row>
    <row r="301" ht="15" customHeight="1">
      <c r="A301" t="inlineStr">
        <is>
          <t>A 23118-2022</t>
        </is>
      </c>
      <c r="B301" s="1" t="n">
        <v>44719.5662037037</v>
      </c>
      <c r="C301" s="1" t="n">
        <v>45974</v>
      </c>
      <c r="D301" t="inlineStr">
        <is>
          <t>JÄMTLANDS LÄN</t>
        </is>
      </c>
      <c r="E301" t="inlineStr">
        <is>
          <t>ÅRE</t>
        </is>
      </c>
      <c r="G301" t="n">
        <v>3.5</v>
      </c>
      <c r="H301" t="n">
        <v>0</v>
      </c>
      <c r="I301" t="n">
        <v>0</v>
      </c>
      <c r="J301" t="n">
        <v>0</v>
      </c>
      <c r="K301" t="n">
        <v>0</v>
      </c>
      <c r="L301" t="n">
        <v>0</v>
      </c>
      <c r="M301" t="n">
        <v>0</v>
      </c>
      <c r="N301" t="n">
        <v>0</v>
      </c>
      <c r="O301" t="n">
        <v>0</v>
      </c>
      <c r="P301" t="n">
        <v>0</v>
      </c>
      <c r="Q301" t="n">
        <v>0</v>
      </c>
      <c r="R301" s="2" t="inlineStr"/>
    </row>
    <row r="302" ht="15" customHeight="1">
      <c r="A302" t="inlineStr">
        <is>
          <t>A 57102-2024</t>
        </is>
      </c>
      <c r="B302" s="1" t="n">
        <v>45629.35856481481</v>
      </c>
      <c r="C302" s="1" t="n">
        <v>45974</v>
      </c>
      <c r="D302" t="inlineStr">
        <is>
          <t>JÄMTLANDS LÄN</t>
        </is>
      </c>
      <c r="E302" t="inlineStr">
        <is>
          <t>ÅRE</t>
        </is>
      </c>
      <c r="G302" t="n">
        <v>3.3</v>
      </c>
      <c r="H302" t="n">
        <v>0</v>
      </c>
      <c r="I302" t="n">
        <v>0</v>
      </c>
      <c r="J302" t="n">
        <v>0</v>
      </c>
      <c r="K302" t="n">
        <v>0</v>
      </c>
      <c r="L302" t="n">
        <v>0</v>
      </c>
      <c r="M302" t="n">
        <v>0</v>
      </c>
      <c r="N302" t="n">
        <v>0</v>
      </c>
      <c r="O302" t="n">
        <v>0</v>
      </c>
      <c r="P302" t="n">
        <v>0</v>
      </c>
      <c r="Q302" t="n">
        <v>0</v>
      </c>
      <c r="R302" s="2" t="inlineStr"/>
    </row>
    <row r="303" ht="15" customHeight="1">
      <c r="A303" t="inlineStr">
        <is>
          <t>A 12286-2023</t>
        </is>
      </c>
      <c r="B303" s="1" t="n">
        <v>44998.72263888889</v>
      </c>
      <c r="C303" s="1" t="n">
        <v>45974</v>
      </c>
      <c r="D303" t="inlineStr">
        <is>
          <t>JÄMTLANDS LÄN</t>
        </is>
      </c>
      <c r="E303" t="inlineStr">
        <is>
          <t>ÅRE</t>
        </is>
      </c>
      <c r="G303" t="n">
        <v>7.3</v>
      </c>
      <c r="H303" t="n">
        <v>0</v>
      </c>
      <c r="I303" t="n">
        <v>0</v>
      </c>
      <c r="J303" t="n">
        <v>0</v>
      </c>
      <c r="K303" t="n">
        <v>0</v>
      </c>
      <c r="L303" t="n">
        <v>0</v>
      </c>
      <c r="M303" t="n">
        <v>0</v>
      </c>
      <c r="N303" t="n">
        <v>0</v>
      </c>
      <c r="O303" t="n">
        <v>0</v>
      </c>
      <c r="P303" t="n">
        <v>0</v>
      </c>
      <c r="Q303" t="n">
        <v>0</v>
      </c>
      <c r="R303" s="2" t="inlineStr"/>
    </row>
    <row r="304" ht="15" customHeight="1">
      <c r="A304" t="inlineStr">
        <is>
          <t>A 54904-2022</t>
        </is>
      </c>
      <c r="B304" s="1" t="n">
        <v>44886</v>
      </c>
      <c r="C304" s="1" t="n">
        <v>45974</v>
      </c>
      <c r="D304" t="inlineStr">
        <is>
          <t>JÄMTLANDS LÄN</t>
        </is>
      </c>
      <c r="E304" t="inlineStr">
        <is>
          <t>ÅRE</t>
        </is>
      </c>
      <c r="F304" t="inlineStr">
        <is>
          <t>Övriga Aktiebolag</t>
        </is>
      </c>
      <c r="G304" t="n">
        <v>12.2</v>
      </c>
      <c r="H304" t="n">
        <v>0</v>
      </c>
      <c r="I304" t="n">
        <v>0</v>
      </c>
      <c r="J304" t="n">
        <v>0</v>
      </c>
      <c r="K304" t="n">
        <v>0</v>
      </c>
      <c r="L304" t="n">
        <v>0</v>
      </c>
      <c r="M304" t="n">
        <v>0</v>
      </c>
      <c r="N304" t="n">
        <v>0</v>
      </c>
      <c r="O304" t="n">
        <v>0</v>
      </c>
      <c r="P304" t="n">
        <v>0</v>
      </c>
      <c r="Q304" t="n">
        <v>0</v>
      </c>
      <c r="R304" s="2" t="inlineStr"/>
    </row>
    <row r="305" ht="15" customHeight="1">
      <c r="A305" t="inlineStr">
        <is>
          <t>A 1491-2024</t>
        </is>
      </c>
      <c r="B305" s="1" t="n">
        <v>45305</v>
      </c>
      <c r="C305" s="1" t="n">
        <v>45974</v>
      </c>
      <c r="D305" t="inlineStr">
        <is>
          <t>JÄMTLANDS LÄN</t>
        </is>
      </c>
      <c r="E305" t="inlineStr">
        <is>
          <t>ÅRE</t>
        </is>
      </c>
      <c r="G305" t="n">
        <v>31.4</v>
      </c>
      <c r="H305" t="n">
        <v>0</v>
      </c>
      <c r="I305" t="n">
        <v>0</v>
      </c>
      <c r="J305" t="n">
        <v>0</v>
      </c>
      <c r="K305" t="n">
        <v>0</v>
      </c>
      <c r="L305" t="n">
        <v>0</v>
      </c>
      <c r="M305" t="n">
        <v>0</v>
      </c>
      <c r="N305" t="n">
        <v>0</v>
      </c>
      <c r="O305" t="n">
        <v>0</v>
      </c>
      <c r="P305" t="n">
        <v>0</v>
      </c>
      <c r="Q305" t="n">
        <v>0</v>
      </c>
      <c r="R305" s="2" t="inlineStr"/>
    </row>
    <row r="306" ht="15" customHeight="1">
      <c r="A306" t="inlineStr">
        <is>
          <t>A 15889-2025</t>
        </is>
      </c>
      <c r="B306" s="1" t="n">
        <v>45749.4075</v>
      </c>
      <c r="C306" s="1" t="n">
        <v>45974</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59753-2023</t>
        </is>
      </c>
      <c r="B307" s="1" t="n">
        <v>45254</v>
      </c>
      <c r="C307" s="1" t="n">
        <v>45974</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55056-2024</t>
        </is>
      </c>
      <c r="B308" s="1" t="n">
        <v>45621.40034722222</v>
      </c>
      <c r="C308" s="1" t="n">
        <v>45974</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13561-2025</t>
        </is>
      </c>
      <c r="B309" s="1" t="n">
        <v>45736.5587037037</v>
      </c>
      <c r="C309" s="1" t="n">
        <v>45974</v>
      </c>
      <c r="D309" t="inlineStr">
        <is>
          <t>JÄMTLANDS LÄN</t>
        </is>
      </c>
      <c r="E309" t="inlineStr">
        <is>
          <t>ÅRE</t>
        </is>
      </c>
      <c r="F309" t="inlineStr">
        <is>
          <t>Övriga statliga verk och myndigheter</t>
        </is>
      </c>
      <c r="G309" t="n">
        <v>3.8</v>
      </c>
      <c r="H309" t="n">
        <v>0</v>
      </c>
      <c r="I309" t="n">
        <v>0</v>
      </c>
      <c r="J309" t="n">
        <v>0</v>
      </c>
      <c r="K309" t="n">
        <v>0</v>
      </c>
      <c r="L309" t="n">
        <v>0</v>
      </c>
      <c r="M309" t="n">
        <v>0</v>
      </c>
      <c r="N309" t="n">
        <v>0</v>
      </c>
      <c r="O309" t="n">
        <v>0</v>
      </c>
      <c r="P309" t="n">
        <v>0</v>
      </c>
      <c r="Q309" t="n">
        <v>0</v>
      </c>
      <c r="R309" s="2" t="inlineStr"/>
    </row>
    <row r="310" ht="15" customHeight="1">
      <c r="A310" t="inlineStr">
        <is>
          <t>A 65239-2021</t>
        </is>
      </c>
      <c r="B310" s="1" t="n">
        <v>44515</v>
      </c>
      <c r="C310" s="1" t="n">
        <v>45974</v>
      </c>
      <c r="D310" t="inlineStr">
        <is>
          <t>JÄMTLANDS LÄN</t>
        </is>
      </c>
      <c r="E310" t="inlineStr">
        <is>
          <t>ÅRE</t>
        </is>
      </c>
      <c r="G310" t="n">
        <v>0</v>
      </c>
      <c r="H310" t="n">
        <v>0</v>
      </c>
      <c r="I310" t="n">
        <v>0</v>
      </c>
      <c r="J310" t="n">
        <v>0</v>
      </c>
      <c r="K310" t="n">
        <v>0</v>
      </c>
      <c r="L310" t="n">
        <v>0</v>
      </c>
      <c r="M310" t="n">
        <v>0</v>
      </c>
      <c r="N310" t="n">
        <v>0</v>
      </c>
      <c r="O310" t="n">
        <v>0</v>
      </c>
      <c r="P310" t="n">
        <v>0</v>
      </c>
      <c r="Q310" t="n">
        <v>0</v>
      </c>
      <c r="R310" s="2" t="inlineStr"/>
    </row>
    <row r="311" ht="15" customHeight="1">
      <c r="A311" t="inlineStr">
        <is>
          <t>A 6113-2024</t>
        </is>
      </c>
      <c r="B311" s="1" t="n">
        <v>45337</v>
      </c>
      <c r="C311" s="1" t="n">
        <v>45974</v>
      </c>
      <c r="D311" t="inlineStr">
        <is>
          <t>JÄMTLANDS LÄN</t>
        </is>
      </c>
      <c r="E311" t="inlineStr">
        <is>
          <t>ÅRE</t>
        </is>
      </c>
      <c r="G311" t="n">
        <v>1.3</v>
      </c>
      <c r="H311" t="n">
        <v>0</v>
      </c>
      <c r="I311" t="n">
        <v>0</v>
      </c>
      <c r="J311" t="n">
        <v>0</v>
      </c>
      <c r="K311" t="n">
        <v>0</v>
      </c>
      <c r="L311" t="n">
        <v>0</v>
      </c>
      <c r="M311" t="n">
        <v>0</v>
      </c>
      <c r="N311" t="n">
        <v>0</v>
      </c>
      <c r="O311" t="n">
        <v>0</v>
      </c>
      <c r="P311" t="n">
        <v>0</v>
      </c>
      <c r="Q311" t="n">
        <v>0</v>
      </c>
      <c r="R311" s="2" t="inlineStr"/>
    </row>
    <row r="312" ht="15" customHeight="1">
      <c r="A312" t="inlineStr">
        <is>
          <t>A 5460-2023</t>
        </is>
      </c>
      <c r="B312" s="1" t="n">
        <v>44960</v>
      </c>
      <c r="C312" s="1" t="n">
        <v>45974</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69170-2021</t>
        </is>
      </c>
      <c r="B313" s="1" t="n">
        <v>44529</v>
      </c>
      <c r="C313" s="1" t="n">
        <v>45974</v>
      </c>
      <c r="D313" t="inlineStr">
        <is>
          <t>JÄMTLANDS LÄN</t>
        </is>
      </c>
      <c r="E313" t="inlineStr">
        <is>
          <t>ÅRE</t>
        </is>
      </c>
      <c r="G313" t="n">
        <v>114.4</v>
      </c>
      <c r="H313" t="n">
        <v>0</v>
      </c>
      <c r="I313" t="n">
        <v>0</v>
      </c>
      <c r="J313" t="n">
        <v>0</v>
      </c>
      <c r="K313" t="n">
        <v>0</v>
      </c>
      <c r="L313" t="n">
        <v>0</v>
      </c>
      <c r="M313" t="n">
        <v>0</v>
      </c>
      <c r="N313" t="n">
        <v>0</v>
      </c>
      <c r="O313" t="n">
        <v>0</v>
      </c>
      <c r="P313" t="n">
        <v>0</v>
      </c>
      <c r="Q313" t="n">
        <v>0</v>
      </c>
      <c r="R313" s="2" t="inlineStr"/>
    </row>
    <row r="314" ht="15" customHeight="1">
      <c r="A314" t="inlineStr">
        <is>
          <t>A 3263-2023</t>
        </is>
      </c>
      <c r="B314" s="1" t="n">
        <v>44948.98751157407</v>
      </c>
      <c r="C314" s="1" t="n">
        <v>45974</v>
      </c>
      <c r="D314" t="inlineStr">
        <is>
          <t>JÄMTLANDS LÄN</t>
        </is>
      </c>
      <c r="E314" t="inlineStr">
        <is>
          <t>ÅRE</t>
        </is>
      </c>
      <c r="G314" t="n">
        <v>1.7</v>
      </c>
      <c r="H314" t="n">
        <v>0</v>
      </c>
      <c r="I314" t="n">
        <v>0</v>
      </c>
      <c r="J314" t="n">
        <v>0</v>
      </c>
      <c r="K314" t="n">
        <v>0</v>
      </c>
      <c r="L314" t="n">
        <v>0</v>
      </c>
      <c r="M314" t="n">
        <v>0</v>
      </c>
      <c r="N314" t="n">
        <v>0</v>
      </c>
      <c r="O314" t="n">
        <v>0</v>
      </c>
      <c r="P314" t="n">
        <v>0</v>
      </c>
      <c r="Q314" t="n">
        <v>0</v>
      </c>
      <c r="R314" s="2" t="inlineStr"/>
    </row>
    <row r="315" ht="15" customHeight="1">
      <c r="A315" t="inlineStr">
        <is>
          <t>A 21167-2025</t>
        </is>
      </c>
      <c r="B315" s="1" t="n">
        <v>45779.41253472222</v>
      </c>
      <c r="C315" s="1" t="n">
        <v>45974</v>
      </c>
      <c r="D315" t="inlineStr">
        <is>
          <t>JÄMTLANDS LÄN</t>
        </is>
      </c>
      <c r="E315" t="inlineStr">
        <is>
          <t>ÅRE</t>
        </is>
      </c>
      <c r="G315" t="n">
        <v>0.4</v>
      </c>
      <c r="H315" t="n">
        <v>0</v>
      </c>
      <c r="I315" t="n">
        <v>0</v>
      </c>
      <c r="J315" t="n">
        <v>0</v>
      </c>
      <c r="K315" t="n">
        <v>0</v>
      </c>
      <c r="L315" t="n">
        <v>0</v>
      </c>
      <c r="M315" t="n">
        <v>0</v>
      </c>
      <c r="N315" t="n">
        <v>0</v>
      </c>
      <c r="O315" t="n">
        <v>0</v>
      </c>
      <c r="P315" t="n">
        <v>0</v>
      </c>
      <c r="Q315" t="n">
        <v>0</v>
      </c>
      <c r="R315" s="2" t="inlineStr"/>
    </row>
    <row r="316" ht="15" customHeight="1">
      <c r="A316" t="inlineStr">
        <is>
          <t>A 21181-2025</t>
        </is>
      </c>
      <c r="B316" s="1" t="n">
        <v>45779.43696759259</v>
      </c>
      <c r="C316" s="1" t="n">
        <v>45974</v>
      </c>
      <c r="D316" t="inlineStr">
        <is>
          <t>JÄMTLANDS LÄN</t>
        </is>
      </c>
      <c r="E316" t="inlineStr">
        <is>
          <t>ÅRE</t>
        </is>
      </c>
      <c r="G316" t="n">
        <v>2.9</v>
      </c>
      <c r="H316" t="n">
        <v>0</v>
      </c>
      <c r="I316" t="n">
        <v>0</v>
      </c>
      <c r="J316" t="n">
        <v>0</v>
      </c>
      <c r="K316" t="n">
        <v>0</v>
      </c>
      <c r="L316" t="n">
        <v>0</v>
      </c>
      <c r="M316" t="n">
        <v>0</v>
      </c>
      <c r="N316" t="n">
        <v>0</v>
      </c>
      <c r="O316" t="n">
        <v>0</v>
      </c>
      <c r="P316" t="n">
        <v>0</v>
      </c>
      <c r="Q316" t="n">
        <v>0</v>
      </c>
      <c r="R316" s="2" t="inlineStr"/>
    </row>
    <row r="317" ht="15" customHeight="1">
      <c r="A317" t="inlineStr">
        <is>
          <t>A 43446-2023</t>
        </is>
      </c>
      <c r="B317" s="1" t="n">
        <v>45184.35760416667</v>
      </c>
      <c r="C317" s="1" t="n">
        <v>45974</v>
      </c>
      <c r="D317" t="inlineStr">
        <is>
          <t>JÄMTLANDS LÄN</t>
        </is>
      </c>
      <c r="E317" t="inlineStr">
        <is>
          <t>ÅRE</t>
        </is>
      </c>
      <c r="F317" t="inlineStr">
        <is>
          <t>Övriga Aktiebolag</t>
        </is>
      </c>
      <c r="G317" t="n">
        <v>6.4</v>
      </c>
      <c r="H317" t="n">
        <v>0</v>
      </c>
      <c r="I317" t="n">
        <v>0</v>
      </c>
      <c r="J317" t="n">
        <v>0</v>
      </c>
      <c r="K317" t="n">
        <v>0</v>
      </c>
      <c r="L317" t="n">
        <v>0</v>
      </c>
      <c r="M317" t="n">
        <v>0</v>
      </c>
      <c r="N317" t="n">
        <v>0</v>
      </c>
      <c r="O317" t="n">
        <v>0</v>
      </c>
      <c r="P317" t="n">
        <v>0</v>
      </c>
      <c r="Q317" t="n">
        <v>0</v>
      </c>
      <c r="R317" s="2" t="inlineStr"/>
    </row>
    <row r="318" ht="15" customHeight="1">
      <c r="A318" t="inlineStr">
        <is>
          <t>A 53014-2023</t>
        </is>
      </c>
      <c r="B318" s="1" t="n">
        <v>45226</v>
      </c>
      <c r="C318" s="1" t="n">
        <v>45974</v>
      </c>
      <c r="D318" t="inlineStr">
        <is>
          <t>JÄMTLANDS LÄN</t>
        </is>
      </c>
      <c r="E318" t="inlineStr">
        <is>
          <t>ÅRE</t>
        </is>
      </c>
      <c r="F318" t="inlineStr">
        <is>
          <t>Övriga Aktiebolag</t>
        </is>
      </c>
      <c r="G318" t="n">
        <v>7.5</v>
      </c>
      <c r="H318" t="n">
        <v>0</v>
      </c>
      <c r="I318" t="n">
        <v>0</v>
      </c>
      <c r="J318" t="n">
        <v>0</v>
      </c>
      <c r="K318" t="n">
        <v>0</v>
      </c>
      <c r="L318" t="n">
        <v>0</v>
      </c>
      <c r="M318" t="n">
        <v>0</v>
      </c>
      <c r="N318" t="n">
        <v>0</v>
      </c>
      <c r="O318" t="n">
        <v>0</v>
      </c>
      <c r="P318" t="n">
        <v>0</v>
      </c>
      <c r="Q318" t="n">
        <v>0</v>
      </c>
      <c r="R318" s="2" t="inlineStr"/>
    </row>
    <row r="319" ht="15" customHeight="1">
      <c r="A319" t="inlineStr">
        <is>
          <t>A 26722-2021</t>
        </is>
      </c>
      <c r="B319" s="1" t="n">
        <v>44349</v>
      </c>
      <c r="C319" s="1" t="n">
        <v>45974</v>
      </c>
      <c r="D319" t="inlineStr">
        <is>
          <t>JÄMTLANDS LÄN</t>
        </is>
      </c>
      <c r="E319" t="inlineStr">
        <is>
          <t>ÅRE</t>
        </is>
      </c>
      <c r="G319" t="n">
        <v>11.4</v>
      </c>
      <c r="H319" t="n">
        <v>0</v>
      </c>
      <c r="I319" t="n">
        <v>0</v>
      </c>
      <c r="J319" t="n">
        <v>0</v>
      </c>
      <c r="K319" t="n">
        <v>0</v>
      </c>
      <c r="L319" t="n">
        <v>0</v>
      </c>
      <c r="M319" t="n">
        <v>0</v>
      </c>
      <c r="N319" t="n">
        <v>0</v>
      </c>
      <c r="O319" t="n">
        <v>0</v>
      </c>
      <c r="P319" t="n">
        <v>0</v>
      </c>
      <c r="Q319" t="n">
        <v>0</v>
      </c>
      <c r="R319" s="2" t="inlineStr"/>
    </row>
    <row r="320" ht="15" customHeight="1">
      <c r="A320" t="inlineStr">
        <is>
          <t>A 45453-2024</t>
        </is>
      </c>
      <c r="B320" s="1" t="n">
        <v>45576.66674768519</v>
      </c>
      <c r="C320" s="1" t="n">
        <v>45974</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8983-2021</t>
        </is>
      </c>
      <c r="B321" s="1" t="n">
        <v>44231</v>
      </c>
      <c r="C321" s="1" t="n">
        <v>45974</v>
      </c>
      <c r="D321" t="inlineStr">
        <is>
          <t>JÄMTLANDS LÄN</t>
        </is>
      </c>
      <c r="E321" t="inlineStr">
        <is>
          <t>ÅRE</t>
        </is>
      </c>
      <c r="G321" t="n">
        <v>4.1</v>
      </c>
      <c r="H321" t="n">
        <v>0</v>
      </c>
      <c r="I321" t="n">
        <v>0</v>
      </c>
      <c r="J321" t="n">
        <v>0</v>
      </c>
      <c r="K321" t="n">
        <v>0</v>
      </c>
      <c r="L321" t="n">
        <v>0</v>
      </c>
      <c r="M321" t="n">
        <v>0</v>
      </c>
      <c r="N321" t="n">
        <v>0</v>
      </c>
      <c r="O321" t="n">
        <v>0</v>
      </c>
      <c r="P321" t="n">
        <v>0</v>
      </c>
      <c r="Q321" t="n">
        <v>0</v>
      </c>
      <c r="R321" s="2" t="inlineStr"/>
    </row>
    <row r="322" ht="15" customHeight="1">
      <c r="A322" t="inlineStr">
        <is>
          <t>A 60935-2022</t>
        </is>
      </c>
      <c r="B322" s="1" t="n">
        <v>44908</v>
      </c>
      <c r="C322" s="1" t="n">
        <v>45974</v>
      </c>
      <c r="D322" t="inlineStr">
        <is>
          <t>JÄMTLANDS LÄN</t>
        </is>
      </c>
      <c r="E322" t="inlineStr">
        <is>
          <t>ÅRE</t>
        </is>
      </c>
      <c r="G322" t="n">
        <v>0.8</v>
      </c>
      <c r="H322" t="n">
        <v>0</v>
      </c>
      <c r="I322" t="n">
        <v>0</v>
      </c>
      <c r="J322" t="n">
        <v>0</v>
      </c>
      <c r="K322" t="n">
        <v>0</v>
      </c>
      <c r="L322" t="n">
        <v>0</v>
      </c>
      <c r="M322" t="n">
        <v>0</v>
      </c>
      <c r="N322" t="n">
        <v>0</v>
      </c>
      <c r="O322" t="n">
        <v>0</v>
      </c>
      <c r="P322" t="n">
        <v>0</v>
      </c>
      <c r="Q322" t="n">
        <v>0</v>
      </c>
      <c r="R322" s="2" t="inlineStr"/>
    </row>
    <row r="323" ht="15" customHeight="1">
      <c r="A323" t="inlineStr">
        <is>
          <t>A 56842-2022</t>
        </is>
      </c>
      <c r="B323" s="1" t="n">
        <v>44894.47856481482</v>
      </c>
      <c r="C323" s="1" t="n">
        <v>45974</v>
      </c>
      <c r="D323" t="inlineStr">
        <is>
          <t>JÄMTLANDS LÄN</t>
        </is>
      </c>
      <c r="E323" t="inlineStr">
        <is>
          <t>ÅRE</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45161-2024</t>
        </is>
      </c>
      <c r="B324" s="1" t="n">
        <v>45575.64982638889</v>
      </c>
      <c r="C324" s="1" t="n">
        <v>45974</v>
      </c>
      <c r="D324" t="inlineStr">
        <is>
          <t>JÄMTLANDS LÄN</t>
        </is>
      </c>
      <c r="E324" t="inlineStr">
        <is>
          <t>ÅRE</t>
        </is>
      </c>
      <c r="G324" t="n">
        <v>6.9</v>
      </c>
      <c r="H324" t="n">
        <v>0</v>
      </c>
      <c r="I324" t="n">
        <v>0</v>
      </c>
      <c r="J324" t="n">
        <v>0</v>
      </c>
      <c r="K324" t="n">
        <v>0</v>
      </c>
      <c r="L324" t="n">
        <v>0</v>
      </c>
      <c r="M324" t="n">
        <v>0</v>
      </c>
      <c r="N324" t="n">
        <v>0</v>
      </c>
      <c r="O324" t="n">
        <v>0</v>
      </c>
      <c r="P324" t="n">
        <v>0</v>
      </c>
      <c r="Q324" t="n">
        <v>0</v>
      </c>
      <c r="R324" s="2" t="inlineStr"/>
    </row>
    <row r="325" ht="15" customHeight="1">
      <c r="A325" t="inlineStr">
        <is>
          <t>A 53500-2024</t>
        </is>
      </c>
      <c r="B325" s="1" t="n">
        <v>45614</v>
      </c>
      <c r="C325" s="1" t="n">
        <v>45974</v>
      </c>
      <c r="D325" t="inlineStr">
        <is>
          <t>JÄMTLANDS LÄN</t>
        </is>
      </c>
      <c r="E325" t="inlineStr">
        <is>
          <t>ÅRE</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44889-2023</t>
        </is>
      </c>
      <c r="B326" s="1" t="n">
        <v>45190</v>
      </c>
      <c r="C326" s="1" t="n">
        <v>45974</v>
      </c>
      <c r="D326" t="inlineStr">
        <is>
          <t>JÄMTLANDS LÄN</t>
        </is>
      </c>
      <c r="E326" t="inlineStr">
        <is>
          <t>ÅRE</t>
        </is>
      </c>
      <c r="G326" t="n">
        <v>1.3</v>
      </c>
      <c r="H326" t="n">
        <v>0</v>
      </c>
      <c r="I326" t="n">
        <v>0</v>
      </c>
      <c r="J326" t="n">
        <v>0</v>
      </c>
      <c r="K326" t="n">
        <v>0</v>
      </c>
      <c r="L326" t="n">
        <v>0</v>
      </c>
      <c r="M326" t="n">
        <v>0</v>
      </c>
      <c r="N326" t="n">
        <v>0</v>
      </c>
      <c r="O326" t="n">
        <v>0</v>
      </c>
      <c r="P326" t="n">
        <v>0</v>
      </c>
      <c r="Q326" t="n">
        <v>0</v>
      </c>
      <c r="R326" s="2" t="inlineStr"/>
    </row>
    <row r="327" ht="15" customHeight="1">
      <c r="A327" t="inlineStr">
        <is>
          <t>A 48599-2023</t>
        </is>
      </c>
      <c r="B327" s="1" t="n">
        <v>45208</v>
      </c>
      <c r="C327" s="1" t="n">
        <v>45974</v>
      </c>
      <c r="D327" t="inlineStr">
        <is>
          <t>JÄMTLANDS LÄN</t>
        </is>
      </c>
      <c r="E327" t="inlineStr">
        <is>
          <t>ÅRE</t>
        </is>
      </c>
      <c r="G327" t="n">
        <v>1.1</v>
      </c>
      <c r="H327" t="n">
        <v>0</v>
      </c>
      <c r="I327" t="n">
        <v>0</v>
      </c>
      <c r="J327" t="n">
        <v>0</v>
      </c>
      <c r="K327" t="n">
        <v>0</v>
      </c>
      <c r="L327" t="n">
        <v>0</v>
      </c>
      <c r="M327" t="n">
        <v>0</v>
      </c>
      <c r="N327" t="n">
        <v>0</v>
      </c>
      <c r="O327" t="n">
        <v>0</v>
      </c>
      <c r="P327" t="n">
        <v>0</v>
      </c>
      <c r="Q327" t="n">
        <v>0</v>
      </c>
      <c r="R327" s="2" t="inlineStr"/>
    </row>
    <row r="328" ht="15" customHeight="1">
      <c r="A328" t="inlineStr">
        <is>
          <t>A 49702-2024</t>
        </is>
      </c>
      <c r="B328" s="1" t="n">
        <v>45596</v>
      </c>
      <c r="C328" s="1" t="n">
        <v>45974</v>
      </c>
      <c r="D328" t="inlineStr">
        <is>
          <t>JÄMTLANDS LÄN</t>
        </is>
      </c>
      <c r="E328" t="inlineStr">
        <is>
          <t>ÅRE</t>
        </is>
      </c>
      <c r="F328" t="inlineStr">
        <is>
          <t>Övriga Aktiebolag</t>
        </is>
      </c>
      <c r="G328" t="n">
        <v>1.6</v>
      </c>
      <c r="H328" t="n">
        <v>0</v>
      </c>
      <c r="I328" t="n">
        <v>0</v>
      </c>
      <c r="J328" t="n">
        <v>0</v>
      </c>
      <c r="K328" t="n">
        <v>0</v>
      </c>
      <c r="L328" t="n">
        <v>0</v>
      </c>
      <c r="M328" t="n">
        <v>0</v>
      </c>
      <c r="N328" t="n">
        <v>0</v>
      </c>
      <c r="O328" t="n">
        <v>0</v>
      </c>
      <c r="P328" t="n">
        <v>0</v>
      </c>
      <c r="Q328" t="n">
        <v>0</v>
      </c>
      <c r="R328" s="2" t="inlineStr"/>
    </row>
    <row r="329" ht="15" customHeight="1">
      <c r="A329" t="inlineStr">
        <is>
          <t>A 47076-2024</t>
        </is>
      </c>
      <c r="B329" s="1" t="n">
        <v>45586.50180555556</v>
      </c>
      <c r="C329" s="1" t="n">
        <v>45974</v>
      </c>
      <c r="D329" t="inlineStr">
        <is>
          <t>JÄMTLANDS LÄN</t>
        </is>
      </c>
      <c r="E329" t="inlineStr">
        <is>
          <t>ÅRE</t>
        </is>
      </c>
      <c r="G329" t="n">
        <v>6.5</v>
      </c>
      <c r="H329" t="n">
        <v>0</v>
      </c>
      <c r="I329" t="n">
        <v>0</v>
      </c>
      <c r="J329" t="n">
        <v>0</v>
      </c>
      <c r="K329" t="n">
        <v>0</v>
      </c>
      <c r="L329" t="n">
        <v>0</v>
      </c>
      <c r="M329" t="n">
        <v>0</v>
      </c>
      <c r="N329" t="n">
        <v>0</v>
      </c>
      <c r="O329" t="n">
        <v>0</v>
      </c>
      <c r="P329" t="n">
        <v>0</v>
      </c>
      <c r="Q329" t="n">
        <v>0</v>
      </c>
      <c r="R329" s="2" t="inlineStr"/>
    </row>
    <row r="330" ht="15" customHeight="1">
      <c r="A330" t="inlineStr">
        <is>
          <t>A 57710-2021</t>
        </is>
      </c>
      <c r="B330" s="1" t="n">
        <v>44484</v>
      </c>
      <c r="C330" s="1" t="n">
        <v>45974</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12193-2023</t>
        </is>
      </c>
      <c r="B331" s="1" t="n">
        <v>44998</v>
      </c>
      <c r="C331" s="1" t="n">
        <v>45974</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6232-2021</t>
        </is>
      </c>
      <c r="B332" s="1" t="n">
        <v>44231</v>
      </c>
      <c r="C332" s="1" t="n">
        <v>45974</v>
      </c>
      <c r="D332" t="inlineStr">
        <is>
          <t>JÄMTLANDS LÄN</t>
        </is>
      </c>
      <c r="E332" t="inlineStr">
        <is>
          <t>ÅRE</t>
        </is>
      </c>
      <c r="G332" t="n">
        <v>4.8</v>
      </c>
      <c r="H332" t="n">
        <v>0</v>
      </c>
      <c r="I332" t="n">
        <v>0</v>
      </c>
      <c r="J332" t="n">
        <v>0</v>
      </c>
      <c r="K332" t="n">
        <v>0</v>
      </c>
      <c r="L332" t="n">
        <v>0</v>
      </c>
      <c r="M332" t="n">
        <v>0</v>
      </c>
      <c r="N332" t="n">
        <v>0</v>
      </c>
      <c r="O332" t="n">
        <v>0</v>
      </c>
      <c r="P332" t="n">
        <v>0</v>
      </c>
      <c r="Q332" t="n">
        <v>0</v>
      </c>
      <c r="R332" s="2" t="inlineStr"/>
    </row>
    <row r="333" ht="15" customHeight="1">
      <c r="A333" t="inlineStr">
        <is>
          <t>A 57770-2023</t>
        </is>
      </c>
      <c r="B333" s="1" t="n">
        <v>45246.92542824074</v>
      </c>
      <c r="C333" s="1" t="n">
        <v>45974</v>
      </c>
      <c r="D333" t="inlineStr">
        <is>
          <t>JÄMTLANDS LÄN</t>
        </is>
      </c>
      <c r="E333" t="inlineStr">
        <is>
          <t>ÅRE</t>
        </is>
      </c>
      <c r="G333" t="n">
        <v>0.9</v>
      </c>
      <c r="H333" t="n">
        <v>0</v>
      </c>
      <c r="I333" t="n">
        <v>0</v>
      </c>
      <c r="J333" t="n">
        <v>0</v>
      </c>
      <c r="K333" t="n">
        <v>0</v>
      </c>
      <c r="L333" t="n">
        <v>0</v>
      </c>
      <c r="M333" t="n">
        <v>0</v>
      </c>
      <c r="N333" t="n">
        <v>0</v>
      </c>
      <c r="O333" t="n">
        <v>0</v>
      </c>
      <c r="P333" t="n">
        <v>0</v>
      </c>
      <c r="Q333" t="n">
        <v>0</v>
      </c>
      <c r="R333" s="2" t="inlineStr"/>
    </row>
    <row r="334" ht="15" customHeight="1">
      <c r="A334" t="inlineStr">
        <is>
          <t>A 51277-2023</t>
        </is>
      </c>
      <c r="B334" s="1" t="n">
        <v>45219</v>
      </c>
      <c r="C334" s="1" t="n">
        <v>45974</v>
      </c>
      <c r="D334" t="inlineStr">
        <is>
          <t>JÄMTLANDS LÄN</t>
        </is>
      </c>
      <c r="E334" t="inlineStr">
        <is>
          <t>ÅRE</t>
        </is>
      </c>
      <c r="G334" t="n">
        <v>0.9</v>
      </c>
      <c r="H334" t="n">
        <v>0</v>
      </c>
      <c r="I334" t="n">
        <v>0</v>
      </c>
      <c r="J334" t="n">
        <v>0</v>
      </c>
      <c r="K334" t="n">
        <v>0</v>
      </c>
      <c r="L334" t="n">
        <v>0</v>
      </c>
      <c r="M334" t="n">
        <v>0</v>
      </c>
      <c r="N334" t="n">
        <v>0</v>
      </c>
      <c r="O334" t="n">
        <v>0</v>
      </c>
      <c r="P334" t="n">
        <v>0</v>
      </c>
      <c r="Q334" t="n">
        <v>0</v>
      </c>
      <c r="R334" s="2" t="inlineStr"/>
    </row>
    <row r="335" ht="15" customHeight="1">
      <c r="A335" t="inlineStr">
        <is>
          <t>A 51282-2023</t>
        </is>
      </c>
      <c r="B335" s="1" t="n">
        <v>45219</v>
      </c>
      <c r="C335" s="1" t="n">
        <v>45974</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57150-2021</t>
        </is>
      </c>
      <c r="B336" s="1" t="n">
        <v>44482</v>
      </c>
      <c r="C336" s="1" t="n">
        <v>45974</v>
      </c>
      <c r="D336" t="inlineStr">
        <is>
          <t>JÄMTLANDS LÄN</t>
        </is>
      </c>
      <c r="E336" t="inlineStr">
        <is>
          <t>ÅRE</t>
        </is>
      </c>
      <c r="G336" t="n">
        <v>1.3</v>
      </c>
      <c r="H336" t="n">
        <v>0</v>
      </c>
      <c r="I336" t="n">
        <v>0</v>
      </c>
      <c r="J336" t="n">
        <v>0</v>
      </c>
      <c r="K336" t="n">
        <v>0</v>
      </c>
      <c r="L336" t="n">
        <v>0</v>
      </c>
      <c r="M336" t="n">
        <v>0</v>
      </c>
      <c r="N336" t="n">
        <v>0</v>
      </c>
      <c r="O336" t="n">
        <v>0</v>
      </c>
      <c r="P336" t="n">
        <v>0</v>
      </c>
      <c r="Q336" t="n">
        <v>0</v>
      </c>
      <c r="R336" s="2" t="inlineStr"/>
    </row>
    <row r="337" ht="15" customHeight="1">
      <c r="A337" t="inlineStr">
        <is>
          <t>A 9126-2025</t>
        </is>
      </c>
      <c r="B337" s="1" t="n">
        <v>45713</v>
      </c>
      <c r="C337" s="1" t="n">
        <v>45974</v>
      </c>
      <c r="D337" t="inlineStr">
        <is>
          <t>JÄMTLANDS LÄN</t>
        </is>
      </c>
      <c r="E337" t="inlineStr">
        <is>
          <t>ÅRE</t>
        </is>
      </c>
      <c r="G337" t="n">
        <v>2</v>
      </c>
      <c r="H337" t="n">
        <v>0</v>
      </c>
      <c r="I337" t="n">
        <v>0</v>
      </c>
      <c r="J337" t="n">
        <v>0</v>
      </c>
      <c r="K337" t="n">
        <v>0</v>
      </c>
      <c r="L337" t="n">
        <v>0</v>
      </c>
      <c r="M337" t="n">
        <v>0</v>
      </c>
      <c r="N337" t="n">
        <v>0</v>
      </c>
      <c r="O337" t="n">
        <v>0</v>
      </c>
      <c r="P337" t="n">
        <v>0</v>
      </c>
      <c r="Q337" t="n">
        <v>0</v>
      </c>
      <c r="R337" s="2" t="inlineStr"/>
    </row>
    <row r="338" ht="15" customHeight="1">
      <c r="A338" t="inlineStr">
        <is>
          <t>A 17703-2023</t>
        </is>
      </c>
      <c r="B338" s="1" t="n">
        <v>45037.35443287037</v>
      </c>
      <c r="C338" s="1" t="n">
        <v>45974</v>
      </c>
      <c r="D338" t="inlineStr">
        <is>
          <t>JÄMTLANDS LÄN</t>
        </is>
      </c>
      <c r="E338" t="inlineStr">
        <is>
          <t>ÅRE</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11914-2024</t>
        </is>
      </c>
      <c r="B339" s="1" t="n">
        <v>45376.58467592593</v>
      </c>
      <c r="C339" s="1" t="n">
        <v>45974</v>
      </c>
      <c r="D339" t="inlineStr">
        <is>
          <t>JÄMTLANDS LÄN</t>
        </is>
      </c>
      <c r="E339" t="inlineStr">
        <is>
          <t>ÅRE</t>
        </is>
      </c>
      <c r="G339" t="n">
        <v>2.5</v>
      </c>
      <c r="H339" t="n">
        <v>0</v>
      </c>
      <c r="I339" t="n">
        <v>0</v>
      </c>
      <c r="J339" t="n">
        <v>0</v>
      </c>
      <c r="K339" t="n">
        <v>0</v>
      </c>
      <c r="L339" t="n">
        <v>0</v>
      </c>
      <c r="M339" t="n">
        <v>0</v>
      </c>
      <c r="N339" t="n">
        <v>0</v>
      </c>
      <c r="O339" t="n">
        <v>0</v>
      </c>
      <c r="P339" t="n">
        <v>0</v>
      </c>
      <c r="Q339" t="n">
        <v>0</v>
      </c>
      <c r="R339" s="2" t="inlineStr"/>
    </row>
    <row r="340" ht="15" customHeight="1">
      <c r="A340" t="inlineStr">
        <is>
          <t>A 13559-2025</t>
        </is>
      </c>
      <c r="B340" s="1" t="n">
        <v>45736.55288194444</v>
      </c>
      <c r="C340" s="1" t="n">
        <v>45974</v>
      </c>
      <c r="D340" t="inlineStr">
        <is>
          <t>JÄMTLANDS LÄN</t>
        </is>
      </c>
      <c r="E340" t="inlineStr">
        <is>
          <t>ÅRE</t>
        </is>
      </c>
      <c r="F340" t="inlineStr">
        <is>
          <t>Övriga statliga verk och myndigheter</t>
        </is>
      </c>
      <c r="G340" t="n">
        <v>0.4</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45974</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1159-2023</t>
        </is>
      </c>
      <c r="B342" s="1" t="n">
        <v>44935.66199074074</v>
      </c>
      <c r="C342" s="1" t="n">
        <v>45974</v>
      </c>
      <c r="D342" t="inlineStr">
        <is>
          <t>JÄMTLANDS LÄN</t>
        </is>
      </c>
      <c r="E342" t="inlineStr">
        <is>
          <t>ÅRE</t>
        </is>
      </c>
      <c r="G342" t="n">
        <v>6.4</v>
      </c>
      <c r="H342" t="n">
        <v>0</v>
      </c>
      <c r="I342" t="n">
        <v>0</v>
      </c>
      <c r="J342" t="n">
        <v>0</v>
      </c>
      <c r="K342" t="n">
        <v>0</v>
      </c>
      <c r="L342" t="n">
        <v>0</v>
      </c>
      <c r="M342" t="n">
        <v>0</v>
      </c>
      <c r="N342" t="n">
        <v>0</v>
      </c>
      <c r="O342" t="n">
        <v>0</v>
      </c>
      <c r="P342" t="n">
        <v>0</v>
      </c>
      <c r="Q342" t="n">
        <v>0</v>
      </c>
      <c r="R342" s="2" t="inlineStr"/>
    </row>
    <row r="343" ht="15" customHeight="1">
      <c r="A343" t="inlineStr">
        <is>
          <t>A 59784-2024</t>
        </is>
      </c>
      <c r="B343" s="1" t="n">
        <v>45639.57988425926</v>
      </c>
      <c r="C343" s="1" t="n">
        <v>45974</v>
      </c>
      <c r="D343" t="inlineStr">
        <is>
          <t>JÄMTLANDS LÄN</t>
        </is>
      </c>
      <c r="E343" t="inlineStr">
        <is>
          <t>ÅRE</t>
        </is>
      </c>
      <c r="F343" t="inlineStr">
        <is>
          <t>Övriga Aktiebolag</t>
        </is>
      </c>
      <c r="G343" t="n">
        <v>1.3</v>
      </c>
      <c r="H343" t="n">
        <v>0</v>
      </c>
      <c r="I343" t="n">
        <v>0</v>
      </c>
      <c r="J343" t="n">
        <v>0</v>
      </c>
      <c r="K343" t="n">
        <v>0</v>
      </c>
      <c r="L343" t="n">
        <v>0</v>
      </c>
      <c r="M343" t="n">
        <v>0</v>
      </c>
      <c r="N343" t="n">
        <v>0</v>
      </c>
      <c r="O343" t="n">
        <v>0</v>
      </c>
      <c r="P343" t="n">
        <v>0</v>
      </c>
      <c r="Q343" t="n">
        <v>0</v>
      </c>
      <c r="R343" s="2" t="inlineStr"/>
    </row>
    <row r="344" ht="15" customHeight="1">
      <c r="A344" t="inlineStr">
        <is>
          <t>A 46559-2024</t>
        </is>
      </c>
      <c r="B344" s="1" t="n">
        <v>45582</v>
      </c>
      <c r="C344" s="1" t="n">
        <v>45974</v>
      </c>
      <c r="D344" t="inlineStr">
        <is>
          <t>JÄMTLANDS LÄN</t>
        </is>
      </c>
      <c r="E344" t="inlineStr">
        <is>
          <t>ÅRE</t>
        </is>
      </c>
      <c r="G344" t="n">
        <v>6.2</v>
      </c>
      <c r="H344" t="n">
        <v>0</v>
      </c>
      <c r="I344" t="n">
        <v>0</v>
      </c>
      <c r="J344" t="n">
        <v>0</v>
      </c>
      <c r="K344" t="n">
        <v>0</v>
      </c>
      <c r="L344" t="n">
        <v>0</v>
      </c>
      <c r="M344" t="n">
        <v>0</v>
      </c>
      <c r="N344" t="n">
        <v>0</v>
      </c>
      <c r="O344" t="n">
        <v>0</v>
      </c>
      <c r="P344" t="n">
        <v>0</v>
      </c>
      <c r="Q344" t="n">
        <v>0</v>
      </c>
      <c r="R344" s="2" t="inlineStr"/>
    </row>
    <row r="345" ht="15" customHeight="1">
      <c r="A345" t="inlineStr">
        <is>
          <t>A 14204-2021</t>
        </is>
      </c>
      <c r="B345" s="1" t="n">
        <v>44278</v>
      </c>
      <c r="C345" s="1" t="n">
        <v>45974</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47664-2022</t>
        </is>
      </c>
      <c r="B346" s="1" t="n">
        <v>44854.46388888889</v>
      </c>
      <c r="C346" s="1" t="n">
        <v>45974</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54175-2023</t>
        </is>
      </c>
      <c r="B347" s="1" t="n">
        <v>45232</v>
      </c>
      <c r="C347" s="1" t="n">
        <v>45974</v>
      </c>
      <c r="D347" t="inlineStr">
        <is>
          <t>JÄMTLANDS LÄN</t>
        </is>
      </c>
      <c r="E347" t="inlineStr">
        <is>
          <t>ÅRE</t>
        </is>
      </c>
      <c r="G347" t="n">
        <v>0.1</v>
      </c>
      <c r="H347" t="n">
        <v>0</v>
      </c>
      <c r="I347" t="n">
        <v>0</v>
      </c>
      <c r="J347" t="n">
        <v>0</v>
      </c>
      <c r="K347" t="n">
        <v>0</v>
      </c>
      <c r="L347" t="n">
        <v>0</v>
      </c>
      <c r="M347" t="n">
        <v>0</v>
      </c>
      <c r="N347" t="n">
        <v>0</v>
      </c>
      <c r="O347" t="n">
        <v>0</v>
      </c>
      <c r="P347" t="n">
        <v>0</v>
      </c>
      <c r="Q347" t="n">
        <v>0</v>
      </c>
      <c r="R347" s="2" t="inlineStr"/>
    </row>
    <row r="348" ht="15" customHeight="1">
      <c r="A348" t="inlineStr">
        <is>
          <t>A 46789-2024</t>
        </is>
      </c>
      <c r="B348" s="1" t="n">
        <v>45583.53219907408</v>
      </c>
      <c r="C348" s="1" t="n">
        <v>45974</v>
      </c>
      <c r="D348" t="inlineStr">
        <is>
          <t>JÄMTLANDS LÄN</t>
        </is>
      </c>
      <c r="E348" t="inlineStr">
        <is>
          <t>ÅRE</t>
        </is>
      </c>
      <c r="F348" t="inlineStr">
        <is>
          <t>Övriga Aktiebolag</t>
        </is>
      </c>
      <c r="G348" t="n">
        <v>2.7</v>
      </c>
      <c r="H348" t="n">
        <v>0</v>
      </c>
      <c r="I348" t="n">
        <v>0</v>
      </c>
      <c r="J348" t="n">
        <v>0</v>
      </c>
      <c r="K348" t="n">
        <v>0</v>
      </c>
      <c r="L348" t="n">
        <v>0</v>
      </c>
      <c r="M348" t="n">
        <v>0</v>
      </c>
      <c r="N348" t="n">
        <v>0</v>
      </c>
      <c r="O348" t="n">
        <v>0</v>
      </c>
      <c r="P348" t="n">
        <v>0</v>
      </c>
      <c r="Q348" t="n">
        <v>0</v>
      </c>
      <c r="R348" s="2" t="inlineStr"/>
    </row>
    <row r="349" ht="15" customHeight="1">
      <c r="A349" t="inlineStr">
        <is>
          <t>A 393-2024</t>
        </is>
      </c>
      <c r="B349" s="1" t="n">
        <v>45296.43614583334</v>
      </c>
      <c r="C349" s="1" t="n">
        <v>45974</v>
      </c>
      <c r="D349" t="inlineStr">
        <is>
          <t>JÄMTLANDS LÄN</t>
        </is>
      </c>
      <c r="E349" t="inlineStr">
        <is>
          <t>ÅRE</t>
        </is>
      </c>
      <c r="G349" t="n">
        <v>6.5</v>
      </c>
      <c r="H349" t="n">
        <v>0</v>
      </c>
      <c r="I349" t="n">
        <v>0</v>
      </c>
      <c r="J349" t="n">
        <v>0</v>
      </c>
      <c r="K349" t="n">
        <v>0</v>
      </c>
      <c r="L349" t="n">
        <v>0</v>
      </c>
      <c r="M349" t="n">
        <v>0</v>
      </c>
      <c r="N349" t="n">
        <v>0</v>
      </c>
      <c r="O349" t="n">
        <v>0</v>
      </c>
      <c r="P349" t="n">
        <v>0</v>
      </c>
      <c r="Q349" t="n">
        <v>0</v>
      </c>
      <c r="R349" s="2" t="inlineStr"/>
    </row>
    <row r="350" ht="15" customHeight="1">
      <c r="A350" t="inlineStr">
        <is>
          <t>A 49296-2024</t>
        </is>
      </c>
      <c r="B350" s="1" t="n">
        <v>45595</v>
      </c>
      <c r="C350" s="1" t="n">
        <v>45974</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33625-2022</t>
        </is>
      </c>
      <c r="B351" s="1" t="n">
        <v>44789</v>
      </c>
      <c r="C351" s="1" t="n">
        <v>45974</v>
      </c>
      <c r="D351" t="inlineStr">
        <is>
          <t>JÄMTLANDS LÄN</t>
        </is>
      </c>
      <c r="E351" t="inlineStr">
        <is>
          <t>ÅRE</t>
        </is>
      </c>
      <c r="G351" t="n">
        <v>20.7</v>
      </c>
      <c r="H351" t="n">
        <v>0</v>
      </c>
      <c r="I351" t="n">
        <v>0</v>
      </c>
      <c r="J351" t="n">
        <v>0</v>
      </c>
      <c r="K351" t="n">
        <v>0</v>
      </c>
      <c r="L351" t="n">
        <v>0</v>
      </c>
      <c r="M351" t="n">
        <v>0</v>
      </c>
      <c r="N351" t="n">
        <v>0</v>
      </c>
      <c r="O351" t="n">
        <v>0</v>
      </c>
      <c r="P351" t="n">
        <v>0</v>
      </c>
      <c r="Q351" t="n">
        <v>0</v>
      </c>
      <c r="R351" s="2" t="inlineStr"/>
    </row>
    <row r="352" ht="15" customHeight="1">
      <c r="A352" t="inlineStr">
        <is>
          <t>A 27375-2021</t>
        </is>
      </c>
      <c r="B352" s="1" t="n">
        <v>44351</v>
      </c>
      <c r="C352" s="1" t="n">
        <v>45974</v>
      </c>
      <c r="D352" t="inlineStr">
        <is>
          <t>JÄMTLANDS LÄN</t>
        </is>
      </c>
      <c r="E352" t="inlineStr">
        <is>
          <t>ÅRE</t>
        </is>
      </c>
      <c r="G352" t="n">
        <v>7.4</v>
      </c>
      <c r="H352" t="n">
        <v>0</v>
      </c>
      <c r="I352" t="n">
        <v>0</v>
      </c>
      <c r="J352" t="n">
        <v>0</v>
      </c>
      <c r="K352" t="n">
        <v>0</v>
      </c>
      <c r="L352" t="n">
        <v>0</v>
      </c>
      <c r="M352" t="n">
        <v>0</v>
      </c>
      <c r="N352" t="n">
        <v>0</v>
      </c>
      <c r="O352" t="n">
        <v>0</v>
      </c>
      <c r="P352" t="n">
        <v>0</v>
      </c>
      <c r="Q352" t="n">
        <v>0</v>
      </c>
      <c r="R352" s="2" t="inlineStr"/>
    </row>
    <row r="353" ht="15" customHeight="1">
      <c r="A353" t="inlineStr">
        <is>
          <t>A 21464-2022</t>
        </is>
      </c>
      <c r="B353" s="1" t="n">
        <v>44706</v>
      </c>
      <c r="C353" s="1" t="n">
        <v>45974</v>
      </c>
      <c r="D353" t="inlineStr">
        <is>
          <t>JÄMTLANDS LÄN</t>
        </is>
      </c>
      <c r="E353" t="inlineStr">
        <is>
          <t>ÅRE</t>
        </is>
      </c>
      <c r="G353" t="n">
        <v>10.9</v>
      </c>
      <c r="H353" t="n">
        <v>0</v>
      </c>
      <c r="I353" t="n">
        <v>0</v>
      </c>
      <c r="J353" t="n">
        <v>0</v>
      </c>
      <c r="K353" t="n">
        <v>0</v>
      </c>
      <c r="L353" t="n">
        <v>0</v>
      </c>
      <c r="M353" t="n">
        <v>0</v>
      </c>
      <c r="N353" t="n">
        <v>0</v>
      </c>
      <c r="O353" t="n">
        <v>0</v>
      </c>
      <c r="P353" t="n">
        <v>0</v>
      </c>
      <c r="Q353" t="n">
        <v>0</v>
      </c>
      <c r="R353" s="2" t="inlineStr"/>
    </row>
    <row r="354" ht="15" customHeight="1">
      <c r="A354" t="inlineStr">
        <is>
          <t>A 15884-2023</t>
        </is>
      </c>
      <c r="B354" s="1" t="n">
        <v>45022</v>
      </c>
      <c r="C354" s="1" t="n">
        <v>45974</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43456-2023</t>
        </is>
      </c>
      <c r="B355" s="1" t="n">
        <v>45184.37474537037</v>
      </c>
      <c r="C355" s="1" t="n">
        <v>45974</v>
      </c>
      <c r="D355" t="inlineStr">
        <is>
          <t>JÄMTLANDS LÄN</t>
        </is>
      </c>
      <c r="E355" t="inlineStr">
        <is>
          <t>ÅRE</t>
        </is>
      </c>
      <c r="F355" t="inlineStr">
        <is>
          <t>Övriga Aktiebolag</t>
        </is>
      </c>
      <c r="G355" t="n">
        <v>8.9</v>
      </c>
      <c r="H355" t="n">
        <v>0</v>
      </c>
      <c r="I355" t="n">
        <v>0</v>
      </c>
      <c r="J355" t="n">
        <v>0</v>
      </c>
      <c r="K355" t="n">
        <v>0</v>
      </c>
      <c r="L355" t="n">
        <v>0</v>
      </c>
      <c r="M355" t="n">
        <v>0</v>
      </c>
      <c r="N355" t="n">
        <v>0</v>
      </c>
      <c r="O355" t="n">
        <v>0</v>
      </c>
      <c r="P355" t="n">
        <v>0</v>
      </c>
      <c r="Q355" t="n">
        <v>0</v>
      </c>
      <c r="R355" s="2" t="inlineStr"/>
    </row>
    <row r="356" ht="15" customHeight="1">
      <c r="A356" t="inlineStr">
        <is>
          <t>A 54164-2023</t>
        </is>
      </c>
      <c r="B356" s="1" t="n">
        <v>45232.47815972222</v>
      </c>
      <c r="C356" s="1" t="n">
        <v>45974</v>
      </c>
      <c r="D356" t="inlineStr">
        <is>
          <t>JÄMTLANDS LÄN</t>
        </is>
      </c>
      <c r="E356" t="inlineStr">
        <is>
          <t>ÅRE</t>
        </is>
      </c>
      <c r="G356" t="n">
        <v>2.6</v>
      </c>
      <c r="H356" t="n">
        <v>0</v>
      </c>
      <c r="I356" t="n">
        <v>0</v>
      </c>
      <c r="J356" t="n">
        <v>0</v>
      </c>
      <c r="K356" t="n">
        <v>0</v>
      </c>
      <c r="L356" t="n">
        <v>0</v>
      </c>
      <c r="M356" t="n">
        <v>0</v>
      </c>
      <c r="N356" t="n">
        <v>0</v>
      </c>
      <c r="O356" t="n">
        <v>0</v>
      </c>
      <c r="P356" t="n">
        <v>0</v>
      </c>
      <c r="Q356" t="n">
        <v>0</v>
      </c>
      <c r="R356" s="2" t="inlineStr"/>
    </row>
    <row r="357" ht="15" customHeight="1">
      <c r="A357" t="inlineStr">
        <is>
          <t>A 45279-2024</t>
        </is>
      </c>
      <c r="B357" s="1" t="n">
        <v>45576.37496527778</v>
      </c>
      <c r="C357" s="1" t="n">
        <v>45974</v>
      </c>
      <c r="D357" t="inlineStr">
        <is>
          <t>JÄMTLANDS LÄN</t>
        </is>
      </c>
      <c r="E357" t="inlineStr">
        <is>
          <t>ÅRE</t>
        </is>
      </c>
      <c r="G357" t="n">
        <v>17.2</v>
      </c>
      <c r="H357" t="n">
        <v>0</v>
      </c>
      <c r="I357" t="n">
        <v>0</v>
      </c>
      <c r="J357" t="n">
        <v>0</v>
      </c>
      <c r="K357" t="n">
        <v>0</v>
      </c>
      <c r="L357" t="n">
        <v>0</v>
      </c>
      <c r="M357" t="n">
        <v>0</v>
      </c>
      <c r="N357" t="n">
        <v>0</v>
      </c>
      <c r="O357" t="n">
        <v>0</v>
      </c>
      <c r="P357" t="n">
        <v>0</v>
      </c>
      <c r="Q357" t="n">
        <v>0</v>
      </c>
      <c r="R357" s="2" t="inlineStr"/>
    </row>
    <row r="358" ht="15" customHeight="1">
      <c r="A358" t="inlineStr">
        <is>
          <t>A 60122-2021</t>
        </is>
      </c>
      <c r="B358" s="1" t="n">
        <v>44495</v>
      </c>
      <c r="C358" s="1" t="n">
        <v>45974</v>
      </c>
      <c r="D358" t="inlineStr">
        <is>
          <t>JÄMTLANDS LÄN</t>
        </is>
      </c>
      <c r="E358" t="inlineStr">
        <is>
          <t>ÅRE</t>
        </is>
      </c>
      <c r="G358" t="n">
        <v>46.7</v>
      </c>
      <c r="H358" t="n">
        <v>0</v>
      </c>
      <c r="I358" t="n">
        <v>0</v>
      </c>
      <c r="J358" t="n">
        <v>0</v>
      </c>
      <c r="K358" t="n">
        <v>0</v>
      </c>
      <c r="L358" t="n">
        <v>0</v>
      </c>
      <c r="M358" t="n">
        <v>0</v>
      </c>
      <c r="N358" t="n">
        <v>0</v>
      </c>
      <c r="O358" t="n">
        <v>0</v>
      </c>
      <c r="P358" t="n">
        <v>0</v>
      </c>
      <c r="Q358" t="n">
        <v>0</v>
      </c>
      <c r="R358" s="2" t="inlineStr"/>
    </row>
    <row r="359" ht="15" customHeight="1">
      <c r="A359" t="inlineStr">
        <is>
          <t>A 50951-2023</t>
        </is>
      </c>
      <c r="B359" s="1" t="n">
        <v>45218</v>
      </c>
      <c r="C359" s="1" t="n">
        <v>45974</v>
      </c>
      <c r="D359" t="inlineStr">
        <is>
          <t>JÄMTLANDS LÄN</t>
        </is>
      </c>
      <c r="E359" t="inlineStr">
        <is>
          <t>ÅRE</t>
        </is>
      </c>
      <c r="G359" t="n">
        <v>1</v>
      </c>
      <c r="H359" t="n">
        <v>0</v>
      </c>
      <c r="I359" t="n">
        <v>0</v>
      </c>
      <c r="J359" t="n">
        <v>0</v>
      </c>
      <c r="K359" t="n">
        <v>0</v>
      </c>
      <c r="L359" t="n">
        <v>0</v>
      </c>
      <c r="M359" t="n">
        <v>0</v>
      </c>
      <c r="N359" t="n">
        <v>0</v>
      </c>
      <c r="O359" t="n">
        <v>0</v>
      </c>
      <c r="P359" t="n">
        <v>0</v>
      </c>
      <c r="Q359" t="n">
        <v>0</v>
      </c>
      <c r="R359" s="2" t="inlineStr"/>
    </row>
    <row r="360" ht="15" customHeight="1">
      <c r="A360" t="inlineStr">
        <is>
          <t>A 68518-2020</t>
        </is>
      </c>
      <c r="B360" s="1" t="n">
        <v>44186</v>
      </c>
      <c r="C360" s="1" t="n">
        <v>45974</v>
      </c>
      <c r="D360" t="inlineStr">
        <is>
          <t>JÄMTLANDS LÄN</t>
        </is>
      </c>
      <c r="E360" t="inlineStr">
        <is>
          <t>ÅRE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22707-2021</t>
        </is>
      </c>
      <c r="B361" s="1" t="n">
        <v>44323</v>
      </c>
      <c r="C361" s="1" t="n">
        <v>45974</v>
      </c>
      <c r="D361" t="inlineStr">
        <is>
          <t>JÄMTLANDS LÄN</t>
        </is>
      </c>
      <c r="E361" t="inlineStr">
        <is>
          <t>ÅRE</t>
        </is>
      </c>
      <c r="G361" t="n">
        <v>6.3</v>
      </c>
      <c r="H361" t="n">
        <v>0</v>
      </c>
      <c r="I361" t="n">
        <v>0</v>
      </c>
      <c r="J361" t="n">
        <v>0</v>
      </c>
      <c r="K361" t="n">
        <v>0</v>
      </c>
      <c r="L361" t="n">
        <v>0</v>
      </c>
      <c r="M361" t="n">
        <v>0</v>
      </c>
      <c r="N361" t="n">
        <v>0</v>
      </c>
      <c r="O361" t="n">
        <v>0</v>
      </c>
      <c r="P361" t="n">
        <v>0</v>
      </c>
      <c r="Q361" t="n">
        <v>0</v>
      </c>
      <c r="R361" s="2" t="inlineStr"/>
    </row>
    <row r="362" ht="15" customHeight="1">
      <c r="A362" t="inlineStr">
        <is>
          <t>A 28817-2021</t>
        </is>
      </c>
      <c r="B362" s="1" t="n">
        <v>44357</v>
      </c>
      <c r="C362" s="1" t="n">
        <v>45974</v>
      </c>
      <c r="D362" t="inlineStr">
        <is>
          <t>JÄMTLANDS LÄN</t>
        </is>
      </c>
      <c r="E362" t="inlineStr">
        <is>
          <t>ÅRE</t>
        </is>
      </c>
      <c r="G362" t="n">
        <v>21.4</v>
      </c>
      <c r="H362" t="n">
        <v>0</v>
      </c>
      <c r="I362" t="n">
        <v>0</v>
      </c>
      <c r="J362" t="n">
        <v>0</v>
      </c>
      <c r="K362" t="n">
        <v>0</v>
      </c>
      <c r="L362" t="n">
        <v>0</v>
      </c>
      <c r="M362" t="n">
        <v>0</v>
      </c>
      <c r="N362" t="n">
        <v>0</v>
      </c>
      <c r="O362" t="n">
        <v>0</v>
      </c>
      <c r="P362" t="n">
        <v>0</v>
      </c>
      <c r="Q362" t="n">
        <v>0</v>
      </c>
      <c r="R362" s="2" t="inlineStr"/>
    </row>
    <row r="363" ht="15" customHeight="1">
      <c r="A363" t="inlineStr">
        <is>
          <t>A 51452-2024</t>
        </is>
      </c>
      <c r="B363" s="1" t="n">
        <v>45604.49045138889</v>
      </c>
      <c r="C363" s="1" t="n">
        <v>45974</v>
      </c>
      <c r="D363" t="inlineStr">
        <is>
          <t>JÄMTLANDS LÄN</t>
        </is>
      </c>
      <c r="E363" t="inlineStr">
        <is>
          <t>ÅRE</t>
        </is>
      </c>
      <c r="G363" t="n">
        <v>8</v>
      </c>
      <c r="H363" t="n">
        <v>0</v>
      </c>
      <c r="I363" t="n">
        <v>0</v>
      </c>
      <c r="J363" t="n">
        <v>0</v>
      </c>
      <c r="K363" t="n">
        <v>0</v>
      </c>
      <c r="L363" t="n">
        <v>0</v>
      </c>
      <c r="M363" t="n">
        <v>0</v>
      </c>
      <c r="N363" t="n">
        <v>0</v>
      </c>
      <c r="O363" t="n">
        <v>0</v>
      </c>
      <c r="P363" t="n">
        <v>0</v>
      </c>
      <c r="Q363" t="n">
        <v>0</v>
      </c>
      <c r="R363" s="2" t="inlineStr"/>
    </row>
    <row r="364" ht="15" customHeight="1">
      <c r="A364" t="inlineStr">
        <is>
          <t>A 2374-2023</t>
        </is>
      </c>
      <c r="B364" s="1" t="n">
        <v>44942.69005787037</v>
      </c>
      <c r="C364" s="1" t="n">
        <v>45974</v>
      </c>
      <c r="D364" t="inlineStr">
        <is>
          <t>JÄMTLANDS LÄN</t>
        </is>
      </c>
      <c r="E364" t="inlineStr">
        <is>
          <t>ÅRE</t>
        </is>
      </c>
      <c r="G364" t="n">
        <v>0.6</v>
      </c>
      <c r="H364" t="n">
        <v>0</v>
      </c>
      <c r="I364" t="n">
        <v>0</v>
      </c>
      <c r="J364" t="n">
        <v>0</v>
      </c>
      <c r="K364" t="n">
        <v>0</v>
      </c>
      <c r="L364" t="n">
        <v>0</v>
      </c>
      <c r="M364" t="n">
        <v>0</v>
      </c>
      <c r="N364" t="n">
        <v>0</v>
      </c>
      <c r="O364" t="n">
        <v>0</v>
      </c>
      <c r="P364" t="n">
        <v>0</v>
      </c>
      <c r="Q364" t="n">
        <v>0</v>
      </c>
      <c r="R364" s="2" t="inlineStr"/>
    </row>
    <row r="365" ht="15" customHeight="1">
      <c r="A365" t="inlineStr">
        <is>
          <t>A 1460-2024</t>
        </is>
      </c>
      <c r="B365" s="1" t="n">
        <v>45303.93322916667</v>
      </c>
      <c r="C365" s="1" t="n">
        <v>45974</v>
      </c>
      <c r="D365" t="inlineStr">
        <is>
          <t>JÄMTLANDS LÄN</t>
        </is>
      </c>
      <c r="E365" t="inlineStr">
        <is>
          <t>ÅRE</t>
        </is>
      </c>
      <c r="F365" t="inlineStr">
        <is>
          <t>Övriga Aktiebolag</t>
        </is>
      </c>
      <c r="G365" t="n">
        <v>1.3</v>
      </c>
      <c r="H365" t="n">
        <v>0</v>
      </c>
      <c r="I365" t="n">
        <v>0</v>
      </c>
      <c r="J365" t="n">
        <v>0</v>
      </c>
      <c r="K365" t="n">
        <v>0</v>
      </c>
      <c r="L365" t="n">
        <v>0</v>
      </c>
      <c r="M365" t="n">
        <v>0</v>
      </c>
      <c r="N365" t="n">
        <v>0</v>
      </c>
      <c r="O365" t="n">
        <v>0</v>
      </c>
      <c r="P365" t="n">
        <v>0</v>
      </c>
      <c r="Q365" t="n">
        <v>0</v>
      </c>
      <c r="R365" s="2" t="inlineStr"/>
    </row>
    <row r="366" ht="15" customHeight="1">
      <c r="A366" t="inlineStr">
        <is>
          <t>A 61524-2021</t>
        </is>
      </c>
      <c r="B366" s="1" t="n">
        <v>44496</v>
      </c>
      <c r="C366" s="1" t="n">
        <v>45974</v>
      </c>
      <c r="D366" t="inlineStr">
        <is>
          <t>JÄMTLANDS LÄN</t>
        </is>
      </c>
      <c r="E366" t="inlineStr">
        <is>
          <t>ÅRE</t>
        </is>
      </c>
      <c r="F366" t="inlineStr">
        <is>
          <t>Övriga statliga verk och myndigheter</t>
        </is>
      </c>
      <c r="G366" t="n">
        <v>15</v>
      </c>
      <c r="H366" t="n">
        <v>0</v>
      </c>
      <c r="I366" t="n">
        <v>0</v>
      </c>
      <c r="J366" t="n">
        <v>0</v>
      </c>
      <c r="K366" t="n">
        <v>0</v>
      </c>
      <c r="L366" t="n">
        <v>0</v>
      </c>
      <c r="M366" t="n">
        <v>0</v>
      </c>
      <c r="N366" t="n">
        <v>0</v>
      </c>
      <c r="O366" t="n">
        <v>0</v>
      </c>
      <c r="P366" t="n">
        <v>0</v>
      </c>
      <c r="Q366" t="n">
        <v>0</v>
      </c>
      <c r="R366" s="2" t="inlineStr"/>
    </row>
    <row r="367" ht="15" customHeight="1">
      <c r="A367" t="inlineStr">
        <is>
          <t>A 58232-2021</t>
        </is>
      </c>
      <c r="B367" s="1" t="n">
        <v>44487</v>
      </c>
      <c r="C367" s="1" t="n">
        <v>45974</v>
      </c>
      <c r="D367" t="inlineStr">
        <is>
          <t>JÄMTLANDS LÄN</t>
        </is>
      </c>
      <c r="E367" t="inlineStr">
        <is>
          <t>ÅRE</t>
        </is>
      </c>
      <c r="G367" t="n">
        <v>43.7</v>
      </c>
      <c r="H367" t="n">
        <v>0</v>
      </c>
      <c r="I367" t="n">
        <v>0</v>
      </c>
      <c r="J367" t="n">
        <v>0</v>
      </c>
      <c r="K367" t="n">
        <v>0</v>
      </c>
      <c r="L367" t="n">
        <v>0</v>
      </c>
      <c r="M367" t="n">
        <v>0</v>
      </c>
      <c r="N367" t="n">
        <v>0</v>
      </c>
      <c r="O367" t="n">
        <v>0</v>
      </c>
      <c r="P367" t="n">
        <v>0</v>
      </c>
      <c r="Q367" t="n">
        <v>0</v>
      </c>
      <c r="R367" s="2" t="inlineStr"/>
    </row>
    <row r="368" ht="15" customHeight="1">
      <c r="A368" t="inlineStr">
        <is>
          <t>A 58758-2022</t>
        </is>
      </c>
      <c r="B368" s="1" t="n">
        <v>44903</v>
      </c>
      <c r="C368" s="1" t="n">
        <v>45974</v>
      </c>
      <c r="D368" t="inlineStr">
        <is>
          <t>JÄMTLANDS LÄN</t>
        </is>
      </c>
      <c r="E368" t="inlineStr">
        <is>
          <t>ÅRE</t>
        </is>
      </c>
      <c r="F368" t="inlineStr">
        <is>
          <t>Övriga Aktiebolag</t>
        </is>
      </c>
      <c r="G368" t="n">
        <v>42.9</v>
      </c>
      <c r="H368" t="n">
        <v>0</v>
      </c>
      <c r="I368" t="n">
        <v>0</v>
      </c>
      <c r="J368" t="n">
        <v>0</v>
      </c>
      <c r="K368" t="n">
        <v>0</v>
      </c>
      <c r="L368" t="n">
        <v>0</v>
      </c>
      <c r="M368" t="n">
        <v>0</v>
      </c>
      <c r="N368" t="n">
        <v>0</v>
      </c>
      <c r="O368" t="n">
        <v>0</v>
      </c>
      <c r="P368" t="n">
        <v>0</v>
      </c>
      <c r="Q368" t="n">
        <v>0</v>
      </c>
      <c r="R368" s="2" t="inlineStr"/>
    </row>
    <row r="369" ht="15" customHeight="1">
      <c r="A369" t="inlineStr">
        <is>
          <t>A 20485-2024</t>
        </is>
      </c>
      <c r="B369" s="1" t="n">
        <v>45435.7403125</v>
      </c>
      <c r="C369" s="1" t="n">
        <v>45974</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61481-2022</t>
        </is>
      </c>
      <c r="B370" s="1" t="n">
        <v>44910</v>
      </c>
      <c r="C370" s="1" t="n">
        <v>45974</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3154-2023</t>
        </is>
      </c>
      <c r="B371" s="1" t="n">
        <v>44946.56012731481</v>
      </c>
      <c r="C371" s="1" t="n">
        <v>45974</v>
      </c>
      <c r="D371" t="inlineStr">
        <is>
          <t>JÄMTLANDS LÄN</t>
        </is>
      </c>
      <c r="E371" t="inlineStr">
        <is>
          <t>ÅRE</t>
        </is>
      </c>
      <c r="G371" t="n">
        <v>5.1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45974</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53899-2023</t>
        </is>
      </c>
      <c r="B373" s="1" t="n">
        <v>45231.54160879629</v>
      </c>
      <c r="C373" s="1" t="n">
        <v>45974</v>
      </c>
      <c r="D373" t="inlineStr">
        <is>
          <t>JÄMTLANDS LÄN</t>
        </is>
      </c>
      <c r="E373" t="inlineStr">
        <is>
          <t>ÅRE</t>
        </is>
      </c>
      <c r="G373" t="n">
        <v>20.4</v>
      </c>
      <c r="H373" t="n">
        <v>0</v>
      </c>
      <c r="I373" t="n">
        <v>0</v>
      </c>
      <c r="J373" t="n">
        <v>0</v>
      </c>
      <c r="K373" t="n">
        <v>0</v>
      </c>
      <c r="L373" t="n">
        <v>0</v>
      </c>
      <c r="M373" t="n">
        <v>0</v>
      </c>
      <c r="N373" t="n">
        <v>0</v>
      </c>
      <c r="O373" t="n">
        <v>0</v>
      </c>
      <c r="P373" t="n">
        <v>0</v>
      </c>
      <c r="Q373" t="n">
        <v>0</v>
      </c>
      <c r="R373" s="2" t="inlineStr"/>
    </row>
    <row r="374" ht="15" customHeight="1">
      <c r="A374" t="inlineStr">
        <is>
          <t>A 58940-2021</t>
        </is>
      </c>
      <c r="B374" s="1" t="n">
        <v>44489</v>
      </c>
      <c r="C374" s="1" t="n">
        <v>45974</v>
      </c>
      <c r="D374" t="inlineStr">
        <is>
          <t>JÄMTLANDS LÄN</t>
        </is>
      </c>
      <c r="E374" t="inlineStr">
        <is>
          <t>ÅRE</t>
        </is>
      </c>
      <c r="G374" t="n">
        <v>5.8</v>
      </c>
      <c r="H374" t="n">
        <v>0</v>
      </c>
      <c r="I374" t="n">
        <v>0</v>
      </c>
      <c r="J374" t="n">
        <v>0</v>
      </c>
      <c r="K374" t="n">
        <v>0</v>
      </c>
      <c r="L374" t="n">
        <v>0</v>
      </c>
      <c r="M374" t="n">
        <v>0</v>
      </c>
      <c r="N374" t="n">
        <v>0</v>
      </c>
      <c r="O374" t="n">
        <v>0</v>
      </c>
      <c r="P374" t="n">
        <v>0</v>
      </c>
      <c r="Q374" t="n">
        <v>0</v>
      </c>
      <c r="R374" s="2" t="inlineStr"/>
    </row>
    <row r="375" ht="15" customHeight="1">
      <c r="A375" t="inlineStr">
        <is>
          <t>A 25224-2025</t>
        </is>
      </c>
      <c r="B375" s="1" t="n">
        <v>45800.48087962963</v>
      </c>
      <c r="C375" s="1" t="n">
        <v>45974</v>
      </c>
      <c r="D375" t="inlineStr">
        <is>
          <t>JÄMTLANDS LÄN</t>
        </is>
      </c>
      <c r="E375" t="inlineStr">
        <is>
          <t>ÅRE</t>
        </is>
      </c>
      <c r="G375" t="n">
        <v>1</v>
      </c>
      <c r="H375" t="n">
        <v>0</v>
      </c>
      <c r="I375" t="n">
        <v>0</v>
      </c>
      <c r="J375" t="n">
        <v>0</v>
      </c>
      <c r="K375" t="n">
        <v>0</v>
      </c>
      <c r="L375" t="n">
        <v>0</v>
      </c>
      <c r="M375" t="n">
        <v>0</v>
      </c>
      <c r="N375" t="n">
        <v>0</v>
      </c>
      <c r="O375" t="n">
        <v>0</v>
      </c>
      <c r="P375" t="n">
        <v>0</v>
      </c>
      <c r="Q375" t="n">
        <v>0</v>
      </c>
      <c r="R375" s="2" t="inlineStr"/>
    </row>
    <row r="376" ht="15" customHeight="1">
      <c r="A376" t="inlineStr">
        <is>
          <t>A 25200-2025</t>
        </is>
      </c>
      <c r="B376" s="1" t="n">
        <v>45800.4615625</v>
      </c>
      <c r="C376" s="1" t="n">
        <v>45974</v>
      </c>
      <c r="D376" t="inlineStr">
        <is>
          <t>JÄMTLANDS LÄN</t>
        </is>
      </c>
      <c r="E376" t="inlineStr">
        <is>
          <t>ÅRE</t>
        </is>
      </c>
      <c r="G376" t="n">
        <v>3.3</v>
      </c>
      <c r="H376" t="n">
        <v>0</v>
      </c>
      <c r="I376" t="n">
        <v>0</v>
      </c>
      <c r="J376" t="n">
        <v>0</v>
      </c>
      <c r="K376" t="n">
        <v>0</v>
      </c>
      <c r="L376" t="n">
        <v>0</v>
      </c>
      <c r="M376" t="n">
        <v>0</v>
      </c>
      <c r="N376" t="n">
        <v>0</v>
      </c>
      <c r="O376" t="n">
        <v>0</v>
      </c>
      <c r="P376" t="n">
        <v>0</v>
      </c>
      <c r="Q376" t="n">
        <v>0</v>
      </c>
      <c r="R376" s="2" t="inlineStr"/>
    </row>
    <row r="377" ht="15" customHeight="1">
      <c r="A377" t="inlineStr">
        <is>
          <t>A 4181-2025</t>
        </is>
      </c>
      <c r="B377" s="1" t="n">
        <v>45685.44300925926</v>
      </c>
      <c r="C377" s="1" t="n">
        <v>45974</v>
      </c>
      <c r="D377" t="inlineStr">
        <is>
          <t>JÄMTLANDS LÄN</t>
        </is>
      </c>
      <c r="E377" t="inlineStr">
        <is>
          <t>ÅRE</t>
        </is>
      </c>
      <c r="F377" t="inlineStr">
        <is>
          <t>Övriga Aktiebolag</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25208-2025</t>
        </is>
      </c>
      <c r="B378" s="1" t="n">
        <v>45800.46927083333</v>
      </c>
      <c r="C378" s="1" t="n">
        <v>45974</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25926-2023</t>
        </is>
      </c>
      <c r="B379" s="1" t="n">
        <v>45085</v>
      </c>
      <c r="C379" s="1" t="n">
        <v>45974</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47075-2024</t>
        </is>
      </c>
      <c r="B380" s="1" t="n">
        <v>45586.5008912037</v>
      </c>
      <c r="C380" s="1" t="n">
        <v>45974</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12168-2023</t>
        </is>
      </c>
      <c r="B381" s="1" t="n">
        <v>44998</v>
      </c>
      <c r="C381" s="1" t="n">
        <v>45974</v>
      </c>
      <c r="D381" t="inlineStr">
        <is>
          <t>JÄMTLANDS LÄN</t>
        </is>
      </c>
      <c r="E381" t="inlineStr">
        <is>
          <t>ÅRE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12173-2023</t>
        </is>
      </c>
      <c r="B382" s="1" t="n">
        <v>44998</v>
      </c>
      <c r="C382" s="1" t="n">
        <v>45974</v>
      </c>
      <c r="D382" t="inlineStr">
        <is>
          <t>JÄMTLANDS LÄN</t>
        </is>
      </c>
      <c r="E382" t="inlineStr">
        <is>
          <t>ÅRE</t>
        </is>
      </c>
      <c r="G382" t="n">
        <v>2.5</v>
      </c>
      <c r="H382" t="n">
        <v>0</v>
      </c>
      <c r="I382" t="n">
        <v>0</v>
      </c>
      <c r="J382" t="n">
        <v>0</v>
      </c>
      <c r="K382" t="n">
        <v>0</v>
      </c>
      <c r="L382" t="n">
        <v>0</v>
      </c>
      <c r="M382" t="n">
        <v>0</v>
      </c>
      <c r="N382" t="n">
        <v>0</v>
      </c>
      <c r="O382" t="n">
        <v>0</v>
      </c>
      <c r="P382" t="n">
        <v>0</v>
      </c>
      <c r="Q382" t="n">
        <v>0</v>
      </c>
      <c r="R382" s="2" t="inlineStr"/>
    </row>
    <row r="383" ht="15" customHeight="1">
      <c r="A383" t="inlineStr">
        <is>
          <t>A 12179-2023</t>
        </is>
      </c>
      <c r="B383" s="1" t="n">
        <v>44998</v>
      </c>
      <c r="C383" s="1" t="n">
        <v>45974</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12287-2023</t>
        </is>
      </c>
      <c r="B384" s="1" t="n">
        <v>44998.72736111111</v>
      </c>
      <c r="C384" s="1" t="n">
        <v>45974</v>
      </c>
      <c r="D384" t="inlineStr">
        <is>
          <t>JÄMTLANDS LÄN</t>
        </is>
      </c>
      <c r="E384" t="inlineStr">
        <is>
          <t>ÅRE</t>
        </is>
      </c>
      <c r="G384" t="n">
        <v>3.1</v>
      </c>
      <c r="H384" t="n">
        <v>0</v>
      </c>
      <c r="I384" t="n">
        <v>0</v>
      </c>
      <c r="J384" t="n">
        <v>0</v>
      </c>
      <c r="K384" t="n">
        <v>0</v>
      </c>
      <c r="L384" t="n">
        <v>0</v>
      </c>
      <c r="M384" t="n">
        <v>0</v>
      </c>
      <c r="N384" t="n">
        <v>0</v>
      </c>
      <c r="O384" t="n">
        <v>0</v>
      </c>
      <c r="P384" t="n">
        <v>0</v>
      </c>
      <c r="Q384" t="n">
        <v>0</v>
      </c>
      <c r="R384" s="2" t="inlineStr"/>
    </row>
    <row r="385" ht="15" customHeight="1">
      <c r="A385" t="inlineStr">
        <is>
          <t>A 40653-2022</t>
        </is>
      </c>
      <c r="B385" s="1" t="n">
        <v>44818</v>
      </c>
      <c r="C385" s="1" t="n">
        <v>45974</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5611-2025</t>
        </is>
      </c>
      <c r="B386" s="1" t="n">
        <v>45693.60480324074</v>
      </c>
      <c r="C386" s="1" t="n">
        <v>45974</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56556-2022</t>
        </is>
      </c>
      <c r="B387" s="1" t="n">
        <v>44893.48930555556</v>
      </c>
      <c r="C387" s="1" t="n">
        <v>45974</v>
      </c>
      <c r="D387" t="inlineStr">
        <is>
          <t>JÄMTLANDS LÄN</t>
        </is>
      </c>
      <c r="E387" t="inlineStr">
        <is>
          <t>ÅRE</t>
        </is>
      </c>
      <c r="F387" t="inlineStr">
        <is>
          <t>Övriga Aktiebolag</t>
        </is>
      </c>
      <c r="G387" t="n">
        <v>4.9</v>
      </c>
      <c r="H387" t="n">
        <v>0</v>
      </c>
      <c r="I387" t="n">
        <v>0</v>
      </c>
      <c r="J387" t="n">
        <v>0</v>
      </c>
      <c r="K387" t="n">
        <v>0</v>
      </c>
      <c r="L387" t="n">
        <v>0</v>
      </c>
      <c r="M387" t="n">
        <v>0</v>
      </c>
      <c r="N387" t="n">
        <v>0</v>
      </c>
      <c r="O387" t="n">
        <v>0</v>
      </c>
      <c r="P387" t="n">
        <v>0</v>
      </c>
      <c r="Q387" t="n">
        <v>0</v>
      </c>
      <c r="R387" s="2" t="inlineStr"/>
    </row>
    <row r="388" ht="15" customHeight="1">
      <c r="A388" t="inlineStr">
        <is>
          <t>A 5610-2025</t>
        </is>
      </c>
      <c r="B388" s="1" t="n">
        <v>45693.60425925926</v>
      </c>
      <c r="C388" s="1" t="n">
        <v>45974</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66083-2020</t>
        </is>
      </c>
      <c r="B389" s="1" t="n">
        <v>44172</v>
      </c>
      <c r="C389" s="1" t="n">
        <v>45974</v>
      </c>
      <c r="D389" t="inlineStr">
        <is>
          <t>JÄMTLANDS LÄN</t>
        </is>
      </c>
      <c r="E389" t="inlineStr">
        <is>
          <t>ÅRE</t>
        </is>
      </c>
      <c r="G389" t="n">
        <v>349.9</v>
      </c>
      <c r="H389" t="n">
        <v>0</v>
      </c>
      <c r="I389" t="n">
        <v>0</v>
      </c>
      <c r="J389" t="n">
        <v>0</v>
      </c>
      <c r="K389" t="n">
        <v>0</v>
      </c>
      <c r="L389" t="n">
        <v>0</v>
      </c>
      <c r="M389" t="n">
        <v>0</v>
      </c>
      <c r="N389" t="n">
        <v>0</v>
      </c>
      <c r="O389" t="n">
        <v>0</v>
      </c>
      <c r="P389" t="n">
        <v>0</v>
      </c>
      <c r="Q389" t="n">
        <v>0</v>
      </c>
      <c r="R389" s="2" t="inlineStr"/>
    </row>
    <row r="390" ht="15" customHeight="1">
      <c r="A390" t="inlineStr">
        <is>
          <t>A 56976-2023</t>
        </is>
      </c>
      <c r="B390" s="1" t="n">
        <v>45244.64202546296</v>
      </c>
      <c r="C390" s="1" t="n">
        <v>45974</v>
      </c>
      <c r="D390" t="inlineStr">
        <is>
          <t>JÄMTLANDS LÄN</t>
        </is>
      </c>
      <c r="E390" t="inlineStr">
        <is>
          <t>ÅRE</t>
        </is>
      </c>
      <c r="F390" t="inlineStr">
        <is>
          <t>Övriga Aktiebolag</t>
        </is>
      </c>
      <c r="G390" t="n">
        <v>4.9</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45974</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20170-2025</t>
        </is>
      </c>
      <c r="B392" s="1" t="n">
        <v>45772.57789351852</v>
      </c>
      <c r="C392" s="1" t="n">
        <v>45974</v>
      </c>
      <c r="D392" t="inlineStr">
        <is>
          <t>JÄMTLANDS LÄN</t>
        </is>
      </c>
      <c r="E392" t="inlineStr">
        <is>
          <t>ÅRE</t>
        </is>
      </c>
      <c r="G392" t="n">
        <v>0.1</v>
      </c>
      <c r="H392" t="n">
        <v>0</v>
      </c>
      <c r="I392" t="n">
        <v>0</v>
      </c>
      <c r="J392" t="n">
        <v>0</v>
      </c>
      <c r="K392" t="n">
        <v>0</v>
      </c>
      <c r="L392" t="n">
        <v>0</v>
      </c>
      <c r="M392" t="n">
        <v>0</v>
      </c>
      <c r="N392" t="n">
        <v>0</v>
      </c>
      <c r="O392" t="n">
        <v>0</v>
      </c>
      <c r="P392" t="n">
        <v>0</v>
      </c>
      <c r="Q392" t="n">
        <v>0</v>
      </c>
      <c r="R392" s="2" t="inlineStr"/>
    </row>
    <row r="393" ht="15" customHeight="1">
      <c r="A393" t="inlineStr">
        <is>
          <t>A 37758-2023</t>
        </is>
      </c>
      <c r="B393" s="1" t="n">
        <v>45159</v>
      </c>
      <c r="C393" s="1" t="n">
        <v>45974</v>
      </c>
      <c r="D393" t="inlineStr">
        <is>
          <t>JÄMTLANDS LÄN</t>
        </is>
      </c>
      <c r="E393" t="inlineStr">
        <is>
          <t>ÅRE</t>
        </is>
      </c>
      <c r="G393" t="n">
        <v>20.1</v>
      </c>
      <c r="H393" t="n">
        <v>0</v>
      </c>
      <c r="I393" t="n">
        <v>0</v>
      </c>
      <c r="J393" t="n">
        <v>0</v>
      </c>
      <c r="K393" t="n">
        <v>0</v>
      </c>
      <c r="L393" t="n">
        <v>0</v>
      </c>
      <c r="M393" t="n">
        <v>0</v>
      </c>
      <c r="N393" t="n">
        <v>0</v>
      </c>
      <c r="O393" t="n">
        <v>0</v>
      </c>
      <c r="P393" t="n">
        <v>0</v>
      </c>
      <c r="Q393" t="n">
        <v>0</v>
      </c>
      <c r="R393" s="2" t="inlineStr"/>
    </row>
    <row r="394" ht="15" customHeight="1">
      <c r="A394" t="inlineStr">
        <is>
          <t>A 24655-2023</t>
        </is>
      </c>
      <c r="B394" s="1" t="n">
        <v>45084.47790509259</v>
      </c>
      <c r="C394" s="1" t="n">
        <v>45974</v>
      </c>
      <c r="D394" t="inlineStr">
        <is>
          <t>JÄMTLANDS LÄN</t>
        </is>
      </c>
      <c r="E394" t="inlineStr">
        <is>
          <t>ÅRE</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56910-2022</t>
        </is>
      </c>
      <c r="B395" s="1" t="n">
        <v>44894.59936342593</v>
      </c>
      <c r="C395" s="1" t="n">
        <v>45974</v>
      </c>
      <c r="D395" t="inlineStr">
        <is>
          <t>JÄMTLANDS LÄN</t>
        </is>
      </c>
      <c r="E395" t="inlineStr">
        <is>
          <t>ÅRE</t>
        </is>
      </c>
      <c r="F395" t="inlineStr">
        <is>
          <t>Övriga Aktiebolag</t>
        </is>
      </c>
      <c r="G395" t="n">
        <v>4.9</v>
      </c>
      <c r="H395" t="n">
        <v>0</v>
      </c>
      <c r="I395" t="n">
        <v>0</v>
      </c>
      <c r="J395" t="n">
        <v>0</v>
      </c>
      <c r="K395" t="n">
        <v>0</v>
      </c>
      <c r="L395" t="n">
        <v>0</v>
      </c>
      <c r="M395" t="n">
        <v>0</v>
      </c>
      <c r="N395" t="n">
        <v>0</v>
      </c>
      <c r="O395" t="n">
        <v>0</v>
      </c>
      <c r="P395" t="n">
        <v>0</v>
      </c>
      <c r="Q395" t="n">
        <v>0</v>
      </c>
      <c r="R395" s="2" t="inlineStr"/>
    </row>
    <row r="396" ht="15" customHeight="1">
      <c r="A396" t="inlineStr">
        <is>
          <t>A 55033-2024</t>
        </is>
      </c>
      <c r="B396" s="1" t="n">
        <v>45621.38193287037</v>
      </c>
      <c r="C396" s="1" t="n">
        <v>45974</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25275-2025</t>
        </is>
      </c>
      <c r="B397" s="1" t="n">
        <v>45800.55372685185</v>
      </c>
      <c r="C397" s="1" t="n">
        <v>45974</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27390-2021</t>
        </is>
      </c>
      <c r="B398" s="1" t="n">
        <v>44351</v>
      </c>
      <c r="C398" s="1" t="n">
        <v>45974</v>
      </c>
      <c r="D398" t="inlineStr">
        <is>
          <t>JÄMTLANDS LÄN</t>
        </is>
      </c>
      <c r="E398" t="inlineStr">
        <is>
          <t>ÅRE</t>
        </is>
      </c>
      <c r="G398" t="n">
        <v>14.9</v>
      </c>
      <c r="H398" t="n">
        <v>0</v>
      </c>
      <c r="I398" t="n">
        <v>0</v>
      </c>
      <c r="J398" t="n">
        <v>0</v>
      </c>
      <c r="K398" t="n">
        <v>0</v>
      </c>
      <c r="L398" t="n">
        <v>0</v>
      </c>
      <c r="M398" t="n">
        <v>0</v>
      </c>
      <c r="N398" t="n">
        <v>0</v>
      </c>
      <c r="O398" t="n">
        <v>0</v>
      </c>
      <c r="P398" t="n">
        <v>0</v>
      </c>
      <c r="Q398" t="n">
        <v>0</v>
      </c>
      <c r="R398" s="2" t="inlineStr"/>
    </row>
    <row r="399" ht="15" customHeight="1">
      <c r="A399" t="inlineStr">
        <is>
          <t>A 18264-2023</t>
        </is>
      </c>
      <c r="B399" s="1" t="n">
        <v>45041</v>
      </c>
      <c r="C399" s="1" t="n">
        <v>45974</v>
      </c>
      <c r="D399" t="inlineStr">
        <is>
          <t>JÄMTLANDS LÄN</t>
        </is>
      </c>
      <c r="E399" t="inlineStr">
        <is>
          <t>ÅRE</t>
        </is>
      </c>
      <c r="G399" t="n">
        <v>0.2</v>
      </c>
      <c r="H399" t="n">
        <v>0</v>
      </c>
      <c r="I399" t="n">
        <v>0</v>
      </c>
      <c r="J399" t="n">
        <v>0</v>
      </c>
      <c r="K399" t="n">
        <v>0</v>
      </c>
      <c r="L399" t="n">
        <v>0</v>
      </c>
      <c r="M399" t="n">
        <v>0</v>
      </c>
      <c r="N399" t="n">
        <v>0</v>
      </c>
      <c r="O399" t="n">
        <v>0</v>
      </c>
      <c r="P399" t="n">
        <v>0</v>
      </c>
      <c r="Q399" t="n">
        <v>0</v>
      </c>
      <c r="R399" s="2" t="inlineStr"/>
    </row>
    <row r="400" ht="15" customHeight="1">
      <c r="A400" t="inlineStr">
        <is>
          <t>A 14283-2025</t>
        </is>
      </c>
      <c r="B400" s="1" t="n">
        <v>45740.65851851852</v>
      </c>
      <c r="C400" s="1" t="n">
        <v>45974</v>
      </c>
      <c r="D400" t="inlineStr">
        <is>
          <t>JÄMTLANDS LÄN</t>
        </is>
      </c>
      <c r="E400" t="inlineStr">
        <is>
          <t>ÅRE</t>
        </is>
      </c>
      <c r="G400" t="n">
        <v>4.6</v>
      </c>
      <c r="H400" t="n">
        <v>0</v>
      </c>
      <c r="I400" t="n">
        <v>0</v>
      </c>
      <c r="J400" t="n">
        <v>0</v>
      </c>
      <c r="K400" t="n">
        <v>0</v>
      </c>
      <c r="L400" t="n">
        <v>0</v>
      </c>
      <c r="M400" t="n">
        <v>0</v>
      </c>
      <c r="N400" t="n">
        <v>0</v>
      </c>
      <c r="O400" t="n">
        <v>0</v>
      </c>
      <c r="P400" t="n">
        <v>0</v>
      </c>
      <c r="Q400" t="n">
        <v>0</v>
      </c>
      <c r="R400" s="2" t="inlineStr"/>
    </row>
    <row r="401" ht="15" customHeight="1">
      <c r="A401" t="inlineStr">
        <is>
          <t>A 33379-2024</t>
        </is>
      </c>
      <c r="B401" s="1" t="n">
        <v>45519.4495949074</v>
      </c>
      <c r="C401" s="1" t="n">
        <v>45974</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12216-2023</t>
        </is>
      </c>
      <c r="B402" s="1" t="n">
        <v>44998</v>
      </c>
      <c r="C402" s="1" t="n">
        <v>45974</v>
      </c>
      <c r="D402" t="inlineStr">
        <is>
          <t>JÄMTLANDS LÄN</t>
        </is>
      </c>
      <c r="E402" t="inlineStr">
        <is>
          <t>ÅRE</t>
        </is>
      </c>
      <c r="G402" t="n">
        <v>11.8</v>
      </c>
      <c r="H402" t="n">
        <v>0</v>
      </c>
      <c r="I402" t="n">
        <v>0</v>
      </c>
      <c r="J402" t="n">
        <v>0</v>
      </c>
      <c r="K402" t="n">
        <v>0</v>
      </c>
      <c r="L402" t="n">
        <v>0</v>
      </c>
      <c r="M402" t="n">
        <v>0</v>
      </c>
      <c r="N402" t="n">
        <v>0</v>
      </c>
      <c r="O402" t="n">
        <v>0</v>
      </c>
      <c r="P402" t="n">
        <v>0</v>
      </c>
      <c r="Q402" t="n">
        <v>0</v>
      </c>
      <c r="R402" s="2" t="inlineStr"/>
    </row>
    <row r="403" ht="15" customHeight="1">
      <c r="A403" t="inlineStr">
        <is>
          <t>A 52677-2024</t>
        </is>
      </c>
      <c r="B403" s="1" t="n">
        <v>45610.38560185185</v>
      </c>
      <c r="C403" s="1" t="n">
        <v>45974</v>
      </c>
      <c r="D403" t="inlineStr">
        <is>
          <t>JÄMTLANDS LÄN</t>
        </is>
      </c>
      <c r="E403" t="inlineStr">
        <is>
          <t>ÅRE</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45834-2024</t>
        </is>
      </c>
      <c r="B404" s="1" t="n">
        <v>45579.91509259259</v>
      </c>
      <c r="C404" s="1" t="n">
        <v>45974</v>
      </c>
      <c r="D404" t="inlineStr">
        <is>
          <t>JÄMTLANDS LÄN</t>
        </is>
      </c>
      <c r="E404" t="inlineStr">
        <is>
          <t>ÅRE</t>
        </is>
      </c>
      <c r="G404" t="n">
        <v>3.9</v>
      </c>
      <c r="H404" t="n">
        <v>0</v>
      </c>
      <c r="I404" t="n">
        <v>0</v>
      </c>
      <c r="J404" t="n">
        <v>0</v>
      </c>
      <c r="K404" t="n">
        <v>0</v>
      </c>
      <c r="L404" t="n">
        <v>0</v>
      </c>
      <c r="M404" t="n">
        <v>0</v>
      </c>
      <c r="N404" t="n">
        <v>0</v>
      </c>
      <c r="O404" t="n">
        <v>0</v>
      </c>
      <c r="P404" t="n">
        <v>0</v>
      </c>
      <c r="Q404" t="n">
        <v>0</v>
      </c>
      <c r="R404" s="2" t="inlineStr"/>
    </row>
    <row r="405" ht="15" customHeight="1">
      <c r="A405" t="inlineStr">
        <is>
          <t>A 59215-2024</t>
        </is>
      </c>
      <c r="B405" s="1" t="n">
        <v>45636</v>
      </c>
      <c r="C405" s="1" t="n">
        <v>45974</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5651-2023</t>
        </is>
      </c>
      <c r="B406" s="1" t="n">
        <v>44958</v>
      </c>
      <c r="C406" s="1" t="n">
        <v>45974</v>
      </c>
      <c r="D406" t="inlineStr">
        <is>
          <t>JÄMTLANDS LÄN</t>
        </is>
      </c>
      <c r="E406" t="inlineStr">
        <is>
          <t>ÅRE</t>
        </is>
      </c>
      <c r="G406" t="n">
        <v>5.7</v>
      </c>
      <c r="H406" t="n">
        <v>0</v>
      </c>
      <c r="I406" t="n">
        <v>0</v>
      </c>
      <c r="J406" t="n">
        <v>0</v>
      </c>
      <c r="K406" t="n">
        <v>0</v>
      </c>
      <c r="L406" t="n">
        <v>0</v>
      </c>
      <c r="M406" t="n">
        <v>0</v>
      </c>
      <c r="N406" t="n">
        <v>0</v>
      </c>
      <c r="O406" t="n">
        <v>0</v>
      </c>
      <c r="P406" t="n">
        <v>0</v>
      </c>
      <c r="Q406" t="n">
        <v>0</v>
      </c>
      <c r="R406" s="2" t="inlineStr"/>
    </row>
    <row r="407" ht="15" customHeight="1">
      <c r="A407" t="inlineStr">
        <is>
          <t>A 43307-2024</t>
        </is>
      </c>
      <c r="B407" s="1" t="n">
        <v>45568.44303240741</v>
      </c>
      <c r="C407" s="1" t="n">
        <v>45974</v>
      </c>
      <c r="D407" t="inlineStr">
        <is>
          <t>JÄMTLANDS LÄN</t>
        </is>
      </c>
      <c r="E407" t="inlineStr">
        <is>
          <t>ÅRE</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67270-2020</t>
        </is>
      </c>
      <c r="B408" s="1" t="n">
        <v>44179</v>
      </c>
      <c r="C408" s="1" t="n">
        <v>45974</v>
      </c>
      <c r="D408" t="inlineStr">
        <is>
          <t>JÄMTLANDS LÄN</t>
        </is>
      </c>
      <c r="E408" t="inlineStr">
        <is>
          <t>ÅRE</t>
        </is>
      </c>
      <c r="G408" t="n">
        <v>4.2</v>
      </c>
      <c r="H408" t="n">
        <v>0</v>
      </c>
      <c r="I408" t="n">
        <v>0</v>
      </c>
      <c r="J408" t="n">
        <v>0</v>
      </c>
      <c r="K408" t="n">
        <v>0</v>
      </c>
      <c r="L408" t="n">
        <v>0</v>
      </c>
      <c r="M408" t="n">
        <v>0</v>
      </c>
      <c r="N408" t="n">
        <v>0</v>
      </c>
      <c r="O408" t="n">
        <v>0</v>
      </c>
      <c r="P408" t="n">
        <v>0</v>
      </c>
      <c r="Q408" t="n">
        <v>0</v>
      </c>
      <c r="R408" s="2" t="inlineStr"/>
    </row>
    <row r="409" ht="15" customHeight="1">
      <c r="A409" t="inlineStr">
        <is>
          <t>A 54116-2023</t>
        </is>
      </c>
      <c r="B409" s="1" t="n">
        <v>45232</v>
      </c>
      <c r="C409" s="1" t="n">
        <v>45974</v>
      </c>
      <c r="D409" t="inlineStr">
        <is>
          <t>JÄMTLANDS LÄN</t>
        </is>
      </c>
      <c r="E409" t="inlineStr">
        <is>
          <t>ÅRE</t>
        </is>
      </c>
      <c r="G409" t="n">
        <v>3.8</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45974</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57448-2023</t>
        </is>
      </c>
      <c r="B411" s="1" t="n">
        <v>45246.34405092592</v>
      </c>
      <c r="C411" s="1" t="n">
        <v>45974</v>
      </c>
      <c r="D411" t="inlineStr">
        <is>
          <t>JÄMTLANDS LÄN</t>
        </is>
      </c>
      <c r="E411" t="inlineStr">
        <is>
          <t>ÅRE</t>
        </is>
      </c>
      <c r="G411" t="n">
        <v>11.9</v>
      </c>
      <c r="H411" t="n">
        <v>0</v>
      </c>
      <c r="I411" t="n">
        <v>0</v>
      </c>
      <c r="J411" t="n">
        <v>0</v>
      </c>
      <c r="K411" t="n">
        <v>0</v>
      </c>
      <c r="L411" t="n">
        <v>0</v>
      </c>
      <c r="M411" t="n">
        <v>0</v>
      </c>
      <c r="N411" t="n">
        <v>0</v>
      </c>
      <c r="O411" t="n">
        <v>0</v>
      </c>
      <c r="P411" t="n">
        <v>0</v>
      </c>
      <c r="Q411" t="n">
        <v>0</v>
      </c>
      <c r="R411" s="2" t="inlineStr"/>
    </row>
    <row r="412" ht="15" customHeight="1">
      <c r="A412" t="inlineStr">
        <is>
          <t>A 12292-2023</t>
        </is>
      </c>
      <c r="B412" s="1" t="n">
        <v>44998</v>
      </c>
      <c r="C412" s="1" t="n">
        <v>45974</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12294-2023</t>
        </is>
      </c>
      <c r="B413" s="1" t="n">
        <v>44998.75266203703</v>
      </c>
      <c r="C413" s="1" t="n">
        <v>45974</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18531-2021</t>
        </is>
      </c>
      <c r="B414" s="1" t="n">
        <v>44306</v>
      </c>
      <c r="C414" s="1" t="n">
        <v>45974</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911-2022</t>
        </is>
      </c>
      <c r="B415" s="1" t="n">
        <v>44570</v>
      </c>
      <c r="C415" s="1" t="n">
        <v>45974</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17576-2024</t>
        </is>
      </c>
      <c r="B416" s="1" t="n">
        <v>45415</v>
      </c>
      <c r="C416" s="1" t="n">
        <v>45974</v>
      </c>
      <c r="D416" t="inlineStr">
        <is>
          <t>JÄMTLANDS LÄN</t>
        </is>
      </c>
      <c r="E416" t="inlineStr">
        <is>
          <t>ÅRE</t>
        </is>
      </c>
      <c r="G416" t="n">
        <v>0.1</v>
      </c>
      <c r="H416" t="n">
        <v>0</v>
      </c>
      <c r="I416" t="n">
        <v>0</v>
      </c>
      <c r="J416" t="n">
        <v>0</v>
      </c>
      <c r="K416" t="n">
        <v>0</v>
      </c>
      <c r="L416" t="n">
        <v>0</v>
      </c>
      <c r="M416" t="n">
        <v>0</v>
      </c>
      <c r="N416" t="n">
        <v>0</v>
      </c>
      <c r="O416" t="n">
        <v>0</v>
      </c>
      <c r="P416" t="n">
        <v>0</v>
      </c>
      <c r="Q416" t="n">
        <v>0</v>
      </c>
      <c r="R416" s="2" t="inlineStr"/>
    </row>
    <row r="417" ht="15" customHeight="1">
      <c r="A417" t="inlineStr">
        <is>
          <t>A 8217-2021</t>
        </is>
      </c>
      <c r="B417" s="1" t="n">
        <v>44244</v>
      </c>
      <c r="C417" s="1" t="n">
        <v>45974</v>
      </c>
      <c r="D417" t="inlineStr">
        <is>
          <t>JÄMTLANDS LÄN</t>
        </is>
      </c>
      <c r="E417" t="inlineStr">
        <is>
          <t>ÅRE</t>
        </is>
      </c>
      <c r="G417" t="n">
        <v>51.8</v>
      </c>
      <c r="H417" t="n">
        <v>0</v>
      </c>
      <c r="I417" t="n">
        <v>0</v>
      </c>
      <c r="J417" t="n">
        <v>0</v>
      </c>
      <c r="K417" t="n">
        <v>0</v>
      </c>
      <c r="L417" t="n">
        <v>0</v>
      </c>
      <c r="M417" t="n">
        <v>0</v>
      </c>
      <c r="N417" t="n">
        <v>0</v>
      </c>
      <c r="O417" t="n">
        <v>0</v>
      </c>
      <c r="P417" t="n">
        <v>0</v>
      </c>
      <c r="Q417" t="n">
        <v>0</v>
      </c>
      <c r="R417" s="2" t="inlineStr"/>
    </row>
    <row r="418" ht="15" customHeight="1">
      <c r="A418" t="inlineStr">
        <is>
          <t>A 49303-2024</t>
        </is>
      </c>
      <c r="B418" s="1" t="n">
        <v>45595</v>
      </c>
      <c r="C418" s="1" t="n">
        <v>45974</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64758-2023</t>
        </is>
      </c>
      <c r="B419" s="1" t="n">
        <v>45281</v>
      </c>
      <c r="C419" s="1" t="n">
        <v>45974</v>
      </c>
      <c r="D419" t="inlineStr">
        <is>
          <t>JÄMTLANDS LÄN</t>
        </is>
      </c>
      <c r="E419" t="inlineStr">
        <is>
          <t>ÅRE</t>
        </is>
      </c>
      <c r="F419" t="inlineStr">
        <is>
          <t>Övriga Aktiebolag</t>
        </is>
      </c>
      <c r="G419" t="n">
        <v>3.4</v>
      </c>
      <c r="H419" t="n">
        <v>0</v>
      </c>
      <c r="I419" t="n">
        <v>0</v>
      </c>
      <c r="J419" t="n">
        <v>0</v>
      </c>
      <c r="K419" t="n">
        <v>0</v>
      </c>
      <c r="L419" t="n">
        <v>0</v>
      </c>
      <c r="M419" t="n">
        <v>0</v>
      </c>
      <c r="N419" t="n">
        <v>0</v>
      </c>
      <c r="O419" t="n">
        <v>0</v>
      </c>
      <c r="P419" t="n">
        <v>0</v>
      </c>
      <c r="Q419" t="n">
        <v>0</v>
      </c>
      <c r="R419" s="2" t="inlineStr"/>
    </row>
    <row r="420" ht="15" customHeight="1">
      <c r="A420" t="inlineStr">
        <is>
          <t>A 61978-2023</t>
        </is>
      </c>
      <c r="B420" s="1" t="n">
        <v>45266.59711805556</v>
      </c>
      <c r="C420" s="1" t="n">
        <v>45974</v>
      </c>
      <c r="D420" t="inlineStr">
        <is>
          <t>JÄMTLANDS LÄN</t>
        </is>
      </c>
      <c r="E420" t="inlineStr">
        <is>
          <t>ÅRE</t>
        </is>
      </c>
      <c r="G420" t="n">
        <v>5.5</v>
      </c>
      <c r="H420" t="n">
        <v>0</v>
      </c>
      <c r="I420" t="n">
        <v>0</v>
      </c>
      <c r="J420" t="n">
        <v>0</v>
      </c>
      <c r="K420" t="n">
        <v>0</v>
      </c>
      <c r="L420" t="n">
        <v>0</v>
      </c>
      <c r="M420" t="n">
        <v>0</v>
      </c>
      <c r="N420" t="n">
        <v>0</v>
      </c>
      <c r="O420" t="n">
        <v>0</v>
      </c>
      <c r="P420" t="n">
        <v>0</v>
      </c>
      <c r="Q420" t="n">
        <v>0</v>
      </c>
      <c r="R420" s="2" t="inlineStr"/>
    </row>
    <row r="421" ht="15" customHeight="1">
      <c r="A421" t="inlineStr">
        <is>
          <t>A 45105-2024</t>
        </is>
      </c>
      <c r="B421" s="1" t="n">
        <v>45575.5909837963</v>
      </c>
      <c r="C421" s="1" t="n">
        <v>45974</v>
      </c>
      <c r="D421" t="inlineStr">
        <is>
          <t>JÄMTLANDS LÄN</t>
        </is>
      </c>
      <c r="E421" t="inlineStr">
        <is>
          <t>ÅRE</t>
        </is>
      </c>
      <c r="F421" t="inlineStr">
        <is>
          <t>Övriga Aktiebolag</t>
        </is>
      </c>
      <c r="G421" t="n">
        <v>5</v>
      </c>
      <c r="H421" t="n">
        <v>0</v>
      </c>
      <c r="I421" t="n">
        <v>0</v>
      </c>
      <c r="J421" t="n">
        <v>0</v>
      </c>
      <c r="K421" t="n">
        <v>0</v>
      </c>
      <c r="L421" t="n">
        <v>0</v>
      </c>
      <c r="M421" t="n">
        <v>0</v>
      </c>
      <c r="N421" t="n">
        <v>0</v>
      </c>
      <c r="O421" t="n">
        <v>0</v>
      </c>
      <c r="P421" t="n">
        <v>0</v>
      </c>
      <c r="Q421" t="n">
        <v>0</v>
      </c>
      <c r="R421" s="2" t="inlineStr"/>
    </row>
    <row r="422" ht="15" customHeight="1">
      <c r="A422" t="inlineStr">
        <is>
          <t>A 34231-2023</t>
        </is>
      </c>
      <c r="B422" s="1" t="n">
        <v>45127</v>
      </c>
      <c r="C422" s="1" t="n">
        <v>45974</v>
      </c>
      <c r="D422" t="inlineStr">
        <is>
          <t>JÄMTLANDS LÄN</t>
        </is>
      </c>
      <c r="E422" t="inlineStr">
        <is>
          <t>ÅRE</t>
        </is>
      </c>
      <c r="G422" t="n">
        <v>18.3</v>
      </c>
      <c r="H422" t="n">
        <v>0</v>
      </c>
      <c r="I422" t="n">
        <v>0</v>
      </c>
      <c r="J422" t="n">
        <v>0</v>
      </c>
      <c r="K422" t="n">
        <v>0</v>
      </c>
      <c r="L422" t="n">
        <v>0</v>
      </c>
      <c r="M422" t="n">
        <v>0</v>
      </c>
      <c r="N422" t="n">
        <v>0</v>
      </c>
      <c r="O422" t="n">
        <v>0</v>
      </c>
      <c r="P422" t="n">
        <v>0</v>
      </c>
      <c r="Q422" t="n">
        <v>0</v>
      </c>
      <c r="R422" s="2" t="inlineStr"/>
    </row>
    <row r="423" ht="15" customHeight="1">
      <c r="A423" t="inlineStr">
        <is>
          <t>A 10567-2025</t>
        </is>
      </c>
      <c r="B423" s="1" t="n">
        <v>45714</v>
      </c>
      <c r="C423" s="1" t="n">
        <v>45974</v>
      </c>
      <c r="D423" t="inlineStr">
        <is>
          <t>JÄMTLANDS LÄN</t>
        </is>
      </c>
      <c r="E423" t="inlineStr">
        <is>
          <t>ÅRE</t>
        </is>
      </c>
      <c r="G423" t="n">
        <v>3.6</v>
      </c>
      <c r="H423" t="n">
        <v>0</v>
      </c>
      <c r="I423" t="n">
        <v>0</v>
      </c>
      <c r="J423" t="n">
        <v>0</v>
      </c>
      <c r="K423" t="n">
        <v>0</v>
      </c>
      <c r="L423" t="n">
        <v>0</v>
      </c>
      <c r="M423" t="n">
        <v>0</v>
      </c>
      <c r="N423" t="n">
        <v>0</v>
      </c>
      <c r="O423" t="n">
        <v>0</v>
      </c>
      <c r="P423" t="n">
        <v>0</v>
      </c>
      <c r="Q423" t="n">
        <v>0</v>
      </c>
      <c r="R423" s="2" t="inlineStr"/>
    </row>
    <row r="424" ht="15" customHeight="1">
      <c r="A424" t="inlineStr">
        <is>
          <t>A 49818-2022</t>
        </is>
      </c>
      <c r="B424" s="1" t="n">
        <v>44859</v>
      </c>
      <c r="C424" s="1" t="n">
        <v>45974</v>
      </c>
      <c r="D424" t="inlineStr">
        <is>
          <t>JÄMTLANDS LÄN</t>
        </is>
      </c>
      <c r="E424" t="inlineStr">
        <is>
          <t>ÅRE</t>
        </is>
      </c>
      <c r="G424" t="n">
        <v>63</v>
      </c>
      <c r="H424" t="n">
        <v>0</v>
      </c>
      <c r="I424" t="n">
        <v>0</v>
      </c>
      <c r="J424" t="n">
        <v>0</v>
      </c>
      <c r="K424" t="n">
        <v>0</v>
      </c>
      <c r="L424" t="n">
        <v>0</v>
      </c>
      <c r="M424" t="n">
        <v>0</v>
      </c>
      <c r="N424" t="n">
        <v>0</v>
      </c>
      <c r="O424" t="n">
        <v>0</v>
      </c>
      <c r="P424" t="n">
        <v>0</v>
      </c>
      <c r="Q424" t="n">
        <v>0</v>
      </c>
      <c r="R424" s="2" t="inlineStr"/>
    </row>
    <row r="425" ht="15" customHeight="1">
      <c r="A425" t="inlineStr">
        <is>
          <t>A 59968-2023</t>
        </is>
      </c>
      <c r="B425" s="1" t="n">
        <v>45254</v>
      </c>
      <c r="C425" s="1" t="n">
        <v>45974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41266-2024</t>
        </is>
      </c>
      <c r="B426" s="1" t="n">
        <v>45559</v>
      </c>
      <c r="C426" s="1" t="n">
        <v>45974</v>
      </c>
      <c r="D426" t="inlineStr">
        <is>
          <t>JÄMTLANDS LÄN</t>
        </is>
      </c>
      <c r="E426" t="inlineStr">
        <is>
          <t>ÅRE</t>
        </is>
      </c>
      <c r="G426" t="n">
        <v>1</v>
      </c>
      <c r="H426" t="n">
        <v>0</v>
      </c>
      <c r="I426" t="n">
        <v>0</v>
      </c>
      <c r="J426" t="n">
        <v>0</v>
      </c>
      <c r="K426" t="n">
        <v>0</v>
      </c>
      <c r="L426" t="n">
        <v>0</v>
      </c>
      <c r="M426" t="n">
        <v>0</v>
      </c>
      <c r="N426" t="n">
        <v>0</v>
      </c>
      <c r="O426" t="n">
        <v>0</v>
      </c>
      <c r="P426" t="n">
        <v>0</v>
      </c>
      <c r="Q426" t="n">
        <v>0</v>
      </c>
      <c r="R426" s="2" t="inlineStr"/>
    </row>
    <row r="427" ht="15" customHeight="1">
      <c r="A427" t="inlineStr">
        <is>
          <t>A 12227-2023</t>
        </is>
      </c>
      <c r="B427" s="1" t="n">
        <v>44998.60261574074</v>
      </c>
      <c r="C427" s="1" t="n">
        <v>45974</v>
      </c>
      <c r="D427" t="inlineStr">
        <is>
          <t>JÄMTLANDS LÄN</t>
        </is>
      </c>
      <c r="E427" t="inlineStr">
        <is>
          <t>ÅRE</t>
        </is>
      </c>
      <c r="G427" t="n">
        <v>2.9</v>
      </c>
      <c r="H427" t="n">
        <v>0</v>
      </c>
      <c r="I427" t="n">
        <v>0</v>
      </c>
      <c r="J427" t="n">
        <v>0</v>
      </c>
      <c r="K427" t="n">
        <v>0</v>
      </c>
      <c r="L427" t="n">
        <v>0</v>
      </c>
      <c r="M427" t="n">
        <v>0</v>
      </c>
      <c r="N427" t="n">
        <v>0</v>
      </c>
      <c r="O427" t="n">
        <v>0</v>
      </c>
      <c r="P427" t="n">
        <v>0</v>
      </c>
      <c r="Q427" t="n">
        <v>0</v>
      </c>
      <c r="R427" s="2" t="inlineStr"/>
    </row>
    <row r="428" ht="15" customHeight="1">
      <c r="A428" t="inlineStr">
        <is>
          <t>A 52427-2021</t>
        </is>
      </c>
      <c r="B428" s="1" t="n">
        <v>44466.34178240741</v>
      </c>
      <c r="C428" s="1" t="n">
        <v>45974</v>
      </c>
      <c r="D428" t="inlineStr">
        <is>
          <t>JÄMTLANDS LÄN</t>
        </is>
      </c>
      <c r="E428" t="inlineStr">
        <is>
          <t>ÅRE</t>
        </is>
      </c>
      <c r="G428" t="n">
        <v>4</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45974</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66755-2020</t>
        </is>
      </c>
      <c r="B430" s="1" t="n">
        <v>44179</v>
      </c>
      <c r="C430" s="1" t="n">
        <v>45974</v>
      </c>
      <c r="D430" t="inlineStr">
        <is>
          <t>JÄMTLANDS LÄN</t>
        </is>
      </c>
      <c r="E430" t="inlineStr">
        <is>
          <t>ÅRE</t>
        </is>
      </c>
      <c r="G430" t="n">
        <v>3.5</v>
      </c>
      <c r="H430" t="n">
        <v>0</v>
      </c>
      <c r="I430" t="n">
        <v>0</v>
      </c>
      <c r="J430" t="n">
        <v>0</v>
      </c>
      <c r="K430" t="n">
        <v>0</v>
      </c>
      <c r="L430" t="n">
        <v>0</v>
      </c>
      <c r="M430" t="n">
        <v>0</v>
      </c>
      <c r="N430" t="n">
        <v>0</v>
      </c>
      <c r="O430" t="n">
        <v>0</v>
      </c>
      <c r="P430" t="n">
        <v>0</v>
      </c>
      <c r="Q430" t="n">
        <v>0</v>
      </c>
      <c r="R430" s="2" t="inlineStr"/>
    </row>
    <row r="431" ht="15" customHeight="1">
      <c r="A431" t="inlineStr">
        <is>
          <t>A 67972-2020</t>
        </is>
      </c>
      <c r="B431" s="1" t="n">
        <v>44182</v>
      </c>
      <c r="C431" s="1" t="n">
        <v>45974</v>
      </c>
      <c r="D431" t="inlineStr">
        <is>
          <t>JÄMTLANDS LÄN</t>
        </is>
      </c>
      <c r="E431" t="inlineStr">
        <is>
          <t>ÅRE</t>
        </is>
      </c>
      <c r="G431" t="n">
        <v>6</v>
      </c>
      <c r="H431" t="n">
        <v>0</v>
      </c>
      <c r="I431" t="n">
        <v>0</v>
      </c>
      <c r="J431" t="n">
        <v>0</v>
      </c>
      <c r="K431" t="n">
        <v>0</v>
      </c>
      <c r="L431" t="n">
        <v>0</v>
      </c>
      <c r="M431" t="n">
        <v>0</v>
      </c>
      <c r="N431" t="n">
        <v>0</v>
      </c>
      <c r="O431" t="n">
        <v>0</v>
      </c>
      <c r="P431" t="n">
        <v>0</v>
      </c>
      <c r="Q431" t="n">
        <v>0</v>
      </c>
      <c r="R431" s="2" t="inlineStr"/>
    </row>
    <row r="432" ht="15" customHeight="1">
      <c r="A432" t="inlineStr">
        <is>
          <t>A 54247-2024</t>
        </is>
      </c>
      <c r="B432" s="1" t="n">
        <v>45616</v>
      </c>
      <c r="C432" s="1" t="n">
        <v>45974</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58889-2022</t>
        </is>
      </c>
      <c r="B433" s="1" t="n">
        <v>44896</v>
      </c>
      <c r="C433" s="1" t="n">
        <v>45974</v>
      </c>
      <c r="D433" t="inlineStr">
        <is>
          <t>JÄMTLANDS LÄN</t>
        </is>
      </c>
      <c r="E433" t="inlineStr">
        <is>
          <t>ÅRE</t>
        </is>
      </c>
      <c r="G433" t="n">
        <v>6.9</v>
      </c>
      <c r="H433" t="n">
        <v>0</v>
      </c>
      <c r="I433" t="n">
        <v>0</v>
      </c>
      <c r="J433" t="n">
        <v>0</v>
      </c>
      <c r="K433" t="n">
        <v>0</v>
      </c>
      <c r="L433" t="n">
        <v>0</v>
      </c>
      <c r="M433" t="n">
        <v>0</v>
      </c>
      <c r="N433" t="n">
        <v>0</v>
      </c>
      <c r="O433" t="n">
        <v>0</v>
      </c>
      <c r="P433" t="n">
        <v>0</v>
      </c>
      <c r="Q433" t="n">
        <v>0</v>
      </c>
      <c r="R433" s="2" t="inlineStr"/>
    </row>
    <row r="434" ht="15" customHeight="1">
      <c r="A434" t="inlineStr">
        <is>
          <t>A 73798-2021</t>
        </is>
      </c>
      <c r="B434" s="1" t="n">
        <v>44552</v>
      </c>
      <c r="C434" s="1" t="n">
        <v>45974</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1414-2023</t>
        </is>
      </c>
      <c r="B435" s="1" t="n">
        <v>44936</v>
      </c>
      <c r="C435" s="1" t="n">
        <v>45974</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15692-2025</t>
        </is>
      </c>
      <c r="B436" s="1" t="n">
        <v>45748</v>
      </c>
      <c r="C436" s="1" t="n">
        <v>45974</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45113-2024</t>
        </is>
      </c>
      <c r="B437" s="1" t="n">
        <v>45575.59709490741</v>
      </c>
      <c r="C437" s="1" t="n">
        <v>45974</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20480-2024</t>
        </is>
      </c>
      <c r="B438" s="1" t="n">
        <v>45435.71126157408</v>
      </c>
      <c r="C438" s="1" t="n">
        <v>45974</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30379-2024</t>
        </is>
      </c>
      <c r="B439" s="1" t="n">
        <v>45491.43815972222</v>
      </c>
      <c r="C439" s="1" t="n">
        <v>45974</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55944-2022</t>
        </is>
      </c>
      <c r="B440" s="1" t="n">
        <v>44889</v>
      </c>
      <c r="C440" s="1" t="n">
        <v>45974</v>
      </c>
      <c r="D440" t="inlineStr">
        <is>
          <t>JÄMTLANDS LÄN</t>
        </is>
      </c>
      <c r="E440" t="inlineStr">
        <is>
          <t>ÅRE</t>
        </is>
      </c>
      <c r="G440" t="n">
        <v>11.1</v>
      </c>
      <c r="H440" t="n">
        <v>0</v>
      </c>
      <c r="I440" t="n">
        <v>0</v>
      </c>
      <c r="J440" t="n">
        <v>0</v>
      </c>
      <c r="K440" t="n">
        <v>0</v>
      </c>
      <c r="L440" t="n">
        <v>0</v>
      </c>
      <c r="M440" t="n">
        <v>0</v>
      </c>
      <c r="N440" t="n">
        <v>0</v>
      </c>
      <c r="O440" t="n">
        <v>0</v>
      </c>
      <c r="P440" t="n">
        <v>0</v>
      </c>
      <c r="Q440" t="n">
        <v>0</v>
      </c>
      <c r="R440" s="2" t="inlineStr"/>
    </row>
    <row r="441" ht="15" customHeight="1">
      <c r="A441" t="inlineStr">
        <is>
          <t>A 6358-2025</t>
        </is>
      </c>
      <c r="B441" s="1" t="n">
        <v>45699.36491898148</v>
      </c>
      <c r="C441" s="1" t="n">
        <v>45974</v>
      </c>
      <c r="D441" t="inlineStr">
        <is>
          <t>JÄMTLANDS LÄN</t>
        </is>
      </c>
      <c r="E441" t="inlineStr">
        <is>
          <t>ÅRE</t>
        </is>
      </c>
      <c r="G441" t="n">
        <v>5.6</v>
      </c>
      <c r="H441" t="n">
        <v>0</v>
      </c>
      <c r="I441" t="n">
        <v>0</v>
      </c>
      <c r="J441" t="n">
        <v>0</v>
      </c>
      <c r="K441" t="n">
        <v>0</v>
      </c>
      <c r="L441" t="n">
        <v>0</v>
      </c>
      <c r="M441" t="n">
        <v>0</v>
      </c>
      <c r="N441" t="n">
        <v>0</v>
      </c>
      <c r="O441" t="n">
        <v>0</v>
      </c>
      <c r="P441" t="n">
        <v>0</v>
      </c>
      <c r="Q441" t="n">
        <v>0</v>
      </c>
      <c r="R441" s="2" t="inlineStr"/>
    </row>
    <row r="442" ht="15" customHeight="1">
      <c r="A442" t="inlineStr">
        <is>
          <t>A 4870-2021</t>
        </is>
      </c>
      <c r="B442" s="1" t="n">
        <v>44225</v>
      </c>
      <c r="C442" s="1" t="n">
        <v>45974</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17883-2021</t>
        </is>
      </c>
      <c r="B443" s="1" t="n">
        <v>44301</v>
      </c>
      <c r="C443" s="1" t="n">
        <v>45974</v>
      </c>
      <c r="D443" t="inlineStr">
        <is>
          <t>JÄMTLANDS LÄN</t>
        </is>
      </c>
      <c r="E443" t="inlineStr">
        <is>
          <t>ÅRE</t>
        </is>
      </c>
      <c r="F443" t="inlineStr">
        <is>
          <t>Övriga Aktiebolag</t>
        </is>
      </c>
      <c r="G443" t="n">
        <v>6.7</v>
      </c>
      <c r="H443" t="n">
        <v>0</v>
      </c>
      <c r="I443" t="n">
        <v>0</v>
      </c>
      <c r="J443" t="n">
        <v>0</v>
      </c>
      <c r="K443" t="n">
        <v>0</v>
      </c>
      <c r="L443" t="n">
        <v>0</v>
      </c>
      <c r="M443" t="n">
        <v>0</v>
      </c>
      <c r="N443" t="n">
        <v>0</v>
      </c>
      <c r="O443" t="n">
        <v>0</v>
      </c>
      <c r="P443" t="n">
        <v>0</v>
      </c>
      <c r="Q443" t="n">
        <v>0</v>
      </c>
      <c r="R443" s="2" t="inlineStr"/>
    </row>
    <row r="444" ht="15" customHeight="1">
      <c r="A444" t="inlineStr">
        <is>
          <t>A 27946-2021</t>
        </is>
      </c>
      <c r="B444" s="1" t="n">
        <v>44354</v>
      </c>
      <c r="C444" s="1" t="n">
        <v>45974</v>
      </c>
      <c r="D444" t="inlineStr">
        <is>
          <t>JÄMTLANDS LÄN</t>
        </is>
      </c>
      <c r="E444" t="inlineStr">
        <is>
          <t>ÅRE</t>
        </is>
      </c>
      <c r="G444" t="n">
        <v>0.3</v>
      </c>
      <c r="H444" t="n">
        <v>0</v>
      </c>
      <c r="I444" t="n">
        <v>0</v>
      </c>
      <c r="J444" t="n">
        <v>0</v>
      </c>
      <c r="K444" t="n">
        <v>0</v>
      </c>
      <c r="L444" t="n">
        <v>0</v>
      </c>
      <c r="M444" t="n">
        <v>0</v>
      </c>
      <c r="N444" t="n">
        <v>0</v>
      </c>
      <c r="O444" t="n">
        <v>0</v>
      </c>
      <c r="P444" t="n">
        <v>0</v>
      </c>
      <c r="Q444" t="n">
        <v>0</v>
      </c>
      <c r="R444" s="2" t="inlineStr"/>
    </row>
    <row r="445" ht="15" customHeight="1">
      <c r="A445" t="inlineStr">
        <is>
          <t>A 33015-2022</t>
        </is>
      </c>
      <c r="B445" s="1" t="n">
        <v>44784</v>
      </c>
      <c r="C445" s="1" t="n">
        <v>45974</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49313-2024</t>
        </is>
      </c>
      <c r="B446" s="1" t="n">
        <v>45595</v>
      </c>
      <c r="C446" s="1" t="n">
        <v>45974</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37734-2023</t>
        </is>
      </c>
      <c r="B447" s="1" t="n">
        <v>45159.61971064815</v>
      </c>
      <c r="C447" s="1" t="n">
        <v>45974</v>
      </c>
      <c r="D447" t="inlineStr">
        <is>
          <t>JÄMTLANDS LÄN</t>
        </is>
      </c>
      <c r="E447" t="inlineStr">
        <is>
          <t>ÅRE</t>
        </is>
      </c>
      <c r="G447" t="n">
        <v>3.4</v>
      </c>
      <c r="H447" t="n">
        <v>0</v>
      </c>
      <c r="I447" t="n">
        <v>0</v>
      </c>
      <c r="J447" t="n">
        <v>0</v>
      </c>
      <c r="K447" t="n">
        <v>0</v>
      </c>
      <c r="L447" t="n">
        <v>0</v>
      </c>
      <c r="M447" t="n">
        <v>0</v>
      </c>
      <c r="N447" t="n">
        <v>0</v>
      </c>
      <c r="O447" t="n">
        <v>0</v>
      </c>
      <c r="P447" t="n">
        <v>0</v>
      </c>
      <c r="Q447" t="n">
        <v>0</v>
      </c>
      <c r="R447" s="2" t="inlineStr"/>
    </row>
    <row r="448" ht="15" customHeight="1">
      <c r="A448" t="inlineStr">
        <is>
          <t>A 6232-2021</t>
        </is>
      </c>
      <c r="B448" s="1" t="n">
        <v>44231</v>
      </c>
      <c r="C448" s="1" t="n">
        <v>45974</v>
      </c>
      <c r="D448" t="inlineStr">
        <is>
          <t>JÄMTLANDS LÄN</t>
        </is>
      </c>
      <c r="E448" t="inlineStr">
        <is>
          <t>ÅRE</t>
        </is>
      </c>
      <c r="G448" t="n">
        <v>7.1</v>
      </c>
      <c r="H448" t="n">
        <v>0</v>
      </c>
      <c r="I448" t="n">
        <v>0</v>
      </c>
      <c r="J448" t="n">
        <v>0</v>
      </c>
      <c r="K448" t="n">
        <v>0</v>
      </c>
      <c r="L448" t="n">
        <v>0</v>
      </c>
      <c r="M448" t="n">
        <v>0</v>
      </c>
      <c r="N448" t="n">
        <v>0</v>
      </c>
      <c r="O448" t="n">
        <v>0</v>
      </c>
      <c r="P448" t="n">
        <v>0</v>
      </c>
      <c r="Q448" t="n">
        <v>0</v>
      </c>
      <c r="R448" s="2" t="inlineStr"/>
    </row>
    <row r="449" ht="15" customHeight="1">
      <c r="A449" t="inlineStr">
        <is>
          <t>A 37739-2023</t>
        </is>
      </c>
      <c r="B449" s="1" t="n">
        <v>45159</v>
      </c>
      <c r="C449" s="1" t="n">
        <v>45974</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11500-2022</t>
        </is>
      </c>
      <c r="B450" s="1" t="n">
        <v>44631</v>
      </c>
      <c r="C450" s="1" t="n">
        <v>45974</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29294-2023</t>
        </is>
      </c>
      <c r="B451" s="1" t="n">
        <v>45098</v>
      </c>
      <c r="C451" s="1" t="n">
        <v>45974</v>
      </c>
      <c r="D451" t="inlineStr">
        <is>
          <t>JÄMTLANDS LÄN</t>
        </is>
      </c>
      <c r="E451" t="inlineStr">
        <is>
          <t>ÅRE</t>
        </is>
      </c>
      <c r="G451" t="n">
        <v>0.7</v>
      </c>
      <c r="H451" t="n">
        <v>0</v>
      </c>
      <c r="I451" t="n">
        <v>0</v>
      </c>
      <c r="J451" t="n">
        <v>0</v>
      </c>
      <c r="K451" t="n">
        <v>0</v>
      </c>
      <c r="L451" t="n">
        <v>0</v>
      </c>
      <c r="M451" t="n">
        <v>0</v>
      </c>
      <c r="N451" t="n">
        <v>0</v>
      </c>
      <c r="O451" t="n">
        <v>0</v>
      </c>
      <c r="P451" t="n">
        <v>0</v>
      </c>
      <c r="Q451" t="n">
        <v>0</v>
      </c>
      <c r="R451" s="2" t="inlineStr"/>
    </row>
    <row r="452" ht="15" customHeight="1">
      <c r="A452" t="inlineStr">
        <is>
          <t>A 8798-2025</t>
        </is>
      </c>
      <c r="B452" s="1" t="n">
        <v>45712</v>
      </c>
      <c r="C452" s="1" t="n">
        <v>45974</v>
      </c>
      <c r="D452" t="inlineStr">
        <is>
          <t>JÄMTLANDS LÄN</t>
        </is>
      </c>
      <c r="E452" t="inlineStr">
        <is>
          <t>ÅRE</t>
        </is>
      </c>
      <c r="G452" t="n">
        <v>1.6</v>
      </c>
      <c r="H452" t="n">
        <v>0</v>
      </c>
      <c r="I452" t="n">
        <v>0</v>
      </c>
      <c r="J452" t="n">
        <v>0</v>
      </c>
      <c r="K452" t="n">
        <v>0</v>
      </c>
      <c r="L452" t="n">
        <v>0</v>
      </c>
      <c r="M452" t="n">
        <v>0</v>
      </c>
      <c r="N452" t="n">
        <v>0</v>
      </c>
      <c r="O452" t="n">
        <v>0</v>
      </c>
      <c r="P452" t="n">
        <v>0</v>
      </c>
      <c r="Q452" t="n">
        <v>0</v>
      </c>
      <c r="R452" s="2" t="inlineStr"/>
    </row>
    <row r="453" ht="15" customHeight="1">
      <c r="A453" t="inlineStr">
        <is>
          <t>A 4218-2025</t>
        </is>
      </c>
      <c r="B453" s="1" t="n">
        <v>45685</v>
      </c>
      <c r="C453" s="1" t="n">
        <v>45974</v>
      </c>
      <c r="D453" t="inlineStr">
        <is>
          <t>JÄMTLANDS LÄN</t>
        </is>
      </c>
      <c r="E453" t="inlineStr">
        <is>
          <t>ÅRE</t>
        </is>
      </c>
      <c r="F453" t="inlineStr">
        <is>
          <t>Övriga Aktiebolag</t>
        </is>
      </c>
      <c r="G453" t="n">
        <v>10.1</v>
      </c>
      <c r="H453" t="n">
        <v>0</v>
      </c>
      <c r="I453" t="n">
        <v>0</v>
      </c>
      <c r="J453" t="n">
        <v>0</v>
      </c>
      <c r="K453" t="n">
        <v>0</v>
      </c>
      <c r="L453" t="n">
        <v>0</v>
      </c>
      <c r="M453" t="n">
        <v>0</v>
      </c>
      <c r="N453" t="n">
        <v>0</v>
      </c>
      <c r="O453" t="n">
        <v>0</v>
      </c>
      <c r="P453" t="n">
        <v>0</v>
      </c>
      <c r="Q453" t="n">
        <v>0</v>
      </c>
      <c r="R453" s="2" t="inlineStr"/>
    </row>
    <row r="454" ht="15" customHeight="1">
      <c r="A454" t="inlineStr">
        <is>
          <t>A 43324-2022</t>
        </is>
      </c>
      <c r="B454" s="1" t="n">
        <v>44834</v>
      </c>
      <c r="C454" s="1" t="n">
        <v>45974</v>
      </c>
      <c r="D454" t="inlineStr">
        <is>
          <t>JÄMTLANDS LÄN</t>
        </is>
      </c>
      <c r="E454" t="inlineStr">
        <is>
          <t>ÅRE</t>
        </is>
      </c>
      <c r="F454" t="inlineStr">
        <is>
          <t>Bergvik skog öst AB</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47052-2022</t>
        </is>
      </c>
      <c r="B455" s="1" t="n">
        <v>44851</v>
      </c>
      <c r="C455" s="1" t="n">
        <v>45974</v>
      </c>
      <c r="D455" t="inlineStr">
        <is>
          <t>JÄMTLANDS LÄN</t>
        </is>
      </c>
      <c r="E455" t="inlineStr">
        <is>
          <t>ÅRE</t>
        </is>
      </c>
      <c r="G455" t="n">
        <v>90.8</v>
      </c>
      <c r="H455" t="n">
        <v>0</v>
      </c>
      <c r="I455" t="n">
        <v>0</v>
      </c>
      <c r="J455" t="n">
        <v>0</v>
      </c>
      <c r="K455" t="n">
        <v>0</v>
      </c>
      <c r="L455" t="n">
        <v>0</v>
      </c>
      <c r="M455" t="n">
        <v>0</v>
      </c>
      <c r="N455" t="n">
        <v>0</v>
      </c>
      <c r="O455" t="n">
        <v>0</v>
      </c>
      <c r="P455" t="n">
        <v>0</v>
      </c>
      <c r="Q455" t="n">
        <v>0</v>
      </c>
      <c r="R455" s="2" t="inlineStr"/>
    </row>
    <row r="456" ht="15" customHeight="1">
      <c r="A456" t="inlineStr">
        <is>
          <t>A 59666-2023</t>
        </is>
      </c>
      <c r="B456" s="1" t="n">
        <v>45254.96476851852</v>
      </c>
      <c r="C456" s="1" t="n">
        <v>45974</v>
      </c>
      <c r="D456" t="inlineStr">
        <is>
          <t>JÄMTLANDS LÄN</t>
        </is>
      </c>
      <c r="E456" t="inlineStr">
        <is>
          <t>ÅRE</t>
        </is>
      </c>
      <c r="G456" t="n">
        <v>6.6</v>
      </c>
      <c r="H456" t="n">
        <v>0</v>
      </c>
      <c r="I456" t="n">
        <v>0</v>
      </c>
      <c r="J456" t="n">
        <v>0</v>
      </c>
      <c r="K456" t="n">
        <v>0</v>
      </c>
      <c r="L456" t="n">
        <v>0</v>
      </c>
      <c r="M456" t="n">
        <v>0</v>
      </c>
      <c r="N456" t="n">
        <v>0</v>
      </c>
      <c r="O456" t="n">
        <v>0</v>
      </c>
      <c r="P456" t="n">
        <v>0</v>
      </c>
      <c r="Q456" t="n">
        <v>0</v>
      </c>
      <c r="R456" s="2" t="inlineStr"/>
    </row>
    <row r="457" ht="15" customHeight="1">
      <c r="A457" t="inlineStr">
        <is>
          <t>A 20999-2024</t>
        </is>
      </c>
      <c r="B457" s="1" t="n">
        <v>45439</v>
      </c>
      <c r="C457" s="1" t="n">
        <v>45974</v>
      </c>
      <c r="D457" t="inlineStr">
        <is>
          <t>JÄMTLANDS LÄN</t>
        </is>
      </c>
      <c r="E457" t="inlineStr">
        <is>
          <t>ÅRE</t>
        </is>
      </c>
      <c r="G457" t="n">
        <v>5.7</v>
      </c>
      <c r="H457" t="n">
        <v>0</v>
      </c>
      <c r="I457" t="n">
        <v>0</v>
      </c>
      <c r="J457" t="n">
        <v>0</v>
      </c>
      <c r="K457" t="n">
        <v>0</v>
      </c>
      <c r="L457" t="n">
        <v>0</v>
      </c>
      <c r="M457" t="n">
        <v>0</v>
      </c>
      <c r="N457" t="n">
        <v>0</v>
      </c>
      <c r="O457" t="n">
        <v>0</v>
      </c>
      <c r="P457" t="n">
        <v>0</v>
      </c>
      <c r="Q457" t="n">
        <v>0</v>
      </c>
      <c r="R457" s="2" t="inlineStr"/>
    </row>
    <row r="458" ht="15" customHeight="1">
      <c r="A458" t="inlineStr">
        <is>
          <t>A 48178-2025</t>
        </is>
      </c>
      <c r="B458" s="1" t="n">
        <v>45933.44865740741</v>
      </c>
      <c r="C458" s="1" t="n">
        <v>45974</v>
      </c>
      <c r="D458" t="inlineStr">
        <is>
          <t>JÄMTLANDS LÄN</t>
        </is>
      </c>
      <c r="E458" t="inlineStr">
        <is>
          <t>ÅRE</t>
        </is>
      </c>
      <c r="F458" t="inlineStr">
        <is>
          <t>Övriga Aktiebolag</t>
        </is>
      </c>
      <c r="G458" t="n">
        <v>1.8</v>
      </c>
      <c r="H458" t="n">
        <v>0</v>
      </c>
      <c r="I458" t="n">
        <v>0</v>
      </c>
      <c r="J458" t="n">
        <v>0</v>
      </c>
      <c r="K458" t="n">
        <v>0</v>
      </c>
      <c r="L458" t="n">
        <v>0</v>
      </c>
      <c r="M458" t="n">
        <v>0</v>
      </c>
      <c r="N458" t="n">
        <v>0</v>
      </c>
      <c r="O458" t="n">
        <v>0</v>
      </c>
      <c r="P458" t="n">
        <v>0</v>
      </c>
      <c r="Q458" t="n">
        <v>0</v>
      </c>
      <c r="R458" s="2" t="inlineStr"/>
    </row>
    <row r="459" ht="15" customHeight="1">
      <c r="A459" t="inlineStr">
        <is>
          <t>A 278-2023</t>
        </is>
      </c>
      <c r="B459" s="1" t="n">
        <v>44928</v>
      </c>
      <c r="C459" s="1" t="n">
        <v>45974</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3066-2023</t>
        </is>
      </c>
      <c r="B460" s="1" t="n">
        <v>44946</v>
      </c>
      <c r="C460" s="1" t="n">
        <v>45974</v>
      </c>
      <c r="D460" t="inlineStr">
        <is>
          <t>JÄMTLANDS LÄN</t>
        </is>
      </c>
      <c r="E460" t="inlineStr">
        <is>
          <t>ÅRE</t>
        </is>
      </c>
      <c r="G460" t="n">
        <v>1.3</v>
      </c>
      <c r="H460" t="n">
        <v>0</v>
      </c>
      <c r="I460" t="n">
        <v>0</v>
      </c>
      <c r="J460" t="n">
        <v>0</v>
      </c>
      <c r="K460" t="n">
        <v>0</v>
      </c>
      <c r="L460" t="n">
        <v>0</v>
      </c>
      <c r="M460" t="n">
        <v>0</v>
      </c>
      <c r="N460" t="n">
        <v>0</v>
      </c>
      <c r="O460" t="n">
        <v>0</v>
      </c>
      <c r="P460" t="n">
        <v>0</v>
      </c>
      <c r="Q460" t="n">
        <v>0</v>
      </c>
      <c r="R460" s="2" t="inlineStr"/>
    </row>
    <row r="461" ht="15" customHeight="1">
      <c r="A461" t="inlineStr">
        <is>
          <t>A 48571-2025</t>
        </is>
      </c>
      <c r="B461" s="1" t="n">
        <v>45936.44934027778</v>
      </c>
      <c r="C461" s="1" t="n">
        <v>45974</v>
      </c>
      <c r="D461" t="inlineStr">
        <is>
          <t>JÄMTLANDS LÄN</t>
        </is>
      </c>
      <c r="E461" t="inlineStr">
        <is>
          <t>ÅRE</t>
        </is>
      </c>
      <c r="G461" t="n">
        <v>5.2</v>
      </c>
      <c r="H461" t="n">
        <v>0</v>
      </c>
      <c r="I461" t="n">
        <v>0</v>
      </c>
      <c r="J461" t="n">
        <v>0</v>
      </c>
      <c r="K461" t="n">
        <v>0</v>
      </c>
      <c r="L461" t="n">
        <v>0</v>
      </c>
      <c r="M461" t="n">
        <v>0</v>
      </c>
      <c r="N461" t="n">
        <v>0</v>
      </c>
      <c r="O461" t="n">
        <v>0</v>
      </c>
      <c r="P461" t="n">
        <v>0</v>
      </c>
      <c r="Q461" t="n">
        <v>0</v>
      </c>
      <c r="R461" s="2" t="inlineStr"/>
    </row>
    <row r="462" ht="15" customHeight="1">
      <c r="A462" t="inlineStr">
        <is>
          <t>A 54907-2023</t>
        </is>
      </c>
      <c r="B462" s="1" t="n">
        <v>45236.65784722222</v>
      </c>
      <c r="C462" s="1" t="n">
        <v>45974</v>
      </c>
      <c r="D462" t="inlineStr">
        <is>
          <t>JÄMTLANDS LÄN</t>
        </is>
      </c>
      <c r="E462" t="inlineStr">
        <is>
          <t>ÅRE</t>
        </is>
      </c>
      <c r="F462" t="inlineStr">
        <is>
          <t>Övriga Aktiebolag</t>
        </is>
      </c>
      <c r="G462" t="n">
        <v>2.6</v>
      </c>
      <c r="H462" t="n">
        <v>0</v>
      </c>
      <c r="I462" t="n">
        <v>0</v>
      </c>
      <c r="J462" t="n">
        <v>0</v>
      </c>
      <c r="K462" t="n">
        <v>0</v>
      </c>
      <c r="L462" t="n">
        <v>0</v>
      </c>
      <c r="M462" t="n">
        <v>0</v>
      </c>
      <c r="N462" t="n">
        <v>0</v>
      </c>
      <c r="O462" t="n">
        <v>0</v>
      </c>
      <c r="P462" t="n">
        <v>0</v>
      </c>
      <c r="Q462" t="n">
        <v>0</v>
      </c>
      <c r="R462" s="2" t="inlineStr"/>
    </row>
    <row r="463" ht="15" customHeight="1">
      <c r="A463" t="inlineStr">
        <is>
          <t>A 41688-2024</t>
        </is>
      </c>
      <c r="B463" s="1" t="n">
        <v>45560.67542824074</v>
      </c>
      <c r="C463" s="1" t="n">
        <v>45974</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61815-2021</t>
        </is>
      </c>
      <c r="B464" s="1" t="n">
        <v>44498</v>
      </c>
      <c r="C464" s="1" t="n">
        <v>45974</v>
      </c>
      <c r="D464" t="inlineStr">
        <is>
          <t>JÄMTLANDS LÄN</t>
        </is>
      </c>
      <c r="E464" t="inlineStr">
        <is>
          <t>ÅRE</t>
        </is>
      </c>
      <c r="G464" t="n">
        <v>7.4</v>
      </c>
      <c r="H464" t="n">
        <v>0</v>
      </c>
      <c r="I464" t="n">
        <v>0</v>
      </c>
      <c r="J464" t="n">
        <v>0</v>
      </c>
      <c r="K464" t="n">
        <v>0</v>
      </c>
      <c r="L464" t="n">
        <v>0</v>
      </c>
      <c r="M464" t="n">
        <v>0</v>
      </c>
      <c r="N464" t="n">
        <v>0</v>
      </c>
      <c r="O464" t="n">
        <v>0</v>
      </c>
      <c r="P464" t="n">
        <v>0</v>
      </c>
      <c r="Q464" t="n">
        <v>0</v>
      </c>
      <c r="R464" s="2" t="inlineStr"/>
    </row>
    <row r="465" ht="15" customHeight="1">
      <c r="A465" t="inlineStr">
        <is>
          <t>A 39115-2025</t>
        </is>
      </c>
      <c r="B465" s="1" t="n">
        <v>45888.55096064815</v>
      </c>
      <c r="C465" s="1" t="n">
        <v>45974</v>
      </c>
      <c r="D465" t="inlineStr">
        <is>
          <t>JÄMTLANDS LÄN</t>
        </is>
      </c>
      <c r="E465" t="inlineStr">
        <is>
          <t>ÅRE</t>
        </is>
      </c>
      <c r="F465" t="inlineStr">
        <is>
          <t>Övriga statliga verk och myndigheter</t>
        </is>
      </c>
      <c r="G465" t="n">
        <v>11.4</v>
      </c>
      <c r="H465" t="n">
        <v>0</v>
      </c>
      <c r="I465" t="n">
        <v>0</v>
      </c>
      <c r="J465" t="n">
        <v>0</v>
      </c>
      <c r="K465" t="n">
        <v>0</v>
      </c>
      <c r="L465" t="n">
        <v>0</v>
      </c>
      <c r="M465" t="n">
        <v>0</v>
      </c>
      <c r="N465" t="n">
        <v>0</v>
      </c>
      <c r="O465" t="n">
        <v>0</v>
      </c>
      <c r="P465" t="n">
        <v>0</v>
      </c>
      <c r="Q465" t="n">
        <v>0</v>
      </c>
      <c r="R465" s="2" t="inlineStr"/>
    </row>
    <row r="466" ht="15" customHeight="1">
      <c r="A466" t="inlineStr">
        <is>
          <t>A 39202-2025</t>
        </is>
      </c>
      <c r="B466" s="1" t="n">
        <v>45888.72116898148</v>
      </c>
      <c r="C466" s="1" t="n">
        <v>45974</v>
      </c>
      <c r="D466" t="inlineStr">
        <is>
          <t>JÄMTLANDS LÄN</t>
        </is>
      </c>
      <c r="E466" t="inlineStr">
        <is>
          <t>ÅRE</t>
        </is>
      </c>
      <c r="G466" t="n">
        <v>4.4</v>
      </c>
      <c r="H466" t="n">
        <v>0</v>
      </c>
      <c r="I466" t="n">
        <v>0</v>
      </c>
      <c r="J466" t="n">
        <v>0</v>
      </c>
      <c r="K466" t="n">
        <v>0</v>
      </c>
      <c r="L466" t="n">
        <v>0</v>
      </c>
      <c r="M466" t="n">
        <v>0</v>
      </c>
      <c r="N466" t="n">
        <v>0</v>
      </c>
      <c r="O466" t="n">
        <v>0</v>
      </c>
      <c r="P466" t="n">
        <v>0</v>
      </c>
      <c r="Q466" t="n">
        <v>0</v>
      </c>
      <c r="R466" s="2" t="inlineStr"/>
    </row>
    <row r="467" ht="15" customHeight="1">
      <c r="A467" t="inlineStr">
        <is>
          <t>A 35058-2025</t>
        </is>
      </c>
      <c r="B467" s="1" t="n">
        <v>45849</v>
      </c>
      <c r="C467" s="1" t="n">
        <v>45974</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34897-2025</t>
        </is>
      </c>
      <c r="B468" s="1" t="n">
        <v>45849</v>
      </c>
      <c r="C468" s="1" t="n">
        <v>45974</v>
      </c>
      <c r="D468" t="inlineStr">
        <is>
          <t>JÄMTLANDS LÄN</t>
        </is>
      </c>
      <c r="E468" t="inlineStr">
        <is>
          <t>ÅRE</t>
        </is>
      </c>
      <c r="G468" t="n">
        <v>1.6</v>
      </c>
      <c r="H468" t="n">
        <v>0</v>
      </c>
      <c r="I468" t="n">
        <v>0</v>
      </c>
      <c r="J468" t="n">
        <v>0</v>
      </c>
      <c r="K468" t="n">
        <v>0</v>
      </c>
      <c r="L468" t="n">
        <v>0</v>
      </c>
      <c r="M468" t="n">
        <v>0</v>
      </c>
      <c r="N468" t="n">
        <v>0</v>
      </c>
      <c r="O468" t="n">
        <v>0</v>
      </c>
      <c r="P468" t="n">
        <v>0</v>
      </c>
      <c r="Q468" t="n">
        <v>0</v>
      </c>
      <c r="R468" s="2" t="inlineStr"/>
    </row>
    <row r="469" ht="15" customHeight="1">
      <c r="A469" t="inlineStr">
        <is>
          <t>A 34925-2025</t>
        </is>
      </c>
      <c r="B469" s="1" t="n">
        <v>45849</v>
      </c>
      <c r="C469" s="1" t="n">
        <v>45974</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34805-2025</t>
        </is>
      </c>
      <c r="B470" s="1" t="n">
        <v>45849.33071759259</v>
      </c>
      <c r="C470" s="1" t="n">
        <v>45974</v>
      </c>
      <c r="D470" t="inlineStr">
        <is>
          <t>JÄMTLANDS LÄN</t>
        </is>
      </c>
      <c r="E470" t="inlineStr">
        <is>
          <t>ÅRE</t>
        </is>
      </c>
      <c r="G470" t="n">
        <v>2.2</v>
      </c>
      <c r="H470" t="n">
        <v>0</v>
      </c>
      <c r="I470" t="n">
        <v>0</v>
      </c>
      <c r="J470" t="n">
        <v>0</v>
      </c>
      <c r="K470" t="n">
        <v>0</v>
      </c>
      <c r="L470" t="n">
        <v>0</v>
      </c>
      <c r="M470" t="n">
        <v>0</v>
      </c>
      <c r="N470" t="n">
        <v>0</v>
      </c>
      <c r="O470" t="n">
        <v>0</v>
      </c>
      <c r="P470" t="n">
        <v>0</v>
      </c>
      <c r="Q470" t="n">
        <v>0</v>
      </c>
      <c r="R470" s="2" t="inlineStr"/>
    </row>
    <row r="471" ht="15" customHeight="1">
      <c r="A471" t="inlineStr">
        <is>
          <t>A 35054-2025</t>
        </is>
      </c>
      <c r="B471" s="1" t="n">
        <v>45849</v>
      </c>
      <c r="C471" s="1" t="n">
        <v>45974</v>
      </c>
      <c r="D471" t="inlineStr">
        <is>
          <t>JÄMTLANDS LÄN</t>
        </is>
      </c>
      <c r="E471" t="inlineStr">
        <is>
          <t>ÅRE</t>
        </is>
      </c>
      <c r="G471" t="n">
        <v>5.3</v>
      </c>
      <c r="H471" t="n">
        <v>0</v>
      </c>
      <c r="I471" t="n">
        <v>0</v>
      </c>
      <c r="J471" t="n">
        <v>0</v>
      </c>
      <c r="K471" t="n">
        <v>0</v>
      </c>
      <c r="L471" t="n">
        <v>0</v>
      </c>
      <c r="M471" t="n">
        <v>0</v>
      </c>
      <c r="N471" t="n">
        <v>0</v>
      </c>
      <c r="O471" t="n">
        <v>0</v>
      </c>
      <c r="P471" t="n">
        <v>0</v>
      </c>
      <c r="Q471" t="n">
        <v>0</v>
      </c>
      <c r="R471" s="2" t="inlineStr"/>
    </row>
    <row r="472" ht="15" customHeight="1">
      <c r="A472" t="inlineStr">
        <is>
          <t>A 39742-2025</t>
        </is>
      </c>
      <c r="B472" s="1" t="n">
        <v>45891.37998842593</v>
      </c>
      <c r="C472" s="1" t="n">
        <v>45974</v>
      </c>
      <c r="D472" t="inlineStr">
        <is>
          <t>JÄMTLANDS LÄN</t>
        </is>
      </c>
      <c r="E472" t="inlineStr">
        <is>
          <t>ÅRE</t>
        </is>
      </c>
      <c r="F472" t="inlineStr">
        <is>
          <t>Övriga statliga verk och myndigheter</t>
        </is>
      </c>
      <c r="G472" t="n">
        <v>6.2</v>
      </c>
      <c r="H472" t="n">
        <v>0</v>
      </c>
      <c r="I472" t="n">
        <v>0</v>
      </c>
      <c r="J472" t="n">
        <v>0</v>
      </c>
      <c r="K472" t="n">
        <v>0</v>
      </c>
      <c r="L472" t="n">
        <v>0</v>
      </c>
      <c r="M472" t="n">
        <v>0</v>
      </c>
      <c r="N472" t="n">
        <v>0</v>
      </c>
      <c r="O472" t="n">
        <v>0</v>
      </c>
      <c r="P472" t="n">
        <v>0</v>
      </c>
      <c r="Q472" t="n">
        <v>0</v>
      </c>
      <c r="R472" s="2" t="inlineStr"/>
    </row>
    <row r="473" ht="15" customHeight="1">
      <c r="A473" t="inlineStr">
        <is>
          <t>A 39744-2025</t>
        </is>
      </c>
      <c r="B473" s="1" t="n">
        <v>45891.38489583333</v>
      </c>
      <c r="C473" s="1" t="n">
        <v>45974</v>
      </c>
      <c r="D473" t="inlineStr">
        <is>
          <t>JÄMTLANDS LÄN</t>
        </is>
      </c>
      <c r="E473" t="inlineStr">
        <is>
          <t>ÅRE</t>
        </is>
      </c>
      <c r="F473" t="inlineStr">
        <is>
          <t>Övriga statliga verk och myndigheter</t>
        </is>
      </c>
      <c r="G473" t="n">
        <v>14.4</v>
      </c>
      <c r="H473" t="n">
        <v>0</v>
      </c>
      <c r="I473" t="n">
        <v>0</v>
      </c>
      <c r="J473" t="n">
        <v>0</v>
      </c>
      <c r="K473" t="n">
        <v>0</v>
      </c>
      <c r="L473" t="n">
        <v>0</v>
      </c>
      <c r="M473" t="n">
        <v>0</v>
      </c>
      <c r="N473" t="n">
        <v>0</v>
      </c>
      <c r="O473" t="n">
        <v>0</v>
      </c>
      <c r="P473" t="n">
        <v>0</v>
      </c>
      <c r="Q473" t="n">
        <v>0</v>
      </c>
      <c r="R473" s="2" t="inlineStr"/>
    </row>
    <row r="474" ht="15" customHeight="1">
      <c r="A474" t="inlineStr">
        <is>
          <t>A 12177-2025</t>
        </is>
      </c>
      <c r="B474" s="1" t="n">
        <v>45729.45119212963</v>
      </c>
      <c r="C474" s="1" t="n">
        <v>45974</v>
      </c>
      <c r="D474" t="inlineStr">
        <is>
          <t>JÄMTLANDS LÄN</t>
        </is>
      </c>
      <c r="E474" t="inlineStr">
        <is>
          <t>ÅRE</t>
        </is>
      </c>
      <c r="F474" t="inlineStr">
        <is>
          <t>Övriga Aktiebolag</t>
        </is>
      </c>
      <c r="G474" t="n">
        <v>13.2</v>
      </c>
      <c r="H474" t="n">
        <v>0</v>
      </c>
      <c r="I474" t="n">
        <v>0</v>
      </c>
      <c r="J474" t="n">
        <v>0</v>
      </c>
      <c r="K474" t="n">
        <v>0</v>
      </c>
      <c r="L474" t="n">
        <v>0</v>
      </c>
      <c r="M474" t="n">
        <v>0</v>
      </c>
      <c r="N474" t="n">
        <v>0</v>
      </c>
      <c r="O474" t="n">
        <v>0</v>
      </c>
      <c r="P474" t="n">
        <v>0</v>
      </c>
      <c r="Q474" t="n">
        <v>0</v>
      </c>
      <c r="R474" s="2" t="inlineStr"/>
    </row>
    <row r="475" ht="15" customHeight="1">
      <c r="A475" t="inlineStr">
        <is>
          <t>A 25379-2024</t>
        </is>
      </c>
      <c r="B475" s="1" t="n">
        <v>45462</v>
      </c>
      <c r="C475" s="1" t="n">
        <v>45974</v>
      </c>
      <c r="D475" t="inlineStr">
        <is>
          <t>JÄMTLANDS LÄN</t>
        </is>
      </c>
      <c r="E475" t="inlineStr">
        <is>
          <t>ÅRE</t>
        </is>
      </c>
      <c r="G475" t="n">
        <v>4.5</v>
      </c>
      <c r="H475" t="n">
        <v>0</v>
      </c>
      <c r="I475" t="n">
        <v>0</v>
      </c>
      <c r="J475" t="n">
        <v>0</v>
      </c>
      <c r="K475" t="n">
        <v>0</v>
      </c>
      <c r="L475" t="n">
        <v>0</v>
      </c>
      <c r="M475" t="n">
        <v>0</v>
      </c>
      <c r="N475" t="n">
        <v>0</v>
      </c>
      <c r="O475" t="n">
        <v>0</v>
      </c>
      <c r="P475" t="n">
        <v>0</v>
      </c>
      <c r="Q475" t="n">
        <v>0</v>
      </c>
      <c r="R475" s="2" t="inlineStr"/>
    </row>
    <row r="476" ht="15" customHeight="1">
      <c r="A476" t="inlineStr">
        <is>
          <t>A 49571-2025</t>
        </is>
      </c>
      <c r="B476" s="1" t="n">
        <v>45939.48998842593</v>
      </c>
      <c r="C476" s="1" t="n">
        <v>45974</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49493-2025</t>
        </is>
      </c>
      <c r="B477" s="1" t="n">
        <v>45939.36626157408</v>
      </c>
      <c r="C477" s="1" t="n">
        <v>45974</v>
      </c>
      <c r="D477" t="inlineStr">
        <is>
          <t>JÄMTLANDS LÄN</t>
        </is>
      </c>
      <c r="E477" t="inlineStr">
        <is>
          <t>ÅRE</t>
        </is>
      </c>
      <c r="G477" t="n">
        <v>2.4</v>
      </c>
      <c r="H477" t="n">
        <v>0</v>
      </c>
      <c r="I477" t="n">
        <v>0</v>
      </c>
      <c r="J477" t="n">
        <v>0</v>
      </c>
      <c r="K477" t="n">
        <v>0</v>
      </c>
      <c r="L477" t="n">
        <v>0</v>
      </c>
      <c r="M477" t="n">
        <v>0</v>
      </c>
      <c r="N477" t="n">
        <v>0</v>
      </c>
      <c r="O477" t="n">
        <v>0</v>
      </c>
      <c r="P477" t="n">
        <v>0</v>
      </c>
      <c r="Q477" t="n">
        <v>0</v>
      </c>
      <c r="R477" s="2" t="inlineStr"/>
    </row>
    <row r="478" ht="15" customHeight="1">
      <c r="A478" t="inlineStr">
        <is>
          <t>A 12857-2021</t>
        </is>
      </c>
      <c r="B478" s="1" t="n">
        <v>44270</v>
      </c>
      <c r="C478" s="1" t="n">
        <v>45974</v>
      </c>
      <c r="D478" t="inlineStr">
        <is>
          <t>JÄMTLANDS LÄN</t>
        </is>
      </c>
      <c r="E478" t="inlineStr">
        <is>
          <t>ÅRE</t>
        </is>
      </c>
      <c r="F478" t="inlineStr">
        <is>
          <t>Kommuner</t>
        </is>
      </c>
      <c r="G478" t="n">
        <v>17.2</v>
      </c>
      <c r="H478" t="n">
        <v>0</v>
      </c>
      <c r="I478" t="n">
        <v>0</v>
      </c>
      <c r="J478" t="n">
        <v>0</v>
      </c>
      <c r="K478" t="n">
        <v>0</v>
      </c>
      <c r="L478" t="n">
        <v>0</v>
      </c>
      <c r="M478" t="n">
        <v>0</v>
      </c>
      <c r="N478" t="n">
        <v>0</v>
      </c>
      <c r="O478" t="n">
        <v>0</v>
      </c>
      <c r="P478" t="n">
        <v>0</v>
      </c>
      <c r="Q478" t="n">
        <v>0</v>
      </c>
      <c r="R478" s="2" t="inlineStr"/>
    </row>
    <row r="479" ht="15" customHeight="1">
      <c r="A479" t="inlineStr">
        <is>
          <t>A 13033-2024</t>
        </is>
      </c>
      <c r="B479" s="1" t="n">
        <v>45385</v>
      </c>
      <c r="C479" s="1" t="n">
        <v>45974</v>
      </c>
      <c r="D479" t="inlineStr">
        <is>
          <t>JÄMTLANDS LÄN</t>
        </is>
      </c>
      <c r="E479" t="inlineStr">
        <is>
          <t>ÅRE</t>
        </is>
      </c>
      <c r="G479" t="n">
        <v>7.3</v>
      </c>
      <c r="H479" t="n">
        <v>0</v>
      </c>
      <c r="I479" t="n">
        <v>0</v>
      </c>
      <c r="J479" t="n">
        <v>0</v>
      </c>
      <c r="K479" t="n">
        <v>0</v>
      </c>
      <c r="L479" t="n">
        <v>0</v>
      </c>
      <c r="M479" t="n">
        <v>0</v>
      </c>
      <c r="N479" t="n">
        <v>0</v>
      </c>
      <c r="O479" t="n">
        <v>0</v>
      </c>
      <c r="P479" t="n">
        <v>0</v>
      </c>
      <c r="Q479" t="n">
        <v>0</v>
      </c>
      <c r="R479" s="2" t="inlineStr"/>
    </row>
    <row r="480" ht="15" customHeight="1">
      <c r="A480" t="inlineStr">
        <is>
          <t>A 49593-2025</t>
        </is>
      </c>
      <c r="B480" s="1" t="n">
        <v>45939.53186342592</v>
      </c>
      <c r="C480" s="1" t="n">
        <v>45974</v>
      </c>
      <c r="D480" t="inlineStr">
        <is>
          <t>JÄMTLANDS LÄN</t>
        </is>
      </c>
      <c r="E480" t="inlineStr">
        <is>
          <t>ÅRE</t>
        </is>
      </c>
      <c r="G480" t="n">
        <v>7.9</v>
      </c>
      <c r="H480" t="n">
        <v>0</v>
      </c>
      <c r="I480" t="n">
        <v>0</v>
      </c>
      <c r="J480" t="n">
        <v>0</v>
      </c>
      <c r="K480" t="n">
        <v>0</v>
      </c>
      <c r="L480" t="n">
        <v>0</v>
      </c>
      <c r="M480" t="n">
        <v>0</v>
      </c>
      <c r="N480" t="n">
        <v>0</v>
      </c>
      <c r="O480" t="n">
        <v>0</v>
      </c>
      <c r="P480" t="n">
        <v>0</v>
      </c>
      <c r="Q480" t="n">
        <v>0</v>
      </c>
      <c r="R480" s="2" t="inlineStr"/>
    </row>
    <row r="481" ht="15" customHeight="1">
      <c r="A481" t="inlineStr">
        <is>
          <t>A 8294-2021</t>
        </is>
      </c>
      <c r="B481" s="1" t="n">
        <v>44243</v>
      </c>
      <c r="C481" s="1" t="n">
        <v>45974</v>
      </c>
      <c r="D481" t="inlineStr">
        <is>
          <t>JÄMTLANDS LÄN</t>
        </is>
      </c>
      <c r="E481" t="inlineStr">
        <is>
          <t>ÅRE</t>
        </is>
      </c>
      <c r="G481" t="n">
        <v>16.5</v>
      </c>
      <c r="H481" t="n">
        <v>0</v>
      </c>
      <c r="I481" t="n">
        <v>0</v>
      </c>
      <c r="J481" t="n">
        <v>0</v>
      </c>
      <c r="K481" t="n">
        <v>0</v>
      </c>
      <c r="L481" t="n">
        <v>0</v>
      </c>
      <c r="M481" t="n">
        <v>0</v>
      </c>
      <c r="N481" t="n">
        <v>0</v>
      </c>
      <c r="O481" t="n">
        <v>0</v>
      </c>
      <c r="P481" t="n">
        <v>0</v>
      </c>
      <c r="Q481" t="n">
        <v>0</v>
      </c>
      <c r="R481" s="2" t="inlineStr"/>
    </row>
    <row r="482" ht="15" customHeight="1">
      <c r="A482" t="inlineStr">
        <is>
          <t>A 66083-2020</t>
        </is>
      </c>
      <c r="B482" s="1" t="n">
        <v>44172</v>
      </c>
      <c r="C482" s="1" t="n">
        <v>45974</v>
      </c>
      <c r="D482" t="inlineStr">
        <is>
          <t>JÄMTLANDS LÄN</t>
        </is>
      </c>
      <c r="E482" t="inlineStr">
        <is>
          <t>ÅRE</t>
        </is>
      </c>
      <c r="G482" t="n">
        <v>213.4</v>
      </c>
      <c r="H482" t="n">
        <v>0</v>
      </c>
      <c r="I482" t="n">
        <v>0</v>
      </c>
      <c r="J482" t="n">
        <v>0</v>
      </c>
      <c r="K482" t="n">
        <v>0</v>
      </c>
      <c r="L482" t="n">
        <v>0</v>
      </c>
      <c r="M482" t="n">
        <v>0</v>
      </c>
      <c r="N482" t="n">
        <v>0</v>
      </c>
      <c r="O482" t="n">
        <v>0</v>
      </c>
      <c r="P482" t="n">
        <v>0</v>
      </c>
      <c r="Q482" t="n">
        <v>0</v>
      </c>
      <c r="R482" s="2" t="inlineStr"/>
    </row>
    <row r="483" ht="15" customHeight="1">
      <c r="A483" t="inlineStr">
        <is>
          <t>A 25710-2024</t>
        </is>
      </c>
      <c r="B483" s="1" t="n">
        <v>45463</v>
      </c>
      <c r="C483" s="1" t="n">
        <v>45974</v>
      </c>
      <c r="D483" t="inlineStr">
        <is>
          <t>JÄMTLANDS LÄN</t>
        </is>
      </c>
      <c r="E483" t="inlineStr">
        <is>
          <t>ÅRE</t>
        </is>
      </c>
      <c r="G483" t="n">
        <v>4.5</v>
      </c>
      <c r="H483" t="n">
        <v>0</v>
      </c>
      <c r="I483" t="n">
        <v>0</v>
      </c>
      <c r="J483" t="n">
        <v>0</v>
      </c>
      <c r="K483" t="n">
        <v>0</v>
      </c>
      <c r="L483" t="n">
        <v>0</v>
      </c>
      <c r="M483" t="n">
        <v>0</v>
      </c>
      <c r="N483" t="n">
        <v>0</v>
      </c>
      <c r="O483" t="n">
        <v>0</v>
      </c>
      <c r="P483" t="n">
        <v>0</v>
      </c>
      <c r="Q483" t="n">
        <v>0</v>
      </c>
      <c r="R483" s="2" t="inlineStr"/>
    </row>
    <row r="484" ht="15" customHeight="1">
      <c r="A484" t="inlineStr">
        <is>
          <t>A 51500-2024</t>
        </is>
      </c>
      <c r="B484" s="1" t="n">
        <v>45604.54693287037</v>
      </c>
      <c r="C484" s="1" t="n">
        <v>45974</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61014-2024</t>
        </is>
      </c>
      <c r="B485" s="1" t="n">
        <v>45645.449375</v>
      </c>
      <c r="C485" s="1" t="n">
        <v>45974</v>
      </c>
      <c r="D485" t="inlineStr">
        <is>
          <t>JÄMTLANDS LÄN</t>
        </is>
      </c>
      <c r="E485" t="inlineStr">
        <is>
          <t>ÅRE</t>
        </is>
      </c>
      <c r="F485" t="inlineStr">
        <is>
          <t>Övriga Aktiebolag</t>
        </is>
      </c>
      <c r="G485" t="n">
        <v>4.9</v>
      </c>
      <c r="H485" t="n">
        <v>0</v>
      </c>
      <c r="I485" t="n">
        <v>0</v>
      </c>
      <c r="J485" t="n">
        <v>0</v>
      </c>
      <c r="K485" t="n">
        <v>0</v>
      </c>
      <c r="L485" t="n">
        <v>0</v>
      </c>
      <c r="M485" t="n">
        <v>0</v>
      </c>
      <c r="N485" t="n">
        <v>0</v>
      </c>
      <c r="O485" t="n">
        <v>0</v>
      </c>
      <c r="P485" t="n">
        <v>0</v>
      </c>
      <c r="Q485" t="n">
        <v>0</v>
      </c>
      <c r="R485" s="2" t="inlineStr"/>
    </row>
    <row r="486" ht="15" customHeight="1">
      <c r="A486" t="inlineStr">
        <is>
          <t>A 36013-2025</t>
        </is>
      </c>
      <c r="B486" s="1" t="n">
        <v>45863.60643518518</v>
      </c>
      <c r="C486" s="1" t="n">
        <v>45974</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36015-2025</t>
        </is>
      </c>
      <c r="B487" s="1" t="n">
        <v>45863.61373842593</v>
      </c>
      <c r="C487" s="1" t="n">
        <v>45974</v>
      </c>
      <c r="D487" t="inlineStr">
        <is>
          <t>JÄMTLANDS LÄN</t>
        </is>
      </c>
      <c r="E487" t="inlineStr">
        <is>
          <t>ÅRE</t>
        </is>
      </c>
      <c r="G487" t="n">
        <v>0.7</v>
      </c>
      <c r="H487" t="n">
        <v>0</v>
      </c>
      <c r="I487" t="n">
        <v>0</v>
      </c>
      <c r="J487" t="n">
        <v>0</v>
      </c>
      <c r="K487" t="n">
        <v>0</v>
      </c>
      <c r="L487" t="n">
        <v>0</v>
      </c>
      <c r="M487" t="n">
        <v>0</v>
      </c>
      <c r="N487" t="n">
        <v>0</v>
      </c>
      <c r="O487" t="n">
        <v>0</v>
      </c>
      <c r="P487" t="n">
        <v>0</v>
      </c>
      <c r="Q487" t="n">
        <v>0</v>
      </c>
      <c r="R487" s="2" t="inlineStr"/>
    </row>
    <row r="488" ht="15" customHeight="1">
      <c r="A488" t="inlineStr">
        <is>
          <t>A 11112-2022</t>
        </is>
      </c>
      <c r="B488" s="1" t="n">
        <v>44628</v>
      </c>
      <c r="C488" s="1" t="n">
        <v>45974</v>
      </c>
      <c r="D488" t="inlineStr">
        <is>
          <t>JÄMTLANDS LÄN</t>
        </is>
      </c>
      <c r="E488" t="inlineStr">
        <is>
          <t>ÅRE</t>
        </is>
      </c>
      <c r="G488" t="n">
        <v>6.6</v>
      </c>
      <c r="H488" t="n">
        <v>0</v>
      </c>
      <c r="I488" t="n">
        <v>0</v>
      </c>
      <c r="J488" t="n">
        <v>0</v>
      </c>
      <c r="K488" t="n">
        <v>0</v>
      </c>
      <c r="L488" t="n">
        <v>0</v>
      </c>
      <c r="M488" t="n">
        <v>0</v>
      </c>
      <c r="N488" t="n">
        <v>0</v>
      </c>
      <c r="O488" t="n">
        <v>0</v>
      </c>
      <c r="P488" t="n">
        <v>0</v>
      </c>
      <c r="Q488" t="n">
        <v>0</v>
      </c>
      <c r="R488" s="2" t="inlineStr"/>
    </row>
    <row r="489" ht="15" customHeight="1">
      <c r="A489" t="inlineStr">
        <is>
          <t>A 44925-2024</t>
        </is>
      </c>
      <c r="B489" s="1" t="n">
        <v>45575.40700231482</v>
      </c>
      <c r="C489" s="1" t="n">
        <v>45974</v>
      </c>
      <c r="D489" t="inlineStr">
        <is>
          <t>JÄMTLANDS LÄN</t>
        </is>
      </c>
      <c r="E489" t="inlineStr">
        <is>
          <t>ÅRE</t>
        </is>
      </c>
      <c r="F489" t="inlineStr">
        <is>
          <t>Övriga Aktiebolag</t>
        </is>
      </c>
      <c r="G489" t="n">
        <v>22.3</v>
      </c>
      <c r="H489" t="n">
        <v>0</v>
      </c>
      <c r="I489" t="n">
        <v>0</v>
      </c>
      <c r="J489" t="n">
        <v>0</v>
      </c>
      <c r="K489" t="n">
        <v>0</v>
      </c>
      <c r="L489" t="n">
        <v>0</v>
      </c>
      <c r="M489" t="n">
        <v>0</v>
      </c>
      <c r="N489" t="n">
        <v>0</v>
      </c>
      <c r="O489" t="n">
        <v>0</v>
      </c>
      <c r="P489" t="n">
        <v>0</v>
      </c>
      <c r="Q489" t="n">
        <v>0</v>
      </c>
      <c r="R489" s="2" t="inlineStr"/>
    </row>
    <row r="490" ht="15" customHeight="1">
      <c r="A490" t="inlineStr">
        <is>
          <t>A 20160-2025</t>
        </is>
      </c>
      <c r="B490" s="1" t="n">
        <v>45772.56753472222</v>
      </c>
      <c r="C490" s="1" t="n">
        <v>45974</v>
      </c>
      <c r="D490" t="inlineStr">
        <is>
          <t>JÄMTLANDS LÄN</t>
        </is>
      </c>
      <c r="E490" t="inlineStr">
        <is>
          <t>ÅRE</t>
        </is>
      </c>
      <c r="G490" t="n">
        <v>0.8</v>
      </c>
      <c r="H490" t="n">
        <v>0</v>
      </c>
      <c r="I490" t="n">
        <v>0</v>
      </c>
      <c r="J490" t="n">
        <v>0</v>
      </c>
      <c r="K490" t="n">
        <v>0</v>
      </c>
      <c r="L490" t="n">
        <v>0</v>
      </c>
      <c r="M490" t="n">
        <v>0</v>
      </c>
      <c r="N490" t="n">
        <v>0</v>
      </c>
      <c r="O490" t="n">
        <v>0</v>
      </c>
      <c r="P490" t="n">
        <v>0</v>
      </c>
      <c r="Q490" t="n">
        <v>0</v>
      </c>
      <c r="R490" s="2" t="inlineStr"/>
    </row>
    <row r="491" ht="15" customHeight="1">
      <c r="A491" t="inlineStr">
        <is>
          <t>A 61926-2022</t>
        </is>
      </c>
      <c r="B491" s="1" t="n">
        <v>44917</v>
      </c>
      <c r="C491" s="1" t="n">
        <v>45974</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50099-2021</t>
        </is>
      </c>
      <c r="B492" s="1" t="n">
        <v>44456</v>
      </c>
      <c r="C492" s="1" t="n">
        <v>45974</v>
      </c>
      <c r="D492" t="inlineStr">
        <is>
          <t>JÄMTLANDS LÄN</t>
        </is>
      </c>
      <c r="E492" t="inlineStr">
        <is>
          <t>ÅRE</t>
        </is>
      </c>
      <c r="G492" t="n">
        <v>6.2</v>
      </c>
      <c r="H492" t="n">
        <v>0</v>
      </c>
      <c r="I492" t="n">
        <v>0</v>
      </c>
      <c r="J492" t="n">
        <v>0</v>
      </c>
      <c r="K492" t="n">
        <v>0</v>
      </c>
      <c r="L492" t="n">
        <v>0</v>
      </c>
      <c r="M492" t="n">
        <v>0</v>
      </c>
      <c r="N492" t="n">
        <v>0</v>
      </c>
      <c r="O492" t="n">
        <v>0</v>
      </c>
      <c r="P492" t="n">
        <v>0</v>
      </c>
      <c r="Q492" t="n">
        <v>0</v>
      </c>
      <c r="R492" s="2" t="inlineStr"/>
    </row>
    <row r="493" ht="15" customHeight="1">
      <c r="A493" t="inlineStr">
        <is>
          <t>A 41677-2024</t>
        </is>
      </c>
      <c r="B493" s="1" t="n">
        <v>45560.66037037037</v>
      </c>
      <c r="C493" s="1" t="n">
        <v>45974</v>
      </c>
      <c r="D493" t="inlineStr">
        <is>
          <t>JÄMTLANDS LÄN</t>
        </is>
      </c>
      <c r="E493" t="inlineStr">
        <is>
          <t>ÅRE</t>
        </is>
      </c>
      <c r="G493" t="n">
        <v>0.5</v>
      </c>
      <c r="H493" t="n">
        <v>0</v>
      </c>
      <c r="I493" t="n">
        <v>0</v>
      </c>
      <c r="J493" t="n">
        <v>0</v>
      </c>
      <c r="K493" t="n">
        <v>0</v>
      </c>
      <c r="L493" t="n">
        <v>0</v>
      </c>
      <c r="M493" t="n">
        <v>0</v>
      </c>
      <c r="N493" t="n">
        <v>0</v>
      </c>
      <c r="O493" t="n">
        <v>0</v>
      </c>
      <c r="P493" t="n">
        <v>0</v>
      </c>
      <c r="Q493" t="n">
        <v>0</v>
      </c>
      <c r="R493" s="2" t="inlineStr"/>
    </row>
    <row r="494" ht="15" customHeight="1">
      <c r="A494" t="inlineStr">
        <is>
          <t>A 34931-2025</t>
        </is>
      </c>
      <c r="B494" s="1" t="n">
        <v>45849</v>
      </c>
      <c r="C494" s="1" t="n">
        <v>45974</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42876-2025</t>
        </is>
      </c>
      <c r="B495" s="1" t="n">
        <v>45908</v>
      </c>
      <c r="C495" s="1" t="n">
        <v>45974</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51444-2024</t>
        </is>
      </c>
      <c r="B496" s="1" t="n">
        <v>45604.48304398148</v>
      </c>
      <c r="C496" s="1" t="n">
        <v>45974</v>
      </c>
      <c r="D496" t="inlineStr">
        <is>
          <t>JÄMTLANDS LÄN</t>
        </is>
      </c>
      <c r="E496" t="inlineStr">
        <is>
          <t>ÅRE</t>
        </is>
      </c>
      <c r="G496" t="n">
        <v>2.2</v>
      </c>
      <c r="H496" t="n">
        <v>0</v>
      </c>
      <c r="I496" t="n">
        <v>0</v>
      </c>
      <c r="J496" t="n">
        <v>0</v>
      </c>
      <c r="K496" t="n">
        <v>0</v>
      </c>
      <c r="L496" t="n">
        <v>0</v>
      </c>
      <c r="M496" t="n">
        <v>0</v>
      </c>
      <c r="N496" t="n">
        <v>0</v>
      </c>
      <c r="O496" t="n">
        <v>0</v>
      </c>
      <c r="P496" t="n">
        <v>0</v>
      </c>
      <c r="Q496" t="n">
        <v>0</v>
      </c>
      <c r="R496" s="2" t="inlineStr"/>
    </row>
    <row r="497" ht="15" customHeight="1">
      <c r="A497" t="inlineStr">
        <is>
          <t>A 50203-2025</t>
        </is>
      </c>
      <c r="B497" s="1" t="n">
        <v>45943.65641203704</v>
      </c>
      <c r="C497" s="1" t="n">
        <v>45974</v>
      </c>
      <c r="D497" t="inlineStr">
        <is>
          <t>JÄMTLANDS LÄN</t>
        </is>
      </c>
      <c r="E497" t="inlineStr">
        <is>
          <t>ÅRE</t>
        </is>
      </c>
      <c r="G497" t="n">
        <v>7.2</v>
      </c>
      <c r="H497" t="n">
        <v>0</v>
      </c>
      <c r="I497" t="n">
        <v>0</v>
      </c>
      <c r="J497" t="n">
        <v>0</v>
      </c>
      <c r="K497" t="n">
        <v>0</v>
      </c>
      <c r="L497" t="n">
        <v>0</v>
      </c>
      <c r="M497" t="n">
        <v>0</v>
      </c>
      <c r="N497" t="n">
        <v>0</v>
      </c>
      <c r="O497" t="n">
        <v>0</v>
      </c>
      <c r="P497" t="n">
        <v>0</v>
      </c>
      <c r="Q497" t="n">
        <v>0</v>
      </c>
      <c r="R497" s="2" t="inlineStr"/>
    </row>
    <row r="498" ht="15" customHeight="1">
      <c r="A498" t="inlineStr">
        <is>
          <t>A 36975-2025</t>
        </is>
      </c>
      <c r="B498" s="1" t="n">
        <v>45874.63773148148</v>
      </c>
      <c r="C498" s="1" t="n">
        <v>45974</v>
      </c>
      <c r="D498" t="inlineStr">
        <is>
          <t>JÄMTLANDS LÄN</t>
        </is>
      </c>
      <c r="E498" t="inlineStr">
        <is>
          <t>ÅRE</t>
        </is>
      </c>
      <c r="F498" t="inlineStr">
        <is>
          <t>Övriga Aktiebolag</t>
        </is>
      </c>
      <c r="G498" t="n">
        <v>3.2</v>
      </c>
      <c r="H498" t="n">
        <v>0</v>
      </c>
      <c r="I498" t="n">
        <v>0</v>
      </c>
      <c r="J498" t="n">
        <v>0</v>
      </c>
      <c r="K498" t="n">
        <v>0</v>
      </c>
      <c r="L498" t="n">
        <v>0</v>
      </c>
      <c r="M498" t="n">
        <v>0</v>
      </c>
      <c r="N498" t="n">
        <v>0</v>
      </c>
      <c r="O498" t="n">
        <v>0</v>
      </c>
      <c r="P498" t="n">
        <v>0</v>
      </c>
      <c r="Q498" t="n">
        <v>0</v>
      </c>
      <c r="R498" s="2" t="inlineStr"/>
    </row>
    <row r="499" ht="15" customHeight="1">
      <c r="A499" t="inlineStr">
        <is>
          <t>A 15480-2024</t>
        </is>
      </c>
      <c r="B499" s="1" t="n">
        <v>45401.49065972222</v>
      </c>
      <c r="C499" s="1" t="n">
        <v>45974</v>
      </c>
      <c r="D499" t="inlineStr">
        <is>
          <t>JÄMTLANDS LÄN</t>
        </is>
      </c>
      <c r="E499" t="inlineStr">
        <is>
          <t>ÅRE</t>
        </is>
      </c>
      <c r="G499" t="n">
        <v>11.8</v>
      </c>
      <c r="H499" t="n">
        <v>0</v>
      </c>
      <c r="I499" t="n">
        <v>0</v>
      </c>
      <c r="J499" t="n">
        <v>0</v>
      </c>
      <c r="K499" t="n">
        <v>0</v>
      </c>
      <c r="L499" t="n">
        <v>0</v>
      </c>
      <c r="M499" t="n">
        <v>0</v>
      </c>
      <c r="N499" t="n">
        <v>0</v>
      </c>
      <c r="O499" t="n">
        <v>0</v>
      </c>
      <c r="P499" t="n">
        <v>0</v>
      </c>
      <c r="Q499" t="n">
        <v>0</v>
      </c>
      <c r="R499" s="2" t="inlineStr"/>
    </row>
    <row r="500" ht="15" customHeight="1">
      <c r="A500" t="inlineStr">
        <is>
          <t>A 37118-2025</t>
        </is>
      </c>
      <c r="B500" s="1" t="n">
        <v>45875</v>
      </c>
      <c r="C500" s="1" t="n">
        <v>45974</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22603-2025</t>
        </is>
      </c>
      <c r="B501" s="1" t="n">
        <v>45786</v>
      </c>
      <c r="C501" s="1" t="n">
        <v>45974</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27630-2025</t>
        </is>
      </c>
      <c r="B502" s="1" t="n">
        <v>45813</v>
      </c>
      <c r="C502" s="1" t="n">
        <v>45974</v>
      </c>
      <c r="D502" t="inlineStr">
        <is>
          <t>JÄMTLANDS LÄN</t>
        </is>
      </c>
      <c r="E502" t="inlineStr">
        <is>
          <t>ÅRE</t>
        </is>
      </c>
      <c r="G502" t="n">
        <v>8.4</v>
      </c>
      <c r="H502" t="n">
        <v>0</v>
      </c>
      <c r="I502" t="n">
        <v>0</v>
      </c>
      <c r="J502" t="n">
        <v>0</v>
      </c>
      <c r="K502" t="n">
        <v>0</v>
      </c>
      <c r="L502" t="n">
        <v>0</v>
      </c>
      <c r="M502" t="n">
        <v>0</v>
      </c>
      <c r="N502" t="n">
        <v>0</v>
      </c>
      <c r="O502" t="n">
        <v>0</v>
      </c>
      <c r="P502" t="n">
        <v>0</v>
      </c>
      <c r="Q502" t="n">
        <v>0</v>
      </c>
      <c r="R502" s="2" t="inlineStr"/>
    </row>
    <row r="503" ht="15" customHeight="1">
      <c r="A503" t="inlineStr">
        <is>
          <t>A 37178-2025</t>
        </is>
      </c>
      <c r="B503" s="1" t="n">
        <v>45875</v>
      </c>
      <c r="C503" s="1" t="n">
        <v>45974</v>
      </c>
      <c r="D503" t="inlineStr">
        <is>
          <t>JÄMTLANDS LÄN</t>
        </is>
      </c>
      <c r="E503" t="inlineStr">
        <is>
          <t>ÅRE</t>
        </is>
      </c>
      <c r="G503" t="n">
        <v>5</v>
      </c>
      <c r="H503" t="n">
        <v>0</v>
      </c>
      <c r="I503" t="n">
        <v>0</v>
      </c>
      <c r="J503" t="n">
        <v>0</v>
      </c>
      <c r="K503" t="n">
        <v>0</v>
      </c>
      <c r="L503" t="n">
        <v>0</v>
      </c>
      <c r="M503" t="n">
        <v>0</v>
      </c>
      <c r="N503" t="n">
        <v>0</v>
      </c>
      <c r="O503" t="n">
        <v>0</v>
      </c>
      <c r="P503" t="n">
        <v>0</v>
      </c>
      <c r="Q503" t="n">
        <v>0</v>
      </c>
      <c r="R503" s="2" t="inlineStr"/>
    </row>
    <row r="504" ht="15" customHeight="1">
      <c r="A504" t="inlineStr">
        <is>
          <t>A 22602-2025</t>
        </is>
      </c>
      <c r="B504" s="1" t="n">
        <v>45786</v>
      </c>
      <c r="C504" s="1" t="n">
        <v>45974</v>
      </c>
      <c r="D504" t="inlineStr">
        <is>
          <t>JÄMTLANDS LÄN</t>
        </is>
      </c>
      <c r="E504" t="inlineStr">
        <is>
          <t>ÅRE</t>
        </is>
      </c>
      <c r="G504" t="n">
        <v>13.1</v>
      </c>
      <c r="H504" t="n">
        <v>0</v>
      </c>
      <c r="I504" t="n">
        <v>0</v>
      </c>
      <c r="J504" t="n">
        <v>0</v>
      </c>
      <c r="K504" t="n">
        <v>0</v>
      </c>
      <c r="L504" t="n">
        <v>0</v>
      </c>
      <c r="M504" t="n">
        <v>0</v>
      </c>
      <c r="N504" t="n">
        <v>0</v>
      </c>
      <c r="O504" t="n">
        <v>0</v>
      </c>
      <c r="P504" t="n">
        <v>0</v>
      </c>
      <c r="Q504" t="n">
        <v>0</v>
      </c>
      <c r="R504" s="2" t="inlineStr"/>
    </row>
    <row r="505" ht="15" customHeight="1">
      <c r="A505" t="inlineStr">
        <is>
          <t>A 37159-2025</t>
        </is>
      </c>
      <c r="B505" s="1" t="n">
        <v>45875</v>
      </c>
      <c r="C505" s="1" t="n">
        <v>45974</v>
      </c>
      <c r="D505" t="inlineStr">
        <is>
          <t>JÄMTLANDS LÄN</t>
        </is>
      </c>
      <c r="E505" t="inlineStr">
        <is>
          <t>ÅRE</t>
        </is>
      </c>
      <c r="G505" t="n">
        <v>0.3</v>
      </c>
      <c r="H505" t="n">
        <v>0</v>
      </c>
      <c r="I505" t="n">
        <v>0</v>
      </c>
      <c r="J505" t="n">
        <v>0</v>
      </c>
      <c r="K505" t="n">
        <v>0</v>
      </c>
      <c r="L505" t="n">
        <v>0</v>
      </c>
      <c r="M505" t="n">
        <v>0</v>
      </c>
      <c r="N505" t="n">
        <v>0</v>
      </c>
      <c r="O505" t="n">
        <v>0</v>
      </c>
      <c r="P505" t="n">
        <v>0</v>
      </c>
      <c r="Q505" t="n">
        <v>0</v>
      </c>
      <c r="R505" s="2" t="inlineStr"/>
    </row>
    <row r="506" ht="15" customHeight="1">
      <c r="A506" t="inlineStr">
        <is>
          <t>A 50574-2025</t>
        </is>
      </c>
      <c r="B506" s="1" t="n">
        <v>45945</v>
      </c>
      <c r="C506" s="1" t="n">
        <v>45974</v>
      </c>
      <c r="D506" t="inlineStr">
        <is>
          <t>JÄMTLANDS LÄN</t>
        </is>
      </c>
      <c r="E506" t="inlineStr">
        <is>
          <t>ÅRE</t>
        </is>
      </c>
      <c r="G506" t="n">
        <v>16.1</v>
      </c>
      <c r="H506" t="n">
        <v>0</v>
      </c>
      <c r="I506" t="n">
        <v>0</v>
      </c>
      <c r="J506" t="n">
        <v>0</v>
      </c>
      <c r="K506" t="n">
        <v>0</v>
      </c>
      <c r="L506" t="n">
        <v>0</v>
      </c>
      <c r="M506" t="n">
        <v>0</v>
      </c>
      <c r="N506" t="n">
        <v>0</v>
      </c>
      <c r="O506" t="n">
        <v>0</v>
      </c>
      <c r="P506" t="n">
        <v>0</v>
      </c>
      <c r="Q506" t="n">
        <v>0</v>
      </c>
      <c r="R506" s="2" t="inlineStr"/>
    </row>
    <row r="507" ht="15" customHeight="1">
      <c r="A507" t="inlineStr">
        <is>
          <t>A 41273-2025</t>
        </is>
      </c>
      <c r="B507" s="1" t="n">
        <v>45898</v>
      </c>
      <c r="C507" s="1" t="n">
        <v>45974</v>
      </c>
      <c r="D507" t="inlineStr">
        <is>
          <t>JÄMTLANDS LÄN</t>
        </is>
      </c>
      <c r="E507" t="inlineStr">
        <is>
          <t>ÅRE</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13082-2025</t>
        </is>
      </c>
      <c r="B508" s="1" t="n">
        <v>45734.62666666666</v>
      </c>
      <c r="C508" s="1" t="n">
        <v>45974</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37158-2025</t>
        </is>
      </c>
      <c r="B509" s="1" t="n">
        <v>45875</v>
      </c>
      <c r="C509" s="1" t="n">
        <v>45974</v>
      </c>
      <c r="D509" t="inlineStr">
        <is>
          <t>JÄMTLANDS LÄN</t>
        </is>
      </c>
      <c r="E509" t="inlineStr">
        <is>
          <t>ÅRE</t>
        </is>
      </c>
      <c r="G509" t="n">
        <v>4.7</v>
      </c>
      <c r="H509" t="n">
        <v>0</v>
      </c>
      <c r="I509" t="n">
        <v>0</v>
      </c>
      <c r="J509" t="n">
        <v>0</v>
      </c>
      <c r="K509" t="n">
        <v>0</v>
      </c>
      <c r="L509" t="n">
        <v>0</v>
      </c>
      <c r="M509" t="n">
        <v>0</v>
      </c>
      <c r="N509" t="n">
        <v>0</v>
      </c>
      <c r="O509" t="n">
        <v>0</v>
      </c>
      <c r="P509" t="n">
        <v>0</v>
      </c>
      <c r="Q509" t="n">
        <v>0</v>
      </c>
      <c r="R509" s="2" t="inlineStr"/>
    </row>
    <row r="510" ht="15" customHeight="1">
      <c r="A510" t="inlineStr">
        <is>
          <t>A 50488-2025</t>
        </is>
      </c>
      <c r="B510" s="1" t="n">
        <v>45945.39144675926</v>
      </c>
      <c r="C510" s="1" t="n">
        <v>45974</v>
      </c>
      <c r="D510" t="inlineStr">
        <is>
          <t>JÄMTLANDS LÄN</t>
        </is>
      </c>
      <c r="E510" t="inlineStr">
        <is>
          <t>ÅRE</t>
        </is>
      </c>
      <c r="G510" t="n">
        <v>3.8</v>
      </c>
      <c r="H510" t="n">
        <v>0</v>
      </c>
      <c r="I510" t="n">
        <v>0</v>
      </c>
      <c r="J510" t="n">
        <v>0</v>
      </c>
      <c r="K510" t="n">
        <v>0</v>
      </c>
      <c r="L510" t="n">
        <v>0</v>
      </c>
      <c r="M510" t="n">
        <v>0</v>
      </c>
      <c r="N510" t="n">
        <v>0</v>
      </c>
      <c r="O510" t="n">
        <v>0</v>
      </c>
      <c r="P510" t="n">
        <v>0</v>
      </c>
      <c r="Q510" t="n">
        <v>0</v>
      </c>
      <c r="R510" s="2" t="inlineStr"/>
    </row>
    <row r="511" ht="15" customHeight="1">
      <c r="A511" t="inlineStr">
        <is>
          <t>A 53611-2024</t>
        </is>
      </c>
      <c r="B511" s="1" t="n">
        <v>45614.70510416666</v>
      </c>
      <c r="C511" s="1" t="n">
        <v>45974</v>
      </c>
      <c r="D511" t="inlineStr">
        <is>
          <t>JÄMTLANDS LÄN</t>
        </is>
      </c>
      <c r="E511" t="inlineStr">
        <is>
          <t>ÅRE</t>
        </is>
      </c>
      <c r="F511" t="inlineStr">
        <is>
          <t>Övriga Aktiebolag</t>
        </is>
      </c>
      <c r="G511" t="n">
        <v>2.2</v>
      </c>
      <c r="H511" t="n">
        <v>0</v>
      </c>
      <c r="I511" t="n">
        <v>0</v>
      </c>
      <c r="J511" t="n">
        <v>0</v>
      </c>
      <c r="K511" t="n">
        <v>0</v>
      </c>
      <c r="L511" t="n">
        <v>0</v>
      </c>
      <c r="M511" t="n">
        <v>0</v>
      </c>
      <c r="N511" t="n">
        <v>0</v>
      </c>
      <c r="O511" t="n">
        <v>0</v>
      </c>
      <c r="P511" t="n">
        <v>0</v>
      </c>
      <c r="Q511" t="n">
        <v>0</v>
      </c>
      <c r="R511" s="2" t="inlineStr"/>
    </row>
    <row r="512" ht="15" customHeight="1">
      <c r="A512" t="inlineStr">
        <is>
          <t>A 37249-2025</t>
        </is>
      </c>
      <c r="B512" s="1" t="n">
        <v>45876.40699074074</v>
      </c>
      <c r="C512" s="1" t="n">
        <v>45974</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26032-2023</t>
        </is>
      </c>
      <c r="B513" s="1" t="n">
        <v>45091.31304398148</v>
      </c>
      <c r="C513" s="1" t="n">
        <v>45974</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26033-2023</t>
        </is>
      </c>
      <c r="B514" s="1" t="n">
        <v>45091.31530092593</v>
      </c>
      <c r="C514" s="1" t="n">
        <v>45974</v>
      </c>
      <c r="D514" t="inlineStr">
        <is>
          <t>JÄMTLANDS LÄN</t>
        </is>
      </c>
      <c r="E514" t="inlineStr">
        <is>
          <t>ÅRE</t>
        </is>
      </c>
      <c r="G514" t="n">
        <v>0.7</v>
      </c>
      <c r="H514" t="n">
        <v>0</v>
      </c>
      <c r="I514" t="n">
        <v>0</v>
      </c>
      <c r="J514" t="n">
        <v>0</v>
      </c>
      <c r="K514" t="n">
        <v>0</v>
      </c>
      <c r="L514" t="n">
        <v>0</v>
      </c>
      <c r="M514" t="n">
        <v>0</v>
      </c>
      <c r="N514" t="n">
        <v>0</v>
      </c>
      <c r="O514" t="n">
        <v>0</v>
      </c>
      <c r="P514" t="n">
        <v>0</v>
      </c>
      <c r="Q514" t="n">
        <v>0</v>
      </c>
      <c r="R514" s="2" t="inlineStr"/>
    </row>
    <row r="515" ht="15" customHeight="1">
      <c r="A515" t="inlineStr">
        <is>
          <t>A 13221-2022</t>
        </is>
      </c>
      <c r="B515" s="1" t="n">
        <v>44644</v>
      </c>
      <c r="C515" s="1" t="n">
        <v>45974</v>
      </c>
      <c r="D515" t="inlineStr">
        <is>
          <t>JÄMTLANDS LÄN</t>
        </is>
      </c>
      <c r="E515" t="inlineStr">
        <is>
          <t>ÅRE</t>
        </is>
      </c>
      <c r="F515" t="inlineStr">
        <is>
          <t>Övriga Aktiebolag</t>
        </is>
      </c>
      <c r="G515" t="n">
        <v>6.6</v>
      </c>
      <c r="H515" t="n">
        <v>0</v>
      </c>
      <c r="I515" t="n">
        <v>0</v>
      </c>
      <c r="J515" t="n">
        <v>0</v>
      </c>
      <c r="K515" t="n">
        <v>0</v>
      </c>
      <c r="L515" t="n">
        <v>0</v>
      </c>
      <c r="M515" t="n">
        <v>0</v>
      </c>
      <c r="N515" t="n">
        <v>0</v>
      </c>
      <c r="O515" t="n">
        <v>0</v>
      </c>
      <c r="P515" t="n">
        <v>0</v>
      </c>
      <c r="Q515" t="n">
        <v>0</v>
      </c>
      <c r="R515" s="2" t="inlineStr"/>
    </row>
    <row r="516" ht="15" customHeight="1">
      <c r="A516" t="inlineStr">
        <is>
          <t>A 45378-2025</t>
        </is>
      </c>
      <c r="B516" s="1" t="n">
        <v>45922.39506944444</v>
      </c>
      <c r="C516" s="1" t="n">
        <v>45974</v>
      </c>
      <c r="D516" t="inlineStr">
        <is>
          <t>JÄMTLANDS LÄN</t>
        </is>
      </c>
      <c r="E516" t="inlineStr">
        <is>
          <t>ÅRE</t>
        </is>
      </c>
      <c r="G516" t="n">
        <v>15.7</v>
      </c>
      <c r="H516" t="n">
        <v>0</v>
      </c>
      <c r="I516" t="n">
        <v>0</v>
      </c>
      <c r="J516" t="n">
        <v>0</v>
      </c>
      <c r="K516" t="n">
        <v>0</v>
      </c>
      <c r="L516" t="n">
        <v>0</v>
      </c>
      <c r="M516" t="n">
        <v>0</v>
      </c>
      <c r="N516" t="n">
        <v>0</v>
      </c>
      <c r="O516" t="n">
        <v>0</v>
      </c>
      <c r="P516" t="n">
        <v>0</v>
      </c>
      <c r="Q516" t="n">
        <v>0</v>
      </c>
      <c r="R516" s="2" t="inlineStr"/>
    </row>
    <row r="517" ht="15" customHeight="1">
      <c r="A517" t="inlineStr">
        <is>
          <t>A 9613-2021</t>
        </is>
      </c>
      <c r="B517" s="1" t="n">
        <v>44251</v>
      </c>
      <c r="C517" s="1" t="n">
        <v>45974</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39071-2024</t>
        </is>
      </c>
      <c r="B518" s="1" t="n">
        <v>45548.53193287037</v>
      </c>
      <c r="C518" s="1" t="n">
        <v>45974</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38285-2025</t>
        </is>
      </c>
      <c r="B519" s="1" t="n">
        <v>45883.43145833333</v>
      </c>
      <c r="C519" s="1" t="n">
        <v>45974</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51183-2025</t>
        </is>
      </c>
      <c r="B520" s="1" t="n">
        <v>45947.62087962963</v>
      </c>
      <c r="C520" s="1" t="n">
        <v>45974</v>
      </c>
      <c r="D520" t="inlineStr">
        <is>
          <t>JÄMTLANDS LÄN</t>
        </is>
      </c>
      <c r="E520" t="inlineStr">
        <is>
          <t>ÅRE</t>
        </is>
      </c>
      <c r="F520" t="inlineStr">
        <is>
          <t>Övriga statliga verk och myndigheter</t>
        </is>
      </c>
      <c r="G520" t="n">
        <v>2</v>
      </c>
      <c r="H520" t="n">
        <v>0</v>
      </c>
      <c r="I520" t="n">
        <v>0</v>
      </c>
      <c r="J520" t="n">
        <v>0</v>
      </c>
      <c r="K520" t="n">
        <v>0</v>
      </c>
      <c r="L520" t="n">
        <v>0</v>
      </c>
      <c r="M520" t="n">
        <v>0</v>
      </c>
      <c r="N520" t="n">
        <v>0</v>
      </c>
      <c r="O520" t="n">
        <v>0</v>
      </c>
      <c r="P520" t="n">
        <v>0</v>
      </c>
      <c r="Q520" t="n">
        <v>0</v>
      </c>
      <c r="R520" s="2" t="inlineStr"/>
    </row>
    <row r="521" ht="15" customHeight="1">
      <c r="A521" t="inlineStr">
        <is>
          <t>A 59325-2024</t>
        </is>
      </c>
      <c r="B521" s="1" t="n">
        <v>45636</v>
      </c>
      <c r="C521" s="1" t="n">
        <v>45974</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20804-2024</t>
        </is>
      </c>
      <c r="B522" s="1" t="n">
        <v>45439.30988425926</v>
      </c>
      <c r="C522" s="1" t="n">
        <v>45974</v>
      </c>
      <c r="D522" t="inlineStr">
        <is>
          <t>JÄMTLANDS LÄN</t>
        </is>
      </c>
      <c r="E522" t="inlineStr">
        <is>
          <t>ÅRE</t>
        </is>
      </c>
      <c r="G522" t="n">
        <v>6.4</v>
      </c>
      <c r="H522" t="n">
        <v>0</v>
      </c>
      <c r="I522" t="n">
        <v>0</v>
      </c>
      <c r="J522" t="n">
        <v>0</v>
      </c>
      <c r="K522" t="n">
        <v>0</v>
      </c>
      <c r="L522" t="n">
        <v>0</v>
      </c>
      <c r="M522" t="n">
        <v>0</v>
      </c>
      <c r="N522" t="n">
        <v>0</v>
      </c>
      <c r="O522" t="n">
        <v>0</v>
      </c>
      <c r="P522" t="n">
        <v>0</v>
      </c>
      <c r="Q522" t="n">
        <v>0</v>
      </c>
      <c r="R522" s="2" t="inlineStr"/>
    </row>
    <row r="523" ht="15" customHeight="1">
      <c r="A523" t="inlineStr">
        <is>
          <t>A 12669-2023</t>
        </is>
      </c>
      <c r="B523" s="1" t="n">
        <v>45000</v>
      </c>
      <c r="C523" s="1" t="n">
        <v>45974</v>
      </c>
      <c r="D523" t="inlineStr">
        <is>
          <t>JÄMTLANDS LÄN</t>
        </is>
      </c>
      <c r="E523" t="inlineStr">
        <is>
          <t>ÅRE</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21897-2021</t>
        </is>
      </c>
      <c r="B524" s="1" t="n">
        <v>44322</v>
      </c>
      <c r="C524" s="1" t="n">
        <v>45974</v>
      </c>
      <c r="D524" t="inlineStr">
        <is>
          <t>JÄMTLANDS LÄN</t>
        </is>
      </c>
      <c r="E524" t="inlineStr">
        <is>
          <t>ÅRE</t>
        </is>
      </c>
      <c r="G524" t="n">
        <v>41.4</v>
      </c>
      <c r="H524" t="n">
        <v>0</v>
      </c>
      <c r="I524" t="n">
        <v>0</v>
      </c>
      <c r="J524" t="n">
        <v>0</v>
      </c>
      <c r="K524" t="n">
        <v>0</v>
      </c>
      <c r="L524" t="n">
        <v>0</v>
      </c>
      <c r="M524" t="n">
        <v>0</v>
      </c>
      <c r="N524" t="n">
        <v>0</v>
      </c>
      <c r="O524" t="n">
        <v>0</v>
      </c>
      <c r="P524" t="n">
        <v>0</v>
      </c>
      <c r="Q524" t="n">
        <v>0</v>
      </c>
      <c r="R524" s="2" t="inlineStr"/>
    </row>
    <row r="525" ht="15" customHeight="1">
      <c r="A525" t="inlineStr">
        <is>
          <t>A 49267-2024</t>
        </is>
      </c>
      <c r="B525" s="1" t="n">
        <v>45595</v>
      </c>
      <c r="C525" s="1" t="n">
        <v>45974</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13383-2022</t>
        </is>
      </c>
      <c r="B526" s="1" t="n">
        <v>44637</v>
      </c>
      <c r="C526" s="1" t="n">
        <v>45974</v>
      </c>
      <c r="D526" t="inlineStr">
        <is>
          <t>JÄMTLANDS LÄN</t>
        </is>
      </c>
      <c r="E526" t="inlineStr">
        <is>
          <t>ÅRE</t>
        </is>
      </c>
      <c r="G526" t="n">
        <v>2.2</v>
      </c>
      <c r="H526" t="n">
        <v>0</v>
      </c>
      <c r="I526" t="n">
        <v>0</v>
      </c>
      <c r="J526" t="n">
        <v>0</v>
      </c>
      <c r="K526" t="n">
        <v>0</v>
      </c>
      <c r="L526" t="n">
        <v>0</v>
      </c>
      <c r="M526" t="n">
        <v>0</v>
      </c>
      <c r="N526" t="n">
        <v>0</v>
      </c>
      <c r="O526" t="n">
        <v>0</v>
      </c>
      <c r="P526" t="n">
        <v>0</v>
      </c>
      <c r="Q526" t="n">
        <v>0</v>
      </c>
      <c r="R526" s="2" t="inlineStr"/>
    </row>
    <row r="527" ht="15" customHeight="1">
      <c r="A527" t="inlineStr">
        <is>
          <t>A 23805-2024</t>
        </is>
      </c>
      <c r="B527" s="1" t="n">
        <v>45455.44194444444</v>
      </c>
      <c r="C527" s="1" t="n">
        <v>45974</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71043-2021</t>
        </is>
      </c>
      <c r="B528" s="1" t="n">
        <v>44538</v>
      </c>
      <c r="C528" s="1" t="n">
        <v>45974</v>
      </c>
      <c r="D528" t="inlineStr">
        <is>
          <t>JÄMTLANDS LÄN</t>
        </is>
      </c>
      <c r="E528" t="inlineStr">
        <is>
          <t>ÅRE</t>
        </is>
      </c>
      <c r="G528" t="n">
        <v>0.4</v>
      </c>
      <c r="H528" t="n">
        <v>0</v>
      </c>
      <c r="I528" t="n">
        <v>0</v>
      </c>
      <c r="J528" t="n">
        <v>0</v>
      </c>
      <c r="K528" t="n">
        <v>0</v>
      </c>
      <c r="L528" t="n">
        <v>0</v>
      </c>
      <c r="M528" t="n">
        <v>0</v>
      </c>
      <c r="N528" t="n">
        <v>0</v>
      </c>
      <c r="O528" t="n">
        <v>0</v>
      </c>
      <c r="P528" t="n">
        <v>0</v>
      </c>
      <c r="Q528" t="n">
        <v>0</v>
      </c>
      <c r="R528" s="2" t="inlineStr"/>
    </row>
    <row r="529" ht="15" customHeight="1">
      <c r="A529" t="inlineStr">
        <is>
          <t>A 17566-2023</t>
        </is>
      </c>
      <c r="B529" s="1" t="n">
        <v>45034</v>
      </c>
      <c r="C529" s="1" t="n">
        <v>45974</v>
      </c>
      <c r="D529" t="inlineStr">
        <is>
          <t>JÄMTLANDS LÄN</t>
        </is>
      </c>
      <c r="E529" t="inlineStr">
        <is>
          <t>ÅRE</t>
        </is>
      </c>
      <c r="G529" t="n">
        <v>4.8</v>
      </c>
      <c r="H529" t="n">
        <v>0</v>
      </c>
      <c r="I529" t="n">
        <v>0</v>
      </c>
      <c r="J529" t="n">
        <v>0</v>
      </c>
      <c r="K529" t="n">
        <v>0</v>
      </c>
      <c r="L529" t="n">
        <v>0</v>
      </c>
      <c r="M529" t="n">
        <v>0</v>
      </c>
      <c r="N529" t="n">
        <v>0</v>
      </c>
      <c r="O529" t="n">
        <v>0</v>
      </c>
      <c r="P529" t="n">
        <v>0</v>
      </c>
      <c r="Q529" t="n">
        <v>0</v>
      </c>
      <c r="R529" s="2" t="inlineStr"/>
    </row>
    <row r="530" ht="15" customHeight="1">
      <c r="A530" t="inlineStr">
        <is>
          <t>A 54186-2024</t>
        </is>
      </c>
      <c r="B530" s="1" t="n">
        <v>45616</v>
      </c>
      <c r="C530" s="1" t="n">
        <v>45974</v>
      </c>
      <c r="D530" t="inlineStr">
        <is>
          <t>JÄMTLANDS LÄN</t>
        </is>
      </c>
      <c r="E530" t="inlineStr">
        <is>
          <t>ÅRE</t>
        </is>
      </c>
      <c r="G530" t="n">
        <v>2.9</v>
      </c>
      <c r="H530" t="n">
        <v>0</v>
      </c>
      <c r="I530" t="n">
        <v>0</v>
      </c>
      <c r="J530" t="n">
        <v>0</v>
      </c>
      <c r="K530" t="n">
        <v>0</v>
      </c>
      <c r="L530" t="n">
        <v>0</v>
      </c>
      <c r="M530" t="n">
        <v>0</v>
      </c>
      <c r="N530" t="n">
        <v>0</v>
      </c>
      <c r="O530" t="n">
        <v>0</v>
      </c>
      <c r="P530" t="n">
        <v>0</v>
      </c>
      <c r="Q530" t="n">
        <v>0</v>
      </c>
      <c r="R530" s="2" t="inlineStr"/>
    </row>
    <row r="531" ht="15" customHeight="1">
      <c r="A531" t="inlineStr">
        <is>
          <t>A 8443-2023</t>
        </is>
      </c>
      <c r="B531" s="1" t="n">
        <v>44977</v>
      </c>
      <c r="C531" s="1" t="n">
        <v>45974</v>
      </c>
      <c r="D531" t="inlineStr">
        <is>
          <t>JÄMTLANDS LÄN</t>
        </is>
      </c>
      <c r="E531" t="inlineStr">
        <is>
          <t>ÅRE</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47069-2024</t>
        </is>
      </c>
      <c r="B532" s="1" t="n">
        <v>45586.48003472222</v>
      </c>
      <c r="C532" s="1" t="n">
        <v>45974</v>
      </c>
      <c r="D532" t="inlineStr">
        <is>
          <t>JÄMTLANDS LÄN</t>
        </is>
      </c>
      <c r="E532" t="inlineStr">
        <is>
          <t>ÅRE</t>
        </is>
      </c>
      <c r="G532" t="n">
        <v>7.1</v>
      </c>
      <c r="H532" t="n">
        <v>0</v>
      </c>
      <c r="I532" t="n">
        <v>0</v>
      </c>
      <c r="J532" t="n">
        <v>0</v>
      </c>
      <c r="K532" t="n">
        <v>0</v>
      </c>
      <c r="L532" t="n">
        <v>0</v>
      </c>
      <c r="M532" t="n">
        <v>0</v>
      </c>
      <c r="N532" t="n">
        <v>0</v>
      </c>
      <c r="O532" t="n">
        <v>0</v>
      </c>
      <c r="P532" t="n">
        <v>0</v>
      </c>
      <c r="Q532" t="n">
        <v>0</v>
      </c>
      <c r="R532" s="2" t="inlineStr"/>
    </row>
    <row r="533" ht="15" customHeight="1">
      <c r="A533" t="inlineStr">
        <is>
          <t>A 19275-2021</t>
        </is>
      </c>
      <c r="B533" s="1" t="n">
        <v>44309</v>
      </c>
      <c r="C533" s="1" t="n">
        <v>45974</v>
      </c>
      <c r="D533" t="inlineStr">
        <is>
          <t>JÄMTLANDS LÄN</t>
        </is>
      </c>
      <c r="E533" t="inlineStr">
        <is>
          <t>ÅRE</t>
        </is>
      </c>
      <c r="G533" t="n">
        <v>16.4</v>
      </c>
      <c r="H533" t="n">
        <v>0</v>
      </c>
      <c r="I533" t="n">
        <v>0</v>
      </c>
      <c r="J533" t="n">
        <v>0</v>
      </c>
      <c r="K533" t="n">
        <v>0</v>
      </c>
      <c r="L533" t="n">
        <v>0</v>
      </c>
      <c r="M533" t="n">
        <v>0</v>
      </c>
      <c r="N533" t="n">
        <v>0</v>
      </c>
      <c r="O533" t="n">
        <v>0</v>
      </c>
      <c r="P533" t="n">
        <v>0</v>
      </c>
      <c r="Q533" t="n">
        <v>0</v>
      </c>
      <c r="R533" s="2" t="inlineStr"/>
    </row>
    <row r="534" ht="15" customHeight="1">
      <c r="A534" t="inlineStr">
        <is>
          <t>A 3196-2023</t>
        </is>
      </c>
      <c r="B534" s="1" t="n">
        <v>44946</v>
      </c>
      <c r="C534" s="1" t="n">
        <v>45974</v>
      </c>
      <c r="D534" t="inlineStr">
        <is>
          <t>JÄMTLANDS LÄN</t>
        </is>
      </c>
      <c r="E534" t="inlineStr">
        <is>
          <t>ÅRE</t>
        </is>
      </c>
      <c r="G534" t="n">
        <v>5.1</v>
      </c>
      <c r="H534" t="n">
        <v>0</v>
      </c>
      <c r="I534" t="n">
        <v>0</v>
      </c>
      <c r="J534" t="n">
        <v>0</v>
      </c>
      <c r="K534" t="n">
        <v>0</v>
      </c>
      <c r="L534" t="n">
        <v>0</v>
      </c>
      <c r="M534" t="n">
        <v>0</v>
      </c>
      <c r="N534" t="n">
        <v>0</v>
      </c>
      <c r="O534" t="n">
        <v>0</v>
      </c>
      <c r="P534" t="n">
        <v>0</v>
      </c>
      <c r="Q534" t="n">
        <v>0</v>
      </c>
      <c r="R534" s="2" t="inlineStr"/>
    </row>
    <row r="535" ht="15" customHeight="1">
      <c r="A535" t="inlineStr">
        <is>
          <t>A 56736-2023</t>
        </is>
      </c>
      <c r="B535" s="1" t="n">
        <v>45244</v>
      </c>
      <c r="C535" s="1" t="n">
        <v>45974</v>
      </c>
      <c r="D535" t="inlineStr">
        <is>
          <t>JÄMTLANDS LÄN</t>
        </is>
      </c>
      <c r="E535" t="inlineStr">
        <is>
          <t>ÅRE</t>
        </is>
      </c>
      <c r="F535" t="inlineStr">
        <is>
          <t>Övriga Aktiebolag</t>
        </is>
      </c>
      <c r="G535" t="n">
        <v>10.7</v>
      </c>
      <c r="H535" t="n">
        <v>0</v>
      </c>
      <c r="I535" t="n">
        <v>0</v>
      </c>
      <c r="J535" t="n">
        <v>0</v>
      </c>
      <c r="K535" t="n">
        <v>0</v>
      </c>
      <c r="L535" t="n">
        <v>0</v>
      </c>
      <c r="M535" t="n">
        <v>0</v>
      </c>
      <c r="N535" t="n">
        <v>0</v>
      </c>
      <c r="O535" t="n">
        <v>0</v>
      </c>
      <c r="P535" t="n">
        <v>0</v>
      </c>
      <c r="Q535" t="n">
        <v>0</v>
      </c>
      <c r="R535" s="2" t="inlineStr"/>
    </row>
    <row r="536" ht="15" customHeight="1">
      <c r="A536" t="inlineStr">
        <is>
          <t>A 51876-2025</t>
        </is>
      </c>
      <c r="B536" s="1" t="n">
        <v>45952.39850694445</v>
      </c>
      <c r="C536" s="1" t="n">
        <v>45974</v>
      </c>
      <c r="D536" t="inlineStr">
        <is>
          <t>JÄMTLANDS LÄN</t>
        </is>
      </c>
      <c r="E536" t="inlineStr">
        <is>
          <t>ÅRE</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51317-2023</t>
        </is>
      </c>
      <c r="B537" s="1" t="n">
        <v>45219.57061342592</v>
      </c>
      <c r="C537" s="1" t="n">
        <v>45974</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15482-2024</t>
        </is>
      </c>
      <c r="B538" s="1" t="n">
        <v>45401.49361111111</v>
      </c>
      <c r="C538" s="1" t="n">
        <v>45974</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52607-2025</t>
        </is>
      </c>
      <c r="B539" s="1" t="n">
        <v>45954.66291666667</v>
      </c>
      <c r="C539" s="1" t="n">
        <v>45974</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73800-2021</t>
        </is>
      </c>
      <c r="B540" s="1" t="n">
        <v>44552</v>
      </c>
      <c r="C540" s="1" t="n">
        <v>45974</v>
      </c>
      <c r="D540" t="inlineStr">
        <is>
          <t>JÄMTLANDS LÄN</t>
        </is>
      </c>
      <c r="E540" t="inlineStr">
        <is>
          <t>ÅRE</t>
        </is>
      </c>
      <c r="G540" t="n">
        <v>8.6</v>
      </c>
      <c r="H540" t="n">
        <v>0</v>
      </c>
      <c r="I540" t="n">
        <v>0</v>
      </c>
      <c r="J540" t="n">
        <v>0</v>
      </c>
      <c r="K540" t="n">
        <v>0</v>
      </c>
      <c r="L540" t="n">
        <v>0</v>
      </c>
      <c r="M540" t="n">
        <v>0</v>
      </c>
      <c r="N540" t="n">
        <v>0</v>
      </c>
      <c r="O540" t="n">
        <v>0</v>
      </c>
      <c r="P540" t="n">
        <v>0</v>
      </c>
      <c r="Q540" t="n">
        <v>0</v>
      </c>
      <c r="R540" s="2" t="inlineStr"/>
    </row>
    <row r="541" ht="15" customHeight="1">
      <c r="A541" t="inlineStr">
        <is>
          <t>A 52946-2025</t>
        </is>
      </c>
      <c r="B541" s="1" t="n">
        <v>45957.64819444445</v>
      </c>
      <c r="C541" s="1" t="n">
        <v>45974</v>
      </c>
      <c r="D541" t="inlineStr">
        <is>
          <t>JÄMTLANDS LÄN</t>
        </is>
      </c>
      <c r="E541" t="inlineStr">
        <is>
          <t>ÅRE</t>
        </is>
      </c>
      <c r="G541" t="n">
        <v>2.6</v>
      </c>
      <c r="H541" t="n">
        <v>0</v>
      </c>
      <c r="I541" t="n">
        <v>0</v>
      </c>
      <c r="J541" t="n">
        <v>0</v>
      </c>
      <c r="K541" t="n">
        <v>0</v>
      </c>
      <c r="L541" t="n">
        <v>0</v>
      </c>
      <c r="M541" t="n">
        <v>0</v>
      </c>
      <c r="N541" t="n">
        <v>0</v>
      </c>
      <c r="O541" t="n">
        <v>0</v>
      </c>
      <c r="P541" t="n">
        <v>0</v>
      </c>
      <c r="Q541" t="n">
        <v>0</v>
      </c>
      <c r="R541" s="2" t="inlineStr"/>
    </row>
    <row r="542" ht="15" customHeight="1">
      <c r="A542" t="inlineStr">
        <is>
          <t>A 47963-2025</t>
        </is>
      </c>
      <c r="B542" s="1" t="n">
        <v>45931</v>
      </c>
      <c r="C542" s="1" t="n">
        <v>45974</v>
      </c>
      <c r="D542" t="inlineStr">
        <is>
          <t>JÄMTLANDS LÄN</t>
        </is>
      </c>
      <c r="E542" t="inlineStr">
        <is>
          <t>ÅRE</t>
        </is>
      </c>
      <c r="G542" t="n">
        <v>0.3</v>
      </c>
      <c r="H542" t="n">
        <v>0</v>
      </c>
      <c r="I542" t="n">
        <v>0</v>
      </c>
      <c r="J542" t="n">
        <v>0</v>
      </c>
      <c r="K542" t="n">
        <v>0</v>
      </c>
      <c r="L542" t="n">
        <v>0</v>
      </c>
      <c r="M542" t="n">
        <v>0</v>
      </c>
      <c r="N542" t="n">
        <v>0</v>
      </c>
      <c r="O542" t="n">
        <v>0</v>
      </c>
      <c r="P542" t="n">
        <v>0</v>
      </c>
      <c r="Q542" t="n">
        <v>0</v>
      </c>
      <c r="R542" s="2" t="inlineStr"/>
    </row>
    <row r="543" ht="15" customHeight="1">
      <c r="A543" t="inlineStr">
        <is>
          <t>A 44251-2025</t>
        </is>
      </c>
      <c r="B543" s="1" t="n">
        <v>45915.69837962963</v>
      </c>
      <c r="C543" s="1" t="n">
        <v>45974</v>
      </c>
      <c r="D543" t="inlineStr">
        <is>
          <t>JÄMTLANDS LÄN</t>
        </is>
      </c>
      <c r="E543" t="inlineStr">
        <is>
          <t>ÅRE</t>
        </is>
      </c>
      <c r="G543" t="n">
        <v>0.2</v>
      </c>
      <c r="H543" t="n">
        <v>0</v>
      </c>
      <c r="I543" t="n">
        <v>0</v>
      </c>
      <c r="J543" t="n">
        <v>0</v>
      </c>
      <c r="K543" t="n">
        <v>0</v>
      </c>
      <c r="L543" t="n">
        <v>0</v>
      </c>
      <c r="M543" t="n">
        <v>0</v>
      </c>
      <c r="N543" t="n">
        <v>0</v>
      </c>
      <c r="O543" t="n">
        <v>0</v>
      </c>
      <c r="P543" t="n">
        <v>0</v>
      </c>
      <c r="Q543" t="n">
        <v>0</v>
      </c>
      <c r="R543" s="2" t="inlineStr"/>
    </row>
    <row r="544" ht="15" customHeight="1">
      <c r="A544" t="inlineStr">
        <is>
          <t>A 52597-2025</t>
        </is>
      </c>
      <c r="B544" s="1" t="n">
        <v>45954.65364583334</v>
      </c>
      <c r="C544" s="1" t="n">
        <v>45974</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52604-2025</t>
        </is>
      </c>
      <c r="B545" s="1" t="n">
        <v>45954.65774305556</v>
      </c>
      <c r="C545" s="1" t="n">
        <v>45974</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52606-2025</t>
        </is>
      </c>
      <c r="B546" s="1" t="n">
        <v>45954.66020833333</v>
      </c>
      <c r="C546" s="1" t="n">
        <v>45974</v>
      </c>
      <c r="D546" t="inlineStr">
        <is>
          <t>JÄMTLANDS LÄN</t>
        </is>
      </c>
      <c r="E546" t="inlineStr">
        <is>
          <t>ÅRE</t>
        </is>
      </c>
      <c r="G546" t="n">
        <v>1.3</v>
      </c>
      <c r="H546" t="n">
        <v>0</v>
      </c>
      <c r="I546" t="n">
        <v>0</v>
      </c>
      <c r="J546" t="n">
        <v>0</v>
      </c>
      <c r="K546" t="n">
        <v>0</v>
      </c>
      <c r="L546" t="n">
        <v>0</v>
      </c>
      <c r="M546" t="n">
        <v>0</v>
      </c>
      <c r="N546" t="n">
        <v>0</v>
      </c>
      <c r="O546" t="n">
        <v>0</v>
      </c>
      <c r="P546" t="n">
        <v>0</v>
      </c>
      <c r="Q546" t="n">
        <v>0</v>
      </c>
      <c r="R546" s="2" t="inlineStr"/>
    </row>
    <row r="547" ht="15" customHeight="1">
      <c r="A547" t="inlineStr">
        <is>
          <t>A 33003-2022</t>
        </is>
      </c>
      <c r="B547" s="1" t="n">
        <v>44784</v>
      </c>
      <c r="C547" s="1" t="n">
        <v>45974</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43767-2025</t>
        </is>
      </c>
      <c r="B548" s="1" t="n">
        <v>45912.49256944445</v>
      </c>
      <c r="C548" s="1" t="n">
        <v>45974</v>
      </c>
      <c r="D548" t="inlineStr">
        <is>
          <t>JÄMTLANDS LÄN</t>
        </is>
      </c>
      <c r="E548" t="inlineStr">
        <is>
          <t>ÅRE</t>
        </is>
      </c>
      <c r="G548" t="n">
        <v>7.1</v>
      </c>
      <c r="H548" t="n">
        <v>0</v>
      </c>
      <c r="I548" t="n">
        <v>0</v>
      </c>
      <c r="J548" t="n">
        <v>0</v>
      </c>
      <c r="K548" t="n">
        <v>0</v>
      </c>
      <c r="L548" t="n">
        <v>0</v>
      </c>
      <c r="M548" t="n">
        <v>0</v>
      </c>
      <c r="N548" t="n">
        <v>0</v>
      </c>
      <c r="O548" t="n">
        <v>0</v>
      </c>
      <c r="P548" t="n">
        <v>0</v>
      </c>
      <c r="Q548" t="n">
        <v>0</v>
      </c>
      <c r="R548" s="2" t="inlineStr"/>
    </row>
    <row r="549" ht="15" customHeight="1">
      <c r="A549" t="inlineStr">
        <is>
          <t>A 52944-2025</t>
        </is>
      </c>
      <c r="B549" s="1" t="n">
        <v>45957.6437037037</v>
      </c>
      <c r="C549" s="1" t="n">
        <v>45974</v>
      </c>
      <c r="D549" t="inlineStr">
        <is>
          <t>JÄMTLANDS LÄN</t>
        </is>
      </c>
      <c r="E549" t="inlineStr">
        <is>
          <t>ÅRE</t>
        </is>
      </c>
      <c r="G549" t="n">
        <v>1.5</v>
      </c>
      <c r="H549" t="n">
        <v>0</v>
      </c>
      <c r="I549" t="n">
        <v>0</v>
      </c>
      <c r="J549" t="n">
        <v>0</v>
      </c>
      <c r="K549" t="n">
        <v>0</v>
      </c>
      <c r="L549" t="n">
        <v>0</v>
      </c>
      <c r="M549" t="n">
        <v>0</v>
      </c>
      <c r="N549" t="n">
        <v>0</v>
      </c>
      <c r="O549" t="n">
        <v>0</v>
      </c>
      <c r="P549" t="n">
        <v>0</v>
      </c>
      <c r="Q549" t="n">
        <v>0</v>
      </c>
      <c r="R549" s="2" t="inlineStr"/>
    </row>
    <row r="550" ht="15" customHeight="1">
      <c r="A550" t="inlineStr">
        <is>
          <t>A 43768-2025</t>
        </is>
      </c>
      <c r="B550" s="1" t="n">
        <v>45912.49289351852</v>
      </c>
      <c r="C550" s="1" t="n">
        <v>45974</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43769-2025</t>
        </is>
      </c>
      <c r="B551" s="1" t="n">
        <v>45912.49420138889</v>
      </c>
      <c r="C551" s="1" t="n">
        <v>45974</v>
      </c>
      <c r="D551" t="inlineStr">
        <is>
          <t>JÄMTLANDS LÄN</t>
        </is>
      </c>
      <c r="E551" t="inlineStr">
        <is>
          <t>ÅRE</t>
        </is>
      </c>
      <c r="G551" t="n">
        <v>6.1</v>
      </c>
      <c r="H551" t="n">
        <v>0</v>
      </c>
      <c r="I551" t="n">
        <v>0</v>
      </c>
      <c r="J551" t="n">
        <v>0</v>
      </c>
      <c r="K551" t="n">
        <v>0</v>
      </c>
      <c r="L551" t="n">
        <v>0</v>
      </c>
      <c r="M551" t="n">
        <v>0</v>
      </c>
      <c r="N551" t="n">
        <v>0</v>
      </c>
      <c r="O551" t="n">
        <v>0</v>
      </c>
      <c r="P551" t="n">
        <v>0</v>
      </c>
      <c r="Q551" t="n">
        <v>0</v>
      </c>
      <c r="R551" s="2" t="inlineStr"/>
    </row>
    <row r="552" ht="15" customHeight="1">
      <c r="A552" t="inlineStr">
        <is>
          <t>A 1112-2025</t>
        </is>
      </c>
      <c r="B552" s="1" t="n">
        <v>45666</v>
      </c>
      <c r="C552" s="1" t="n">
        <v>45974</v>
      </c>
      <c r="D552" t="inlineStr">
        <is>
          <t>JÄMTLANDS LÄN</t>
        </is>
      </c>
      <c r="E552" t="inlineStr">
        <is>
          <t>ÅRE</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4777-2025</t>
        </is>
      </c>
      <c r="B553" s="1" t="n">
        <v>45688</v>
      </c>
      <c r="C553" s="1" t="n">
        <v>45974</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53134-2025</t>
        </is>
      </c>
      <c r="B554" s="1" t="n">
        <v>45958.46826388889</v>
      </c>
      <c r="C554" s="1" t="n">
        <v>45974</v>
      </c>
      <c r="D554" t="inlineStr">
        <is>
          <t>JÄMTLANDS LÄN</t>
        </is>
      </c>
      <c r="E554" t="inlineStr">
        <is>
          <t>ÅRE</t>
        </is>
      </c>
      <c r="G554" t="n">
        <v>13.8</v>
      </c>
      <c r="H554" t="n">
        <v>0</v>
      </c>
      <c r="I554" t="n">
        <v>0</v>
      </c>
      <c r="J554" t="n">
        <v>0</v>
      </c>
      <c r="K554" t="n">
        <v>0</v>
      </c>
      <c r="L554" t="n">
        <v>0</v>
      </c>
      <c r="M554" t="n">
        <v>0</v>
      </c>
      <c r="N554" t="n">
        <v>0</v>
      </c>
      <c r="O554" t="n">
        <v>0</v>
      </c>
      <c r="P554" t="n">
        <v>0</v>
      </c>
      <c r="Q554" t="n">
        <v>0</v>
      </c>
      <c r="R554" s="2" t="inlineStr"/>
    </row>
    <row r="555" ht="15" customHeight="1">
      <c r="A555" t="inlineStr">
        <is>
          <t>A 32758-2022</t>
        </is>
      </c>
      <c r="B555" s="1" t="n">
        <v>44783</v>
      </c>
      <c r="C555" s="1" t="n">
        <v>45974</v>
      </c>
      <c r="D555" t="inlineStr">
        <is>
          <t>JÄMTLANDS LÄN</t>
        </is>
      </c>
      <c r="E555" t="inlineStr">
        <is>
          <t>ÅRE</t>
        </is>
      </c>
      <c r="G555" t="n">
        <v>8.4</v>
      </c>
      <c r="H555" t="n">
        <v>0</v>
      </c>
      <c r="I555" t="n">
        <v>0</v>
      </c>
      <c r="J555" t="n">
        <v>0</v>
      </c>
      <c r="K555" t="n">
        <v>0</v>
      </c>
      <c r="L555" t="n">
        <v>0</v>
      </c>
      <c r="M555" t="n">
        <v>0</v>
      </c>
      <c r="N555" t="n">
        <v>0</v>
      </c>
      <c r="O555" t="n">
        <v>0</v>
      </c>
      <c r="P555" t="n">
        <v>0</v>
      </c>
      <c r="Q555" t="n">
        <v>0</v>
      </c>
      <c r="R555" s="2" t="inlineStr"/>
    </row>
    <row r="556" ht="15" customHeight="1">
      <c r="A556" t="inlineStr">
        <is>
          <t>A 44418-2025</t>
        </is>
      </c>
      <c r="B556" s="1" t="n">
        <v>45916.54578703704</v>
      </c>
      <c r="C556" s="1" t="n">
        <v>45974</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44644-2025</t>
        </is>
      </c>
      <c r="B557" s="1" t="n">
        <v>45917.53284722222</v>
      </c>
      <c r="C557" s="1" t="n">
        <v>45974</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33239-2024</t>
        </is>
      </c>
      <c r="B558" s="1" t="n">
        <v>45518.59618055556</v>
      </c>
      <c r="C558" s="1" t="n">
        <v>45974</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39195-2024</t>
        </is>
      </c>
      <c r="B559" s="1" t="n">
        <v>45548.6934837963</v>
      </c>
      <c r="C559" s="1" t="n">
        <v>45974</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44668-2025</t>
        </is>
      </c>
      <c r="B560" s="1" t="n">
        <v>45917.56306712963</v>
      </c>
      <c r="C560" s="1" t="n">
        <v>45974</v>
      </c>
      <c r="D560" t="inlineStr">
        <is>
          <t>JÄMTLANDS LÄN</t>
        </is>
      </c>
      <c r="E560" t="inlineStr">
        <is>
          <t>ÅRE</t>
        </is>
      </c>
      <c r="G560" t="n">
        <v>3.6</v>
      </c>
      <c r="H560" t="n">
        <v>0</v>
      </c>
      <c r="I560" t="n">
        <v>0</v>
      </c>
      <c r="J560" t="n">
        <v>0</v>
      </c>
      <c r="K560" t="n">
        <v>0</v>
      </c>
      <c r="L560" t="n">
        <v>0</v>
      </c>
      <c r="M560" t="n">
        <v>0</v>
      </c>
      <c r="N560" t="n">
        <v>0</v>
      </c>
      <c r="O560" t="n">
        <v>0</v>
      </c>
      <c r="P560" t="n">
        <v>0</v>
      </c>
      <c r="Q560" t="n">
        <v>0</v>
      </c>
      <c r="R560" s="2" t="inlineStr"/>
    </row>
    <row r="561" ht="15" customHeight="1">
      <c r="A561" t="inlineStr">
        <is>
          <t>A 44685-2025</t>
        </is>
      </c>
      <c r="B561" s="1" t="n">
        <v>45917.58569444445</v>
      </c>
      <c r="C561" s="1" t="n">
        <v>45974</v>
      </c>
      <c r="D561" t="inlineStr">
        <is>
          <t>JÄMTLANDS LÄN</t>
        </is>
      </c>
      <c r="E561" t="inlineStr">
        <is>
          <t>ÅRE</t>
        </is>
      </c>
      <c r="G561" t="n">
        <v>2.2</v>
      </c>
      <c r="H561" t="n">
        <v>0</v>
      </c>
      <c r="I561" t="n">
        <v>0</v>
      </c>
      <c r="J561" t="n">
        <v>0</v>
      </c>
      <c r="K561" t="n">
        <v>0</v>
      </c>
      <c r="L561" t="n">
        <v>0</v>
      </c>
      <c r="M561" t="n">
        <v>0</v>
      </c>
      <c r="N561" t="n">
        <v>0</v>
      </c>
      <c r="O561" t="n">
        <v>0</v>
      </c>
      <c r="P561" t="n">
        <v>0</v>
      </c>
      <c r="Q561" t="n">
        <v>0</v>
      </c>
      <c r="R561" s="2" t="inlineStr"/>
    </row>
    <row r="562" ht="15" customHeight="1">
      <c r="A562" t="inlineStr">
        <is>
          <t>A 53133-2025</t>
        </is>
      </c>
      <c r="B562" s="1" t="n">
        <v>45958.46806712963</v>
      </c>
      <c r="C562" s="1" t="n">
        <v>45974</v>
      </c>
      <c r="D562" t="inlineStr">
        <is>
          <t>JÄMTLANDS LÄN</t>
        </is>
      </c>
      <c r="E562" t="inlineStr">
        <is>
          <t>ÅRE</t>
        </is>
      </c>
      <c r="G562" t="n">
        <v>13.8</v>
      </c>
      <c r="H562" t="n">
        <v>0</v>
      </c>
      <c r="I562" t="n">
        <v>0</v>
      </c>
      <c r="J562" t="n">
        <v>0</v>
      </c>
      <c r="K562" t="n">
        <v>0</v>
      </c>
      <c r="L562" t="n">
        <v>0</v>
      </c>
      <c r="M562" t="n">
        <v>0</v>
      </c>
      <c r="N562" t="n">
        <v>0</v>
      </c>
      <c r="O562" t="n">
        <v>0</v>
      </c>
      <c r="P562" t="n">
        <v>0</v>
      </c>
      <c r="Q562" t="n">
        <v>0</v>
      </c>
      <c r="R562" s="2" t="inlineStr"/>
    </row>
    <row r="563" ht="15" customHeight="1">
      <c r="A563" t="inlineStr">
        <is>
          <t>A 53873-2025</t>
        </is>
      </c>
      <c r="B563" s="1" t="n">
        <v>45961.39340277778</v>
      </c>
      <c r="C563" s="1" t="n">
        <v>45974</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53862-2025</t>
        </is>
      </c>
      <c r="B564" s="1" t="n">
        <v>45961.38105324074</v>
      </c>
      <c r="C564" s="1" t="n">
        <v>45974</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45974</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8576-2024</t>
        </is>
      </c>
      <c r="B566" s="1" t="n">
        <v>45355</v>
      </c>
      <c r="C566" s="1" t="n">
        <v>45974</v>
      </c>
      <c r="D566" t="inlineStr">
        <is>
          <t>JÄMTLANDS LÄN</t>
        </is>
      </c>
      <c r="E566" t="inlineStr">
        <is>
          <t>ÅRE</t>
        </is>
      </c>
      <c r="G566" t="n">
        <v>21.7</v>
      </c>
      <c r="H566" t="n">
        <v>0</v>
      </c>
      <c r="I566" t="n">
        <v>0</v>
      </c>
      <c r="J566" t="n">
        <v>0</v>
      </c>
      <c r="K566" t="n">
        <v>0</v>
      </c>
      <c r="L566" t="n">
        <v>0</v>
      </c>
      <c r="M566" t="n">
        <v>0</v>
      </c>
      <c r="N566" t="n">
        <v>0</v>
      </c>
      <c r="O566" t="n">
        <v>0</v>
      </c>
      <c r="P566" t="n">
        <v>0</v>
      </c>
      <c r="Q566" t="n">
        <v>0</v>
      </c>
      <c r="R566" s="2" t="inlineStr"/>
    </row>
    <row r="567" ht="15" customHeight="1">
      <c r="A567" t="inlineStr">
        <is>
          <t>A 8788-2025</t>
        </is>
      </c>
      <c r="B567" s="1" t="n">
        <v>45712</v>
      </c>
      <c r="C567" s="1" t="n">
        <v>45974</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32210-2022</t>
        </is>
      </c>
      <c r="B568" s="1" t="n">
        <v>44781</v>
      </c>
      <c r="C568" s="1" t="n">
        <v>45974</v>
      </c>
      <c r="D568" t="inlineStr">
        <is>
          <t>JÄMTLANDS LÄN</t>
        </is>
      </c>
      <c r="E568" t="inlineStr">
        <is>
          <t>ÅRE</t>
        </is>
      </c>
      <c r="G568" t="n">
        <v>17.3</v>
      </c>
      <c r="H568" t="n">
        <v>0</v>
      </c>
      <c r="I568" t="n">
        <v>0</v>
      </c>
      <c r="J568" t="n">
        <v>0</v>
      </c>
      <c r="K568" t="n">
        <v>0</v>
      </c>
      <c r="L568" t="n">
        <v>0</v>
      </c>
      <c r="M568" t="n">
        <v>0</v>
      </c>
      <c r="N568" t="n">
        <v>0</v>
      </c>
      <c r="O568" t="n">
        <v>0</v>
      </c>
      <c r="P568" t="n">
        <v>0</v>
      </c>
      <c r="Q568" t="n">
        <v>0</v>
      </c>
      <c r="R568" s="2" t="inlineStr"/>
    </row>
    <row r="569" ht="15" customHeight="1">
      <c r="A569" t="inlineStr">
        <is>
          <t>A 23651-2025</t>
        </is>
      </c>
      <c r="B569" s="1" t="n">
        <v>45792</v>
      </c>
      <c r="C569" s="1" t="n">
        <v>45974</v>
      </c>
      <c r="D569" t="inlineStr">
        <is>
          <t>JÄMTLANDS LÄN</t>
        </is>
      </c>
      <c r="E569" t="inlineStr">
        <is>
          <t>ÅRE</t>
        </is>
      </c>
      <c r="G569" t="n">
        <v>2</v>
      </c>
      <c r="H569" t="n">
        <v>0</v>
      </c>
      <c r="I569" t="n">
        <v>0</v>
      </c>
      <c r="J569" t="n">
        <v>0</v>
      </c>
      <c r="K569" t="n">
        <v>0</v>
      </c>
      <c r="L569" t="n">
        <v>0</v>
      </c>
      <c r="M569" t="n">
        <v>0</v>
      </c>
      <c r="N569" t="n">
        <v>0</v>
      </c>
      <c r="O569" t="n">
        <v>0</v>
      </c>
      <c r="P569" t="n">
        <v>0</v>
      </c>
      <c r="Q569" t="n">
        <v>0</v>
      </c>
      <c r="R569" s="2" t="inlineStr"/>
    </row>
    <row r="570" ht="15" customHeight="1">
      <c r="A570" t="inlineStr">
        <is>
          <t>A 45605-2025</t>
        </is>
      </c>
      <c r="B570" s="1" t="n">
        <v>45922.69826388889</v>
      </c>
      <c r="C570" s="1" t="n">
        <v>45974</v>
      </c>
      <c r="D570" t="inlineStr">
        <is>
          <t>JÄMTLANDS LÄN</t>
        </is>
      </c>
      <c r="E570" t="inlineStr">
        <is>
          <t>ÅRE</t>
        </is>
      </c>
      <c r="G570" t="n">
        <v>1.9</v>
      </c>
      <c r="H570" t="n">
        <v>0</v>
      </c>
      <c r="I570" t="n">
        <v>0</v>
      </c>
      <c r="J570" t="n">
        <v>0</v>
      </c>
      <c r="K570" t="n">
        <v>0</v>
      </c>
      <c r="L570" t="n">
        <v>0</v>
      </c>
      <c r="M570" t="n">
        <v>0</v>
      </c>
      <c r="N570" t="n">
        <v>0</v>
      </c>
      <c r="O570" t="n">
        <v>0</v>
      </c>
      <c r="P570" t="n">
        <v>0</v>
      </c>
      <c r="Q570" t="n">
        <v>0</v>
      </c>
      <c r="R570" s="2" t="inlineStr"/>
    </row>
    <row r="571" ht="15" customHeight="1">
      <c r="A571" t="inlineStr">
        <is>
          <t>A 54131-2025</t>
        </is>
      </c>
      <c r="B571" s="1" t="n">
        <v>45964.46167824074</v>
      </c>
      <c r="C571" s="1" t="n">
        <v>45974</v>
      </c>
      <c r="D571" t="inlineStr">
        <is>
          <t>JÄMTLANDS LÄN</t>
        </is>
      </c>
      <c r="E571" t="inlineStr">
        <is>
          <t>ÅRE</t>
        </is>
      </c>
      <c r="G571" t="n">
        <v>1.1</v>
      </c>
      <c r="H571" t="n">
        <v>0</v>
      </c>
      <c r="I571" t="n">
        <v>0</v>
      </c>
      <c r="J571" t="n">
        <v>0</v>
      </c>
      <c r="K571" t="n">
        <v>0</v>
      </c>
      <c r="L571" t="n">
        <v>0</v>
      </c>
      <c r="M571" t="n">
        <v>0</v>
      </c>
      <c r="N571" t="n">
        <v>0</v>
      </c>
      <c r="O571" t="n">
        <v>0</v>
      </c>
      <c r="P571" t="n">
        <v>0</v>
      </c>
      <c r="Q571" t="n">
        <v>0</v>
      </c>
      <c r="R571" s="2" t="inlineStr"/>
    </row>
    <row r="572" ht="15" customHeight="1">
      <c r="A572" t="inlineStr">
        <is>
          <t>A 54225-2025</t>
        </is>
      </c>
      <c r="B572" s="1" t="n">
        <v>45964.60839120371</v>
      </c>
      <c r="C572" s="1" t="n">
        <v>45974</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3147-2023</t>
        </is>
      </c>
      <c r="B573" s="1" t="n">
        <v>44946</v>
      </c>
      <c r="C573" s="1" t="n">
        <v>45974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54213-2025</t>
        </is>
      </c>
      <c r="B574" s="1" t="n">
        <v>45964.59420138889</v>
      </c>
      <c r="C574" s="1" t="n">
        <v>45974</v>
      </c>
      <c r="D574" t="inlineStr">
        <is>
          <t>JÄMTLANDS LÄN</t>
        </is>
      </c>
      <c r="E574" t="inlineStr">
        <is>
          <t>ÅRE</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45796-2025</t>
        </is>
      </c>
      <c r="B575" s="1" t="n">
        <v>45923.57418981481</v>
      </c>
      <c r="C575" s="1" t="n">
        <v>45974</v>
      </c>
      <c r="D575" t="inlineStr">
        <is>
          <t>JÄMTLANDS LÄN</t>
        </is>
      </c>
      <c r="E575" t="inlineStr">
        <is>
          <t>ÅRE</t>
        </is>
      </c>
      <c r="G575" t="n">
        <v>6.2</v>
      </c>
      <c r="H575" t="n">
        <v>0</v>
      </c>
      <c r="I575" t="n">
        <v>0</v>
      </c>
      <c r="J575" t="n">
        <v>0</v>
      </c>
      <c r="K575" t="n">
        <v>0</v>
      </c>
      <c r="L575" t="n">
        <v>0</v>
      </c>
      <c r="M575" t="n">
        <v>0</v>
      </c>
      <c r="N575" t="n">
        <v>0</v>
      </c>
      <c r="O575" t="n">
        <v>0</v>
      </c>
      <c r="P575" t="n">
        <v>0</v>
      </c>
      <c r="Q575" t="n">
        <v>0</v>
      </c>
      <c r="R575" s="2" t="inlineStr"/>
    </row>
    <row r="576" ht="15" customHeight="1">
      <c r="A576" t="inlineStr">
        <is>
          <t>A 9777-2021</t>
        </is>
      </c>
      <c r="B576" s="1" t="n">
        <v>44252</v>
      </c>
      <c r="C576" s="1" t="n">
        <v>45974</v>
      </c>
      <c r="D576" t="inlineStr">
        <is>
          <t>JÄMTLANDS LÄN</t>
        </is>
      </c>
      <c r="E576" t="inlineStr">
        <is>
          <t>ÅRE</t>
        </is>
      </c>
      <c r="G576" t="n">
        <v>4.2</v>
      </c>
      <c r="H576" t="n">
        <v>0</v>
      </c>
      <c r="I576" t="n">
        <v>0</v>
      </c>
      <c r="J576" t="n">
        <v>0</v>
      </c>
      <c r="K576" t="n">
        <v>0</v>
      </c>
      <c r="L576" t="n">
        <v>0</v>
      </c>
      <c r="M576" t="n">
        <v>0</v>
      </c>
      <c r="N576" t="n">
        <v>0</v>
      </c>
      <c r="O576" t="n">
        <v>0</v>
      </c>
      <c r="P576" t="n">
        <v>0</v>
      </c>
      <c r="Q576" t="n">
        <v>0</v>
      </c>
      <c r="R576" s="2" t="inlineStr"/>
    </row>
    <row r="577" ht="15" customHeight="1">
      <c r="A577" t="inlineStr">
        <is>
          <t>A 46444-2024</t>
        </is>
      </c>
      <c r="B577" s="1" t="n">
        <v>45582</v>
      </c>
      <c r="C577" s="1" t="n">
        <v>45974</v>
      </c>
      <c r="D577" t="inlineStr">
        <is>
          <t>JÄMTLANDS LÄN</t>
        </is>
      </c>
      <c r="E577" t="inlineStr">
        <is>
          <t>ÅRE</t>
        </is>
      </c>
      <c r="G577" t="n">
        <v>19.6</v>
      </c>
      <c r="H577" t="n">
        <v>0</v>
      </c>
      <c r="I577" t="n">
        <v>0</v>
      </c>
      <c r="J577" t="n">
        <v>0</v>
      </c>
      <c r="K577" t="n">
        <v>0</v>
      </c>
      <c r="L577" t="n">
        <v>0</v>
      </c>
      <c r="M577" t="n">
        <v>0</v>
      </c>
      <c r="N577" t="n">
        <v>0</v>
      </c>
      <c r="O577" t="n">
        <v>0</v>
      </c>
      <c r="P577" t="n">
        <v>0</v>
      </c>
      <c r="Q577" t="n">
        <v>0</v>
      </c>
      <c r="R577" s="2" t="inlineStr"/>
    </row>
    <row r="578" ht="15" customHeight="1">
      <c r="A578" t="inlineStr">
        <is>
          <t>A 54444-2025</t>
        </is>
      </c>
      <c r="B578" s="1" t="n">
        <v>45965.51078703703</v>
      </c>
      <c r="C578" s="1" t="n">
        <v>45974</v>
      </c>
      <c r="D578" t="inlineStr">
        <is>
          <t>JÄMTLANDS LÄN</t>
        </is>
      </c>
      <c r="E578" t="inlineStr">
        <is>
          <t>ÅRE</t>
        </is>
      </c>
      <c r="G578" t="n">
        <v>5.2</v>
      </c>
      <c r="H578" t="n">
        <v>0</v>
      </c>
      <c r="I578" t="n">
        <v>0</v>
      </c>
      <c r="J578" t="n">
        <v>0</v>
      </c>
      <c r="K578" t="n">
        <v>0</v>
      </c>
      <c r="L578" t="n">
        <v>0</v>
      </c>
      <c r="M578" t="n">
        <v>0</v>
      </c>
      <c r="N578" t="n">
        <v>0</v>
      </c>
      <c r="O578" t="n">
        <v>0</v>
      </c>
      <c r="P578" t="n">
        <v>0</v>
      </c>
      <c r="Q578" t="n">
        <v>0</v>
      </c>
      <c r="R578" s="2" t="inlineStr"/>
    </row>
    <row r="579" ht="15" customHeight="1">
      <c r="A579" t="inlineStr">
        <is>
          <t>A 54580-2025</t>
        </is>
      </c>
      <c r="B579" s="1" t="n">
        <v>45965.70755787037</v>
      </c>
      <c r="C579" s="1" t="n">
        <v>45974</v>
      </c>
      <c r="D579" t="inlineStr">
        <is>
          <t>JÄMTLANDS LÄN</t>
        </is>
      </c>
      <c r="E579" t="inlineStr">
        <is>
          <t>ÅRE</t>
        </is>
      </c>
      <c r="G579" t="n">
        <v>5</v>
      </c>
      <c r="H579" t="n">
        <v>0</v>
      </c>
      <c r="I579" t="n">
        <v>0</v>
      </c>
      <c r="J579" t="n">
        <v>0</v>
      </c>
      <c r="K579" t="n">
        <v>0</v>
      </c>
      <c r="L579" t="n">
        <v>0</v>
      </c>
      <c r="M579" t="n">
        <v>0</v>
      </c>
      <c r="N579" t="n">
        <v>0</v>
      </c>
      <c r="O579" t="n">
        <v>0</v>
      </c>
      <c r="P579" t="n">
        <v>0</v>
      </c>
      <c r="Q579" t="n">
        <v>0</v>
      </c>
      <c r="R579" s="2" t="inlineStr"/>
    </row>
    <row r="580" ht="15" customHeight="1">
      <c r="A580" t="inlineStr">
        <is>
          <t>A 56576-2022</t>
        </is>
      </c>
      <c r="B580" s="1" t="n">
        <v>44893</v>
      </c>
      <c r="C580" s="1" t="n">
        <v>45974</v>
      </c>
      <c r="D580" t="inlineStr">
        <is>
          <t>JÄMTLANDS LÄN</t>
        </is>
      </c>
      <c r="E580" t="inlineStr">
        <is>
          <t>ÅRE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54445-2025</t>
        </is>
      </c>
      <c r="B581" s="1" t="n">
        <v>45965.51081018519</v>
      </c>
      <c r="C581" s="1" t="n">
        <v>45974</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54136-2025</t>
        </is>
      </c>
      <c r="B582" s="1" t="n">
        <v>45964.47177083333</v>
      </c>
      <c r="C582" s="1" t="n">
        <v>45974</v>
      </c>
      <c r="D582" t="inlineStr">
        <is>
          <t>JÄMTLANDS LÄN</t>
        </is>
      </c>
      <c r="E582" t="inlineStr">
        <is>
          <t>ÅRE</t>
        </is>
      </c>
      <c r="G582" t="n">
        <v>7.2</v>
      </c>
      <c r="H582" t="n">
        <v>0</v>
      </c>
      <c r="I582" t="n">
        <v>0</v>
      </c>
      <c r="J582" t="n">
        <v>0</v>
      </c>
      <c r="K582" t="n">
        <v>0</v>
      </c>
      <c r="L582" t="n">
        <v>0</v>
      </c>
      <c r="M582" t="n">
        <v>0</v>
      </c>
      <c r="N582" t="n">
        <v>0</v>
      </c>
      <c r="O582" t="n">
        <v>0</v>
      </c>
      <c r="P582" t="n">
        <v>0</v>
      </c>
      <c r="Q582" t="n">
        <v>0</v>
      </c>
      <c r="R582" s="2" t="inlineStr"/>
    </row>
    <row r="583" ht="15" customHeight="1">
      <c r="A583" t="inlineStr">
        <is>
          <t>A 54139-2025</t>
        </is>
      </c>
      <c r="B583" s="1" t="n">
        <v>45964.47564814815</v>
      </c>
      <c r="C583" s="1" t="n">
        <v>45974</v>
      </c>
      <c r="D583" t="inlineStr">
        <is>
          <t>JÄMTLANDS LÄN</t>
        </is>
      </c>
      <c r="E583" t="inlineStr">
        <is>
          <t>ÅRE</t>
        </is>
      </c>
      <c r="G583" t="n">
        <v>0.5</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45974</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45614-2025</t>
        </is>
      </c>
      <c r="B585" s="1" t="n">
        <v>45922.719375</v>
      </c>
      <c r="C585" s="1" t="n">
        <v>45974</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54137-2025</t>
        </is>
      </c>
      <c r="B586" s="1" t="n">
        <v>45964.47275462963</v>
      </c>
      <c r="C586" s="1" t="n">
        <v>45974</v>
      </c>
      <c r="D586" t="inlineStr">
        <is>
          <t>JÄMTLANDS LÄN</t>
        </is>
      </c>
      <c r="E586" t="inlineStr">
        <is>
          <t>ÅRE</t>
        </is>
      </c>
      <c r="G586" t="n">
        <v>0.7</v>
      </c>
      <c r="H586" t="n">
        <v>0</v>
      </c>
      <c r="I586" t="n">
        <v>0</v>
      </c>
      <c r="J586" t="n">
        <v>0</v>
      </c>
      <c r="K586" t="n">
        <v>0</v>
      </c>
      <c r="L586" t="n">
        <v>0</v>
      </c>
      <c r="M586" t="n">
        <v>0</v>
      </c>
      <c r="N586" t="n">
        <v>0</v>
      </c>
      <c r="O586" t="n">
        <v>0</v>
      </c>
      <c r="P586" t="n">
        <v>0</v>
      </c>
      <c r="Q586" t="n">
        <v>0</v>
      </c>
      <c r="R586" s="2" t="inlineStr"/>
    </row>
    <row r="587" ht="15" customHeight="1">
      <c r="A587" t="inlineStr">
        <is>
          <t>A 13841-2024</t>
        </is>
      </c>
      <c r="B587" s="1" t="n">
        <v>45391</v>
      </c>
      <c r="C587" s="1" t="n">
        <v>45974</v>
      </c>
      <c r="D587" t="inlineStr">
        <is>
          <t>JÄMTLANDS LÄN</t>
        </is>
      </c>
      <c r="E587" t="inlineStr">
        <is>
          <t>ÅRE</t>
        </is>
      </c>
      <c r="G587" t="n">
        <v>6.7</v>
      </c>
      <c r="H587" t="n">
        <v>0</v>
      </c>
      <c r="I587" t="n">
        <v>0</v>
      </c>
      <c r="J587" t="n">
        <v>0</v>
      </c>
      <c r="K587" t="n">
        <v>0</v>
      </c>
      <c r="L587" t="n">
        <v>0</v>
      </c>
      <c r="M587" t="n">
        <v>0</v>
      </c>
      <c r="N587" t="n">
        <v>0</v>
      </c>
      <c r="O587" t="n">
        <v>0</v>
      </c>
      <c r="P587" t="n">
        <v>0</v>
      </c>
      <c r="Q587" t="n">
        <v>0</v>
      </c>
      <c r="R587" s="2" t="inlineStr"/>
    </row>
    <row r="588" ht="15" customHeight="1">
      <c r="A588" t="inlineStr">
        <is>
          <t>A 45242-2023</t>
        </is>
      </c>
      <c r="B588" s="1" t="n">
        <v>45187</v>
      </c>
      <c r="C588" s="1" t="n">
        <v>45974</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54211-2025</t>
        </is>
      </c>
      <c r="B589" s="1" t="n">
        <v>45964.59214120371</v>
      </c>
      <c r="C589" s="1" t="n">
        <v>45974</v>
      </c>
      <c r="D589" t="inlineStr">
        <is>
          <t>JÄMTLANDS LÄN</t>
        </is>
      </c>
      <c r="E589" t="inlineStr">
        <is>
          <t>ÅRE</t>
        </is>
      </c>
      <c r="G589" t="n">
        <v>4.3</v>
      </c>
      <c r="H589" t="n">
        <v>0</v>
      </c>
      <c r="I589" t="n">
        <v>0</v>
      </c>
      <c r="J589" t="n">
        <v>0</v>
      </c>
      <c r="K589" t="n">
        <v>0</v>
      </c>
      <c r="L589" t="n">
        <v>0</v>
      </c>
      <c r="M589" t="n">
        <v>0</v>
      </c>
      <c r="N589" t="n">
        <v>0</v>
      </c>
      <c r="O589" t="n">
        <v>0</v>
      </c>
      <c r="P589" t="n">
        <v>0</v>
      </c>
      <c r="Q589" t="n">
        <v>0</v>
      </c>
      <c r="R589" s="2" t="inlineStr"/>
    </row>
    <row r="590" ht="15" customHeight="1">
      <c r="A590" t="inlineStr">
        <is>
          <t>A 40336-2021</t>
        </is>
      </c>
      <c r="B590" s="1" t="n">
        <v>44419</v>
      </c>
      <c r="C590" s="1" t="n">
        <v>45974</v>
      </c>
      <c r="D590" t="inlineStr">
        <is>
          <t>JÄMTLANDS LÄN</t>
        </is>
      </c>
      <c r="E590" t="inlineStr">
        <is>
          <t>ÅRE</t>
        </is>
      </c>
      <c r="G590" t="n">
        <v>1.1</v>
      </c>
      <c r="H590" t="n">
        <v>0</v>
      </c>
      <c r="I590" t="n">
        <v>0</v>
      </c>
      <c r="J590" t="n">
        <v>0</v>
      </c>
      <c r="K590" t="n">
        <v>0</v>
      </c>
      <c r="L590" t="n">
        <v>0</v>
      </c>
      <c r="M590" t="n">
        <v>0</v>
      </c>
      <c r="N590" t="n">
        <v>0</v>
      </c>
      <c r="O590" t="n">
        <v>0</v>
      </c>
      <c r="P590" t="n">
        <v>0</v>
      </c>
      <c r="Q590" t="n">
        <v>0</v>
      </c>
      <c r="R590" s="2" t="inlineStr"/>
    </row>
    <row r="591" ht="15" customHeight="1">
      <c r="A591" t="inlineStr">
        <is>
          <t>A 54838-2025</t>
        </is>
      </c>
      <c r="B591" s="1" t="n">
        <v>45966.68252314815</v>
      </c>
      <c r="C591" s="1" t="n">
        <v>45974</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54988-2025</t>
        </is>
      </c>
      <c r="B592" s="1" t="n">
        <v>45967.57096064815</v>
      </c>
      <c r="C592" s="1" t="n">
        <v>45974</v>
      </c>
      <c r="D592" t="inlineStr">
        <is>
          <t>JÄMTLANDS LÄN</t>
        </is>
      </c>
      <c r="E592" t="inlineStr">
        <is>
          <t>ÅRE</t>
        </is>
      </c>
      <c r="G592" t="n">
        <v>22.3</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45974</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44609-2024</t>
        </is>
      </c>
      <c r="B594" s="1" t="n">
        <v>45574.51212962963</v>
      </c>
      <c r="C594" s="1" t="n">
        <v>45974</v>
      </c>
      <c r="D594" t="inlineStr">
        <is>
          <t>JÄMTLANDS LÄN</t>
        </is>
      </c>
      <c r="E594" t="inlineStr">
        <is>
          <t>ÅRE</t>
        </is>
      </c>
      <c r="G594" t="n">
        <v>1.9</v>
      </c>
      <c r="H594" t="n">
        <v>0</v>
      </c>
      <c r="I594" t="n">
        <v>0</v>
      </c>
      <c r="J594" t="n">
        <v>0</v>
      </c>
      <c r="K594" t="n">
        <v>0</v>
      </c>
      <c r="L594" t="n">
        <v>0</v>
      </c>
      <c r="M594" t="n">
        <v>0</v>
      </c>
      <c r="N594" t="n">
        <v>0</v>
      </c>
      <c r="O594" t="n">
        <v>0</v>
      </c>
      <c r="P594" t="n">
        <v>0</v>
      </c>
      <c r="Q594" t="n">
        <v>0</v>
      </c>
      <c r="R594" s="2" t="inlineStr"/>
    </row>
    <row r="595" ht="15" customHeight="1">
      <c r="A595" t="inlineStr">
        <is>
          <t>A 46457-2025</t>
        </is>
      </c>
      <c r="B595" s="1" t="n">
        <v>45925.66126157407</v>
      </c>
      <c r="C595" s="1" t="n">
        <v>45974</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46452-2025</t>
        </is>
      </c>
      <c r="B596" s="1" t="n">
        <v>45925.65625</v>
      </c>
      <c r="C596" s="1" t="n">
        <v>45974</v>
      </c>
      <c r="D596" t="inlineStr">
        <is>
          <t>JÄMTLANDS LÄN</t>
        </is>
      </c>
      <c r="E596" t="inlineStr">
        <is>
          <t>ÅRE</t>
        </is>
      </c>
      <c r="G596" t="n">
        <v>7.2</v>
      </c>
      <c r="H596" t="n">
        <v>0</v>
      </c>
      <c r="I596" t="n">
        <v>0</v>
      </c>
      <c r="J596" t="n">
        <v>0</v>
      </c>
      <c r="K596" t="n">
        <v>0</v>
      </c>
      <c r="L596" t="n">
        <v>0</v>
      </c>
      <c r="M596" t="n">
        <v>0</v>
      </c>
      <c r="N596" t="n">
        <v>0</v>
      </c>
      <c r="O596" t="n">
        <v>0</v>
      </c>
      <c r="P596" t="n">
        <v>0</v>
      </c>
      <c r="Q596" t="n">
        <v>0</v>
      </c>
      <c r="R596" s="2" t="inlineStr"/>
    </row>
    <row r="597" ht="15" customHeight="1">
      <c r="A597" t="inlineStr">
        <is>
          <t>A 46041-2025</t>
        </is>
      </c>
      <c r="B597" s="1" t="n">
        <v>45924</v>
      </c>
      <c r="C597" s="1" t="n">
        <v>45974</v>
      </c>
      <c r="D597" t="inlineStr">
        <is>
          <t>JÄMTLANDS LÄN</t>
        </is>
      </c>
      <c r="E597" t="inlineStr">
        <is>
          <t>ÅRE</t>
        </is>
      </c>
      <c r="G597" t="n">
        <v>3.5</v>
      </c>
      <c r="H597" t="n">
        <v>0</v>
      </c>
      <c r="I597" t="n">
        <v>0</v>
      </c>
      <c r="J597" t="n">
        <v>0</v>
      </c>
      <c r="K597" t="n">
        <v>0</v>
      </c>
      <c r="L597" t="n">
        <v>0</v>
      </c>
      <c r="M597" t="n">
        <v>0</v>
      </c>
      <c r="N597" t="n">
        <v>0</v>
      </c>
      <c r="O597" t="n">
        <v>0</v>
      </c>
      <c r="P597" t="n">
        <v>0</v>
      </c>
      <c r="Q597" t="n">
        <v>0</v>
      </c>
      <c r="R597" s="2" t="inlineStr"/>
    </row>
    <row r="598" ht="15" customHeight="1">
      <c r="A598" t="inlineStr">
        <is>
          <t>A 43449-2023</t>
        </is>
      </c>
      <c r="B598" s="1" t="n">
        <v>45184.36697916667</v>
      </c>
      <c r="C598" s="1" t="n">
        <v>45974</v>
      </c>
      <c r="D598" t="inlineStr">
        <is>
          <t>JÄMTLANDS LÄN</t>
        </is>
      </c>
      <c r="E598" t="inlineStr">
        <is>
          <t>ÅRE</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54823-2025</t>
        </is>
      </c>
      <c r="B599" s="1" t="n">
        <v>45966.66451388889</v>
      </c>
      <c r="C599" s="1" t="n">
        <v>45974</v>
      </c>
      <c r="D599" t="inlineStr">
        <is>
          <t>JÄMTLANDS LÄN</t>
        </is>
      </c>
      <c r="E599" t="inlineStr">
        <is>
          <t>ÅRE</t>
        </is>
      </c>
      <c r="G599" t="n">
        <v>5.2</v>
      </c>
      <c r="H599" t="n">
        <v>0</v>
      </c>
      <c r="I599" t="n">
        <v>0</v>
      </c>
      <c r="J599" t="n">
        <v>0</v>
      </c>
      <c r="K599" t="n">
        <v>0</v>
      </c>
      <c r="L599" t="n">
        <v>0</v>
      </c>
      <c r="M599" t="n">
        <v>0</v>
      </c>
      <c r="N599" t="n">
        <v>0</v>
      </c>
      <c r="O599" t="n">
        <v>0</v>
      </c>
      <c r="P599" t="n">
        <v>0</v>
      </c>
      <c r="Q599" t="n">
        <v>0</v>
      </c>
      <c r="R599" s="2" t="inlineStr"/>
    </row>
    <row r="600" ht="15" customHeight="1">
      <c r="A600" t="inlineStr">
        <is>
          <t>A 44512-2023</t>
        </is>
      </c>
      <c r="B600" s="1" t="n">
        <v>45184</v>
      </c>
      <c r="C600" s="1" t="n">
        <v>45974</v>
      </c>
      <c r="D600" t="inlineStr">
        <is>
          <t>JÄMTLANDS LÄN</t>
        </is>
      </c>
      <c r="E600" t="inlineStr">
        <is>
          <t>ÅRE</t>
        </is>
      </c>
      <c r="G600" t="n">
        <v>12.5</v>
      </c>
      <c r="H600" t="n">
        <v>0</v>
      </c>
      <c r="I600" t="n">
        <v>0</v>
      </c>
      <c r="J600" t="n">
        <v>0</v>
      </c>
      <c r="K600" t="n">
        <v>0</v>
      </c>
      <c r="L600" t="n">
        <v>0</v>
      </c>
      <c r="M600" t="n">
        <v>0</v>
      </c>
      <c r="N600" t="n">
        <v>0</v>
      </c>
      <c r="O600" t="n">
        <v>0</v>
      </c>
      <c r="P600" t="n">
        <v>0</v>
      </c>
      <c r="Q600" t="n">
        <v>0</v>
      </c>
      <c r="R600" s="2" t="inlineStr"/>
    </row>
    <row r="601" ht="15" customHeight="1">
      <c r="A601" t="inlineStr">
        <is>
          <t>A 52707-2022</t>
        </is>
      </c>
      <c r="B601" s="1" t="n">
        <v>44874</v>
      </c>
      <c r="C601" s="1" t="n">
        <v>45974</v>
      </c>
      <c r="D601" t="inlineStr">
        <is>
          <t>JÄMTLANDS LÄN</t>
        </is>
      </c>
      <c r="E601" t="inlineStr">
        <is>
          <t>ÅRE</t>
        </is>
      </c>
      <c r="F601" t="inlineStr">
        <is>
          <t>Övriga Aktiebolag</t>
        </is>
      </c>
      <c r="G601" t="n">
        <v>2.3</v>
      </c>
      <c r="H601" t="n">
        <v>0</v>
      </c>
      <c r="I601" t="n">
        <v>0</v>
      </c>
      <c r="J601" t="n">
        <v>0</v>
      </c>
      <c r="K601" t="n">
        <v>0</v>
      </c>
      <c r="L601" t="n">
        <v>0</v>
      </c>
      <c r="M601" t="n">
        <v>0</v>
      </c>
      <c r="N601" t="n">
        <v>0</v>
      </c>
      <c r="O601" t="n">
        <v>0</v>
      </c>
      <c r="P601" t="n">
        <v>0</v>
      </c>
      <c r="Q601" t="n">
        <v>0</v>
      </c>
      <c r="R601" s="2" t="inlineStr"/>
    </row>
    <row r="602" ht="15" customHeight="1">
      <c r="A602" t="inlineStr">
        <is>
          <t>A 39509-2025</t>
        </is>
      </c>
      <c r="B602" s="1" t="n">
        <v>45890.40737268519</v>
      </c>
      <c r="C602" s="1" t="n">
        <v>45974</v>
      </c>
      <c r="D602" t="inlineStr">
        <is>
          <t>JÄMTLANDS LÄN</t>
        </is>
      </c>
      <c r="E602" t="inlineStr">
        <is>
          <t>ÅRE</t>
        </is>
      </c>
      <c r="G602" t="n">
        <v>5.6</v>
      </c>
      <c r="H602" t="n">
        <v>0</v>
      </c>
      <c r="I602" t="n">
        <v>0</v>
      </c>
      <c r="J602" t="n">
        <v>0</v>
      </c>
      <c r="K602" t="n">
        <v>0</v>
      </c>
      <c r="L602" t="n">
        <v>0</v>
      </c>
      <c r="M602" t="n">
        <v>0</v>
      </c>
      <c r="N602" t="n">
        <v>0</v>
      </c>
      <c r="O602" t="n">
        <v>0</v>
      </c>
      <c r="P602" t="n">
        <v>0</v>
      </c>
      <c r="Q602" t="n">
        <v>0</v>
      </c>
      <c r="R602" s="2" t="inlineStr"/>
    </row>
    <row r="603" ht="15" customHeight="1">
      <c r="A603" t="inlineStr">
        <is>
          <t>A 59387-2022</t>
        </is>
      </c>
      <c r="B603" s="1" t="n">
        <v>44905</v>
      </c>
      <c r="C603" s="1" t="n">
        <v>45974</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13370-2024</t>
        </is>
      </c>
      <c r="B604" s="1" t="n">
        <v>45387</v>
      </c>
      <c r="C604" s="1" t="n">
        <v>45974</v>
      </c>
      <c r="D604" t="inlineStr">
        <is>
          <t>JÄMTLANDS LÄN</t>
        </is>
      </c>
      <c r="E604" t="inlineStr">
        <is>
          <t>ÅRE</t>
        </is>
      </c>
      <c r="G604" t="n">
        <v>8.5</v>
      </c>
      <c r="H604" t="n">
        <v>0</v>
      </c>
      <c r="I604" t="n">
        <v>0</v>
      </c>
      <c r="J604" t="n">
        <v>0</v>
      </c>
      <c r="K604" t="n">
        <v>0</v>
      </c>
      <c r="L604" t="n">
        <v>0</v>
      </c>
      <c r="M604" t="n">
        <v>0</v>
      </c>
      <c r="N604" t="n">
        <v>0</v>
      </c>
      <c r="O604" t="n">
        <v>0</v>
      </c>
      <c r="P604" t="n">
        <v>0</v>
      </c>
      <c r="Q604" t="n">
        <v>0</v>
      </c>
      <c r="R604" s="2" t="inlineStr"/>
    </row>
    <row r="605" ht="15" customHeight="1">
      <c r="A605" t="inlineStr">
        <is>
          <t>A 17751-2025</t>
        </is>
      </c>
      <c r="B605" s="1" t="n">
        <v>45758</v>
      </c>
      <c r="C605" s="1" t="n">
        <v>45974</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42136-2022</t>
        </is>
      </c>
      <c r="B606" s="1" t="n">
        <v>44830</v>
      </c>
      <c r="C606" s="1" t="n">
        <v>45974</v>
      </c>
      <c r="D606" t="inlineStr">
        <is>
          <t>JÄMTLANDS LÄN</t>
        </is>
      </c>
      <c r="E606" t="inlineStr">
        <is>
          <t>ÅRE</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52470-2022</t>
        </is>
      </c>
      <c r="B607" s="1" t="n">
        <v>44874.48167824074</v>
      </c>
      <c r="C607" s="1" t="n">
        <v>45974</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60016-2020</t>
        </is>
      </c>
      <c r="B608" s="1" t="n">
        <v>44151</v>
      </c>
      <c r="C608" s="1" t="n">
        <v>45974</v>
      </c>
      <c r="D608" t="inlineStr">
        <is>
          <t>JÄMTLANDS LÄN</t>
        </is>
      </c>
      <c r="E608" t="inlineStr">
        <is>
          <t>ÅRE</t>
        </is>
      </c>
      <c r="G608" t="n">
        <v>14.7</v>
      </c>
      <c r="H608" t="n">
        <v>0</v>
      </c>
      <c r="I608" t="n">
        <v>0</v>
      </c>
      <c r="J608" t="n">
        <v>0</v>
      </c>
      <c r="K608" t="n">
        <v>0</v>
      </c>
      <c r="L608" t="n">
        <v>0</v>
      </c>
      <c r="M608" t="n">
        <v>0</v>
      </c>
      <c r="N608" t="n">
        <v>0</v>
      </c>
      <c r="O608" t="n">
        <v>0</v>
      </c>
      <c r="P608" t="n">
        <v>0</v>
      </c>
      <c r="Q608" t="n">
        <v>0</v>
      </c>
      <c r="R608" s="2" t="inlineStr"/>
    </row>
    <row r="609" ht="15" customHeight="1">
      <c r="A609" t="inlineStr">
        <is>
          <t>A 55379-2025</t>
        </is>
      </c>
      <c r="B609" s="1" t="n">
        <v>45971.42776620371</v>
      </c>
      <c r="C609" s="1" t="n">
        <v>45974</v>
      </c>
      <c r="D609" t="inlineStr">
        <is>
          <t>JÄMTLANDS LÄN</t>
        </is>
      </c>
      <c r="E609" t="inlineStr">
        <is>
          <t>ÅRE</t>
        </is>
      </c>
      <c r="G609" t="n">
        <v>4.6</v>
      </c>
      <c r="H609" t="n">
        <v>0</v>
      </c>
      <c r="I609" t="n">
        <v>0</v>
      </c>
      <c r="J609" t="n">
        <v>0</v>
      </c>
      <c r="K609" t="n">
        <v>0</v>
      </c>
      <c r="L609" t="n">
        <v>0</v>
      </c>
      <c r="M609" t="n">
        <v>0</v>
      </c>
      <c r="N609" t="n">
        <v>0</v>
      </c>
      <c r="O609" t="n">
        <v>0</v>
      </c>
      <c r="P609" t="n">
        <v>0</v>
      </c>
      <c r="Q609" t="n">
        <v>0</v>
      </c>
      <c r="R609" s="2" t="inlineStr"/>
    </row>
    <row r="610" ht="15" customHeight="1">
      <c r="A610" t="inlineStr">
        <is>
          <t>A 55411-2025</t>
        </is>
      </c>
      <c r="B610" s="1" t="n">
        <v>45971.46741898148</v>
      </c>
      <c r="C610" s="1" t="n">
        <v>45974</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55413-2025</t>
        </is>
      </c>
      <c r="B611" s="1" t="n">
        <v>45971.46915509259</v>
      </c>
      <c r="C611" s="1" t="n">
        <v>45974</v>
      </c>
      <c r="D611" t="inlineStr">
        <is>
          <t>JÄMTLANDS LÄN</t>
        </is>
      </c>
      <c r="E611" t="inlineStr">
        <is>
          <t>ÅRE</t>
        </is>
      </c>
      <c r="G611" t="n">
        <v>7.2</v>
      </c>
      <c r="H611" t="n">
        <v>0</v>
      </c>
      <c r="I611" t="n">
        <v>0</v>
      </c>
      <c r="J611" t="n">
        <v>0</v>
      </c>
      <c r="K611" t="n">
        <v>0</v>
      </c>
      <c r="L611" t="n">
        <v>0</v>
      </c>
      <c r="M611" t="n">
        <v>0</v>
      </c>
      <c r="N611" t="n">
        <v>0</v>
      </c>
      <c r="O611" t="n">
        <v>0</v>
      </c>
      <c r="P611" t="n">
        <v>0</v>
      </c>
      <c r="Q611" t="n">
        <v>0</v>
      </c>
      <c r="R611" s="2" t="inlineStr"/>
    </row>
    <row r="612" ht="15" customHeight="1">
      <c r="A612" t="inlineStr">
        <is>
          <t>A 54615-2022</t>
        </is>
      </c>
      <c r="B612" s="1" t="n">
        <v>44883.36125</v>
      </c>
      <c r="C612" s="1" t="n">
        <v>45974</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13301-2024</t>
        </is>
      </c>
      <c r="B613" s="1" t="n">
        <v>45386</v>
      </c>
      <c r="C613" s="1" t="n">
        <v>45974</v>
      </c>
      <c r="D613" t="inlineStr">
        <is>
          <t>JÄMTLANDS LÄN</t>
        </is>
      </c>
      <c r="E613" t="inlineStr">
        <is>
          <t>ÅRE</t>
        </is>
      </c>
      <c r="G613" t="n">
        <v>9</v>
      </c>
      <c r="H613" t="n">
        <v>0</v>
      </c>
      <c r="I613" t="n">
        <v>0</v>
      </c>
      <c r="J613" t="n">
        <v>0</v>
      </c>
      <c r="K613" t="n">
        <v>0</v>
      </c>
      <c r="L613" t="n">
        <v>0</v>
      </c>
      <c r="M613" t="n">
        <v>0</v>
      </c>
      <c r="N613" t="n">
        <v>0</v>
      </c>
      <c r="O613" t="n">
        <v>0</v>
      </c>
      <c r="P613" t="n">
        <v>0</v>
      </c>
      <c r="Q613" t="n">
        <v>0</v>
      </c>
      <c r="R613" s="2" t="inlineStr"/>
    </row>
    <row r="614" ht="15" customHeight="1">
      <c r="A614" t="inlineStr">
        <is>
          <t>A 23561-2021</t>
        </is>
      </c>
      <c r="B614" s="1" t="n">
        <v>44334</v>
      </c>
      <c r="C614" s="1" t="n">
        <v>45974</v>
      </c>
      <c r="D614" t="inlineStr">
        <is>
          <t>JÄMTLANDS LÄN</t>
        </is>
      </c>
      <c r="E614" t="inlineStr">
        <is>
          <t>ÅRE</t>
        </is>
      </c>
      <c r="G614" t="n">
        <v>8.5</v>
      </c>
      <c r="H614" t="n">
        <v>0</v>
      </c>
      <c r="I614" t="n">
        <v>0</v>
      </c>
      <c r="J614" t="n">
        <v>0</v>
      </c>
      <c r="K614" t="n">
        <v>0</v>
      </c>
      <c r="L614" t="n">
        <v>0</v>
      </c>
      <c r="M614" t="n">
        <v>0</v>
      </c>
      <c r="N614" t="n">
        <v>0</v>
      </c>
      <c r="O614" t="n">
        <v>0</v>
      </c>
      <c r="P614" t="n">
        <v>0</v>
      </c>
      <c r="Q614" t="n">
        <v>0</v>
      </c>
      <c r="R614" s="2" t="inlineStr"/>
    </row>
    <row r="615" ht="15" customHeight="1">
      <c r="A615" t="inlineStr">
        <is>
          <t>A 33117-2023</t>
        </is>
      </c>
      <c r="B615" s="1" t="n">
        <v>45126</v>
      </c>
      <c r="C615" s="1" t="n">
        <v>45974</v>
      </c>
      <c r="D615" t="inlineStr">
        <is>
          <t>JÄMTLANDS LÄN</t>
        </is>
      </c>
      <c r="E615" t="inlineStr">
        <is>
          <t>ÅRE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55389-2025</t>
        </is>
      </c>
      <c r="B616" s="1" t="n">
        <v>45971.4482175926</v>
      </c>
      <c r="C616" s="1" t="n">
        <v>45974</v>
      </c>
      <c r="D616" t="inlineStr">
        <is>
          <t>JÄMTLANDS LÄN</t>
        </is>
      </c>
      <c r="E616" t="inlineStr">
        <is>
          <t>ÅRE</t>
        </is>
      </c>
      <c r="G616" t="n">
        <v>2</v>
      </c>
      <c r="H616" t="n">
        <v>0</v>
      </c>
      <c r="I616" t="n">
        <v>0</v>
      </c>
      <c r="J616" t="n">
        <v>0</v>
      </c>
      <c r="K616" t="n">
        <v>0</v>
      </c>
      <c r="L616" t="n">
        <v>0</v>
      </c>
      <c r="M616" t="n">
        <v>0</v>
      </c>
      <c r="N616" t="n">
        <v>0</v>
      </c>
      <c r="O616" t="n">
        <v>0</v>
      </c>
      <c r="P616" t="n">
        <v>0</v>
      </c>
      <c r="Q616" t="n">
        <v>0</v>
      </c>
      <c r="R616" s="2" t="inlineStr"/>
    </row>
    <row r="617" ht="15" customHeight="1">
      <c r="A617" t="inlineStr">
        <is>
          <t>A 55129-2025</t>
        </is>
      </c>
      <c r="B617" s="1" t="n">
        <v>45968.41502314815</v>
      </c>
      <c r="C617" s="1" t="n">
        <v>45974</v>
      </c>
      <c r="D617" t="inlineStr">
        <is>
          <t>JÄMTLANDS LÄN</t>
        </is>
      </c>
      <c r="E617" t="inlineStr">
        <is>
          <t>ÅRE</t>
        </is>
      </c>
      <c r="F617" t="inlineStr">
        <is>
          <t>Övriga Aktiebolag</t>
        </is>
      </c>
      <c r="G617" t="n">
        <v>103.3</v>
      </c>
      <c r="H617" t="n">
        <v>0</v>
      </c>
      <c r="I617" t="n">
        <v>0</v>
      </c>
      <c r="J617" t="n">
        <v>0</v>
      </c>
      <c r="K617" t="n">
        <v>0</v>
      </c>
      <c r="L617" t="n">
        <v>0</v>
      </c>
      <c r="M617" t="n">
        <v>0</v>
      </c>
      <c r="N617" t="n">
        <v>0</v>
      </c>
      <c r="O617" t="n">
        <v>0</v>
      </c>
      <c r="P617" t="n">
        <v>0</v>
      </c>
      <c r="Q617" t="n">
        <v>0</v>
      </c>
      <c r="R617" s="2" t="inlineStr"/>
    </row>
    <row r="618" ht="15" customHeight="1">
      <c r="A618" t="inlineStr">
        <is>
          <t>A 54937-2025</t>
        </is>
      </c>
      <c r="B618" s="1" t="n">
        <v>45967.43244212963</v>
      </c>
      <c r="C618" s="1" t="n">
        <v>45974</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55416-2025</t>
        </is>
      </c>
      <c r="B619" s="1" t="n">
        <v>45971.46951388889</v>
      </c>
      <c r="C619" s="1" t="n">
        <v>45974</v>
      </c>
      <c r="D619" t="inlineStr">
        <is>
          <t>JÄMTLANDS LÄN</t>
        </is>
      </c>
      <c r="E619" t="inlineStr">
        <is>
          <t>ÅRE</t>
        </is>
      </c>
      <c r="G619" t="n">
        <v>6.3</v>
      </c>
      <c r="H619" t="n">
        <v>0</v>
      </c>
      <c r="I619" t="n">
        <v>0</v>
      </c>
      <c r="J619" t="n">
        <v>0</v>
      </c>
      <c r="K619" t="n">
        <v>0</v>
      </c>
      <c r="L619" t="n">
        <v>0</v>
      </c>
      <c r="M619" t="n">
        <v>0</v>
      </c>
      <c r="N619" t="n">
        <v>0</v>
      </c>
      <c r="O619" t="n">
        <v>0</v>
      </c>
      <c r="P619" t="n">
        <v>0</v>
      </c>
      <c r="Q619" t="n">
        <v>0</v>
      </c>
      <c r="R619" s="2" t="inlineStr"/>
    </row>
    <row r="620" ht="15" customHeight="1">
      <c r="A620" t="inlineStr">
        <is>
          <t>A 61566-2021</t>
        </is>
      </c>
      <c r="B620" s="1" t="n">
        <v>44496</v>
      </c>
      <c r="C620" s="1" t="n">
        <v>45974</v>
      </c>
      <c r="D620" t="inlineStr">
        <is>
          <t>JÄMTLANDS LÄN</t>
        </is>
      </c>
      <c r="E620" t="inlineStr">
        <is>
          <t>ÅRE</t>
        </is>
      </c>
      <c r="F620" t="inlineStr">
        <is>
          <t>Övriga statliga verk och myndigheter</t>
        </is>
      </c>
      <c r="G620" t="n">
        <v>10.9</v>
      </c>
      <c r="H620" t="n">
        <v>0</v>
      </c>
      <c r="I620" t="n">
        <v>0</v>
      </c>
      <c r="J620" t="n">
        <v>0</v>
      </c>
      <c r="K620" t="n">
        <v>0</v>
      </c>
      <c r="L620" t="n">
        <v>0</v>
      </c>
      <c r="M620" t="n">
        <v>0</v>
      </c>
      <c r="N620" t="n">
        <v>0</v>
      </c>
      <c r="O620" t="n">
        <v>0</v>
      </c>
      <c r="P620" t="n">
        <v>0</v>
      </c>
      <c r="Q620" t="n">
        <v>0</v>
      </c>
      <c r="R620" s="2" t="inlineStr"/>
    </row>
    <row r="621" ht="15" customHeight="1">
      <c r="A621" t="inlineStr">
        <is>
          <t>A 29177-2024</t>
        </is>
      </c>
      <c r="B621" s="1" t="n">
        <v>45482.53859953704</v>
      </c>
      <c r="C621" s="1" t="n">
        <v>45974</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4272-2025</t>
        </is>
      </c>
      <c r="B622" s="1" t="n">
        <v>45685</v>
      </c>
      <c r="C622" s="1" t="n">
        <v>45974</v>
      </c>
      <c r="D622" t="inlineStr">
        <is>
          <t>JÄMTLANDS LÄN</t>
        </is>
      </c>
      <c r="E622" t="inlineStr">
        <is>
          <t>ÅRE</t>
        </is>
      </c>
      <c r="F622" t="inlineStr">
        <is>
          <t>Övriga Aktiebolag</t>
        </is>
      </c>
      <c r="G622" t="n">
        <v>16.6</v>
      </c>
      <c r="H622" t="n">
        <v>0</v>
      </c>
      <c r="I622" t="n">
        <v>0</v>
      </c>
      <c r="J622" t="n">
        <v>0</v>
      </c>
      <c r="K622" t="n">
        <v>0</v>
      </c>
      <c r="L622" t="n">
        <v>0</v>
      </c>
      <c r="M622" t="n">
        <v>0</v>
      </c>
      <c r="N622" t="n">
        <v>0</v>
      </c>
      <c r="O622" t="n">
        <v>0</v>
      </c>
      <c r="P622" t="n">
        <v>0</v>
      </c>
      <c r="Q622" t="n">
        <v>0</v>
      </c>
      <c r="R622" s="2" t="inlineStr"/>
    </row>
    <row r="623" ht="15" customHeight="1">
      <c r="A623" t="inlineStr">
        <is>
          <t>A 53156-2025</t>
        </is>
      </c>
      <c r="B623" s="1" t="n">
        <v>45958.49030092593</v>
      </c>
      <c r="C623" s="1" t="n">
        <v>45974</v>
      </c>
      <c r="D623" t="inlineStr">
        <is>
          <t>JÄMTLANDS LÄN</t>
        </is>
      </c>
      <c r="E623" t="inlineStr">
        <is>
          <t>ÅRE</t>
        </is>
      </c>
      <c r="G623" t="n">
        <v>1.6</v>
      </c>
      <c r="H623" t="n">
        <v>0</v>
      </c>
      <c r="I623" t="n">
        <v>0</v>
      </c>
      <c r="J623" t="n">
        <v>0</v>
      </c>
      <c r="K623" t="n">
        <v>0</v>
      </c>
      <c r="L623" t="n">
        <v>0</v>
      </c>
      <c r="M623" t="n">
        <v>0</v>
      </c>
      <c r="N623" t="n">
        <v>0</v>
      </c>
      <c r="O623" t="n">
        <v>0</v>
      </c>
      <c r="P623" t="n">
        <v>0</v>
      </c>
      <c r="Q623" t="n">
        <v>0</v>
      </c>
      <c r="R623" s="2" t="inlineStr"/>
    </row>
    <row r="624" ht="15" customHeight="1">
      <c r="A624" t="inlineStr">
        <is>
          <t>A 6049-2025</t>
        </is>
      </c>
      <c r="B624" s="1" t="n">
        <v>45695</v>
      </c>
      <c r="C624" s="1" t="n">
        <v>45974</v>
      </c>
      <c r="D624" t="inlineStr">
        <is>
          <t>JÄMTLANDS LÄN</t>
        </is>
      </c>
      <c r="E624" t="inlineStr">
        <is>
          <t>ÅRE</t>
        </is>
      </c>
      <c r="G624" t="n">
        <v>58.3</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45974</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48211-2025</t>
        </is>
      </c>
      <c r="B626" s="1" t="n">
        <v>45931</v>
      </c>
      <c r="C626" s="1" t="n">
        <v>45974</v>
      </c>
      <c r="D626" t="inlineStr">
        <is>
          <t>JÄMTLANDS LÄN</t>
        </is>
      </c>
      <c r="E626" t="inlineStr">
        <is>
          <t>ÅRE</t>
        </is>
      </c>
      <c r="G626" t="n">
        <v>6.6</v>
      </c>
      <c r="H626" t="n">
        <v>0</v>
      </c>
      <c r="I626" t="n">
        <v>0</v>
      </c>
      <c r="J626" t="n">
        <v>0</v>
      </c>
      <c r="K626" t="n">
        <v>0</v>
      </c>
      <c r="L626" t="n">
        <v>0</v>
      </c>
      <c r="M626" t="n">
        <v>0</v>
      </c>
      <c r="N626" t="n">
        <v>0</v>
      </c>
      <c r="O626" t="n">
        <v>0</v>
      </c>
      <c r="P626" t="n">
        <v>0</v>
      </c>
      <c r="Q626" t="n">
        <v>0</v>
      </c>
      <c r="R626" s="2" t="inlineStr"/>
    </row>
    <row r="627">
      <c r="A627" t="inlineStr">
        <is>
          <t>A 56091-2025</t>
        </is>
      </c>
      <c r="B627" s="1" t="n">
        <v>45973.67434027778</v>
      </c>
      <c r="C627" s="1" t="n">
        <v>45974</v>
      </c>
      <c r="D627" t="inlineStr">
        <is>
          <t>JÄMTLANDS LÄN</t>
        </is>
      </c>
      <c r="E627" t="inlineStr">
        <is>
          <t>ÅRE</t>
        </is>
      </c>
      <c r="G627" t="n">
        <v>8</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2025-11-13T10:14:23Z</dcterms:created>
  <dcterms:modified xmlns:dcterms="http://purl.org/dc/terms/" xmlns:xsi="http://www.w3.org/2001/XMLSchema-instance" xsi:type="dcterms:W3CDTF">2025-11-13T10:14:24Z</dcterms:modified>
</cp:coreProperties>
</file>