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45670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45670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45670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45670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45670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45670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45670</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45670</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45670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45670</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45670</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45670</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45670</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45670</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45670</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45670</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45670</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45670</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45670</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45670</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45670</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45670</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45670</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45670</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45670</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45670</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45670</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45670</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45670</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45670</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45670</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45670</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45670</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45670</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45670</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45670</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45670</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45670</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45670</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45670</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45670</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45670</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45670</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45670</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45670</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45670</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45670</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45670</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45670</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45670</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45670</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45670</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45670</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45670</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45670</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45670</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45670</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45670</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45670</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45670</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45670</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45670</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45670</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45670</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45670</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45670</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45670</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45670</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45670</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45670</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45670</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45670</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45670</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45670</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45670</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45670</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45670</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45670</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45670</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45670</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45670</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45670</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45670</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45670</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45670</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45670</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45670</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45670</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45670</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45670</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45670</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45670</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45670</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45670</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45670</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45670</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45670</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45670</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45670</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45670</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45670</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45670</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45670</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45670</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45670</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45670</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45670</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45670</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45670</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45670</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45670</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45670</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45670</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45670</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45670</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45670</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45670</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45670</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45670</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45670</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45670</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45670</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45670</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45670</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45670</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45670</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45670</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45670</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45670</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45670</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45670</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52588-2024</t>
        </is>
      </c>
      <c r="B133" s="1" t="n">
        <v>45609</v>
      </c>
      <c r="C133" s="1" t="n">
        <v>45670</v>
      </c>
      <c r="D133" t="inlineStr">
        <is>
          <t>JÄMTLANDS LÄN</t>
        </is>
      </c>
      <c r="E133" t="inlineStr">
        <is>
          <t>ÅRE</t>
        </is>
      </c>
      <c r="G133" t="n">
        <v>6.5</v>
      </c>
      <c r="H133" t="n">
        <v>0</v>
      </c>
      <c r="I133" t="n">
        <v>1</v>
      </c>
      <c r="J133" t="n">
        <v>2</v>
      </c>
      <c r="K133" t="n">
        <v>0</v>
      </c>
      <c r="L133" t="n">
        <v>0</v>
      </c>
      <c r="M133" t="n">
        <v>0</v>
      </c>
      <c r="N133" t="n">
        <v>0</v>
      </c>
      <c r="O133" t="n">
        <v>2</v>
      </c>
      <c r="P133" t="n">
        <v>0</v>
      </c>
      <c r="Q133" t="n">
        <v>3</v>
      </c>
      <c r="R133" s="2" t="inlineStr">
        <is>
          <t>Garnlav
Liten svartspik
Vedticka</t>
        </is>
      </c>
      <c r="S133">
        <f>HYPERLINK("https://klasma.github.io/Logging_2321/artfynd/A 52588-2024 artfynd.xlsx", "A 52588-2024")</f>
        <v/>
      </c>
      <c r="T133">
        <f>HYPERLINK("https://klasma.github.io/Logging_2321/kartor/A 52588-2024 karta.png", "A 52588-2024")</f>
        <v/>
      </c>
      <c r="V133">
        <f>HYPERLINK("https://klasma.github.io/Logging_2321/klagomål/A 52588-2024 FSC-klagomål.docx", "A 52588-2024")</f>
        <v/>
      </c>
      <c r="W133">
        <f>HYPERLINK("https://klasma.github.io/Logging_2321/klagomålsmail/A 52588-2024 FSC-klagomål mail.docx", "A 52588-2024")</f>
        <v/>
      </c>
      <c r="X133">
        <f>HYPERLINK("https://klasma.github.io/Logging_2321/tillsyn/A 52588-2024 tillsynsbegäran.docx", "A 52588-2024")</f>
        <v/>
      </c>
      <c r="Y133">
        <f>HYPERLINK("https://klasma.github.io/Logging_2321/tillsynsmail/A 52588-2024 tillsynsbegäran mail.docx", "A 52588-2024")</f>
        <v/>
      </c>
    </row>
    <row r="134" ht="15" customHeight="1">
      <c r="A134" t="inlineStr">
        <is>
          <t>A 57888-2024</t>
        </is>
      </c>
      <c r="B134" s="1" t="n">
        <v>45631</v>
      </c>
      <c r="C134" s="1" t="n">
        <v>45670</v>
      </c>
      <c r="D134" t="inlineStr">
        <is>
          <t>JÄMTLANDS LÄN</t>
        </is>
      </c>
      <c r="E134" t="inlineStr">
        <is>
          <t>ÅRE</t>
        </is>
      </c>
      <c r="F134" t="inlineStr">
        <is>
          <t>Övriga Aktiebolag</t>
        </is>
      </c>
      <c r="G134" t="n">
        <v>23.9</v>
      </c>
      <c r="H134" t="n">
        <v>0</v>
      </c>
      <c r="I134" t="n">
        <v>0</v>
      </c>
      <c r="J134" t="n">
        <v>3</v>
      </c>
      <c r="K134" t="n">
        <v>0</v>
      </c>
      <c r="L134" t="n">
        <v>0</v>
      </c>
      <c r="M134" t="n">
        <v>0</v>
      </c>
      <c r="N134" t="n">
        <v>0</v>
      </c>
      <c r="O134" t="n">
        <v>3</v>
      </c>
      <c r="P134" t="n">
        <v>0</v>
      </c>
      <c r="Q134" t="n">
        <v>3</v>
      </c>
      <c r="R134" s="2" t="inlineStr">
        <is>
          <t>Brunpudrad nållav
Skrovellav
Vitgrynig nållav</t>
        </is>
      </c>
      <c r="S134">
        <f>HYPERLINK("https://klasma.github.io/Logging_2321/artfynd/A 57888-2024 artfynd.xlsx", "A 57888-2024")</f>
        <v/>
      </c>
      <c r="T134">
        <f>HYPERLINK("https://klasma.github.io/Logging_2321/kartor/A 57888-2024 karta.png", "A 57888-2024")</f>
        <v/>
      </c>
      <c r="V134">
        <f>HYPERLINK("https://klasma.github.io/Logging_2321/klagomål/A 57888-2024 FSC-klagomål.docx", "A 57888-2024")</f>
        <v/>
      </c>
      <c r="W134">
        <f>HYPERLINK("https://klasma.github.io/Logging_2321/klagomålsmail/A 57888-2024 FSC-klagomål mail.docx", "A 57888-2024")</f>
        <v/>
      </c>
      <c r="X134">
        <f>HYPERLINK("https://klasma.github.io/Logging_2321/tillsyn/A 57888-2024 tillsynsbegäran.docx", "A 57888-2024")</f>
        <v/>
      </c>
      <c r="Y134">
        <f>HYPERLINK("https://klasma.github.io/Logging_2321/tillsynsmail/A 57888-2024 tillsynsbegäran mail.docx", "A 57888-2024")</f>
        <v/>
      </c>
    </row>
    <row r="135" ht="15" customHeight="1">
      <c r="A135" t="inlineStr">
        <is>
          <t>A 57918-2024</t>
        </is>
      </c>
      <c r="B135" s="1" t="n">
        <v>45631</v>
      </c>
      <c r="C135" s="1" t="n">
        <v>45670</v>
      </c>
      <c r="D135" t="inlineStr">
        <is>
          <t>JÄMTLANDS LÄN</t>
        </is>
      </c>
      <c r="E135" t="inlineStr">
        <is>
          <t>ÅRE</t>
        </is>
      </c>
      <c r="F135" t="inlineStr">
        <is>
          <t>Övriga Aktiebolag</t>
        </is>
      </c>
      <c r="G135" t="n">
        <v>18.8</v>
      </c>
      <c r="H135" t="n">
        <v>1</v>
      </c>
      <c r="I135" t="n">
        <v>0</v>
      </c>
      <c r="J135" t="n">
        <v>3</v>
      </c>
      <c r="K135" t="n">
        <v>0</v>
      </c>
      <c r="L135" t="n">
        <v>0</v>
      </c>
      <c r="M135" t="n">
        <v>0</v>
      </c>
      <c r="N135" t="n">
        <v>0</v>
      </c>
      <c r="O135" t="n">
        <v>3</v>
      </c>
      <c r="P135" t="n">
        <v>0</v>
      </c>
      <c r="Q135" t="n">
        <v>3</v>
      </c>
      <c r="R135" s="2" t="inlineStr">
        <is>
          <t>Gammelgransskål
Garnlav
Tretåig hackspett</t>
        </is>
      </c>
      <c r="S135">
        <f>HYPERLINK("https://klasma.github.io/Logging_2321/artfynd/A 57918-2024 artfynd.xlsx", "A 57918-2024")</f>
        <v/>
      </c>
      <c r="T135">
        <f>HYPERLINK("https://klasma.github.io/Logging_2321/kartor/A 57918-2024 karta.png", "A 57918-2024")</f>
        <v/>
      </c>
      <c r="V135">
        <f>HYPERLINK("https://klasma.github.io/Logging_2321/klagomål/A 57918-2024 FSC-klagomål.docx", "A 57918-2024")</f>
        <v/>
      </c>
      <c r="W135">
        <f>HYPERLINK("https://klasma.github.io/Logging_2321/klagomålsmail/A 57918-2024 FSC-klagomål mail.docx", "A 57918-2024")</f>
        <v/>
      </c>
      <c r="X135">
        <f>HYPERLINK("https://klasma.github.io/Logging_2321/tillsyn/A 57918-2024 tillsynsbegäran.docx", "A 57918-2024")</f>
        <v/>
      </c>
      <c r="Y135">
        <f>HYPERLINK("https://klasma.github.io/Logging_2321/tillsynsmail/A 57918-2024 tillsynsbegäran mail.docx", "A 57918-2024")</f>
        <v/>
      </c>
      <c r="Z135">
        <f>HYPERLINK("https://klasma.github.io/Logging_2321/fåglar/A 57918-2024 prioriterade fågelarter.docx", "A 57918-2024")</f>
        <v/>
      </c>
    </row>
    <row r="136" ht="15" customHeight="1">
      <c r="A136" t="inlineStr">
        <is>
          <t>A 35409-2019</t>
        </is>
      </c>
      <c r="B136" s="1" t="n">
        <v>43661</v>
      </c>
      <c r="C136" s="1" t="n">
        <v>45670</v>
      </c>
      <c r="D136" t="inlineStr">
        <is>
          <t>JÄMTLANDS LÄN</t>
        </is>
      </c>
      <c r="E136" t="inlineStr">
        <is>
          <t>ÅRE</t>
        </is>
      </c>
      <c r="G136" t="n">
        <v>2.5</v>
      </c>
      <c r="H136" t="n">
        <v>0</v>
      </c>
      <c r="I136" t="n">
        <v>1</v>
      </c>
      <c r="J136" t="n">
        <v>1</v>
      </c>
      <c r="K136" t="n">
        <v>0</v>
      </c>
      <c r="L136" t="n">
        <v>0</v>
      </c>
      <c r="M136" t="n">
        <v>0</v>
      </c>
      <c r="N136" t="n">
        <v>0</v>
      </c>
      <c r="O136" t="n">
        <v>1</v>
      </c>
      <c r="P136" t="n">
        <v>0</v>
      </c>
      <c r="Q136" t="n">
        <v>2</v>
      </c>
      <c r="R136" s="2" t="inlineStr">
        <is>
          <t>Garnlav
Trådticka</t>
        </is>
      </c>
      <c r="S136">
        <f>HYPERLINK("https://klasma.github.io/Logging_2321/artfynd/A 35409-2019 artfynd.xlsx", "A 35409-2019")</f>
        <v/>
      </c>
      <c r="T136">
        <f>HYPERLINK("https://klasma.github.io/Logging_2321/kartor/A 35409-2019 karta.png", "A 35409-2019")</f>
        <v/>
      </c>
      <c r="V136">
        <f>HYPERLINK("https://klasma.github.io/Logging_2321/klagomål/A 35409-2019 FSC-klagomål.docx", "A 35409-2019")</f>
        <v/>
      </c>
      <c r="W136">
        <f>HYPERLINK("https://klasma.github.io/Logging_2321/klagomålsmail/A 35409-2019 FSC-klagomål mail.docx", "A 35409-2019")</f>
        <v/>
      </c>
      <c r="X136">
        <f>HYPERLINK("https://klasma.github.io/Logging_2321/tillsyn/A 35409-2019 tillsynsbegäran.docx", "A 35409-2019")</f>
        <v/>
      </c>
      <c r="Y136">
        <f>HYPERLINK("https://klasma.github.io/Logging_2321/tillsynsmail/A 35409-2019 tillsynsbegäran mail.docx", "A 35409-2019")</f>
        <v/>
      </c>
    </row>
    <row r="137" ht="15" customHeight="1">
      <c r="A137" t="inlineStr">
        <is>
          <t>A 46012-2019</t>
        </is>
      </c>
      <c r="B137" s="1" t="n">
        <v>43718</v>
      </c>
      <c r="C137" s="1" t="n">
        <v>45670</v>
      </c>
      <c r="D137" t="inlineStr">
        <is>
          <t>JÄMTLANDS LÄN</t>
        </is>
      </c>
      <c r="E137" t="inlineStr">
        <is>
          <t>ÅRE</t>
        </is>
      </c>
      <c r="F137" t="inlineStr">
        <is>
          <t>Kommuner</t>
        </is>
      </c>
      <c r="G137" t="n">
        <v>13.4</v>
      </c>
      <c r="H137" t="n">
        <v>1</v>
      </c>
      <c r="I137" t="n">
        <v>0</v>
      </c>
      <c r="J137" t="n">
        <v>1</v>
      </c>
      <c r="K137" t="n">
        <v>1</v>
      </c>
      <c r="L137" t="n">
        <v>0</v>
      </c>
      <c r="M137" t="n">
        <v>0</v>
      </c>
      <c r="N137" t="n">
        <v>0</v>
      </c>
      <c r="O137" t="n">
        <v>2</v>
      </c>
      <c r="P137" t="n">
        <v>1</v>
      </c>
      <c r="Q137" t="n">
        <v>2</v>
      </c>
      <c r="R137" s="2" t="inlineStr">
        <is>
          <t>Knärot
Ullticka</t>
        </is>
      </c>
      <c r="S137">
        <f>HYPERLINK("https://klasma.github.io/Logging_2321/artfynd/A 46012-2019 artfynd.xlsx", "A 46012-2019")</f>
        <v/>
      </c>
      <c r="T137">
        <f>HYPERLINK("https://klasma.github.io/Logging_2321/kartor/A 46012-2019 karta.png", "A 46012-2019")</f>
        <v/>
      </c>
      <c r="U137">
        <f>HYPERLINK("https://klasma.github.io/Logging_2321/knärot/A 46012-2019 karta knärot.png", "A 46012-2019")</f>
        <v/>
      </c>
      <c r="V137">
        <f>HYPERLINK("https://klasma.github.io/Logging_2321/klagomål/A 46012-2019 FSC-klagomål.docx", "A 46012-2019")</f>
        <v/>
      </c>
      <c r="W137">
        <f>HYPERLINK("https://klasma.github.io/Logging_2321/klagomålsmail/A 46012-2019 FSC-klagomål mail.docx", "A 46012-2019")</f>
        <v/>
      </c>
      <c r="X137">
        <f>HYPERLINK("https://klasma.github.io/Logging_2321/tillsyn/A 46012-2019 tillsynsbegäran.docx", "A 46012-2019")</f>
        <v/>
      </c>
      <c r="Y137">
        <f>HYPERLINK("https://klasma.github.io/Logging_2321/tillsynsmail/A 46012-2019 tillsynsbegäran mail.docx", "A 46012-2019")</f>
        <v/>
      </c>
    </row>
    <row r="138" ht="15" customHeight="1">
      <c r="A138" t="inlineStr">
        <is>
          <t>A 32661-2020</t>
        </is>
      </c>
      <c r="B138" s="1" t="n">
        <v>44018</v>
      </c>
      <c r="C138" s="1" t="n">
        <v>45670</v>
      </c>
      <c r="D138" t="inlineStr">
        <is>
          <t>JÄMTLANDS LÄN</t>
        </is>
      </c>
      <c r="E138" t="inlineStr">
        <is>
          <t>ÅRE</t>
        </is>
      </c>
      <c r="G138" t="n">
        <v>1.8</v>
      </c>
      <c r="H138" t="n">
        <v>0</v>
      </c>
      <c r="I138" t="n">
        <v>1</v>
      </c>
      <c r="J138" t="n">
        <v>1</v>
      </c>
      <c r="K138" t="n">
        <v>0</v>
      </c>
      <c r="L138" t="n">
        <v>0</v>
      </c>
      <c r="M138" t="n">
        <v>0</v>
      </c>
      <c r="N138" t="n">
        <v>0</v>
      </c>
      <c r="O138" t="n">
        <v>1</v>
      </c>
      <c r="P138" t="n">
        <v>0</v>
      </c>
      <c r="Q138" t="n">
        <v>2</v>
      </c>
      <c r="R138" s="2" t="inlineStr">
        <is>
          <t>Garnlav
Luddlav</t>
        </is>
      </c>
      <c r="S138">
        <f>HYPERLINK("https://klasma.github.io/Logging_2321/artfynd/A 32661-2020 artfynd.xlsx", "A 32661-2020")</f>
        <v/>
      </c>
      <c r="T138">
        <f>HYPERLINK("https://klasma.github.io/Logging_2321/kartor/A 32661-2020 karta.png", "A 32661-2020")</f>
        <v/>
      </c>
      <c r="V138">
        <f>HYPERLINK("https://klasma.github.io/Logging_2321/klagomål/A 32661-2020 FSC-klagomål.docx", "A 32661-2020")</f>
        <v/>
      </c>
      <c r="W138">
        <f>HYPERLINK("https://klasma.github.io/Logging_2321/klagomålsmail/A 32661-2020 FSC-klagomål mail.docx", "A 32661-2020")</f>
        <v/>
      </c>
      <c r="X138">
        <f>HYPERLINK("https://klasma.github.io/Logging_2321/tillsyn/A 32661-2020 tillsynsbegäran.docx", "A 32661-2020")</f>
        <v/>
      </c>
      <c r="Y138">
        <f>HYPERLINK("https://klasma.github.io/Logging_2321/tillsynsmail/A 32661-2020 tillsynsbegäran mail.docx", "A 32661-2020")</f>
        <v/>
      </c>
    </row>
    <row r="139" ht="15" customHeight="1">
      <c r="A139" t="inlineStr">
        <is>
          <t>A 35623-2020</t>
        </is>
      </c>
      <c r="B139" s="1" t="n">
        <v>44046</v>
      </c>
      <c r="C139" s="1" t="n">
        <v>45670</v>
      </c>
      <c r="D139" t="inlineStr">
        <is>
          <t>JÄMTLANDS LÄN</t>
        </is>
      </c>
      <c r="E139" t="inlineStr">
        <is>
          <t>ÅRE</t>
        </is>
      </c>
      <c r="G139" t="n">
        <v>15.8</v>
      </c>
      <c r="H139" t="n">
        <v>0</v>
      </c>
      <c r="I139" t="n">
        <v>0</v>
      </c>
      <c r="J139" t="n">
        <v>1</v>
      </c>
      <c r="K139" t="n">
        <v>1</v>
      </c>
      <c r="L139" t="n">
        <v>0</v>
      </c>
      <c r="M139" t="n">
        <v>0</v>
      </c>
      <c r="N139" t="n">
        <v>0</v>
      </c>
      <c r="O139" t="n">
        <v>2</v>
      </c>
      <c r="P139" t="n">
        <v>1</v>
      </c>
      <c r="Q139" t="n">
        <v>2</v>
      </c>
      <c r="R139" s="2" t="inlineStr">
        <is>
          <t>Norsk näverlav
Gammelgransskål</t>
        </is>
      </c>
      <c r="S139">
        <f>HYPERLINK("https://klasma.github.io/Logging_2321/artfynd/A 35623-2020 artfynd.xlsx", "A 35623-2020")</f>
        <v/>
      </c>
      <c r="T139">
        <f>HYPERLINK("https://klasma.github.io/Logging_2321/kartor/A 35623-2020 karta.png", "A 35623-2020")</f>
        <v/>
      </c>
      <c r="V139">
        <f>HYPERLINK("https://klasma.github.io/Logging_2321/klagomål/A 35623-2020 FSC-klagomål.docx", "A 35623-2020")</f>
        <v/>
      </c>
      <c r="W139">
        <f>HYPERLINK("https://klasma.github.io/Logging_2321/klagomålsmail/A 35623-2020 FSC-klagomål mail.docx", "A 35623-2020")</f>
        <v/>
      </c>
      <c r="X139">
        <f>HYPERLINK("https://klasma.github.io/Logging_2321/tillsyn/A 35623-2020 tillsynsbegäran.docx", "A 35623-2020")</f>
        <v/>
      </c>
      <c r="Y139">
        <f>HYPERLINK("https://klasma.github.io/Logging_2321/tillsynsmail/A 35623-2020 tillsynsbegäran mail.docx", "A 35623-2020")</f>
        <v/>
      </c>
    </row>
    <row r="140" ht="15" customHeight="1">
      <c r="A140" t="inlineStr">
        <is>
          <t>A 52778-2020</t>
        </is>
      </c>
      <c r="B140" s="1" t="n">
        <v>44119</v>
      </c>
      <c r="C140" s="1" t="n">
        <v>45670</v>
      </c>
      <c r="D140" t="inlineStr">
        <is>
          <t>JÄMTLANDS LÄN</t>
        </is>
      </c>
      <c r="E140" t="inlineStr">
        <is>
          <t>ÅRE</t>
        </is>
      </c>
      <c r="G140" t="n">
        <v>16.5</v>
      </c>
      <c r="H140" t="n">
        <v>0</v>
      </c>
      <c r="I140" t="n">
        <v>0</v>
      </c>
      <c r="J140" t="n">
        <v>2</v>
      </c>
      <c r="K140" t="n">
        <v>0</v>
      </c>
      <c r="L140" t="n">
        <v>0</v>
      </c>
      <c r="M140" t="n">
        <v>0</v>
      </c>
      <c r="N140" t="n">
        <v>0</v>
      </c>
      <c r="O140" t="n">
        <v>2</v>
      </c>
      <c r="P140" t="n">
        <v>0</v>
      </c>
      <c r="Q140" t="n">
        <v>2</v>
      </c>
      <c r="R140" s="2" t="inlineStr">
        <is>
          <t>Garnlav
Granticka</t>
        </is>
      </c>
      <c r="S140">
        <f>HYPERLINK("https://klasma.github.io/Logging_2321/artfynd/A 52778-2020 artfynd.xlsx", "A 52778-2020")</f>
        <v/>
      </c>
      <c r="T140">
        <f>HYPERLINK("https://klasma.github.io/Logging_2321/kartor/A 52778-2020 karta.png", "A 52778-2020")</f>
        <v/>
      </c>
      <c r="V140">
        <f>HYPERLINK("https://klasma.github.io/Logging_2321/klagomål/A 52778-2020 FSC-klagomål.docx", "A 52778-2020")</f>
        <v/>
      </c>
      <c r="W140">
        <f>HYPERLINK("https://klasma.github.io/Logging_2321/klagomålsmail/A 52778-2020 FSC-klagomål mail.docx", "A 52778-2020")</f>
        <v/>
      </c>
      <c r="X140">
        <f>HYPERLINK("https://klasma.github.io/Logging_2321/tillsyn/A 52778-2020 tillsynsbegäran.docx", "A 52778-2020")</f>
        <v/>
      </c>
      <c r="Y140">
        <f>HYPERLINK("https://klasma.github.io/Logging_2321/tillsynsmail/A 52778-2020 tillsynsbegäran mail.docx", "A 52778-2020")</f>
        <v/>
      </c>
    </row>
    <row r="141" ht="15" customHeight="1">
      <c r="A141" t="inlineStr">
        <is>
          <t>A 5388-2021</t>
        </is>
      </c>
      <c r="B141" s="1" t="n">
        <v>44229</v>
      </c>
      <c r="C141" s="1" t="n">
        <v>45670</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18792-2021</t>
        </is>
      </c>
      <c r="B142" s="1" t="n">
        <v>44307</v>
      </c>
      <c r="C142" s="1" t="n">
        <v>45670</v>
      </c>
      <c r="D142" t="inlineStr">
        <is>
          <t>JÄMTLANDS LÄN</t>
        </is>
      </c>
      <c r="E142" t="inlineStr">
        <is>
          <t>ÅRE</t>
        </is>
      </c>
      <c r="G142" t="n">
        <v>16.6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18792-2021 artfynd.xlsx", "A 18792-2021")</f>
        <v/>
      </c>
      <c r="T142">
        <f>HYPERLINK("https://klasma.github.io/Logging_2321/kartor/A 18792-2021 karta.png", "A 18792-2021")</f>
        <v/>
      </c>
      <c r="V142">
        <f>HYPERLINK("https://klasma.github.io/Logging_2321/klagomål/A 18792-2021 FSC-klagomål.docx", "A 18792-2021")</f>
        <v/>
      </c>
      <c r="W142">
        <f>HYPERLINK("https://klasma.github.io/Logging_2321/klagomålsmail/A 18792-2021 FSC-klagomål mail.docx", "A 18792-2021")</f>
        <v/>
      </c>
      <c r="X142">
        <f>HYPERLINK("https://klasma.github.io/Logging_2321/tillsyn/A 18792-2021 tillsynsbegäran.docx", "A 18792-2021")</f>
        <v/>
      </c>
      <c r="Y142">
        <f>HYPERLINK("https://klasma.github.io/Logging_2321/tillsynsmail/A 18792-2021 tillsynsbegäran mail.docx", "A 18792-2021")</f>
        <v/>
      </c>
      <c r="Z142">
        <f>HYPERLINK("https://klasma.github.io/Logging_2321/fåglar/A 18792-2021 prioriterade fågelarter.docx", "A 18792-2021")</f>
        <v/>
      </c>
    </row>
    <row r="143" ht="15" customHeight="1">
      <c r="A143" t="inlineStr">
        <is>
          <t>A 23566-2021</t>
        </is>
      </c>
      <c r="B143" s="1" t="n">
        <v>44334</v>
      </c>
      <c r="C143" s="1" t="n">
        <v>45670</v>
      </c>
      <c r="D143" t="inlineStr">
        <is>
          <t>JÄMTLANDS LÄN</t>
        </is>
      </c>
      <c r="E143" t="inlineStr">
        <is>
          <t>ÅRE</t>
        </is>
      </c>
      <c r="G143" t="n">
        <v>20</v>
      </c>
      <c r="H143" t="n">
        <v>1</v>
      </c>
      <c r="I143" t="n">
        <v>1</v>
      </c>
      <c r="J143" t="n">
        <v>1</v>
      </c>
      <c r="K143" t="n">
        <v>0</v>
      </c>
      <c r="L143" t="n">
        <v>0</v>
      </c>
      <c r="M143" t="n">
        <v>0</v>
      </c>
      <c r="N143" t="n">
        <v>0</v>
      </c>
      <c r="O143" t="n">
        <v>1</v>
      </c>
      <c r="P143" t="n">
        <v>0</v>
      </c>
      <c r="Q143" t="n">
        <v>2</v>
      </c>
      <c r="R143" s="2" t="inlineStr">
        <is>
          <t>Skrovellav
Spindelblomster</t>
        </is>
      </c>
      <c r="S143">
        <f>HYPERLINK("https://klasma.github.io/Logging_2321/artfynd/A 23566-2021 artfynd.xlsx", "A 23566-2021")</f>
        <v/>
      </c>
      <c r="T143">
        <f>HYPERLINK("https://klasma.github.io/Logging_2321/kartor/A 23566-2021 karta.png", "A 23566-2021")</f>
        <v/>
      </c>
      <c r="V143">
        <f>HYPERLINK("https://klasma.github.io/Logging_2321/klagomål/A 23566-2021 FSC-klagomål.docx", "A 23566-2021")</f>
        <v/>
      </c>
      <c r="W143">
        <f>HYPERLINK("https://klasma.github.io/Logging_2321/klagomålsmail/A 23566-2021 FSC-klagomål mail.docx", "A 23566-2021")</f>
        <v/>
      </c>
      <c r="X143">
        <f>HYPERLINK("https://klasma.github.io/Logging_2321/tillsyn/A 23566-2021 tillsynsbegäran.docx", "A 23566-2021")</f>
        <v/>
      </c>
      <c r="Y143">
        <f>HYPERLINK("https://klasma.github.io/Logging_2321/tillsynsmail/A 23566-2021 tillsynsbegäran mail.docx", "A 23566-2021")</f>
        <v/>
      </c>
    </row>
    <row r="144" ht="15" customHeight="1">
      <c r="A144" t="inlineStr">
        <is>
          <t>A 46984-2021</t>
        </is>
      </c>
      <c r="B144" s="1" t="n">
        <v>44446</v>
      </c>
      <c r="C144" s="1" t="n">
        <v>45670</v>
      </c>
      <c r="D144" t="inlineStr">
        <is>
          <t>JÄMTLANDS LÄN</t>
        </is>
      </c>
      <c r="E144" t="inlineStr">
        <is>
          <t>ÅRE</t>
        </is>
      </c>
      <c r="G144" t="n">
        <v>0.2</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46984-2021 artfynd.xlsx", "A 46984-2021")</f>
        <v/>
      </c>
      <c r="T144">
        <f>HYPERLINK("https://klasma.github.io/Logging_2321/kartor/A 46984-2021 karta.png", "A 46984-2021")</f>
        <v/>
      </c>
      <c r="V144">
        <f>HYPERLINK("https://klasma.github.io/Logging_2321/klagomål/A 46984-2021 FSC-klagomål.docx", "A 46984-2021")</f>
        <v/>
      </c>
      <c r="W144">
        <f>HYPERLINK("https://klasma.github.io/Logging_2321/klagomålsmail/A 46984-2021 FSC-klagomål mail.docx", "A 46984-2021")</f>
        <v/>
      </c>
      <c r="X144">
        <f>HYPERLINK("https://klasma.github.io/Logging_2321/tillsyn/A 46984-2021 tillsynsbegäran.docx", "A 46984-2021")</f>
        <v/>
      </c>
      <c r="Y144">
        <f>HYPERLINK("https://klasma.github.io/Logging_2321/tillsynsmail/A 46984-2021 tillsynsbegäran mail.docx", "A 46984-2021")</f>
        <v/>
      </c>
      <c r="Z144">
        <f>HYPERLINK("https://klasma.github.io/Logging_2321/fåglar/A 46984-2021 prioriterade fågelarter.docx", "A 46984-2021")</f>
        <v/>
      </c>
    </row>
    <row r="145" ht="15" customHeight="1">
      <c r="A145" t="inlineStr">
        <is>
          <t>A 64663-2021</t>
        </is>
      </c>
      <c r="B145" s="1" t="n">
        <v>44512</v>
      </c>
      <c r="C145" s="1" t="n">
        <v>45670</v>
      </c>
      <c r="D145" t="inlineStr">
        <is>
          <t>JÄMTLANDS LÄN</t>
        </is>
      </c>
      <c r="E145" t="inlineStr">
        <is>
          <t>ÅRE</t>
        </is>
      </c>
      <c r="G145" t="n">
        <v>14.5</v>
      </c>
      <c r="H145" t="n">
        <v>0</v>
      </c>
      <c r="I145" t="n">
        <v>0</v>
      </c>
      <c r="J145" t="n">
        <v>1</v>
      </c>
      <c r="K145" t="n">
        <v>1</v>
      </c>
      <c r="L145" t="n">
        <v>0</v>
      </c>
      <c r="M145" t="n">
        <v>0</v>
      </c>
      <c r="N145" t="n">
        <v>0</v>
      </c>
      <c r="O145" t="n">
        <v>2</v>
      </c>
      <c r="P145" t="n">
        <v>1</v>
      </c>
      <c r="Q145" t="n">
        <v>2</v>
      </c>
      <c r="R145" s="2" t="inlineStr">
        <is>
          <t>Sotbandad spindling
Vitterspindling</t>
        </is>
      </c>
      <c r="S145">
        <f>HYPERLINK("https://klasma.github.io/Logging_2321/artfynd/A 64663-2021 artfynd.xlsx", "A 64663-2021")</f>
        <v/>
      </c>
      <c r="T145">
        <f>HYPERLINK("https://klasma.github.io/Logging_2321/kartor/A 64663-2021 karta.png", "A 64663-2021")</f>
        <v/>
      </c>
      <c r="V145">
        <f>HYPERLINK("https://klasma.github.io/Logging_2321/klagomål/A 64663-2021 FSC-klagomål.docx", "A 64663-2021")</f>
        <v/>
      </c>
      <c r="W145">
        <f>HYPERLINK("https://klasma.github.io/Logging_2321/klagomålsmail/A 64663-2021 FSC-klagomål mail.docx", "A 64663-2021")</f>
        <v/>
      </c>
      <c r="X145">
        <f>HYPERLINK("https://klasma.github.io/Logging_2321/tillsyn/A 64663-2021 tillsynsbegäran.docx", "A 64663-2021")</f>
        <v/>
      </c>
      <c r="Y145">
        <f>HYPERLINK("https://klasma.github.io/Logging_2321/tillsynsmail/A 64663-2021 tillsynsbegäran mail.docx", "A 64663-2021")</f>
        <v/>
      </c>
    </row>
    <row r="146" ht="15" customHeight="1">
      <c r="A146" t="inlineStr">
        <is>
          <t>A 64668-2021</t>
        </is>
      </c>
      <c r="B146" s="1" t="n">
        <v>44512</v>
      </c>
      <c r="C146" s="1" t="n">
        <v>45670</v>
      </c>
      <c r="D146" t="inlineStr">
        <is>
          <t>JÄMTLANDS LÄN</t>
        </is>
      </c>
      <c r="E146" t="inlineStr">
        <is>
          <t>ÅRE</t>
        </is>
      </c>
      <c r="G146" t="n">
        <v>1.9</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64668-2021 artfynd.xlsx", "A 64668-2021")</f>
        <v/>
      </c>
      <c r="T146">
        <f>HYPERLINK("https://klasma.github.io/Logging_2321/kartor/A 64668-2021 karta.png", "A 64668-2021")</f>
        <v/>
      </c>
      <c r="V146">
        <f>HYPERLINK("https://klasma.github.io/Logging_2321/klagomål/A 64668-2021 FSC-klagomål.docx", "A 64668-2021")</f>
        <v/>
      </c>
      <c r="W146">
        <f>HYPERLINK("https://klasma.github.io/Logging_2321/klagomålsmail/A 64668-2021 FSC-klagomål mail.docx", "A 64668-2021")</f>
        <v/>
      </c>
      <c r="X146">
        <f>HYPERLINK("https://klasma.github.io/Logging_2321/tillsyn/A 64668-2021 tillsynsbegäran.docx", "A 64668-2021")</f>
        <v/>
      </c>
      <c r="Y146">
        <f>HYPERLINK("https://klasma.github.io/Logging_2321/tillsynsmail/A 64668-2021 tillsynsbegäran mail.docx", "A 64668-2021")</f>
        <v/>
      </c>
      <c r="Z146">
        <f>HYPERLINK("https://klasma.github.io/Logging_2321/fåglar/A 64668-2021 prioriterade fågelarter.docx", "A 64668-2021")</f>
        <v/>
      </c>
    </row>
    <row r="147" ht="15" customHeight="1">
      <c r="A147" t="inlineStr">
        <is>
          <t>A 5160-2022</t>
        </is>
      </c>
      <c r="B147" s="1" t="n">
        <v>44593</v>
      </c>
      <c r="C147" s="1" t="n">
        <v>45670</v>
      </c>
      <c r="D147" t="inlineStr">
        <is>
          <t>JÄMTLANDS LÄN</t>
        </is>
      </c>
      <c r="E147" t="inlineStr">
        <is>
          <t>ÅRE</t>
        </is>
      </c>
      <c r="G147" t="n">
        <v>11.4</v>
      </c>
      <c r="H147" t="n">
        <v>2</v>
      </c>
      <c r="I147" t="n">
        <v>0</v>
      </c>
      <c r="J147" t="n">
        <v>1</v>
      </c>
      <c r="K147" t="n">
        <v>0</v>
      </c>
      <c r="L147" t="n">
        <v>0</v>
      </c>
      <c r="M147" t="n">
        <v>0</v>
      </c>
      <c r="N147" t="n">
        <v>0</v>
      </c>
      <c r="O147" t="n">
        <v>1</v>
      </c>
      <c r="P147" t="n">
        <v>0</v>
      </c>
      <c r="Q147" t="n">
        <v>2</v>
      </c>
      <c r="R147" s="2" t="inlineStr">
        <is>
          <t>Tretåig hackspett
Vanlig groda</t>
        </is>
      </c>
      <c r="S147">
        <f>HYPERLINK("https://klasma.github.io/Logging_2321/artfynd/A 5160-2022 artfynd.xlsx", "A 5160-2022")</f>
        <v/>
      </c>
      <c r="T147">
        <f>HYPERLINK("https://klasma.github.io/Logging_2321/kartor/A 5160-2022 karta.png", "A 5160-2022")</f>
        <v/>
      </c>
      <c r="V147">
        <f>HYPERLINK("https://klasma.github.io/Logging_2321/klagomål/A 5160-2022 FSC-klagomål.docx", "A 5160-2022")</f>
        <v/>
      </c>
      <c r="W147">
        <f>HYPERLINK("https://klasma.github.io/Logging_2321/klagomålsmail/A 5160-2022 FSC-klagomål mail.docx", "A 5160-2022")</f>
        <v/>
      </c>
      <c r="X147">
        <f>HYPERLINK("https://klasma.github.io/Logging_2321/tillsyn/A 5160-2022 tillsynsbegäran.docx", "A 5160-2022")</f>
        <v/>
      </c>
      <c r="Y147">
        <f>HYPERLINK("https://klasma.github.io/Logging_2321/tillsynsmail/A 5160-2022 tillsynsbegäran mail.docx", "A 5160-2022")</f>
        <v/>
      </c>
      <c r="Z147">
        <f>HYPERLINK("https://klasma.github.io/Logging_2321/fåglar/A 5160-2022 prioriterade fågelarter.docx", "A 5160-2022")</f>
        <v/>
      </c>
    </row>
    <row r="148" ht="15" customHeight="1">
      <c r="A148" t="inlineStr">
        <is>
          <t>A 18851-2022</t>
        </is>
      </c>
      <c r="B148" s="1" t="n">
        <v>44690</v>
      </c>
      <c r="C148" s="1" t="n">
        <v>45670</v>
      </c>
      <c r="D148" t="inlineStr">
        <is>
          <t>JÄMTLANDS LÄN</t>
        </is>
      </c>
      <c r="E148" t="inlineStr">
        <is>
          <t>ÅRE</t>
        </is>
      </c>
      <c r="G148" t="n">
        <v>10.4</v>
      </c>
      <c r="H148" t="n">
        <v>1</v>
      </c>
      <c r="I148" t="n">
        <v>0</v>
      </c>
      <c r="J148" t="n">
        <v>1</v>
      </c>
      <c r="K148" t="n">
        <v>0</v>
      </c>
      <c r="L148" t="n">
        <v>0</v>
      </c>
      <c r="M148" t="n">
        <v>0</v>
      </c>
      <c r="N148" t="n">
        <v>0</v>
      </c>
      <c r="O148" t="n">
        <v>1</v>
      </c>
      <c r="P148" t="n">
        <v>0</v>
      </c>
      <c r="Q148" t="n">
        <v>2</v>
      </c>
      <c r="R148" s="2" t="inlineStr">
        <is>
          <t>Garnlav
Orre</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c r="Z148">
        <f>HYPERLINK("https://klasma.github.io/Logging_2321/fåglar/A 18851-2022 prioriterade fågelarter.docx", "A 18851-2022")</f>
        <v/>
      </c>
    </row>
    <row r="149" ht="15" customHeight="1">
      <c r="A149" t="inlineStr">
        <is>
          <t>A 22231-2022</t>
        </is>
      </c>
      <c r="B149" s="1" t="n">
        <v>44712</v>
      </c>
      <c r="C149" s="1" t="n">
        <v>45670</v>
      </c>
      <c r="D149" t="inlineStr">
        <is>
          <t>JÄMTLANDS LÄN</t>
        </is>
      </c>
      <c r="E149" t="inlineStr">
        <is>
          <t>ÅRE</t>
        </is>
      </c>
      <c r="G149" t="n">
        <v>15</v>
      </c>
      <c r="H149" t="n">
        <v>0</v>
      </c>
      <c r="I149" t="n">
        <v>0</v>
      </c>
      <c r="J149" t="n">
        <v>2</v>
      </c>
      <c r="K149" t="n">
        <v>0</v>
      </c>
      <c r="L149" t="n">
        <v>0</v>
      </c>
      <c r="M149" t="n">
        <v>0</v>
      </c>
      <c r="N149" t="n">
        <v>0</v>
      </c>
      <c r="O149" t="n">
        <v>2</v>
      </c>
      <c r="P149" t="n">
        <v>0</v>
      </c>
      <c r="Q149" t="n">
        <v>2</v>
      </c>
      <c r="R149" s="2" t="inlineStr">
        <is>
          <t>Gammelgransskål
Granticka</t>
        </is>
      </c>
      <c r="S149">
        <f>HYPERLINK("https://klasma.github.io/Logging_2321/artfynd/A 22231-2022 artfynd.xlsx", "A 22231-2022")</f>
        <v/>
      </c>
      <c r="T149">
        <f>HYPERLINK("https://klasma.github.io/Logging_2321/kartor/A 22231-2022 karta.png", "A 22231-2022")</f>
        <v/>
      </c>
      <c r="V149">
        <f>HYPERLINK("https://klasma.github.io/Logging_2321/klagomål/A 22231-2022 FSC-klagomål.docx", "A 22231-2022")</f>
        <v/>
      </c>
      <c r="W149">
        <f>HYPERLINK("https://klasma.github.io/Logging_2321/klagomålsmail/A 22231-2022 FSC-klagomål mail.docx", "A 22231-2022")</f>
        <v/>
      </c>
      <c r="X149">
        <f>HYPERLINK("https://klasma.github.io/Logging_2321/tillsyn/A 22231-2022 tillsynsbegäran.docx", "A 22231-2022")</f>
        <v/>
      </c>
      <c r="Y149">
        <f>HYPERLINK("https://klasma.github.io/Logging_2321/tillsynsmail/A 22231-2022 tillsynsbegäran mail.docx", "A 22231-2022")</f>
        <v/>
      </c>
    </row>
    <row r="150" ht="15" customHeight="1">
      <c r="A150" t="inlineStr">
        <is>
          <t>A 22974-2022</t>
        </is>
      </c>
      <c r="B150" s="1" t="n">
        <v>44716</v>
      </c>
      <c r="C150" s="1" t="n">
        <v>45670</v>
      </c>
      <c r="D150" t="inlineStr">
        <is>
          <t>JÄMTLANDS LÄN</t>
        </is>
      </c>
      <c r="E150" t="inlineStr">
        <is>
          <t>ÅRE</t>
        </is>
      </c>
      <c r="G150" t="n">
        <v>8.300000000000001</v>
      </c>
      <c r="H150" t="n">
        <v>1</v>
      </c>
      <c r="I150" t="n">
        <v>2</v>
      </c>
      <c r="J150" t="n">
        <v>0</v>
      </c>
      <c r="K150" t="n">
        <v>0</v>
      </c>
      <c r="L150" t="n">
        <v>0</v>
      </c>
      <c r="M150" t="n">
        <v>0</v>
      </c>
      <c r="N150" t="n">
        <v>0</v>
      </c>
      <c r="O150" t="n">
        <v>0</v>
      </c>
      <c r="P150" t="n">
        <v>0</v>
      </c>
      <c r="Q150" t="n">
        <v>2</v>
      </c>
      <c r="R150" s="2" t="inlineStr">
        <is>
          <t>Spindelblomster
Ögonpyrola</t>
        </is>
      </c>
      <c r="S150">
        <f>HYPERLINK("https://klasma.github.io/Logging_2321/artfynd/A 22974-2022 artfynd.xlsx", "A 22974-2022")</f>
        <v/>
      </c>
      <c r="T150">
        <f>HYPERLINK("https://klasma.github.io/Logging_2321/kartor/A 22974-2022 karta.png", "A 22974-2022")</f>
        <v/>
      </c>
      <c r="V150">
        <f>HYPERLINK("https://klasma.github.io/Logging_2321/klagomål/A 22974-2022 FSC-klagomål.docx", "A 22974-2022")</f>
        <v/>
      </c>
      <c r="W150">
        <f>HYPERLINK("https://klasma.github.io/Logging_2321/klagomålsmail/A 22974-2022 FSC-klagomål mail.docx", "A 22974-2022")</f>
        <v/>
      </c>
      <c r="X150">
        <f>HYPERLINK("https://klasma.github.io/Logging_2321/tillsyn/A 22974-2022 tillsynsbegäran.docx", "A 22974-2022")</f>
        <v/>
      </c>
      <c r="Y150">
        <f>HYPERLINK("https://klasma.github.io/Logging_2321/tillsynsmail/A 22974-2022 tillsynsbegäran mail.docx", "A 22974-2022")</f>
        <v/>
      </c>
    </row>
    <row r="151" ht="15" customHeight="1">
      <c r="A151" t="inlineStr">
        <is>
          <t>A 32207-2022</t>
        </is>
      </c>
      <c r="B151" s="1" t="n">
        <v>44781</v>
      </c>
      <c r="C151" s="1" t="n">
        <v>45670</v>
      </c>
      <c r="D151" t="inlineStr">
        <is>
          <t>JÄMTLANDS LÄN</t>
        </is>
      </c>
      <c r="E151" t="inlineStr">
        <is>
          <t>ÅRE</t>
        </is>
      </c>
      <c r="G151" t="n">
        <v>5.5</v>
      </c>
      <c r="H151" t="n">
        <v>1</v>
      </c>
      <c r="I151" t="n">
        <v>2</v>
      </c>
      <c r="J151" t="n">
        <v>0</v>
      </c>
      <c r="K151" t="n">
        <v>0</v>
      </c>
      <c r="L151" t="n">
        <v>0</v>
      </c>
      <c r="M151" t="n">
        <v>0</v>
      </c>
      <c r="N151" t="n">
        <v>0</v>
      </c>
      <c r="O151" t="n">
        <v>0</v>
      </c>
      <c r="P151" t="n">
        <v>0</v>
      </c>
      <c r="Q151" t="n">
        <v>2</v>
      </c>
      <c r="R151" s="2" t="inlineStr">
        <is>
          <t>Korallrot
Ögonpyrola</t>
        </is>
      </c>
      <c r="S151">
        <f>HYPERLINK("https://klasma.github.io/Logging_2321/artfynd/A 32207-2022 artfynd.xlsx", "A 32207-2022")</f>
        <v/>
      </c>
      <c r="T151">
        <f>HYPERLINK("https://klasma.github.io/Logging_2321/kartor/A 32207-2022 karta.png", "A 32207-2022")</f>
        <v/>
      </c>
      <c r="V151">
        <f>HYPERLINK("https://klasma.github.io/Logging_2321/klagomål/A 32207-2022 FSC-klagomål.docx", "A 32207-2022")</f>
        <v/>
      </c>
      <c r="W151">
        <f>HYPERLINK("https://klasma.github.io/Logging_2321/klagomålsmail/A 32207-2022 FSC-klagomål mail.docx", "A 32207-2022")</f>
        <v/>
      </c>
      <c r="X151">
        <f>HYPERLINK("https://klasma.github.io/Logging_2321/tillsyn/A 32207-2022 tillsynsbegäran.docx", "A 32207-2022")</f>
        <v/>
      </c>
      <c r="Y151">
        <f>HYPERLINK("https://klasma.github.io/Logging_2321/tillsynsmail/A 32207-2022 tillsynsbegäran mail.docx", "A 32207-2022")</f>
        <v/>
      </c>
    </row>
    <row r="152" ht="15" customHeight="1">
      <c r="A152" t="inlineStr">
        <is>
          <t>A 55739-2022</t>
        </is>
      </c>
      <c r="B152" s="1" t="n">
        <v>44888</v>
      </c>
      <c r="C152" s="1" t="n">
        <v>45670</v>
      </c>
      <c r="D152" t="inlineStr">
        <is>
          <t>JÄMTLANDS LÄN</t>
        </is>
      </c>
      <c r="E152" t="inlineStr">
        <is>
          <t>ÅRE</t>
        </is>
      </c>
      <c r="F152" t="inlineStr">
        <is>
          <t>Övriga Aktiebolag</t>
        </is>
      </c>
      <c r="G152" t="n">
        <v>10.2</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HYPERLINK("https://klasma.github.io/Logging_2321/artfynd/A 55739-2022 artfynd.xlsx", "A 55739-2022")</f>
        <v/>
      </c>
      <c r="T152">
        <f>HYPERLINK("https://klasma.github.io/Logging_2321/kartor/A 55739-2022 karta.png", "A 55739-2022")</f>
        <v/>
      </c>
      <c r="V152">
        <f>HYPERLINK("https://klasma.github.io/Logging_2321/klagomål/A 55739-2022 FSC-klagomål.docx", "A 55739-2022")</f>
        <v/>
      </c>
      <c r="W152">
        <f>HYPERLINK("https://klasma.github.io/Logging_2321/klagomålsmail/A 55739-2022 FSC-klagomål mail.docx", "A 55739-2022")</f>
        <v/>
      </c>
      <c r="X152">
        <f>HYPERLINK("https://klasma.github.io/Logging_2321/tillsyn/A 55739-2022 tillsynsbegäran.docx", "A 55739-2022")</f>
        <v/>
      </c>
      <c r="Y152">
        <f>HYPERLINK("https://klasma.github.io/Logging_2321/tillsynsmail/A 55739-2022 tillsynsbegäran mail.docx", "A 55739-2022")</f>
        <v/>
      </c>
      <c r="Z152">
        <f>HYPERLINK("https://klasma.github.io/Logging_2321/fåglar/A 55739-2022 prioriterade fågelarter.docx", "A 55739-2022")</f>
        <v/>
      </c>
    </row>
    <row r="153" ht="15" customHeight="1">
      <c r="A153" t="inlineStr">
        <is>
          <t>A 56472-2022</t>
        </is>
      </c>
      <c r="B153" s="1" t="n">
        <v>44893</v>
      </c>
      <c r="C153" s="1" t="n">
        <v>45670</v>
      </c>
      <c r="D153" t="inlineStr">
        <is>
          <t>JÄMTLANDS LÄN</t>
        </is>
      </c>
      <c r="E153" t="inlineStr">
        <is>
          <t>ÅRE</t>
        </is>
      </c>
      <c r="F153" t="inlineStr">
        <is>
          <t>Övriga Aktiebolag</t>
        </is>
      </c>
      <c r="G153" t="n">
        <v>22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56472-2022 artfynd.xlsx", "A 56472-2022")</f>
        <v/>
      </c>
      <c r="T153">
        <f>HYPERLINK("https://klasma.github.io/Logging_2321/kartor/A 56472-2022 karta.png", "A 56472-2022")</f>
        <v/>
      </c>
      <c r="V153">
        <f>HYPERLINK("https://klasma.github.io/Logging_2321/klagomål/A 56472-2022 FSC-klagomål.docx", "A 56472-2022")</f>
        <v/>
      </c>
      <c r="W153">
        <f>HYPERLINK("https://klasma.github.io/Logging_2321/klagomålsmail/A 56472-2022 FSC-klagomål mail.docx", "A 56472-2022")</f>
        <v/>
      </c>
      <c r="X153">
        <f>HYPERLINK("https://klasma.github.io/Logging_2321/tillsyn/A 56472-2022 tillsynsbegäran.docx", "A 56472-2022")</f>
        <v/>
      </c>
      <c r="Y153">
        <f>HYPERLINK("https://klasma.github.io/Logging_2321/tillsynsmail/A 56472-2022 tillsynsbegäran mail.docx", "A 56472-2022")</f>
        <v/>
      </c>
      <c r="Z153">
        <f>HYPERLINK("https://klasma.github.io/Logging_2321/fåglar/A 56472-2022 prioriterade fågelarter.docx", "A 56472-2022")</f>
        <v/>
      </c>
    </row>
    <row r="154" ht="15" customHeight="1">
      <c r="A154" t="inlineStr">
        <is>
          <t>A 60533-2022</t>
        </is>
      </c>
      <c r="B154" s="1" t="n">
        <v>44904</v>
      </c>
      <c r="C154" s="1" t="n">
        <v>45670</v>
      </c>
      <c r="D154" t="inlineStr">
        <is>
          <t>JÄMTLANDS LÄN</t>
        </is>
      </c>
      <c r="E154" t="inlineStr">
        <is>
          <t>ÅRE</t>
        </is>
      </c>
      <c r="G154" t="n">
        <v>3.6</v>
      </c>
      <c r="H154" t="n">
        <v>2</v>
      </c>
      <c r="I154" t="n">
        <v>0</v>
      </c>
      <c r="J154" t="n">
        <v>2</v>
      </c>
      <c r="K154" t="n">
        <v>0</v>
      </c>
      <c r="L154" t="n">
        <v>0</v>
      </c>
      <c r="M154" t="n">
        <v>0</v>
      </c>
      <c r="N154" t="n">
        <v>0</v>
      </c>
      <c r="O154" t="n">
        <v>2</v>
      </c>
      <c r="P154" t="n">
        <v>0</v>
      </c>
      <c r="Q154" t="n">
        <v>2</v>
      </c>
      <c r="R154" s="2" t="inlineStr">
        <is>
          <t>Talltita
Tretåig hackspett</t>
        </is>
      </c>
      <c r="S154">
        <f>HYPERLINK("https://klasma.github.io/Logging_2321/artfynd/A 60533-2022 artfynd.xlsx", "A 60533-2022")</f>
        <v/>
      </c>
      <c r="T154">
        <f>HYPERLINK("https://klasma.github.io/Logging_2321/kartor/A 60533-2022 karta.png", "A 60533-2022")</f>
        <v/>
      </c>
      <c r="V154">
        <f>HYPERLINK("https://klasma.github.io/Logging_2321/klagomål/A 60533-2022 FSC-klagomål.docx", "A 60533-2022")</f>
        <v/>
      </c>
      <c r="W154">
        <f>HYPERLINK("https://klasma.github.io/Logging_2321/klagomålsmail/A 60533-2022 FSC-klagomål mail.docx", "A 60533-2022")</f>
        <v/>
      </c>
      <c r="X154">
        <f>HYPERLINK("https://klasma.github.io/Logging_2321/tillsyn/A 60533-2022 tillsynsbegäran.docx", "A 60533-2022")</f>
        <v/>
      </c>
      <c r="Y154">
        <f>HYPERLINK("https://klasma.github.io/Logging_2321/tillsynsmail/A 60533-2022 tillsynsbegäran mail.docx", "A 60533-2022")</f>
        <v/>
      </c>
      <c r="Z154">
        <f>HYPERLINK("https://klasma.github.io/Logging_2321/fåglar/A 60533-2022 prioriterade fågelarter.docx", "A 60533-2022")</f>
        <v/>
      </c>
    </row>
    <row r="155" ht="15" customHeight="1">
      <c r="A155" t="inlineStr">
        <is>
          <t>A 3152-2023</t>
        </is>
      </c>
      <c r="B155" s="1" t="n">
        <v>44946</v>
      </c>
      <c r="C155" s="1" t="n">
        <v>45670</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HYPERLINK("https://klasma.github.io/Logging_2321/artfynd/A 3152-2023 artfynd.xlsx", "A 3152-2023")</f>
        <v/>
      </c>
      <c r="T155">
        <f>HYPERLINK("https://klasma.github.io/Logging_2321/kartor/A 3152-2023 karta.png", "A 3152-2023")</f>
        <v/>
      </c>
      <c r="V155">
        <f>HYPERLINK("https://klasma.github.io/Logging_2321/klagomål/A 3152-2023 FSC-klagomål.docx", "A 3152-2023")</f>
        <v/>
      </c>
      <c r="W155">
        <f>HYPERLINK("https://klasma.github.io/Logging_2321/klagomålsmail/A 3152-2023 FSC-klagomål mail.docx", "A 3152-2023")</f>
        <v/>
      </c>
      <c r="X155">
        <f>HYPERLINK("https://klasma.github.io/Logging_2321/tillsyn/A 3152-2023 tillsynsbegäran.docx", "A 3152-2023")</f>
        <v/>
      </c>
      <c r="Y155">
        <f>HYPERLINK("https://klasma.github.io/Logging_2321/tillsynsmail/A 3152-2023 tillsynsbegäran mail.docx", "A 3152-2023")</f>
        <v/>
      </c>
      <c r="Z155">
        <f>HYPERLINK("https://klasma.github.io/Logging_2321/fåglar/A 3152-2023 prioriterade fågelarter.docx", "A 3152-2023")</f>
        <v/>
      </c>
    </row>
    <row r="156" ht="15" customHeight="1">
      <c r="A156" t="inlineStr">
        <is>
          <t>A 5531-2023</t>
        </is>
      </c>
      <c r="B156" s="1" t="n">
        <v>44957</v>
      </c>
      <c r="C156" s="1" t="n">
        <v>45670</v>
      </c>
      <c r="D156" t="inlineStr">
        <is>
          <t>JÄMTLANDS LÄN</t>
        </is>
      </c>
      <c r="E156" t="inlineStr">
        <is>
          <t>ÅRE</t>
        </is>
      </c>
      <c r="G156" t="n">
        <v>3.8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5531-2023 artfynd.xlsx", "A 5531-2023")</f>
        <v/>
      </c>
      <c r="T156">
        <f>HYPERLINK("https://klasma.github.io/Logging_2321/kartor/A 5531-2023 karta.png", "A 5531-2023")</f>
        <v/>
      </c>
      <c r="V156">
        <f>HYPERLINK("https://klasma.github.io/Logging_2321/klagomål/A 5531-2023 FSC-klagomål.docx", "A 5531-2023")</f>
        <v/>
      </c>
      <c r="W156">
        <f>HYPERLINK("https://klasma.github.io/Logging_2321/klagomålsmail/A 5531-2023 FSC-klagomål mail.docx", "A 5531-2023")</f>
        <v/>
      </c>
      <c r="X156">
        <f>HYPERLINK("https://klasma.github.io/Logging_2321/tillsyn/A 5531-2023 tillsynsbegäran.docx", "A 5531-2023")</f>
        <v/>
      </c>
      <c r="Y156">
        <f>HYPERLINK("https://klasma.github.io/Logging_2321/tillsynsmail/A 5531-2023 tillsynsbegäran mail.docx", "A 5531-2023")</f>
        <v/>
      </c>
      <c r="Z156">
        <f>HYPERLINK("https://klasma.github.io/Logging_2321/fåglar/A 5531-2023 prioriterade fågelarter.docx", "A 5531-2023")</f>
        <v/>
      </c>
    </row>
    <row r="157" ht="15" customHeight="1">
      <c r="A157" t="inlineStr">
        <is>
          <t>A 5418-2023</t>
        </is>
      </c>
      <c r="B157" s="1" t="n">
        <v>44957</v>
      </c>
      <c r="C157" s="1" t="n">
        <v>45670</v>
      </c>
      <c r="D157" t="inlineStr">
        <is>
          <t>JÄMTLANDS LÄN</t>
        </is>
      </c>
      <c r="E157" t="inlineStr">
        <is>
          <t>ÅRE</t>
        </is>
      </c>
      <c r="G157" t="n">
        <v>5</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5418-2023 artfynd.xlsx", "A 5418-2023")</f>
        <v/>
      </c>
      <c r="T157">
        <f>HYPERLINK("https://klasma.github.io/Logging_2321/kartor/A 5418-2023 karta.png", "A 5418-2023")</f>
        <v/>
      </c>
      <c r="V157">
        <f>HYPERLINK("https://klasma.github.io/Logging_2321/klagomål/A 5418-2023 FSC-klagomål.docx", "A 5418-2023")</f>
        <v/>
      </c>
      <c r="W157">
        <f>HYPERLINK("https://klasma.github.io/Logging_2321/klagomålsmail/A 5418-2023 FSC-klagomål mail.docx", "A 5418-2023")</f>
        <v/>
      </c>
      <c r="X157">
        <f>HYPERLINK("https://klasma.github.io/Logging_2321/tillsyn/A 5418-2023 tillsynsbegäran.docx", "A 5418-2023")</f>
        <v/>
      </c>
      <c r="Y157">
        <f>HYPERLINK("https://klasma.github.io/Logging_2321/tillsynsmail/A 5418-2023 tillsynsbegäran mail.docx", "A 5418-2023")</f>
        <v/>
      </c>
      <c r="Z157">
        <f>HYPERLINK("https://klasma.github.io/Logging_2321/fåglar/A 5418-2023 prioriterade fågelarter.docx", "A 5418-2023")</f>
        <v/>
      </c>
    </row>
    <row r="158" ht="15" customHeight="1">
      <c r="A158" t="inlineStr">
        <is>
          <t>A 6107-2023</t>
        </is>
      </c>
      <c r="B158" s="1" t="n">
        <v>44964</v>
      </c>
      <c r="C158" s="1" t="n">
        <v>45670</v>
      </c>
      <c r="D158" t="inlineStr">
        <is>
          <t>JÄMTLANDS LÄN</t>
        </is>
      </c>
      <c r="E158" t="inlineStr">
        <is>
          <t>ÅRE</t>
        </is>
      </c>
      <c r="G158" t="n">
        <v>1.9</v>
      </c>
      <c r="H158" t="n">
        <v>0</v>
      </c>
      <c r="I158" t="n">
        <v>1</v>
      </c>
      <c r="J158" t="n">
        <v>1</v>
      </c>
      <c r="K158" t="n">
        <v>0</v>
      </c>
      <c r="L158" t="n">
        <v>0</v>
      </c>
      <c r="M158" t="n">
        <v>0</v>
      </c>
      <c r="N158" t="n">
        <v>0</v>
      </c>
      <c r="O158" t="n">
        <v>1</v>
      </c>
      <c r="P158" t="n">
        <v>0</v>
      </c>
      <c r="Q158" t="n">
        <v>2</v>
      </c>
      <c r="R158" s="2" t="inlineStr">
        <is>
          <t>Skrovellav
Stuplav</t>
        </is>
      </c>
      <c r="S158">
        <f>HYPERLINK("https://klasma.github.io/Logging_2321/artfynd/A 6107-2023 artfynd.xlsx", "A 6107-2023")</f>
        <v/>
      </c>
      <c r="T158">
        <f>HYPERLINK("https://klasma.github.io/Logging_2321/kartor/A 6107-2023 karta.png", "A 6107-2023")</f>
        <v/>
      </c>
      <c r="V158">
        <f>HYPERLINK("https://klasma.github.io/Logging_2321/klagomål/A 6107-2023 FSC-klagomål.docx", "A 6107-2023")</f>
        <v/>
      </c>
      <c r="W158">
        <f>HYPERLINK("https://klasma.github.io/Logging_2321/klagomålsmail/A 6107-2023 FSC-klagomål mail.docx", "A 6107-2023")</f>
        <v/>
      </c>
      <c r="X158">
        <f>HYPERLINK("https://klasma.github.io/Logging_2321/tillsyn/A 6107-2023 tillsynsbegäran.docx", "A 6107-2023")</f>
        <v/>
      </c>
      <c r="Y158">
        <f>HYPERLINK("https://klasma.github.io/Logging_2321/tillsynsmail/A 6107-2023 tillsynsbegäran mail.docx", "A 6107-2023")</f>
        <v/>
      </c>
    </row>
    <row r="159" ht="15" customHeight="1">
      <c r="A159" t="inlineStr">
        <is>
          <t>A 6108-2023</t>
        </is>
      </c>
      <c r="B159" s="1" t="n">
        <v>44964</v>
      </c>
      <c r="C159" s="1" t="n">
        <v>45670</v>
      </c>
      <c r="D159" t="inlineStr">
        <is>
          <t>JÄMTLANDS LÄN</t>
        </is>
      </c>
      <c r="E159" t="inlineStr">
        <is>
          <t>ÅRE</t>
        </is>
      </c>
      <c r="G159" t="n">
        <v>15.4</v>
      </c>
      <c r="H159" t="n">
        <v>1</v>
      </c>
      <c r="I159" t="n">
        <v>0</v>
      </c>
      <c r="J159" t="n">
        <v>2</v>
      </c>
      <c r="K159" t="n">
        <v>0</v>
      </c>
      <c r="L159" t="n">
        <v>0</v>
      </c>
      <c r="M159" t="n">
        <v>0</v>
      </c>
      <c r="N159" t="n">
        <v>0</v>
      </c>
      <c r="O159" t="n">
        <v>2</v>
      </c>
      <c r="P159" t="n">
        <v>0</v>
      </c>
      <c r="Q159" t="n">
        <v>2</v>
      </c>
      <c r="R159" s="2" t="inlineStr">
        <is>
          <t>Skrovellav
Tretåig hackspett</t>
        </is>
      </c>
      <c r="S159">
        <f>HYPERLINK("https://klasma.github.io/Logging_2321/artfynd/A 6108-2023 artfynd.xlsx", "A 6108-2023")</f>
        <v/>
      </c>
      <c r="T159">
        <f>HYPERLINK("https://klasma.github.io/Logging_2321/kartor/A 6108-2023 karta.png", "A 6108-2023")</f>
        <v/>
      </c>
      <c r="V159">
        <f>HYPERLINK("https://klasma.github.io/Logging_2321/klagomål/A 6108-2023 FSC-klagomål.docx", "A 6108-2023")</f>
        <v/>
      </c>
      <c r="W159">
        <f>HYPERLINK("https://klasma.github.io/Logging_2321/klagomålsmail/A 6108-2023 FSC-klagomål mail.docx", "A 6108-2023")</f>
        <v/>
      </c>
      <c r="X159">
        <f>HYPERLINK("https://klasma.github.io/Logging_2321/tillsyn/A 6108-2023 tillsynsbegäran.docx", "A 6108-2023")</f>
        <v/>
      </c>
      <c r="Y159">
        <f>HYPERLINK("https://klasma.github.io/Logging_2321/tillsynsmail/A 6108-2023 tillsynsbegäran mail.docx", "A 6108-2023")</f>
        <v/>
      </c>
      <c r="Z159">
        <f>HYPERLINK("https://klasma.github.io/Logging_2321/fåglar/A 6108-2023 prioriterade fågelarter.docx", "A 6108-2023")</f>
        <v/>
      </c>
    </row>
    <row r="160" ht="15" customHeight="1">
      <c r="A160" t="inlineStr">
        <is>
          <t>A 7401-2023</t>
        </is>
      </c>
      <c r="B160" s="1" t="n">
        <v>44966</v>
      </c>
      <c r="C160" s="1" t="n">
        <v>45670</v>
      </c>
      <c r="D160" t="inlineStr">
        <is>
          <t>JÄMTLANDS LÄN</t>
        </is>
      </c>
      <c r="E160" t="inlineStr">
        <is>
          <t>ÅRE</t>
        </is>
      </c>
      <c r="G160" t="n">
        <v>3.5</v>
      </c>
      <c r="H160" t="n">
        <v>2</v>
      </c>
      <c r="I160" t="n">
        <v>1</v>
      </c>
      <c r="J160" t="n">
        <v>0</v>
      </c>
      <c r="K160" t="n">
        <v>0</v>
      </c>
      <c r="L160" t="n">
        <v>0</v>
      </c>
      <c r="M160" t="n">
        <v>0</v>
      </c>
      <c r="N160" t="n">
        <v>0</v>
      </c>
      <c r="O160" t="n">
        <v>0</v>
      </c>
      <c r="P160" t="n">
        <v>0</v>
      </c>
      <c r="Q160" t="n">
        <v>2</v>
      </c>
      <c r="R160" s="2" t="inlineStr">
        <is>
          <t>Tvåblad
Revlummer</t>
        </is>
      </c>
      <c r="S160">
        <f>HYPERLINK("https://klasma.github.io/Logging_2321/artfynd/A 7401-2023 artfynd.xlsx", "A 7401-2023")</f>
        <v/>
      </c>
      <c r="T160">
        <f>HYPERLINK("https://klasma.github.io/Logging_2321/kartor/A 7401-2023 karta.png", "A 7401-2023")</f>
        <v/>
      </c>
      <c r="V160">
        <f>HYPERLINK("https://klasma.github.io/Logging_2321/klagomål/A 7401-2023 FSC-klagomål.docx", "A 7401-2023")</f>
        <v/>
      </c>
      <c r="W160">
        <f>HYPERLINK("https://klasma.github.io/Logging_2321/klagomålsmail/A 7401-2023 FSC-klagomål mail.docx", "A 7401-2023")</f>
        <v/>
      </c>
      <c r="X160">
        <f>HYPERLINK("https://klasma.github.io/Logging_2321/tillsyn/A 7401-2023 tillsynsbegäran.docx", "A 7401-2023")</f>
        <v/>
      </c>
      <c r="Y160">
        <f>HYPERLINK("https://klasma.github.io/Logging_2321/tillsynsmail/A 7401-2023 tillsynsbegäran mail.docx", "A 7401-2023")</f>
        <v/>
      </c>
    </row>
    <row r="161" ht="15" customHeight="1">
      <c r="A161" t="inlineStr">
        <is>
          <t>A 19699-2023</t>
        </is>
      </c>
      <c r="B161" s="1" t="n">
        <v>45051</v>
      </c>
      <c r="C161" s="1" t="n">
        <v>45670</v>
      </c>
      <c r="D161" t="inlineStr">
        <is>
          <t>JÄMTLANDS LÄN</t>
        </is>
      </c>
      <c r="E161" t="inlineStr">
        <is>
          <t>ÅRE</t>
        </is>
      </c>
      <c r="G161" t="n">
        <v>0.7</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19699-2023 artfynd.xlsx", "A 19699-2023")</f>
        <v/>
      </c>
      <c r="T161">
        <f>HYPERLINK("https://klasma.github.io/Logging_2321/kartor/A 19699-2023 karta.png", "A 19699-2023")</f>
        <v/>
      </c>
      <c r="V161">
        <f>HYPERLINK("https://klasma.github.io/Logging_2321/klagomål/A 19699-2023 FSC-klagomål.docx", "A 19699-2023")</f>
        <v/>
      </c>
      <c r="W161">
        <f>HYPERLINK("https://klasma.github.io/Logging_2321/klagomålsmail/A 19699-2023 FSC-klagomål mail.docx", "A 19699-2023")</f>
        <v/>
      </c>
      <c r="X161">
        <f>HYPERLINK("https://klasma.github.io/Logging_2321/tillsyn/A 19699-2023 tillsynsbegäran.docx", "A 19699-2023")</f>
        <v/>
      </c>
      <c r="Y161">
        <f>HYPERLINK("https://klasma.github.io/Logging_2321/tillsynsmail/A 19699-2023 tillsynsbegäran mail.docx", "A 19699-2023")</f>
        <v/>
      </c>
    </row>
    <row r="162" ht="15" customHeight="1">
      <c r="A162" t="inlineStr">
        <is>
          <t>A 23706-2023</t>
        </is>
      </c>
      <c r="B162" s="1" t="n">
        <v>45072</v>
      </c>
      <c r="C162" s="1" t="n">
        <v>45670</v>
      </c>
      <c r="D162" t="inlineStr">
        <is>
          <t>JÄMTLANDS LÄN</t>
        </is>
      </c>
      <c r="E162" t="inlineStr">
        <is>
          <t>ÅRE</t>
        </is>
      </c>
      <c r="G162" t="n">
        <v>8.1</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23706-2023 artfynd.xlsx", "A 23706-2023")</f>
        <v/>
      </c>
      <c r="T162">
        <f>HYPERLINK("https://klasma.github.io/Logging_2321/kartor/A 23706-2023 karta.png", "A 23706-2023")</f>
        <v/>
      </c>
      <c r="V162">
        <f>HYPERLINK("https://klasma.github.io/Logging_2321/klagomål/A 23706-2023 FSC-klagomål.docx", "A 23706-2023")</f>
        <v/>
      </c>
      <c r="W162">
        <f>HYPERLINK("https://klasma.github.io/Logging_2321/klagomålsmail/A 23706-2023 FSC-klagomål mail.docx", "A 23706-2023")</f>
        <v/>
      </c>
      <c r="X162">
        <f>HYPERLINK("https://klasma.github.io/Logging_2321/tillsyn/A 23706-2023 tillsynsbegäran.docx", "A 23706-2023")</f>
        <v/>
      </c>
      <c r="Y162">
        <f>HYPERLINK("https://klasma.github.io/Logging_2321/tillsynsmail/A 23706-2023 tillsynsbegäran mail.docx", "A 23706-2023")</f>
        <v/>
      </c>
      <c r="Z162">
        <f>HYPERLINK("https://klasma.github.io/Logging_2321/fåglar/A 23706-2023 prioriterade fågelarter.docx", "A 23706-2023")</f>
        <v/>
      </c>
    </row>
    <row r="163" ht="15" customHeight="1">
      <c r="A163" t="inlineStr">
        <is>
          <t>A 26098-2023</t>
        </is>
      </c>
      <c r="B163" s="1" t="n">
        <v>45091</v>
      </c>
      <c r="C163" s="1" t="n">
        <v>45670</v>
      </c>
      <c r="D163" t="inlineStr">
        <is>
          <t>JÄMTLANDS LÄN</t>
        </is>
      </c>
      <c r="E163" t="inlineStr">
        <is>
          <t>ÅRE</t>
        </is>
      </c>
      <c r="G163" t="n">
        <v>15.7</v>
      </c>
      <c r="H163" t="n">
        <v>0</v>
      </c>
      <c r="I163" t="n">
        <v>0</v>
      </c>
      <c r="J163" t="n">
        <v>2</v>
      </c>
      <c r="K163" t="n">
        <v>0</v>
      </c>
      <c r="L163" t="n">
        <v>0</v>
      </c>
      <c r="M163" t="n">
        <v>0</v>
      </c>
      <c r="N163" t="n">
        <v>0</v>
      </c>
      <c r="O163" t="n">
        <v>2</v>
      </c>
      <c r="P163" t="n">
        <v>0</v>
      </c>
      <c r="Q163" t="n">
        <v>2</v>
      </c>
      <c r="R163" s="2" t="inlineStr">
        <is>
          <t>Lunglav
Skrovellav</t>
        </is>
      </c>
      <c r="S163">
        <f>HYPERLINK("https://klasma.github.io/Logging_2321/artfynd/A 26098-2023 artfynd.xlsx", "A 26098-2023")</f>
        <v/>
      </c>
      <c r="T163">
        <f>HYPERLINK("https://klasma.github.io/Logging_2321/kartor/A 26098-2023 karta.png", "A 26098-2023")</f>
        <v/>
      </c>
      <c r="V163">
        <f>HYPERLINK("https://klasma.github.io/Logging_2321/klagomål/A 26098-2023 FSC-klagomål.docx", "A 26098-2023")</f>
        <v/>
      </c>
      <c r="W163">
        <f>HYPERLINK("https://klasma.github.io/Logging_2321/klagomålsmail/A 26098-2023 FSC-klagomål mail.docx", "A 26098-2023")</f>
        <v/>
      </c>
      <c r="X163">
        <f>HYPERLINK("https://klasma.github.io/Logging_2321/tillsyn/A 26098-2023 tillsynsbegäran.docx", "A 26098-2023")</f>
        <v/>
      </c>
      <c r="Y163">
        <f>HYPERLINK("https://klasma.github.io/Logging_2321/tillsynsmail/A 26098-2023 tillsynsbegäran mail.docx", "A 26098-2023")</f>
        <v/>
      </c>
    </row>
    <row r="164" ht="15" customHeight="1">
      <c r="A164" t="inlineStr">
        <is>
          <t>A 53014-2023</t>
        </is>
      </c>
      <c r="B164" s="1" t="n">
        <v>45226</v>
      </c>
      <c r="C164" s="1" t="n">
        <v>45670</v>
      </c>
      <c r="D164" t="inlineStr">
        <is>
          <t>JÄMTLANDS LÄN</t>
        </is>
      </c>
      <c r="E164" t="inlineStr">
        <is>
          <t>ÅRE</t>
        </is>
      </c>
      <c r="F164" t="inlineStr">
        <is>
          <t>Övriga Aktiebolag</t>
        </is>
      </c>
      <c r="G164" t="n">
        <v>9.4</v>
      </c>
      <c r="H164" t="n">
        <v>1</v>
      </c>
      <c r="I164" t="n">
        <v>1</v>
      </c>
      <c r="J164" t="n">
        <v>1</v>
      </c>
      <c r="K164" t="n">
        <v>0</v>
      </c>
      <c r="L164" t="n">
        <v>0</v>
      </c>
      <c r="M164" t="n">
        <v>0</v>
      </c>
      <c r="N164" t="n">
        <v>0</v>
      </c>
      <c r="O164" t="n">
        <v>1</v>
      </c>
      <c r="P164" t="n">
        <v>0</v>
      </c>
      <c r="Q164" t="n">
        <v>2</v>
      </c>
      <c r="R164" s="2" t="inlineStr">
        <is>
          <t>Vedflikmossa
Spindelblomster</t>
        </is>
      </c>
      <c r="S164">
        <f>HYPERLINK("https://klasma.github.io/Logging_2321/artfynd/A 53014-2023 artfynd.xlsx", "A 53014-2023")</f>
        <v/>
      </c>
      <c r="T164">
        <f>HYPERLINK("https://klasma.github.io/Logging_2321/kartor/A 53014-2023 karta.png", "A 53014-2023")</f>
        <v/>
      </c>
      <c r="V164">
        <f>HYPERLINK("https://klasma.github.io/Logging_2321/klagomål/A 53014-2023 FSC-klagomål.docx", "A 53014-2023")</f>
        <v/>
      </c>
      <c r="W164">
        <f>HYPERLINK("https://klasma.github.io/Logging_2321/klagomålsmail/A 53014-2023 FSC-klagomål mail.docx", "A 53014-2023")</f>
        <v/>
      </c>
      <c r="X164">
        <f>HYPERLINK("https://klasma.github.io/Logging_2321/tillsyn/A 53014-2023 tillsynsbegäran.docx", "A 53014-2023")</f>
        <v/>
      </c>
      <c r="Y164">
        <f>HYPERLINK("https://klasma.github.io/Logging_2321/tillsynsmail/A 53014-2023 tillsynsbegäran mail.docx", "A 53014-2023")</f>
        <v/>
      </c>
    </row>
    <row r="165" ht="15" customHeight="1">
      <c r="A165" t="inlineStr">
        <is>
          <t>A 54055-2023</t>
        </is>
      </c>
      <c r="B165" s="1" t="n">
        <v>45231</v>
      </c>
      <c r="C165" s="1" t="n">
        <v>45670</v>
      </c>
      <c r="D165" t="inlineStr">
        <is>
          <t>JÄMTLANDS LÄN</t>
        </is>
      </c>
      <c r="E165" t="inlineStr">
        <is>
          <t>ÅRE</t>
        </is>
      </c>
      <c r="F165" t="inlineStr">
        <is>
          <t>Övriga Aktiebolag</t>
        </is>
      </c>
      <c r="G165" t="n">
        <v>14.1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HYPERLINK("https://klasma.github.io/Logging_2321/artfynd/A 54055-2023 artfynd.xlsx", "A 54055-2023")</f>
        <v/>
      </c>
      <c r="T165">
        <f>HYPERLINK("https://klasma.github.io/Logging_2321/kartor/A 54055-2023 karta.png", "A 54055-2023")</f>
        <v/>
      </c>
      <c r="V165">
        <f>HYPERLINK("https://klasma.github.io/Logging_2321/klagomål/A 54055-2023 FSC-klagomål.docx", "A 54055-2023")</f>
        <v/>
      </c>
      <c r="W165">
        <f>HYPERLINK("https://klasma.github.io/Logging_2321/klagomålsmail/A 54055-2023 FSC-klagomål mail.docx", "A 54055-2023")</f>
        <v/>
      </c>
      <c r="X165">
        <f>HYPERLINK("https://klasma.github.io/Logging_2321/tillsyn/A 54055-2023 tillsynsbegäran.docx", "A 54055-2023")</f>
        <v/>
      </c>
      <c r="Y165">
        <f>HYPERLINK("https://klasma.github.io/Logging_2321/tillsynsmail/A 54055-2023 tillsynsbegäran mail.docx", "A 54055-2023")</f>
        <v/>
      </c>
      <c r="Z165">
        <f>HYPERLINK("https://klasma.github.io/Logging_2321/fåglar/A 54055-2023 prioriterade fågelarter.docx", "A 54055-2023")</f>
        <v/>
      </c>
    </row>
    <row r="166" ht="15" customHeight="1">
      <c r="A166" t="inlineStr">
        <is>
          <t>A 54128-2023</t>
        </is>
      </c>
      <c r="B166" s="1" t="n">
        <v>45232</v>
      </c>
      <c r="C166" s="1" t="n">
        <v>45670</v>
      </c>
      <c r="D166" t="inlineStr">
        <is>
          <t>JÄMTLANDS LÄN</t>
        </is>
      </c>
      <c r="E166" t="inlineStr">
        <is>
          <t>ÅRE</t>
        </is>
      </c>
      <c r="G166" t="n">
        <v>3.9</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54128-2023 artfynd.xlsx", "A 54128-2023")</f>
        <v/>
      </c>
      <c r="T166">
        <f>HYPERLINK("https://klasma.github.io/Logging_2321/kartor/A 54128-2023 karta.png", "A 54128-2023")</f>
        <v/>
      </c>
      <c r="V166">
        <f>HYPERLINK("https://klasma.github.io/Logging_2321/klagomål/A 54128-2023 FSC-klagomål.docx", "A 54128-2023")</f>
        <v/>
      </c>
      <c r="W166">
        <f>HYPERLINK("https://klasma.github.io/Logging_2321/klagomålsmail/A 54128-2023 FSC-klagomål mail.docx", "A 54128-2023")</f>
        <v/>
      </c>
      <c r="X166">
        <f>HYPERLINK("https://klasma.github.io/Logging_2321/tillsyn/A 54128-2023 tillsynsbegäran.docx", "A 54128-2023")</f>
        <v/>
      </c>
      <c r="Y166">
        <f>HYPERLINK("https://klasma.github.io/Logging_2321/tillsynsmail/A 54128-2023 tillsynsbegäran mail.docx", "A 54128-2023")</f>
        <v/>
      </c>
      <c r="Z166">
        <f>HYPERLINK("https://klasma.github.io/Logging_2321/fåglar/A 54128-2023 prioriterade fågelarter.docx", "A 54128-2023")</f>
        <v/>
      </c>
    </row>
    <row r="167" ht="15" customHeight="1">
      <c r="A167" t="inlineStr">
        <is>
          <t>A 57771-2023</t>
        </is>
      </c>
      <c r="B167" s="1" t="n">
        <v>45246</v>
      </c>
      <c r="C167" s="1" t="n">
        <v>45670</v>
      </c>
      <c r="D167" t="inlineStr">
        <is>
          <t>JÄMTLANDS LÄN</t>
        </is>
      </c>
      <c r="E167" t="inlineStr">
        <is>
          <t>ÅRE</t>
        </is>
      </c>
      <c r="G167" t="n">
        <v>2.1</v>
      </c>
      <c r="H167" t="n">
        <v>0</v>
      </c>
      <c r="I167" t="n">
        <v>0</v>
      </c>
      <c r="J167" t="n">
        <v>2</v>
      </c>
      <c r="K167" t="n">
        <v>0</v>
      </c>
      <c r="L167" t="n">
        <v>0</v>
      </c>
      <c r="M167" t="n">
        <v>0</v>
      </c>
      <c r="N167" t="n">
        <v>0</v>
      </c>
      <c r="O167" t="n">
        <v>2</v>
      </c>
      <c r="P167" t="n">
        <v>0</v>
      </c>
      <c r="Q167" t="n">
        <v>2</v>
      </c>
      <c r="R167" s="2" t="inlineStr">
        <is>
          <t>Granticka
Harticka</t>
        </is>
      </c>
      <c r="S167">
        <f>HYPERLINK("https://klasma.github.io/Logging_2321/artfynd/A 57771-2023 artfynd.xlsx", "A 57771-2023")</f>
        <v/>
      </c>
      <c r="T167">
        <f>HYPERLINK("https://klasma.github.io/Logging_2321/kartor/A 57771-2023 karta.png", "A 57771-2023")</f>
        <v/>
      </c>
      <c r="V167">
        <f>HYPERLINK("https://klasma.github.io/Logging_2321/klagomål/A 57771-2023 FSC-klagomål.docx", "A 57771-2023")</f>
        <v/>
      </c>
      <c r="W167">
        <f>HYPERLINK("https://klasma.github.io/Logging_2321/klagomålsmail/A 57771-2023 FSC-klagomål mail.docx", "A 57771-2023")</f>
        <v/>
      </c>
      <c r="X167">
        <f>HYPERLINK("https://klasma.github.io/Logging_2321/tillsyn/A 57771-2023 tillsynsbegäran.docx", "A 57771-2023")</f>
        <v/>
      </c>
      <c r="Y167">
        <f>HYPERLINK("https://klasma.github.io/Logging_2321/tillsynsmail/A 57771-2023 tillsynsbegäran mail.docx", "A 57771-2023")</f>
        <v/>
      </c>
    </row>
    <row r="168" ht="15" customHeight="1">
      <c r="A168" t="inlineStr">
        <is>
          <t>A 12466-2024</t>
        </is>
      </c>
      <c r="B168" s="1" t="n">
        <v>45379</v>
      </c>
      <c r="C168" s="1" t="n">
        <v>45670</v>
      </c>
      <c r="D168" t="inlineStr">
        <is>
          <t>JÄMTLANDS LÄN</t>
        </is>
      </c>
      <c r="E168" t="inlineStr">
        <is>
          <t>ÅRE</t>
        </is>
      </c>
      <c r="G168" t="n">
        <v>7.1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12466-2024 artfynd.xlsx", "A 12466-2024")</f>
        <v/>
      </c>
      <c r="T168">
        <f>HYPERLINK("https://klasma.github.io/Logging_2321/kartor/A 12466-2024 karta.png", "A 12466-2024")</f>
        <v/>
      </c>
      <c r="V168">
        <f>HYPERLINK("https://klasma.github.io/Logging_2321/klagomål/A 12466-2024 FSC-klagomål.docx", "A 12466-2024")</f>
        <v/>
      </c>
      <c r="W168">
        <f>HYPERLINK("https://klasma.github.io/Logging_2321/klagomålsmail/A 12466-2024 FSC-klagomål mail.docx", "A 12466-2024")</f>
        <v/>
      </c>
      <c r="X168">
        <f>HYPERLINK("https://klasma.github.io/Logging_2321/tillsyn/A 12466-2024 tillsynsbegäran.docx", "A 12466-2024")</f>
        <v/>
      </c>
      <c r="Y168">
        <f>HYPERLINK("https://klasma.github.io/Logging_2321/tillsynsmail/A 12466-2024 tillsynsbegäran mail.docx", "A 12466-2024")</f>
        <v/>
      </c>
      <c r="Z168">
        <f>HYPERLINK("https://klasma.github.io/Logging_2321/fåglar/A 12466-2024 prioriterade fågelarter.docx", "A 12466-2024")</f>
        <v/>
      </c>
    </row>
    <row r="169" ht="15" customHeight="1">
      <c r="A169" t="inlineStr">
        <is>
          <t>A 17489-2024</t>
        </is>
      </c>
      <c r="B169" s="1" t="n">
        <v>45415</v>
      </c>
      <c r="C169" s="1" t="n">
        <v>45670</v>
      </c>
      <c r="D169" t="inlineStr">
        <is>
          <t>JÄMTLANDS LÄN</t>
        </is>
      </c>
      <c r="E169" t="inlineStr">
        <is>
          <t>ÅRE</t>
        </is>
      </c>
      <c r="G169" t="n">
        <v>12.9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17489-2024 artfynd.xlsx", "A 17489-2024")</f>
        <v/>
      </c>
      <c r="T169">
        <f>HYPERLINK("https://klasma.github.io/Logging_2321/kartor/A 17489-2024 karta.png", "A 17489-2024")</f>
        <v/>
      </c>
      <c r="V169">
        <f>HYPERLINK("https://klasma.github.io/Logging_2321/klagomål/A 17489-2024 FSC-klagomål.docx", "A 17489-2024")</f>
        <v/>
      </c>
      <c r="W169">
        <f>HYPERLINK("https://klasma.github.io/Logging_2321/klagomålsmail/A 17489-2024 FSC-klagomål mail.docx", "A 17489-2024")</f>
        <v/>
      </c>
      <c r="X169">
        <f>HYPERLINK("https://klasma.github.io/Logging_2321/tillsyn/A 17489-2024 tillsynsbegäran.docx", "A 17489-2024")</f>
        <v/>
      </c>
      <c r="Y169">
        <f>HYPERLINK("https://klasma.github.io/Logging_2321/tillsynsmail/A 17489-2024 tillsynsbegäran mail.docx", "A 17489-2024")</f>
        <v/>
      </c>
      <c r="Z169">
        <f>HYPERLINK("https://klasma.github.io/Logging_2321/fåglar/A 17489-2024 prioriterade fågelarter.docx", "A 17489-2024")</f>
        <v/>
      </c>
    </row>
    <row r="170" ht="15" customHeight="1">
      <c r="A170" t="inlineStr">
        <is>
          <t>A 18719-2024</t>
        </is>
      </c>
      <c r="B170" s="1" t="n">
        <v>45426</v>
      </c>
      <c r="C170" s="1" t="n">
        <v>45670</v>
      </c>
      <c r="D170" t="inlineStr">
        <is>
          <t>JÄMTLANDS LÄN</t>
        </is>
      </c>
      <c r="E170" t="inlineStr">
        <is>
          <t>ÅRE</t>
        </is>
      </c>
      <c r="F170" t="inlineStr">
        <is>
          <t>Övriga Aktiebolag</t>
        </is>
      </c>
      <c r="G170" t="n">
        <v>6.6</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18719-2024 artfynd.xlsx", "A 18719-2024")</f>
        <v/>
      </c>
      <c r="T170">
        <f>HYPERLINK("https://klasma.github.io/Logging_2321/kartor/A 18719-2024 karta.png", "A 18719-2024")</f>
        <v/>
      </c>
      <c r="V170">
        <f>HYPERLINK("https://klasma.github.io/Logging_2321/klagomål/A 18719-2024 FSC-klagomål.docx", "A 18719-2024")</f>
        <v/>
      </c>
      <c r="W170">
        <f>HYPERLINK("https://klasma.github.io/Logging_2321/klagomålsmail/A 18719-2024 FSC-klagomål mail.docx", "A 18719-2024")</f>
        <v/>
      </c>
      <c r="X170">
        <f>HYPERLINK("https://klasma.github.io/Logging_2321/tillsyn/A 18719-2024 tillsynsbegäran.docx", "A 18719-2024")</f>
        <v/>
      </c>
      <c r="Y170">
        <f>HYPERLINK("https://klasma.github.io/Logging_2321/tillsynsmail/A 18719-2024 tillsynsbegäran mail.docx", "A 18719-2024")</f>
        <v/>
      </c>
      <c r="Z170">
        <f>HYPERLINK("https://klasma.github.io/Logging_2321/fåglar/A 18719-2024 prioriterade fågelarter.docx", "A 18719-2024")</f>
        <v/>
      </c>
    </row>
    <row r="171" ht="15" customHeight="1">
      <c r="A171" t="inlineStr">
        <is>
          <t>A 23625-2024</t>
        </is>
      </c>
      <c r="B171" s="1" t="n">
        <v>45454</v>
      </c>
      <c r="C171" s="1" t="n">
        <v>45670</v>
      </c>
      <c r="D171" t="inlineStr">
        <is>
          <t>JÄMTLANDS LÄN</t>
        </is>
      </c>
      <c r="E171" t="inlineStr">
        <is>
          <t>ÅRE</t>
        </is>
      </c>
      <c r="G171" t="n">
        <v>15.2</v>
      </c>
      <c r="H171" t="n">
        <v>2</v>
      </c>
      <c r="I171" t="n">
        <v>0</v>
      </c>
      <c r="J171" t="n">
        <v>1</v>
      </c>
      <c r="K171" t="n">
        <v>0</v>
      </c>
      <c r="L171" t="n">
        <v>0</v>
      </c>
      <c r="M171" t="n">
        <v>0</v>
      </c>
      <c r="N171" t="n">
        <v>0</v>
      </c>
      <c r="O171" t="n">
        <v>1</v>
      </c>
      <c r="P171" t="n">
        <v>0</v>
      </c>
      <c r="Q171" t="n">
        <v>2</v>
      </c>
      <c r="R171" s="2" t="inlineStr">
        <is>
          <t>Tretåig hackspett
Lavskrika</t>
        </is>
      </c>
      <c r="S171">
        <f>HYPERLINK("https://klasma.github.io/Logging_2321/artfynd/A 23625-2024 artfynd.xlsx", "A 23625-2024")</f>
        <v/>
      </c>
      <c r="T171">
        <f>HYPERLINK("https://klasma.github.io/Logging_2321/kartor/A 23625-2024 karta.png", "A 23625-2024")</f>
        <v/>
      </c>
      <c r="V171">
        <f>HYPERLINK("https://klasma.github.io/Logging_2321/klagomål/A 23625-2024 FSC-klagomål.docx", "A 23625-2024")</f>
        <v/>
      </c>
      <c r="W171">
        <f>HYPERLINK("https://klasma.github.io/Logging_2321/klagomålsmail/A 23625-2024 FSC-klagomål mail.docx", "A 23625-2024")</f>
        <v/>
      </c>
      <c r="X171">
        <f>HYPERLINK("https://klasma.github.io/Logging_2321/tillsyn/A 23625-2024 tillsynsbegäran.docx", "A 23625-2024")</f>
        <v/>
      </c>
      <c r="Y171">
        <f>HYPERLINK("https://klasma.github.io/Logging_2321/tillsynsmail/A 23625-2024 tillsynsbegäran mail.docx", "A 23625-2024")</f>
        <v/>
      </c>
      <c r="Z171">
        <f>HYPERLINK("https://klasma.github.io/Logging_2321/fåglar/A 23625-2024 prioriterade fågelarter.docx", "A 23625-2024")</f>
        <v/>
      </c>
    </row>
    <row r="172" ht="15" customHeight="1">
      <c r="A172" t="inlineStr">
        <is>
          <t>A 30987-2024</t>
        </is>
      </c>
      <c r="B172" s="1" t="n">
        <v>45499</v>
      </c>
      <c r="C172" s="1" t="n">
        <v>45670</v>
      </c>
      <c r="D172" t="inlineStr">
        <is>
          <t>JÄMTLANDS LÄN</t>
        </is>
      </c>
      <c r="E172" t="inlineStr">
        <is>
          <t>ÅRE</t>
        </is>
      </c>
      <c r="G172" t="n">
        <v>10</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30987-2024 artfynd.xlsx", "A 30987-2024")</f>
        <v/>
      </c>
      <c r="T172">
        <f>HYPERLINK("https://klasma.github.io/Logging_2321/kartor/A 30987-2024 karta.png", "A 30987-2024")</f>
        <v/>
      </c>
      <c r="V172">
        <f>HYPERLINK("https://klasma.github.io/Logging_2321/klagomål/A 30987-2024 FSC-klagomål.docx", "A 30987-2024")</f>
        <v/>
      </c>
      <c r="W172">
        <f>HYPERLINK("https://klasma.github.io/Logging_2321/klagomålsmail/A 30987-2024 FSC-klagomål mail.docx", "A 30987-2024")</f>
        <v/>
      </c>
      <c r="X172">
        <f>HYPERLINK("https://klasma.github.io/Logging_2321/tillsyn/A 30987-2024 tillsynsbegäran.docx", "A 30987-2024")</f>
        <v/>
      </c>
      <c r="Y172">
        <f>HYPERLINK("https://klasma.github.io/Logging_2321/tillsynsmail/A 30987-2024 tillsynsbegäran mail.docx", "A 30987-2024")</f>
        <v/>
      </c>
      <c r="Z172">
        <f>HYPERLINK("https://klasma.github.io/Logging_2321/fåglar/A 30987-2024 prioriterade fågelarter.docx", "A 30987-2024")</f>
        <v/>
      </c>
    </row>
    <row r="173" ht="15" customHeight="1">
      <c r="A173" t="inlineStr">
        <is>
          <t>A 46894-2024</t>
        </is>
      </c>
      <c r="B173" s="1" t="n">
        <v>45583</v>
      </c>
      <c r="C173" s="1" t="n">
        <v>45670</v>
      </c>
      <c r="D173" t="inlineStr">
        <is>
          <t>JÄMTLANDS LÄN</t>
        </is>
      </c>
      <c r="E173" t="inlineStr">
        <is>
          <t>ÅRE</t>
        </is>
      </c>
      <c r="G173" t="n">
        <v>23</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46894-2024 artfynd.xlsx", "A 46894-2024")</f>
        <v/>
      </c>
      <c r="T173">
        <f>HYPERLINK("https://klasma.github.io/Logging_2321/kartor/A 46894-2024 karta.png", "A 46894-2024")</f>
        <v/>
      </c>
      <c r="V173">
        <f>HYPERLINK("https://klasma.github.io/Logging_2321/klagomål/A 46894-2024 FSC-klagomål.docx", "A 46894-2024")</f>
        <v/>
      </c>
      <c r="W173">
        <f>HYPERLINK("https://klasma.github.io/Logging_2321/klagomålsmail/A 46894-2024 FSC-klagomål mail.docx", "A 46894-2024")</f>
        <v/>
      </c>
      <c r="X173">
        <f>HYPERLINK("https://klasma.github.io/Logging_2321/tillsyn/A 46894-2024 tillsynsbegäran.docx", "A 46894-2024")</f>
        <v/>
      </c>
      <c r="Y173">
        <f>HYPERLINK("https://klasma.github.io/Logging_2321/tillsynsmail/A 46894-2024 tillsynsbegäran mail.docx", "A 46894-2024")</f>
        <v/>
      </c>
      <c r="Z173">
        <f>HYPERLINK("https://klasma.github.io/Logging_2321/fåglar/A 46894-2024 prioriterade fågelarter.docx", "A 46894-2024")</f>
        <v/>
      </c>
    </row>
    <row r="174" ht="15" customHeight="1">
      <c r="A174" t="inlineStr">
        <is>
          <t>A 49977-2024</t>
        </is>
      </c>
      <c r="B174" s="1" t="n">
        <v>45597</v>
      </c>
      <c r="C174" s="1" t="n">
        <v>45670</v>
      </c>
      <c r="D174" t="inlineStr">
        <is>
          <t>JÄMTLANDS LÄN</t>
        </is>
      </c>
      <c r="E174" t="inlineStr">
        <is>
          <t>ÅRE</t>
        </is>
      </c>
      <c r="G174" t="n">
        <v>13.3</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HYPERLINK("https://klasma.github.io/Logging_2321/artfynd/A 49977-2024 artfynd.xlsx", "A 49977-2024")</f>
        <v/>
      </c>
      <c r="T174">
        <f>HYPERLINK("https://klasma.github.io/Logging_2321/kartor/A 49977-2024 karta.png", "A 49977-2024")</f>
        <v/>
      </c>
      <c r="V174">
        <f>HYPERLINK("https://klasma.github.io/Logging_2321/klagomål/A 49977-2024 FSC-klagomål.docx", "A 49977-2024")</f>
        <v/>
      </c>
      <c r="W174">
        <f>HYPERLINK("https://klasma.github.io/Logging_2321/klagomålsmail/A 49977-2024 FSC-klagomål mail.docx", "A 49977-2024")</f>
        <v/>
      </c>
      <c r="X174">
        <f>HYPERLINK("https://klasma.github.io/Logging_2321/tillsyn/A 49977-2024 tillsynsbegäran.docx", "A 49977-2024")</f>
        <v/>
      </c>
      <c r="Y174">
        <f>HYPERLINK("https://klasma.github.io/Logging_2321/tillsynsmail/A 49977-2024 tillsynsbegäran mail.docx", "A 49977-2024")</f>
        <v/>
      </c>
      <c r="Z174">
        <f>HYPERLINK("https://klasma.github.io/Logging_2321/fåglar/A 49977-2024 prioriterade fågelarter.docx", "A 49977-2024")</f>
        <v/>
      </c>
    </row>
    <row r="175" ht="15" customHeight="1">
      <c r="A175" t="inlineStr">
        <is>
          <t>A 61875-2024</t>
        </is>
      </c>
      <c r="B175" s="1" t="n">
        <v>45652</v>
      </c>
      <c r="C175" s="1" t="n">
        <v>45670</v>
      </c>
      <c r="D175" t="inlineStr">
        <is>
          <t>JÄMTLANDS LÄN</t>
        </is>
      </c>
      <c r="E175" t="inlineStr">
        <is>
          <t>ÅRE</t>
        </is>
      </c>
      <c r="G175" t="n">
        <v>35.5</v>
      </c>
      <c r="H175" t="n">
        <v>0</v>
      </c>
      <c r="I175" t="n">
        <v>0</v>
      </c>
      <c r="J175" t="n">
        <v>2</v>
      </c>
      <c r="K175" t="n">
        <v>0</v>
      </c>
      <c r="L175" t="n">
        <v>0</v>
      </c>
      <c r="M175" t="n">
        <v>0</v>
      </c>
      <c r="N175" t="n">
        <v>0</v>
      </c>
      <c r="O175" t="n">
        <v>2</v>
      </c>
      <c r="P175" t="n">
        <v>0</v>
      </c>
      <c r="Q175" t="n">
        <v>2</v>
      </c>
      <c r="R175" s="2" t="inlineStr">
        <is>
          <t>Rosenticka
Ullticka</t>
        </is>
      </c>
      <c r="S175">
        <f>HYPERLINK("https://klasma.github.io/Logging_2321/artfynd/A 61875-2024 artfynd.xlsx", "A 61875-2024")</f>
        <v/>
      </c>
      <c r="T175">
        <f>HYPERLINK("https://klasma.github.io/Logging_2321/kartor/A 61875-2024 karta.png", "A 61875-2024")</f>
        <v/>
      </c>
      <c r="V175">
        <f>HYPERLINK("https://klasma.github.io/Logging_2321/klagomål/A 61875-2024 FSC-klagomål.docx", "A 61875-2024")</f>
        <v/>
      </c>
      <c r="W175">
        <f>HYPERLINK("https://klasma.github.io/Logging_2321/klagomålsmail/A 61875-2024 FSC-klagomål mail.docx", "A 61875-2024")</f>
        <v/>
      </c>
      <c r="X175">
        <f>HYPERLINK("https://klasma.github.io/Logging_2321/tillsyn/A 61875-2024 tillsynsbegäran.docx", "A 61875-2024")</f>
        <v/>
      </c>
      <c r="Y175">
        <f>HYPERLINK("https://klasma.github.io/Logging_2321/tillsynsmail/A 61875-2024 tillsynsbegäran mail.docx", "A 61875-2024")</f>
        <v/>
      </c>
    </row>
    <row r="176" ht="15" customHeight="1">
      <c r="A176" t="inlineStr">
        <is>
          <t>A 45794-2019</t>
        </is>
      </c>
      <c r="B176" s="1" t="n">
        <v>43717</v>
      </c>
      <c r="C176" s="1" t="n">
        <v>45670</v>
      </c>
      <c r="D176" t="inlineStr">
        <is>
          <t>JÄMTLANDS LÄN</t>
        </is>
      </c>
      <c r="E176" t="inlineStr">
        <is>
          <t>ÅRE</t>
        </is>
      </c>
      <c r="G176" t="n">
        <v>37.7</v>
      </c>
      <c r="H176" t="n">
        <v>0</v>
      </c>
      <c r="I176" t="n">
        <v>0</v>
      </c>
      <c r="J176" t="n">
        <v>1</v>
      </c>
      <c r="K176" t="n">
        <v>0</v>
      </c>
      <c r="L176" t="n">
        <v>0</v>
      </c>
      <c r="M176" t="n">
        <v>0</v>
      </c>
      <c r="N176" t="n">
        <v>0</v>
      </c>
      <c r="O176" t="n">
        <v>1</v>
      </c>
      <c r="P176" t="n">
        <v>0</v>
      </c>
      <c r="Q176" t="n">
        <v>1</v>
      </c>
      <c r="R176" s="2" t="inlineStr">
        <is>
          <t>Ullticka</t>
        </is>
      </c>
      <c r="S176">
        <f>HYPERLINK("https://klasma.github.io/Logging_2321/artfynd/A 45794-2019 artfynd.xlsx", "A 45794-2019")</f>
        <v/>
      </c>
      <c r="T176">
        <f>HYPERLINK("https://klasma.github.io/Logging_2321/kartor/A 45794-2019 karta.png", "A 45794-2019")</f>
        <v/>
      </c>
      <c r="V176">
        <f>HYPERLINK("https://klasma.github.io/Logging_2321/klagomål/A 45794-2019 FSC-klagomål.docx", "A 45794-2019")</f>
        <v/>
      </c>
      <c r="W176">
        <f>HYPERLINK("https://klasma.github.io/Logging_2321/klagomålsmail/A 45794-2019 FSC-klagomål mail.docx", "A 45794-2019")</f>
        <v/>
      </c>
      <c r="X176">
        <f>HYPERLINK("https://klasma.github.io/Logging_2321/tillsyn/A 45794-2019 tillsynsbegäran.docx", "A 45794-2019")</f>
        <v/>
      </c>
      <c r="Y176">
        <f>HYPERLINK("https://klasma.github.io/Logging_2321/tillsynsmail/A 45794-2019 tillsynsbegäran mail.docx", "A 45794-2019")</f>
        <v/>
      </c>
    </row>
    <row r="177" ht="15" customHeight="1">
      <c r="A177" t="inlineStr">
        <is>
          <t>A 59825-2019</t>
        </is>
      </c>
      <c r="B177" s="1" t="n">
        <v>43774</v>
      </c>
      <c r="C177" s="1" t="n">
        <v>45670</v>
      </c>
      <c r="D177" t="inlineStr">
        <is>
          <t>JÄMTLANDS LÄN</t>
        </is>
      </c>
      <c r="E177" t="inlineStr">
        <is>
          <t>ÅRE</t>
        </is>
      </c>
      <c r="G177" t="n">
        <v>6.8</v>
      </c>
      <c r="H177" t="n">
        <v>0</v>
      </c>
      <c r="I177" t="n">
        <v>0</v>
      </c>
      <c r="J177" t="n">
        <v>1</v>
      </c>
      <c r="K177" t="n">
        <v>0</v>
      </c>
      <c r="L177" t="n">
        <v>0</v>
      </c>
      <c r="M177" t="n">
        <v>0</v>
      </c>
      <c r="N177" t="n">
        <v>0</v>
      </c>
      <c r="O177" t="n">
        <v>1</v>
      </c>
      <c r="P177" t="n">
        <v>0</v>
      </c>
      <c r="Q177" t="n">
        <v>1</v>
      </c>
      <c r="R177" s="2" t="inlineStr">
        <is>
          <t>Lunglav</t>
        </is>
      </c>
      <c r="S177">
        <f>HYPERLINK("https://klasma.github.io/Logging_2321/artfynd/A 59825-2019 artfynd.xlsx", "A 59825-2019")</f>
        <v/>
      </c>
      <c r="T177">
        <f>HYPERLINK("https://klasma.github.io/Logging_2321/kartor/A 59825-2019 karta.png", "A 59825-2019")</f>
        <v/>
      </c>
      <c r="V177">
        <f>HYPERLINK("https://klasma.github.io/Logging_2321/klagomål/A 59825-2019 FSC-klagomål.docx", "A 59825-2019")</f>
        <v/>
      </c>
      <c r="W177">
        <f>HYPERLINK("https://klasma.github.io/Logging_2321/klagomålsmail/A 59825-2019 FSC-klagomål mail.docx", "A 59825-2019")</f>
        <v/>
      </c>
      <c r="X177">
        <f>HYPERLINK("https://klasma.github.io/Logging_2321/tillsyn/A 59825-2019 tillsynsbegäran.docx", "A 59825-2019")</f>
        <v/>
      </c>
      <c r="Y177">
        <f>HYPERLINK("https://klasma.github.io/Logging_2321/tillsynsmail/A 59825-2019 tillsynsbegäran mail.docx", "A 59825-2019")</f>
        <v/>
      </c>
    </row>
    <row r="178" ht="15" customHeight="1">
      <c r="A178" t="inlineStr">
        <is>
          <t>A 20979-2020</t>
        </is>
      </c>
      <c r="B178" s="1" t="n">
        <v>43950</v>
      </c>
      <c r="C178" s="1" t="n">
        <v>45670</v>
      </c>
      <c r="D178" t="inlineStr">
        <is>
          <t>JÄMTLANDS LÄN</t>
        </is>
      </c>
      <c r="E178" t="inlineStr">
        <is>
          <t>ÅRE</t>
        </is>
      </c>
      <c r="G178" t="n">
        <v>16.5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20979-2020 artfynd.xlsx", "A 20979-2020")</f>
        <v/>
      </c>
      <c r="T178">
        <f>HYPERLINK("https://klasma.github.io/Logging_2321/kartor/A 20979-2020 karta.png", "A 20979-2020")</f>
        <v/>
      </c>
      <c r="V178">
        <f>HYPERLINK("https://klasma.github.io/Logging_2321/klagomål/A 20979-2020 FSC-klagomål.docx", "A 20979-2020")</f>
        <v/>
      </c>
      <c r="W178">
        <f>HYPERLINK("https://klasma.github.io/Logging_2321/klagomålsmail/A 20979-2020 FSC-klagomål mail.docx", "A 20979-2020")</f>
        <v/>
      </c>
      <c r="X178">
        <f>HYPERLINK("https://klasma.github.io/Logging_2321/tillsyn/A 20979-2020 tillsynsbegäran.docx", "A 20979-2020")</f>
        <v/>
      </c>
      <c r="Y178">
        <f>HYPERLINK("https://klasma.github.io/Logging_2321/tillsynsmail/A 20979-2020 tillsynsbegäran mail.docx", "A 20979-2020")</f>
        <v/>
      </c>
      <c r="Z178">
        <f>HYPERLINK("https://klasma.github.io/Logging_2321/fåglar/A 20979-2020 prioriterade fågelarter.docx", "A 20979-2020")</f>
        <v/>
      </c>
    </row>
    <row r="179" ht="15" customHeight="1">
      <c r="A179" t="inlineStr">
        <is>
          <t>A 29084-2020</t>
        </is>
      </c>
      <c r="B179" s="1" t="n">
        <v>44002</v>
      </c>
      <c r="C179" s="1" t="n">
        <v>45670</v>
      </c>
      <c r="D179" t="inlineStr">
        <is>
          <t>JÄMTLANDS LÄN</t>
        </is>
      </c>
      <c r="E179" t="inlineStr">
        <is>
          <t>ÅRE</t>
        </is>
      </c>
      <c r="G179" t="n">
        <v>15.5</v>
      </c>
      <c r="H179" t="n">
        <v>0</v>
      </c>
      <c r="I179" t="n">
        <v>0</v>
      </c>
      <c r="J179" t="n">
        <v>1</v>
      </c>
      <c r="K179" t="n">
        <v>0</v>
      </c>
      <c r="L179" t="n">
        <v>0</v>
      </c>
      <c r="M179" t="n">
        <v>0</v>
      </c>
      <c r="N179" t="n">
        <v>0</v>
      </c>
      <c r="O179" t="n">
        <v>1</v>
      </c>
      <c r="P179" t="n">
        <v>0</v>
      </c>
      <c r="Q179" t="n">
        <v>1</v>
      </c>
      <c r="R179" s="2" t="inlineStr">
        <is>
          <t>Gränsticka</t>
        </is>
      </c>
      <c r="S179">
        <f>HYPERLINK("https://klasma.github.io/Logging_2321/artfynd/A 29084-2020 artfynd.xlsx", "A 29084-2020")</f>
        <v/>
      </c>
      <c r="T179">
        <f>HYPERLINK("https://klasma.github.io/Logging_2321/kartor/A 29084-2020 karta.png", "A 29084-2020")</f>
        <v/>
      </c>
      <c r="V179">
        <f>HYPERLINK("https://klasma.github.io/Logging_2321/klagomål/A 29084-2020 FSC-klagomål.docx", "A 29084-2020")</f>
        <v/>
      </c>
      <c r="W179">
        <f>HYPERLINK("https://klasma.github.io/Logging_2321/klagomålsmail/A 29084-2020 FSC-klagomål mail.docx", "A 29084-2020")</f>
        <v/>
      </c>
      <c r="X179">
        <f>HYPERLINK("https://klasma.github.io/Logging_2321/tillsyn/A 29084-2020 tillsynsbegäran.docx", "A 29084-2020")</f>
        <v/>
      </c>
      <c r="Y179">
        <f>HYPERLINK("https://klasma.github.io/Logging_2321/tillsynsmail/A 29084-2020 tillsynsbegäran mail.docx", "A 29084-2020")</f>
        <v/>
      </c>
    </row>
    <row r="180" ht="15" customHeight="1">
      <c r="A180" t="inlineStr">
        <is>
          <t>A 46966-2020</t>
        </is>
      </c>
      <c r="B180" s="1" t="n">
        <v>44090</v>
      </c>
      <c r="C180" s="1" t="n">
        <v>45670</v>
      </c>
      <c r="D180" t="inlineStr">
        <is>
          <t>JÄMTLANDS LÄN</t>
        </is>
      </c>
      <c r="E180" t="inlineStr">
        <is>
          <t>ÅRE</t>
        </is>
      </c>
      <c r="G180" t="n">
        <v>13.7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46966-2020 artfynd.xlsx", "A 46966-2020")</f>
        <v/>
      </c>
      <c r="T180">
        <f>HYPERLINK("https://klasma.github.io/Logging_2321/kartor/A 46966-2020 karta.png", "A 46966-2020")</f>
        <v/>
      </c>
      <c r="V180">
        <f>HYPERLINK("https://klasma.github.io/Logging_2321/klagomål/A 46966-2020 FSC-klagomål.docx", "A 46966-2020")</f>
        <v/>
      </c>
      <c r="W180">
        <f>HYPERLINK("https://klasma.github.io/Logging_2321/klagomålsmail/A 46966-2020 FSC-klagomål mail.docx", "A 46966-2020")</f>
        <v/>
      </c>
      <c r="X180">
        <f>HYPERLINK("https://klasma.github.io/Logging_2321/tillsyn/A 46966-2020 tillsynsbegäran.docx", "A 46966-2020")</f>
        <v/>
      </c>
      <c r="Y180">
        <f>HYPERLINK("https://klasma.github.io/Logging_2321/tillsynsmail/A 46966-2020 tillsynsbegäran mail.docx", "A 46966-2020")</f>
        <v/>
      </c>
      <c r="Z180">
        <f>HYPERLINK("https://klasma.github.io/Logging_2321/fåglar/A 46966-2020 prioriterade fågelarter.docx", "A 46966-2020")</f>
        <v/>
      </c>
    </row>
    <row r="181" ht="15" customHeight="1">
      <c r="A181" t="inlineStr">
        <is>
          <t>A 46959-2020</t>
        </is>
      </c>
      <c r="B181" s="1" t="n">
        <v>44090</v>
      </c>
      <c r="C181" s="1" t="n">
        <v>45670</v>
      </c>
      <c r="D181" t="inlineStr">
        <is>
          <t>JÄMTLANDS LÄN</t>
        </is>
      </c>
      <c r="E181" t="inlineStr">
        <is>
          <t>ÅRE</t>
        </is>
      </c>
      <c r="G181" t="n">
        <v>4.7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46959-2020 artfynd.xlsx", "A 46959-2020")</f>
        <v/>
      </c>
      <c r="T181">
        <f>HYPERLINK("https://klasma.github.io/Logging_2321/kartor/A 46959-2020 karta.png", "A 46959-2020")</f>
        <v/>
      </c>
      <c r="V181">
        <f>HYPERLINK("https://klasma.github.io/Logging_2321/klagomål/A 46959-2020 FSC-klagomål.docx", "A 46959-2020")</f>
        <v/>
      </c>
      <c r="W181">
        <f>HYPERLINK("https://klasma.github.io/Logging_2321/klagomålsmail/A 46959-2020 FSC-klagomål mail.docx", "A 46959-2020")</f>
        <v/>
      </c>
      <c r="X181">
        <f>HYPERLINK("https://klasma.github.io/Logging_2321/tillsyn/A 46959-2020 tillsynsbegäran.docx", "A 46959-2020")</f>
        <v/>
      </c>
      <c r="Y181">
        <f>HYPERLINK("https://klasma.github.io/Logging_2321/tillsynsmail/A 46959-2020 tillsynsbegäran mail.docx", "A 46959-2020")</f>
        <v/>
      </c>
      <c r="Z181">
        <f>HYPERLINK("https://klasma.github.io/Logging_2321/fåglar/A 46959-2020 prioriterade fågelarter.docx", "A 46959-2020")</f>
        <v/>
      </c>
    </row>
    <row r="182" ht="15" customHeight="1">
      <c r="A182" t="inlineStr">
        <is>
          <t>A 52542-2020</t>
        </is>
      </c>
      <c r="B182" s="1" t="n">
        <v>44116</v>
      </c>
      <c r="C182" s="1" t="n">
        <v>45670</v>
      </c>
      <c r="D182" t="inlineStr">
        <is>
          <t>JÄMTLANDS LÄN</t>
        </is>
      </c>
      <c r="E182" t="inlineStr">
        <is>
          <t>ÅRE</t>
        </is>
      </c>
      <c r="G182" t="n">
        <v>5.5</v>
      </c>
      <c r="H182" t="n">
        <v>0</v>
      </c>
      <c r="I182" t="n">
        <v>0</v>
      </c>
      <c r="J182" t="n">
        <v>1</v>
      </c>
      <c r="K182" t="n">
        <v>0</v>
      </c>
      <c r="L182" t="n">
        <v>0</v>
      </c>
      <c r="M182" t="n">
        <v>0</v>
      </c>
      <c r="N182" t="n">
        <v>0</v>
      </c>
      <c r="O182" t="n">
        <v>1</v>
      </c>
      <c r="P182" t="n">
        <v>0</v>
      </c>
      <c r="Q182" t="n">
        <v>1</v>
      </c>
      <c r="R182" s="2" t="inlineStr">
        <is>
          <t>Skrovellav</t>
        </is>
      </c>
      <c r="S182">
        <f>HYPERLINK("https://klasma.github.io/Logging_2321/artfynd/A 52542-2020 artfynd.xlsx", "A 52542-2020")</f>
        <v/>
      </c>
      <c r="T182">
        <f>HYPERLINK("https://klasma.github.io/Logging_2321/kartor/A 52542-2020 karta.png", "A 52542-2020")</f>
        <v/>
      </c>
      <c r="V182">
        <f>HYPERLINK("https://klasma.github.io/Logging_2321/klagomål/A 52542-2020 FSC-klagomål.docx", "A 52542-2020")</f>
        <v/>
      </c>
      <c r="W182">
        <f>HYPERLINK("https://klasma.github.io/Logging_2321/klagomålsmail/A 52542-2020 FSC-klagomål mail.docx", "A 52542-2020")</f>
        <v/>
      </c>
      <c r="X182">
        <f>HYPERLINK("https://klasma.github.io/Logging_2321/tillsyn/A 52542-2020 tillsynsbegäran.docx", "A 52542-2020")</f>
        <v/>
      </c>
      <c r="Y182">
        <f>HYPERLINK("https://klasma.github.io/Logging_2321/tillsynsmail/A 52542-2020 tillsynsbegäran mail.docx", "A 52542-2020")</f>
        <v/>
      </c>
    </row>
    <row r="183" ht="15" customHeight="1">
      <c r="A183" t="inlineStr">
        <is>
          <t>A 53598-2020</t>
        </is>
      </c>
      <c r="B183" s="1" t="n">
        <v>44124</v>
      </c>
      <c r="C183" s="1" t="n">
        <v>45670</v>
      </c>
      <c r="D183" t="inlineStr">
        <is>
          <t>JÄMTLANDS LÄN</t>
        </is>
      </c>
      <c r="E183" t="inlineStr">
        <is>
          <t>ÅRE</t>
        </is>
      </c>
      <c r="G183" t="n">
        <v>11.7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53598-2020 artfynd.xlsx", "A 53598-2020")</f>
        <v/>
      </c>
      <c r="T183">
        <f>HYPERLINK("https://klasma.github.io/Logging_2321/kartor/A 53598-2020 karta.png", "A 53598-2020")</f>
        <v/>
      </c>
      <c r="V183">
        <f>HYPERLINK("https://klasma.github.io/Logging_2321/klagomål/A 53598-2020 FSC-klagomål.docx", "A 53598-2020")</f>
        <v/>
      </c>
      <c r="W183">
        <f>HYPERLINK("https://klasma.github.io/Logging_2321/klagomålsmail/A 53598-2020 FSC-klagomål mail.docx", "A 53598-2020")</f>
        <v/>
      </c>
      <c r="X183">
        <f>HYPERLINK("https://klasma.github.io/Logging_2321/tillsyn/A 53598-2020 tillsynsbegäran.docx", "A 53598-2020")</f>
        <v/>
      </c>
      <c r="Y183">
        <f>HYPERLINK("https://klasma.github.io/Logging_2321/tillsynsmail/A 53598-2020 tillsynsbegäran mail.docx", "A 53598-2020")</f>
        <v/>
      </c>
      <c r="Z183">
        <f>HYPERLINK("https://klasma.github.io/Logging_2321/fåglar/A 53598-2020 prioriterade fågelarter.docx", "A 53598-2020")</f>
        <v/>
      </c>
    </row>
    <row r="184" ht="15" customHeight="1">
      <c r="A184" t="inlineStr">
        <is>
          <t>A 65517-2020</t>
        </is>
      </c>
      <c r="B184" s="1" t="n">
        <v>44173</v>
      </c>
      <c r="C184" s="1" t="n">
        <v>45670</v>
      </c>
      <c r="D184" t="inlineStr">
        <is>
          <t>JÄMTLANDS LÄN</t>
        </is>
      </c>
      <c r="E184" t="inlineStr">
        <is>
          <t>ÅRE</t>
        </is>
      </c>
      <c r="G184" t="n">
        <v>4.6</v>
      </c>
      <c r="H184" t="n">
        <v>0</v>
      </c>
      <c r="I184" t="n">
        <v>0</v>
      </c>
      <c r="J184" t="n">
        <v>1</v>
      </c>
      <c r="K184" t="n">
        <v>0</v>
      </c>
      <c r="L184" t="n">
        <v>0</v>
      </c>
      <c r="M184" t="n">
        <v>0</v>
      </c>
      <c r="N184" t="n">
        <v>0</v>
      </c>
      <c r="O184" t="n">
        <v>1</v>
      </c>
      <c r="P184" t="n">
        <v>0</v>
      </c>
      <c r="Q184" t="n">
        <v>1</v>
      </c>
      <c r="R184" s="2" t="inlineStr">
        <is>
          <t>Doftskinn</t>
        </is>
      </c>
      <c r="S184">
        <f>HYPERLINK("https://klasma.github.io/Logging_2321/artfynd/A 65517-2020 artfynd.xlsx", "A 65517-2020")</f>
        <v/>
      </c>
      <c r="T184">
        <f>HYPERLINK("https://klasma.github.io/Logging_2321/kartor/A 65517-2020 karta.png", "A 65517-2020")</f>
        <v/>
      </c>
      <c r="V184">
        <f>HYPERLINK("https://klasma.github.io/Logging_2321/klagomål/A 65517-2020 FSC-klagomål.docx", "A 65517-2020")</f>
        <v/>
      </c>
      <c r="W184">
        <f>HYPERLINK("https://klasma.github.io/Logging_2321/klagomålsmail/A 65517-2020 FSC-klagomål mail.docx", "A 65517-2020")</f>
        <v/>
      </c>
      <c r="X184">
        <f>HYPERLINK("https://klasma.github.io/Logging_2321/tillsyn/A 65517-2020 tillsynsbegäran.docx", "A 65517-2020")</f>
        <v/>
      </c>
      <c r="Y184">
        <f>HYPERLINK("https://klasma.github.io/Logging_2321/tillsynsmail/A 65517-2020 tillsynsbegäran mail.docx", "A 65517-2020")</f>
        <v/>
      </c>
    </row>
    <row r="185" ht="15" customHeight="1">
      <c r="A185" t="inlineStr">
        <is>
          <t>A 65446-2020</t>
        </is>
      </c>
      <c r="B185" s="1" t="n">
        <v>44173</v>
      </c>
      <c r="C185" s="1" t="n">
        <v>45670</v>
      </c>
      <c r="D185" t="inlineStr">
        <is>
          <t>JÄMTLANDS LÄN</t>
        </is>
      </c>
      <c r="E185" t="inlineStr">
        <is>
          <t>ÅRE</t>
        </is>
      </c>
      <c r="G185" t="n">
        <v>7.2</v>
      </c>
      <c r="H185" t="n">
        <v>0</v>
      </c>
      <c r="I185" t="n">
        <v>0</v>
      </c>
      <c r="J185" t="n">
        <v>1</v>
      </c>
      <c r="K185" t="n">
        <v>0</v>
      </c>
      <c r="L185" t="n">
        <v>0</v>
      </c>
      <c r="M185" t="n">
        <v>0</v>
      </c>
      <c r="N185" t="n">
        <v>0</v>
      </c>
      <c r="O185" t="n">
        <v>1</v>
      </c>
      <c r="P185" t="n">
        <v>0</v>
      </c>
      <c r="Q185" t="n">
        <v>1</v>
      </c>
      <c r="R185" s="2" t="inlineStr">
        <is>
          <t>Ullticka</t>
        </is>
      </c>
      <c r="S185">
        <f>HYPERLINK("https://klasma.github.io/Logging_2321/artfynd/A 65446-2020 artfynd.xlsx", "A 65446-2020")</f>
        <v/>
      </c>
      <c r="T185">
        <f>HYPERLINK("https://klasma.github.io/Logging_2321/kartor/A 65446-2020 karta.png", "A 65446-2020")</f>
        <v/>
      </c>
      <c r="V185">
        <f>HYPERLINK("https://klasma.github.io/Logging_2321/klagomål/A 65446-2020 FSC-klagomål.docx", "A 65446-2020")</f>
        <v/>
      </c>
      <c r="W185">
        <f>HYPERLINK("https://klasma.github.io/Logging_2321/klagomålsmail/A 65446-2020 FSC-klagomål mail.docx", "A 65446-2020")</f>
        <v/>
      </c>
      <c r="X185">
        <f>HYPERLINK("https://klasma.github.io/Logging_2321/tillsyn/A 65446-2020 tillsynsbegäran.docx", "A 65446-2020")</f>
        <v/>
      </c>
      <c r="Y185">
        <f>HYPERLINK("https://klasma.github.io/Logging_2321/tillsynsmail/A 65446-2020 tillsynsbegäran mail.docx", "A 65446-2020")</f>
        <v/>
      </c>
    </row>
    <row r="186" ht="15" customHeight="1">
      <c r="A186" t="inlineStr">
        <is>
          <t>A 2422-2021</t>
        </is>
      </c>
      <c r="B186" s="1" t="n">
        <v>44214</v>
      </c>
      <c r="C186" s="1" t="n">
        <v>45670</v>
      </c>
      <c r="D186" t="inlineStr">
        <is>
          <t>JÄMTLANDS LÄN</t>
        </is>
      </c>
      <c r="E186" t="inlineStr">
        <is>
          <t>ÅRE</t>
        </is>
      </c>
      <c r="G186" t="n">
        <v>3.3</v>
      </c>
      <c r="H186" t="n">
        <v>1</v>
      </c>
      <c r="I186" t="n">
        <v>0</v>
      </c>
      <c r="J186" t="n">
        <v>0</v>
      </c>
      <c r="K186" t="n">
        <v>0</v>
      </c>
      <c r="L186" t="n">
        <v>0</v>
      </c>
      <c r="M186" t="n">
        <v>0</v>
      </c>
      <c r="N186" t="n">
        <v>0</v>
      </c>
      <c r="O186" t="n">
        <v>0</v>
      </c>
      <c r="P186" t="n">
        <v>0</v>
      </c>
      <c r="Q186" t="n">
        <v>1</v>
      </c>
      <c r="R186" s="2" t="inlineStr">
        <is>
          <t>Fläcknycklar</t>
        </is>
      </c>
      <c r="S186">
        <f>HYPERLINK("https://klasma.github.io/Logging_2321/artfynd/A 2422-2021 artfynd.xlsx", "A 2422-2021")</f>
        <v/>
      </c>
      <c r="T186">
        <f>HYPERLINK("https://klasma.github.io/Logging_2321/kartor/A 2422-2021 karta.png", "A 2422-2021")</f>
        <v/>
      </c>
      <c r="V186">
        <f>HYPERLINK("https://klasma.github.io/Logging_2321/klagomål/A 2422-2021 FSC-klagomål.docx", "A 2422-2021")</f>
        <v/>
      </c>
      <c r="W186">
        <f>HYPERLINK("https://klasma.github.io/Logging_2321/klagomålsmail/A 2422-2021 FSC-klagomål mail.docx", "A 2422-2021")</f>
        <v/>
      </c>
      <c r="X186">
        <f>HYPERLINK("https://klasma.github.io/Logging_2321/tillsyn/A 2422-2021 tillsynsbegäran.docx", "A 2422-2021")</f>
        <v/>
      </c>
      <c r="Y186">
        <f>HYPERLINK("https://klasma.github.io/Logging_2321/tillsynsmail/A 2422-2021 tillsynsbegäran mail.docx", "A 2422-2021")</f>
        <v/>
      </c>
    </row>
    <row r="187" ht="15" customHeight="1">
      <c r="A187" t="inlineStr">
        <is>
          <t>A 11781-2021</t>
        </is>
      </c>
      <c r="B187" s="1" t="n">
        <v>44265</v>
      </c>
      <c r="C187" s="1" t="n">
        <v>45670</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Finbräken</t>
        </is>
      </c>
      <c r="S187">
        <f>HYPERLINK("https://klasma.github.io/Logging_2321/artfynd/A 11781-2021 artfynd.xlsx", "A 11781-2021")</f>
        <v/>
      </c>
      <c r="T187">
        <f>HYPERLINK("https://klasma.github.io/Logging_2321/kartor/A 11781-2021 karta.png", "A 11781-2021")</f>
        <v/>
      </c>
      <c r="V187">
        <f>HYPERLINK("https://klasma.github.io/Logging_2321/klagomål/A 11781-2021 FSC-klagomål.docx", "A 11781-2021")</f>
        <v/>
      </c>
      <c r="W187">
        <f>HYPERLINK("https://klasma.github.io/Logging_2321/klagomålsmail/A 11781-2021 FSC-klagomål mail.docx", "A 11781-2021")</f>
        <v/>
      </c>
      <c r="X187">
        <f>HYPERLINK("https://klasma.github.io/Logging_2321/tillsyn/A 11781-2021 tillsynsbegäran.docx", "A 11781-2021")</f>
        <v/>
      </c>
      <c r="Y187">
        <f>HYPERLINK("https://klasma.github.io/Logging_2321/tillsynsmail/A 11781-2021 tillsynsbegäran mail.docx", "A 11781-2021")</f>
        <v/>
      </c>
    </row>
    <row r="188" ht="15" customHeight="1">
      <c r="A188" t="inlineStr">
        <is>
          <t>A 11767-2021</t>
        </is>
      </c>
      <c r="B188" s="1" t="n">
        <v>44265</v>
      </c>
      <c r="C188" s="1" t="n">
        <v>45670</v>
      </c>
      <c r="D188" t="inlineStr">
        <is>
          <t>JÄMTLANDS LÄN</t>
        </is>
      </c>
      <c r="E188" t="inlineStr">
        <is>
          <t>ÅRE</t>
        </is>
      </c>
      <c r="G188" t="n">
        <v>15.4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11767-2021 artfynd.xlsx", "A 11767-2021")</f>
        <v/>
      </c>
      <c r="T188">
        <f>HYPERLINK("https://klasma.github.io/Logging_2321/kartor/A 11767-2021 karta.png", "A 11767-2021")</f>
        <v/>
      </c>
      <c r="V188">
        <f>HYPERLINK("https://klasma.github.io/Logging_2321/klagomål/A 11767-2021 FSC-klagomål.docx", "A 11767-2021")</f>
        <v/>
      </c>
      <c r="W188">
        <f>HYPERLINK("https://klasma.github.io/Logging_2321/klagomålsmail/A 11767-2021 FSC-klagomål mail.docx", "A 11767-2021")</f>
        <v/>
      </c>
      <c r="X188">
        <f>HYPERLINK("https://klasma.github.io/Logging_2321/tillsyn/A 11767-2021 tillsynsbegäran.docx", "A 11767-2021")</f>
        <v/>
      </c>
      <c r="Y188">
        <f>HYPERLINK("https://klasma.github.io/Logging_2321/tillsynsmail/A 11767-2021 tillsynsbegäran mail.docx", "A 11767-2021")</f>
        <v/>
      </c>
      <c r="Z188">
        <f>HYPERLINK("https://klasma.github.io/Logging_2321/fåglar/A 11767-2021 prioriterade fågelarter.docx", "A 11767-2021")</f>
        <v/>
      </c>
    </row>
    <row r="189" ht="15" customHeight="1">
      <c r="A189" t="inlineStr">
        <is>
          <t>A 12970-2021</t>
        </is>
      </c>
      <c r="B189" s="1" t="n">
        <v>44271</v>
      </c>
      <c r="C189" s="1" t="n">
        <v>45670</v>
      </c>
      <c r="D189" t="inlineStr">
        <is>
          <t>JÄMTLANDS LÄN</t>
        </is>
      </c>
      <c r="E189" t="inlineStr">
        <is>
          <t>ÅRE</t>
        </is>
      </c>
      <c r="G189" t="n">
        <v>20.5</v>
      </c>
      <c r="H189" t="n">
        <v>1</v>
      </c>
      <c r="I189" t="n">
        <v>1</v>
      </c>
      <c r="J189" t="n">
        <v>0</v>
      </c>
      <c r="K189" t="n">
        <v>0</v>
      </c>
      <c r="L189" t="n">
        <v>0</v>
      </c>
      <c r="M189" t="n">
        <v>0</v>
      </c>
      <c r="N189" t="n">
        <v>0</v>
      </c>
      <c r="O189" t="n">
        <v>0</v>
      </c>
      <c r="P189" t="n">
        <v>0</v>
      </c>
      <c r="Q189" t="n">
        <v>1</v>
      </c>
      <c r="R189" s="2" t="inlineStr">
        <is>
          <t>Spindelblomster</t>
        </is>
      </c>
      <c r="S189">
        <f>HYPERLINK("https://klasma.github.io/Logging_2321/artfynd/A 12970-2021 artfynd.xlsx", "A 12970-2021")</f>
        <v/>
      </c>
      <c r="T189">
        <f>HYPERLINK("https://klasma.github.io/Logging_2321/kartor/A 12970-2021 karta.png", "A 12970-2021")</f>
        <v/>
      </c>
      <c r="V189">
        <f>HYPERLINK("https://klasma.github.io/Logging_2321/klagomål/A 12970-2021 FSC-klagomål.docx", "A 12970-2021")</f>
        <v/>
      </c>
      <c r="W189">
        <f>HYPERLINK("https://klasma.github.io/Logging_2321/klagomålsmail/A 12970-2021 FSC-klagomål mail.docx", "A 12970-2021")</f>
        <v/>
      </c>
      <c r="X189">
        <f>HYPERLINK("https://klasma.github.io/Logging_2321/tillsyn/A 12970-2021 tillsynsbegäran.docx", "A 12970-2021")</f>
        <v/>
      </c>
      <c r="Y189">
        <f>HYPERLINK("https://klasma.github.io/Logging_2321/tillsynsmail/A 12970-2021 tillsynsbegäran mail.docx", "A 12970-2021")</f>
        <v/>
      </c>
    </row>
    <row r="190" ht="15" customHeight="1">
      <c r="A190" t="inlineStr">
        <is>
          <t>A 18543-2021</t>
        </is>
      </c>
      <c r="B190" s="1" t="n">
        <v>44306</v>
      </c>
      <c r="C190" s="1" t="n">
        <v>45670</v>
      </c>
      <c r="D190" t="inlineStr">
        <is>
          <t>JÄMTLANDS LÄN</t>
        </is>
      </c>
      <c r="E190" t="inlineStr">
        <is>
          <t>ÅRE</t>
        </is>
      </c>
      <c r="G190" t="n">
        <v>1.7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18543-2021 artfynd.xlsx", "A 18543-2021")</f>
        <v/>
      </c>
      <c r="T190">
        <f>HYPERLINK("https://klasma.github.io/Logging_2321/kartor/A 18543-2021 karta.png", "A 18543-2021")</f>
        <v/>
      </c>
      <c r="V190">
        <f>HYPERLINK("https://klasma.github.io/Logging_2321/klagomål/A 18543-2021 FSC-klagomål.docx", "A 18543-2021")</f>
        <v/>
      </c>
      <c r="W190">
        <f>HYPERLINK("https://klasma.github.io/Logging_2321/klagomålsmail/A 18543-2021 FSC-klagomål mail.docx", "A 18543-2021")</f>
        <v/>
      </c>
      <c r="X190">
        <f>HYPERLINK("https://klasma.github.io/Logging_2321/tillsyn/A 18543-2021 tillsynsbegäran.docx", "A 18543-2021")</f>
        <v/>
      </c>
      <c r="Y190">
        <f>HYPERLINK("https://klasma.github.io/Logging_2321/tillsynsmail/A 18543-2021 tillsynsbegäran mail.docx", "A 18543-2021")</f>
        <v/>
      </c>
      <c r="Z190">
        <f>HYPERLINK("https://klasma.github.io/Logging_2321/fåglar/A 18543-2021 prioriterade fågelarter.docx", "A 18543-2021")</f>
        <v/>
      </c>
    </row>
    <row r="191" ht="15" customHeight="1">
      <c r="A191" t="inlineStr">
        <is>
          <t>A 20500-2021</t>
        </is>
      </c>
      <c r="B191" s="1" t="n">
        <v>44315</v>
      </c>
      <c r="C191" s="1" t="n">
        <v>45670</v>
      </c>
      <c r="D191" t="inlineStr">
        <is>
          <t>JÄMTLANDS LÄN</t>
        </is>
      </c>
      <c r="E191" t="inlineStr">
        <is>
          <t>ÅRE</t>
        </is>
      </c>
      <c r="G191" t="n">
        <v>3</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20500-2021 artfynd.xlsx", "A 20500-2021")</f>
        <v/>
      </c>
      <c r="T191">
        <f>HYPERLINK("https://klasma.github.io/Logging_2321/kartor/A 20500-2021 karta.png", "A 20500-2021")</f>
        <v/>
      </c>
      <c r="V191">
        <f>HYPERLINK("https://klasma.github.io/Logging_2321/klagomål/A 20500-2021 FSC-klagomål.docx", "A 20500-2021")</f>
        <v/>
      </c>
      <c r="W191">
        <f>HYPERLINK("https://klasma.github.io/Logging_2321/klagomålsmail/A 20500-2021 FSC-klagomål mail.docx", "A 20500-2021")</f>
        <v/>
      </c>
      <c r="X191">
        <f>HYPERLINK("https://klasma.github.io/Logging_2321/tillsyn/A 20500-2021 tillsynsbegäran.docx", "A 20500-2021")</f>
        <v/>
      </c>
      <c r="Y191">
        <f>HYPERLINK("https://klasma.github.io/Logging_2321/tillsynsmail/A 20500-2021 tillsynsbegäran mail.docx", "A 20500-2021")</f>
        <v/>
      </c>
    </row>
    <row r="192" ht="15" customHeight="1">
      <c r="A192" t="inlineStr">
        <is>
          <t>A 23556-2021</t>
        </is>
      </c>
      <c r="B192" s="1" t="n">
        <v>44334</v>
      </c>
      <c r="C192" s="1" t="n">
        <v>45670</v>
      </c>
      <c r="D192" t="inlineStr">
        <is>
          <t>JÄMTLANDS LÄN</t>
        </is>
      </c>
      <c r="E192" t="inlineStr">
        <is>
          <t>ÅRE</t>
        </is>
      </c>
      <c r="G192" t="n">
        <v>11.1</v>
      </c>
      <c r="H192" t="n">
        <v>1</v>
      </c>
      <c r="I192" t="n">
        <v>1</v>
      </c>
      <c r="J192" t="n">
        <v>0</v>
      </c>
      <c r="K192" t="n">
        <v>0</v>
      </c>
      <c r="L192" t="n">
        <v>0</v>
      </c>
      <c r="M192" t="n">
        <v>0</v>
      </c>
      <c r="N192" t="n">
        <v>0</v>
      </c>
      <c r="O192" t="n">
        <v>0</v>
      </c>
      <c r="P192" t="n">
        <v>0</v>
      </c>
      <c r="Q192" t="n">
        <v>1</v>
      </c>
      <c r="R192" s="2" t="inlineStr">
        <is>
          <t>Tvåblad</t>
        </is>
      </c>
      <c r="S192">
        <f>HYPERLINK("https://klasma.github.io/Logging_2321/artfynd/A 23556-2021 artfynd.xlsx", "A 23556-2021")</f>
        <v/>
      </c>
      <c r="T192">
        <f>HYPERLINK("https://klasma.github.io/Logging_2321/kartor/A 23556-2021 karta.png", "A 23556-2021")</f>
        <v/>
      </c>
      <c r="V192">
        <f>HYPERLINK("https://klasma.github.io/Logging_2321/klagomål/A 23556-2021 FSC-klagomål.docx", "A 23556-2021")</f>
        <v/>
      </c>
      <c r="W192">
        <f>HYPERLINK("https://klasma.github.io/Logging_2321/klagomålsmail/A 23556-2021 FSC-klagomål mail.docx", "A 23556-2021")</f>
        <v/>
      </c>
      <c r="X192">
        <f>HYPERLINK("https://klasma.github.io/Logging_2321/tillsyn/A 23556-2021 tillsynsbegäran.docx", "A 23556-2021")</f>
        <v/>
      </c>
      <c r="Y192">
        <f>HYPERLINK("https://klasma.github.io/Logging_2321/tillsynsmail/A 23556-2021 tillsynsbegäran mail.docx", "A 23556-2021")</f>
        <v/>
      </c>
    </row>
    <row r="193" ht="15" customHeight="1">
      <c r="A193" t="inlineStr">
        <is>
          <t>A 37082-2021</t>
        </is>
      </c>
      <c r="B193" s="1" t="n">
        <v>44395</v>
      </c>
      <c r="C193" s="1" t="n">
        <v>45670</v>
      </c>
      <c r="D193" t="inlineStr">
        <is>
          <t>JÄMTLANDS LÄN</t>
        </is>
      </c>
      <c r="E193" t="inlineStr">
        <is>
          <t>ÅRE</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37082-2021 artfynd.xlsx", "A 37082-2021")</f>
        <v/>
      </c>
      <c r="T193">
        <f>HYPERLINK("https://klasma.github.io/Logging_2321/kartor/A 37082-2021 karta.png", "A 37082-2021")</f>
        <v/>
      </c>
      <c r="V193">
        <f>HYPERLINK("https://klasma.github.io/Logging_2321/klagomål/A 37082-2021 FSC-klagomål.docx", "A 37082-2021")</f>
        <v/>
      </c>
      <c r="W193">
        <f>HYPERLINK("https://klasma.github.io/Logging_2321/klagomålsmail/A 37082-2021 FSC-klagomål mail.docx", "A 37082-2021")</f>
        <v/>
      </c>
      <c r="X193">
        <f>HYPERLINK("https://klasma.github.io/Logging_2321/tillsyn/A 37082-2021 tillsynsbegäran.docx", "A 37082-2021")</f>
        <v/>
      </c>
      <c r="Y193">
        <f>HYPERLINK("https://klasma.github.io/Logging_2321/tillsynsmail/A 37082-2021 tillsynsbegäran mail.docx", "A 37082-2021")</f>
        <v/>
      </c>
      <c r="Z193">
        <f>HYPERLINK("https://klasma.github.io/Logging_2321/fåglar/A 37082-2021 prioriterade fågelarter.docx", "A 37082-2021")</f>
        <v/>
      </c>
    </row>
    <row r="194" ht="15" customHeight="1">
      <c r="A194" t="inlineStr">
        <is>
          <t>A 56193-2021</t>
        </is>
      </c>
      <c r="B194" s="1" t="n">
        <v>44477</v>
      </c>
      <c r="C194" s="1" t="n">
        <v>45670</v>
      </c>
      <c r="D194" t="inlineStr">
        <is>
          <t>JÄMTLANDS LÄN</t>
        </is>
      </c>
      <c r="E194" t="inlineStr">
        <is>
          <t>ÅRE</t>
        </is>
      </c>
      <c r="F194" t="inlineStr">
        <is>
          <t>Övriga Aktiebolag</t>
        </is>
      </c>
      <c r="G194" t="n">
        <v>15.5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56193-2021 artfynd.xlsx", "A 56193-2021")</f>
        <v/>
      </c>
      <c r="T194">
        <f>HYPERLINK("https://klasma.github.io/Logging_2321/kartor/A 56193-2021 karta.png", "A 56193-2021")</f>
        <v/>
      </c>
      <c r="V194">
        <f>HYPERLINK("https://klasma.github.io/Logging_2321/klagomål/A 56193-2021 FSC-klagomål.docx", "A 56193-2021")</f>
        <v/>
      </c>
      <c r="W194">
        <f>HYPERLINK("https://klasma.github.io/Logging_2321/klagomålsmail/A 56193-2021 FSC-klagomål mail.docx", "A 56193-2021")</f>
        <v/>
      </c>
      <c r="X194">
        <f>HYPERLINK("https://klasma.github.io/Logging_2321/tillsyn/A 56193-2021 tillsynsbegäran.docx", "A 56193-2021")</f>
        <v/>
      </c>
      <c r="Y194">
        <f>HYPERLINK("https://klasma.github.io/Logging_2321/tillsynsmail/A 56193-2021 tillsynsbegäran mail.docx", "A 56193-2021")</f>
        <v/>
      </c>
      <c r="Z194">
        <f>HYPERLINK("https://klasma.github.io/Logging_2321/fåglar/A 56193-2021 prioriterade fågelarter.docx", "A 56193-2021")</f>
        <v/>
      </c>
    </row>
    <row r="195" ht="15" customHeight="1">
      <c r="A195" t="inlineStr">
        <is>
          <t>A 58117-2021</t>
        </is>
      </c>
      <c r="B195" s="1" t="n">
        <v>44487</v>
      </c>
      <c r="C195" s="1" t="n">
        <v>45670</v>
      </c>
      <c r="D195" t="inlineStr">
        <is>
          <t>JÄMTLANDS LÄN</t>
        </is>
      </c>
      <c r="E195" t="inlineStr">
        <is>
          <t>ÅRE</t>
        </is>
      </c>
      <c r="G195" t="n">
        <v>40.9</v>
      </c>
      <c r="H195" t="n">
        <v>0</v>
      </c>
      <c r="I195" t="n">
        <v>1</v>
      </c>
      <c r="J195" t="n">
        <v>0</v>
      </c>
      <c r="K195" t="n">
        <v>0</v>
      </c>
      <c r="L195" t="n">
        <v>0</v>
      </c>
      <c r="M195" t="n">
        <v>0</v>
      </c>
      <c r="N195" t="n">
        <v>0</v>
      </c>
      <c r="O195" t="n">
        <v>0</v>
      </c>
      <c r="P195" t="n">
        <v>0</v>
      </c>
      <c r="Q195" t="n">
        <v>1</v>
      </c>
      <c r="R195" s="2" t="inlineStr">
        <is>
          <t>Stuplav</t>
        </is>
      </c>
      <c r="S195">
        <f>HYPERLINK("https://klasma.github.io/Logging_2321/artfynd/A 58117-2021 artfynd.xlsx", "A 58117-2021")</f>
        <v/>
      </c>
      <c r="T195">
        <f>HYPERLINK("https://klasma.github.io/Logging_2321/kartor/A 58117-2021 karta.png", "A 58117-2021")</f>
        <v/>
      </c>
      <c r="V195">
        <f>HYPERLINK("https://klasma.github.io/Logging_2321/klagomål/A 58117-2021 FSC-klagomål.docx", "A 58117-2021")</f>
        <v/>
      </c>
      <c r="W195">
        <f>HYPERLINK("https://klasma.github.io/Logging_2321/klagomålsmail/A 58117-2021 FSC-klagomål mail.docx", "A 58117-2021")</f>
        <v/>
      </c>
      <c r="X195">
        <f>HYPERLINK("https://klasma.github.io/Logging_2321/tillsyn/A 58117-2021 tillsynsbegäran.docx", "A 58117-2021")</f>
        <v/>
      </c>
      <c r="Y195">
        <f>HYPERLINK("https://klasma.github.io/Logging_2321/tillsynsmail/A 58117-2021 tillsynsbegäran mail.docx", "A 58117-2021")</f>
        <v/>
      </c>
    </row>
    <row r="196" ht="15" customHeight="1">
      <c r="A196" t="inlineStr">
        <is>
          <t>A 58239-2021</t>
        </is>
      </c>
      <c r="B196" s="1" t="n">
        <v>44487</v>
      </c>
      <c r="C196" s="1" t="n">
        <v>45670</v>
      </c>
      <c r="D196" t="inlineStr">
        <is>
          <t>JÄMTLANDS LÄN</t>
        </is>
      </c>
      <c r="E196" t="inlineStr">
        <is>
          <t>ÅRE</t>
        </is>
      </c>
      <c r="G196" t="n">
        <v>25</v>
      </c>
      <c r="H196" t="n">
        <v>0</v>
      </c>
      <c r="I196" t="n">
        <v>0</v>
      </c>
      <c r="J196" t="n">
        <v>0</v>
      </c>
      <c r="K196" t="n">
        <v>1</v>
      </c>
      <c r="L196" t="n">
        <v>0</v>
      </c>
      <c r="M196" t="n">
        <v>0</v>
      </c>
      <c r="N196" t="n">
        <v>0</v>
      </c>
      <c r="O196" t="n">
        <v>1</v>
      </c>
      <c r="P196" t="n">
        <v>1</v>
      </c>
      <c r="Q196" t="n">
        <v>1</v>
      </c>
      <c r="R196" s="2" t="inlineStr">
        <is>
          <t>Rynkskinn</t>
        </is>
      </c>
      <c r="S196">
        <f>HYPERLINK("https://klasma.github.io/Logging_2321/artfynd/A 58239-2021 artfynd.xlsx", "A 58239-2021")</f>
        <v/>
      </c>
      <c r="T196">
        <f>HYPERLINK("https://klasma.github.io/Logging_2321/kartor/A 58239-2021 karta.png", "A 58239-2021")</f>
        <v/>
      </c>
      <c r="V196">
        <f>HYPERLINK("https://klasma.github.io/Logging_2321/klagomål/A 58239-2021 FSC-klagomål.docx", "A 58239-2021")</f>
        <v/>
      </c>
      <c r="W196">
        <f>HYPERLINK("https://klasma.github.io/Logging_2321/klagomålsmail/A 58239-2021 FSC-klagomål mail.docx", "A 58239-2021")</f>
        <v/>
      </c>
      <c r="X196">
        <f>HYPERLINK("https://klasma.github.io/Logging_2321/tillsyn/A 58239-2021 tillsynsbegäran.docx", "A 58239-2021")</f>
        <v/>
      </c>
      <c r="Y196">
        <f>HYPERLINK("https://klasma.github.io/Logging_2321/tillsynsmail/A 58239-2021 tillsynsbegäran mail.docx", "A 58239-2021")</f>
        <v/>
      </c>
    </row>
    <row r="197" ht="15" customHeight="1">
      <c r="A197" t="inlineStr">
        <is>
          <t>A 58226-2021</t>
        </is>
      </c>
      <c r="B197" s="1" t="n">
        <v>44487</v>
      </c>
      <c r="C197" s="1" t="n">
        <v>45670</v>
      </c>
      <c r="D197" t="inlineStr">
        <is>
          <t>JÄMTLANDS LÄN</t>
        </is>
      </c>
      <c r="E197" t="inlineStr">
        <is>
          <t>ÅRE</t>
        </is>
      </c>
      <c r="G197" t="n">
        <v>62.3</v>
      </c>
      <c r="H197" t="n">
        <v>0</v>
      </c>
      <c r="I197" t="n">
        <v>1</v>
      </c>
      <c r="J197" t="n">
        <v>0</v>
      </c>
      <c r="K197" t="n">
        <v>0</v>
      </c>
      <c r="L197" t="n">
        <v>0</v>
      </c>
      <c r="M197" t="n">
        <v>0</v>
      </c>
      <c r="N197" t="n">
        <v>0</v>
      </c>
      <c r="O197" t="n">
        <v>0</v>
      </c>
      <c r="P197" t="n">
        <v>0</v>
      </c>
      <c r="Q197" t="n">
        <v>1</v>
      </c>
      <c r="R197" s="2" t="inlineStr">
        <is>
          <t>Kambräken</t>
        </is>
      </c>
      <c r="S197">
        <f>HYPERLINK("https://klasma.github.io/Logging_2321/artfynd/A 58226-2021 artfynd.xlsx", "A 58226-2021")</f>
        <v/>
      </c>
      <c r="T197">
        <f>HYPERLINK("https://klasma.github.io/Logging_2321/kartor/A 58226-2021 karta.png", "A 58226-2021")</f>
        <v/>
      </c>
      <c r="V197">
        <f>HYPERLINK("https://klasma.github.io/Logging_2321/klagomål/A 58226-2021 FSC-klagomål.docx", "A 58226-2021")</f>
        <v/>
      </c>
      <c r="W197">
        <f>HYPERLINK("https://klasma.github.io/Logging_2321/klagomålsmail/A 58226-2021 FSC-klagomål mail.docx", "A 58226-2021")</f>
        <v/>
      </c>
      <c r="X197">
        <f>HYPERLINK("https://klasma.github.io/Logging_2321/tillsyn/A 58226-2021 tillsynsbegäran.docx", "A 58226-2021")</f>
        <v/>
      </c>
      <c r="Y197">
        <f>HYPERLINK("https://klasma.github.io/Logging_2321/tillsynsmail/A 58226-2021 tillsynsbegäran mail.docx", "A 58226-2021")</f>
        <v/>
      </c>
    </row>
    <row r="198" ht="15" customHeight="1">
      <c r="A198" t="inlineStr">
        <is>
          <t>A 62188-2021</t>
        </is>
      </c>
      <c r="B198" s="1" t="n">
        <v>44502</v>
      </c>
      <c r="C198" s="1" t="n">
        <v>45670</v>
      </c>
      <c r="D198" t="inlineStr">
        <is>
          <t>JÄMTLANDS LÄN</t>
        </is>
      </c>
      <c r="E198" t="inlineStr">
        <is>
          <t>ÅRE</t>
        </is>
      </c>
      <c r="G198" t="n">
        <v>2.5</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62188-2021 artfynd.xlsx", "A 62188-2021")</f>
        <v/>
      </c>
      <c r="T198">
        <f>HYPERLINK("https://klasma.github.io/Logging_2321/kartor/A 62188-2021 karta.png", "A 62188-2021")</f>
        <v/>
      </c>
      <c r="V198">
        <f>HYPERLINK("https://klasma.github.io/Logging_2321/klagomål/A 62188-2021 FSC-klagomål.docx", "A 62188-2021")</f>
        <v/>
      </c>
      <c r="W198">
        <f>HYPERLINK("https://klasma.github.io/Logging_2321/klagomålsmail/A 62188-2021 FSC-klagomål mail.docx", "A 62188-2021")</f>
        <v/>
      </c>
      <c r="X198">
        <f>HYPERLINK("https://klasma.github.io/Logging_2321/tillsyn/A 62188-2021 tillsynsbegäran.docx", "A 62188-2021")</f>
        <v/>
      </c>
      <c r="Y198">
        <f>HYPERLINK("https://klasma.github.io/Logging_2321/tillsynsmail/A 62188-2021 tillsynsbegäran mail.docx", "A 62188-2021")</f>
        <v/>
      </c>
    </row>
    <row r="199" ht="15" customHeight="1">
      <c r="A199" t="inlineStr">
        <is>
          <t>A 63975-2021</t>
        </is>
      </c>
      <c r="B199" s="1" t="n">
        <v>44509</v>
      </c>
      <c r="C199" s="1" t="n">
        <v>45670</v>
      </c>
      <c r="D199" t="inlineStr">
        <is>
          <t>JÄMTLANDS LÄN</t>
        </is>
      </c>
      <c r="E199" t="inlineStr">
        <is>
          <t>ÅRE</t>
        </is>
      </c>
      <c r="G199" t="n">
        <v>2.4</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63975-2021 artfynd.xlsx", "A 63975-2021")</f>
        <v/>
      </c>
      <c r="T199">
        <f>HYPERLINK("https://klasma.github.io/Logging_2321/kartor/A 63975-2021 karta.png", "A 63975-2021")</f>
        <v/>
      </c>
      <c r="V199">
        <f>HYPERLINK("https://klasma.github.io/Logging_2321/klagomål/A 63975-2021 FSC-klagomål.docx", "A 63975-2021")</f>
        <v/>
      </c>
      <c r="W199">
        <f>HYPERLINK("https://klasma.github.io/Logging_2321/klagomålsmail/A 63975-2021 FSC-klagomål mail.docx", "A 63975-2021")</f>
        <v/>
      </c>
      <c r="X199">
        <f>HYPERLINK("https://klasma.github.io/Logging_2321/tillsyn/A 63975-2021 tillsynsbegäran.docx", "A 63975-2021")</f>
        <v/>
      </c>
      <c r="Y199">
        <f>HYPERLINK("https://klasma.github.io/Logging_2321/tillsynsmail/A 63975-2021 tillsynsbegäran mail.docx", "A 63975-2021")</f>
        <v/>
      </c>
    </row>
    <row r="200" ht="15" customHeight="1">
      <c r="A200" t="inlineStr">
        <is>
          <t>A 74392-2021</t>
        </is>
      </c>
      <c r="B200" s="1" t="n">
        <v>44559</v>
      </c>
      <c r="C200" s="1" t="n">
        <v>45670</v>
      </c>
      <c r="D200" t="inlineStr">
        <is>
          <t>JÄMTLANDS LÄN</t>
        </is>
      </c>
      <c r="E200" t="inlineStr">
        <is>
          <t>ÅRE</t>
        </is>
      </c>
      <c r="G200" t="n">
        <v>11.6</v>
      </c>
      <c r="H200" t="n">
        <v>0</v>
      </c>
      <c r="I200" t="n">
        <v>0</v>
      </c>
      <c r="J200" t="n">
        <v>1</v>
      </c>
      <c r="K200" t="n">
        <v>0</v>
      </c>
      <c r="L200" t="n">
        <v>0</v>
      </c>
      <c r="M200" t="n">
        <v>0</v>
      </c>
      <c r="N200" t="n">
        <v>0</v>
      </c>
      <c r="O200" t="n">
        <v>1</v>
      </c>
      <c r="P200" t="n">
        <v>0</v>
      </c>
      <c r="Q200" t="n">
        <v>1</v>
      </c>
      <c r="R200" s="2" t="inlineStr">
        <is>
          <t>Skrovellav</t>
        </is>
      </c>
      <c r="S200">
        <f>HYPERLINK("https://klasma.github.io/Logging_2321/artfynd/A 74392-2021 artfynd.xlsx", "A 74392-2021")</f>
        <v/>
      </c>
      <c r="T200">
        <f>HYPERLINK("https://klasma.github.io/Logging_2321/kartor/A 74392-2021 karta.png", "A 74392-2021")</f>
        <v/>
      </c>
      <c r="V200">
        <f>HYPERLINK("https://klasma.github.io/Logging_2321/klagomål/A 74392-2021 FSC-klagomål.docx", "A 74392-2021")</f>
        <v/>
      </c>
      <c r="W200">
        <f>HYPERLINK("https://klasma.github.io/Logging_2321/klagomålsmail/A 74392-2021 FSC-klagomål mail.docx", "A 74392-2021")</f>
        <v/>
      </c>
      <c r="X200">
        <f>HYPERLINK("https://klasma.github.io/Logging_2321/tillsyn/A 74392-2021 tillsynsbegäran.docx", "A 74392-2021")</f>
        <v/>
      </c>
      <c r="Y200">
        <f>HYPERLINK("https://klasma.github.io/Logging_2321/tillsynsmail/A 74392-2021 tillsynsbegäran mail.docx", "A 74392-2021")</f>
        <v/>
      </c>
    </row>
    <row r="201" ht="15" customHeight="1">
      <c r="A201" t="inlineStr">
        <is>
          <t>A 12242-2022</t>
        </is>
      </c>
      <c r="B201" s="1" t="n">
        <v>44637</v>
      </c>
      <c r="C201" s="1" t="n">
        <v>45670</v>
      </c>
      <c r="D201" t="inlineStr">
        <is>
          <t>JÄMTLANDS LÄN</t>
        </is>
      </c>
      <c r="E201" t="inlineStr">
        <is>
          <t>ÅRE</t>
        </is>
      </c>
      <c r="G201" t="n">
        <v>53.4</v>
      </c>
      <c r="H201" t="n">
        <v>0</v>
      </c>
      <c r="I201" t="n">
        <v>0</v>
      </c>
      <c r="J201" t="n">
        <v>1</v>
      </c>
      <c r="K201" t="n">
        <v>0</v>
      </c>
      <c r="L201" t="n">
        <v>0</v>
      </c>
      <c r="M201" t="n">
        <v>0</v>
      </c>
      <c r="N201" t="n">
        <v>0</v>
      </c>
      <c r="O201" t="n">
        <v>1</v>
      </c>
      <c r="P201" t="n">
        <v>0</v>
      </c>
      <c r="Q201" t="n">
        <v>1</v>
      </c>
      <c r="R201" s="2" t="inlineStr">
        <is>
          <t>Granticka</t>
        </is>
      </c>
      <c r="S201">
        <f>HYPERLINK("https://klasma.github.io/Logging_2321/artfynd/A 12242-2022 artfynd.xlsx", "A 12242-2022")</f>
        <v/>
      </c>
      <c r="T201">
        <f>HYPERLINK("https://klasma.github.io/Logging_2321/kartor/A 12242-2022 karta.png", "A 12242-2022")</f>
        <v/>
      </c>
      <c r="V201">
        <f>HYPERLINK("https://klasma.github.io/Logging_2321/klagomål/A 12242-2022 FSC-klagomål.docx", "A 12242-2022")</f>
        <v/>
      </c>
      <c r="W201">
        <f>HYPERLINK("https://klasma.github.io/Logging_2321/klagomålsmail/A 12242-2022 FSC-klagomål mail.docx", "A 12242-2022")</f>
        <v/>
      </c>
      <c r="X201">
        <f>HYPERLINK("https://klasma.github.io/Logging_2321/tillsyn/A 12242-2022 tillsynsbegäran.docx", "A 12242-2022")</f>
        <v/>
      </c>
      <c r="Y201">
        <f>HYPERLINK("https://klasma.github.io/Logging_2321/tillsynsmail/A 12242-2022 tillsynsbegäran mail.docx", "A 12242-2022")</f>
        <v/>
      </c>
    </row>
    <row r="202" ht="15" customHeight="1">
      <c r="A202" t="inlineStr">
        <is>
          <t>A 17692-2022</t>
        </is>
      </c>
      <c r="B202" s="1" t="n">
        <v>44680</v>
      </c>
      <c r="C202" s="1" t="n">
        <v>45670</v>
      </c>
      <c r="D202" t="inlineStr">
        <is>
          <t>JÄMTLANDS LÄN</t>
        </is>
      </c>
      <c r="E202" t="inlineStr">
        <is>
          <t>ÅRE</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17692-2022 artfynd.xlsx", "A 17692-2022")</f>
        <v/>
      </c>
      <c r="T202">
        <f>HYPERLINK("https://klasma.github.io/Logging_2321/kartor/A 17692-2022 karta.png", "A 17692-2022")</f>
        <v/>
      </c>
      <c r="V202">
        <f>HYPERLINK("https://klasma.github.io/Logging_2321/klagomål/A 17692-2022 FSC-klagomål.docx", "A 17692-2022")</f>
        <v/>
      </c>
      <c r="W202">
        <f>HYPERLINK("https://klasma.github.io/Logging_2321/klagomålsmail/A 17692-2022 FSC-klagomål mail.docx", "A 17692-2022")</f>
        <v/>
      </c>
      <c r="X202">
        <f>HYPERLINK("https://klasma.github.io/Logging_2321/tillsyn/A 17692-2022 tillsynsbegäran.docx", "A 17692-2022")</f>
        <v/>
      </c>
      <c r="Y202">
        <f>HYPERLINK("https://klasma.github.io/Logging_2321/tillsynsmail/A 17692-2022 tillsynsbegäran mail.docx", "A 17692-2022")</f>
        <v/>
      </c>
      <c r="Z202">
        <f>HYPERLINK("https://klasma.github.io/Logging_2321/fåglar/A 17692-2022 prioriterade fågelarter.docx", "A 17692-2022")</f>
        <v/>
      </c>
    </row>
    <row r="203" ht="15" customHeight="1">
      <c r="A203" t="inlineStr">
        <is>
          <t>A 32216-2022</t>
        </is>
      </c>
      <c r="B203" s="1" t="n">
        <v>44781</v>
      </c>
      <c r="C203" s="1" t="n">
        <v>45670</v>
      </c>
      <c r="D203" t="inlineStr">
        <is>
          <t>JÄMTLANDS LÄN</t>
        </is>
      </c>
      <c r="E203" t="inlineStr">
        <is>
          <t>ÅRE</t>
        </is>
      </c>
      <c r="G203" t="n">
        <v>27.3</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32216-2022 artfynd.xlsx", "A 32216-2022")</f>
        <v/>
      </c>
      <c r="T203">
        <f>HYPERLINK("https://klasma.github.io/Logging_2321/kartor/A 32216-2022 karta.png", "A 32216-2022")</f>
        <v/>
      </c>
      <c r="V203">
        <f>HYPERLINK("https://klasma.github.io/Logging_2321/klagomål/A 32216-2022 FSC-klagomål.docx", "A 32216-2022")</f>
        <v/>
      </c>
      <c r="W203">
        <f>HYPERLINK("https://klasma.github.io/Logging_2321/klagomålsmail/A 32216-2022 FSC-klagomål mail.docx", "A 32216-2022")</f>
        <v/>
      </c>
      <c r="X203">
        <f>HYPERLINK("https://klasma.github.io/Logging_2321/tillsyn/A 32216-2022 tillsynsbegäran.docx", "A 32216-2022")</f>
        <v/>
      </c>
      <c r="Y203">
        <f>HYPERLINK("https://klasma.github.io/Logging_2321/tillsynsmail/A 32216-2022 tillsynsbegäran mail.docx", "A 32216-2022")</f>
        <v/>
      </c>
      <c r="Z203">
        <f>HYPERLINK("https://klasma.github.io/Logging_2321/fåglar/A 32216-2022 prioriterade fågelarter.docx", "A 32216-2022")</f>
        <v/>
      </c>
    </row>
    <row r="204" ht="15" customHeight="1">
      <c r="A204" t="inlineStr">
        <is>
          <t>A 40614-2022</t>
        </is>
      </c>
      <c r="B204" s="1" t="n">
        <v>44824</v>
      </c>
      <c r="C204" s="1" t="n">
        <v>45670</v>
      </c>
      <c r="D204" t="inlineStr">
        <is>
          <t>JÄMTLANDS LÄN</t>
        </is>
      </c>
      <c r="E204" t="inlineStr">
        <is>
          <t>ÅRE</t>
        </is>
      </c>
      <c r="F204" t="inlineStr">
        <is>
          <t>Övriga Aktiebolag</t>
        </is>
      </c>
      <c r="G204" t="n">
        <v>23.2</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40614-2022 artfynd.xlsx", "A 40614-2022")</f>
        <v/>
      </c>
      <c r="T204">
        <f>HYPERLINK("https://klasma.github.io/Logging_2321/kartor/A 40614-2022 karta.png", "A 40614-2022")</f>
        <v/>
      </c>
      <c r="V204">
        <f>HYPERLINK("https://klasma.github.io/Logging_2321/klagomål/A 40614-2022 FSC-klagomål.docx", "A 40614-2022")</f>
        <v/>
      </c>
      <c r="W204">
        <f>HYPERLINK("https://klasma.github.io/Logging_2321/klagomålsmail/A 40614-2022 FSC-klagomål mail.docx", "A 40614-2022")</f>
        <v/>
      </c>
      <c r="X204">
        <f>HYPERLINK("https://klasma.github.io/Logging_2321/tillsyn/A 40614-2022 tillsynsbegäran.docx", "A 40614-2022")</f>
        <v/>
      </c>
      <c r="Y204">
        <f>HYPERLINK("https://klasma.github.io/Logging_2321/tillsynsmail/A 40614-2022 tillsynsbegäran mail.docx", "A 40614-2022")</f>
        <v/>
      </c>
      <c r="Z204">
        <f>HYPERLINK("https://klasma.github.io/Logging_2321/fåglar/A 40614-2022 prioriterade fågelarter.docx", "A 40614-2022")</f>
        <v/>
      </c>
    </row>
    <row r="205" ht="15" customHeight="1">
      <c r="A205" t="inlineStr">
        <is>
          <t>A 55194-2022</t>
        </is>
      </c>
      <c r="B205" s="1" t="n">
        <v>44886</v>
      </c>
      <c r="C205" s="1" t="n">
        <v>45670</v>
      </c>
      <c r="D205" t="inlineStr">
        <is>
          <t>JÄMTLANDS LÄN</t>
        </is>
      </c>
      <c r="E205" t="inlineStr">
        <is>
          <t>ÅRE</t>
        </is>
      </c>
      <c r="F205" t="inlineStr">
        <is>
          <t>Övriga Aktiebolag</t>
        </is>
      </c>
      <c r="G205" t="n">
        <v>1.7</v>
      </c>
      <c r="H205" t="n">
        <v>0</v>
      </c>
      <c r="I205" t="n">
        <v>0</v>
      </c>
      <c r="J205" t="n">
        <v>1</v>
      </c>
      <c r="K205" t="n">
        <v>0</v>
      </c>
      <c r="L205" t="n">
        <v>0</v>
      </c>
      <c r="M205" t="n">
        <v>0</v>
      </c>
      <c r="N205" t="n">
        <v>0</v>
      </c>
      <c r="O205" t="n">
        <v>1</v>
      </c>
      <c r="P205" t="n">
        <v>0</v>
      </c>
      <c r="Q205" t="n">
        <v>1</v>
      </c>
      <c r="R205" s="2" t="inlineStr">
        <is>
          <t>Vitskaftad svartspik</t>
        </is>
      </c>
      <c r="S205">
        <f>HYPERLINK("https://klasma.github.io/Logging_2321/artfynd/A 55194-2022 artfynd.xlsx", "A 55194-2022")</f>
        <v/>
      </c>
      <c r="T205">
        <f>HYPERLINK("https://klasma.github.io/Logging_2321/kartor/A 55194-2022 karta.png", "A 55194-2022")</f>
        <v/>
      </c>
      <c r="V205">
        <f>HYPERLINK("https://klasma.github.io/Logging_2321/klagomål/A 55194-2022 FSC-klagomål.docx", "A 55194-2022")</f>
        <v/>
      </c>
      <c r="W205">
        <f>HYPERLINK("https://klasma.github.io/Logging_2321/klagomålsmail/A 55194-2022 FSC-klagomål mail.docx", "A 55194-2022")</f>
        <v/>
      </c>
      <c r="X205">
        <f>HYPERLINK("https://klasma.github.io/Logging_2321/tillsyn/A 55194-2022 tillsynsbegäran.docx", "A 55194-2022")</f>
        <v/>
      </c>
      <c r="Y205">
        <f>HYPERLINK("https://klasma.github.io/Logging_2321/tillsynsmail/A 55194-2022 tillsynsbegäran mail.docx", "A 55194-2022")</f>
        <v/>
      </c>
    </row>
    <row r="206" ht="15" customHeight="1">
      <c r="A206" t="inlineStr">
        <is>
          <t>A 55805-2022</t>
        </is>
      </c>
      <c r="B206" s="1" t="n">
        <v>44888</v>
      </c>
      <c r="C206" s="1" t="n">
        <v>45670</v>
      </c>
      <c r="D206" t="inlineStr">
        <is>
          <t>JÄMTLANDS LÄN</t>
        </is>
      </c>
      <c r="E206" t="inlineStr">
        <is>
          <t>ÅRE</t>
        </is>
      </c>
      <c r="F206" t="inlineStr">
        <is>
          <t>Övriga Aktiebolag</t>
        </is>
      </c>
      <c r="G206" t="n">
        <v>17.7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55805-2022 artfynd.xlsx", "A 55805-2022")</f>
        <v/>
      </c>
      <c r="T206">
        <f>HYPERLINK("https://klasma.github.io/Logging_2321/kartor/A 55805-2022 karta.png", "A 55805-2022")</f>
        <v/>
      </c>
      <c r="V206">
        <f>HYPERLINK("https://klasma.github.io/Logging_2321/klagomål/A 55805-2022 FSC-klagomål.docx", "A 55805-2022")</f>
        <v/>
      </c>
      <c r="W206">
        <f>HYPERLINK("https://klasma.github.io/Logging_2321/klagomålsmail/A 55805-2022 FSC-klagomål mail.docx", "A 55805-2022")</f>
        <v/>
      </c>
      <c r="X206">
        <f>HYPERLINK("https://klasma.github.io/Logging_2321/tillsyn/A 55805-2022 tillsynsbegäran.docx", "A 55805-2022")</f>
        <v/>
      </c>
      <c r="Y206">
        <f>HYPERLINK("https://klasma.github.io/Logging_2321/tillsynsmail/A 55805-2022 tillsynsbegäran mail.docx", "A 55805-2022")</f>
        <v/>
      </c>
      <c r="Z206">
        <f>HYPERLINK("https://klasma.github.io/Logging_2321/fåglar/A 55805-2022 prioriterade fågelarter.docx", "A 55805-2022")</f>
        <v/>
      </c>
    </row>
    <row r="207" ht="15" customHeight="1">
      <c r="A207" t="inlineStr">
        <is>
          <t>A 56493-2022</t>
        </is>
      </c>
      <c r="B207" s="1" t="n">
        <v>44893</v>
      </c>
      <c r="C207" s="1" t="n">
        <v>45670</v>
      </c>
      <c r="D207" t="inlineStr">
        <is>
          <t>JÄMTLANDS LÄN</t>
        </is>
      </c>
      <c r="E207" t="inlineStr">
        <is>
          <t>ÅRE</t>
        </is>
      </c>
      <c r="F207" t="inlineStr">
        <is>
          <t>Övriga Aktiebolag</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HYPERLINK("https://klasma.github.io/Logging_2321/artfynd/A 56493-2022 artfynd.xlsx", "A 56493-2022")</f>
        <v/>
      </c>
      <c r="T207">
        <f>HYPERLINK("https://klasma.github.io/Logging_2321/kartor/A 56493-2022 karta.png", "A 56493-2022")</f>
        <v/>
      </c>
      <c r="V207">
        <f>HYPERLINK("https://klasma.github.io/Logging_2321/klagomål/A 56493-2022 FSC-klagomål.docx", "A 56493-2022")</f>
        <v/>
      </c>
      <c r="W207">
        <f>HYPERLINK("https://klasma.github.io/Logging_2321/klagomålsmail/A 56493-2022 FSC-klagomål mail.docx", "A 56493-2022")</f>
        <v/>
      </c>
      <c r="X207">
        <f>HYPERLINK("https://klasma.github.io/Logging_2321/tillsyn/A 56493-2022 tillsynsbegäran.docx", "A 56493-2022")</f>
        <v/>
      </c>
      <c r="Y207">
        <f>HYPERLINK("https://klasma.github.io/Logging_2321/tillsynsmail/A 56493-2022 tillsynsbegäran mail.docx", "A 56493-2022")</f>
        <v/>
      </c>
    </row>
    <row r="208" ht="15" customHeight="1">
      <c r="A208" t="inlineStr">
        <is>
          <t>A 56603-2022</t>
        </is>
      </c>
      <c r="B208" s="1" t="n">
        <v>44893</v>
      </c>
      <c r="C208" s="1" t="n">
        <v>45670</v>
      </c>
      <c r="D208" t="inlineStr">
        <is>
          <t>JÄMTLANDS LÄN</t>
        </is>
      </c>
      <c r="E208" t="inlineStr">
        <is>
          <t>ÅRE</t>
        </is>
      </c>
      <c r="F208" t="inlineStr">
        <is>
          <t>Övriga Aktiebolag</t>
        </is>
      </c>
      <c r="G208" t="n">
        <v>14.3</v>
      </c>
      <c r="H208" t="n">
        <v>1</v>
      </c>
      <c r="I208" t="n">
        <v>0</v>
      </c>
      <c r="J208" t="n">
        <v>1</v>
      </c>
      <c r="K208" t="n">
        <v>0</v>
      </c>
      <c r="L208" t="n">
        <v>0</v>
      </c>
      <c r="M208" t="n">
        <v>0</v>
      </c>
      <c r="N208" t="n">
        <v>0</v>
      </c>
      <c r="O208" t="n">
        <v>1</v>
      </c>
      <c r="P208" t="n">
        <v>0</v>
      </c>
      <c r="Q208" t="n">
        <v>1</v>
      </c>
      <c r="R208" s="2" t="inlineStr">
        <is>
          <t>Talltita</t>
        </is>
      </c>
      <c r="S208">
        <f>HYPERLINK("https://klasma.github.io/Logging_2321/artfynd/A 56603-2022 artfynd.xlsx", "A 56603-2022")</f>
        <v/>
      </c>
      <c r="T208">
        <f>HYPERLINK("https://klasma.github.io/Logging_2321/kartor/A 56603-2022 karta.png", "A 56603-2022")</f>
        <v/>
      </c>
      <c r="V208">
        <f>HYPERLINK("https://klasma.github.io/Logging_2321/klagomål/A 56603-2022 FSC-klagomål.docx", "A 56603-2022")</f>
        <v/>
      </c>
      <c r="W208">
        <f>HYPERLINK("https://klasma.github.io/Logging_2321/klagomålsmail/A 56603-2022 FSC-klagomål mail.docx", "A 56603-2022")</f>
        <v/>
      </c>
      <c r="X208">
        <f>HYPERLINK("https://klasma.github.io/Logging_2321/tillsyn/A 56603-2022 tillsynsbegäran.docx", "A 56603-2022")</f>
        <v/>
      </c>
      <c r="Y208">
        <f>HYPERLINK("https://klasma.github.io/Logging_2321/tillsynsmail/A 56603-2022 tillsynsbegäran mail.docx", "A 56603-2022")</f>
        <v/>
      </c>
      <c r="Z208">
        <f>HYPERLINK("https://klasma.github.io/Logging_2321/fåglar/A 56603-2022 prioriterade fågelarter.docx", "A 56603-2022")</f>
        <v/>
      </c>
    </row>
    <row r="209" ht="15" customHeight="1">
      <c r="A209" t="inlineStr">
        <is>
          <t>A 57396-2022</t>
        </is>
      </c>
      <c r="B209" s="1" t="n">
        <v>44896</v>
      </c>
      <c r="C209" s="1" t="n">
        <v>45670</v>
      </c>
      <c r="D209" t="inlineStr">
        <is>
          <t>JÄMTLANDS LÄN</t>
        </is>
      </c>
      <c r="E209" t="inlineStr">
        <is>
          <t>ÅRE</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HYPERLINK("https://klasma.github.io/Logging_2321/artfynd/A 57396-2022 artfynd.xlsx", "A 57396-2022")</f>
        <v/>
      </c>
      <c r="T209">
        <f>HYPERLINK("https://klasma.github.io/Logging_2321/kartor/A 57396-2022 karta.png", "A 57396-2022")</f>
        <v/>
      </c>
      <c r="V209">
        <f>HYPERLINK("https://klasma.github.io/Logging_2321/klagomål/A 57396-2022 FSC-klagomål.docx", "A 57396-2022")</f>
        <v/>
      </c>
      <c r="W209">
        <f>HYPERLINK("https://klasma.github.io/Logging_2321/klagomålsmail/A 57396-2022 FSC-klagomål mail.docx", "A 57396-2022")</f>
        <v/>
      </c>
      <c r="X209">
        <f>HYPERLINK("https://klasma.github.io/Logging_2321/tillsyn/A 57396-2022 tillsynsbegäran.docx", "A 57396-2022")</f>
        <v/>
      </c>
      <c r="Y209">
        <f>HYPERLINK("https://klasma.github.io/Logging_2321/tillsynsmail/A 57396-2022 tillsynsbegäran mail.docx", "A 57396-2022")</f>
        <v/>
      </c>
    </row>
    <row r="210" ht="15" customHeight="1">
      <c r="A210" t="inlineStr">
        <is>
          <t>A 60544-2022</t>
        </is>
      </c>
      <c r="B210" s="1" t="n">
        <v>44904</v>
      </c>
      <c r="C210" s="1" t="n">
        <v>45670</v>
      </c>
      <c r="D210" t="inlineStr">
        <is>
          <t>JÄMTLANDS LÄN</t>
        </is>
      </c>
      <c r="E210" t="inlineStr">
        <is>
          <t>ÅRE</t>
        </is>
      </c>
      <c r="G210" t="n">
        <v>1.2</v>
      </c>
      <c r="H210" t="n">
        <v>1</v>
      </c>
      <c r="I210" t="n">
        <v>0</v>
      </c>
      <c r="J210" t="n">
        <v>1</v>
      </c>
      <c r="K210" t="n">
        <v>0</v>
      </c>
      <c r="L210" t="n">
        <v>0</v>
      </c>
      <c r="M210" t="n">
        <v>0</v>
      </c>
      <c r="N210" t="n">
        <v>0</v>
      </c>
      <c r="O210" t="n">
        <v>1</v>
      </c>
      <c r="P210" t="n">
        <v>0</v>
      </c>
      <c r="Q210" t="n">
        <v>1</v>
      </c>
      <c r="R210" s="2" t="inlineStr">
        <is>
          <t>Järpe</t>
        </is>
      </c>
      <c r="S210">
        <f>HYPERLINK("https://klasma.github.io/Logging_2321/artfynd/A 60544-2022 artfynd.xlsx", "A 60544-2022")</f>
        <v/>
      </c>
      <c r="T210">
        <f>HYPERLINK("https://klasma.github.io/Logging_2321/kartor/A 60544-2022 karta.png", "A 60544-2022")</f>
        <v/>
      </c>
      <c r="V210">
        <f>HYPERLINK("https://klasma.github.io/Logging_2321/klagomål/A 60544-2022 FSC-klagomål.docx", "A 60544-2022")</f>
        <v/>
      </c>
      <c r="W210">
        <f>HYPERLINK("https://klasma.github.io/Logging_2321/klagomålsmail/A 60544-2022 FSC-klagomål mail.docx", "A 60544-2022")</f>
        <v/>
      </c>
      <c r="X210">
        <f>HYPERLINK("https://klasma.github.io/Logging_2321/tillsyn/A 60544-2022 tillsynsbegäran.docx", "A 60544-2022")</f>
        <v/>
      </c>
      <c r="Y210">
        <f>HYPERLINK("https://klasma.github.io/Logging_2321/tillsynsmail/A 60544-2022 tillsynsbegäran mail.docx", "A 60544-2022")</f>
        <v/>
      </c>
      <c r="Z210">
        <f>HYPERLINK("https://klasma.github.io/Logging_2321/fåglar/A 60544-2022 prioriterade fågelarter.docx", "A 60544-2022")</f>
        <v/>
      </c>
    </row>
    <row r="211" ht="15" customHeight="1">
      <c r="A211" t="inlineStr">
        <is>
          <t>A 60435-2022</t>
        </is>
      </c>
      <c r="B211" s="1" t="n">
        <v>44911</v>
      </c>
      <c r="C211" s="1" t="n">
        <v>45670</v>
      </c>
      <c r="D211" t="inlineStr">
        <is>
          <t>JÄMTLANDS LÄN</t>
        </is>
      </c>
      <c r="E211" t="inlineStr">
        <is>
          <t>ÅRE</t>
        </is>
      </c>
      <c r="F211" t="inlineStr">
        <is>
          <t>Övriga Aktiebolag</t>
        </is>
      </c>
      <c r="G211" t="n">
        <v>7.9</v>
      </c>
      <c r="H211" t="n">
        <v>0</v>
      </c>
      <c r="I211" t="n">
        <v>1</v>
      </c>
      <c r="J211" t="n">
        <v>0</v>
      </c>
      <c r="K211" t="n">
        <v>0</v>
      </c>
      <c r="L211" t="n">
        <v>0</v>
      </c>
      <c r="M211" t="n">
        <v>0</v>
      </c>
      <c r="N211" t="n">
        <v>0</v>
      </c>
      <c r="O211" t="n">
        <v>0</v>
      </c>
      <c r="P211" t="n">
        <v>0</v>
      </c>
      <c r="Q211" t="n">
        <v>1</v>
      </c>
      <c r="R211" s="2" t="inlineStr">
        <is>
          <t>Kransrams</t>
        </is>
      </c>
      <c r="S211">
        <f>HYPERLINK("https://klasma.github.io/Logging_2321/artfynd/A 60435-2022 artfynd.xlsx", "A 60435-2022")</f>
        <v/>
      </c>
      <c r="T211">
        <f>HYPERLINK("https://klasma.github.io/Logging_2321/kartor/A 60435-2022 karta.png", "A 60435-2022")</f>
        <v/>
      </c>
      <c r="V211">
        <f>HYPERLINK("https://klasma.github.io/Logging_2321/klagomål/A 60435-2022 FSC-klagomål.docx", "A 60435-2022")</f>
        <v/>
      </c>
      <c r="W211">
        <f>HYPERLINK("https://klasma.github.io/Logging_2321/klagomålsmail/A 60435-2022 FSC-klagomål mail.docx", "A 60435-2022")</f>
        <v/>
      </c>
      <c r="X211">
        <f>HYPERLINK("https://klasma.github.io/Logging_2321/tillsyn/A 60435-2022 tillsynsbegäran.docx", "A 60435-2022")</f>
        <v/>
      </c>
      <c r="Y211">
        <f>HYPERLINK("https://klasma.github.io/Logging_2321/tillsynsmail/A 60435-2022 tillsynsbegäran mail.docx", "A 60435-2022")</f>
        <v/>
      </c>
    </row>
    <row r="212" ht="15" customHeight="1">
      <c r="A212" t="inlineStr">
        <is>
          <t>A 5480-2023</t>
        </is>
      </c>
      <c r="B212" s="1" t="n">
        <v>44957</v>
      </c>
      <c r="C212" s="1" t="n">
        <v>45670</v>
      </c>
      <c r="D212" t="inlineStr">
        <is>
          <t>JÄMTLANDS LÄN</t>
        </is>
      </c>
      <c r="E212" t="inlineStr">
        <is>
          <t>ÅRE</t>
        </is>
      </c>
      <c r="G212" t="n">
        <v>3.3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5480-2023 artfynd.xlsx", "A 5480-2023")</f>
        <v/>
      </c>
      <c r="T212">
        <f>HYPERLINK("https://klasma.github.io/Logging_2321/kartor/A 5480-2023 karta.png", "A 5480-2023")</f>
        <v/>
      </c>
      <c r="V212">
        <f>HYPERLINK("https://klasma.github.io/Logging_2321/klagomål/A 5480-2023 FSC-klagomål.docx", "A 5480-2023")</f>
        <v/>
      </c>
      <c r="W212">
        <f>HYPERLINK("https://klasma.github.io/Logging_2321/klagomålsmail/A 5480-2023 FSC-klagomål mail.docx", "A 5480-2023")</f>
        <v/>
      </c>
      <c r="X212">
        <f>HYPERLINK("https://klasma.github.io/Logging_2321/tillsyn/A 5480-2023 tillsynsbegäran.docx", "A 5480-2023")</f>
        <v/>
      </c>
      <c r="Y212">
        <f>HYPERLINK("https://klasma.github.io/Logging_2321/tillsynsmail/A 5480-2023 tillsynsbegäran mail.docx", "A 5480-2023")</f>
        <v/>
      </c>
      <c r="Z212">
        <f>HYPERLINK("https://klasma.github.io/Logging_2321/fåglar/A 5480-2023 prioriterade fågelarter.docx", "A 5480-2023")</f>
        <v/>
      </c>
    </row>
    <row r="213" ht="15" customHeight="1">
      <c r="A213" t="inlineStr">
        <is>
          <t>A 5611-2023</t>
        </is>
      </c>
      <c r="B213" s="1" t="n">
        <v>44958</v>
      </c>
      <c r="C213" s="1" t="n">
        <v>45670</v>
      </c>
      <c r="D213" t="inlineStr">
        <is>
          <t>JÄMTLANDS LÄN</t>
        </is>
      </c>
      <c r="E213" t="inlineStr">
        <is>
          <t>ÅRE</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5611-2023 artfynd.xlsx", "A 5611-2023")</f>
        <v/>
      </c>
      <c r="T213">
        <f>HYPERLINK("https://klasma.github.io/Logging_2321/kartor/A 5611-2023 karta.png", "A 5611-2023")</f>
        <v/>
      </c>
      <c r="V213">
        <f>HYPERLINK("https://klasma.github.io/Logging_2321/klagomål/A 5611-2023 FSC-klagomål.docx", "A 5611-2023")</f>
        <v/>
      </c>
      <c r="W213">
        <f>HYPERLINK("https://klasma.github.io/Logging_2321/klagomålsmail/A 5611-2023 FSC-klagomål mail.docx", "A 5611-2023")</f>
        <v/>
      </c>
      <c r="X213">
        <f>HYPERLINK("https://klasma.github.io/Logging_2321/tillsyn/A 5611-2023 tillsynsbegäran.docx", "A 5611-2023")</f>
        <v/>
      </c>
      <c r="Y213">
        <f>HYPERLINK("https://klasma.github.io/Logging_2321/tillsynsmail/A 5611-2023 tillsynsbegäran mail.docx", "A 5611-2023")</f>
        <v/>
      </c>
      <c r="Z213">
        <f>HYPERLINK("https://klasma.github.io/Logging_2321/fåglar/A 5611-2023 prioriterade fågelarter.docx", "A 5611-2023")</f>
        <v/>
      </c>
    </row>
    <row r="214" ht="15" customHeight="1">
      <c r="A214" t="inlineStr">
        <is>
          <t>A 10632-2023</t>
        </is>
      </c>
      <c r="B214" s="1" t="n">
        <v>44984</v>
      </c>
      <c r="C214" s="1" t="n">
        <v>45670</v>
      </c>
      <c r="D214" t="inlineStr">
        <is>
          <t>JÄMTLANDS LÄN</t>
        </is>
      </c>
      <c r="E214" t="inlineStr">
        <is>
          <t>ÅRE</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10632-2023 artfynd.xlsx", "A 10632-2023")</f>
        <v/>
      </c>
      <c r="T214">
        <f>HYPERLINK("https://klasma.github.io/Logging_2321/kartor/A 10632-2023 karta.png", "A 10632-2023")</f>
        <v/>
      </c>
      <c r="V214">
        <f>HYPERLINK("https://klasma.github.io/Logging_2321/klagomål/A 10632-2023 FSC-klagomål.docx", "A 10632-2023")</f>
        <v/>
      </c>
      <c r="W214">
        <f>HYPERLINK("https://klasma.github.io/Logging_2321/klagomålsmail/A 10632-2023 FSC-klagomål mail.docx", "A 10632-2023")</f>
        <v/>
      </c>
      <c r="X214">
        <f>HYPERLINK("https://klasma.github.io/Logging_2321/tillsyn/A 10632-2023 tillsynsbegäran.docx", "A 10632-2023")</f>
        <v/>
      </c>
      <c r="Y214">
        <f>HYPERLINK("https://klasma.github.io/Logging_2321/tillsynsmail/A 10632-2023 tillsynsbegäran mail.docx", "A 10632-2023")</f>
        <v/>
      </c>
      <c r="Z214">
        <f>HYPERLINK("https://klasma.github.io/Logging_2321/fåglar/A 10632-2023 prioriterade fågelarter.docx", "A 10632-2023")</f>
        <v/>
      </c>
    </row>
    <row r="215" ht="15" customHeight="1">
      <c r="A215" t="inlineStr">
        <is>
          <t>A 41405-2023</t>
        </is>
      </c>
      <c r="B215" s="1" t="n">
        <v>45174</v>
      </c>
      <c r="C215" s="1" t="n">
        <v>45670</v>
      </c>
      <c r="D215" t="inlineStr">
        <is>
          <t>JÄMTLANDS LÄN</t>
        </is>
      </c>
      <c r="E215" t="inlineStr">
        <is>
          <t>ÅRE</t>
        </is>
      </c>
      <c r="G215" t="n">
        <v>4.1</v>
      </c>
      <c r="H215" t="n">
        <v>0</v>
      </c>
      <c r="I215" t="n">
        <v>1</v>
      </c>
      <c r="J215" t="n">
        <v>0</v>
      </c>
      <c r="K215" t="n">
        <v>0</v>
      </c>
      <c r="L215" t="n">
        <v>0</v>
      </c>
      <c r="M215" t="n">
        <v>0</v>
      </c>
      <c r="N215" t="n">
        <v>0</v>
      </c>
      <c r="O215" t="n">
        <v>0</v>
      </c>
      <c r="P215" t="n">
        <v>0</v>
      </c>
      <c r="Q215" t="n">
        <v>1</v>
      </c>
      <c r="R215" s="2" t="inlineStr">
        <is>
          <t>Ögonpyrola</t>
        </is>
      </c>
      <c r="S215">
        <f>HYPERLINK("https://klasma.github.io/Logging_2321/artfynd/A 41405-2023 artfynd.xlsx", "A 41405-2023")</f>
        <v/>
      </c>
      <c r="T215">
        <f>HYPERLINK("https://klasma.github.io/Logging_2321/kartor/A 41405-2023 karta.png", "A 41405-2023")</f>
        <v/>
      </c>
      <c r="V215">
        <f>HYPERLINK("https://klasma.github.io/Logging_2321/klagomål/A 41405-2023 FSC-klagomål.docx", "A 41405-2023")</f>
        <v/>
      </c>
      <c r="W215">
        <f>HYPERLINK("https://klasma.github.io/Logging_2321/klagomålsmail/A 41405-2023 FSC-klagomål mail.docx", "A 41405-2023")</f>
        <v/>
      </c>
      <c r="X215">
        <f>HYPERLINK("https://klasma.github.io/Logging_2321/tillsyn/A 41405-2023 tillsynsbegäran.docx", "A 41405-2023")</f>
        <v/>
      </c>
      <c r="Y215">
        <f>HYPERLINK("https://klasma.github.io/Logging_2321/tillsynsmail/A 41405-2023 tillsynsbegäran mail.docx", "A 41405-2023")</f>
        <v/>
      </c>
    </row>
    <row r="216" ht="15" customHeight="1">
      <c r="A216" t="inlineStr">
        <is>
          <t>A 55105-2023</t>
        </is>
      </c>
      <c r="B216" s="1" t="n">
        <v>45237</v>
      </c>
      <c r="C216" s="1" t="n">
        <v>45670</v>
      </c>
      <c r="D216" t="inlineStr">
        <is>
          <t>JÄMTLANDS LÄN</t>
        </is>
      </c>
      <c r="E216" t="inlineStr">
        <is>
          <t>ÅRE</t>
        </is>
      </c>
      <c r="G216" t="n">
        <v>15.8</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55105-2023 artfynd.xlsx", "A 55105-2023")</f>
        <v/>
      </c>
      <c r="T216">
        <f>HYPERLINK("https://klasma.github.io/Logging_2321/kartor/A 55105-2023 karta.png", "A 55105-2023")</f>
        <v/>
      </c>
      <c r="V216">
        <f>HYPERLINK("https://klasma.github.io/Logging_2321/klagomål/A 55105-2023 FSC-klagomål.docx", "A 55105-2023")</f>
        <v/>
      </c>
      <c r="W216">
        <f>HYPERLINK("https://klasma.github.io/Logging_2321/klagomålsmail/A 55105-2023 FSC-klagomål mail.docx", "A 55105-2023")</f>
        <v/>
      </c>
      <c r="X216">
        <f>HYPERLINK("https://klasma.github.io/Logging_2321/tillsyn/A 55105-2023 tillsynsbegäran.docx", "A 55105-2023")</f>
        <v/>
      </c>
      <c r="Y216">
        <f>HYPERLINK("https://klasma.github.io/Logging_2321/tillsynsmail/A 55105-2023 tillsynsbegäran mail.docx", "A 55105-2023")</f>
        <v/>
      </c>
      <c r="Z216">
        <f>HYPERLINK("https://klasma.github.io/Logging_2321/fåglar/A 55105-2023 prioriterade fågelarter.docx", "A 55105-2023")</f>
        <v/>
      </c>
    </row>
    <row r="217" ht="15" customHeight="1">
      <c r="A217" t="inlineStr">
        <is>
          <t>A 59402-2023</t>
        </is>
      </c>
      <c r="B217" s="1" t="n">
        <v>45253</v>
      </c>
      <c r="C217" s="1" t="n">
        <v>45670</v>
      </c>
      <c r="D217" t="inlineStr">
        <is>
          <t>JÄMTLANDS LÄN</t>
        </is>
      </c>
      <c r="E217" t="inlineStr">
        <is>
          <t>ÅRE</t>
        </is>
      </c>
      <c r="G217" t="n">
        <v>2.3</v>
      </c>
      <c r="H217" t="n">
        <v>0</v>
      </c>
      <c r="I217" t="n">
        <v>0</v>
      </c>
      <c r="J217" t="n">
        <v>1</v>
      </c>
      <c r="K217" t="n">
        <v>0</v>
      </c>
      <c r="L217" t="n">
        <v>0</v>
      </c>
      <c r="M217" t="n">
        <v>0</v>
      </c>
      <c r="N217" t="n">
        <v>0</v>
      </c>
      <c r="O217" t="n">
        <v>1</v>
      </c>
      <c r="P217" t="n">
        <v>0</v>
      </c>
      <c r="Q217" t="n">
        <v>1</v>
      </c>
      <c r="R217" s="2" t="inlineStr">
        <is>
          <t>Garnlav</t>
        </is>
      </c>
      <c r="S217">
        <f>HYPERLINK("https://klasma.github.io/Logging_2321/artfynd/A 59402-2023 artfynd.xlsx", "A 59402-2023")</f>
        <v/>
      </c>
      <c r="T217">
        <f>HYPERLINK("https://klasma.github.io/Logging_2321/kartor/A 59402-2023 karta.png", "A 59402-2023")</f>
        <v/>
      </c>
      <c r="V217">
        <f>HYPERLINK("https://klasma.github.io/Logging_2321/klagomål/A 59402-2023 FSC-klagomål.docx", "A 59402-2023")</f>
        <v/>
      </c>
      <c r="W217">
        <f>HYPERLINK("https://klasma.github.io/Logging_2321/klagomålsmail/A 59402-2023 FSC-klagomål mail.docx", "A 59402-2023")</f>
        <v/>
      </c>
      <c r="X217">
        <f>HYPERLINK("https://klasma.github.io/Logging_2321/tillsyn/A 59402-2023 tillsynsbegäran.docx", "A 59402-2023")</f>
        <v/>
      </c>
      <c r="Y217">
        <f>HYPERLINK("https://klasma.github.io/Logging_2321/tillsynsmail/A 59402-2023 tillsynsbegäran mail.docx", "A 59402-2023")</f>
        <v/>
      </c>
    </row>
    <row r="218" ht="15" customHeight="1">
      <c r="A218" t="inlineStr">
        <is>
          <t>A 61471-2023</t>
        </is>
      </c>
      <c r="B218" s="1" t="n">
        <v>45264</v>
      </c>
      <c r="C218" s="1" t="n">
        <v>45670</v>
      </c>
      <c r="D218" t="inlineStr">
        <is>
          <t>JÄMTLANDS LÄN</t>
        </is>
      </c>
      <c r="E218" t="inlineStr">
        <is>
          <t>ÅRE</t>
        </is>
      </c>
      <c r="G218" t="n">
        <v>1</v>
      </c>
      <c r="H218" t="n">
        <v>0</v>
      </c>
      <c r="I218" t="n">
        <v>0</v>
      </c>
      <c r="J218" t="n">
        <v>1</v>
      </c>
      <c r="K218" t="n">
        <v>0</v>
      </c>
      <c r="L218" t="n">
        <v>0</v>
      </c>
      <c r="M218" t="n">
        <v>0</v>
      </c>
      <c r="N218" t="n">
        <v>0</v>
      </c>
      <c r="O218" t="n">
        <v>1</v>
      </c>
      <c r="P218" t="n">
        <v>0</v>
      </c>
      <c r="Q218" t="n">
        <v>1</v>
      </c>
      <c r="R218" s="2" t="inlineStr">
        <is>
          <t>Skrovellav</t>
        </is>
      </c>
      <c r="S218">
        <f>HYPERLINK("https://klasma.github.io/Logging_2321/artfynd/A 61471-2023 artfynd.xlsx", "A 61471-2023")</f>
        <v/>
      </c>
      <c r="T218">
        <f>HYPERLINK("https://klasma.github.io/Logging_2321/kartor/A 61471-2023 karta.png", "A 61471-2023")</f>
        <v/>
      </c>
      <c r="V218">
        <f>HYPERLINK("https://klasma.github.io/Logging_2321/klagomål/A 61471-2023 FSC-klagomål.docx", "A 61471-2023")</f>
        <v/>
      </c>
      <c r="W218">
        <f>HYPERLINK("https://klasma.github.io/Logging_2321/klagomålsmail/A 61471-2023 FSC-klagomål mail.docx", "A 61471-2023")</f>
        <v/>
      </c>
      <c r="X218">
        <f>HYPERLINK("https://klasma.github.io/Logging_2321/tillsyn/A 61471-2023 tillsynsbegäran.docx", "A 61471-2023")</f>
        <v/>
      </c>
      <c r="Y218">
        <f>HYPERLINK("https://klasma.github.io/Logging_2321/tillsynsmail/A 61471-2023 tillsynsbegäran mail.docx", "A 61471-2023")</f>
        <v/>
      </c>
    </row>
    <row r="219" ht="15" customHeight="1">
      <c r="A219" t="inlineStr">
        <is>
          <t>A 61828-2023</t>
        </is>
      </c>
      <c r="B219" s="1" t="n">
        <v>45264</v>
      </c>
      <c r="C219" s="1" t="n">
        <v>45670</v>
      </c>
      <c r="D219" t="inlineStr">
        <is>
          <t>JÄMTLANDS LÄN</t>
        </is>
      </c>
      <c r="E219" t="inlineStr">
        <is>
          <t>ÅRE</t>
        </is>
      </c>
      <c r="F219" t="inlineStr">
        <is>
          <t>Övriga Aktiebolag</t>
        </is>
      </c>
      <c r="G219" t="n">
        <v>6.2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61828-2023 artfynd.xlsx", "A 61828-2023")</f>
        <v/>
      </c>
      <c r="T219">
        <f>HYPERLINK("https://klasma.github.io/Logging_2321/kartor/A 61828-2023 karta.png", "A 61828-2023")</f>
        <v/>
      </c>
      <c r="V219">
        <f>HYPERLINK("https://klasma.github.io/Logging_2321/klagomål/A 61828-2023 FSC-klagomål.docx", "A 61828-2023")</f>
        <v/>
      </c>
      <c r="W219">
        <f>HYPERLINK("https://klasma.github.io/Logging_2321/klagomålsmail/A 61828-2023 FSC-klagomål mail.docx", "A 61828-2023")</f>
        <v/>
      </c>
      <c r="X219">
        <f>HYPERLINK("https://klasma.github.io/Logging_2321/tillsyn/A 61828-2023 tillsynsbegäran.docx", "A 61828-2023")</f>
        <v/>
      </c>
      <c r="Y219">
        <f>HYPERLINK("https://klasma.github.io/Logging_2321/tillsynsmail/A 61828-2023 tillsynsbegäran mail.docx", "A 61828-2023")</f>
        <v/>
      </c>
      <c r="Z219">
        <f>HYPERLINK("https://klasma.github.io/Logging_2321/fåglar/A 61828-2023 prioriterade fågelarter.docx", "A 61828-2023")</f>
        <v/>
      </c>
    </row>
    <row r="220" ht="15" customHeight="1">
      <c r="A220" t="inlineStr">
        <is>
          <t>A 64026-2023</t>
        </is>
      </c>
      <c r="B220" s="1" t="n">
        <v>45278</v>
      </c>
      <c r="C220" s="1" t="n">
        <v>45670</v>
      </c>
      <c r="D220" t="inlineStr">
        <is>
          <t>JÄMTLANDS LÄN</t>
        </is>
      </c>
      <c r="E220" t="inlineStr">
        <is>
          <t>ÅRE</t>
        </is>
      </c>
      <c r="F220" t="inlineStr">
        <is>
          <t>Övriga Aktiebolag</t>
        </is>
      </c>
      <c r="G220" t="n">
        <v>9.800000000000001</v>
      </c>
      <c r="H220" t="n">
        <v>0</v>
      </c>
      <c r="I220" t="n">
        <v>1</v>
      </c>
      <c r="J220" t="n">
        <v>0</v>
      </c>
      <c r="K220" t="n">
        <v>0</v>
      </c>
      <c r="L220" t="n">
        <v>0</v>
      </c>
      <c r="M220" t="n">
        <v>0</v>
      </c>
      <c r="N220" t="n">
        <v>0</v>
      </c>
      <c r="O220" t="n">
        <v>0</v>
      </c>
      <c r="P220" t="n">
        <v>0</v>
      </c>
      <c r="Q220" t="n">
        <v>1</v>
      </c>
      <c r="R220" s="2" t="inlineStr">
        <is>
          <t>Svavelriska</t>
        </is>
      </c>
      <c r="S220">
        <f>HYPERLINK("https://klasma.github.io/Logging_2321/artfynd/A 64026-2023 artfynd.xlsx", "A 64026-2023")</f>
        <v/>
      </c>
      <c r="T220">
        <f>HYPERLINK("https://klasma.github.io/Logging_2321/kartor/A 64026-2023 karta.png", "A 64026-2023")</f>
        <v/>
      </c>
      <c r="V220">
        <f>HYPERLINK("https://klasma.github.io/Logging_2321/klagomål/A 64026-2023 FSC-klagomål.docx", "A 64026-2023")</f>
        <v/>
      </c>
      <c r="W220">
        <f>HYPERLINK("https://klasma.github.io/Logging_2321/klagomålsmail/A 64026-2023 FSC-klagomål mail.docx", "A 64026-2023")</f>
        <v/>
      </c>
      <c r="X220">
        <f>HYPERLINK("https://klasma.github.io/Logging_2321/tillsyn/A 64026-2023 tillsynsbegäran.docx", "A 64026-2023")</f>
        <v/>
      </c>
      <c r="Y220">
        <f>HYPERLINK("https://klasma.github.io/Logging_2321/tillsynsmail/A 64026-2023 tillsynsbegäran mail.docx", "A 64026-2023")</f>
        <v/>
      </c>
    </row>
    <row r="221" ht="15" customHeight="1">
      <c r="A221" t="inlineStr">
        <is>
          <t>A 8131-2024</t>
        </is>
      </c>
      <c r="B221" s="1" t="n">
        <v>45351</v>
      </c>
      <c r="C221" s="1" t="n">
        <v>45670</v>
      </c>
      <c r="D221" t="inlineStr">
        <is>
          <t>JÄMTLANDS LÄN</t>
        </is>
      </c>
      <c r="E221" t="inlineStr">
        <is>
          <t>ÅRE</t>
        </is>
      </c>
      <c r="F221" t="inlineStr">
        <is>
          <t>Övriga Aktiebolag</t>
        </is>
      </c>
      <c r="G221" t="n">
        <v>3.1</v>
      </c>
      <c r="H221" t="n">
        <v>0</v>
      </c>
      <c r="I221" t="n">
        <v>0</v>
      </c>
      <c r="J221" t="n">
        <v>0</v>
      </c>
      <c r="K221" t="n">
        <v>1</v>
      </c>
      <c r="L221" t="n">
        <v>0</v>
      </c>
      <c r="M221" t="n">
        <v>0</v>
      </c>
      <c r="N221" t="n">
        <v>0</v>
      </c>
      <c r="O221" t="n">
        <v>1</v>
      </c>
      <c r="P221" t="n">
        <v>1</v>
      </c>
      <c r="Q221" t="n">
        <v>1</v>
      </c>
      <c r="R221" s="2" t="inlineStr">
        <is>
          <t>Gräddporing</t>
        </is>
      </c>
      <c r="S221">
        <f>HYPERLINK("https://klasma.github.io/Logging_2321/artfynd/A 8131-2024 artfynd.xlsx", "A 8131-2024")</f>
        <v/>
      </c>
      <c r="T221">
        <f>HYPERLINK("https://klasma.github.io/Logging_2321/kartor/A 8131-2024 karta.png", "A 8131-2024")</f>
        <v/>
      </c>
      <c r="V221">
        <f>HYPERLINK("https://klasma.github.io/Logging_2321/klagomål/A 8131-2024 FSC-klagomål.docx", "A 8131-2024")</f>
        <v/>
      </c>
      <c r="W221">
        <f>HYPERLINK("https://klasma.github.io/Logging_2321/klagomålsmail/A 8131-2024 FSC-klagomål mail.docx", "A 8131-2024")</f>
        <v/>
      </c>
      <c r="X221">
        <f>HYPERLINK("https://klasma.github.io/Logging_2321/tillsyn/A 8131-2024 tillsynsbegäran.docx", "A 8131-2024")</f>
        <v/>
      </c>
      <c r="Y221">
        <f>HYPERLINK("https://klasma.github.io/Logging_2321/tillsynsmail/A 8131-2024 tillsynsbegäran mail.docx", "A 8131-2024")</f>
        <v/>
      </c>
    </row>
    <row r="222" ht="15" customHeight="1">
      <c r="A222" t="inlineStr">
        <is>
          <t>A 17636-2024</t>
        </is>
      </c>
      <c r="B222" s="1" t="n">
        <v>45418</v>
      </c>
      <c r="C222" s="1" t="n">
        <v>45670</v>
      </c>
      <c r="D222" t="inlineStr">
        <is>
          <t>JÄMTLANDS LÄN</t>
        </is>
      </c>
      <c r="E222" t="inlineStr">
        <is>
          <t>ÅRE</t>
        </is>
      </c>
      <c r="F222" t="inlineStr">
        <is>
          <t>Övriga Aktiebolag</t>
        </is>
      </c>
      <c r="G222" t="n">
        <v>12.4</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17636-2024 artfynd.xlsx", "A 17636-2024")</f>
        <v/>
      </c>
      <c r="T222">
        <f>HYPERLINK("https://klasma.github.io/Logging_2321/kartor/A 17636-2024 karta.png", "A 17636-2024")</f>
        <v/>
      </c>
      <c r="V222">
        <f>HYPERLINK("https://klasma.github.io/Logging_2321/klagomål/A 17636-2024 FSC-klagomål.docx", "A 17636-2024")</f>
        <v/>
      </c>
      <c r="W222">
        <f>HYPERLINK("https://klasma.github.io/Logging_2321/klagomålsmail/A 17636-2024 FSC-klagomål mail.docx", "A 17636-2024")</f>
        <v/>
      </c>
      <c r="X222">
        <f>HYPERLINK("https://klasma.github.io/Logging_2321/tillsyn/A 17636-2024 tillsynsbegäran.docx", "A 17636-2024")</f>
        <v/>
      </c>
      <c r="Y222">
        <f>HYPERLINK("https://klasma.github.io/Logging_2321/tillsynsmail/A 17636-2024 tillsynsbegäran mail.docx", "A 17636-2024")</f>
        <v/>
      </c>
      <c r="Z222">
        <f>HYPERLINK("https://klasma.github.io/Logging_2321/fåglar/A 17636-2024 prioriterade fågelarter.docx", "A 17636-2024")</f>
        <v/>
      </c>
    </row>
    <row r="223" ht="15" customHeight="1">
      <c r="A223" t="inlineStr">
        <is>
          <t>A 23426-2024</t>
        </is>
      </c>
      <c r="B223" s="1" t="n">
        <v>45453</v>
      </c>
      <c r="C223" s="1" t="n">
        <v>45670</v>
      </c>
      <c r="D223" t="inlineStr">
        <is>
          <t>JÄMTLANDS LÄN</t>
        </is>
      </c>
      <c r="E223" t="inlineStr">
        <is>
          <t>ÅRE</t>
        </is>
      </c>
      <c r="F223" t="inlineStr">
        <is>
          <t>Övriga Aktiebolag</t>
        </is>
      </c>
      <c r="G223" t="n">
        <v>2.3</v>
      </c>
      <c r="H223" t="n">
        <v>0</v>
      </c>
      <c r="I223" t="n">
        <v>0</v>
      </c>
      <c r="J223" t="n">
        <v>1</v>
      </c>
      <c r="K223" t="n">
        <v>0</v>
      </c>
      <c r="L223" t="n">
        <v>0</v>
      </c>
      <c r="M223" t="n">
        <v>0</v>
      </c>
      <c r="N223" t="n">
        <v>0</v>
      </c>
      <c r="O223" t="n">
        <v>1</v>
      </c>
      <c r="P223" t="n">
        <v>0</v>
      </c>
      <c r="Q223" t="n">
        <v>1</v>
      </c>
      <c r="R223" s="2" t="inlineStr">
        <is>
          <t>Doftskinn</t>
        </is>
      </c>
      <c r="S223">
        <f>HYPERLINK("https://klasma.github.io/Logging_2321/artfynd/A 23426-2024 artfynd.xlsx", "A 23426-2024")</f>
        <v/>
      </c>
      <c r="T223">
        <f>HYPERLINK("https://klasma.github.io/Logging_2321/kartor/A 23426-2024 karta.png", "A 23426-2024")</f>
        <v/>
      </c>
      <c r="V223">
        <f>HYPERLINK("https://klasma.github.io/Logging_2321/klagomål/A 23426-2024 FSC-klagomål.docx", "A 23426-2024")</f>
        <v/>
      </c>
      <c r="W223">
        <f>HYPERLINK("https://klasma.github.io/Logging_2321/klagomålsmail/A 23426-2024 FSC-klagomål mail.docx", "A 23426-2024")</f>
        <v/>
      </c>
      <c r="X223">
        <f>HYPERLINK("https://klasma.github.io/Logging_2321/tillsyn/A 23426-2024 tillsynsbegäran.docx", "A 23426-2024")</f>
        <v/>
      </c>
      <c r="Y223">
        <f>HYPERLINK("https://klasma.github.io/Logging_2321/tillsynsmail/A 23426-2024 tillsynsbegäran mail.docx", "A 23426-2024")</f>
        <v/>
      </c>
    </row>
    <row r="224" ht="15" customHeight="1">
      <c r="A224" t="inlineStr">
        <is>
          <t>A 30032-2024</t>
        </is>
      </c>
      <c r="B224" s="1" t="n">
        <v>45485</v>
      </c>
      <c r="C224" s="1" t="n">
        <v>45670</v>
      </c>
      <c r="D224" t="inlineStr">
        <is>
          <t>JÄMTLANDS LÄN</t>
        </is>
      </c>
      <c r="E224" t="inlineStr">
        <is>
          <t>ÅRE</t>
        </is>
      </c>
      <c r="G224" t="n">
        <v>20.5</v>
      </c>
      <c r="H224" t="n">
        <v>1</v>
      </c>
      <c r="I224" t="n">
        <v>1</v>
      </c>
      <c r="J224" t="n">
        <v>0</v>
      </c>
      <c r="K224" t="n">
        <v>0</v>
      </c>
      <c r="L224" t="n">
        <v>0</v>
      </c>
      <c r="M224" t="n">
        <v>0</v>
      </c>
      <c r="N224" t="n">
        <v>0</v>
      </c>
      <c r="O224" t="n">
        <v>0</v>
      </c>
      <c r="P224" t="n">
        <v>0</v>
      </c>
      <c r="Q224" t="n">
        <v>1</v>
      </c>
      <c r="R224" s="2" t="inlineStr">
        <is>
          <t>Spindelblomster</t>
        </is>
      </c>
      <c r="S224">
        <f>HYPERLINK("https://klasma.github.io/Logging_2321/artfynd/A 30032-2024 artfynd.xlsx", "A 30032-2024")</f>
        <v/>
      </c>
      <c r="T224">
        <f>HYPERLINK("https://klasma.github.io/Logging_2321/kartor/A 30032-2024 karta.png", "A 30032-2024")</f>
        <v/>
      </c>
      <c r="V224">
        <f>HYPERLINK("https://klasma.github.io/Logging_2321/klagomål/A 30032-2024 FSC-klagomål.docx", "A 30032-2024")</f>
        <v/>
      </c>
      <c r="W224">
        <f>HYPERLINK("https://klasma.github.io/Logging_2321/klagomålsmail/A 30032-2024 FSC-klagomål mail.docx", "A 30032-2024")</f>
        <v/>
      </c>
      <c r="X224">
        <f>HYPERLINK("https://klasma.github.io/Logging_2321/tillsyn/A 30032-2024 tillsynsbegäran.docx", "A 30032-2024")</f>
        <v/>
      </c>
      <c r="Y224">
        <f>HYPERLINK("https://klasma.github.io/Logging_2321/tillsynsmail/A 30032-2024 tillsynsbegäran mail.docx", "A 30032-2024")</f>
        <v/>
      </c>
    </row>
    <row r="225" ht="15" customHeight="1">
      <c r="A225" t="inlineStr">
        <is>
          <t>A 32865-2024</t>
        </is>
      </c>
      <c r="B225" s="1" t="n">
        <v>45516</v>
      </c>
      <c r="C225" s="1" t="n">
        <v>45670</v>
      </c>
      <c r="D225" t="inlineStr">
        <is>
          <t>JÄMTLANDS LÄN</t>
        </is>
      </c>
      <c r="E225" t="inlineStr">
        <is>
          <t>ÅRE</t>
        </is>
      </c>
      <c r="G225" t="n">
        <v>29.5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32865-2024 artfynd.xlsx", "A 32865-2024")</f>
        <v/>
      </c>
      <c r="T225">
        <f>HYPERLINK("https://klasma.github.io/Logging_2321/kartor/A 32865-2024 karta.png", "A 32865-2024")</f>
        <v/>
      </c>
      <c r="V225">
        <f>HYPERLINK("https://klasma.github.io/Logging_2321/klagomål/A 32865-2024 FSC-klagomål.docx", "A 32865-2024")</f>
        <v/>
      </c>
      <c r="W225">
        <f>HYPERLINK("https://klasma.github.io/Logging_2321/klagomålsmail/A 32865-2024 FSC-klagomål mail.docx", "A 32865-2024")</f>
        <v/>
      </c>
      <c r="X225">
        <f>HYPERLINK("https://klasma.github.io/Logging_2321/tillsyn/A 32865-2024 tillsynsbegäran.docx", "A 32865-2024")</f>
        <v/>
      </c>
      <c r="Y225">
        <f>HYPERLINK("https://klasma.github.io/Logging_2321/tillsynsmail/A 32865-2024 tillsynsbegäran mail.docx", "A 32865-2024")</f>
        <v/>
      </c>
      <c r="Z225">
        <f>HYPERLINK("https://klasma.github.io/Logging_2321/fåglar/A 32865-2024 prioriterade fågelarter.docx", "A 32865-2024")</f>
        <v/>
      </c>
    </row>
    <row r="226" ht="15" customHeight="1">
      <c r="A226" t="inlineStr">
        <is>
          <t>A 42166-2024</t>
        </is>
      </c>
      <c r="B226" s="1" t="n">
        <v>45562</v>
      </c>
      <c r="C226" s="1" t="n">
        <v>45670</v>
      </c>
      <c r="D226" t="inlineStr">
        <is>
          <t>JÄMTLANDS LÄN</t>
        </is>
      </c>
      <c r="E226" t="inlineStr">
        <is>
          <t>ÅRE</t>
        </is>
      </c>
      <c r="G226" t="n">
        <v>1.3</v>
      </c>
      <c r="H226" t="n">
        <v>1</v>
      </c>
      <c r="I226" t="n">
        <v>0</v>
      </c>
      <c r="J226" t="n">
        <v>0</v>
      </c>
      <c r="K226" t="n">
        <v>0</v>
      </c>
      <c r="L226" t="n">
        <v>0</v>
      </c>
      <c r="M226" t="n">
        <v>0</v>
      </c>
      <c r="N226" t="n">
        <v>0</v>
      </c>
      <c r="O226" t="n">
        <v>0</v>
      </c>
      <c r="P226" t="n">
        <v>0</v>
      </c>
      <c r="Q226" t="n">
        <v>1</v>
      </c>
      <c r="R226" s="2" t="inlineStr">
        <is>
          <t>Fläcknycklar</t>
        </is>
      </c>
      <c r="S226">
        <f>HYPERLINK("https://klasma.github.io/Logging_2321/artfynd/A 42166-2024 artfynd.xlsx", "A 42166-2024")</f>
        <v/>
      </c>
      <c r="T226">
        <f>HYPERLINK("https://klasma.github.io/Logging_2321/kartor/A 42166-2024 karta.png", "A 42166-2024")</f>
        <v/>
      </c>
      <c r="V226">
        <f>HYPERLINK("https://klasma.github.io/Logging_2321/klagomål/A 42166-2024 FSC-klagomål.docx", "A 42166-2024")</f>
        <v/>
      </c>
      <c r="W226">
        <f>HYPERLINK("https://klasma.github.io/Logging_2321/klagomålsmail/A 42166-2024 FSC-klagomål mail.docx", "A 42166-2024")</f>
        <v/>
      </c>
      <c r="X226">
        <f>HYPERLINK("https://klasma.github.io/Logging_2321/tillsyn/A 42166-2024 tillsynsbegäran.docx", "A 42166-2024")</f>
        <v/>
      </c>
      <c r="Y226">
        <f>HYPERLINK("https://klasma.github.io/Logging_2321/tillsynsmail/A 42166-2024 tillsynsbegäran mail.docx", "A 42166-2024")</f>
        <v/>
      </c>
    </row>
    <row r="227" ht="15" customHeight="1">
      <c r="A227" t="inlineStr">
        <is>
          <t>A 45144-2024</t>
        </is>
      </c>
      <c r="B227" s="1" t="n">
        <v>45575</v>
      </c>
      <c r="C227" s="1" t="n">
        <v>45670</v>
      </c>
      <c r="D227" t="inlineStr">
        <is>
          <t>JÄMTLANDS LÄN</t>
        </is>
      </c>
      <c r="E227" t="inlineStr">
        <is>
          <t>ÅRE</t>
        </is>
      </c>
      <c r="F227" t="inlineStr">
        <is>
          <t>Övriga Aktiebolag</t>
        </is>
      </c>
      <c r="G227" t="n">
        <v>14.7</v>
      </c>
      <c r="H227" t="n">
        <v>0</v>
      </c>
      <c r="I227" t="n">
        <v>0</v>
      </c>
      <c r="J227" t="n">
        <v>1</v>
      </c>
      <c r="K227" t="n">
        <v>0</v>
      </c>
      <c r="L227" t="n">
        <v>0</v>
      </c>
      <c r="M227" t="n">
        <v>0</v>
      </c>
      <c r="N227" t="n">
        <v>0</v>
      </c>
      <c r="O227" t="n">
        <v>1</v>
      </c>
      <c r="P227" t="n">
        <v>0</v>
      </c>
      <c r="Q227" t="n">
        <v>1</v>
      </c>
      <c r="R227" s="2" t="inlineStr">
        <is>
          <t>Garnlav</t>
        </is>
      </c>
      <c r="S227">
        <f>HYPERLINK("https://klasma.github.io/Logging_2321/artfynd/A 45144-2024 artfynd.xlsx", "A 45144-2024")</f>
        <v/>
      </c>
      <c r="T227">
        <f>HYPERLINK("https://klasma.github.io/Logging_2321/kartor/A 45144-2024 karta.png", "A 45144-2024")</f>
        <v/>
      </c>
      <c r="V227">
        <f>HYPERLINK("https://klasma.github.io/Logging_2321/klagomål/A 45144-2024 FSC-klagomål.docx", "A 45144-2024")</f>
        <v/>
      </c>
      <c r="W227">
        <f>HYPERLINK("https://klasma.github.io/Logging_2321/klagomålsmail/A 45144-2024 FSC-klagomål mail.docx", "A 45144-2024")</f>
        <v/>
      </c>
      <c r="X227">
        <f>HYPERLINK("https://klasma.github.io/Logging_2321/tillsyn/A 45144-2024 tillsynsbegäran.docx", "A 45144-2024")</f>
        <v/>
      </c>
      <c r="Y227">
        <f>HYPERLINK("https://klasma.github.io/Logging_2321/tillsynsmail/A 45144-2024 tillsynsbegäran mail.docx", "A 45144-2024")</f>
        <v/>
      </c>
    </row>
    <row r="228" ht="15" customHeight="1">
      <c r="A228" t="inlineStr">
        <is>
          <t>A 48187-2024</t>
        </is>
      </c>
      <c r="B228" s="1" t="n">
        <v>45590</v>
      </c>
      <c r="C228" s="1" t="n">
        <v>45670</v>
      </c>
      <c r="D228" t="inlineStr">
        <is>
          <t>JÄMTLANDS LÄN</t>
        </is>
      </c>
      <c r="E228" t="inlineStr">
        <is>
          <t>ÅRE</t>
        </is>
      </c>
      <c r="G228" t="n">
        <v>14.7</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48187-2024 artfynd.xlsx", "A 48187-2024")</f>
        <v/>
      </c>
      <c r="T228">
        <f>HYPERLINK("https://klasma.github.io/Logging_2321/kartor/A 48187-2024 karta.png", "A 48187-2024")</f>
        <v/>
      </c>
      <c r="V228">
        <f>HYPERLINK("https://klasma.github.io/Logging_2321/klagomål/A 48187-2024 FSC-klagomål.docx", "A 48187-2024")</f>
        <v/>
      </c>
      <c r="W228">
        <f>HYPERLINK("https://klasma.github.io/Logging_2321/klagomålsmail/A 48187-2024 FSC-klagomål mail.docx", "A 48187-2024")</f>
        <v/>
      </c>
      <c r="X228">
        <f>HYPERLINK("https://klasma.github.io/Logging_2321/tillsyn/A 48187-2024 tillsynsbegäran.docx", "A 48187-2024")</f>
        <v/>
      </c>
      <c r="Y228">
        <f>HYPERLINK("https://klasma.github.io/Logging_2321/tillsynsmail/A 48187-2024 tillsynsbegäran mail.docx", "A 48187-2024")</f>
        <v/>
      </c>
      <c r="Z228">
        <f>HYPERLINK("https://klasma.github.io/Logging_2321/fåglar/A 48187-2024 prioriterade fågelarter.docx", "A 48187-2024")</f>
        <v/>
      </c>
    </row>
    <row r="229" ht="15" customHeight="1">
      <c r="A229" t="inlineStr">
        <is>
          <t>A 50321-2024</t>
        </is>
      </c>
      <c r="B229" s="1" t="n">
        <v>45600</v>
      </c>
      <c r="C229" s="1" t="n">
        <v>45670</v>
      </c>
      <c r="D229" t="inlineStr">
        <is>
          <t>JÄMTLANDS LÄN</t>
        </is>
      </c>
      <c r="E229" t="inlineStr">
        <is>
          <t>ÅRE</t>
        </is>
      </c>
      <c r="F229" t="inlineStr">
        <is>
          <t>Övriga Aktiebolag</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50321-2024 artfynd.xlsx", "A 50321-2024")</f>
        <v/>
      </c>
      <c r="T229">
        <f>HYPERLINK("https://klasma.github.io/Logging_2321/kartor/A 50321-2024 karta.png", "A 50321-2024")</f>
        <v/>
      </c>
      <c r="V229">
        <f>HYPERLINK("https://klasma.github.io/Logging_2321/klagomål/A 50321-2024 FSC-klagomål.docx", "A 50321-2024")</f>
        <v/>
      </c>
      <c r="W229">
        <f>HYPERLINK("https://klasma.github.io/Logging_2321/klagomålsmail/A 50321-2024 FSC-klagomål mail.docx", "A 50321-2024")</f>
        <v/>
      </c>
      <c r="X229">
        <f>HYPERLINK("https://klasma.github.io/Logging_2321/tillsyn/A 50321-2024 tillsynsbegäran.docx", "A 50321-2024")</f>
        <v/>
      </c>
      <c r="Y229">
        <f>HYPERLINK("https://klasma.github.io/Logging_2321/tillsynsmail/A 50321-2024 tillsynsbegäran mail.docx", "A 50321-2024")</f>
        <v/>
      </c>
      <c r="Z229">
        <f>HYPERLINK("https://klasma.github.io/Logging_2321/fåglar/A 50321-2024 prioriterade fågelarter.docx", "A 50321-2024")</f>
        <v/>
      </c>
    </row>
    <row r="230" ht="15" customHeight="1">
      <c r="A230" t="inlineStr">
        <is>
          <t>A 52746-2024</t>
        </is>
      </c>
      <c r="B230" s="1" t="n">
        <v>45610</v>
      </c>
      <c r="C230" s="1" t="n">
        <v>45670</v>
      </c>
      <c r="D230" t="inlineStr">
        <is>
          <t>JÄMTLANDS LÄN</t>
        </is>
      </c>
      <c r="E230" t="inlineStr">
        <is>
          <t>ÅRE</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HYPERLINK("https://klasma.github.io/Logging_2321/artfynd/A 52746-2024 artfynd.xlsx", "A 52746-2024")</f>
        <v/>
      </c>
      <c r="T230">
        <f>HYPERLINK("https://klasma.github.io/Logging_2321/kartor/A 52746-2024 karta.png", "A 52746-2024")</f>
        <v/>
      </c>
      <c r="V230">
        <f>HYPERLINK("https://klasma.github.io/Logging_2321/klagomål/A 52746-2024 FSC-klagomål.docx", "A 52746-2024")</f>
        <v/>
      </c>
      <c r="W230">
        <f>HYPERLINK("https://klasma.github.io/Logging_2321/klagomålsmail/A 52746-2024 FSC-klagomål mail.docx", "A 52746-2024")</f>
        <v/>
      </c>
      <c r="X230">
        <f>HYPERLINK("https://klasma.github.io/Logging_2321/tillsyn/A 52746-2024 tillsynsbegäran.docx", "A 52746-2024")</f>
        <v/>
      </c>
      <c r="Y230">
        <f>HYPERLINK("https://klasma.github.io/Logging_2321/tillsynsmail/A 52746-2024 tillsynsbegäran mail.docx", "A 52746-2024")</f>
        <v/>
      </c>
    </row>
    <row r="231" ht="15" customHeight="1">
      <c r="A231" t="inlineStr">
        <is>
          <t>A 53462-2024</t>
        </is>
      </c>
      <c r="B231" s="1" t="n">
        <v>45614</v>
      </c>
      <c r="C231" s="1" t="n">
        <v>45670</v>
      </c>
      <c r="D231" t="inlineStr">
        <is>
          <t>JÄMTLANDS LÄN</t>
        </is>
      </c>
      <c r="E231" t="inlineStr">
        <is>
          <t>ÅRE</t>
        </is>
      </c>
      <c r="G231" t="n">
        <v>12.8</v>
      </c>
      <c r="H231" t="n">
        <v>0</v>
      </c>
      <c r="I231" t="n">
        <v>0</v>
      </c>
      <c r="J231" t="n">
        <v>1</v>
      </c>
      <c r="K231" t="n">
        <v>0</v>
      </c>
      <c r="L231" t="n">
        <v>0</v>
      </c>
      <c r="M231" t="n">
        <v>0</v>
      </c>
      <c r="N231" t="n">
        <v>0</v>
      </c>
      <c r="O231" t="n">
        <v>1</v>
      </c>
      <c r="P231" t="n">
        <v>0</v>
      </c>
      <c r="Q231" t="n">
        <v>1</v>
      </c>
      <c r="R231" s="2" t="inlineStr">
        <is>
          <t>Granticka</t>
        </is>
      </c>
      <c r="S231">
        <f>HYPERLINK("https://klasma.github.io/Logging_2321/artfynd/A 53462-2024 artfynd.xlsx", "A 53462-2024")</f>
        <v/>
      </c>
      <c r="T231">
        <f>HYPERLINK("https://klasma.github.io/Logging_2321/kartor/A 53462-2024 karta.png", "A 53462-2024")</f>
        <v/>
      </c>
      <c r="V231">
        <f>HYPERLINK("https://klasma.github.io/Logging_2321/klagomål/A 53462-2024 FSC-klagomål.docx", "A 53462-2024")</f>
        <v/>
      </c>
      <c r="W231">
        <f>HYPERLINK("https://klasma.github.io/Logging_2321/klagomålsmail/A 53462-2024 FSC-klagomål mail.docx", "A 53462-2024")</f>
        <v/>
      </c>
      <c r="X231">
        <f>HYPERLINK("https://klasma.github.io/Logging_2321/tillsyn/A 53462-2024 tillsynsbegäran.docx", "A 53462-2024")</f>
        <v/>
      </c>
      <c r="Y231">
        <f>HYPERLINK("https://klasma.github.io/Logging_2321/tillsynsmail/A 53462-2024 tillsynsbegäran mail.docx", "A 53462-2024")</f>
        <v/>
      </c>
    </row>
    <row r="232" ht="15" customHeight="1">
      <c r="A232" t="inlineStr">
        <is>
          <t>A 60316-2024</t>
        </is>
      </c>
      <c r="B232" s="1" t="n">
        <v>45643</v>
      </c>
      <c r="C232" s="1" t="n">
        <v>45670</v>
      </c>
      <c r="D232" t="inlineStr">
        <is>
          <t>JÄMTLANDS LÄN</t>
        </is>
      </c>
      <c r="E232" t="inlineStr">
        <is>
          <t>ÅRE</t>
        </is>
      </c>
      <c r="G232" t="n">
        <v>21.2</v>
      </c>
      <c r="H232" t="n">
        <v>0</v>
      </c>
      <c r="I232" t="n">
        <v>1</v>
      </c>
      <c r="J232" t="n">
        <v>0</v>
      </c>
      <c r="K232" t="n">
        <v>0</v>
      </c>
      <c r="L232" t="n">
        <v>0</v>
      </c>
      <c r="M232" t="n">
        <v>0</v>
      </c>
      <c r="N232" t="n">
        <v>0</v>
      </c>
      <c r="O232" t="n">
        <v>0</v>
      </c>
      <c r="P232" t="n">
        <v>0</v>
      </c>
      <c r="Q232" t="n">
        <v>1</v>
      </c>
      <c r="R232" s="2" t="inlineStr">
        <is>
          <t>Kransrams</t>
        </is>
      </c>
      <c r="S232">
        <f>HYPERLINK("https://klasma.github.io/Logging_2321/artfynd/A 60316-2024 artfynd.xlsx", "A 60316-2024")</f>
        <v/>
      </c>
      <c r="T232">
        <f>HYPERLINK("https://klasma.github.io/Logging_2321/kartor/A 60316-2024 karta.png", "A 60316-2024")</f>
        <v/>
      </c>
      <c r="V232">
        <f>HYPERLINK("https://klasma.github.io/Logging_2321/klagomål/A 60316-2024 FSC-klagomål.docx", "A 60316-2024")</f>
        <v/>
      </c>
      <c r="W232">
        <f>HYPERLINK("https://klasma.github.io/Logging_2321/klagomålsmail/A 60316-2024 FSC-klagomål mail.docx", "A 60316-2024")</f>
        <v/>
      </c>
      <c r="X232">
        <f>HYPERLINK("https://klasma.github.io/Logging_2321/tillsyn/A 60316-2024 tillsynsbegäran.docx", "A 60316-2024")</f>
        <v/>
      </c>
      <c r="Y232">
        <f>HYPERLINK("https://klasma.github.io/Logging_2321/tillsynsmail/A 60316-2024 tillsynsbegäran mail.docx", "A 60316-2024")</f>
        <v/>
      </c>
    </row>
    <row r="233" ht="15" customHeight="1">
      <c r="A233" t="inlineStr">
        <is>
          <t>A 21532-2019</t>
        </is>
      </c>
      <c r="B233" s="1" t="n">
        <v>43580</v>
      </c>
      <c r="C233" s="1" t="n">
        <v>45670</v>
      </c>
      <c r="D233" t="inlineStr">
        <is>
          <t>JÄMTLANDS LÄN</t>
        </is>
      </c>
      <c r="E233" t="inlineStr">
        <is>
          <t>ÅRE</t>
        </is>
      </c>
      <c r="G233" t="n">
        <v>20.1</v>
      </c>
      <c r="H233" t="n">
        <v>0</v>
      </c>
      <c r="I233" t="n">
        <v>0</v>
      </c>
      <c r="J233" t="n">
        <v>0</v>
      </c>
      <c r="K233" t="n">
        <v>0</v>
      </c>
      <c r="L233" t="n">
        <v>0</v>
      </c>
      <c r="M233" t="n">
        <v>0</v>
      </c>
      <c r="N233" t="n">
        <v>0</v>
      </c>
      <c r="O233" t="n">
        <v>0</v>
      </c>
      <c r="P233" t="n">
        <v>0</v>
      </c>
      <c r="Q233" t="n">
        <v>0</v>
      </c>
      <c r="R233" s="2" t="inlineStr"/>
    </row>
    <row r="234" ht="15" customHeight="1">
      <c r="A234" t="inlineStr">
        <is>
          <t>A 21883-2019</t>
        </is>
      </c>
      <c r="B234" s="1" t="n">
        <v>43584</v>
      </c>
      <c r="C234" s="1" t="n">
        <v>45670</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22558-2019</t>
        </is>
      </c>
      <c r="B235" s="1" t="n">
        <v>43587</v>
      </c>
      <c r="C235" s="1" t="n">
        <v>45670</v>
      </c>
      <c r="D235" t="inlineStr">
        <is>
          <t>JÄMTLANDS LÄN</t>
        </is>
      </c>
      <c r="E235" t="inlineStr">
        <is>
          <t>ÅRE</t>
        </is>
      </c>
      <c r="G235" t="n">
        <v>79.09999999999999</v>
      </c>
      <c r="H235" t="n">
        <v>0</v>
      </c>
      <c r="I235" t="n">
        <v>0</v>
      </c>
      <c r="J235" t="n">
        <v>0</v>
      </c>
      <c r="K235" t="n">
        <v>0</v>
      </c>
      <c r="L235" t="n">
        <v>0</v>
      </c>
      <c r="M235" t="n">
        <v>0</v>
      </c>
      <c r="N235" t="n">
        <v>0</v>
      </c>
      <c r="O235" t="n">
        <v>0</v>
      </c>
      <c r="P235" t="n">
        <v>0</v>
      </c>
      <c r="Q235" t="n">
        <v>0</v>
      </c>
      <c r="R235" s="2" t="inlineStr"/>
    </row>
    <row r="236" ht="15" customHeight="1">
      <c r="A236" t="inlineStr">
        <is>
          <t>A 25099-2019</t>
        </is>
      </c>
      <c r="B236" s="1" t="n">
        <v>43605</v>
      </c>
      <c r="C236" s="1" t="n">
        <v>45670</v>
      </c>
      <c r="D236" t="inlineStr">
        <is>
          <t>JÄMTLANDS LÄN</t>
        </is>
      </c>
      <c r="E236" t="inlineStr">
        <is>
          <t>ÅRE</t>
        </is>
      </c>
      <c r="G236" t="n">
        <v>8.9</v>
      </c>
      <c r="H236" t="n">
        <v>0</v>
      </c>
      <c r="I236" t="n">
        <v>0</v>
      </c>
      <c r="J236" t="n">
        <v>0</v>
      </c>
      <c r="K236" t="n">
        <v>0</v>
      </c>
      <c r="L236" t="n">
        <v>0</v>
      </c>
      <c r="M236" t="n">
        <v>0</v>
      </c>
      <c r="N236" t="n">
        <v>0</v>
      </c>
      <c r="O236" t="n">
        <v>0</v>
      </c>
      <c r="P236" t="n">
        <v>0</v>
      </c>
      <c r="Q236" t="n">
        <v>0</v>
      </c>
      <c r="R236" s="2" t="inlineStr"/>
    </row>
    <row r="237" ht="15" customHeight="1">
      <c r="A237" t="inlineStr">
        <is>
          <t>A 26624-2019</t>
        </is>
      </c>
      <c r="B237" s="1" t="n">
        <v>43612</v>
      </c>
      <c r="C237" s="1" t="n">
        <v>45670</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26626-2019</t>
        </is>
      </c>
      <c r="B238" s="1" t="n">
        <v>43612</v>
      </c>
      <c r="C238" s="1" t="n">
        <v>45670</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28793-2019</t>
        </is>
      </c>
      <c r="B239" s="1" t="n">
        <v>43627</v>
      </c>
      <c r="C239" s="1" t="n">
        <v>45670</v>
      </c>
      <c r="D239" t="inlineStr">
        <is>
          <t>JÄMTLANDS LÄN</t>
        </is>
      </c>
      <c r="E239" t="inlineStr">
        <is>
          <t>ÅRE</t>
        </is>
      </c>
      <c r="G239" t="n">
        <v>7.8</v>
      </c>
      <c r="H239" t="n">
        <v>0</v>
      </c>
      <c r="I239" t="n">
        <v>0</v>
      </c>
      <c r="J239" t="n">
        <v>0</v>
      </c>
      <c r="K239" t="n">
        <v>0</v>
      </c>
      <c r="L239" t="n">
        <v>0</v>
      </c>
      <c r="M239" t="n">
        <v>0</v>
      </c>
      <c r="N239" t="n">
        <v>0</v>
      </c>
      <c r="O239" t="n">
        <v>0</v>
      </c>
      <c r="P239" t="n">
        <v>0</v>
      </c>
      <c r="Q239" t="n">
        <v>0</v>
      </c>
      <c r="R239" s="2" t="inlineStr"/>
    </row>
    <row r="240" ht="15" customHeight="1">
      <c r="A240" t="inlineStr">
        <is>
          <t>A 29272-2019</t>
        </is>
      </c>
      <c r="B240" s="1" t="n">
        <v>43629</v>
      </c>
      <c r="C240" s="1" t="n">
        <v>45670</v>
      </c>
      <c r="D240" t="inlineStr">
        <is>
          <t>JÄMTLANDS LÄN</t>
        </is>
      </c>
      <c r="E240" t="inlineStr">
        <is>
          <t>ÅRE</t>
        </is>
      </c>
      <c r="G240" t="n">
        <v>10.9</v>
      </c>
      <c r="H240" t="n">
        <v>0</v>
      </c>
      <c r="I240" t="n">
        <v>0</v>
      </c>
      <c r="J240" t="n">
        <v>0</v>
      </c>
      <c r="K240" t="n">
        <v>0</v>
      </c>
      <c r="L240" t="n">
        <v>0</v>
      </c>
      <c r="M240" t="n">
        <v>0</v>
      </c>
      <c r="N240" t="n">
        <v>0</v>
      </c>
      <c r="O240" t="n">
        <v>0</v>
      </c>
      <c r="P240" t="n">
        <v>0</v>
      </c>
      <c r="Q240" t="n">
        <v>0</v>
      </c>
      <c r="R240" s="2" t="inlineStr"/>
    </row>
    <row r="241" ht="15" customHeight="1">
      <c r="A241" t="inlineStr">
        <is>
          <t>A 29769-2019</t>
        </is>
      </c>
      <c r="B241" s="1" t="n">
        <v>43632</v>
      </c>
      <c r="C241" s="1" t="n">
        <v>45670</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29916-2019</t>
        </is>
      </c>
      <c r="B242" s="1" t="n">
        <v>43633</v>
      </c>
      <c r="C242" s="1" t="n">
        <v>45670</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30384-2019</t>
        </is>
      </c>
      <c r="B243" s="1" t="n">
        <v>43634</v>
      </c>
      <c r="C243" s="1" t="n">
        <v>45670</v>
      </c>
      <c r="D243" t="inlineStr">
        <is>
          <t>JÄMTLANDS LÄN</t>
        </is>
      </c>
      <c r="E243" t="inlineStr">
        <is>
          <t>ÅRE</t>
        </is>
      </c>
      <c r="G243" t="n">
        <v>19</v>
      </c>
      <c r="H243" t="n">
        <v>0</v>
      </c>
      <c r="I243" t="n">
        <v>0</v>
      </c>
      <c r="J243" t="n">
        <v>0</v>
      </c>
      <c r="K243" t="n">
        <v>0</v>
      </c>
      <c r="L243" t="n">
        <v>0</v>
      </c>
      <c r="M243" t="n">
        <v>0</v>
      </c>
      <c r="N243" t="n">
        <v>0</v>
      </c>
      <c r="O243" t="n">
        <v>0</v>
      </c>
      <c r="P243" t="n">
        <v>0</v>
      </c>
      <c r="Q243" t="n">
        <v>0</v>
      </c>
      <c r="R243" s="2" t="inlineStr"/>
    </row>
    <row r="244" ht="15" customHeight="1">
      <c r="A244" t="inlineStr">
        <is>
          <t>A 33856-2019</t>
        </is>
      </c>
      <c r="B244" s="1" t="n">
        <v>43652</v>
      </c>
      <c r="C244" s="1" t="n">
        <v>45670</v>
      </c>
      <c r="D244" t="inlineStr">
        <is>
          <t>JÄMTLANDS LÄN</t>
        </is>
      </c>
      <c r="E244" t="inlineStr">
        <is>
          <t>ÅRE</t>
        </is>
      </c>
      <c r="G244" t="n">
        <v>9.6</v>
      </c>
      <c r="H244" t="n">
        <v>0</v>
      </c>
      <c r="I244" t="n">
        <v>0</v>
      </c>
      <c r="J244" t="n">
        <v>0</v>
      </c>
      <c r="K244" t="n">
        <v>0</v>
      </c>
      <c r="L244" t="n">
        <v>0</v>
      </c>
      <c r="M244" t="n">
        <v>0</v>
      </c>
      <c r="N244" t="n">
        <v>0</v>
      </c>
      <c r="O244" t="n">
        <v>0</v>
      </c>
      <c r="P244" t="n">
        <v>0</v>
      </c>
      <c r="Q244" t="n">
        <v>0</v>
      </c>
      <c r="R244" s="2" t="inlineStr"/>
    </row>
    <row r="245" ht="15" customHeight="1">
      <c r="A245" t="inlineStr">
        <is>
          <t>A 35391-2019</t>
        </is>
      </c>
      <c r="B245" s="1" t="n">
        <v>43661</v>
      </c>
      <c r="C245" s="1" t="n">
        <v>45670</v>
      </c>
      <c r="D245" t="inlineStr">
        <is>
          <t>JÄMTLANDS LÄN</t>
        </is>
      </c>
      <c r="E245" t="inlineStr">
        <is>
          <t>ÅRE</t>
        </is>
      </c>
      <c r="G245" t="n">
        <v>19.7</v>
      </c>
      <c r="H245" t="n">
        <v>0</v>
      </c>
      <c r="I245" t="n">
        <v>0</v>
      </c>
      <c r="J245" t="n">
        <v>0</v>
      </c>
      <c r="K245" t="n">
        <v>0</v>
      </c>
      <c r="L245" t="n">
        <v>0</v>
      </c>
      <c r="M245" t="n">
        <v>0</v>
      </c>
      <c r="N245" t="n">
        <v>0</v>
      </c>
      <c r="O245" t="n">
        <v>0</v>
      </c>
      <c r="P245" t="n">
        <v>0</v>
      </c>
      <c r="Q245" t="n">
        <v>0</v>
      </c>
      <c r="R245" s="2" t="inlineStr"/>
    </row>
    <row r="246" ht="15" customHeight="1">
      <c r="A246" t="inlineStr">
        <is>
          <t>A 35485-2019</t>
        </is>
      </c>
      <c r="B246" s="1" t="n">
        <v>43661</v>
      </c>
      <c r="C246" s="1" t="n">
        <v>45670</v>
      </c>
      <c r="D246" t="inlineStr">
        <is>
          <t>JÄMTLANDS LÄN</t>
        </is>
      </c>
      <c r="E246" t="inlineStr">
        <is>
          <t>ÅRE</t>
        </is>
      </c>
      <c r="G246" t="n">
        <v>5.5</v>
      </c>
      <c r="H246" t="n">
        <v>0</v>
      </c>
      <c r="I246" t="n">
        <v>0</v>
      </c>
      <c r="J246" t="n">
        <v>0</v>
      </c>
      <c r="K246" t="n">
        <v>0</v>
      </c>
      <c r="L246" t="n">
        <v>0</v>
      </c>
      <c r="M246" t="n">
        <v>0</v>
      </c>
      <c r="N246" t="n">
        <v>0</v>
      </c>
      <c r="O246" t="n">
        <v>0</v>
      </c>
      <c r="P246" t="n">
        <v>0</v>
      </c>
      <c r="Q246" t="n">
        <v>0</v>
      </c>
      <c r="R246" s="2" t="inlineStr"/>
    </row>
    <row r="247" ht="15" customHeight="1">
      <c r="A247" t="inlineStr">
        <is>
          <t>A 36975-2019</t>
        </is>
      </c>
      <c r="B247" s="1" t="n">
        <v>43676</v>
      </c>
      <c r="C247" s="1" t="n">
        <v>45670</v>
      </c>
      <c r="D247" t="inlineStr">
        <is>
          <t>JÄMTLANDS LÄN</t>
        </is>
      </c>
      <c r="E247" t="inlineStr">
        <is>
          <t>ÅRE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41107-2019</t>
        </is>
      </c>
      <c r="B248" s="1" t="n">
        <v>43698</v>
      </c>
      <c r="C248" s="1" t="n">
        <v>45670</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42311-2019</t>
        </is>
      </c>
      <c r="B249" s="1" t="n">
        <v>43699</v>
      </c>
      <c r="C249" s="1" t="n">
        <v>45670</v>
      </c>
      <c r="D249" t="inlineStr">
        <is>
          <t>JÄMTLANDS LÄN</t>
        </is>
      </c>
      <c r="E249" t="inlineStr">
        <is>
          <t>ÅRE</t>
        </is>
      </c>
      <c r="G249" t="n">
        <v>13.7</v>
      </c>
      <c r="H249" t="n">
        <v>0</v>
      </c>
      <c r="I249" t="n">
        <v>0</v>
      </c>
      <c r="J249" t="n">
        <v>0</v>
      </c>
      <c r="K249" t="n">
        <v>0</v>
      </c>
      <c r="L249" t="n">
        <v>0</v>
      </c>
      <c r="M249" t="n">
        <v>0</v>
      </c>
      <c r="N249" t="n">
        <v>0</v>
      </c>
      <c r="O249" t="n">
        <v>0</v>
      </c>
      <c r="P249" t="n">
        <v>0</v>
      </c>
      <c r="Q249" t="n">
        <v>0</v>
      </c>
      <c r="R249" s="2" t="inlineStr"/>
    </row>
    <row r="250" ht="15" customHeight="1">
      <c r="A250" t="inlineStr">
        <is>
          <t>A 43678-2019</t>
        </is>
      </c>
      <c r="B250" s="1" t="n">
        <v>43707</v>
      </c>
      <c r="C250" s="1" t="n">
        <v>45670</v>
      </c>
      <c r="D250" t="inlineStr">
        <is>
          <t>JÄMTLANDS LÄN</t>
        </is>
      </c>
      <c r="E250" t="inlineStr">
        <is>
          <t>ÅRE</t>
        </is>
      </c>
      <c r="G250" t="n">
        <v>7.9</v>
      </c>
      <c r="H250" t="n">
        <v>0</v>
      </c>
      <c r="I250" t="n">
        <v>0</v>
      </c>
      <c r="J250" t="n">
        <v>0</v>
      </c>
      <c r="K250" t="n">
        <v>0</v>
      </c>
      <c r="L250" t="n">
        <v>0</v>
      </c>
      <c r="M250" t="n">
        <v>0</v>
      </c>
      <c r="N250" t="n">
        <v>0</v>
      </c>
      <c r="O250" t="n">
        <v>0</v>
      </c>
      <c r="P250" t="n">
        <v>0</v>
      </c>
      <c r="Q250" t="n">
        <v>0</v>
      </c>
      <c r="R250" s="2" t="inlineStr"/>
    </row>
    <row r="251" ht="15" customHeight="1">
      <c r="A251" t="inlineStr">
        <is>
          <t>A 43683-2019</t>
        </is>
      </c>
      <c r="B251" s="1" t="n">
        <v>43707</v>
      </c>
      <c r="C251" s="1" t="n">
        <v>45670</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44329-2019</t>
        </is>
      </c>
      <c r="B252" s="1" t="n">
        <v>43710</v>
      </c>
      <c r="C252" s="1" t="n">
        <v>45670</v>
      </c>
      <c r="D252" t="inlineStr">
        <is>
          <t>JÄMTLANDS LÄN</t>
        </is>
      </c>
      <c r="E252" t="inlineStr">
        <is>
          <t>ÅRE</t>
        </is>
      </c>
      <c r="G252" t="n">
        <v>2.1</v>
      </c>
      <c r="H252" t="n">
        <v>0</v>
      </c>
      <c r="I252" t="n">
        <v>0</v>
      </c>
      <c r="J252" t="n">
        <v>0</v>
      </c>
      <c r="K252" t="n">
        <v>0</v>
      </c>
      <c r="L252" t="n">
        <v>0</v>
      </c>
      <c r="M252" t="n">
        <v>0</v>
      </c>
      <c r="N252" t="n">
        <v>0</v>
      </c>
      <c r="O252" t="n">
        <v>0</v>
      </c>
      <c r="P252" t="n">
        <v>0</v>
      </c>
      <c r="Q252" t="n">
        <v>0</v>
      </c>
      <c r="R252" s="2" t="inlineStr"/>
    </row>
    <row r="253" ht="15" customHeight="1">
      <c r="A253" t="inlineStr">
        <is>
          <t>A 45798-2019</t>
        </is>
      </c>
      <c r="B253" s="1" t="n">
        <v>43717</v>
      </c>
      <c r="C253" s="1" t="n">
        <v>45670</v>
      </c>
      <c r="D253" t="inlineStr">
        <is>
          <t>JÄMTLANDS LÄN</t>
        </is>
      </c>
      <c r="E253" t="inlineStr">
        <is>
          <t>ÅRE</t>
        </is>
      </c>
      <c r="G253" t="n">
        <v>14.6</v>
      </c>
      <c r="H253" t="n">
        <v>0</v>
      </c>
      <c r="I253" t="n">
        <v>0</v>
      </c>
      <c r="J253" t="n">
        <v>0</v>
      </c>
      <c r="K253" t="n">
        <v>0</v>
      </c>
      <c r="L253" t="n">
        <v>0</v>
      </c>
      <c r="M253" t="n">
        <v>0</v>
      </c>
      <c r="N253" t="n">
        <v>0</v>
      </c>
      <c r="O253" t="n">
        <v>0</v>
      </c>
      <c r="P253" t="n">
        <v>0</v>
      </c>
      <c r="Q253" t="n">
        <v>0</v>
      </c>
      <c r="R253" s="2" t="inlineStr"/>
    </row>
    <row r="254" ht="15" customHeight="1">
      <c r="A254" t="inlineStr">
        <is>
          <t>A 47259-2019</t>
        </is>
      </c>
      <c r="B254" s="1" t="n">
        <v>43721</v>
      </c>
      <c r="C254" s="1" t="n">
        <v>45670</v>
      </c>
      <c r="D254" t="inlineStr">
        <is>
          <t>JÄMTLANDS LÄN</t>
        </is>
      </c>
      <c r="E254" t="inlineStr">
        <is>
          <t>ÅRE</t>
        </is>
      </c>
      <c r="G254" t="n">
        <v>12.7</v>
      </c>
      <c r="H254" t="n">
        <v>0</v>
      </c>
      <c r="I254" t="n">
        <v>0</v>
      </c>
      <c r="J254" t="n">
        <v>0</v>
      </c>
      <c r="K254" t="n">
        <v>0</v>
      </c>
      <c r="L254" t="n">
        <v>0</v>
      </c>
      <c r="M254" t="n">
        <v>0</v>
      </c>
      <c r="N254" t="n">
        <v>0</v>
      </c>
      <c r="O254" t="n">
        <v>0</v>
      </c>
      <c r="P254" t="n">
        <v>0</v>
      </c>
      <c r="Q254" t="n">
        <v>0</v>
      </c>
      <c r="R254" s="2" t="inlineStr"/>
    </row>
    <row r="255" ht="15" customHeight="1">
      <c r="A255" t="inlineStr">
        <is>
          <t>A 48291-2019</t>
        </is>
      </c>
      <c r="B255" s="1" t="n">
        <v>43726</v>
      </c>
      <c r="C255" s="1" t="n">
        <v>45670</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49867-2019</t>
        </is>
      </c>
      <c r="B256" s="1" t="n">
        <v>43733</v>
      </c>
      <c r="C256" s="1" t="n">
        <v>45670</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49863-2019</t>
        </is>
      </c>
      <c r="B257" s="1" t="n">
        <v>43733</v>
      </c>
      <c r="C257" s="1" t="n">
        <v>45670</v>
      </c>
      <c r="D257" t="inlineStr">
        <is>
          <t>JÄMTLANDS LÄN</t>
        </is>
      </c>
      <c r="E257" t="inlineStr">
        <is>
          <t>ÅRE</t>
        </is>
      </c>
      <c r="G257" t="n">
        <v>4.4</v>
      </c>
      <c r="H257" t="n">
        <v>0</v>
      </c>
      <c r="I257" t="n">
        <v>0</v>
      </c>
      <c r="J257" t="n">
        <v>0</v>
      </c>
      <c r="K257" t="n">
        <v>0</v>
      </c>
      <c r="L257" t="n">
        <v>0</v>
      </c>
      <c r="M257" t="n">
        <v>0</v>
      </c>
      <c r="N257" t="n">
        <v>0</v>
      </c>
      <c r="O257" t="n">
        <v>0</v>
      </c>
      <c r="P257" t="n">
        <v>0</v>
      </c>
      <c r="Q257" t="n">
        <v>0</v>
      </c>
      <c r="R257" s="2" t="inlineStr"/>
    </row>
    <row r="258" ht="15" customHeight="1">
      <c r="A258" t="inlineStr">
        <is>
          <t>A 49858-2019</t>
        </is>
      </c>
      <c r="B258" s="1" t="n">
        <v>43733</v>
      </c>
      <c r="C258" s="1" t="n">
        <v>45670</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50012-2019</t>
        </is>
      </c>
      <c r="B259" s="1" t="n">
        <v>43733</v>
      </c>
      <c r="C259" s="1" t="n">
        <v>45670</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52056-2019</t>
        </is>
      </c>
      <c r="B260" s="1" t="n">
        <v>43734</v>
      </c>
      <c r="C260" s="1" t="n">
        <v>45670</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52047-2019</t>
        </is>
      </c>
      <c r="B261" s="1" t="n">
        <v>43734</v>
      </c>
      <c r="C261" s="1" t="n">
        <v>45670</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51818-2019</t>
        </is>
      </c>
      <c r="B262" s="1" t="n">
        <v>43741</v>
      </c>
      <c r="C262" s="1" t="n">
        <v>45670</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55358-2019</t>
        </is>
      </c>
      <c r="B263" s="1" t="n">
        <v>43756</v>
      </c>
      <c r="C263" s="1" t="n">
        <v>45670</v>
      </c>
      <c r="D263" t="inlineStr">
        <is>
          <t>JÄMTLANDS LÄN</t>
        </is>
      </c>
      <c r="E263" t="inlineStr">
        <is>
          <t>ÅRE</t>
        </is>
      </c>
      <c r="G263" t="n">
        <v>4.9</v>
      </c>
      <c r="H263" t="n">
        <v>0</v>
      </c>
      <c r="I263" t="n">
        <v>0</v>
      </c>
      <c r="J263" t="n">
        <v>0</v>
      </c>
      <c r="K263" t="n">
        <v>0</v>
      </c>
      <c r="L263" t="n">
        <v>0</v>
      </c>
      <c r="M263" t="n">
        <v>0</v>
      </c>
      <c r="N263" t="n">
        <v>0</v>
      </c>
      <c r="O263" t="n">
        <v>0</v>
      </c>
      <c r="P263" t="n">
        <v>0</v>
      </c>
      <c r="Q263" t="n">
        <v>0</v>
      </c>
      <c r="R263" s="2" t="inlineStr"/>
    </row>
    <row r="264" ht="15" customHeight="1">
      <c r="A264" t="inlineStr">
        <is>
          <t>A 57825-2019</t>
        </is>
      </c>
      <c r="B264" s="1" t="n">
        <v>43768</v>
      </c>
      <c r="C264" s="1" t="n">
        <v>45670</v>
      </c>
      <c r="D264" t="inlineStr">
        <is>
          <t>JÄMTLANDS LÄN</t>
        </is>
      </c>
      <c r="E264" t="inlineStr">
        <is>
          <t>ÅRE</t>
        </is>
      </c>
      <c r="G264" t="n">
        <v>3.1</v>
      </c>
      <c r="H264" t="n">
        <v>0</v>
      </c>
      <c r="I264" t="n">
        <v>0</v>
      </c>
      <c r="J264" t="n">
        <v>0</v>
      </c>
      <c r="K264" t="n">
        <v>0</v>
      </c>
      <c r="L264" t="n">
        <v>0</v>
      </c>
      <c r="M264" t="n">
        <v>0</v>
      </c>
      <c r="N264" t="n">
        <v>0</v>
      </c>
      <c r="O264" t="n">
        <v>0</v>
      </c>
      <c r="P264" t="n">
        <v>0</v>
      </c>
      <c r="Q264" t="n">
        <v>0</v>
      </c>
      <c r="R264" s="2" t="inlineStr"/>
    </row>
    <row r="265" ht="15" customHeight="1">
      <c r="A265" t="inlineStr">
        <is>
          <t>A 59815-2019</t>
        </is>
      </c>
      <c r="B265" s="1" t="n">
        <v>43774</v>
      </c>
      <c r="C265" s="1" t="n">
        <v>45670</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60093-2019</t>
        </is>
      </c>
      <c r="B266" s="1" t="n">
        <v>43777</v>
      </c>
      <c r="C266" s="1" t="n">
        <v>45670</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62359-2019</t>
        </is>
      </c>
      <c r="B267" s="1" t="n">
        <v>43788</v>
      </c>
      <c r="C267" s="1" t="n">
        <v>45670</v>
      </c>
      <c r="D267" t="inlineStr">
        <is>
          <t>JÄMTLANDS LÄN</t>
        </is>
      </c>
      <c r="E267" t="inlineStr">
        <is>
          <t>ÅRE</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62326-2019</t>
        </is>
      </c>
      <c r="B268" s="1" t="n">
        <v>43788</v>
      </c>
      <c r="C268" s="1" t="n">
        <v>45670</v>
      </c>
      <c r="D268" t="inlineStr">
        <is>
          <t>JÄMTLANDS LÄN</t>
        </is>
      </c>
      <c r="E268" t="inlineStr">
        <is>
          <t>ÅRE</t>
        </is>
      </c>
      <c r="G268" t="n">
        <v>3.7</v>
      </c>
      <c r="H268" t="n">
        <v>0</v>
      </c>
      <c r="I268" t="n">
        <v>0</v>
      </c>
      <c r="J268" t="n">
        <v>0</v>
      </c>
      <c r="K268" t="n">
        <v>0</v>
      </c>
      <c r="L268" t="n">
        <v>0</v>
      </c>
      <c r="M268" t="n">
        <v>0</v>
      </c>
      <c r="N268" t="n">
        <v>0</v>
      </c>
      <c r="O268" t="n">
        <v>0</v>
      </c>
      <c r="P268" t="n">
        <v>0</v>
      </c>
      <c r="Q268" t="n">
        <v>0</v>
      </c>
      <c r="R268" s="2" t="inlineStr"/>
    </row>
    <row r="269" ht="15" customHeight="1">
      <c r="A269" t="inlineStr">
        <is>
          <t>A 63729-2019</t>
        </is>
      </c>
      <c r="B269" s="1" t="n">
        <v>43788</v>
      </c>
      <c r="C269" s="1" t="n">
        <v>45670</v>
      </c>
      <c r="D269" t="inlineStr">
        <is>
          <t>JÄMTLANDS LÄN</t>
        </is>
      </c>
      <c r="E269" t="inlineStr">
        <is>
          <t>ÅRE</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65986-2019</t>
        </is>
      </c>
      <c r="B270" s="1" t="n">
        <v>43801</v>
      </c>
      <c r="C270" s="1" t="n">
        <v>45670</v>
      </c>
      <c r="D270" t="inlineStr">
        <is>
          <t>JÄMTLANDS LÄN</t>
        </is>
      </c>
      <c r="E270" t="inlineStr">
        <is>
          <t>ÅRE</t>
        </is>
      </c>
      <c r="G270" t="n">
        <v>3</v>
      </c>
      <c r="H270" t="n">
        <v>0</v>
      </c>
      <c r="I270" t="n">
        <v>0</v>
      </c>
      <c r="J270" t="n">
        <v>0</v>
      </c>
      <c r="K270" t="n">
        <v>0</v>
      </c>
      <c r="L270" t="n">
        <v>0</v>
      </c>
      <c r="M270" t="n">
        <v>0</v>
      </c>
      <c r="N270" t="n">
        <v>0</v>
      </c>
      <c r="O270" t="n">
        <v>0</v>
      </c>
      <c r="P270" t="n">
        <v>0</v>
      </c>
      <c r="Q270" t="n">
        <v>0</v>
      </c>
      <c r="R270" s="2" t="inlineStr"/>
    </row>
    <row r="271" ht="15" customHeight="1">
      <c r="A271" t="inlineStr">
        <is>
          <t>A 66395-2019</t>
        </is>
      </c>
      <c r="B271" s="1" t="n">
        <v>43808</v>
      </c>
      <c r="C271" s="1" t="n">
        <v>45670</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66774-2019</t>
        </is>
      </c>
      <c r="B272" s="1" t="n">
        <v>43810</v>
      </c>
      <c r="C272" s="1" t="n">
        <v>45670</v>
      </c>
      <c r="D272" t="inlineStr">
        <is>
          <t>JÄMTLANDS LÄN</t>
        </is>
      </c>
      <c r="E272" t="inlineStr">
        <is>
          <t>ÅRE</t>
        </is>
      </c>
      <c r="G272" t="n">
        <v>7.4</v>
      </c>
      <c r="H272" t="n">
        <v>0</v>
      </c>
      <c r="I272" t="n">
        <v>0</v>
      </c>
      <c r="J272" t="n">
        <v>0</v>
      </c>
      <c r="K272" t="n">
        <v>0</v>
      </c>
      <c r="L272" t="n">
        <v>0</v>
      </c>
      <c r="M272" t="n">
        <v>0</v>
      </c>
      <c r="N272" t="n">
        <v>0</v>
      </c>
      <c r="O272" t="n">
        <v>0</v>
      </c>
      <c r="P272" t="n">
        <v>0</v>
      </c>
      <c r="Q272" t="n">
        <v>0</v>
      </c>
      <c r="R272" s="2" t="inlineStr"/>
    </row>
    <row r="273" ht="15" customHeight="1">
      <c r="A273" t="inlineStr">
        <is>
          <t>A 66787-2019</t>
        </is>
      </c>
      <c r="B273" s="1" t="n">
        <v>43810</v>
      </c>
      <c r="C273" s="1" t="n">
        <v>45670</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67988-2019</t>
        </is>
      </c>
      <c r="B274" s="1" t="n">
        <v>43811</v>
      </c>
      <c r="C274" s="1" t="n">
        <v>45670</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68076-2019</t>
        </is>
      </c>
      <c r="B275" s="1" t="n">
        <v>43816</v>
      </c>
      <c r="C275" s="1" t="n">
        <v>45670</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68315-2019</t>
        </is>
      </c>
      <c r="B276" s="1" t="n">
        <v>43817</v>
      </c>
      <c r="C276" s="1" t="n">
        <v>45670</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824-2020</t>
        </is>
      </c>
      <c r="B277" s="1" t="n">
        <v>43818</v>
      </c>
      <c r="C277" s="1" t="n">
        <v>45670</v>
      </c>
      <c r="D277" t="inlineStr">
        <is>
          <t>JÄMTLANDS LÄN</t>
        </is>
      </c>
      <c r="E277" t="inlineStr">
        <is>
          <t>ÅRE</t>
        </is>
      </c>
      <c r="G277" t="n">
        <v>1.8</v>
      </c>
      <c r="H277" t="n">
        <v>0</v>
      </c>
      <c r="I277" t="n">
        <v>0</v>
      </c>
      <c r="J277" t="n">
        <v>0</v>
      </c>
      <c r="K277" t="n">
        <v>0</v>
      </c>
      <c r="L277" t="n">
        <v>0</v>
      </c>
      <c r="M277" t="n">
        <v>0</v>
      </c>
      <c r="N277" t="n">
        <v>0</v>
      </c>
      <c r="O277" t="n">
        <v>0</v>
      </c>
      <c r="P277" t="n">
        <v>0</v>
      </c>
      <c r="Q277" t="n">
        <v>0</v>
      </c>
      <c r="R277" s="2" t="inlineStr"/>
    </row>
    <row r="278" ht="15" customHeight="1">
      <c r="A278" t="inlineStr">
        <is>
          <t>A 70-2020</t>
        </is>
      </c>
      <c r="B278" s="1" t="n">
        <v>43832</v>
      </c>
      <c r="C278" s="1" t="n">
        <v>45670</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72-2020</t>
        </is>
      </c>
      <c r="B279" s="1" t="n">
        <v>43832</v>
      </c>
      <c r="C279" s="1" t="n">
        <v>45670</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67-2020</t>
        </is>
      </c>
      <c r="B280" s="1" t="n">
        <v>43832</v>
      </c>
      <c r="C280" s="1" t="n">
        <v>45670</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1819-2020</t>
        </is>
      </c>
      <c r="B281" s="1" t="n">
        <v>43833</v>
      </c>
      <c r="C281" s="1" t="n">
        <v>45670</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3838-2020</t>
        </is>
      </c>
      <c r="B282" s="1" t="n">
        <v>43854</v>
      </c>
      <c r="C282" s="1" t="n">
        <v>45670</v>
      </c>
      <c r="D282" t="inlineStr">
        <is>
          <t>JÄMTLANDS LÄN</t>
        </is>
      </c>
      <c r="E282" t="inlineStr">
        <is>
          <t>ÅRE</t>
        </is>
      </c>
      <c r="G282" t="n">
        <v>3.2</v>
      </c>
      <c r="H282" t="n">
        <v>0</v>
      </c>
      <c r="I282" t="n">
        <v>0</v>
      </c>
      <c r="J282" t="n">
        <v>0</v>
      </c>
      <c r="K282" t="n">
        <v>0</v>
      </c>
      <c r="L282" t="n">
        <v>0</v>
      </c>
      <c r="M282" t="n">
        <v>0</v>
      </c>
      <c r="N282" t="n">
        <v>0</v>
      </c>
      <c r="O282" t="n">
        <v>0</v>
      </c>
      <c r="P282" t="n">
        <v>0</v>
      </c>
      <c r="Q282" t="n">
        <v>0</v>
      </c>
      <c r="R282" s="2" t="inlineStr"/>
    </row>
    <row r="283" ht="15" customHeight="1">
      <c r="A283" t="inlineStr">
        <is>
          <t>A 13402-2020</t>
        </is>
      </c>
      <c r="B283" s="1" t="n">
        <v>43902</v>
      </c>
      <c r="C283" s="1" t="n">
        <v>45670</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13408-2020</t>
        </is>
      </c>
      <c r="B284" s="1" t="n">
        <v>43902</v>
      </c>
      <c r="C284" s="1" t="n">
        <v>45670</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14753-2020</t>
        </is>
      </c>
      <c r="B285" s="1" t="n">
        <v>43909</v>
      </c>
      <c r="C285" s="1" t="n">
        <v>45670</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20538-2020</t>
        </is>
      </c>
      <c r="B286" s="1" t="n">
        <v>43948</v>
      </c>
      <c r="C286" s="1" t="n">
        <v>45670</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21448-2020</t>
        </is>
      </c>
      <c r="B287" s="1" t="n">
        <v>43956</v>
      </c>
      <c r="C287" s="1" t="n">
        <v>45670</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23393-2020</t>
        </is>
      </c>
      <c r="B288" s="1" t="n">
        <v>43968</v>
      </c>
      <c r="C288" s="1" t="n">
        <v>45670</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24436-2020</t>
        </is>
      </c>
      <c r="B289" s="1" t="n">
        <v>43976</v>
      </c>
      <c r="C289" s="1" t="n">
        <v>45670</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25587-2020</t>
        </is>
      </c>
      <c r="B290" s="1" t="n">
        <v>43983</v>
      </c>
      <c r="C290" s="1" t="n">
        <v>45670</v>
      </c>
      <c r="D290" t="inlineStr">
        <is>
          <t>JÄMTLANDS LÄN</t>
        </is>
      </c>
      <c r="E290" t="inlineStr">
        <is>
          <t>ÅRE</t>
        </is>
      </c>
      <c r="G290" t="n">
        <v>10.3</v>
      </c>
      <c r="H290" t="n">
        <v>0</v>
      </c>
      <c r="I290" t="n">
        <v>0</v>
      </c>
      <c r="J290" t="n">
        <v>0</v>
      </c>
      <c r="K290" t="n">
        <v>0</v>
      </c>
      <c r="L290" t="n">
        <v>0</v>
      </c>
      <c r="M290" t="n">
        <v>0</v>
      </c>
      <c r="N290" t="n">
        <v>0</v>
      </c>
      <c r="O290" t="n">
        <v>0</v>
      </c>
      <c r="P290" t="n">
        <v>0</v>
      </c>
      <c r="Q290" t="n">
        <v>0</v>
      </c>
      <c r="R290" s="2" t="inlineStr"/>
    </row>
    <row r="291" ht="15" customHeight="1">
      <c r="A291" t="inlineStr">
        <is>
          <t>A 25592-2020</t>
        </is>
      </c>
      <c r="B291" s="1" t="n">
        <v>43983</v>
      </c>
      <c r="C291" s="1" t="n">
        <v>45670</v>
      </c>
      <c r="D291" t="inlineStr">
        <is>
          <t>JÄMTLANDS LÄN</t>
        </is>
      </c>
      <c r="E291" t="inlineStr">
        <is>
          <t>ÅRE</t>
        </is>
      </c>
      <c r="G291" t="n">
        <v>6.6</v>
      </c>
      <c r="H291" t="n">
        <v>0</v>
      </c>
      <c r="I291" t="n">
        <v>0</v>
      </c>
      <c r="J291" t="n">
        <v>0</v>
      </c>
      <c r="K291" t="n">
        <v>0</v>
      </c>
      <c r="L291" t="n">
        <v>0</v>
      </c>
      <c r="M291" t="n">
        <v>0</v>
      </c>
      <c r="N291" t="n">
        <v>0</v>
      </c>
      <c r="O291" t="n">
        <v>0</v>
      </c>
      <c r="P291" t="n">
        <v>0</v>
      </c>
      <c r="Q291" t="n">
        <v>0</v>
      </c>
      <c r="R291" s="2" t="inlineStr"/>
    </row>
    <row r="292" ht="15" customHeight="1">
      <c r="A292" t="inlineStr">
        <is>
          <t>A 27292-2020</t>
        </is>
      </c>
      <c r="B292" s="1" t="n">
        <v>43992</v>
      </c>
      <c r="C292" s="1" t="n">
        <v>45670</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27369-2020</t>
        </is>
      </c>
      <c r="B293" s="1" t="n">
        <v>43992</v>
      </c>
      <c r="C293" s="1" t="n">
        <v>45670</v>
      </c>
      <c r="D293" t="inlineStr">
        <is>
          <t>JÄMTLANDS LÄN</t>
        </is>
      </c>
      <c r="E293" t="inlineStr">
        <is>
          <t>ÅRE</t>
        </is>
      </c>
      <c r="G293" t="n">
        <v>7.3</v>
      </c>
      <c r="H293" t="n">
        <v>0</v>
      </c>
      <c r="I293" t="n">
        <v>0</v>
      </c>
      <c r="J293" t="n">
        <v>0</v>
      </c>
      <c r="K293" t="n">
        <v>0</v>
      </c>
      <c r="L293" t="n">
        <v>0</v>
      </c>
      <c r="M293" t="n">
        <v>0</v>
      </c>
      <c r="N293" t="n">
        <v>0</v>
      </c>
      <c r="O293" t="n">
        <v>0</v>
      </c>
      <c r="P293" t="n">
        <v>0</v>
      </c>
      <c r="Q293" t="n">
        <v>0</v>
      </c>
      <c r="R293" s="2" t="inlineStr"/>
    </row>
    <row r="294" ht="15" customHeight="1">
      <c r="A294" t="inlineStr">
        <is>
          <t>A 28422-2020</t>
        </is>
      </c>
      <c r="B294" s="1" t="n">
        <v>43998</v>
      </c>
      <c r="C294" s="1" t="n">
        <v>45670</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28385-2020</t>
        </is>
      </c>
      <c r="B295" s="1" t="n">
        <v>43998</v>
      </c>
      <c r="C295" s="1" t="n">
        <v>45670</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28869-2020</t>
        </is>
      </c>
      <c r="B296" s="1" t="n">
        <v>44000</v>
      </c>
      <c r="C296" s="1" t="n">
        <v>45670</v>
      </c>
      <c r="D296" t="inlineStr">
        <is>
          <t>JÄMTLANDS LÄN</t>
        </is>
      </c>
      <c r="E296" t="inlineStr">
        <is>
          <t>ÅRE</t>
        </is>
      </c>
      <c r="F296" t="inlineStr">
        <is>
          <t>Kyrkan</t>
        </is>
      </c>
      <c r="G296" t="n">
        <v>1.7</v>
      </c>
      <c r="H296" t="n">
        <v>0</v>
      </c>
      <c r="I296" t="n">
        <v>0</v>
      </c>
      <c r="J296" t="n">
        <v>0</v>
      </c>
      <c r="K296" t="n">
        <v>0</v>
      </c>
      <c r="L296" t="n">
        <v>0</v>
      </c>
      <c r="M296" t="n">
        <v>0</v>
      </c>
      <c r="N296" t="n">
        <v>0</v>
      </c>
      <c r="O296" t="n">
        <v>0</v>
      </c>
      <c r="P296" t="n">
        <v>0</v>
      </c>
      <c r="Q296" t="n">
        <v>0</v>
      </c>
      <c r="R296" s="2" t="inlineStr"/>
    </row>
    <row r="297" ht="15" customHeight="1">
      <c r="A297" t="inlineStr">
        <is>
          <t>A 29083-2020</t>
        </is>
      </c>
      <c r="B297" s="1" t="n">
        <v>44002</v>
      </c>
      <c r="C297" s="1" t="n">
        <v>45670</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29080-2020</t>
        </is>
      </c>
      <c r="B298" s="1" t="n">
        <v>44002</v>
      </c>
      <c r="C298" s="1" t="n">
        <v>45670</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33239-2020</t>
        </is>
      </c>
      <c r="B299" s="1" t="n">
        <v>44022</v>
      </c>
      <c r="C299" s="1" t="n">
        <v>45670</v>
      </c>
      <c r="D299" t="inlineStr">
        <is>
          <t>JÄMTLANDS LÄN</t>
        </is>
      </c>
      <c r="E299" t="inlineStr">
        <is>
          <t>ÅRE</t>
        </is>
      </c>
      <c r="G299" t="n">
        <v>3</v>
      </c>
      <c r="H299" t="n">
        <v>0</v>
      </c>
      <c r="I299" t="n">
        <v>0</v>
      </c>
      <c r="J299" t="n">
        <v>0</v>
      </c>
      <c r="K299" t="n">
        <v>0</v>
      </c>
      <c r="L299" t="n">
        <v>0</v>
      </c>
      <c r="M299" t="n">
        <v>0</v>
      </c>
      <c r="N299" t="n">
        <v>0</v>
      </c>
      <c r="O299" t="n">
        <v>0</v>
      </c>
      <c r="P299" t="n">
        <v>0</v>
      </c>
      <c r="Q299" t="n">
        <v>0</v>
      </c>
      <c r="R299" s="2" t="inlineStr"/>
    </row>
    <row r="300" ht="15" customHeight="1">
      <c r="A300" t="inlineStr">
        <is>
          <t>A 33530-2020</t>
        </is>
      </c>
      <c r="B300" s="1" t="n">
        <v>44025</v>
      </c>
      <c r="C300" s="1" t="n">
        <v>45670</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34013-2020</t>
        </is>
      </c>
      <c r="B301" s="1" t="n">
        <v>44028</v>
      </c>
      <c r="C301" s="1" t="n">
        <v>45670</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34529-2020</t>
        </is>
      </c>
      <c r="B302" s="1" t="n">
        <v>44033</v>
      </c>
      <c r="C302" s="1" t="n">
        <v>45670</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34678-2020</t>
        </is>
      </c>
      <c r="B303" s="1" t="n">
        <v>44033</v>
      </c>
      <c r="C303" s="1" t="n">
        <v>45670</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34640-2020</t>
        </is>
      </c>
      <c r="B304" s="1" t="n">
        <v>44034</v>
      </c>
      <c r="C304" s="1" t="n">
        <v>45670</v>
      </c>
      <c r="D304" t="inlineStr">
        <is>
          <t>JÄMTLANDS LÄN</t>
        </is>
      </c>
      <c r="E304" t="inlineStr">
        <is>
          <t>ÅRE</t>
        </is>
      </c>
      <c r="G304" t="n">
        <v>9.4</v>
      </c>
      <c r="H304" t="n">
        <v>0</v>
      </c>
      <c r="I304" t="n">
        <v>0</v>
      </c>
      <c r="J304" t="n">
        <v>0</v>
      </c>
      <c r="K304" t="n">
        <v>0</v>
      </c>
      <c r="L304" t="n">
        <v>0</v>
      </c>
      <c r="M304" t="n">
        <v>0</v>
      </c>
      <c r="N304" t="n">
        <v>0</v>
      </c>
      <c r="O304" t="n">
        <v>0</v>
      </c>
      <c r="P304" t="n">
        <v>0</v>
      </c>
      <c r="Q304" t="n">
        <v>0</v>
      </c>
      <c r="R304" s="2" t="inlineStr"/>
    </row>
    <row r="305" ht="15" customHeight="1">
      <c r="A305" t="inlineStr">
        <is>
          <t>A 35849-2020</t>
        </is>
      </c>
      <c r="B305" s="1" t="n">
        <v>44047</v>
      </c>
      <c r="C305" s="1" t="n">
        <v>45670</v>
      </c>
      <c r="D305" t="inlineStr">
        <is>
          <t>JÄMTLANDS LÄN</t>
        </is>
      </c>
      <c r="E305" t="inlineStr">
        <is>
          <t>ÅRE</t>
        </is>
      </c>
      <c r="G305" t="n">
        <v>21.3</v>
      </c>
      <c r="H305" t="n">
        <v>0</v>
      </c>
      <c r="I305" t="n">
        <v>0</v>
      </c>
      <c r="J305" t="n">
        <v>0</v>
      </c>
      <c r="K305" t="n">
        <v>0</v>
      </c>
      <c r="L305" t="n">
        <v>0</v>
      </c>
      <c r="M305" t="n">
        <v>0</v>
      </c>
      <c r="N305" t="n">
        <v>0</v>
      </c>
      <c r="O305" t="n">
        <v>0</v>
      </c>
      <c r="P305" t="n">
        <v>0</v>
      </c>
      <c r="Q305" t="n">
        <v>0</v>
      </c>
      <c r="R305" s="2" t="inlineStr"/>
    </row>
    <row r="306" ht="15" customHeight="1">
      <c r="A306" t="inlineStr">
        <is>
          <t>A 36506-2020</t>
        </is>
      </c>
      <c r="B306" s="1" t="n">
        <v>44050</v>
      </c>
      <c r="C306" s="1" t="n">
        <v>45670</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36501-2020</t>
        </is>
      </c>
      <c r="B307" s="1" t="n">
        <v>44050</v>
      </c>
      <c r="C307" s="1" t="n">
        <v>45670</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38454-2020</t>
        </is>
      </c>
      <c r="B308" s="1" t="n">
        <v>44060</v>
      </c>
      <c r="C308" s="1" t="n">
        <v>45670</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38455-2020</t>
        </is>
      </c>
      <c r="B309" s="1" t="n">
        <v>44060</v>
      </c>
      <c r="C309" s="1" t="n">
        <v>45670</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40148-2020</t>
        </is>
      </c>
      <c r="B310" s="1" t="n">
        <v>44068</v>
      </c>
      <c r="C310" s="1" t="n">
        <v>45670</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42337-2020</t>
        </is>
      </c>
      <c r="B311" s="1" t="n">
        <v>44076</v>
      </c>
      <c r="C311" s="1" t="n">
        <v>45670</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42643-2020</t>
        </is>
      </c>
      <c r="B312" s="1" t="n">
        <v>44077</v>
      </c>
      <c r="C312" s="1" t="n">
        <v>45670</v>
      </c>
      <c r="D312" t="inlineStr">
        <is>
          <t>JÄMTLANDS LÄN</t>
        </is>
      </c>
      <c r="E312" t="inlineStr">
        <is>
          <t>ÅRE</t>
        </is>
      </c>
      <c r="G312" t="n">
        <v>7.5</v>
      </c>
      <c r="H312" t="n">
        <v>0</v>
      </c>
      <c r="I312" t="n">
        <v>0</v>
      </c>
      <c r="J312" t="n">
        <v>0</v>
      </c>
      <c r="K312" t="n">
        <v>0</v>
      </c>
      <c r="L312" t="n">
        <v>0</v>
      </c>
      <c r="M312" t="n">
        <v>0</v>
      </c>
      <c r="N312" t="n">
        <v>0</v>
      </c>
      <c r="O312" t="n">
        <v>0</v>
      </c>
      <c r="P312" t="n">
        <v>0</v>
      </c>
      <c r="Q312" t="n">
        <v>0</v>
      </c>
      <c r="R312" s="2" t="inlineStr"/>
    </row>
    <row r="313" ht="15" customHeight="1">
      <c r="A313" t="inlineStr">
        <is>
          <t>A 42634-2020</t>
        </is>
      </c>
      <c r="B313" s="1" t="n">
        <v>44077</v>
      </c>
      <c r="C313" s="1" t="n">
        <v>45670</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43167-2020</t>
        </is>
      </c>
      <c r="B314" s="1" t="n">
        <v>44077</v>
      </c>
      <c r="C314" s="1" t="n">
        <v>45670</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42650-2020</t>
        </is>
      </c>
      <c r="B315" s="1" t="n">
        <v>44077</v>
      </c>
      <c r="C315" s="1" t="n">
        <v>45670</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46982-2020</t>
        </is>
      </c>
      <c r="B316" s="1" t="n">
        <v>44096</v>
      </c>
      <c r="C316" s="1" t="n">
        <v>45670</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48177-2020</t>
        </is>
      </c>
      <c r="B317" s="1" t="n">
        <v>44102</v>
      </c>
      <c r="C317" s="1" t="n">
        <v>45670</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49661-2020</t>
        </is>
      </c>
      <c r="B318" s="1" t="n">
        <v>44105</v>
      </c>
      <c r="C318" s="1" t="n">
        <v>45670</v>
      </c>
      <c r="D318" t="inlineStr">
        <is>
          <t>JÄMTLANDS LÄN</t>
        </is>
      </c>
      <c r="E318" t="inlineStr">
        <is>
          <t>ÅRE</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49744-2020</t>
        </is>
      </c>
      <c r="B319" s="1" t="n">
        <v>44106</v>
      </c>
      <c r="C319" s="1" t="n">
        <v>45670</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45670</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49747-2020</t>
        </is>
      </c>
      <c r="B321" s="1" t="n">
        <v>44106</v>
      </c>
      <c r="C321" s="1" t="n">
        <v>45670</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52548-2020</t>
        </is>
      </c>
      <c r="B322" s="1" t="n">
        <v>44116</v>
      </c>
      <c r="C322" s="1" t="n">
        <v>45670</v>
      </c>
      <c r="D322" t="inlineStr">
        <is>
          <t>JÄMTLANDS LÄN</t>
        </is>
      </c>
      <c r="E322" t="inlineStr">
        <is>
          <t>ÅRE</t>
        </is>
      </c>
      <c r="G322" t="n">
        <v>7.5</v>
      </c>
      <c r="H322" t="n">
        <v>0</v>
      </c>
      <c r="I322" t="n">
        <v>0</v>
      </c>
      <c r="J322" t="n">
        <v>0</v>
      </c>
      <c r="K322" t="n">
        <v>0</v>
      </c>
      <c r="L322" t="n">
        <v>0</v>
      </c>
      <c r="M322" t="n">
        <v>0</v>
      </c>
      <c r="N322" t="n">
        <v>0</v>
      </c>
      <c r="O322" t="n">
        <v>0</v>
      </c>
      <c r="P322" t="n">
        <v>0</v>
      </c>
      <c r="Q322" t="n">
        <v>0</v>
      </c>
      <c r="R322" s="2" t="inlineStr"/>
    </row>
    <row r="323" ht="15" customHeight="1">
      <c r="A323" t="inlineStr">
        <is>
          <t>A 53042-2020</t>
        </is>
      </c>
      <c r="B323" s="1" t="n">
        <v>44120</v>
      </c>
      <c r="C323" s="1" t="n">
        <v>45670</v>
      </c>
      <c r="D323" t="inlineStr">
        <is>
          <t>JÄMTLANDS LÄN</t>
        </is>
      </c>
      <c r="E323" t="inlineStr">
        <is>
          <t>ÅRE</t>
        </is>
      </c>
      <c r="G323" t="n">
        <v>17.1</v>
      </c>
      <c r="H323" t="n">
        <v>0</v>
      </c>
      <c r="I323" t="n">
        <v>0</v>
      </c>
      <c r="J323" t="n">
        <v>0</v>
      </c>
      <c r="K323" t="n">
        <v>0</v>
      </c>
      <c r="L323" t="n">
        <v>0</v>
      </c>
      <c r="M323" t="n">
        <v>0</v>
      </c>
      <c r="N323" t="n">
        <v>0</v>
      </c>
      <c r="O323" t="n">
        <v>0</v>
      </c>
      <c r="P323" t="n">
        <v>0</v>
      </c>
      <c r="Q323" t="n">
        <v>0</v>
      </c>
      <c r="R323" s="2" t="inlineStr"/>
    </row>
    <row r="324" ht="15" customHeight="1">
      <c r="A324" t="inlineStr">
        <is>
          <t>A 54015-2020</t>
        </is>
      </c>
      <c r="B324" s="1" t="n">
        <v>44125</v>
      </c>
      <c r="C324" s="1" t="n">
        <v>45670</v>
      </c>
      <c r="D324" t="inlineStr">
        <is>
          <t>JÄMTLANDS LÄN</t>
        </is>
      </c>
      <c r="E324" t="inlineStr">
        <is>
          <t>ÅRE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54945-2020</t>
        </is>
      </c>
      <c r="B325" s="1" t="n">
        <v>44129</v>
      </c>
      <c r="C325" s="1" t="n">
        <v>45670</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54944-2020</t>
        </is>
      </c>
      <c r="B326" s="1" t="n">
        <v>44129</v>
      </c>
      <c r="C326" s="1" t="n">
        <v>45670</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56352-2020</t>
        </is>
      </c>
      <c r="B327" s="1" t="n">
        <v>44135</v>
      </c>
      <c r="C327" s="1" t="n">
        <v>45670</v>
      </c>
      <c r="D327" t="inlineStr">
        <is>
          <t>JÄMTLANDS LÄN</t>
        </is>
      </c>
      <c r="E327" t="inlineStr">
        <is>
          <t>ÅRE</t>
        </is>
      </c>
      <c r="G327" t="n">
        <v>95.09999999999999</v>
      </c>
      <c r="H327" t="n">
        <v>0</v>
      </c>
      <c r="I327" t="n">
        <v>0</v>
      </c>
      <c r="J327" t="n">
        <v>0</v>
      </c>
      <c r="K327" t="n">
        <v>0</v>
      </c>
      <c r="L327" t="n">
        <v>0</v>
      </c>
      <c r="M327" t="n">
        <v>0</v>
      </c>
      <c r="N327" t="n">
        <v>0</v>
      </c>
      <c r="O327" t="n">
        <v>0</v>
      </c>
      <c r="P327" t="n">
        <v>0</v>
      </c>
      <c r="Q327" t="n">
        <v>0</v>
      </c>
      <c r="R327" s="2" t="inlineStr"/>
    </row>
    <row r="328" ht="15" customHeight="1">
      <c r="A328" t="inlineStr">
        <is>
          <t>A 57578-2020</t>
        </is>
      </c>
      <c r="B328" s="1" t="n">
        <v>44140</v>
      </c>
      <c r="C328" s="1" t="n">
        <v>45670</v>
      </c>
      <c r="D328" t="inlineStr">
        <is>
          <t>JÄMTLANDS LÄN</t>
        </is>
      </c>
      <c r="E328" t="inlineStr">
        <is>
          <t>ÅRE</t>
        </is>
      </c>
      <c r="G328" t="n">
        <v>94.40000000000001</v>
      </c>
      <c r="H328" t="n">
        <v>0</v>
      </c>
      <c r="I328" t="n">
        <v>0</v>
      </c>
      <c r="J328" t="n">
        <v>0</v>
      </c>
      <c r="K328" t="n">
        <v>0</v>
      </c>
      <c r="L328" t="n">
        <v>0</v>
      </c>
      <c r="M328" t="n">
        <v>0</v>
      </c>
      <c r="N328" t="n">
        <v>0</v>
      </c>
      <c r="O328" t="n">
        <v>0</v>
      </c>
      <c r="P328" t="n">
        <v>0</v>
      </c>
      <c r="Q328" t="n">
        <v>0</v>
      </c>
      <c r="R328" s="2" t="inlineStr"/>
    </row>
    <row r="329" ht="15" customHeight="1">
      <c r="A329" t="inlineStr">
        <is>
          <t>A 57594-2020</t>
        </is>
      </c>
      <c r="B329" s="1" t="n">
        <v>44140</v>
      </c>
      <c r="C329" s="1" t="n">
        <v>45670</v>
      </c>
      <c r="D329" t="inlineStr">
        <is>
          <t>JÄMTLANDS LÄN</t>
        </is>
      </c>
      <c r="E329" t="inlineStr">
        <is>
          <t>ÅRE</t>
        </is>
      </c>
      <c r="G329" t="n">
        <v>14.9</v>
      </c>
      <c r="H329" t="n">
        <v>0</v>
      </c>
      <c r="I329" t="n">
        <v>0</v>
      </c>
      <c r="J329" t="n">
        <v>0</v>
      </c>
      <c r="K329" t="n">
        <v>0</v>
      </c>
      <c r="L329" t="n">
        <v>0</v>
      </c>
      <c r="M329" t="n">
        <v>0</v>
      </c>
      <c r="N329" t="n">
        <v>0</v>
      </c>
      <c r="O329" t="n">
        <v>0</v>
      </c>
      <c r="P329" t="n">
        <v>0</v>
      </c>
      <c r="Q329" t="n">
        <v>0</v>
      </c>
      <c r="R329" s="2" t="inlineStr"/>
    </row>
    <row r="330" ht="15" customHeight="1">
      <c r="A330" t="inlineStr">
        <is>
          <t>A 57586-2020</t>
        </is>
      </c>
      <c r="B330" s="1" t="n">
        <v>44140</v>
      </c>
      <c r="C330" s="1" t="n">
        <v>45670</v>
      </c>
      <c r="D330" t="inlineStr">
        <is>
          <t>JÄMTLANDS LÄN</t>
        </is>
      </c>
      <c r="E330" t="inlineStr">
        <is>
          <t>ÅRE</t>
        </is>
      </c>
      <c r="G330" t="n">
        <v>9.5</v>
      </c>
      <c r="H330" t="n">
        <v>0</v>
      </c>
      <c r="I330" t="n">
        <v>0</v>
      </c>
      <c r="J330" t="n">
        <v>0</v>
      </c>
      <c r="K330" t="n">
        <v>0</v>
      </c>
      <c r="L330" t="n">
        <v>0</v>
      </c>
      <c r="M330" t="n">
        <v>0</v>
      </c>
      <c r="N330" t="n">
        <v>0</v>
      </c>
      <c r="O330" t="n">
        <v>0</v>
      </c>
      <c r="P330" t="n">
        <v>0</v>
      </c>
      <c r="Q330" t="n">
        <v>0</v>
      </c>
      <c r="R330" s="2" t="inlineStr"/>
    </row>
    <row r="331" ht="15" customHeight="1">
      <c r="A331" t="inlineStr">
        <is>
          <t>A 58960-2020</t>
        </is>
      </c>
      <c r="B331" s="1" t="n">
        <v>44146</v>
      </c>
      <c r="C331" s="1" t="n">
        <v>45670</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60016-2020</t>
        </is>
      </c>
      <c r="B332" s="1" t="n">
        <v>44151</v>
      </c>
      <c r="C332" s="1" t="n">
        <v>45670</v>
      </c>
      <c r="D332" t="inlineStr">
        <is>
          <t>JÄMTLANDS LÄN</t>
        </is>
      </c>
      <c r="E332" t="inlineStr">
        <is>
          <t>ÅRE</t>
        </is>
      </c>
      <c r="G332" t="n">
        <v>14.7</v>
      </c>
      <c r="H332" t="n">
        <v>0</v>
      </c>
      <c r="I332" t="n">
        <v>0</v>
      </c>
      <c r="J332" t="n">
        <v>0</v>
      </c>
      <c r="K332" t="n">
        <v>0</v>
      </c>
      <c r="L332" t="n">
        <v>0</v>
      </c>
      <c r="M332" t="n">
        <v>0</v>
      </c>
      <c r="N332" t="n">
        <v>0</v>
      </c>
      <c r="O332" t="n">
        <v>0</v>
      </c>
      <c r="P332" t="n">
        <v>0</v>
      </c>
      <c r="Q332" t="n">
        <v>0</v>
      </c>
      <c r="R332" s="2" t="inlineStr"/>
    </row>
    <row r="333" ht="15" customHeight="1">
      <c r="A333" t="inlineStr">
        <is>
          <t>A 61347-2020</t>
        </is>
      </c>
      <c r="B333" s="1" t="n">
        <v>44155</v>
      </c>
      <c r="C333" s="1" t="n">
        <v>45670</v>
      </c>
      <c r="D333" t="inlineStr">
        <is>
          <t>JÄMTLANDS LÄN</t>
        </is>
      </c>
      <c r="E333" t="inlineStr">
        <is>
          <t>ÅRE</t>
        </is>
      </c>
      <c r="G333" t="n">
        <v>3.1</v>
      </c>
      <c r="H333" t="n">
        <v>0</v>
      </c>
      <c r="I333" t="n">
        <v>0</v>
      </c>
      <c r="J333" t="n">
        <v>0</v>
      </c>
      <c r="K333" t="n">
        <v>0</v>
      </c>
      <c r="L333" t="n">
        <v>0</v>
      </c>
      <c r="M333" t="n">
        <v>0</v>
      </c>
      <c r="N333" t="n">
        <v>0</v>
      </c>
      <c r="O333" t="n">
        <v>0</v>
      </c>
      <c r="P333" t="n">
        <v>0</v>
      </c>
      <c r="Q333" t="n">
        <v>0</v>
      </c>
      <c r="R333" s="2" t="inlineStr"/>
    </row>
    <row r="334" ht="15" customHeight="1">
      <c r="A334" t="inlineStr">
        <is>
          <t>A 61595-2020</t>
        </is>
      </c>
      <c r="B334" s="1" t="n">
        <v>44158</v>
      </c>
      <c r="C334" s="1" t="n">
        <v>45670</v>
      </c>
      <c r="D334" t="inlineStr">
        <is>
          <t>JÄMTLANDS LÄN</t>
        </is>
      </c>
      <c r="E334" t="inlineStr">
        <is>
          <t>ÅRE</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64355-2020</t>
        </is>
      </c>
      <c r="B335" s="1" t="n">
        <v>44168</v>
      </c>
      <c r="C335" s="1" t="n">
        <v>45670</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66083-2020</t>
        </is>
      </c>
      <c r="B336" s="1" t="n">
        <v>44172</v>
      </c>
      <c r="C336" s="1" t="n">
        <v>45670</v>
      </c>
      <c r="D336" t="inlineStr">
        <is>
          <t>JÄMTLANDS LÄN</t>
        </is>
      </c>
      <c r="E336" t="inlineStr">
        <is>
          <t>ÅRE</t>
        </is>
      </c>
      <c r="G336" t="n">
        <v>563.3</v>
      </c>
      <c r="H336" t="n">
        <v>0</v>
      </c>
      <c r="I336" t="n">
        <v>0</v>
      </c>
      <c r="J336" t="n">
        <v>0</v>
      </c>
      <c r="K336" t="n">
        <v>0</v>
      </c>
      <c r="L336" t="n">
        <v>0</v>
      </c>
      <c r="M336" t="n">
        <v>0</v>
      </c>
      <c r="N336" t="n">
        <v>0</v>
      </c>
      <c r="O336" t="n">
        <v>0</v>
      </c>
      <c r="P336" t="n">
        <v>0</v>
      </c>
      <c r="Q336" t="n">
        <v>0</v>
      </c>
      <c r="R336" s="2" t="inlineStr"/>
    </row>
    <row r="337" ht="15" customHeight="1">
      <c r="A337" t="inlineStr">
        <is>
          <t>A 65439-2020</t>
        </is>
      </c>
      <c r="B337" s="1" t="n">
        <v>44173</v>
      </c>
      <c r="C337" s="1" t="n">
        <v>45670</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65512-2020</t>
        </is>
      </c>
      <c r="B338" s="1" t="n">
        <v>44173</v>
      </c>
      <c r="C338" s="1" t="n">
        <v>45670</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65519-2020</t>
        </is>
      </c>
      <c r="B339" s="1" t="n">
        <v>44173</v>
      </c>
      <c r="C339" s="1" t="n">
        <v>45670</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66755-2020</t>
        </is>
      </c>
      <c r="B340" s="1" t="n">
        <v>44179</v>
      </c>
      <c r="C340" s="1" t="n">
        <v>45670</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66790-2020</t>
        </is>
      </c>
      <c r="B341" s="1" t="n">
        <v>44179</v>
      </c>
      <c r="C341" s="1" t="n">
        <v>45670</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67270-2020</t>
        </is>
      </c>
      <c r="B342" s="1" t="n">
        <v>44179</v>
      </c>
      <c r="C342" s="1" t="n">
        <v>45670</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45670</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68545-2020</t>
        </is>
      </c>
      <c r="B344" s="1" t="n">
        <v>44186</v>
      </c>
      <c r="C344" s="1" t="n">
        <v>45670</v>
      </c>
      <c r="D344" t="inlineStr">
        <is>
          <t>JÄMTLANDS LÄN</t>
        </is>
      </c>
      <c r="E344" t="inlineStr">
        <is>
          <t>ÅRE</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68537-2020</t>
        </is>
      </c>
      <c r="B345" s="1" t="n">
        <v>44186</v>
      </c>
      <c r="C345" s="1" t="n">
        <v>45670</v>
      </c>
      <c r="D345" t="inlineStr">
        <is>
          <t>JÄMTLANDS LÄN</t>
        </is>
      </c>
      <c r="E345" t="inlineStr">
        <is>
          <t>ÅRE</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45670</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68594-2020</t>
        </is>
      </c>
      <c r="B347" s="1" t="n">
        <v>44186</v>
      </c>
      <c r="C347" s="1" t="n">
        <v>45670</v>
      </c>
      <c r="D347" t="inlineStr">
        <is>
          <t>JÄMTLANDS LÄN</t>
        </is>
      </c>
      <c r="E347" t="inlineStr">
        <is>
          <t>ÅRE</t>
        </is>
      </c>
      <c r="G347" t="n">
        <v>2.8</v>
      </c>
      <c r="H347" t="n">
        <v>0</v>
      </c>
      <c r="I347" t="n">
        <v>0</v>
      </c>
      <c r="J347" t="n">
        <v>0</v>
      </c>
      <c r="K347" t="n">
        <v>0</v>
      </c>
      <c r="L347" t="n">
        <v>0</v>
      </c>
      <c r="M347" t="n">
        <v>0</v>
      </c>
      <c r="N347" t="n">
        <v>0</v>
      </c>
      <c r="O347" t="n">
        <v>0</v>
      </c>
      <c r="P347" t="n">
        <v>0</v>
      </c>
      <c r="Q347" t="n">
        <v>0</v>
      </c>
      <c r="R347" s="2" t="inlineStr"/>
    </row>
    <row r="348" ht="15" customHeight="1">
      <c r="A348" t="inlineStr">
        <is>
          <t>A 1339-2021</t>
        </is>
      </c>
      <c r="B348" s="1" t="n">
        <v>44208</v>
      </c>
      <c r="C348" s="1" t="n">
        <v>45670</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4838-2021</t>
        </is>
      </c>
      <c r="B349" s="1" t="n">
        <v>44225</v>
      </c>
      <c r="C349" s="1" t="n">
        <v>45670</v>
      </c>
      <c r="D349" t="inlineStr">
        <is>
          <t>JÄMTLANDS LÄN</t>
        </is>
      </c>
      <c r="E349" t="inlineStr">
        <is>
          <t>ÅRE</t>
        </is>
      </c>
      <c r="G349" t="n">
        <v>12.4</v>
      </c>
      <c r="H349" t="n">
        <v>0</v>
      </c>
      <c r="I349" t="n">
        <v>0</v>
      </c>
      <c r="J349" t="n">
        <v>0</v>
      </c>
      <c r="K349" t="n">
        <v>0</v>
      </c>
      <c r="L349" t="n">
        <v>0</v>
      </c>
      <c r="M349" t="n">
        <v>0</v>
      </c>
      <c r="N349" t="n">
        <v>0</v>
      </c>
      <c r="O349" t="n">
        <v>0</v>
      </c>
      <c r="P349" t="n">
        <v>0</v>
      </c>
      <c r="Q349" t="n">
        <v>0</v>
      </c>
      <c r="R349" s="2" t="inlineStr"/>
    </row>
    <row r="350" ht="15" customHeight="1">
      <c r="A350" t="inlineStr">
        <is>
          <t>A 4870-2021</t>
        </is>
      </c>
      <c r="B350" s="1" t="n">
        <v>44225</v>
      </c>
      <c r="C350" s="1" t="n">
        <v>45670</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5401-2021</t>
        </is>
      </c>
      <c r="B351" s="1" t="n">
        <v>44229</v>
      </c>
      <c r="C351" s="1" t="n">
        <v>45670</v>
      </c>
      <c r="D351" t="inlineStr">
        <is>
          <t>JÄMTLANDS LÄN</t>
        </is>
      </c>
      <c r="E351" t="inlineStr">
        <is>
          <t>ÅRE</t>
        </is>
      </c>
      <c r="G351" t="n">
        <v>10</v>
      </c>
      <c r="H351" t="n">
        <v>0</v>
      </c>
      <c r="I351" t="n">
        <v>0</v>
      </c>
      <c r="J351" t="n">
        <v>0</v>
      </c>
      <c r="K351" t="n">
        <v>0</v>
      </c>
      <c r="L351" t="n">
        <v>0</v>
      </c>
      <c r="M351" t="n">
        <v>0</v>
      </c>
      <c r="N351" t="n">
        <v>0</v>
      </c>
      <c r="O351" t="n">
        <v>0</v>
      </c>
      <c r="P351" t="n">
        <v>0</v>
      </c>
      <c r="Q351" t="n">
        <v>0</v>
      </c>
      <c r="R351" s="2" t="inlineStr"/>
    </row>
    <row r="352" ht="15" customHeight="1">
      <c r="A352" t="inlineStr">
        <is>
          <t>A 5753-2021</t>
        </is>
      </c>
      <c r="B352" s="1" t="n">
        <v>44230</v>
      </c>
      <c r="C352" s="1" t="n">
        <v>45670</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45670</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6232-2021</t>
        </is>
      </c>
      <c r="B354" s="1" t="n">
        <v>44231</v>
      </c>
      <c r="C354" s="1" t="n">
        <v>45670</v>
      </c>
      <c r="D354" t="inlineStr">
        <is>
          <t>JÄMTLANDS LÄN</t>
        </is>
      </c>
      <c r="E354" t="inlineStr">
        <is>
          <t>ÅRE</t>
        </is>
      </c>
      <c r="G354" t="n">
        <v>11.9</v>
      </c>
      <c r="H354" t="n">
        <v>0</v>
      </c>
      <c r="I354" t="n">
        <v>0</v>
      </c>
      <c r="J354" t="n">
        <v>0</v>
      </c>
      <c r="K354" t="n">
        <v>0</v>
      </c>
      <c r="L354" t="n">
        <v>0</v>
      </c>
      <c r="M354" t="n">
        <v>0</v>
      </c>
      <c r="N354" t="n">
        <v>0</v>
      </c>
      <c r="O354" t="n">
        <v>0</v>
      </c>
      <c r="P354" t="n">
        <v>0</v>
      </c>
      <c r="Q354" t="n">
        <v>0</v>
      </c>
      <c r="R354" s="2" t="inlineStr"/>
    </row>
    <row r="355" ht="15" customHeight="1">
      <c r="A355" t="inlineStr">
        <is>
          <t>A 8294-2021</t>
        </is>
      </c>
      <c r="B355" s="1" t="n">
        <v>44243</v>
      </c>
      <c r="C355" s="1" t="n">
        <v>45670</v>
      </c>
      <c r="D355" t="inlineStr">
        <is>
          <t>JÄMTLANDS LÄN</t>
        </is>
      </c>
      <c r="E355" t="inlineStr">
        <is>
          <t>ÅRE</t>
        </is>
      </c>
      <c r="G355" t="n">
        <v>16.5</v>
      </c>
      <c r="H355" t="n">
        <v>0</v>
      </c>
      <c r="I355" t="n">
        <v>0</v>
      </c>
      <c r="J355" t="n">
        <v>0</v>
      </c>
      <c r="K355" t="n">
        <v>0</v>
      </c>
      <c r="L355" t="n">
        <v>0</v>
      </c>
      <c r="M355" t="n">
        <v>0</v>
      </c>
      <c r="N355" t="n">
        <v>0</v>
      </c>
      <c r="O355" t="n">
        <v>0</v>
      </c>
      <c r="P355" t="n">
        <v>0</v>
      </c>
      <c r="Q355" t="n">
        <v>0</v>
      </c>
      <c r="R355" s="2" t="inlineStr"/>
    </row>
    <row r="356" ht="15" customHeight="1">
      <c r="A356" t="inlineStr">
        <is>
          <t>A 8217-2021</t>
        </is>
      </c>
      <c r="B356" s="1" t="n">
        <v>44244</v>
      </c>
      <c r="C356" s="1" t="n">
        <v>45670</v>
      </c>
      <c r="D356" t="inlineStr">
        <is>
          <t>JÄMTLANDS LÄN</t>
        </is>
      </c>
      <c r="E356" t="inlineStr">
        <is>
          <t>ÅRE</t>
        </is>
      </c>
      <c r="G356" t="n">
        <v>51.8</v>
      </c>
      <c r="H356" t="n">
        <v>0</v>
      </c>
      <c r="I356" t="n">
        <v>0</v>
      </c>
      <c r="J356" t="n">
        <v>0</v>
      </c>
      <c r="K356" t="n">
        <v>0</v>
      </c>
      <c r="L356" t="n">
        <v>0</v>
      </c>
      <c r="M356" t="n">
        <v>0</v>
      </c>
      <c r="N356" t="n">
        <v>0</v>
      </c>
      <c r="O356" t="n">
        <v>0</v>
      </c>
      <c r="P356" t="n">
        <v>0</v>
      </c>
      <c r="Q356" t="n">
        <v>0</v>
      </c>
      <c r="R356" s="2" t="inlineStr"/>
    </row>
    <row r="357" ht="15" customHeight="1">
      <c r="A357" t="inlineStr">
        <is>
          <t>A 8668-2021</t>
        </is>
      </c>
      <c r="B357" s="1" t="n">
        <v>44246</v>
      </c>
      <c r="C357" s="1" t="n">
        <v>45670</v>
      </c>
      <c r="D357" t="inlineStr">
        <is>
          <t>JÄMTLANDS LÄN</t>
        </is>
      </c>
      <c r="E357" t="inlineStr">
        <is>
          <t>ÅRE</t>
        </is>
      </c>
      <c r="G357" t="n">
        <v>19.5</v>
      </c>
      <c r="H357" t="n">
        <v>0</v>
      </c>
      <c r="I357" t="n">
        <v>0</v>
      </c>
      <c r="J357" t="n">
        <v>0</v>
      </c>
      <c r="K357" t="n">
        <v>0</v>
      </c>
      <c r="L357" t="n">
        <v>0</v>
      </c>
      <c r="M357" t="n">
        <v>0</v>
      </c>
      <c r="N357" t="n">
        <v>0</v>
      </c>
      <c r="O357" t="n">
        <v>0</v>
      </c>
      <c r="P357" t="n">
        <v>0</v>
      </c>
      <c r="Q357" t="n">
        <v>0</v>
      </c>
      <c r="R357" s="2" t="inlineStr"/>
    </row>
    <row r="358" ht="15" customHeight="1">
      <c r="A358" t="inlineStr">
        <is>
          <t>A 9613-2021</t>
        </is>
      </c>
      <c r="B358" s="1" t="n">
        <v>44251</v>
      </c>
      <c r="C358" s="1" t="n">
        <v>45670</v>
      </c>
      <c r="D358" t="inlineStr">
        <is>
          <t>JÄMTLANDS LÄN</t>
        </is>
      </c>
      <c r="E358" t="inlineStr">
        <is>
          <t>ÅRE</t>
        </is>
      </c>
      <c r="G358" t="n">
        <v>2</v>
      </c>
      <c r="H358" t="n">
        <v>0</v>
      </c>
      <c r="I358" t="n">
        <v>0</v>
      </c>
      <c r="J358" t="n">
        <v>0</v>
      </c>
      <c r="K358" t="n">
        <v>0</v>
      </c>
      <c r="L358" t="n">
        <v>0</v>
      </c>
      <c r="M358" t="n">
        <v>0</v>
      </c>
      <c r="N358" t="n">
        <v>0</v>
      </c>
      <c r="O358" t="n">
        <v>0</v>
      </c>
      <c r="P358" t="n">
        <v>0</v>
      </c>
      <c r="Q358" t="n">
        <v>0</v>
      </c>
      <c r="R358" s="2" t="inlineStr"/>
    </row>
    <row r="359" ht="15" customHeight="1">
      <c r="A359" t="inlineStr">
        <is>
          <t>A 9777-2021</t>
        </is>
      </c>
      <c r="B359" s="1" t="n">
        <v>44252</v>
      </c>
      <c r="C359" s="1" t="n">
        <v>45670</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10191-2021</t>
        </is>
      </c>
      <c r="B360" s="1" t="n">
        <v>44256</v>
      </c>
      <c r="C360" s="1" t="n">
        <v>45670</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10285-2021</t>
        </is>
      </c>
      <c r="B361" s="1" t="n">
        <v>44257</v>
      </c>
      <c r="C361" s="1" t="n">
        <v>45670</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10283-2021</t>
        </is>
      </c>
      <c r="B362" s="1" t="n">
        <v>44257</v>
      </c>
      <c r="C362" s="1" t="n">
        <v>45670</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12387-2021</t>
        </is>
      </c>
      <c r="B363" s="1" t="n">
        <v>44267</v>
      </c>
      <c r="C363" s="1" t="n">
        <v>45670</v>
      </c>
      <c r="D363" t="inlineStr">
        <is>
          <t>JÄMTLANDS LÄN</t>
        </is>
      </c>
      <c r="E363" t="inlineStr">
        <is>
          <t>ÅRE</t>
        </is>
      </c>
      <c r="G363" t="n">
        <v>3.4</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45670</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12827-2021</t>
        </is>
      </c>
      <c r="B365" s="1" t="n">
        <v>44271</v>
      </c>
      <c r="C365" s="1" t="n">
        <v>45670</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14202-2021</t>
        </is>
      </c>
      <c r="B366" s="1" t="n">
        <v>44278</v>
      </c>
      <c r="C366" s="1" t="n">
        <v>45670</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14210-2021</t>
        </is>
      </c>
      <c r="B367" s="1" t="n">
        <v>44278</v>
      </c>
      <c r="C367" s="1" t="n">
        <v>45670</v>
      </c>
      <c r="D367" t="inlineStr">
        <is>
          <t>JÄMTLANDS LÄN</t>
        </is>
      </c>
      <c r="E367" t="inlineStr">
        <is>
          <t>ÅRE</t>
        </is>
      </c>
      <c r="G367" t="n">
        <v>5.3</v>
      </c>
      <c r="H367" t="n">
        <v>0</v>
      </c>
      <c r="I367" t="n">
        <v>0</v>
      </c>
      <c r="J367" t="n">
        <v>0</v>
      </c>
      <c r="K367" t="n">
        <v>0</v>
      </c>
      <c r="L367" t="n">
        <v>0</v>
      </c>
      <c r="M367" t="n">
        <v>0</v>
      </c>
      <c r="N367" t="n">
        <v>0</v>
      </c>
      <c r="O367" t="n">
        <v>0</v>
      </c>
      <c r="P367" t="n">
        <v>0</v>
      </c>
      <c r="Q367" t="n">
        <v>0</v>
      </c>
      <c r="R367" s="2" t="inlineStr"/>
    </row>
    <row r="368" ht="15" customHeight="1">
      <c r="A368" t="inlineStr">
        <is>
          <t>A 14204-2021</t>
        </is>
      </c>
      <c r="B368" s="1" t="n">
        <v>44278</v>
      </c>
      <c r="C368" s="1" t="n">
        <v>45670</v>
      </c>
      <c r="D368" t="inlineStr">
        <is>
          <t>JÄMTLANDS LÄN</t>
        </is>
      </c>
      <c r="E368" t="inlineStr">
        <is>
          <t>ÅRE</t>
        </is>
      </c>
      <c r="G368" t="n">
        <v>24.6</v>
      </c>
      <c r="H368" t="n">
        <v>0</v>
      </c>
      <c r="I368" t="n">
        <v>0</v>
      </c>
      <c r="J368" t="n">
        <v>0</v>
      </c>
      <c r="K368" t="n">
        <v>0</v>
      </c>
      <c r="L368" t="n">
        <v>0</v>
      </c>
      <c r="M368" t="n">
        <v>0</v>
      </c>
      <c r="N368" t="n">
        <v>0</v>
      </c>
      <c r="O368" t="n">
        <v>0</v>
      </c>
      <c r="P368" t="n">
        <v>0</v>
      </c>
      <c r="Q368" t="n">
        <v>0</v>
      </c>
      <c r="R368" s="2" t="inlineStr"/>
    </row>
    <row r="369" ht="15" customHeight="1">
      <c r="A369" t="inlineStr">
        <is>
          <t>A 14826-2021</t>
        </is>
      </c>
      <c r="B369" s="1" t="n">
        <v>44280</v>
      </c>
      <c r="C369" s="1" t="n">
        <v>45670</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45670</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16625-2021</t>
        </is>
      </c>
      <c r="B371" s="1" t="n">
        <v>44294</v>
      </c>
      <c r="C371" s="1" t="n">
        <v>45670</v>
      </c>
      <c r="D371" t="inlineStr">
        <is>
          <t>JÄMTLANDS LÄN</t>
        </is>
      </c>
      <c r="E371" t="inlineStr">
        <is>
          <t>ÅRE</t>
        </is>
      </c>
      <c r="F371" t="inlineStr">
        <is>
          <t>Övriga Aktiebolag</t>
        </is>
      </c>
      <c r="G371" t="n">
        <v>0.1</v>
      </c>
      <c r="H371" t="n">
        <v>0</v>
      </c>
      <c r="I371" t="n">
        <v>0</v>
      </c>
      <c r="J371" t="n">
        <v>0</v>
      </c>
      <c r="K371" t="n">
        <v>0</v>
      </c>
      <c r="L371" t="n">
        <v>0</v>
      </c>
      <c r="M371" t="n">
        <v>0</v>
      </c>
      <c r="N371" t="n">
        <v>0</v>
      </c>
      <c r="O371" t="n">
        <v>0</v>
      </c>
      <c r="P371" t="n">
        <v>0</v>
      </c>
      <c r="Q371" t="n">
        <v>0</v>
      </c>
      <c r="R371" s="2" t="inlineStr"/>
    </row>
    <row r="372" ht="15" customHeight="1">
      <c r="A372" t="inlineStr">
        <is>
          <t>A 17883-2021</t>
        </is>
      </c>
      <c r="B372" s="1" t="n">
        <v>44301</v>
      </c>
      <c r="C372" s="1" t="n">
        <v>45670</v>
      </c>
      <c r="D372" t="inlineStr">
        <is>
          <t>JÄMTLANDS LÄN</t>
        </is>
      </c>
      <c r="E372" t="inlineStr">
        <is>
          <t>ÅRE</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18374-2021</t>
        </is>
      </c>
      <c r="B373" s="1" t="n">
        <v>44305</v>
      </c>
      <c r="C373" s="1" t="n">
        <v>45670</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18531-2021</t>
        </is>
      </c>
      <c r="B374" s="1" t="n">
        <v>44306</v>
      </c>
      <c r="C374" s="1" t="n">
        <v>45670</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19275-2021</t>
        </is>
      </c>
      <c r="B375" s="1" t="n">
        <v>44309</v>
      </c>
      <c r="C375" s="1" t="n">
        <v>45670</v>
      </c>
      <c r="D375" t="inlineStr">
        <is>
          <t>JÄMTLANDS LÄN</t>
        </is>
      </c>
      <c r="E375" t="inlineStr">
        <is>
          <t>ÅRE</t>
        </is>
      </c>
      <c r="G375" t="n">
        <v>16.4</v>
      </c>
      <c r="H375" t="n">
        <v>0</v>
      </c>
      <c r="I375" t="n">
        <v>0</v>
      </c>
      <c r="J375" t="n">
        <v>0</v>
      </c>
      <c r="K375" t="n">
        <v>0</v>
      </c>
      <c r="L375" t="n">
        <v>0</v>
      </c>
      <c r="M375" t="n">
        <v>0</v>
      </c>
      <c r="N375" t="n">
        <v>0</v>
      </c>
      <c r="O375" t="n">
        <v>0</v>
      </c>
      <c r="P375" t="n">
        <v>0</v>
      </c>
      <c r="Q375" t="n">
        <v>0</v>
      </c>
      <c r="R375" s="2" t="inlineStr"/>
    </row>
    <row r="376" ht="15" customHeight="1">
      <c r="A376" t="inlineStr">
        <is>
          <t>A 20501-2021</t>
        </is>
      </c>
      <c r="B376" s="1" t="n">
        <v>44315</v>
      </c>
      <c r="C376" s="1" t="n">
        <v>45670</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21897-2021</t>
        </is>
      </c>
      <c r="B377" s="1" t="n">
        <v>44322</v>
      </c>
      <c r="C377" s="1" t="n">
        <v>45670</v>
      </c>
      <c r="D377" t="inlineStr">
        <is>
          <t>JÄMTLANDS LÄN</t>
        </is>
      </c>
      <c r="E377" t="inlineStr">
        <is>
          <t>ÅRE</t>
        </is>
      </c>
      <c r="G377" t="n">
        <v>41.4</v>
      </c>
      <c r="H377" t="n">
        <v>0</v>
      </c>
      <c r="I377" t="n">
        <v>0</v>
      </c>
      <c r="J377" t="n">
        <v>0</v>
      </c>
      <c r="K377" t="n">
        <v>0</v>
      </c>
      <c r="L377" t="n">
        <v>0</v>
      </c>
      <c r="M377" t="n">
        <v>0</v>
      </c>
      <c r="N377" t="n">
        <v>0</v>
      </c>
      <c r="O377" t="n">
        <v>0</v>
      </c>
      <c r="P377" t="n">
        <v>0</v>
      </c>
      <c r="Q377" t="n">
        <v>0</v>
      </c>
      <c r="R377" s="2" t="inlineStr"/>
    </row>
    <row r="378" ht="15" customHeight="1">
      <c r="A378" t="inlineStr">
        <is>
          <t>A 21905-2021</t>
        </is>
      </c>
      <c r="B378" s="1" t="n">
        <v>44322</v>
      </c>
      <c r="C378" s="1" t="n">
        <v>45670</v>
      </c>
      <c r="D378" t="inlineStr">
        <is>
          <t>JÄMTLANDS LÄN</t>
        </is>
      </c>
      <c r="E378" t="inlineStr">
        <is>
          <t>ÅRE</t>
        </is>
      </c>
      <c r="G378" t="n">
        <v>14.3</v>
      </c>
      <c r="H378" t="n">
        <v>0</v>
      </c>
      <c r="I378" t="n">
        <v>0</v>
      </c>
      <c r="J378" t="n">
        <v>0</v>
      </c>
      <c r="K378" t="n">
        <v>0</v>
      </c>
      <c r="L378" t="n">
        <v>0</v>
      </c>
      <c r="M378" t="n">
        <v>0</v>
      </c>
      <c r="N378" t="n">
        <v>0</v>
      </c>
      <c r="O378" t="n">
        <v>0</v>
      </c>
      <c r="P378" t="n">
        <v>0</v>
      </c>
      <c r="Q378" t="n">
        <v>0</v>
      </c>
      <c r="R378" s="2" t="inlineStr"/>
    </row>
    <row r="379" ht="15" customHeight="1">
      <c r="A379" t="inlineStr">
        <is>
          <t>A 22707-2021</t>
        </is>
      </c>
      <c r="B379" s="1" t="n">
        <v>44323</v>
      </c>
      <c r="C379" s="1" t="n">
        <v>45670</v>
      </c>
      <c r="D379" t="inlineStr">
        <is>
          <t>JÄMTLANDS LÄN</t>
        </is>
      </c>
      <c r="E379" t="inlineStr">
        <is>
          <t>ÅRE</t>
        </is>
      </c>
      <c r="G379" t="n">
        <v>6.3</v>
      </c>
      <c r="H379" t="n">
        <v>0</v>
      </c>
      <c r="I379" t="n">
        <v>0</v>
      </c>
      <c r="J379" t="n">
        <v>0</v>
      </c>
      <c r="K379" t="n">
        <v>0</v>
      </c>
      <c r="L379" t="n">
        <v>0</v>
      </c>
      <c r="M379" t="n">
        <v>0</v>
      </c>
      <c r="N379" t="n">
        <v>0</v>
      </c>
      <c r="O379" t="n">
        <v>0</v>
      </c>
      <c r="P379" t="n">
        <v>0</v>
      </c>
      <c r="Q379" t="n">
        <v>0</v>
      </c>
      <c r="R379" s="2" t="inlineStr"/>
    </row>
    <row r="380" ht="15" customHeight="1">
      <c r="A380" t="inlineStr">
        <is>
          <t>A 22505-2021</t>
        </is>
      </c>
      <c r="B380" s="1" t="n">
        <v>44326</v>
      </c>
      <c r="C380" s="1" t="n">
        <v>45670</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23561-2021</t>
        </is>
      </c>
      <c r="B381" s="1" t="n">
        <v>44334</v>
      </c>
      <c r="C381" s="1" t="n">
        <v>45670</v>
      </c>
      <c r="D381" t="inlineStr">
        <is>
          <t>JÄMTLANDS LÄN</t>
        </is>
      </c>
      <c r="E381" t="inlineStr">
        <is>
          <t>ÅRE</t>
        </is>
      </c>
      <c r="G381" t="n">
        <v>8.5</v>
      </c>
      <c r="H381" t="n">
        <v>0</v>
      </c>
      <c r="I381" t="n">
        <v>0</v>
      </c>
      <c r="J381" t="n">
        <v>0</v>
      </c>
      <c r="K381" t="n">
        <v>0</v>
      </c>
      <c r="L381" t="n">
        <v>0</v>
      </c>
      <c r="M381" t="n">
        <v>0</v>
      </c>
      <c r="N381" t="n">
        <v>0</v>
      </c>
      <c r="O381" t="n">
        <v>0</v>
      </c>
      <c r="P381" t="n">
        <v>0</v>
      </c>
      <c r="Q381" t="n">
        <v>0</v>
      </c>
      <c r="R381" s="2" t="inlineStr"/>
    </row>
    <row r="382" ht="15" customHeight="1">
      <c r="A382" t="inlineStr">
        <is>
          <t>A 24585-2021</t>
        </is>
      </c>
      <c r="B382" s="1" t="n">
        <v>44337</v>
      </c>
      <c r="C382" s="1" t="n">
        <v>45670</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45670</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27010-2021</t>
        </is>
      </c>
      <c r="B384" s="1" t="n">
        <v>44350</v>
      </c>
      <c r="C384" s="1" t="n">
        <v>45670</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27375-2021</t>
        </is>
      </c>
      <c r="B385" s="1" t="n">
        <v>44351</v>
      </c>
      <c r="C385" s="1" t="n">
        <v>45670</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27390-2021</t>
        </is>
      </c>
      <c r="B386" s="1" t="n">
        <v>44351</v>
      </c>
      <c r="C386" s="1" t="n">
        <v>45670</v>
      </c>
      <c r="D386" t="inlineStr">
        <is>
          <t>JÄMTLANDS LÄN</t>
        </is>
      </c>
      <c r="E386" t="inlineStr">
        <is>
          <t>ÅRE</t>
        </is>
      </c>
      <c r="G386" t="n">
        <v>14.9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45670</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28881-2021</t>
        </is>
      </c>
      <c r="B388" s="1" t="n">
        <v>44357</v>
      </c>
      <c r="C388" s="1" t="n">
        <v>45670</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28817-2021</t>
        </is>
      </c>
      <c r="B389" s="1" t="n">
        <v>44357</v>
      </c>
      <c r="C389" s="1" t="n">
        <v>45670</v>
      </c>
      <c r="D389" t="inlineStr">
        <is>
          <t>JÄMTLANDS LÄN</t>
        </is>
      </c>
      <c r="E389" t="inlineStr">
        <is>
          <t>ÅRE</t>
        </is>
      </c>
      <c r="G389" t="n">
        <v>21.4</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45670</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45670</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34357-2021</t>
        </is>
      </c>
      <c r="B392" s="1" t="n">
        <v>44379</v>
      </c>
      <c r="C392" s="1" t="n">
        <v>45670</v>
      </c>
      <c r="D392" t="inlineStr">
        <is>
          <t>JÄMTLANDS LÄN</t>
        </is>
      </c>
      <c r="E392" t="inlineStr">
        <is>
          <t>ÅRE</t>
        </is>
      </c>
      <c r="G392" t="n">
        <v>7.1</v>
      </c>
      <c r="H392" t="n">
        <v>0</v>
      </c>
      <c r="I392" t="n">
        <v>0</v>
      </c>
      <c r="J392" t="n">
        <v>0</v>
      </c>
      <c r="K392" t="n">
        <v>0</v>
      </c>
      <c r="L392" t="n">
        <v>0</v>
      </c>
      <c r="M392" t="n">
        <v>0</v>
      </c>
      <c r="N392" t="n">
        <v>0</v>
      </c>
      <c r="O392" t="n">
        <v>0</v>
      </c>
      <c r="P392" t="n">
        <v>0</v>
      </c>
      <c r="Q392" t="n">
        <v>0</v>
      </c>
      <c r="R392" s="2" t="inlineStr"/>
    </row>
    <row r="393" ht="15" customHeight="1">
      <c r="A393" t="inlineStr">
        <is>
          <t>A 36868-2021</t>
        </is>
      </c>
      <c r="B393" s="1" t="n">
        <v>44393</v>
      </c>
      <c r="C393" s="1" t="n">
        <v>45670</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37086-2021</t>
        </is>
      </c>
      <c r="B394" s="1" t="n">
        <v>44395</v>
      </c>
      <c r="C394" s="1" t="n">
        <v>45670</v>
      </c>
      <c r="D394" t="inlineStr">
        <is>
          <t>JÄMTLANDS LÄN</t>
        </is>
      </c>
      <c r="E394" t="inlineStr">
        <is>
          <t>ÅRE</t>
        </is>
      </c>
      <c r="G394" t="n">
        <v>34.1</v>
      </c>
      <c r="H394" t="n">
        <v>0</v>
      </c>
      <c r="I394" t="n">
        <v>0</v>
      </c>
      <c r="J394" t="n">
        <v>0</v>
      </c>
      <c r="K394" t="n">
        <v>0</v>
      </c>
      <c r="L394" t="n">
        <v>0</v>
      </c>
      <c r="M394" t="n">
        <v>0</v>
      </c>
      <c r="N394" t="n">
        <v>0</v>
      </c>
      <c r="O394" t="n">
        <v>0</v>
      </c>
      <c r="P394" t="n">
        <v>0</v>
      </c>
      <c r="Q394" t="n">
        <v>0</v>
      </c>
      <c r="R394" s="2" t="inlineStr"/>
    </row>
    <row r="395" ht="15" customHeight="1">
      <c r="A395" t="inlineStr">
        <is>
          <t>A 37156-2021</t>
        </is>
      </c>
      <c r="B395" s="1" t="n">
        <v>44396</v>
      </c>
      <c r="C395" s="1" t="n">
        <v>45670</v>
      </c>
      <c r="D395" t="inlineStr">
        <is>
          <t>JÄMTLANDS LÄN</t>
        </is>
      </c>
      <c r="E395" t="inlineStr">
        <is>
          <t>ÅRE</t>
        </is>
      </c>
      <c r="G395" t="n">
        <v>16.5</v>
      </c>
      <c r="H395" t="n">
        <v>0</v>
      </c>
      <c r="I395" t="n">
        <v>0</v>
      </c>
      <c r="J395" t="n">
        <v>0</v>
      </c>
      <c r="K395" t="n">
        <v>0</v>
      </c>
      <c r="L395" t="n">
        <v>0</v>
      </c>
      <c r="M395" t="n">
        <v>0</v>
      </c>
      <c r="N395" t="n">
        <v>0</v>
      </c>
      <c r="O395" t="n">
        <v>0</v>
      </c>
      <c r="P395" t="n">
        <v>0</v>
      </c>
      <c r="Q395" t="n">
        <v>0</v>
      </c>
      <c r="R395" s="2" t="inlineStr"/>
    </row>
    <row r="396" ht="15" customHeight="1">
      <c r="A396" t="inlineStr">
        <is>
          <t>A 37461-2021</t>
        </is>
      </c>
      <c r="B396" s="1" t="n">
        <v>44398</v>
      </c>
      <c r="C396" s="1" t="n">
        <v>45670</v>
      </c>
      <c r="D396" t="inlineStr">
        <is>
          <t>JÄMTLANDS LÄN</t>
        </is>
      </c>
      <c r="E396" t="inlineStr">
        <is>
          <t>ÅRE</t>
        </is>
      </c>
      <c r="G396" t="n">
        <v>11.7</v>
      </c>
      <c r="H396" t="n">
        <v>0</v>
      </c>
      <c r="I396" t="n">
        <v>0</v>
      </c>
      <c r="J396" t="n">
        <v>0</v>
      </c>
      <c r="K396" t="n">
        <v>0</v>
      </c>
      <c r="L396" t="n">
        <v>0</v>
      </c>
      <c r="M396" t="n">
        <v>0</v>
      </c>
      <c r="N396" t="n">
        <v>0</v>
      </c>
      <c r="O396" t="n">
        <v>0</v>
      </c>
      <c r="P396" t="n">
        <v>0</v>
      </c>
      <c r="Q396" t="n">
        <v>0</v>
      </c>
      <c r="R396" s="2" t="inlineStr"/>
    </row>
    <row r="397" ht="15" customHeight="1">
      <c r="A397" t="inlineStr">
        <is>
          <t>A 38450-2021</t>
        </is>
      </c>
      <c r="B397" s="1" t="n">
        <v>44406</v>
      </c>
      <c r="C397" s="1" t="n">
        <v>45670</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38456-2021</t>
        </is>
      </c>
      <c r="B398" s="1" t="n">
        <v>44406</v>
      </c>
      <c r="C398" s="1" t="n">
        <v>45670</v>
      </c>
      <c r="D398" t="inlineStr">
        <is>
          <t>JÄMTLANDS LÄN</t>
        </is>
      </c>
      <c r="E398" t="inlineStr">
        <is>
          <t>ÅRE</t>
        </is>
      </c>
      <c r="G398" t="n">
        <v>19.8</v>
      </c>
      <c r="H398" t="n">
        <v>0</v>
      </c>
      <c r="I398" t="n">
        <v>0</v>
      </c>
      <c r="J398" t="n">
        <v>0</v>
      </c>
      <c r="K398" t="n">
        <v>0</v>
      </c>
      <c r="L398" t="n">
        <v>0</v>
      </c>
      <c r="M398" t="n">
        <v>0</v>
      </c>
      <c r="N398" t="n">
        <v>0</v>
      </c>
      <c r="O398" t="n">
        <v>0</v>
      </c>
      <c r="P398" t="n">
        <v>0</v>
      </c>
      <c r="Q398" t="n">
        <v>0</v>
      </c>
      <c r="R398" s="2" t="inlineStr"/>
    </row>
    <row r="399" ht="15" customHeight="1">
      <c r="A399" t="inlineStr">
        <is>
          <t>A 40336-2021</t>
        </is>
      </c>
      <c r="B399" s="1" t="n">
        <v>44419</v>
      </c>
      <c r="C399" s="1" t="n">
        <v>45670</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40339-2021</t>
        </is>
      </c>
      <c r="B400" s="1" t="n">
        <v>44419</v>
      </c>
      <c r="C400" s="1" t="n">
        <v>45670</v>
      </c>
      <c r="D400" t="inlineStr">
        <is>
          <t>JÄMTLANDS LÄN</t>
        </is>
      </c>
      <c r="E400" t="inlineStr">
        <is>
          <t>ÅRE</t>
        </is>
      </c>
      <c r="G400" t="n">
        <v>6.4</v>
      </c>
      <c r="H400" t="n">
        <v>0</v>
      </c>
      <c r="I400" t="n">
        <v>0</v>
      </c>
      <c r="J400" t="n">
        <v>0</v>
      </c>
      <c r="K400" t="n">
        <v>0</v>
      </c>
      <c r="L400" t="n">
        <v>0</v>
      </c>
      <c r="M400" t="n">
        <v>0</v>
      </c>
      <c r="N400" t="n">
        <v>0</v>
      </c>
      <c r="O400" t="n">
        <v>0</v>
      </c>
      <c r="P400" t="n">
        <v>0</v>
      </c>
      <c r="Q400" t="n">
        <v>0</v>
      </c>
      <c r="R400" s="2" t="inlineStr"/>
    </row>
    <row r="401" ht="15" customHeight="1">
      <c r="A401" t="inlineStr">
        <is>
          <t>A 40341-2021</t>
        </is>
      </c>
      <c r="B401" s="1" t="n">
        <v>44419</v>
      </c>
      <c r="C401" s="1" t="n">
        <v>45670</v>
      </c>
      <c r="D401" t="inlineStr">
        <is>
          <t>JÄMTLANDS LÄN</t>
        </is>
      </c>
      <c r="E401" t="inlineStr">
        <is>
          <t>ÅRE</t>
        </is>
      </c>
      <c r="G401" t="n">
        <v>3</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45670</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51042-2021</t>
        </is>
      </c>
      <c r="B403" s="1" t="n">
        <v>44461</v>
      </c>
      <c r="C403" s="1" t="n">
        <v>45670</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51040-2021</t>
        </is>
      </c>
      <c r="B404" s="1" t="n">
        <v>44461</v>
      </c>
      <c r="C404" s="1" t="n">
        <v>45670</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52427-2021</t>
        </is>
      </c>
      <c r="B405" s="1" t="n">
        <v>44466</v>
      </c>
      <c r="C405" s="1" t="n">
        <v>45670</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56197-2021</t>
        </is>
      </c>
      <c r="B406" s="1" t="n">
        <v>44478</v>
      </c>
      <c r="C406" s="1" t="n">
        <v>45670</v>
      </c>
      <c r="D406" t="inlineStr">
        <is>
          <t>JÄMTLANDS LÄN</t>
        </is>
      </c>
      <c r="E406" t="inlineStr">
        <is>
          <t>ÅRE</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56192-2021</t>
        </is>
      </c>
      <c r="B407" s="1" t="n">
        <v>44477</v>
      </c>
      <c r="C407" s="1" t="n">
        <v>45670</v>
      </c>
      <c r="D407" t="inlineStr">
        <is>
          <t>JÄMTLANDS LÄN</t>
        </is>
      </c>
      <c r="E407" t="inlineStr">
        <is>
          <t>ÅRE</t>
        </is>
      </c>
      <c r="F407" t="inlineStr">
        <is>
          <t>Övriga Aktiebolag</t>
        </is>
      </c>
      <c r="G407" t="n">
        <v>21.5</v>
      </c>
      <c r="H407" t="n">
        <v>0</v>
      </c>
      <c r="I407" t="n">
        <v>0</v>
      </c>
      <c r="J407" t="n">
        <v>0</v>
      </c>
      <c r="K407" t="n">
        <v>0</v>
      </c>
      <c r="L407" t="n">
        <v>0</v>
      </c>
      <c r="M407" t="n">
        <v>0</v>
      </c>
      <c r="N407" t="n">
        <v>0</v>
      </c>
      <c r="O407" t="n">
        <v>0</v>
      </c>
      <c r="P407" t="n">
        <v>0</v>
      </c>
      <c r="Q407" t="n">
        <v>0</v>
      </c>
      <c r="R407" s="2" t="inlineStr"/>
    </row>
    <row r="408" ht="15" customHeight="1">
      <c r="A408" t="inlineStr">
        <is>
          <t>A 57150-2021</t>
        </is>
      </c>
      <c r="B408" s="1" t="n">
        <v>44482</v>
      </c>
      <c r="C408" s="1" t="n">
        <v>45670</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57158-2021</t>
        </is>
      </c>
      <c r="B409" s="1" t="n">
        <v>44482</v>
      </c>
      <c r="C409" s="1" t="n">
        <v>45670</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57512-2021</t>
        </is>
      </c>
      <c r="B410" s="1" t="n">
        <v>44483</v>
      </c>
      <c r="C410" s="1" t="n">
        <v>45670</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45670</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58230-2021</t>
        </is>
      </c>
      <c r="B412" s="1" t="n">
        <v>44487</v>
      </c>
      <c r="C412" s="1" t="n">
        <v>45670</v>
      </c>
      <c r="D412" t="inlineStr">
        <is>
          <t>JÄMTLANDS LÄN</t>
        </is>
      </c>
      <c r="E412" t="inlineStr">
        <is>
          <t>ÅRE</t>
        </is>
      </c>
      <c r="G412" t="n">
        <v>19.3</v>
      </c>
      <c r="H412" t="n">
        <v>0</v>
      </c>
      <c r="I412" t="n">
        <v>0</v>
      </c>
      <c r="J412" t="n">
        <v>0</v>
      </c>
      <c r="K412" t="n">
        <v>0</v>
      </c>
      <c r="L412" t="n">
        <v>0</v>
      </c>
      <c r="M412" t="n">
        <v>0</v>
      </c>
      <c r="N412" t="n">
        <v>0</v>
      </c>
      <c r="O412" t="n">
        <v>0</v>
      </c>
      <c r="P412" t="n">
        <v>0</v>
      </c>
      <c r="Q412" t="n">
        <v>0</v>
      </c>
      <c r="R412" s="2" t="inlineStr"/>
    </row>
    <row r="413" ht="15" customHeight="1">
      <c r="A413" t="inlineStr">
        <is>
          <t>A 58232-2021</t>
        </is>
      </c>
      <c r="B413" s="1" t="n">
        <v>44487</v>
      </c>
      <c r="C413" s="1" t="n">
        <v>45670</v>
      </c>
      <c r="D413" t="inlineStr">
        <is>
          <t>JÄMTLANDS LÄN</t>
        </is>
      </c>
      <c r="E413" t="inlineStr">
        <is>
          <t>ÅRE</t>
        </is>
      </c>
      <c r="G413" t="n">
        <v>43.7</v>
      </c>
      <c r="H413" t="n">
        <v>0</v>
      </c>
      <c r="I413" t="n">
        <v>0</v>
      </c>
      <c r="J413" t="n">
        <v>0</v>
      </c>
      <c r="K413" t="n">
        <v>0</v>
      </c>
      <c r="L413" t="n">
        <v>0</v>
      </c>
      <c r="M413" t="n">
        <v>0</v>
      </c>
      <c r="N413" t="n">
        <v>0</v>
      </c>
      <c r="O413" t="n">
        <v>0</v>
      </c>
      <c r="P413" t="n">
        <v>0</v>
      </c>
      <c r="Q413" t="n">
        <v>0</v>
      </c>
      <c r="R413" s="2" t="inlineStr"/>
    </row>
    <row r="414" ht="15" customHeight="1">
      <c r="A414" t="inlineStr">
        <is>
          <t>A 58228-2021</t>
        </is>
      </c>
      <c r="B414" s="1" t="n">
        <v>44487</v>
      </c>
      <c r="C414" s="1" t="n">
        <v>45670</v>
      </c>
      <c r="D414" t="inlineStr">
        <is>
          <t>JÄMTLANDS LÄN</t>
        </is>
      </c>
      <c r="E414" t="inlineStr">
        <is>
          <t>ÅRE</t>
        </is>
      </c>
      <c r="G414" t="n">
        <v>46.2</v>
      </c>
      <c r="H414" t="n">
        <v>0</v>
      </c>
      <c r="I414" t="n">
        <v>0</v>
      </c>
      <c r="J414" t="n">
        <v>0</v>
      </c>
      <c r="K414" t="n">
        <v>0</v>
      </c>
      <c r="L414" t="n">
        <v>0</v>
      </c>
      <c r="M414" t="n">
        <v>0</v>
      </c>
      <c r="N414" t="n">
        <v>0</v>
      </c>
      <c r="O414" t="n">
        <v>0</v>
      </c>
      <c r="P414" t="n">
        <v>0</v>
      </c>
      <c r="Q414" t="n">
        <v>0</v>
      </c>
      <c r="R414" s="2" t="inlineStr"/>
    </row>
    <row r="415" ht="15" customHeight="1">
      <c r="A415" t="inlineStr">
        <is>
          <t>A 58940-2021</t>
        </is>
      </c>
      <c r="B415" s="1" t="n">
        <v>44489</v>
      </c>
      <c r="C415" s="1" t="n">
        <v>45670</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59352-2021</t>
        </is>
      </c>
      <c r="B416" s="1" t="n">
        <v>44490</v>
      </c>
      <c r="C416" s="1" t="n">
        <v>45670</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45670</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60132-2021</t>
        </is>
      </c>
      <c r="B418" s="1" t="n">
        <v>44495</v>
      </c>
      <c r="C418" s="1" t="n">
        <v>45670</v>
      </c>
      <c r="D418" t="inlineStr">
        <is>
          <t>JÄMTLANDS LÄN</t>
        </is>
      </c>
      <c r="E418" t="inlineStr">
        <is>
          <t>ÅRE</t>
        </is>
      </c>
      <c r="G418" t="n">
        <v>3.7</v>
      </c>
      <c r="H418" t="n">
        <v>0</v>
      </c>
      <c r="I418" t="n">
        <v>0</v>
      </c>
      <c r="J418" t="n">
        <v>0</v>
      </c>
      <c r="K418" t="n">
        <v>0</v>
      </c>
      <c r="L418" t="n">
        <v>0</v>
      </c>
      <c r="M418" t="n">
        <v>0</v>
      </c>
      <c r="N418" t="n">
        <v>0</v>
      </c>
      <c r="O418" t="n">
        <v>0</v>
      </c>
      <c r="P418" t="n">
        <v>0</v>
      </c>
      <c r="Q418" t="n">
        <v>0</v>
      </c>
      <c r="R418" s="2" t="inlineStr"/>
    </row>
    <row r="419" ht="15" customHeight="1">
      <c r="A419" t="inlineStr">
        <is>
          <t>A 60122-2021</t>
        </is>
      </c>
      <c r="B419" s="1" t="n">
        <v>44495</v>
      </c>
      <c r="C419" s="1" t="n">
        <v>45670</v>
      </c>
      <c r="D419" t="inlineStr">
        <is>
          <t>JÄMTLANDS LÄN</t>
        </is>
      </c>
      <c r="E419" t="inlineStr">
        <is>
          <t>ÅRE</t>
        </is>
      </c>
      <c r="G419" t="n">
        <v>46.7</v>
      </c>
      <c r="H419" t="n">
        <v>0</v>
      </c>
      <c r="I419" t="n">
        <v>0</v>
      </c>
      <c r="J419" t="n">
        <v>0</v>
      </c>
      <c r="K419" t="n">
        <v>0</v>
      </c>
      <c r="L419" t="n">
        <v>0</v>
      </c>
      <c r="M419" t="n">
        <v>0</v>
      </c>
      <c r="N419" t="n">
        <v>0</v>
      </c>
      <c r="O419" t="n">
        <v>0</v>
      </c>
      <c r="P419" t="n">
        <v>0</v>
      </c>
      <c r="Q419" t="n">
        <v>0</v>
      </c>
      <c r="R419" s="2" t="inlineStr"/>
    </row>
    <row r="420" ht="15" customHeight="1">
      <c r="A420" t="inlineStr">
        <is>
          <t>A 61566-2021</t>
        </is>
      </c>
      <c r="B420" s="1" t="n">
        <v>44496</v>
      </c>
      <c r="C420" s="1" t="n">
        <v>45670</v>
      </c>
      <c r="D420" t="inlineStr">
        <is>
          <t>JÄMTLANDS LÄN</t>
        </is>
      </c>
      <c r="E420" t="inlineStr">
        <is>
          <t>ÅRE</t>
        </is>
      </c>
      <c r="F420" t="inlineStr">
        <is>
          <t>Övriga statliga verk och myndigheter</t>
        </is>
      </c>
      <c r="G420" t="n">
        <v>10.9</v>
      </c>
      <c r="H420" t="n">
        <v>0</v>
      </c>
      <c r="I420" t="n">
        <v>0</v>
      </c>
      <c r="J420" t="n">
        <v>0</v>
      </c>
      <c r="K420" t="n">
        <v>0</v>
      </c>
      <c r="L420" t="n">
        <v>0</v>
      </c>
      <c r="M420" t="n">
        <v>0</v>
      </c>
      <c r="N420" t="n">
        <v>0</v>
      </c>
      <c r="O420" t="n">
        <v>0</v>
      </c>
      <c r="P420" t="n">
        <v>0</v>
      </c>
      <c r="Q420" t="n">
        <v>0</v>
      </c>
      <c r="R420" s="2" t="inlineStr"/>
    </row>
    <row r="421" ht="15" customHeight="1">
      <c r="A421" t="inlineStr">
        <is>
          <t>A 61524-2021</t>
        </is>
      </c>
      <c r="B421" s="1" t="n">
        <v>44496</v>
      </c>
      <c r="C421" s="1" t="n">
        <v>45670</v>
      </c>
      <c r="D421" t="inlineStr">
        <is>
          <t>JÄMTLANDS LÄN</t>
        </is>
      </c>
      <c r="E421" t="inlineStr">
        <is>
          <t>ÅRE</t>
        </is>
      </c>
      <c r="F421" t="inlineStr">
        <is>
          <t>Övriga statliga verk och myndigheter</t>
        </is>
      </c>
      <c r="G421" t="n">
        <v>15</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45670</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45670</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61806-2021</t>
        </is>
      </c>
      <c r="B424" s="1" t="n">
        <v>44498</v>
      </c>
      <c r="C424" s="1" t="n">
        <v>45670</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61815-2021</t>
        </is>
      </c>
      <c r="B425" s="1" t="n">
        <v>44498</v>
      </c>
      <c r="C425" s="1" t="n">
        <v>45670</v>
      </c>
      <c r="D425" t="inlineStr">
        <is>
          <t>JÄMTLANDS LÄN</t>
        </is>
      </c>
      <c r="E425" t="inlineStr">
        <is>
          <t>ÅRE</t>
        </is>
      </c>
      <c r="G425" t="n">
        <v>7.4</v>
      </c>
      <c r="H425" t="n">
        <v>0</v>
      </c>
      <c r="I425" t="n">
        <v>0</v>
      </c>
      <c r="J425" t="n">
        <v>0</v>
      </c>
      <c r="K425" t="n">
        <v>0</v>
      </c>
      <c r="L425" t="n">
        <v>0</v>
      </c>
      <c r="M425" t="n">
        <v>0</v>
      </c>
      <c r="N425" t="n">
        <v>0</v>
      </c>
      <c r="O425" t="n">
        <v>0</v>
      </c>
      <c r="P425" t="n">
        <v>0</v>
      </c>
      <c r="Q425" t="n">
        <v>0</v>
      </c>
      <c r="R425" s="2" t="inlineStr"/>
    </row>
    <row r="426" ht="15" customHeight="1">
      <c r="A426" t="inlineStr">
        <is>
          <t>A 61375-2021</t>
        </is>
      </c>
      <c r="B426" s="1" t="n">
        <v>44499</v>
      </c>
      <c r="C426" s="1" t="n">
        <v>45670</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62183-2021</t>
        </is>
      </c>
      <c r="B427" s="1" t="n">
        <v>44502</v>
      </c>
      <c r="C427" s="1" t="n">
        <v>45670</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62352-2021</t>
        </is>
      </c>
      <c r="B428" s="1" t="n">
        <v>44502</v>
      </c>
      <c r="C428" s="1" t="n">
        <v>45670</v>
      </c>
      <c r="D428" t="inlineStr">
        <is>
          <t>JÄMTLANDS LÄN</t>
        </is>
      </c>
      <c r="E428" t="inlineStr">
        <is>
          <t>ÅRE</t>
        </is>
      </c>
      <c r="F428" t="inlineStr">
        <is>
          <t>Övriga statliga verk och myndigheter</t>
        </is>
      </c>
      <c r="G428" t="n">
        <v>64.90000000000001</v>
      </c>
      <c r="H428" t="n">
        <v>0</v>
      </c>
      <c r="I428" t="n">
        <v>0</v>
      </c>
      <c r="J428" t="n">
        <v>0</v>
      </c>
      <c r="K428" t="n">
        <v>0</v>
      </c>
      <c r="L428" t="n">
        <v>0</v>
      </c>
      <c r="M428" t="n">
        <v>0</v>
      </c>
      <c r="N428" t="n">
        <v>0</v>
      </c>
      <c r="O428" t="n">
        <v>0</v>
      </c>
      <c r="P428" t="n">
        <v>0</v>
      </c>
      <c r="Q428" t="n">
        <v>0</v>
      </c>
      <c r="R428" s="2" t="inlineStr"/>
    </row>
    <row r="429" ht="15" customHeight="1">
      <c r="A429" t="inlineStr">
        <is>
          <t>A 63226-2021</t>
        </is>
      </c>
      <c r="B429" s="1" t="n">
        <v>44504</v>
      </c>
      <c r="C429" s="1" t="n">
        <v>45670</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64196-2021</t>
        </is>
      </c>
      <c r="B430" s="1" t="n">
        <v>44510</v>
      </c>
      <c r="C430" s="1" t="n">
        <v>45670</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64237-2021</t>
        </is>
      </c>
      <c r="B431" s="1" t="n">
        <v>44510</v>
      </c>
      <c r="C431" s="1" t="n">
        <v>45670</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64219-2021</t>
        </is>
      </c>
      <c r="B432" s="1" t="n">
        <v>44510</v>
      </c>
      <c r="C432" s="1" t="n">
        <v>45670</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64245-2021</t>
        </is>
      </c>
      <c r="B433" s="1" t="n">
        <v>44510</v>
      </c>
      <c r="C433" s="1" t="n">
        <v>45670</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45670</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65415-2021</t>
        </is>
      </c>
      <c r="B435" s="1" t="n">
        <v>44515</v>
      </c>
      <c r="C435" s="1" t="n">
        <v>45670</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65782-2021</t>
        </is>
      </c>
      <c r="B436" s="1" t="n">
        <v>44516</v>
      </c>
      <c r="C436" s="1" t="n">
        <v>45670</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65784-2021</t>
        </is>
      </c>
      <c r="B437" s="1" t="n">
        <v>44516</v>
      </c>
      <c r="C437" s="1" t="n">
        <v>45670</v>
      </c>
      <c r="D437" t="inlineStr">
        <is>
          <t>JÄMTLANDS LÄN</t>
        </is>
      </c>
      <c r="E437" t="inlineStr">
        <is>
          <t>ÅRE</t>
        </is>
      </c>
      <c r="G437" t="n">
        <v>1.3</v>
      </c>
      <c r="H437" t="n">
        <v>0</v>
      </c>
      <c r="I437" t="n">
        <v>0</v>
      </c>
      <c r="J437" t="n">
        <v>0</v>
      </c>
      <c r="K437" t="n">
        <v>0</v>
      </c>
      <c r="L437" t="n">
        <v>0</v>
      </c>
      <c r="M437" t="n">
        <v>0</v>
      </c>
      <c r="N437" t="n">
        <v>0</v>
      </c>
      <c r="O437" t="n">
        <v>0</v>
      </c>
      <c r="P437" t="n">
        <v>0</v>
      </c>
      <c r="Q437" t="n">
        <v>0</v>
      </c>
      <c r="R437" s="2" t="inlineStr"/>
    </row>
    <row r="438" ht="15" customHeight="1">
      <c r="A438" t="inlineStr">
        <is>
          <t>A 67541-2021</t>
        </is>
      </c>
      <c r="B438" s="1" t="n">
        <v>44524</v>
      </c>
      <c r="C438" s="1" t="n">
        <v>45670</v>
      </c>
      <c r="D438" t="inlineStr">
        <is>
          <t>JÄMTLANDS LÄN</t>
        </is>
      </c>
      <c r="E438" t="inlineStr">
        <is>
          <t>ÅRE</t>
        </is>
      </c>
      <c r="G438" t="n">
        <v>3</v>
      </c>
      <c r="H438" t="n">
        <v>0</v>
      </c>
      <c r="I438" t="n">
        <v>0</v>
      </c>
      <c r="J438" t="n">
        <v>0</v>
      </c>
      <c r="K438" t="n">
        <v>0</v>
      </c>
      <c r="L438" t="n">
        <v>0</v>
      </c>
      <c r="M438" t="n">
        <v>0</v>
      </c>
      <c r="N438" t="n">
        <v>0</v>
      </c>
      <c r="O438" t="n">
        <v>0</v>
      </c>
      <c r="P438" t="n">
        <v>0</v>
      </c>
      <c r="Q438" t="n">
        <v>0</v>
      </c>
      <c r="R438" s="2" t="inlineStr"/>
    </row>
    <row r="439" ht="15" customHeight="1">
      <c r="A439" t="inlineStr">
        <is>
          <t>A 69170-2021</t>
        </is>
      </c>
      <c r="B439" s="1" t="n">
        <v>44529</v>
      </c>
      <c r="C439" s="1" t="n">
        <v>45670</v>
      </c>
      <c r="D439" t="inlineStr">
        <is>
          <t>JÄMTLANDS LÄN</t>
        </is>
      </c>
      <c r="E439" t="inlineStr">
        <is>
          <t>ÅRE</t>
        </is>
      </c>
      <c r="G439" t="n">
        <v>114.4</v>
      </c>
      <c r="H439" t="n">
        <v>0</v>
      </c>
      <c r="I439" t="n">
        <v>0</v>
      </c>
      <c r="J439" t="n">
        <v>0</v>
      </c>
      <c r="K439" t="n">
        <v>0</v>
      </c>
      <c r="L439" t="n">
        <v>0</v>
      </c>
      <c r="M439" t="n">
        <v>0</v>
      </c>
      <c r="N439" t="n">
        <v>0</v>
      </c>
      <c r="O439" t="n">
        <v>0</v>
      </c>
      <c r="P439" t="n">
        <v>0</v>
      </c>
      <c r="Q439" t="n">
        <v>0</v>
      </c>
      <c r="R439" s="2" t="inlineStr"/>
    </row>
    <row r="440" ht="15" customHeight="1">
      <c r="A440" t="inlineStr">
        <is>
          <t>A 69568-2021</t>
        </is>
      </c>
      <c r="B440" s="1" t="n">
        <v>44531</v>
      </c>
      <c r="C440" s="1" t="n">
        <v>45670</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69592-2021</t>
        </is>
      </c>
      <c r="B441" s="1" t="n">
        <v>44531</v>
      </c>
      <c r="C441" s="1" t="n">
        <v>45670</v>
      </c>
      <c r="D441" t="inlineStr">
        <is>
          <t>JÄMTLANDS LÄN</t>
        </is>
      </c>
      <c r="E441" t="inlineStr">
        <is>
          <t>ÅRE</t>
        </is>
      </c>
      <c r="G441" t="n">
        <v>4.7</v>
      </c>
      <c r="H441" t="n">
        <v>0</v>
      </c>
      <c r="I441" t="n">
        <v>0</v>
      </c>
      <c r="J441" t="n">
        <v>0</v>
      </c>
      <c r="K441" t="n">
        <v>0</v>
      </c>
      <c r="L441" t="n">
        <v>0</v>
      </c>
      <c r="M441" t="n">
        <v>0</v>
      </c>
      <c r="N441" t="n">
        <v>0</v>
      </c>
      <c r="O441" t="n">
        <v>0</v>
      </c>
      <c r="P441" t="n">
        <v>0</v>
      </c>
      <c r="Q441" t="n">
        <v>0</v>
      </c>
      <c r="R441" s="2" t="inlineStr"/>
    </row>
    <row r="442" ht="15" customHeight="1">
      <c r="A442" t="inlineStr">
        <is>
          <t>A 69801-2021</t>
        </is>
      </c>
      <c r="B442" s="1" t="n">
        <v>44532</v>
      </c>
      <c r="C442" s="1" t="n">
        <v>45670</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70523-2021</t>
        </is>
      </c>
      <c r="B443" s="1" t="n">
        <v>44536</v>
      </c>
      <c r="C443" s="1" t="n">
        <v>45670</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70522-2021</t>
        </is>
      </c>
      <c r="B444" s="1" t="n">
        <v>44536</v>
      </c>
      <c r="C444" s="1" t="n">
        <v>45670</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71005-2021</t>
        </is>
      </c>
      <c r="B445" s="1" t="n">
        <v>44538</v>
      </c>
      <c r="C445" s="1" t="n">
        <v>45670</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71043-2021</t>
        </is>
      </c>
      <c r="B446" s="1" t="n">
        <v>44538</v>
      </c>
      <c r="C446" s="1" t="n">
        <v>45670</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71968-2021</t>
        </is>
      </c>
      <c r="B447" s="1" t="n">
        <v>44540</v>
      </c>
      <c r="C447" s="1" t="n">
        <v>45670</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71900-2021</t>
        </is>
      </c>
      <c r="B448" s="1" t="n">
        <v>44543</v>
      </c>
      <c r="C448" s="1" t="n">
        <v>45670</v>
      </c>
      <c r="D448" t="inlineStr">
        <is>
          <t>JÄMTLANDS LÄN</t>
        </is>
      </c>
      <c r="E448" t="inlineStr">
        <is>
          <t>ÅRE</t>
        </is>
      </c>
      <c r="G448" t="n">
        <v>7.7</v>
      </c>
      <c r="H448" t="n">
        <v>0</v>
      </c>
      <c r="I448" t="n">
        <v>0</v>
      </c>
      <c r="J448" t="n">
        <v>0</v>
      </c>
      <c r="K448" t="n">
        <v>0</v>
      </c>
      <c r="L448" t="n">
        <v>0</v>
      </c>
      <c r="M448" t="n">
        <v>0</v>
      </c>
      <c r="N448" t="n">
        <v>0</v>
      </c>
      <c r="O448" t="n">
        <v>0</v>
      </c>
      <c r="P448" t="n">
        <v>0</v>
      </c>
      <c r="Q448" t="n">
        <v>0</v>
      </c>
      <c r="R448" s="2" t="inlineStr"/>
    </row>
    <row r="449" ht="15" customHeight="1">
      <c r="A449" t="inlineStr">
        <is>
          <t>A 72214-2021</t>
        </is>
      </c>
      <c r="B449" s="1" t="n">
        <v>44544</v>
      </c>
      <c r="C449" s="1" t="n">
        <v>45670</v>
      </c>
      <c r="D449" t="inlineStr">
        <is>
          <t>JÄMTLANDS LÄN</t>
        </is>
      </c>
      <c r="E449" t="inlineStr">
        <is>
          <t>ÅRE</t>
        </is>
      </c>
      <c r="G449" t="n">
        <v>14.1</v>
      </c>
      <c r="H449" t="n">
        <v>0</v>
      </c>
      <c r="I449" t="n">
        <v>0</v>
      </c>
      <c r="J449" t="n">
        <v>0</v>
      </c>
      <c r="K449" t="n">
        <v>0</v>
      </c>
      <c r="L449" t="n">
        <v>0</v>
      </c>
      <c r="M449" t="n">
        <v>0</v>
      </c>
      <c r="N449" t="n">
        <v>0</v>
      </c>
      <c r="O449" t="n">
        <v>0</v>
      </c>
      <c r="P449" t="n">
        <v>0</v>
      </c>
      <c r="Q449" t="n">
        <v>0</v>
      </c>
      <c r="R449" s="2" t="inlineStr"/>
    </row>
    <row r="450" ht="15" customHeight="1">
      <c r="A450" t="inlineStr">
        <is>
          <t>A 72215-2021</t>
        </is>
      </c>
      <c r="B450" s="1" t="n">
        <v>44544</v>
      </c>
      <c r="C450" s="1" t="n">
        <v>45670</v>
      </c>
      <c r="D450" t="inlineStr">
        <is>
          <t>JÄMTLANDS LÄN</t>
        </is>
      </c>
      <c r="E450" t="inlineStr">
        <is>
          <t>ÅRE</t>
        </is>
      </c>
      <c r="G450" t="n">
        <v>3.9</v>
      </c>
      <c r="H450" t="n">
        <v>0</v>
      </c>
      <c r="I450" t="n">
        <v>0</v>
      </c>
      <c r="J450" t="n">
        <v>0</v>
      </c>
      <c r="K450" t="n">
        <v>0</v>
      </c>
      <c r="L450" t="n">
        <v>0</v>
      </c>
      <c r="M450" t="n">
        <v>0</v>
      </c>
      <c r="N450" t="n">
        <v>0</v>
      </c>
      <c r="O450" t="n">
        <v>0</v>
      </c>
      <c r="P450" t="n">
        <v>0</v>
      </c>
      <c r="Q450" t="n">
        <v>0</v>
      </c>
      <c r="R450" s="2" t="inlineStr"/>
    </row>
    <row r="451" ht="15" customHeight="1">
      <c r="A451" t="inlineStr">
        <is>
          <t>A 73086-2021</t>
        </is>
      </c>
      <c r="B451" s="1" t="n">
        <v>44550</v>
      </c>
      <c r="C451" s="1" t="n">
        <v>45670</v>
      </c>
      <c r="D451" t="inlineStr">
        <is>
          <t>JÄMTLANDS LÄN</t>
        </is>
      </c>
      <c r="E451" t="inlineStr">
        <is>
          <t>ÅRE</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73738-2021</t>
        </is>
      </c>
      <c r="B452" s="1" t="n">
        <v>44551</v>
      </c>
      <c r="C452" s="1" t="n">
        <v>45670</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73629-2021</t>
        </is>
      </c>
      <c r="B453" s="1" t="n">
        <v>44552</v>
      </c>
      <c r="C453" s="1" t="n">
        <v>45670</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73800-2021</t>
        </is>
      </c>
      <c r="B454" s="1" t="n">
        <v>44552</v>
      </c>
      <c r="C454" s="1" t="n">
        <v>45670</v>
      </c>
      <c r="D454" t="inlineStr">
        <is>
          <t>JÄMTLANDS LÄN</t>
        </is>
      </c>
      <c r="E454" t="inlineStr">
        <is>
          <t>ÅRE</t>
        </is>
      </c>
      <c r="G454" t="n">
        <v>8.6</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45670</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74046-2021</t>
        </is>
      </c>
      <c r="B456" s="1" t="n">
        <v>44553</v>
      </c>
      <c r="C456" s="1" t="n">
        <v>45670</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45670</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2230-2022</t>
        </is>
      </c>
      <c r="B458" s="1" t="n">
        <v>44578</v>
      </c>
      <c r="C458" s="1" t="n">
        <v>45670</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2571-2022</t>
        </is>
      </c>
      <c r="B459" s="1" t="n">
        <v>44580</v>
      </c>
      <c r="C459" s="1" t="n">
        <v>45670</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5250-2022</t>
        </is>
      </c>
      <c r="B460" s="1" t="n">
        <v>44594</v>
      </c>
      <c r="C460" s="1" t="n">
        <v>45670</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v>
      </c>
      <c r="C461" s="1" t="n">
        <v>45670</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11112-2022</t>
        </is>
      </c>
      <c r="B462" s="1" t="n">
        <v>44628</v>
      </c>
      <c r="C462" s="1" t="n">
        <v>45670</v>
      </c>
      <c r="D462" t="inlineStr">
        <is>
          <t>JÄMTLANDS LÄN</t>
        </is>
      </c>
      <c r="E462" t="inlineStr">
        <is>
          <t>ÅRE</t>
        </is>
      </c>
      <c r="G462" t="n">
        <v>6.6</v>
      </c>
      <c r="H462" t="n">
        <v>0</v>
      </c>
      <c r="I462" t="n">
        <v>0</v>
      </c>
      <c r="J462" t="n">
        <v>0</v>
      </c>
      <c r="K462" t="n">
        <v>0</v>
      </c>
      <c r="L462" t="n">
        <v>0</v>
      </c>
      <c r="M462" t="n">
        <v>0</v>
      </c>
      <c r="N462" t="n">
        <v>0</v>
      </c>
      <c r="O462" t="n">
        <v>0</v>
      </c>
      <c r="P462" t="n">
        <v>0</v>
      </c>
      <c r="Q462" t="n">
        <v>0</v>
      </c>
      <c r="R462" s="2" t="inlineStr"/>
    </row>
    <row r="463" ht="15" customHeight="1">
      <c r="A463" t="inlineStr">
        <is>
          <t>A 11500-2022</t>
        </is>
      </c>
      <c r="B463" s="1" t="n">
        <v>44631</v>
      </c>
      <c r="C463" s="1" t="n">
        <v>45670</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13383-2022</t>
        </is>
      </c>
      <c r="B464" s="1" t="n">
        <v>44637</v>
      </c>
      <c r="C464" s="1" t="n">
        <v>45670</v>
      </c>
      <c r="D464" t="inlineStr">
        <is>
          <t>JÄMTLANDS LÄN</t>
        </is>
      </c>
      <c r="E464" t="inlineStr">
        <is>
          <t>ÅRE</t>
        </is>
      </c>
      <c r="G464" t="n">
        <v>2.2</v>
      </c>
      <c r="H464" t="n">
        <v>0</v>
      </c>
      <c r="I464" t="n">
        <v>0</v>
      </c>
      <c r="J464" t="n">
        <v>0</v>
      </c>
      <c r="K464" t="n">
        <v>0</v>
      </c>
      <c r="L464" t="n">
        <v>0</v>
      </c>
      <c r="M464" t="n">
        <v>0</v>
      </c>
      <c r="N464" t="n">
        <v>0</v>
      </c>
      <c r="O464" t="n">
        <v>0</v>
      </c>
      <c r="P464" t="n">
        <v>0</v>
      </c>
      <c r="Q464" t="n">
        <v>0</v>
      </c>
      <c r="R464" s="2" t="inlineStr"/>
    </row>
    <row r="465" ht="15" customHeight="1">
      <c r="A465" t="inlineStr">
        <is>
          <t>A 13221-2022</t>
        </is>
      </c>
      <c r="B465" s="1" t="n">
        <v>44644</v>
      </c>
      <c r="C465" s="1" t="n">
        <v>45670</v>
      </c>
      <c r="D465" t="inlineStr">
        <is>
          <t>JÄMTLANDS LÄN</t>
        </is>
      </c>
      <c r="E465" t="inlineStr">
        <is>
          <t>ÅRE</t>
        </is>
      </c>
      <c r="F465" t="inlineStr">
        <is>
          <t>Övriga Aktiebolag</t>
        </is>
      </c>
      <c r="G465" t="n">
        <v>13.7</v>
      </c>
      <c r="H465" t="n">
        <v>0</v>
      </c>
      <c r="I465" t="n">
        <v>0</v>
      </c>
      <c r="J465" t="n">
        <v>0</v>
      </c>
      <c r="K465" t="n">
        <v>0</v>
      </c>
      <c r="L465" t="n">
        <v>0</v>
      </c>
      <c r="M465" t="n">
        <v>0</v>
      </c>
      <c r="N465" t="n">
        <v>0</v>
      </c>
      <c r="O465" t="n">
        <v>0</v>
      </c>
      <c r="P465" t="n">
        <v>0</v>
      </c>
      <c r="Q465" t="n">
        <v>0</v>
      </c>
      <c r="R465" s="2" t="inlineStr"/>
    </row>
    <row r="466" ht="15" customHeight="1">
      <c r="A466" t="inlineStr">
        <is>
          <t>A 13324-2022</t>
        </is>
      </c>
      <c r="B466" s="1" t="n">
        <v>44645</v>
      </c>
      <c r="C466" s="1" t="n">
        <v>45670</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18443-2022</t>
        </is>
      </c>
      <c r="B467" s="1" t="n">
        <v>44686</v>
      </c>
      <c r="C467" s="1" t="n">
        <v>45670</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18849-2022</t>
        </is>
      </c>
      <c r="B468" s="1" t="n">
        <v>44690</v>
      </c>
      <c r="C468" s="1" t="n">
        <v>45670</v>
      </c>
      <c r="D468" t="inlineStr">
        <is>
          <t>JÄMTLANDS LÄN</t>
        </is>
      </c>
      <c r="E468" t="inlineStr">
        <is>
          <t>ÅRE</t>
        </is>
      </c>
      <c r="G468" t="n">
        <v>12.8</v>
      </c>
      <c r="H468" t="n">
        <v>0</v>
      </c>
      <c r="I468" t="n">
        <v>0</v>
      </c>
      <c r="J468" t="n">
        <v>0</v>
      </c>
      <c r="K468" t="n">
        <v>0</v>
      </c>
      <c r="L468" t="n">
        <v>0</v>
      </c>
      <c r="M468" t="n">
        <v>0</v>
      </c>
      <c r="N468" t="n">
        <v>0</v>
      </c>
      <c r="O468" t="n">
        <v>0</v>
      </c>
      <c r="P468" t="n">
        <v>0</v>
      </c>
      <c r="Q468" t="n">
        <v>0</v>
      </c>
      <c r="R468" s="2" t="inlineStr"/>
    </row>
    <row r="469" ht="15" customHeight="1">
      <c r="A469" t="inlineStr">
        <is>
          <t>A 20827-2022</t>
        </is>
      </c>
      <c r="B469" s="1" t="n">
        <v>44700</v>
      </c>
      <c r="C469" s="1" t="n">
        <v>45670</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20816-2022</t>
        </is>
      </c>
      <c r="B470" s="1" t="n">
        <v>44700</v>
      </c>
      <c r="C470" s="1" t="n">
        <v>45670</v>
      </c>
      <c r="D470" t="inlineStr">
        <is>
          <t>JÄMTLANDS LÄN</t>
        </is>
      </c>
      <c r="E470" t="inlineStr">
        <is>
          <t>ÅRE</t>
        </is>
      </c>
      <c r="G470" t="n">
        <v>1</v>
      </c>
      <c r="H470" t="n">
        <v>0</v>
      </c>
      <c r="I470" t="n">
        <v>0</v>
      </c>
      <c r="J470" t="n">
        <v>0</v>
      </c>
      <c r="K470" t="n">
        <v>0</v>
      </c>
      <c r="L470" t="n">
        <v>0</v>
      </c>
      <c r="M470" t="n">
        <v>0</v>
      </c>
      <c r="N470" t="n">
        <v>0</v>
      </c>
      <c r="O470" t="n">
        <v>0</v>
      </c>
      <c r="P470" t="n">
        <v>0</v>
      </c>
      <c r="Q470" t="n">
        <v>0</v>
      </c>
      <c r="R470" s="2" t="inlineStr"/>
    </row>
    <row r="471" ht="15" customHeight="1">
      <c r="A471" t="inlineStr">
        <is>
          <t>A 21464-2022</t>
        </is>
      </c>
      <c r="B471" s="1" t="n">
        <v>44706</v>
      </c>
      <c r="C471" s="1" t="n">
        <v>45670</v>
      </c>
      <c r="D471" t="inlineStr">
        <is>
          <t>JÄMTLANDS LÄN</t>
        </is>
      </c>
      <c r="E471" t="inlineStr">
        <is>
          <t>ÅRE</t>
        </is>
      </c>
      <c r="G471" t="n">
        <v>10.9</v>
      </c>
      <c r="H471" t="n">
        <v>0</v>
      </c>
      <c r="I471" t="n">
        <v>0</v>
      </c>
      <c r="J471" t="n">
        <v>0</v>
      </c>
      <c r="K471" t="n">
        <v>0</v>
      </c>
      <c r="L471" t="n">
        <v>0</v>
      </c>
      <c r="M471" t="n">
        <v>0</v>
      </c>
      <c r="N471" t="n">
        <v>0</v>
      </c>
      <c r="O471" t="n">
        <v>0</v>
      </c>
      <c r="P471" t="n">
        <v>0</v>
      </c>
      <c r="Q471" t="n">
        <v>0</v>
      </c>
      <c r="R471" s="2" t="inlineStr"/>
    </row>
    <row r="472" ht="15" customHeight="1">
      <c r="A472" t="inlineStr">
        <is>
          <t>A 22473-2022</t>
        </is>
      </c>
      <c r="B472" s="1" t="n">
        <v>44713</v>
      </c>
      <c r="C472" s="1" t="n">
        <v>45670</v>
      </c>
      <c r="D472" t="inlineStr">
        <is>
          <t>JÄMTLANDS LÄN</t>
        </is>
      </c>
      <c r="E472" t="inlineStr">
        <is>
          <t>ÅRE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23117-2022</t>
        </is>
      </c>
      <c r="B473" s="1" t="n">
        <v>44719</v>
      </c>
      <c r="C473" s="1" t="n">
        <v>45670</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23118-2022</t>
        </is>
      </c>
      <c r="B474" s="1" t="n">
        <v>44719</v>
      </c>
      <c r="C474" s="1" t="n">
        <v>45670</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24539-2022</t>
        </is>
      </c>
      <c r="B475" s="1" t="n">
        <v>44727</v>
      </c>
      <c r="C475" s="1" t="n">
        <v>45670</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25122-2022</t>
        </is>
      </c>
      <c r="B476" s="1" t="n">
        <v>44729</v>
      </c>
      <c r="C476" s="1" t="n">
        <v>45670</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25248-2022</t>
        </is>
      </c>
      <c r="B477" s="1" t="n">
        <v>44729</v>
      </c>
      <c r="C477" s="1" t="n">
        <v>45670</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26533-2022</t>
        </is>
      </c>
      <c r="B478" s="1" t="n">
        <v>44739</v>
      </c>
      <c r="C478" s="1" t="n">
        <v>45670</v>
      </c>
      <c r="D478" t="inlineStr">
        <is>
          <t>JÄMTLANDS LÄN</t>
        </is>
      </c>
      <c r="E478" t="inlineStr">
        <is>
          <t>ÅRE</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26546-2022</t>
        </is>
      </c>
      <c r="B479" s="1" t="n">
        <v>44739</v>
      </c>
      <c r="C479" s="1" t="n">
        <v>45670</v>
      </c>
      <c r="D479" t="inlineStr">
        <is>
          <t>JÄMTLANDS LÄN</t>
        </is>
      </c>
      <c r="E479" t="inlineStr">
        <is>
          <t>ÅRE</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29385-2022</t>
        </is>
      </c>
      <c r="B480" s="1" t="n">
        <v>44753</v>
      </c>
      <c r="C480" s="1" t="n">
        <v>45670</v>
      </c>
      <c r="D480" t="inlineStr">
        <is>
          <t>JÄMTLANDS LÄN</t>
        </is>
      </c>
      <c r="E480" t="inlineStr">
        <is>
          <t>ÅRE</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29383-2022</t>
        </is>
      </c>
      <c r="B481" s="1" t="n">
        <v>44753</v>
      </c>
      <c r="C481" s="1" t="n">
        <v>45670</v>
      </c>
      <c r="D481" t="inlineStr">
        <is>
          <t>JÄMTLANDS LÄN</t>
        </is>
      </c>
      <c r="E481" t="inlineStr">
        <is>
          <t>ÅRE</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31776-2022</t>
        </is>
      </c>
      <c r="B482" s="1" t="n">
        <v>44776</v>
      </c>
      <c r="C482" s="1" t="n">
        <v>45670</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32212-2022</t>
        </is>
      </c>
      <c r="B483" s="1" t="n">
        <v>44781</v>
      </c>
      <c r="C483" s="1" t="n">
        <v>45670</v>
      </c>
      <c r="D483" t="inlineStr">
        <is>
          <t>JÄMTLANDS LÄN</t>
        </is>
      </c>
      <c r="E483" t="inlineStr">
        <is>
          <t>ÅRE</t>
        </is>
      </c>
      <c r="G483" t="n">
        <v>7</v>
      </c>
      <c r="H483" t="n">
        <v>0</v>
      </c>
      <c r="I483" t="n">
        <v>0</v>
      </c>
      <c r="J483" t="n">
        <v>0</v>
      </c>
      <c r="K483" t="n">
        <v>0</v>
      </c>
      <c r="L483" t="n">
        <v>0</v>
      </c>
      <c r="M483" t="n">
        <v>0</v>
      </c>
      <c r="N483" t="n">
        <v>0</v>
      </c>
      <c r="O483" t="n">
        <v>0</v>
      </c>
      <c r="P483" t="n">
        <v>0</v>
      </c>
      <c r="Q483" t="n">
        <v>0</v>
      </c>
      <c r="R483" s="2" t="inlineStr"/>
    </row>
    <row r="484" ht="15" customHeight="1">
      <c r="A484" t="inlineStr">
        <is>
          <t>A 32210-2022</t>
        </is>
      </c>
      <c r="B484" s="1" t="n">
        <v>44781</v>
      </c>
      <c r="C484" s="1" t="n">
        <v>45670</v>
      </c>
      <c r="D484" t="inlineStr">
        <is>
          <t>JÄMTLANDS LÄN</t>
        </is>
      </c>
      <c r="E484" t="inlineStr">
        <is>
          <t>ÅRE</t>
        </is>
      </c>
      <c r="G484" t="n">
        <v>17.3</v>
      </c>
      <c r="H484" t="n">
        <v>0</v>
      </c>
      <c r="I484" t="n">
        <v>0</v>
      </c>
      <c r="J484" t="n">
        <v>0</v>
      </c>
      <c r="K484" t="n">
        <v>0</v>
      </c>
      <c r="L484" t="n">
        <v>0</v>
      </c>
      <c r="M484" t="n">
        <v>0</v>
      </c>
      <c r="N484" t="n">
        <v>0</v>
      </c>
      <c r="O484" t="n">
        <v>0</v>
      </c>
      <c r="P484" t="n">
        <v>0</v>
      </c>
      <c r="Q484" t="n">
        <v>0</v>
      </c>
      <c r="R484" s="2" t="inlineStr"/>
    </row>
    <row r="485" ht="15" customHeight="1">
      <c r="A485" t="inlineStr">
        <is>
          <t>A 32758-2022</t>
        </is>
      </c>
      <c r="B485" s="1" t="n">
        <v>44783</v>
      </c>
      <c r="C485" s="1" t="n">
        <v>45670</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33023-2022</t>
        </is>
      </c>
      <c r="B486" s="1" t="n">
        <v>44784</v>
      </c>
      <c r="C486" s="1" t="n">
        <v>45670</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33003-2022</t>
        </is>
      </c>
      <c r="B487" s="1" t="n">
        <v>44784</v>
      </c>
      <c r="C487" s="1" t="n">
        <v>45670</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45670</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33479-2022</t>
        </is>
      </c>
      <c r="B489" s="1" t="n">
        <v>44788</v>
      </c>
      <c r="C489" s="1" t="n">
        <v>45670</v>
      </c>
      <c r="D489" t="inlineStr">
        <is>
          <t>JÄMTLANDS LÄN</t>
        </is>
      </c>
      <c r="E489" t="inlineStr">
        <is>
          <t>ÅRE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33480-2022</t>
        </is>
      </c>
      <c r="B490" s="1" t="n">
        <v>44788</v>
      </c>
      <c r="C490" s="1" t="n">
        <v>45670</v>
      </c>
      <c r="D490" t="inlineStr">
        <is>
          <t>JÄMTLANDS LÄN</t>
        </is>
      </c>
      <c r="E490" t="inlineStr">
        <is>
          <t>ÅRE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33625-2022</t>
        </is>
      </c>
      <c r="B491" s="1" t="n">
        <v>44789</v>
      </c>
      <c r="C491" s="1" t="n">
        <v>45670</v>
      </c>
      <c r="D491" t="inlineStr">
        <is>
          <t>JÄMTLANDS LÄN</t>
        </is>
      </c>
      <c r="E491" t="inlineStr">
        <is>
          <t>ÅRE</t>
        </is>
      </c>
      <c r="G491" t="n">
        <v>20.7</v>
      </c>
      <c r="H491" t="n">
        <v>0</v>
      </c>
      <c r="I491" t="n">
        <v>0</v>
      </c>
      <c r="J491" t="n">
        <v>0</v>
      </c>
      <c r="K491" t="n">
        <v>0</v>
      </c>
      <c r="L491" t="n">
        <v>0</v>
      </c>
      <c r="M491" t="n">
        <v>0</v>
      </c>
      <c r="N491" t="n">
        <v>0</v>
      </c>
      <c r="O491" t="n">
        <v>0</v>
      </c>
      <c r="P491" t="n">
        <v>0</v>
      </c>
      <c r="Q491" t="n">
        <v>0</v>
      </c>
      <c r="R491" s="2" t="inlineStr"/>
    </row>
    <row r="492" ht="15" customHeight="1">
      <c r="A492" t="inlineStr">
        <is>
          <t>A 33565-2022</t>
        </is>
      </c>
      <c r="B492" s="1" t="n">
        <v>44789</v>
      </c>
      <c r="C492" s="1" t="n">
        <v>45670</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34033-2022</t>
        </is>
      </c>
      <c r="B493" s="1" t="n">
        <v>44790</v>
      </c>
      <c r="C493" s="1" t="n">
        <v>45670</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34916-2022</t>
        </is>
      </c>
      <c r="B494" s="1" t="n">
        <v>44796</v>
      </c>
      <c r="C494" s="1" t="n">
        <v>45670</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45670</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37645-2022</t>
        </is>
      </c>
      <c r="B496" s="1" t="n">
        <v>44810</v>
      </c>
      <c r="C496" s="1" t="n">
        <v>45670</v>
      </c>
      <c r="D496" t="inlineStr">
        <is>
          <t>JÄMTLANDS LÄN</t>
        </is>
      </c>
      <c r="E496" t="inlineStr">
        <is>
          <t>ÅRE</t>
        </is>
      </c>
      <c r="G496" t="n">
        <v>5.3</v>
      </c>
      <c r="H496" t="n">
        <v>0</v>
      </c>
      <c r="I496" t="n">
        <v>0</v>
      </c>
      <c r="J496" t="n">
        <v>0</v>
      </c>
      <c r="K496" t="n">
        <v>0</v>
      </c>
      <c r="L496" t="n">
        <v>0</v>
      </c>
      <c r="M496" t="n">
        <v>0</v>
      </c>
      <c r="N496" t="n">
        <v>0</v>
      </c>
      <c r="O496" t="n">
        <v>0</v>
      </c>
      <c r="P496" t="n">
        <v>0</v>
      </c>
      <c r="Q496" t="n">
        <v>0</v>
      </c>
      <c r="R496" s="2" t="inlineStr"/>
    </row>
    <row r="497" ht="15" customHeight="1">
      <c r="A497" t="inlineStr">
        <is>
          <t>A 38265-2022</t>
        </is>
      </c>
      <c r="B497" s="1" t="n">
        <v>44812</v>
      </c>
      <c r="C497" s="1" t="n">
        <v>45670</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40159-2022</t>
        </is>
      </c>
      <c r="B498" s="1" t="n">
        <v>44818</v>
      </c>
      <c r="C498" s="1" t="n">
        <v>45670</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40653-2022</t>
        </is>
      </c>
      <c r="B499" s="1" t="n">
        <v>44818</v>
      </c>
      <c r="C499" s="1" t="n">
        <v>45670</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39713-2022</t>
        </is>
      </c>
      <c r="B500" s="1" t="n">
        <v>44819</v>
      </c>
      <c r="C500" s="1" t="n">
        <v>45670</v>
      </c>
      <c r="D500" t="inlineStr">
        <is>
          <t>JÄMTLANDS LÄN</t>
        </is>
      </c>
      <c r="E500" t="inlineStr">
        <is>
          <t>ÅRE</t>
        </is>
      </c>
      <c r="G500" t="n">
        <v>10.4</v>
      </c>
      <c r="H500" t="n">
        <v>0</v>
      </c>
      <c r="I500" t="n">
        <v>0</v>
      </c>
      <c r="J500" t="n">
        <v>0</v>
      </c>
      <c r="K500" t="n">
        <v>0</v>
      </c>
      <c r="L500" t="n">
        <v>0</v>
      </c>
      <c r="M500" t="n">
        <v>0</v>
      </c>
      <c r="N500" t="n">
        <v>0</v>
      </c>
      <c r="O500" t="n">
        <v>0</v>
      </c>
      <c r="P500" t="n">
        <v>0</v>
      </c>
      <c r="Q500" t="n">
        <v>0</v>
      </c>
      <c r="R500" s="2" t="inlineStr"/>
    </row>
    <row r="501" ht="15" customHeight="1">
      <c r="A501" t="inlineStr">
        <is>
          <t>A 41015-2022</t>
        </is>
      </c>
      <c r="B501" s="1" t="n">
        <v>44820</v>
      </c>
      <c r="C501" s="1" t="n">
        <v>45670</v>
      </c>
      <c r="D501" t="inlineStr">
        <is>
          <t>JÄMTLANDS LÄN</t>
        </is>
      </c>
      <c r="E501" t="inlineStr">
        <is>
          <t>ÅRE</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41162-2022</t>
        </is>
      </c>
      <c r="B502" s="1" t="n">
        <v>44825</v>
      </c>
      <c r="C502" s="1" t="n">
        <v>45670</v>
      </c>
      <c r="D502" t="inlineStr">
        <is>
          <t>JÄMTLANDS LÄN</t>
        </is>
      </c>
      <c r="E502" t="inlineStr">
        <is>
          <t>ÅRE</t>
        </is>
      </c>
      <c r="G502" t="n">
        <v>11.3</v>
      </c>
      <c r="H502" t="n">
        <v>0</v>
      </c>
      <c r="I502" t="n">
        <v>0</v>
      </c>
      <c r="J502" t="n">
        <v>0</v>
      </c>
      <c r="K502" t="n">
        <v>0</v>
      </c>
      <c r="L502" t="n">
        <v>0</v>
      </c>
      <c r="M502" t="n">
        <v>0</v>
      </c>
      <c r="N502" t="n">
        <v>0</v>
      </c>
      <c r="O502" t="n">
        <v>0</v>
      </c>
      <c r="P502" t="n">
        <v>0</v>
      </c>
      <c r="Q502" t="n">
        <v>0</v>
      </c>
      <c r="R502" s="2" t="inlineStr"/>
    </row>
    <row r="503" ht="15" customHeight="1">
      <c r="A503" t="inlineStr">
        <is>
          <t>A 41655-2022</t>
        </is>
      </c>
      <c r="B503" s="1" t="n">
        <v>44827</v>
      </c>
      <c r="C503" s="1" t="n">
        <v>45670</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41654-2022</t>
        </is>
      </c>
      <c r="B504" s="1" t="n">
        <v>44827</v>
      </c>
      <c r="C504" s="1" t="n">
        <v>45670</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41657-2022</t>
        </is>
      </c>
      <c r="B505" s="1" t="n">
        <v>44827</v>
      </c>
      <c r="C505" s="1" t="n">
        <v>45670</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42136-2022</t>
        </is>
      </c>
      <c r="B506" s="1" t="n">
        <v>44830</v>
      </c>
      <c r="C506" s="1" t="n">
        <v>45670</v>
      </c>
      <c r="D506" t="inlineStr">
        <is>
          <t>JÄMTLANDS LÄN</t>
        </is>
      </c>
      <c r="E506" t="inlineStr">
        <is>
          <t>ÅRE</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43180-2022</t>
        </is>
      </c>
      <c r="B507" s="1" t="n">
        <v>44833</v>
      </c>
      <c r="C507" s="1" t="n">
        <v>45670</v>
      </c>
      <c r="D507" t="inlineStr">
        <is>
          <t>JÄMTLANDS LÄN</t>
        </is>
      </c>
      <c r="E507" t="inlineStr">
        <is>
          <t>ÅRE</t>
        </is>
      </c>
      <c r="G507" t="n">
        <v>17.9</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45670</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43583-2022</t>
        </is>
      </c>
      <c r="B509" s="1" t="n">
        <v>44834</v>
      </c>
      <c r="C509" s="1" t="n">
        <v>45670</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44502-2022</t>
        </is>
      </c>
      <c r="B510" s="1" t="n">
        <v>44840</v>
      </c>
      <c r="C510" s="1" t="n">
        <v>45670</v>
      </c>
      <c r="D510" t="inlineStr">
        <is>
          <t>JÄMTLANDS LÄN</t>
        </is>
      </c>
      <c r="E510" t="inlineStr">
        <is>
          <t>ÅRE</t>
        </is>
      </c>
      <c r="G510" t="n">
        <v>2.6</v>
      </c>
      <c r="H510" t="n">
        <v>0</v>
      </c>
      <c r="I510" t="n">
        <v>0</v>
      </c>
      <c r="J510" t="n">
        <v>0</v>
      </c>
      <c r="K510" t="n">
        <v>0</v>
      </c>
      <c r="L510" t="n">
        <v>0</v>
      </c>
      <c r="M510" t="n">
        <v>0</v>
      </c>
      <c r="N510" t="n">
        <v>0</v>
      </c>
      <c r="O510" t="n">
        <v>0</v>
      </c>
      <c r="P510" t="n">
        <v>0</v>
      </c>
      <c r="Q510" t="n">
        <v>0</v>
      </c>
      <c r="R510" s="2" t="inlineStr"/>
    </row>
    <row r="511" ht="15" customHeight="1">
      <c r="A511" t="inlineStr">
        <is>
          <t>A 45461-2022</t>
        </is>
      </c>
      <c r="B511" s="1" t="n">
        <v>44841</v>
      </c>
      <c r="C511" s="1" t="n">
        <v>45670</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45660-2022</t>
        </is>
      </c>
      <c r="B512" s="1" t="n">
        <v>44845</v>
      </c>
      <c r="C512" s="1" t="n">
        <v>45670</v>
      </c>
      <c r="D512" t="inlineStr">
        <is>
          <t>JÄMTLANDS LÄN</t>
        </is>
      </c>
      <c r="E512" t="inlineStr">
        <is>
          <t>ÅRE</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46491-2022</t>
        </is>
      </c>
      <c r="B513" s="1" t="n">
        <v>44848</v>
      </c>
      <c r="C513" s="1" t="n">
        <v>45670</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46497-2022</t>
        </is>
      </c>
      <c r="B514" s="1" t="n">
        <v>44848</v>
      </c>
      <c r="C514" s="1" t="n">
        <v>45670</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46488-2022</t>
        </is>
      </c>
      <c r="B515" s="1" t="n">
        <v>44848</v>
      </c>
      <c r="C515" s="1" t="n">
        <v>45670</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46494-2022</t>
        </is>
      </c>
      <c r="B516" s="1" t="n">
        <v>44848</v>
      </c>
      <c r="C516" s="1" t="n">
        <v>45670</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46744-2022</t>
        </is>
      </c>
      <c r="B517" s="1" t="n">
        <v>44851</v>
      </c>
      <c r="C517" s="1" t="n">
        <v>45670</v>
      </c>
      <c r="D517" t="inlineStr">
        <is>
          <t>JÄMTLANDS LÄN</t>
        </is>
      </c>
      <c r="E517" t="inlineStr">
        <is>
          <t>ÅRE</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47052-2022</t>
        </is>
      </c>
      <c r="B518" s="1" t="n">
        <v>44851</v>
      </c>
      <c r="C518" s="1" t="n">
        <v>45670</v>
      </c>
      <c r="D518" t="inlineStr">
        <is>
          <t>JÄMTLANDS LÄN</t>
        </is>
      </c>
      <c r="E518" t="inlineStr">
        <is>
          <t>ÅRE</t>
        </is>
      </c>
      <c r="G518" t="n">
        <v>90.8</v>
      </c>
      <c r="H518" t="n">
        <v>0</v>
      </c>
      <c r="I518" t="n">
        <v>0</v>
      </c>
      <c r="J518" t="n">
        <v>0</v>
      </c>
      <c r="K518" t="n">
        <v>0</v>
      </c>
      <c r="L518" t="n">
        <v>0</v>
      </c>
      <c r="M518" t="n">
        <v>0</v>
      </c>
      <c r="N518" t="n">
        <v>0</v>
      </c>
      <c r="O518" t="n">
        <v>0</v>
      </c>
      <c r="P518" t="n">
        <v>0</v>
      </c>
      <c r="Q518" t="n">
        <v>0</v>
      </c>
      <c r="R518" s="2" t="inlineStr"/>
    </row>
    <row r="519" ht="15" customHeight="1">
      <c r="A519" t="inlineStr">
        <is>
          <t>A 47664-2022</t>
        </is>
      </c>
      <c r="B519" s="1" t="n">
        <v>44854</v>
      </c>
      <c r="C519" s="1" t="n">
        <v>45670</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47873-2022</t>
        </is>
      </c>
      <c r="B520" s="1" t="n">
        <v>44855</v>
      </c>
      <c r="C520" s="1" t="n">
        <v>45670</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48898-2022</t>
        </is>
      </c>
      <c r="B521" s="1" t="n">
        <v>44860</v>
      </c>
      <c r="C521" s="1" t="n">
        <v>45670</v>
      </c>
      <c r="D521" t="inlineStr">
        <is>
          <t>JÄMTLANDS LÄN</t>
        </is>
      </c>
      <c r="E521" t="inlineStr">
        <is>
          <t>ÅRE</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45670</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49610-2022</t>
        </is>
      </c>
      <c r="B523" s="1" t="n">
        <v>44859</v>
      </c>
      <c r="C523" s="1" t="n">
        <v>45670</v>
      </c>
      <c r="D523" t="inlineStr">
        <is>
          <t>JÄMTLANDS LÄN</t>
        </is>
      </c>
      <c r="E523" t="inlineStr">
        <is>
          <t>ÅRE</t>
        </is>
      </c>
      <c r="G523" t="n">
        <v>26.2</v>
      </c>
      <c r="H523" t="n">
        <v>0</v>
      </c>
      <c r="I523" t="n">
        <v>0</v>
      </c>
      <c r="J523" t="n">
        <v>0</v>
      </c>
      <c r="K523" t="n">
        <v>0</v>
      </c>
      <c r="L523" t="n">
        <v>0</v>
      </c>
      <c r="M523" t="n">
        <v>0</v>
      </c>
      <c r="N523" t="n">
        <v>0</v>
      </c>
      <c r="O523" t="n">
        <v>0</v>
      </c>
      <c r="P523" t="n">
        <v>0</v>
      </c>
      <c r="Q523" t="n">
        <v>0</v>
      </c>
      <c r="R523" s="2" t="inlineStr"/>
    </row>
    <row r="524" ht="15" customHeight="1">
      <c r="A524" t="inlineStr">
        <is>
          <t>A 50307-2022</t>
        </is>
      </c>
      <c r="B524" s="1" t="n">
        <v>44865</v>
      </c>
      <c r="C524" s="1" t="n">
        <v>45670</v>
      </c>
      <c r="D524" t="inlineStr">
        <is>
          <t>JÄMTLANDS LÄN</t>
        </is>
      </c>
      <c r="E524" t="inlineStr">
        <is>
          <t>ÅRE</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52313-2022</t>
        </is>
      </c>
      <c r="B525" s="1" t="n">
        <v>44873</v>
      </c>
      <c r="C525" s="1" t="n">
        <v>45670</v>
      </c>
      <c r="D525" t="inlineStr">
        <is>
          <t>JÄMTLANDS LÄN</t>
        </is>
      </c>
      <c r="E525" t="inlineStr">
        <is>
          <t>ÅRE</t>
        </is>
      </c>
      <c r="G525" t="n">
        <v>3.4</v>
      </c>
      <c r="H525" t="n">
        <v>0</v>
      </c>
      <c r="I525" t="n">
        <v>0</v>
      </c>
      <c r="J525" t="n">
        <v>0</v>
      </c>
      <c r="K525" t="n">
        <v>0</v>
      </c>
      <c r="L525" t="n">
        <v>0</v>
      </c>
      <c r="M525" t="n">
        <v>0</v>
      </c>
      <c r="N525" t="n">
        <v>0</v>
      </c>
      <c r="O525" t="n">
        <v>0</v>
      </c>
      <c r="P525" t="n">
        <v>0</v>
      </c>
      <c r="Q525" t="n">
        <v>0</v>
      </c>
      <c r="R525" s="2" t="inlineStr"/>
    </row>
    <row r="526" ht="15" customHeight="1">
      <c r="A526" t="inlineStr">
        <is>
          <t>A 52470-2022</t>
        </is>
      </c>
      <c r="B526" s="1" t="n">
        <v>44874</v>
      </c>
      <c r="C526" s="1" t="n">
        <v>45670</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52485-2022</t>
        </is>
      </c>
      <c r="B527" s="1" t="n">
        <v>44874</v>
      </c>
      <c r="C527" s="1" t="n">
        <v>45670</v>
      </c>
      <c r="D527" t="inlineStr">
        <is>
          <t>JÄMTLANDS LÄN</t>
        </is>
      </c>
      <c r="E527" t="inlineStr">
        <is>
          <t>ÅRE</t>
        </is>
      </c>
      <c r="G527" t="n">
        <v>3.2</v>
      </c>
      <c r="H527" t="n">
        <v>0</v>
      </c>
      <c r="I527" t="n">
        <v>0</v>
      </c>
      <c r="J527" t="n">
        <v>0</v>
      </c>
      <c r="K527" t="n">
        <v>0</v>
      </c>
      <c r="L527" t="n">
        <v>0</v>
      </c>
      <c r="M527" t="n">
        <v>0</v>
      </c>
      <c r="N527" t="n">
        <v>0</v>
      </c>
      <c r="O527" t="n">
        <v>0</v>
      </c>
      <c r="P527" t="n">
        <v>0</v>
      </c>
      <c r="Q527" t="n">
        <v>0</v>
      </c>
      <c r="R527" s="2" t="inlineStr"/>
    </row>
    <row r="528" ht="15" customHeight="1">
      <c r="A528" t="inlineStr">
        <is>
          <t>A 52707-2022</t>
        </is>
      </c>
      <c r="B528" s="1" t="n">
        <v>44874</v>
      </c>
      <c r="C528" s="1" t="n">
        <v>45670</v>
      </c>
      <c r="D528" t="inlineStr">
        <is>
          <t>JÄMTLANDS LÄN</t>
        </is>
      </c>
      <c r="E528" t="inlineStr">
        <is>
          <t>ÅRE</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54615-2022</t>
        </is>
      </c>
      <c r="B529" s="1" t="n">
        <v>44883</v>
      </c>
      <c r="C529" s="1" t="n">
        <v>45670</v>
      </c>
      <c r="D529" t="inlineStr">
        <is>
          <t>JÄMTLANDS LÄN</t>
        </is>
      </c>
      <c r="E529" t="inlineStr">
        <is>
          <t>ÅRE</t>
        </is>
      </c>
      <c r="F529" t="inlineStr">
        <is>
          <t>Övriga Aktiebolag</t>
        </is>
      </c>
      <c r="G529" t="n">
        <v>5.1</v>
      </c>
      <c r="H529" t="n">
        <v>0</v>
      </c>
      <c r="I529" t="n">
        <v>0</v>
      </c>
      <c r="J529" t="n">
        <v>0</v>
      </c>
      <c r="K529" t="n">
        <v>0</v>
      </c>
      <c r="L529" t="n">
        <v>0</v>
      </c>
      <c r="M529" t="n">
        <v>0</v>
      </c>
      <c r="N529" t="n">
        <v>0</v>
      </c>
      <c r="O529" t="n">
        <v>0</v>
      </c>
      <c r="P529" t="n">
        <v>0</v>
      </c>
      <c r="Q529" t="n">
        <v>0</v>
      </c>
      <c r="R529" s="2" t="inlineStr"/>
    </row>
    <row r="530" ht="15" customHeight="1">
      <c r="A530" t="inlineStr">
        <is>
          <t>A 54611-2022</t>
        </is>
      </c>
      <c r="B530" s="1" t="n">
        <v>44883</v>
      </c>
      <c r="C530" s="1" t="n">
        <v>45670</v>
      </c>
      <c r="D530" t="inlineStr">
        <is>
          <t>JÄMTLANDS LÄN</t>
        </is>
      </c>
      <c r="E530" t="inlineStr">
        <is>
          <t>ÅRE</t>
        </is>
      </c>
      <c r="F530" t="inlineStr">
        <is>
          <t>Övriga Aktiebolag</t>
        </is>
      </c>
      <c r="G530" t="n">
        <v>11.7</v>
      </c>
      <c r="H530" t="n">
        <v>0</v>
      </c>
      <c r="I530" t="n">
        <v>0</v>
      </c>
      <c r="J530" t="n">
        <v>0</v>
      </c>
      <c r="K530" t="n">
        <v>0</v>
      </c>
      <c r="L530" t="n">
        <v>0</v>
      </c>
      <c r="M530" t="n">
        <v>0</v>
      </c>
      <c r="N530" t="n">
        <v>0</v>
      </c>
      <c r="O530" t="n">
        <v>0</v>
      </c>
      <c r="P530" t="n">
        <v>0</v>
      </c>
      <c r="Q530" t="n">
        <v>0</v>
      </c>
      <c r="R530" s="2" t="inlineStr"/>
    </row>
    <row r="531" ht="15" customHeight="1">
      <c r="A531" t="inlineStr">
        <is>
          <t>A 54904-2022</t>
        </is>
      </c>
      <c r="B531" s="1" t="n">
        <v>44886</v>
      </c>
      <c r="C531" s="1" t="n">
        <v>45670</v>
      </c>
      <c r="D531" t="inlineStr">
        <is>
          <t>JÄMTLANDS LÄN</t>
        </is>
      </c>
      <c r="E531" t="inlineStr">
        <is>
          <t>ÅRE</t>
        </is>
      </c>
      <c r="F531" t="inlineStr">
        <is>
          <t>Övriga Aktiebolag</t>
        </is>
      </c>
      <c r="G531" t="n">
        <v>12.2</v>
      </c>
      <c r="H531" t="n">
        <v>0</v>
      </c>
      <c r="I531" t="n">
        <v>0</v>
      </c>
      <c r="J531" t="n">
        <v>0</v>
      </c>
      <c r="K531" t="n">
        <v>0</v>
      </c>
      <c r="L531" t="n">
        <v>0</v>
      </c>
      <c r="M531" t="n">
        <v>0</v>
      </c>
      <c r="N531" t="n">
        <v>0</v>
      </c>
      <c r="O531" t="n">
        <v>0</v>
      </c>
      <c r="P531" t="n">
        <v>0</v>
      </c>
      <c r="Q531" t="n">
        <v>0</v>
      </c>
      <c r="R531" s="2" t="inlineStr"/>
    </row>
    <row r="532" ht="15" customHeight="1">
      <c r="A532" t="inlineStr">
        <is>
          <t>A 55230-2022</t>
        </is>
      </c>
      <c r="B532" s="1" t="n">
        <v>44887</v>
      </c>
      <c r="C532" s="1" t="n">
        <v>45670</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55235-2022</t>
        </is>
      </c>
      <c r="B533" s="1" t="n">
        <v>44887</v>
      </c>
      <c r="C533" s="1" t="n">
        <v>45670</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55229-2022</t>
        </is>
      </c>
      <c r="B534" s="1" t="n">
        <v>44887</v>
      </c>
      <c r="C534" s="1" t="n">
        <v>45670</v>
      </c>
      <c r="D534" t="inlineStr">
        <is>
          <t>JÄMTLANDS LÄN</t>
        </is>
      </c>
      <c r="E534" t="inlineStr">
        <is>
          <t>ÅRE</t>
        </is>
      </c>
      <c r="G534" t="n">
        <v>4.6</v>
      </c>
      <c r="H534" t="n">
        <v>0</v>
      </c>
      <c r="I534" t="n">
        <v>0</v>
      </c>
      <c r="J534" t="n">
        <v>0</v>
      </c>
      <c r="K534" t="n">
        <v>0</v>
      </c>
      <c r="L534" t="n">
        <v>0</v>
      </c>
      <c r="M534" t="n">
        <v>0</v>
      </c>
      <c r="N534" t="n">
        <v>0</v>
      </c>
      <c r="O534" t="n">
        <v>0</v>
      </c>
      <c r="P534" t="n">
        <v>0</v>
      </c>
      <c r="Q534" t="n">
        <v>0</v>
      </c>
      <c r="R534" s="2" t="inlineStr"/>
    </row>
    <row r="535" ht="15" customHeight="1">
      <c r="A535" t="inlineStr">
        <is>
          <t>A 55234-2022</t>
        </is>
      </c>
      <c r="B535" s="1" t="n">
        <v>44887</v>
      </c>
      <c r="C535" s="1" t="n">
        <v>45670</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55233-2022</t>
        </is>
      </c>
      <c r="B536" s="1" t="n">
        <v>44887</v>
      </c>
      <c r="C536" s="1" t="n">
        <v>45670</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55237-2022</t>
        </is>
      </c>
      <c r="B537" s="1" t="n">
        <v>44887</v>
      </c>
      <c r="C537" s="1" t="n">
        <v>45670</v>
      </c>
      <c r="D537" t="inlineStr">
        <is>
          <t>JÄMTLANDS LÄN</t>
        </is>
      </c>
      <c r="E537" t="inlineStr">
        <is>
          <t>ÅRE</t>
        </is>
      </c>
      <c r="G537" t="n">
        <v>1.8</v>
      </c>
      <c r="H537" t="n">
        <v>0</v>
      </c>
      <c r="I537" t="n">
        <v>0</v>
      </c>
      <c r="J537" t="n">
        <v>0</v>
      </c>
      <c r="K537" t="n">
        <v>0</v>
      </c>
      <c r="L537" t="n">
        <v>0</v>
      </c>
      <c r="M537" t="n">
        <v>0</v>
      </c>
      <c r="N537" t="n">
        <v>0</v>
      </c>
      <c r="O537" t="n">
        <v>0</v>
      </c>
      <c r="P537" t="n">
        <v>0</v>
      </c>
      <c r="Q537" t="n">
        <v>0</v>
      </c>
      <c r="R537" s="2" t="inlineStr"/>
    </row>
    <row r="538" ht="15" customHeight="1">
      <c r="A538" t="inlineStr">
        <is>
          <t>A 55232-2022</t>
        </is>
      </c>
      <c r="B538" s="1" t="n">
        <v>44887</v>
      </c>
      <c r="C538" s="1" t="n">
        <v>45670</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55236-2022</t>
        </is>
      </c>
      <c r="B539" s="1" t="n">
        <v>44887</v>
      </c>
      <c r="C539" s="1" t="n">
        <v>45670</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56182-2022</t>
        </is>
      </c>
      <c r="B540" s="1" t="n">
        <v>44889</v>
      </c>
      <c r="C540" s="1" t="n">
        <v>45670</v>
      </c>
      <c r="D540" t="inlineStr">
        <is>
          <t>JÄMTLANDS LÄN</t>
        </is>
      </c>
      <c r="E540" t="inlineStr">
        <is>
          <t>ÅRE</t>
        </is>
      </c>
      <c r="G540" t="n">
        <v>42.3</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45670</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56254-2022</t>
        </is>
      </c>
      <c r="B542" s="1" t="n">
        <v>44890</v>
      </c>
      <c r="C542" s="1" t="n">
        <v>45670</v>
      </c>
      <c r="D542" t="inlineStr">
        <is>
          <t>JÄMTLANDS LÄN</t>
        </is>
      </c>
      <c r="E542" t="inlineStr">
        <is>
          <t>ÅRE</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56659-2022</t>
        </is>
      </c>
      <c r="B543" s="1" t="n">
        <v>44893</v>
      </c>
      <c r="C543" s="1" t="n">
        <v>45670</v>
      </c>
      <c r="D543" t="inlineStr">
        <is>
          <t>JÄMTLANDS LÄN</t>
        </is>
      </c>
      <c r="E543" t="inlineStr">
        <is>
          <t>ÅRE</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56508-2022</t>
        </is>
      </c>
      <c r="B544" s="1" t="n">
        <v>44893</v>
      </c>
      <c r="C544" s="1" t="n">
        <v>45670</v>
      </c>
      <c r="D544" t="inlineStr">
        <is>
          <t>JÄMTLANDS LÄN</t>
        </is>
      </c>
      <c r="E544" t="inlineStr">
        <is>
          <t>ÅRE</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45670</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56556-2022</t>
        </is>
      </c>
      <c r="B546" s="1" t="n">
        <v>44893</v>
      </c>
      <c r="C546" s="1" t="n">
        <v>45670</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56650-2022</t>
        </is>
      </c>
      <c r="B547" s="1" t="n">
        <v>44893</v>
      </c>
      <c r="C547" s="1" t="n">
        <v>45670</v>
      </c>
      <c r="D547" t="inlineStr">
        <is>
          <t>JÄMTLANDS LÄN</t>
        </is>
      </c>
      <c r="E547" t="inlineStr">
        <is>
          <t>ÅRE</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56581-2022</t>
        </is>
      </c>
      <c r="B548" s="1" t="n">
        <v>44893</v>
      </c>
      <c r="C548" s="1" t="n">
        <v>45670</v>
      </c>
      <c r="D548" t="inlineStr">
        <is>
          <t>JÄMTLANDS LÄN</t>
        </is>
      </c>
      <c r="E548" t="inlineStr">
        <is>
          <t>ÅRE</t>
        </is>
      </c>
      <c r="F548" t="inlineStr">
        <is>
          <t>Övriga Aktiebolag</t>
        </is>
      </c>
      <c r="G548" t="n">
        <v>2.8</v>
      </c>
      <c r="H548" t="n">
        <v>0</v>
      </c>
      <c r="I548" t="n">
        <v>0</v>
      </c>
      <c r="J548" t="n">
        <v>0</v>
      </c>
      <c r="K548" t="n">
        <v>0</v>
      </c>
      <c r="L548" t="n">
        <v>0</v>
      </c>
      <c r="M548" t="n">
        <v>0</v>
      </c>
      <c r="N548" t="n">
        <v>0</v>
      </c>
      <c r="O548" t="n">
        <v>0</v>
      </c>
      <c r="P548" t="n">
        <v>0</v>
      </c>
      <c r="Q548" t="n">
        <v>0</v>
      </c>
      <c r="R548" s="2" t="inlineStr"/>
    </row>
    <row r="549" ht="15" customHeight="1">
      <c r="A549" t="inlineStr">
        <is>
          <t>A 56673-2022</t>
        </is>
      </c>
      <c r="B549" s="1" t="n">
        <v>44893</v>
      </c>
      <c r="C549" s="1" t="n">
        <v>45670</v>
      </c>
      <c r="D549" t="inlineStr">
        <is>
          <t>JÄMTLANDS LÄN</t>
        </is>
      </c>
      <c r="E549" t="inlineStr">
        <is>
          <t>ÅRE</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58337-2022</t>
        </is>
      </c>
      <c r="B550" s="1" t="n">
        <v>44893</v>
      </c>
      <c r="C550" s="1" t="n">
        <v>45670</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56811-2022</t>
        </is>
      </c>
      <c r="B551" s="1" t="n">
        <v>44894</v>
      </c>
      <c r="C551" s="1" t="n">
        <v>45670</v>
      </c>
      <c r="D551" t="inlineStr">
        <is>
          <t>JÄMTLANDS LÄN</t>
        </is>
      </c>
      <c r="E551" t="inlineStr">
        <is>
          <t>ÅRE</t>
        </is>
      </c>
      <c r="F551" t="inlineStr">
        <is>
          <t>Övriga Aktiebolag</t>
        </is>
      </c>
      <c r="G551" t="n">
        <v>34</v>
      </c>
      <c r="H551" t="n">
        <v>0</v>
      </c>
      <c r="I551" t="n">
        <v>0</v>
      </c>
      <c r="J551" t="n">
        <v>0</v>
      </c>
      <c r="K551" t="n">
        <v>0</v>
      </c>
      <c r="L551" t="n">
        <v>0</v>
      </c>
      <c r="M551" t="n">
        <v>0</v>
      </c>
      <c r="N551" t="n">
        <v>0</v>
      </c>
      <c r="O551" t="n">
        <v>0</v>
      </c>
      <c r="P551" t="n">
        <v>0</v>
      </c>
      <c r="Q551" t="n">
        <v>0</v>
      </c>
      <c r="R551" s="2" t="inlineStr"/>
    </row>
    <row r="552" ht="15" customHeight="1">
      <c r="A552" t="inlineStr">
        <is>
          <t>A 56910-2022</t>
        </is>
      </c>
      <c r="B552" s="1" t="n">
        <v>44894</v>
      </c>
      <c r="C552" s="1" t="n">
        <v>45670</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56828-2022</t>
        </is>
      </c>
      <c r="B553" s="1" t="n">
        <v>44894</v>
      </c>
      <c r="C553" s="1" t="n">
        <v>45670</v>
      </c>
      <c r="D553" t="inlineStr">
        <is>
          <t>JÄMTLANDS LÄN</t>
        </is>
      </c>
      <c r="E553" t="inlineStr">
        <is>
          <t>ÅRE</t>
        </is>
      </c>
      <c r="F553" t="inlineStr">
        <is>
          <t>Övriga Aktiebolag</t>
        </is>
      </c>
      <c r="G553" t="n">
        <v>9.9</v>
      </c>
      <c r="H553" t="n">
        <v>0</v>
      </c>
      <c r="I553" t="n">
        <v>0</v>
      </c>
      <c r="J553" t="n">
        <v>0</v>
      </c>
      <c r="K553" t="n">
        <v>0</v>
      </c>
      <c r="L553" t="n">
        <v>0</v>
      </c>
      <c r="M553" t="n">
        <v>0</v>
      </c>
      <c r="N553" t="n">
        <v>0</v>
      </c>
      <c r="O553" t="n">
        <v>0</v>
      </c>
      <c r="P553" t="n">
        <v>0</v>
      </c>
      <c r="Q553" t="n">
        <v>0</v>
      </c>
      <c r="R553" s="2" t="inlineStr"/>
    </row>
    <row r="554" ht="15" customHeight="1">
      <c r="A554" t="inlineStr">
        <is>
          <t>A 56842-2022</t>
        </is>
      </c>
      <c r="B554" s="1" t="n">
        <v>44894</v>
      </c>
      <c r="C554" s="1" t="n">
        <v>45670</v>
      </c>
      <c r="D554" t="inlineStr">
        <is>
          <t>JÄMTLANDS LÄN</t>
        </is>
      </c>
      <c r="E554" t="inlineStr">
        <is>
          <t>ÅRE</t>
        </is>
      </c>
      <c r="F554" t="inlineStr">
        <is>
          <t>Övriga Aktiebolag</t>
        </is>
      </c>
      <c r="G554" t="n">
        <v>7.9</v>
      </c>
      <c r="H554" t="n">
        <v>0</v>
      </c>
      <c r="I554" t="n">
        <v>0</v>
      </c>
      <c r="J554" t="n">
        <v>0</v>
      </c>
      <c r="K554" t="n">
        <v>0</v>
      </c>
      <c r="L554" t="n">
        <v>0</v>
      </c>
      <c r="M554" t="n">
        <v>0</v>
      </c>
      <c r="N554" t="n">
        <v>0</v>
      </c>
      <c r="O554" t="n">
        <v>0</v>
      </c>
      <c r="P554" t="n">
        <v>0</v>
      </c>
      <c r="Q554" t="n">
        <v>0</v>
      </c>
      <c r="R554" s="2" t="inlineStr"/>
    </row>
    <row r="555" ht="15" customHeight="1">
      <c r="A555" t="inlineStr">
        <is>
          <t>A 56835-2022</t>
        </is>
      </c>
      <c r="B555" s="1" t="n">
        <v>44894</v>
      </c>
      <c r="C555" s="1" t="n">
        <v>45670</v>
      </c>
      <c r="D555" t="inlineStr">
        <is>
          <t>JÄMTLANDS LÄN</t>
        </is>
      </c>
      <c r="E555" t="inlineStr">
        <is>
          <t>ÅRE</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56837-2022</t>
        </is>
      </c>
      <c r="B556" s="1" t="n">
        <v>44894</v>
      </c>
      <c r="C556" s="1" t="n">
        <v>45670</v>
      </c>
      <c r="D556" t="inlineStr">
        <is>
          <t>JÄMTLANDS LÄN</t>
        </is>
      </c>
      <c r="E556" t="inlineStr">
        <is>
          <t>ÅRE</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57394-2022</t>
        </is>
      </c>
      <c r="B557" s="1" t="n">
        <v>44896</v>
      </c>
      <c r="C557" s="1" t="n">
        <v>45670</v>
      </c>
      <c r="D557" t="inlineStr">
        <is>
          <t>JÄMTLANDS LÄN</t>
        </is>
      </c>
      <c r="E557" t="inlineStr">
        <is>
          <t>ÅRE</t>
        </is>
      </c>
      <c r="G557" t="n">
        <v>5.8</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45670</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58882-2022</t>
        </is>
      </c>
      <c r="B559" s="1" t="n">
        <v>44896</v>
      </c>
      <c r="C559" s="1" t="n">
        <v>45670</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58513-2022</t>
        </is>
      </c>
      <c r="B560" s="1" t="n">
        <v>44902</v>
      </c>
      <c r="C560" s="1" t="n">
        <v>45670</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58516-2022</t>
        </is>
      </c>
      <c r="B561" s="1" t="n">
        <v>44902</v>
      </c>
      <c r="C561" s="1" t="n">
        <v>45670</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58758-2022</t>
        </is>
      </c>
      <c r="B562" s="1" t="n">
        <v>44903</v>
      </c>
      <c r="C562" s="1" t="n">
        <v>45670</v>
      </c>
      <c r="D562" t="inlineStr">
        <is>
          <t>JÄMTLANDS LÄN</t>
        </is>
      </c>
      <c r="E562" t="inlineStr">
        <is>
          <t>ÅRE</t>
        </is>
      </c>
      <c r="F562" t="inlineStr">
        <is>
          <t>Övriga Aktiebolag</t>
        </is>
      </c>
      <c r="G562" t="n">
        <v>42.9</v>
      </c>
      <c r="H562" t="n">
        <v>0</v>
      </c>
      <c r="I562" t="n">
        <v>0</v>
      </c>
      <c r="J562" t="n">
        <v>0</v>
      </c>
      <c r="K562" t="n">
        <v>0</v>
      </c>
      <c r="L562" t="n">
        <v>0</v>
      </c>
      <c r="M562" t="n">
        <v>0</v>
      </c>
      <c r="N562" t="n">
        <v>0</v>
      </c>
      <c r="O562" t="n">
        <v>0</v>
      </c>
      <c r="P562" t="n">
        <v>0</v>
      </c>
      <c r="Q562" t="n">
        <v>0</v>
      </c>
      <c r="R562" s="2" t="inlineStr"/>
    </row>
    <row r="563" ht="15" customHeight="1">
      <c r="A563" t="inlineStr">
        <is>
          <t>A 58856-2022</t>
        </is>
      </c>
      <c r="B563" s="1" t="n">
        <v>44903</v>
      </c>
      <c r="C563" s="1" t="n">
        <v>45670</v>
      </c>
      <c r="D563" t="inlineStr">
        <is>
          <t>JÄMTLANDS LÄN</t>
        </is>
      </c>
      <c r="E563" t="inlineStr">
        <is>
          <t>ÅRE</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45670</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58845-2022</t>
        </is>
      </c>
      <c r="B565" s="1" t="n">
        <v>44903</v>
      </c>
      <c r="C565" s="1" t="n">
        <v>45670</v>
      </c>
      <c r="D565" t="inlineStr">
        <is>
          <t>JÄMTLANDS LÄN</t>
        </is>
      </c>
      <c r="E565" t="inlineStr">
        <is>
          <t>ÅRE</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59163-2022</t>
        </is>
      </c>
      <c r="B566" s="1" t="n">
        <v>44904</v>
      </c>
      <c r="C566" s="1" t="n">
        <v>45670</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60540-2022</t>
        </is>
      </c>
      <c r="B567" s="1" t="n">
        <v>44904</v>
      </c>
      <c r="C567" s="1" t="n">
        <v>45670</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59387-2022</t>
        </is>
      </c>
      <c r="B568" s="1" t="n">
        <v>44905</v>
      </c>
      <c r="C568" s="1" t="n">
        <v>45670</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45670</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60899-2022</t>
        </is>
      </c>
      <c r="B570" s="1" t="n">
        <v>44908</v>
      </c>
      <c r="C570" s="1" t="n">
        <v>45670</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60944-2022</t>
        </is>
      </c>
      <c r="B571" s="1" t="n">
        <v>44908</v>
      </c>
      <c r="C571" s="1" t="n">
        <v>45670</v>
      </c>
      <c r="D571" t="inlineStr">
        <is>
          <t>JÄMTLANDS LÄN</t>
        </is>
      </c>
      <c r="E571" t="inlineStr">
        <is>
          <t>ÅRE</t>
        </is>
      </c>
      <c r="G571" t="n">
        <v>6</v>
      </c>
      <c r="H571" t="n">
        <v>0</v>
      </c>
      <c r="I571" t="n">
        <v>0</v>
      </c>
      <c r="J571" t="n">
        <v>0</v>
      </c>
      <c r="K571" t="n">
        <v>0</v>
      </c>
      <c r="L571" t="n">
        <v>0</v>
      </c>
      <c r="M571" t="n">
        <v>0</v>
      </c>
      <c r="N571" t="n">
        <v>0</v>
      </c>
      <c r="O571" t="n">
        <v>0</v>
      </c>
      <c r="P571" t="n">
        <v>0</v>
      </c>
      <c r="Q571" t="n">
        <v>0</v>
      </c>
      <c r="R571" s="2" t="inlineStr"/>
    </row>
    <row r="572" ht="15" customHeight="1">
      <c r="A572" t="inlineStr">
        <is>
          <t>A 60921-2022</t>
        </is>
      </c>
      <c r="B572" s="1" t="n">
        <v>44908</v>
      </c>
      <c r="C572" s="1" t="n">
        <v>45670</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60941-2022</t>
        </is>
      </c>
      <c r="B573" s="1" t="n">
        <v>44908</v>
      </c>
      <c r="C573" s="1" t="n">
        <v>45670</v>
      </c>
      <c r="D573" t="inlineStr">
        <is>
          <t>JÄMTLANDS LÄN</t>
        </is>
      </c>
      <c r="E573" t="inlineStr">
        <is>
          <t>ÅRE</t>
        </is>
      </c>
      <c r="G573" t="n">
        <v>1.6</v>
      </c>
      <c r="H573" t="n">
        <v>0</v>
      </c>
      <c r="I573" t="n">
        <v>0</v>
      </c>
      <c r="J573" t="n">
        <v>0</v>
      </c>
      <c r="K573" t="n">
        <v>0</v>
      </c>
      <c r="L573" t="n">
        <v>0</v>
      </c>
      <c r="M573" t="n">
        <v>0</v>
      </c>
      <c r="N573" t="n">
        <v>0</v>
      </c>
      <c r="O573" t="n">
        <v>0</v>
      </c>
      <c r="P573" t="n">
        <v>0</v>
      </c>
      <c r="Q573" t="n">
        <v>0</v>
      </c>
      <c r="R573" s="2" t="inlineStr"/>
    </row>
    <row r="574" ht="15" customHeight="1">
      <c r="A574" t="inlineStr">
        <is>
          <t>A 61340-2022</t>
        </is>
      </c>
      <c r="B574" s="1" t="n">
        <v>44909</v>
      </c>
      <c r="C574" s="1" t="n">
        <v>45670</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61481-2022</t>
        </is>
      </c>
      <c r="B575" s="1" t="n">
        <v>44910</v>
      </c>
      <c r="C575" s="1" t="n">
        <v>45670</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60426-2022</t>
        </is>
      </c>
      <c r="B576" s="1" t="n">
        <v>44911</v>
      </c>
      <c r="C576" s="1" t="n">
        <v>45670</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60437-2022</t>
        </is>
      </c>
      <c r="B577" s="1" t="n">
        <v>44911</v>
      </c>
      <c r="C577" s="1" t="n">
        <v>45670</v>
      </c>
      <c r="D577" t="inlineStr">
        <is>
          <t>JÄMTLANDS LÄN</t>
        </is>
      </c>
      <c r="E577" t="inlineStr">
        <is>
          <t>ÅRE</t>
        </is>
      </c>
      <c r="F577" t="inlineStr">
        <is>
          <t>Övriga Aktiebolag</t>
        </is>
      </c>
      <c r="G577" t="n">
        <v>9.4</v>
      </c>
      <c r="H577" t="n">
        <v>0</v>
      </c>
      <c r="I577" t="n">
        <v>0</v>
      </c>
      <c r="J577" t="n">
        <v>0</v>
      </c>
      <c r="K577" t="n">
        <v>0</v>
      </c>
      <c r="L577" t="n">
        <v>0</v>
      </c>
      <c r="M577" t="n">
        <v>0</v>
      </c>
      <c r="N577" t="n">
        <v>0</v>
      </c>
      <c r="O577" t="n">
        <v>0</v>
      </c>
      <c r="P577" t="n">
        <v>0</v>
      </c>
      <c r="Q577" t="n">
        <v>0</v>
      </c>
      <c r="R577" s="2" t="inlineStr"/>
    </row>
    <row r="578" ht="15" customHeight="1">
      <c r="A578" t="inlineStr">
        <is>
          <t>A 61789-2022</t>
        </is>
      </c>
      <c r="B578" s="1" t="n">
        <v>44917</v>
      </c>
      <c r="C578" s="1" t="n">
        <v>45670</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61784-2022</t>
        </is>
      </c>
      <c r="B579" s="1" t="n">
        <v>44917</v>
      </c>
      <c r="C579" s="1" t="n">
        <v>45670</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61925-2022</t>
        </is>
      </c>
      <c r="B580" s="1" t="n">
        <v>44917</v>
      </c>
      <c r="C580" s="1" t="n">
        <v>45670</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61930-2022</t>
        </is>
      </c>
      <c r="B581" s="1" t="n">
        <v>44917</v>
      </c>
      <c r="C581" s="1" t="n">
        <v>45670</v>
      </c>
      <c r="D581" t="inlineStr">
        <is>
          <t>JÄMTLANDS LÄN</t>
        </is>
      </c>
      <c r="E581" t="inlineStr">
        <is>
          <t>ÅRE</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45670</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45670</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61931-2022</t>
        </is>
      </c>
      <c r="B584" s="1" t="n">
        <v>44917</v>
      </c>
      <c r="C584" s="1" t="n">
        <v>45670</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62520-2022</t>
        </is>
      </c>
      <c r="B585" s="1" t="n">
        <v>44924</v>
      </c>
      <c r="C585" s="1" t="n">
        <v>45670</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62528-2022</t>
        </is>
      </c>
      <c r="B586" s="1" t="n">
        <v>44924</v>
      </c>
      <c r="C586" s="1" t="n">
        <v>45670</v>
      </c>
      <c r="D586" t="inlineStr">
        <is>
          <t>JÄMTLANDS LÄN</t>
        </is>
      </c>
      <c r="E586" t="inlineStr">
        <is>
          <t>ÅRE</t>
        </is>
      </c>
      <c r="G586" t="n">
        <v>5.3</v>
      </c>
      <c r="H586" t="n">
        <v>0</v>
      </c>
      <c r="I586" t="n">
        <v>0</v>
      </c>
      <c r="J586" t="n">
        <v>0</v>
      </c>
      <c r="K586" t="n">
        <v>0</v>
      </c>
      <c r="L586" t="n">
        <v>0</v>
      </c>
      <c r="M586" t="n">
        <v>0</v>
      </c>
      <c r="N586" t="n">
        <v>0</v>
      </c>
      <c r="O586" t="n">
        <v>0</v>
      </c>
      <c r="P586" t="n">
        <v>0</v>
      </c>
      <c r="Q586" t="n">
        <v>0</v>
      </c>
      <c r="R586" s="2" t="inlineStr"/>
    </row>
    <row r="587" ht="15" customHeight="1">
      <c r="A587" t="inlineStr">
        <is>
          <t>A 62582-2022</t>
        </is>
      </c>
      <c r="B587" s="1" t="n">
        <v>44924</v>
      </c>
      <c r="C587" s="1" t="n">
        <v>45670</v>
      </c>
      <c r="D587" t="inlineStr">
        <is>
          <t>JÄMTLANDS LÄN</t>
        </is>
      </c>
      <c r="E587" t="inlineStr">
        <is>
          <t>ÅRE</t>
        </is>
      </c>
      <c r="F587" t="inlineStr">
        <is>
          <t>Övriga Aktiebolag</t>
        </is>
      </c>
      <c r="G587" t="n">
        <v>6.9</v>
      </c>
      <c r="H587" t="n">
        <v>0</v>
      </c>
      <c r="I587" t="n">
        <v>0</v>
      </c>
      <c r="J587" t="n">
        <v>0</v>
      </c>
      <c r="K587" t="n">
        <v>0</v>
      </c>
      <c r="L587" t="n">
        <v>0</v>
      </c>
      <c r="M587" t="n">
        <v>0</v>
      </c>
      <c r="N587" t="n">
        <v>0</v>
      </c>
      <c r="O587" t="n">
        <v>0</v>
      </c>
      <c r="P587" t="n">
        <v>0</v>
      </c>
      <c r="Q587" t="n">
        <v>0</v>
      </c>
      <c r="R587" s="2" t="inlineStr"/>
    </row>
    <row r="588" ht="15" customHeight="1">
      <c r="A588" t="inlineStr">
        <is>
          <t>A 34-2023</t>
        </is>
      </c>
      <c r="B588" s="1" t="n">
        <v>44928</v>
      </c>
      <c r="C588" s="1" t="n">
        <v>45670</v>
      </c>
      <c r="D588" t="inlineStr">
        <is>
          <t>JÄMTLANDS LÄN</t>
        </is>
      </c>
      <c r="E588" t="inlineStr">
        <is>
          <t>ÅRE</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278-2023</t>
        </is>
      </c>
      <c r="B589" s="1" t="n">
        <v>44928</v>
      </c>
      <c r="C589" s="1" t="n">
        <v>45670</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45670</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772-2023</t>
        </is>
      </c>
      <c r="B591" s="1" t="n">
        <v>44931</v>
      </c>
      <c r="C591" s="1" t="n">
        <v>45670</v>
      </c>
      <c r="D591" t="inlineStr">
        <is>
          <t>JÄMTLANDS LÄN</t>
        </is>
      </c>
      <c r="E591" t="inlineStr">
        <is>
          <t>ÅRE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844-2023</t>
        </is>
      </c>
      <c r="B592" s="1" t="n">
        <v>44931</v>
      </c>
      <c r="C592" s="1" t="n">
        <v>45670</v>
      </c>
      <c r="D592" t="inlineStr">
        <is>
          <t>JÄMTLANDS LÄN</t>
        </is>
      </c>
      <c r="E592" t="inlineStr">
        <is>
          <t>ÅRE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848-2023</t>
        </is>
      </c>
      <c r="B593" s="1" t="n">
        <v>44931</v>
      </c>
      <c r="C593" s="1" t="n">
        <v>45670</v>
      </c>
      <c r="D593" t="inlineStr">
        <is>
          <t>JÄMTLANDS LÄN</t>
        </is>
      </c>
      <c r="E593" t="inlineStr">
        <is>
          <t>ÅRE</t>
        </is>
      </c>
      <c r="F593" t="inlineStr">
        <is>
          <t>Övriga Aktiebolag</t>
        </is>
      </c>
      <c r="G593" t="n">
        <v>5.1</v>
      </c>
      <c r="H593" t="n">
        <v>0</v>
      </c>
      <c r="I593" t="n">
        <v>0</v>
      </c>
      <c r="J593" t="n">
        <v>0</v>
      </c>
      <c r="K593" t="n">
        <v>0</v>
      </c>
      <c r="L593" t="n">
        <v>0</v>
      </c>
      <c r="M593" t="n">
        <v>0</v>
      </c>
      <c r="N593" t="n">
        <v>0</v>
      </c>
      <c r="O593" t="n">
        <v>0</v>
      </c>
      <c r="P593" t="n">
        <v>0</v>
      </c>
      <c r="Q593" t="n">
        <v>0</v>
      </c>
      <c r="R593" s="2" t="inlineStr"/>
    </row>
    <row r="594" ht="15" customHeight="1">
      <c r="A594" t="inlineStr">
        <is>
          <t>A 796-2023</t>
        </is>
      </c>
      <c r="B594" s="1" t="n">
        <v>44931</v>
      </c>
      <c r="C594" s="1" t="n">
        <v>45670</v>
      </c>
      <c r="D594" t="inlineStr">
        <is>
          <t>JÄMTLANDS LÄN</t>
        </is>
      </c>
      <c r="E594" t="inlineStr">
        <is>
          <t>ÅRE</t>
        </is>
      </c>
      <c r="F594" t="inlineStr">
        <is>
          <t>Övriga Aktiebolag</t>
        </is>
      </c>
      <c r="G594" t="n">
        <v>13.8</v>
      </c>
      <c r="H594" t="n">
        <v>0</v>
      </c>
      <c r="I594" t="n">
        <v>0</v>
      </c>
      <c r="J594" t="n">
        <v>0</v>
      </c>
      <c r="K594" t="n">
        <v>0</v>
      </c>
      <c r="L594" t="n">
        <v>0</v>
      </c>
      <c r="M594" t="n">
        <v>0</v>
      </c>
      <c r="N594" t="n">
        <v>0</v>
      </c>
      <c r="O594" t="n">
        <v>0</v>
      </c>
      <c r="P594" t="n">
        <v>0</v>
      </c>
      <c r="Q594" t="n">
        <v>0</v>
      </c>
      <c r="R594" s="2" t="inlineStr"/>
    </row>
    <row r="595" ht="15" customHeight="1">
      <c r="A595" t="inlineStr">
        <is>
          <t>A 837-2023</t>
        </is>
      </c>
      <c r="B595" s="1" t="n">
        <v>44931</v>
      </c>
      <c r="C595" s="1" t="n">
        <v>45670</v>
      </c>
      <c r="D595" t="inlineStr">
        <is>
          <t>JÄMTLANDS LÄN</t>
        </is>
      </c>
      <c r="E595" t="inlineStr">
        <is>
          <t>ÅRE</t>
        </is>
      </c>
      <c r="F595" t="inlineStr">
        <is>
          <t>Övriga Aktiebolag</t>
        </is>
      </c>
      <c r="G595" t="n">
        <v>5.2</v>
      </c>
      <c r="H595" t="n">
        <v>0</v>
      </c>
      <c r="I595" t="n">
        <v>0</v>
      </c>
      <c r="J595" t="n">
        <v>0</v>
      </c>
      <c r="K595" t="n">
        <v>0</v>
      </c>
      <c r="L595" t="n">
        <v>0</v>
      </c>
      <c r="M595" t="n">
        <v>0</v>
      </c>
      <c r="N595" t="n">
        <v>0</v>
      </c>
      <c r="O595" t="n">
        <v>0</v>
      </c>
      <c r="P595" t="n">
        <v>0</v>
      </c>
      <c r="Q595" t="n">
        <v>0</v>
      </c>
      <c r="R595" s="2" t="inlineStr"/>
    </row>
    <row r="596" ht="15" customHeight="1">
      <c r="A596" t="inlineStr">
        <is>
          <t>A 1159-2023</t>
        </is>
      </c>
      <c r="B596" s="1" t="n">
        <v>44935</v>
      </c>
      <c r="C596" s="1" t="n">
        <v>45670</v>
      </c>
      <c r="D596" t="inlineStr">
        <is>
          <t>JÄMTLANDS LÄN</t>
        </is>
      </c>
      <c r="E596" t="inlineStr">
        <is>
          <t>ÅRE</t>
        </is>
      </c>
      <c r="G596" t="n">
        <v>6.4</v>
      </c>
      <c r="H596" t="n">
        <v>0</v>
      </c>
      <c r="I596" t="n">
        <v>0</v>
      </c>
      <c r="J596" t="n">
        <v>0</v>
      </c>
      <c r="K596" t="n">
        <v>0</v>
      </c>
      <c r="L596" t="n">
        <v>0</v>
      </c>
      <c r="M596" t="n">
        <v>0</v>
      </c>
      <c r="N596" t="n">
        <v>0</v>
      </c>
      <c r="O596" t="n">
        <v>0</v>
      </c>
      <c r="P596" t="n">
        <v>0</v>
      </c>
      <c r="Q596" t="n">
        <v>0</v>
      </c>
      <c r="R596" s="2" t="inlineStr"/>
    </row>
    <row r="597" ht="15" customHeight="1">
      <c r="A597" t="inlineStr">
        <is>
          <t>A 1414-2023</t>
        </is>
      </c>
      <c r="B597" s="1" t="n">
        <v>44936</v>
      </c>
      <c r="C597" s="1" t="n">
        <v>45670</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1806-2023</t>
        </is>
      </c>
      <c r="B598" s="1" t="n">
        <v>44938</v>
      </c>
      <c r="C598" s="1" t="n">
        <v>45670</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2374-2023</t>
        </is>
      </c>
      <c r="B599" s="1" t="n">
        <v>44942</v>
      </c>
      <c r="C599" s="1" t="n">
        <v>45670</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2376-2023</t>
        </is>
      </c>
      <c r="B600" s="1" t="n">
        <v>44942</v>
      </c>
      <c r="C600" s="1" t="n">
        <v>45670</v>
      </c>
      <c r="D600" t="inlineStr">
        <is>
          <t>JÄMTLANDS LÄN</t>
        </is>
      </c>
      <c r="E600" t="inlineStr">
        <is>
          <t>ÅRE</t>
        </is>
      </c>
      <c r="G600" t="n">
        <v>0.1</v>
      </c>
      <c r="H600" t="n">
        <v>0</v>
      </c>
      <c r="I600" t="n">
        <v>0</v>
      </c>
      <c r="J600" t="n">
        <v>0</v>
      </c>
      <c r="K600" t="n">
        <v>0</v>
      </c>
      <c r="L600" t="n">
        <v>0</v>
      </c>
      <c r="M600" t="n">
        <v>0</v>
      </c>
      <c r="N600" t="n">
        <v>0</v>
      </c>
      <c r="O600" t="n">
        <v>0</v>
      </c>
      <c r="P600" t="n">
        <v>0</v>
      </c>
      <c r="Q600" t="n">
        <v>0</v>
      </c>
      <c r="R600" s="2" t="inlineStr"/>
    </row>
    <row r="601" ht="15" customHeight="1">
      <c r="A601" t="inlineStr">
        <is>
          <t>A 3149-2023</t>
        </is>
      </c>
      <c r="B601" s="1" t="n">
        <v>44946</v>
      </c>
      <c r="C601" s="1" t="n">
        <v>45670</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3066-2023</t>
        </is>
      </c>
      <c r="B602" s="1" t="n">
        <v>44946</v>
      </c>
      <c r="C602" s="1" t="n">
        <v>45670</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45670</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3154-2023</t>
        </is>
      </c>
      <c r="B604" s="1" t="n">
        <v>44946</v>
      </c>
      <c r="C604" s="1" t="n">
        <v>45670</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3196-2023</t>
        </is>
      </c>
      <c r="B605" s="1" t="n">
        <v>44946</v>
      </c>
      <c r="C605" s="1" t="n">
        <v>45670</v>
      </c>
      <c r="D605" t="inlineStr">
        <is>
          <t>JÄMTLANDS LÄN</t>
        </is>
      </c>
      <c r="E605" t="inlineStr">
        <is>
          <t>ÅRE</t>
        </is>
      </c>
      <c r="G605" t="n">
        <v>5.1</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45670</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44949</v>
      </c>
      <c r="C607" s="1" t="n">
        <v>45670</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5651-2023</t>
        </is>
      </c>
      <c r="B608" s="1" t="n">
        <v>44958</v>
      </c>
      <c r="C608" s="1" t="n">
        <v>45670</v>
      </c>
      <c r="D608" t="inlineStr">
        <is>
          <t>JÄMTLANDS LÄN</t>
        </is>
      </c>
      <c r="E608" t="inlineStr">
        <is>
          <t>ÅRE</t>
        </is>
      </c>
      <c r="G608" t="n">
        <v>5.7</v>
      </c>
      <c r="H608" t="n">
        <v>0</v>
      </c>
      <c r="I608" t="n">
        <v>0</v>
      </c>
      <c r="J608" t="n">
        <v>0</v>
      </c>
      <c r="K608" t="n">
        <v>0</v>
      </c>
      <c r="L608" t="n">
        <v>0</v>
      </c>
      <c r="M608" t="n">
        <v>0</v>
      </c>
      <c r="N608" t="n">
        <v>0</v>
      </c>
      <c r="O608" t="n">
        <v>0</v>
      </c>
      <c r="P608" t="n">
        <v>0</v>
      </c>
      <c r="Q608" t="n">
        <v>0</v>
      </c>
      <c r="R608" s="2" t="inlineStr"/>
    </row>
    <row r="609" ht="15" customHeight="1">
      <c r="A609" t="inlineStr">
        <is>
          <t>A 5654-2023</t>
        </is>
      </c>
      <c r="B609" s="1" t="n">
        <v>44958</v>
      </c>
      <c r="C609" s="1" t="n">
        <v>45670</v>
      </c>
      <c r="D609" t="inlineStr">
        <is>
          <t>JÄMTLANDS LÄN</t>
        </is>
      </c>
      <c r="E609" t="inlineStr">
        <is>
          <t>ÅRE</t>
        </is>
      </c>
      <c r="G609" t="n">
        <v>14.4</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45670</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45670</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45670</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45670</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45670</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45670</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45670</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45670</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45670</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45670</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45670</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45670</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45670</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45670</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45670</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45670</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45670</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45670</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45670</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45670</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45670</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45670</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45670</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45670</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45670</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45670</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45670</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45670</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45670</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45670</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45670</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45670</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45670</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45670</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45670</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45670</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45670</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45670</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45670</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45670</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45670</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45670</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45670</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45670</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45670</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45670</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45670</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45670</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45670</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45670</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45670</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45670</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45670</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45670</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45670</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45670</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45670</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45670</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45670</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45670</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45670</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45670</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45670</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45670</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45670</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45670</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45670</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45670</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45670</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45670</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45670</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45670</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45670</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45670</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45670</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45670</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45670</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45670</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45670</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45670</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45670</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45670</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45670</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45670</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45670</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45670</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45670</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45670</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45670</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45670</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45670</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45670</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45670</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45670</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45670</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45670</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45670</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45670</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45670</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45670</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45670</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45670</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45670</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45670</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45670</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45670</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45670</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45670</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45670</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45670</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45670</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45670</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45670</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45670</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45670</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45670</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45670</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45670</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45670</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45670</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45670</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45670</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45670</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45670</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45670</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45670</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45670</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45670</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45670</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45670</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45670</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45670</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45670</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45670</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45670</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45670</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45670</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59916-2023</t>
        </is>
      </c>
      <c r="B747" s="1" t="n">
        <v>45257</v>
      </c>
      <c r="C747" s="1" t="n">
        <v>45670</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45670</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45670</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45670</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45670</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45670</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60973-2023</t>
        </is>
      </c>
      <c r="B753" s="1" t="n">
        <v>45261</v>
      </c>
      <c r="C753" s="1" t="n">
        <v>45670</v>
      </c>
      <c r="D753" t="inlineStr">
        <is>
          <t>JÄMTLANDS LÄN</t>
        </is>
      </c>
      <c r="E753" t="inlineStr">
        <is>
          <t>ÅRE</t>
        </is>
      </c>
      <c r="G753" t="n">
        <v>3.1</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45670</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45670</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45670</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61295-2023</t>
        </is>
      </c>
      <c r="B757" s="1" t="n">
        <v>45264</v>
      </c>
      <c r="C757" s="1" t="n">
        <v>45670</v>
      </c>
      <c r="D757" t="inlineStr">
        <is>
          <t>JÄMTLANDS LÄN</t>
        </is>
      </c>
      <c r="E757" t="inlineStr">
        <is>
          <t>ÅRE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45670</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61479-2023</t>
        </is>
      </c>
      <c r="B759" s="1" t="n">
        <v>45264</v>
      </c>
      <c r="C759" s="1" t="n">
        <v>45670</v>
      </c>
      <c r="D759" t="inlineStr">
        <is>
          <t>JÄMTLANDS LÄN</t>
        </is>
      </c>
      <c r="E759" t="inlineStr">
        <is>
          <t>ÅRE</t>
        </is>
      </c>
      <c r="G759" t="n">
        <v>2.5</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45670</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61480-2023</t>
        </is>
      </c>
      <c r="B761" s="1" t="n">
        <v>45264</v>
      </c>
      <c r="C761" s="1" t="n">
        <v>45670</v>
      </c>
      <c r="D761" t="inlineStr">
        <is>
          <t>JÄMTLANDS LÄN</t>
        </is>
      </c>
      <c r="E761" t="inlineStr">
        <is>
          <t>ÅRE</t>
        </is>
      </c>
      <c r="G761" t="n">
        <v>0.9</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45670</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45670</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45670</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45670</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65029-2023</t>
        </is>
      </c>
      <c r="B766" s="1" t="n">
        <v>45287</v>
      </c>
      <c r="C766" s="1" t="n">
        <v>45670</v>
      </c>
      <c r="D766" t="inlineStr">
        <is>
          <t>JÄMTLANDS LÄN</t>
        </is>
      </c>
      <c r="E766" t="inlineStr">
        <is>
          <t>ÅRE</t>
        </is>
      </c>
      <c r="G766" t="n">
        <v>18.2</v>
      </c>
      <c r="H766" t="n">
        <v>0</v>
      </c>
      <c r="I766" t="n">
        <v>0</v>
      </c>
      <c r="J766" t="n">
        <v>0</v>
      </c>
      <c r="K766" t="n">
        <v>0</v>
      </c>
      <c r="L766" t="n">
        <v>0</v>
      </c>
      <c r="M766" t="n">
        <v>0</v>
      </c>
      <c r="N766" t="n">
        <v>0</v>
      </c>
      <c r="O766" t="n">
        <v>0</v>
      </c>
      <c r="P766" t="n">
        <v>0</v>
      </c>
      <c r="Q766" t="n">
        <v>0</v>
      </c>
      <c r="R766" s="2" t="inlineStr"/>
    </row>
    <row r="767" ht="15" customHeight="1">
      <c r="A767" t="inlineStr">
        <is>
          <t>A 65079-2023</t>
        </is>
      </c>
      <c r="B767" s="1" t="n">
        <v>45288</v>
      </c>
      <c r="C767" s="1" t="n">
        <v>45670</v>
      </c>
      <c r="D767" t="inlineStr">
        <is>
          <t>JÄMTLANDS LÄN</t>
        </is>
      </c>
      <c r="E767" t="inlineStr">
        <is>
          <t>ÅRE</t>
        </is>
      </c>
      <c r="G767" t="n">
        <v>6</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45670</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65033-2023</t>
        </is>
      </c>
      <c r="B769" s="1" t="n">
        <v>45287</v>
      </c>
      <c r="C769" s="1" t="n">
        <v>45670</v>
      </c>
      <c r="D769" t="inlineStr">
        <is>
          <t>JÄMTLANDS LÄN</t>
        </is>
      </c>
      <c r="E769" t="inlineStr">
        <is>
          <t>ÅRE</t>
        </is>
      </c>
      <c r="G769" t="n">
        <v>2.8</v>
      </c>
      <c r="H769" t="n">
        <v>0</v>
      </c>
      <c r="I769" t="n">
        <v>0</v>
      </c>
      <c r="J769" t="n">
        <v>0</v>
      </c>
      <c r="K769" t="n">
        <v>0</v>
      </c>
      <c r="L769" t="n">
        <v>0</v>
      </c>
      <c r="M769" t="n">
        <v>0</v>
      </c>
      <c r="N769" t="n">
        <v>0</v>
      </c>
      <c r="O769" t="n">
        <v>0</v>
      </c>
      <c r="P769" t="n">
        <v>0</v>
      </c>
      <c r="Q769" t="n">
        <v>0</v>
      </c>
      <c r="R769" s="2" t="inlineStr"/>
    </row>
    <row r="770" ht="15" customHeight="1">
      <c r="A770" t="inlineStr">
        <is>
          <t>A 376-2024</t>
        </is>
      </c>
      <c r="B770" s="1" t="n">
        <v>45296</v>
      </c>
      <c r="C770" s="1" t="n">
        <v>45670</v>
      </c>
      <c r="D770" t="inlineStr">
        <is>
          <t>JÄMTLANDS LÄN</t>
        </is>
      </c>
      <c r="E770" t="inlineStr">
        <is>
          <t>ÅRE</t>
        </is>
      </c>
      <c r="F770" t="inlineStr">
        <is>
          <t>Kyrkan</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45670</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45670</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45670</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45670</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45670</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45670</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45670</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45670</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45670</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8576-2024</t>
        </is>
      </c>
      <c r="B780" s="1" t="n">
        <v>45355</v>
      </c>
      <c r="C780" s="1" t="n">
        <v>45670</v>
      </c>
      <c r="D780" t="inlineStr">
        <is>
          <t>JÄMTLANDS LÄN</t>
        </is>
      </c>
      <c r="E780" t="inlineStr">
        <is>
          <t>ÅRE</t>
        </is>
      </c>
      <c r="G780" t="n">
        <v>21.7</v>
      </c>
      <c r="H780" t="n">
        <v>0</v>
      </c>
      <c r="I780" t="n">
        <v>0</v>
      </c>
      <c r="J780" t="n">
        <v>0</v>
      </c>
      <c r="K780" t="n">
        <v>0</v>
      </c>
      <c r="L780" t="n">
        <v>0</v>
      </c>
      <c r="M780" t="n">
        <v>0</v>
      </c>
      <c r="N780" t="n">
        <v>0</v>
      </c>
      <c r="O780" t="n">
        <v>0</v>
      </c>
      <c r="P780" t="n">
        <v>0</v>
      </c>
      <c r="Q780" t="n">
        <v>0</v>
      </c>
      <c r="R780" s="2" t="inlineStr"/>
    </row>
    <row r="781" ht="15" customHeight="1">
      <c r="A781" t="inlineStr">
        <is>
          <t>A 9926-2024</t>
        </is>
      </c>
      <c r="B781" s="1" t="n">
        <v>45363</v>
      </c>
      <c r="C781" s="1" t="n">
        <v>45670</v>
      </c>
      <c r="D781" t="inlineStr">
        <is>
          <t>JÄMTLANDS LÄN</t>
        </is>
      </c>
      <c r="E781" t="inlineStr">
        <is>
          <t>ÅRE</t>
        </is>
      </c>
      <c r="G781" t="n">
        <v>3.4</v>
      </c>
      <c r="H781" t="n">
        <v>0</v>
      </c>
      <c r="I781" t="n">
        <v>0</v>
      </c>
      <c r="J781" t="n">
        <v>0</v>
      </c>
      <c r="K781" t="n">
        <v>0</v>
      </c>
      <c r="L781" t="n">
        <v>0</v>
      </c>
      <c r="M781" t="n">
        <v>0</v>
      </c>
      <c r="N781" t="n">
        <v>0</v>
      </c>
      <c r="O781" t="n">
        <v>0</v>
      </c>
      <c r="P781" t="n">
        <v>0</v>
      </c>
      <c r="Q781" t="n">
        <v>0</v>
      </c>
      <c r="R781" s="2" t="inlineStr"/>
    </row>
    <row r="782" ht="15" customHeight="1">
      <c r="A782" t="inlineStr">
        <is>
          <t>A 9936-2024</t>
        </is>
      </c>
      <c r="B782" s="1" t="n">
        <v>45363</v>
      </c>
      <c r="C782" s="1" t="n">
        <v>45670</v>
      </c>
      <c r="D782" t="inlineStr">
        <is>
          <t>JÄMTLANDS LÄN</t>
        </is>
      </c>
      <c r="E782" t="inlineStr">
        <is>
          <t>ÅRE</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11291-2024</t>
        </is>
      </c>
      <c r="B783" s="1" t="n">
        <v>45371</v>
      </c>
      <c r="C783" s="1" t="n">
        <v>45670</v>
      </c>
      <c r="D783" t="inlineStr">
        <is>
          <t>JÄMTLANDS LÄN</t>
        </is>
      </c>
      <c r="E783" t="inlineStr">
        <is>
          <t>ÅRE</t>
        </is>
      </c>
      <c r="G783" t="n">
        <v>4.4</v>
      </c>
      <c r="H783" t="n">
        <v>0</v>
      </c>
      <c r="I783" t="n">
        <v>0</v>
      </c>
      <c r="J783" t="n">
        <v>0</v>
      </c>
      <c r="K783" t="n">
        <v>0</v>
      </c>
      <c r="L783" t="n">
        <v>0</v>
      </c>
      <c r="M783" t="n">
        <v>0</v>
      </c>
      <c r="N783" t="n">
        <v>0</v>
      </c>
      <c r="O783" t="n">
        <v>0</v>
      </c>
      <c r="P783" t="n">
        <v>0</v>
      </c>
      <c r="Q783" t="n">
        <v>0</v>
      </c>
      <c r="R783" s="2" t="inlineStr"/>
    </row>
    <row r="784" ht="15" customHeight="1">
      <c r="A784" t="inlineStr">
        <is>
          <t>A 11292-2024</t>
        </is>
      </c>
      <c r="B784" s="1" t="n">
        <v>45371</v>
      </c>
      <c r="C784" s="1" t="n">
        <v>45670</v>
      </c>
      <c r="D784" t="inlineStr">
        <is>
          <t>JÄMTLANDS LÄN</t>
        </is>
      </c>
      <c r="E784" t="inlineStr">
        <is>
          <t>ÅRE</t>
        </is>
      </c>
      <c r="G784" t="n">
        <v>1.1</v>
      </c>
      <c r="H784" t="n">
        <v>0</v>
      </c>
      <c r="I784" t="n">
        <v>0</v>
      </c>
      <c r="J784" t="n">
        <v>0</v>
      </c>
      <c r="K784" t="n">
        <v>0</v>
      </c>
      <c r="L784" t="n">
        <v>0</v>
      </c>
      <c r="M784" t="n">
        <v>0</v>
      </c>
      <c r="N784" t="n">
        <v>0</v>
      </c>
      <c r="O784" t="n">
        <v>0</v>
      </c>
      <c r="P784" t="n">
        <v>0</v>
      </c>
      <c r="Q784" t="n">
        <v>0</v>
      </c>
      <c r="R784" s="2" t="inlineStr"/>
    </row>
    <row r="785" ht="15" customHeight="1">
      <c r="A785" t="inlineStr">
        <is>
          <t>A 11914-2024</t>
        </is>
      </c>
      <c r="B785" s="1" t="n">
        <v>45376</v>
      </c>
      <c r="C785" s="1" t="n">
        <v>45670</v>
      </c>
      <c r="D785" t="inlineStr">
        <is>
          <t>JÄMTLANDS LÄN</t>
        </is>
      </c>
      <c r="E785" t="inlineStr">
        <is>
          <t>ÅRE</t>
        </is>
      </c>
      <c r="G785" t="n">
        <v>2.5</v>
      </c>
      <c r="H785" t="n">
        <v>0</v>
      </c>
      <c r="I785" t="n">
        <v>0</v>
      </c>
      <c r="J785" t="n">
        <v>0</v>
      </c>
      <c r="K785" t="n">
        <v>0</v>
      </c>
      <c r="L785" t="n">
        <v>0</v>
      </c>
      <c r="M785" t="n">
        <v>0</v>
      </c>
      <c r="N785" t="n">
        <v>0</v>
      </c>
      <c r="O785" t="n">
        <v>0</v>
      </c>
      <c r="P785" t="n">
        <v>0</v>
      </c>
      <c r="Q785" t="n">
        <v>0</v>
      </c>
      <c r="R785" s="2" t="inlineStr"/>
    </row>
    <row r="786" ht="15" customHeight="1">
      <c r="A786" t="inlineStr">
        <is>
          <t>A 11820-2024</t>
        </is>
      </c>
      <c r="B786" s="1" t="n">
        <v>45376</v>
      </c>
      <c r="C786" s="1" t="n">
        <v>45670</v>
      </c>
      <c r="D786" t="inlineStr">
        <is>
          <t>JÄMTLANDS LÄN</t>
        </is>
      </c>
      <c r="E786" t="inlineStr">
        <is>
          <t>ÅRE</t>
        </is>
      </c>
      <c r="G786" t="n">
        <v>9.9</v>
      </c>
      <c r="H786" t="n">
        <v>0</v>
      </c>
      <c r="I786" t="n">
        <v>0</v>
      </c>
      <c r="J786" t="n">
        <v>0</v>
      </c>
      <c r="K786" t="n">
        <v>0</v>
      </c>
      <c r="L786" t="n">
        <v>0</v>
      </c>
      <c r="M786" t="n">
        <v>0</v>
      </c>
      <c r="N786" t="n">
        <v>0</v>
      </c>
      <c r="O786" t="n">
        <v>0</v>
      </c>
      <c r="P786" t="n">
        <v>0</v>
      </c>
      <c r="Q786" t="n">
        <v>0</v>
      </c>
      <c r="R786" s="2" t="inlineStr"/>
    </row>
    <row r="787" ht="15" customHeight="1">
      <c r="A787" t="inlineStr">
        <is>
          <t>A 12427-2024</t>
        </is>
      </c>
      <c r="B787" s="1" t="n">
        <v>45379</v>
      </c>
      <c r="C787" s="1" t="n">
        <v>45670</v>
      </c>
      <c r="D787" t="inlineStr">
        <is>
          <t>JÄMTLANDS LÄN</t>
        </is>
      </c>
      <c r="E787" t="inlineStr">
        <is>
          <t>ÅRE</t>
        </is>
      </c>
      <c r="G787" t="n">
        <v>8.4</v>
      </c>
      <c r="H787" t="n">
        <v>0</v>
      </c>
      <c r="I787" t="n">
        <v>0</v>
      </c>
      <c r="J787" t="n">
        <v>0</v>
      </c>
      <c r="K787" t="n">
        <v>0</v>
      </c>
      <c r="L787" t="n">
        <v>0</v>
      </c>
      <c r="M787" t="n">
        <v>0</v>
      </c>
      <c r="N787" t="n">
        <v>0</v>
      </c>
      <c r="O787" t="n">
        <v>0</v>
      </c>
      <c r="P787" t="n">
        <v>0</v>
      </c>
      <c r="Q787" t="n">
        <v>0</v>
      </c>
      <c r="R787" s="2" t="inlineStr"/>
    </row>
    <row r="788" ht="15" customHeight="1">
      <c r="A788" t="inlineStr">
        <is>
          <t>A 12895-2024</t>
        </is>
      </c>
      <c r="B788" s="1" t="n">
        <v>45385</v>
      </c>
      <c r="C788" s="1" t="n">
        <v>45670</v>
      </c>
      <c r="D788" t="inlineStr">
        <is>
          <t>JÄMTLANDS LÄN</t>
        </is>
      </c>
      <c r="E788" t="inlineStr">
        <is>
          <t>ÅRE</t>
        </is>
      </c>
      <c r="G788" t="n">
        <v>7.1</v>
      </c>
      <c r="H788" t="n">
        <v>0</v>
      </c>
      <c r="I788" t="n">
        <v>0</v>
      </c>
      <c r="J788" t="n">
        <v>0</v>
      </c>
      <c r="K788" t="n">
        <v>0</v>
      </c>
      <c r="L788" t="n">
        <v>0</v>
      </c>
      <c r="M788" t="n">
        <v>0</v>
      </c>
      <c r="N788" t="n">
        <v>0</v>
      </c>
      <c r="O788" t="n">
        <v>0</v>
      </c>
      <c r="P788" t="n">
        <v>0</v>
      </c>
      <c r="Q788" t="n">
        <v>0</v>
      </c>
      <c r="R788" s="2" t="inlineStr"/>
    </row>
    <row r="789" ht="15" customHeight="1">
      <c r="A789" t="inlineStr">
        <is>
          <t>A 12933-2024</t>
        </is>
      </c>
      <c r="B789" s="1" t="n">
        <v>45385</v>
      </c>
      <c r="C789" s="1" t="n">
        <v>45670</v>
      </c>
      <c r="D789" t="inlineStr">
        <is>
          <t>JÄMTLANDS LÄN</t>
        </is>
      </c>
      <c r="E789" t="inlineStr">
        <is>
          <t>ÅRE</t>
        </is>
      </c>
      <c r="G789" t="n">
        <v>0.9</v>
      </c>
      <c r="H789" t="n">
        <v>0</v>
      </c>
      <c r="I789" t="n">
        <v>0</v>
      </c>
      <c r="J789" t="n">
        <v>0</v>
      </c>
      <c r="K789" t="n">
        <v>0</v>
      </c>
      <c r="L789" t="n">
        <v>0</v>
      </c>
      <c r="M789" t="n">
        <v>0</v>
      </c>
      <c r="N789" t="n">
        <v>0</v>
      </c>
      <c r="O789" t="n">
        <v>0</v>
      </c>
      <c r="P789" t="n">
        <v>0</v>
      </c>
      <c r="Q789" t="n">
        <v>0</v>
      </c>
      <c r="R789" s="2" t="inlineStr"/>
    </row>
    <row r="790" ht="15" customHeight="1">
      <c r="A790" t="inlineStr">
        <is>
          <t>A 12948-2024</t>
        </is>
      </c>
      <c r="B790" s="1" t="n">
        <v>45385</v>
      </c>
      <c r="C790" s="1" t="n">
        <v>45670</v>
      </c>
      <c r="D790" t="inlineStr">
        <is>
          <t>JÄMTLANDS LÄN</t>
        </is>
      </c>
      <c r="E790" t="inlineStr">
        <is>
          <t>ÅRE</t>
        </is>
      </c>
      <c r="G790" t="n">
        <v>1.4</v>
      </c>
      <c r="H790" t="n">
        <v>0</v>
      </c>
      <c r="I790" t="n">
        <v>0</v>
      </c>
      <c r="J790" t="n">
        <v>0</v>
      </c>
      <c r="K790" t="n">
        <v>0</v>
      </c>
      <c r="L790" t="n">
        <v>0</v>
      </c>
      <c r="M790" t="n">
        <v>0</v>
      </c>
      <c r="N790" t="n">
        <v>0</v>
      </c>
      <c r="O790" t="n">
        <v>0</v>
      </c>
      <c r="P790" t="n">
        <v>0</v>
      </c>
      <c r="Q790" t="n">
        <v>0</v>
      </c>
      <c r="R790" s="2" t="inlineStr"/>
    </row>
    <row r="791" ht="15" customHeight="1">
      <c r="A791" t="inlineStr">
        <is>
          <t>A 13039-2024</t>
        </is>
      </c>
      <c r="B791" s="1" t="n">
        <v>45385</v>
      </c>
      <c r="C791" s="1" t="n">
        <v>45670</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13033-2024</t>
        </is>
      </c>
      <c r="B792" s="1" t="n">
        <v>45385</v>
      </c>
      <c r="C792" s="1" t="n">
        <v>45670</v>
      </c>
      <c r="D792" t="inlineStr">
        <is>
          <t>JÄMTLANDS LÄN</t>
        </is>
      </c>
      <c r="E792" t="inlineStr">
        <is>
          <t>ÅRE</t>
        </is>
      </c>
      <c r="G792" t="n">
        <v>7.3</v>
      </c>
      <c r="H792" t="n">
        <v>0</v>
      </c>
      <c r="I792" t="n">
        <v>0</v>
      </c>
      <c r="J792" t="n">
        <v>0</v>
      </c>
      <c r="K792" t="n">
        <v>0</v>
      </c>
      <c r="L792" t="n">
        <v>0</v>
      </c>
      <c r="M792" t="n">
        <v>0</v>
      </c>
      <c r="N792" t="n">
        <v>0</v>
      </c>
      <c r="O792" t="n">
        <v>0</v>
      </c>
      <c r="P792" t="n">
        <v>0</v>
      </c>
      <c r="Q792" t="n">
        <v>0</v>
      </c>
      <c r="R792" s="2" t="inlineStr"/>
    </row>
    <row r="793" ht="15" customHeight="1">
      <c r="A793" t="inlineStr">
        <is>
          <t>A 13062-2024</t>
        </is>
      </c>
      <c r="B793" s="1" t="n">
        <v>45385</v>
      </c>
      <c r="C793" s="1" t="n">
        <v>45670</v>
      </c>
      <c r="D793" t="inlineStr">
        <is>
          <t>JÄMTLANDS LÄN</t>
        </is>
      </c>
      <c r="E793" t="inlineStr">
        <is>
          <t>ÅRE</t>
        </is>
      </c>
      <c r="G793" t="n">
        <v>3.2</v>
      </c>
      <c r="H793" t="n">
        <v>0</v>
      </c>
      <c r="I793" t="n">
        <v>0</v>
      </c>
      <c r="J793" t="n">
        <v>0</v>
      </c>
      <c r="K793" t="n">
        <v>0</v>
      </c>
      <c r="L793" t="n">
        <v>0</v>
      </c>
      <c r="M793" t="n">
        <v>0</v>
      </c>
      <c r="N793" t="n">
        <v>0</v>
      </c>
      <c r="O793" t="n">
        <v>0</v>
      </c>
      <c r="P793" t="n">
        <v>0</v>
      </c>
      <c r="Q793" t="n">
        <v>0</v>
      </c>
      <c r="R793" s="2" t="inlineStr"/>
    </row>
    <row r="794" ht="15" customHeight="1">
      <c r="A794" t="inlineStr">
        <is>
          <t>A 12930-2024</t>
        </is>
      </c>
      <c r="B794" s="1" t="n">
        <v>45385</v>
      </c>
      <c r="C794" s="1" t="n">
        <v>45670</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12951-2024</t>
        </is>
      </c>
      <c r="B795" s="1" t="n">
        <v>45385</v>
      </c>
      <c r="C795" s="1" t="n">
        <v>45670</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13022-2024</t>
        </is>
      </c>
      <c r="B796" s="1" t="n">
        <v>45385</v>
      </c>
      <c r="C796" s="1" t="n">
        <v>45670</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12936-2024</t>
        </is>
      </c>
      <c r="B797" s="1" t="n">
        <v>45385</v>
      </c>
      <c r="C797" s="1" t="n">
        <v>45670</v>
      </c>
      <c r="D797" t="inlineStr">
        <is>
          <t>JÄMTLANDS LÄN</t>
        </is>
      </c>
      <c r="E797" t="inlineStr">
        <is>
          <t>ÅRE</t>
        </is>
      </c>
      <c r="G797" t="n">
        <v>4.9</v>
      </c>
      <c r="H797" t="n">
        <v>0</v>
      </c>
      <c r="I797" t="n">
        <v>0</v>
      </c>
      <c r="J797" t="n">
        <v>0</v>
      </c>
      <c r="K797" t="n">
        <v>0</v>
      </c>
      <c r="L797" t="n">
        <v>0</v>
      </c>
      <c r="M797" t="n">
        <v>0</v>
      </c>
      <c r="N797" t="n">
        <v>0</v>
      </c>
      <c r="O797" t="n">
        <v>0</v>
      </c>
      <c r="P797" t="n">
        <v>0</v>
      </c>
      <c r="Q797" t="n">
        <v>0</v>
      </c>
      <c r="R797" s="2" t="inlineStr"/>
    </row>
    <row r="798" ht="15" customHeight="1">
      <c r="A798" t="inlineStr">
        <is>
          <t>A 12940-2024</t>
        </is>
      </c>
      <c r="B798" s="1" t="n">
        <v>45385</v>
      </c>
      <c r="C798" s="1" t="n">
        <v>45670</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13301-2024</t>
        </is>
      </c>
      <c r="B799" s="1" t="n">
        <v>45386</v>
      </c>
      <c r="C799" s="1" t="n">
        <v>45670</v>
      </c>
      <c r="D799" t="inlineStr">
        <is>
          <t>JÄMTLANDS LÄN</t>
        </is>
      </c>
      <c r="E799" t="inlineStr">
        <is>
          <t>ÅRE</t>
        </is>
      </c>
      <c r="G799" t="n">
        <v>9</v>
      </c>
      <c r="H799" t="n">
        <v>0</v>
      </c>
      <c r="I799" t="n">
        <v>0</v>
      </c>
      <c r="J799" t="n">
        <v>0</v>
      </c>
      <c r="K799" t="n">
        <v>0</v>
      </c>
      <c r="L799" t="n">
        <v>0</v>
      </c>
      <c r="M799" t="n">
        <v>0</v>
      </c>
      <c r="N799" t="n">
        <v>0</v>
      </c>
      <c r="O799" t="n">
        <v>0</v>
      </c>
      <c r="P799" t="n">
        <v>0</v>
      </c>
      <c r="Q799" t="n">
        <v>0</v>
      </c>
      <c r="R799" s="2" t="inlineStr"/>
    </row>
    <row r="800" ht="15" customHeight="1">
      <c r="A800" t="inlineStr">
        <is>
          <t>A 13370-2024</t>
        </is>
      </c>
      <c r="B800" s="1" t="n">
        <v>45387</v>
      </c>
      <c r="C800" s="1" t="n">
        <v>45670</v>
      </c>
      <c r="D800" t="inlineStr">
        <is>
          <t>JÄMTLANDS LÄN</t>
        </is>
      </c>
      <c r="E800" t="inlineStr">
        <is>
          <t>ÅRE</t>
        </is>
      </c>
      <c r="G800" t="n">
        <v>8.5</v>
      </c>
      <c r="H800" t="n">
        <v>0</v>
      </c>
      <c r="I800" t="n">
        <v>0</v>
      </c>
      <c r="J800" t="n">
        <v>0</v>
      </c>
      <c r="K800" t="n">
        <v>0</v>
      </c>
      <c r="L800" t="n">
        <v>0</v>
      </c>
      <c r="M800" t="n">
        <v>0</v>
      </c>
      <c r="N800" t="n">
        <v>0</v>
      </c>
      <c r="O800" t="n">
        <v>0</v>
      </c>
      <c r="P800" t="n">
        <v>0</v>
      </c>
      <c r="Q800" t="n">
        <v>0</v>
      </c>
      <c r="R800" s="2" t="inlineStr"/>
    </row>
    <row r="801" ht="15" customHeight="1">
      <c r="A801" t="inlineStr">
        <is>
          <t>A 14497-2024</t>
        </is>
      </c>
      <c r="B801" s="1" t="n">
        <v>45394</v>
      </c>
      <c r="C801" s="1" t="n">
        <v>45670</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14898-2024</t>
        </is>
      </c>
      <c r="B802" s="1" t="n">
        <v>45398</v>
      </c>
      <c r="C802" s="1" t="n">
        <v>45670</v>
      </c>
      <c r="D802" t="inlineStr">
        <is>
          <t>JÄMTLANDS LÄN</t>
        </is>
      </c>
      <c r="E802" t="inlineStr">
        <is>
          <t>ÅRE</t>
        </is>
      </c>
      <c r="G802" t="n">
        <v>7.3</v>
      </c>
      <c r="H802" t="n">
        <v>0</v>
      </c>
      <c r="I802" t="n">
        <v>0</v>
      </c>
      <c r="J802" t="n">
        <v>0</v>
      </c>
      <c r="K802" t="n">
        <v>0</v>
      </c>
      <c r="L802" t="n">
        <v>0</v>
      </c>
      <c r="M802" t="n">
        <v>0</v>
      </c>
      <c r="N802" t="n">
        <v>0</v>
      </c>
      <c r="O802" t="n">
        <v>0</v>
      </c>
      <c r="P802" t="n">
        <v>0</v>
      </c>
      <c r="Q802" t="n">
        <v>0</v>
      </c>
      <c r="R802" s="2" t="inlineStr"/>
    </row>
    <row r="803" ht="15" customHeight="1">
      <c r="A803" t="inlineStr">
        <is>
          <t>A 15517-2024</t>
        </is>
      </c>
      <c r="B803" s="1" t="n">
        <v>45401</v>
      </c>
      <c r="C803" s="1" t="n">
        <v>45670</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15481-2024</t>
        </is>
      </c>
      <c r="B804" s="1" t="n">
        <v>45401</v>
      </c>
      <c r="C804" s="1" t="n">
        <v>45670</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15482-2024</t>
        </is>
      </c>
      <c r="B805" s="1" t="n">
        <v>45401</v>
      </c>
      <c r="C805" s="1" t="n">
        <v>45670</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15480-2024</t>
        </is>
      </c>
      <c r="B806" s="1" t="n">
        <v>45401</v>
      </c>
      <c r="C806" s="1" t="n">
        <v>45670</v>
      </c>
      <c r="D806" t="inlineStr">
        <is>
          <t>JÄMTLANDS LÄN</t>
        </is>
      </c>
      <c r="E806" t="inlineStr">
        <is>
          <t>ÅRE</t>
        </is>
      </c>
      <c r="G806" t="n">
        <v>11.8</v>
      </c>
      <c r="H806" t="n">
        <v>0</v>
      </c>
      <c r="I806" t="n">
        <v>0</v>
      </c>
      <c r="J806" t="n">
        <v>0</v>
      </c>
      <c r="K806" t="n">
        <v>0</v>
      </c>
      <c r="L806" t="n">
        <v>0</v>
      </c>
      <c r="M806" t="n">
        <v>0</v>
      </c>
      <c r="N806" t="n">
        <v>0</v>
      </c>
      <c r="O806" t="n">
        <v>0</v>
      </c>
      <c r="P806" t="n">
        <v>0</v>
      </c>
      <c r="Q806" t="n">
        <v>0</v>
      </c>
      <c r="R806" s="2" t="inlineStr"/>
    </row>
    <row r="807" ht="15" customHeight="1">
      <c r="A807" t="inlineStr">
        <is>
          <t>A 15521-2024</t>
        </is>
      </c>
      <c r="B807" s="1" t="n">
        <v>45401</v>
      </c>
      <c r="C807" s="1" t="n">
        <v>45670</v>
      </c>
      <c r="D807" t="inlineStr">
        <is>
          <t>JÄMTLANDS LÄN</t>
        </is>
      </c>
      <c r="E807" t="inlineStr">
        <is>
          <t>ÅRE</t>
        </is>
      </c>
      <c r="G807" t="n">
        <v>6.3</v>
      </c>
      <c r="H807" t="n">
        <v>0</v>
      </c>
      <c r="I807" t="n">
        <v>0</v>
      </c>
      <c r="J807" t="n">
        <v>0</v>
      </c>
      <c r="K807" t="n">
        <v>0</v>
      </c>
      <c r="L807" t="n">
        <v>0</v>
      </c>
      <c r="M807" t="n">
        <v>0</v>
      </c>
      <c r="N807" t="n">
        <v>0</v>
      </c>
      <c r="O807" t="n">
        <v>0</v>
      </c>
      <c r="P807" t="n">
        <v>0</v>
      </c>
      <c r="Q807" t="n">
        <v>0</v>
      </c>
      <c r="R807" s="2" t="inlineStr"/>
    </row>
    <row r="808" ht="15" customHeight="1">
      <c r="A808" t="inlineStr">
        <is>
          <t>A 15519-2024</t>
        </is>
      </c>
      <c r="B808" s="1" t="n">
        <v>45401</v>
      </c>
      <c r="C808" s="1" t="n">
        <v>45670</v>
      </c>
      <c r="D808" t="inlineStr">
        <is>
          <t>JÄMTLANDS LÄN</t>
        </is>
      </c>
      <c r="E808" t="inlineStr">
        <is>
          <t>ÅRE</t>
        </is>
      </c>
      <c r="G808" t="n">
        <v>0.8</v>
      </c>
      <c r="H808" t="n">
        <v>0</v>
      </c>
      <c r="I808" t="n">
        <v>0</v>
      </c>
      <c r="J808" t="n">
        <v>0</v>
      </c>
      <c r="K808" t="n">
        <v>0</v>
      </c>
      <c r="L808" t="n">
        <v>0</v>
      </c>
      <c r="M808" t="n">
        <v>0</v>
      </c>
      <c r="N808" t="n">
        <v>0</v>
      </c>
      <c r="O808" t="n">
        <v>0</v>
      </c>
      <c r="P808" t="n">
        <v>0</v>
      </c>
      <c r="Q808" t="n">
        <v>0</v>
      </c>
      <c r="R808" s="2" t="inlineStr"/>
    </row>
    <row r="809" ht="15" customHeight="1">
      <c r="A809" t="inlineStr">
        <is>
          <t>A 16348-2024</t>
        </is>
      </c>
      <c r="B809" s="1" t="n">
        <v>45407</v>
      </c>
      <c r="C809" s="1" t="n">
        <v>45670</v>
      </c>
      <c r="D809" t="inlineStr">
        <is>
          <t>JÄMTLANDS LÄN</t>
        </is>
      </c>
      <c r="E809" t="inlineStr">
        <is>
          <t>ÅRE</t>
        </is>
      </c>
      <c r="G809" t="n">
        <v>4.6</v>
      </c>
      <c r="H809" t="n">
        <v>0</v>
      </c>
      <c r="I809" t="n">
        <v>0</v>
      </c>
      <c r="J809" t="n">
        <v>0</v>
      </c>
      <c r="K809" t="n">
        <v>0</v>
      </c>
      <c r="L809" t="n">
        <v>0</v>
      </c>
      <c r="M809" t="n">
        <v>0</v>
      </c>
      <c r="N809" t="n">
        <v>0</v>
      </c>
      <c r="O809" t="n">
        <v>0</v>
      </c>
      <c r="P809" t="n">
        <v>0</v>
      </c>
      <c r="Q809" t="n">
        <v>0</v>
      </c>
      <c r="R809" s="2" t="inlineStr"/>
    </row>
    <row r="810" ht="15" customHeight="1">
      <c r="A810" t="inlineStr">
        <is>
          <t>A 16885-2024</t>
        </is>
      </c>
      <c r="B810" s="1" t="n">
        <v>45411</v>
      </c>
      <c r="C810" s="1" t="n">
        <v>45670</v>
      </c>
      <c r="D810" t="inlineStr">
        <is>
          <t>JÄMTLANDS LÄN</t>
        </is>
      </c>
      <c r="E810" t="inlineStr">
        <is>
          <t>ÅRE</t>
        </is>
      </c>
      <c r="G810" t="n">
        <v>13.7</v>
      </c>
      <c r="H810" t="n">
        <v>0</v>
      </c>
      <c r="I810" t="n">
        <v>0</v>
      </c>
      <c r="J810" t="n">
        <v>0</v>
      </c>
      <c r="K810" t="n">
        <v>0</v>
      </c>
      <c r="L810" t="n">
        <v>0</v>
      </c>
      <c r="M810" t="n">
        <v>0</v>
      </c>
      <c r="N810" t="n">
        <v>0</v>
      </c>
      <c r="O810" t="n">
        <v>0</v>
      </c>
      <c r="P810" t="n">
        <v>0</v>
      </c>
      <c r="Q810" t="n">
        <v>0</v>
      </c>
      <c r="R810" s="2" t="inlineStr"/>
    </row>
    <row r="811" ht="15" customHeight="1">
      <c r="A811" t="inlineStr">
        <is>
          <t>A 17576-2024</t>
        </is>
      </c>
      <c r="B811" s="1" t="n">
        <v>45415</v>
      </c>
      <c r="C811" s="1" t="n">
        <v>45670</v>
      </c>
      <c r="D811" t="inlineStr">
        <is>
          <t>JÄMTLANDS LÄN</t>
        </is>
      </c>
      <c r="E811" t="inlineStr">
        <is>
          <t>ÅRE</t>
        </is>
      </c>
      <c r="G811" t="n">
        <v>0.1</v>
      </c>
      <c r="H811" t="n">
        <v>0</v>
      </c>
      <c r="I811" t="n">
        <v>0</v>
      </c>
      <c r="J811" t="n">
        <v>0</v>
      </c>
      <c r="K811" t="n">
        <v>0</v>
      </c>
      <c r="L811" t="n">
        <v>0</v>
      </c>
      <c r="M811" t="n">
        <v>0</v>
      </c>
      <c r="N811" t="n">
        <v>0</v>
      </c>
      <c r="O811" t="n">
        <v>0</v>
      </c>
      <c r="P811" t="n">
        <v>0</v>
      </c>
      <c r="Q811" t="n">
        <v>0</v>
      </c>
      <c r="R811" s="2" t="inlineStr"/>
    </row>
    <row r="812" ht="15" customHeight="1">
      <c r="A812" t="inlineStr">
        <is>
          <t>A 17777-2024</t>
        </is>
      </c>
      <c r="B812" s="1" t="n">
        <v>45418</v>
      </c>
      <c r="C812" s="1" t="n">
        <v>45670</v>
      </c>
      <c r="D812" t="inlineStr">
        <is>
          <t>JÄMTLANDS LÄN</t>
        </is>
      </c>
      <c r="E812" t="inlineStr">
        <is>
          <t>ÅRE</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17630-2024</t>
        </is>
      </c>
      <c r="B813" s="1" t="n">
        <v>45418</v>
      </c>
      <c r="C813" s="1" t="n">
        <v>45670</v>
      </c>
      <c r="D813" t="inlineStr">
        <is>
          <t>JÄMTLANDS LÄN</t>
        </is>
      </c>
      <c r="E813" t="inlineStr">
        <is>
          <t>ÅRE</t>
        </is>
      </c>
      <c r="F813" t="inlineStr">
        <is>
          <t>Övriga Aktiebolag</t>
        </is>
      </c>
      <c r="G813" t="n">
        <v>29.2</v>
      </c>
      <c r="H813" t="n">
        <v>0</v>
      </c>
      <c r="I813" t="n">
        <v>0</v>
      </c>
      <c r="J813" t="n">
        <v>0</v>
      </c>
      <c r="K813" t="n">
        <v>0</v>
      </c>
      <c r="L813" t="n">
        <v>0</v>
      </c>
      <c r="M813" t="n">
        <v>0</v>
      </c>
      <c r="N813" t="n">
        <v>0</v>
      </c>
      <c r="O813" t="n">
        <v>0</v>
      </c>
      <c r="P813" t="n">
        <v>0</v>
      </c>
      <c r="Q813" t="n">
        <v>0</v>
      </c>
      <c r="R813" s="2" t="inlineStr"/>
    </row>
    <row r="814" ht="15" customHeight="1">
      <c r="A814" t="inlineStr">
        <is>
          <t>A 18072-2024</t>
        </is>
      </c>
      <c r="B814" s="1" t="n">
        <v>45420</v>
      </c>
      <c r="C814" s="1" t="n">
        <v>45670</v>
      </c>
      <c r="D814" t="inlineStr">
        <is>
          <t>JÄMTLANDS LÄN</t>
        </is>
      </c>
      <c r="E814" t="inlineStr">
        <is>
          <t>ÅRE</t>
        </is>
      </c>
      <c r="G814" t="n">
        <v>1.1</v>
      </c>
      <c r="H814" t="n">
        <v>0</v>
      </c>
      <c r="I814" t="n">
        <v>0</v>
      </c>
      <c r="J814" t="n">
        <v>0</v>
      </c>
      <c r="K814" t="n">
        <v>0</v>
      </c>
      <c r="L814" t="n">
        <v>0</v>
      </c>
      <c r="M814" t="n">
        <v>0</v>
      </c>
      <c r="N814" t="n">
        <v>0</v>
      </c>
      <c r="O814" t="n">
        <v>0</v>
      </c>
      <c r="P814" t="n">
        <v>0</v>
      </c>
      <c r="Q814" t="n">
        <v>0</v>
      </c>
      <c r="R814" s="2" t="inlineStr"/>
    </row>
    <row r="815" ht="15" customHeight="1">
      <c r="A815" t="inlineStr">
        <is>
          <t>A 18928-2024</t>
        </is>
      </c>
      <c r="B815" s="1" t="n">
        <v>45427</v>
      </c>
      <c r="C815" s="1" t="n">
        <v>45670</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20202-2024</t>
        </is>
      </c>
      <c r="B816" s="1" t="n">
        <v>45434</v>
      </c>
      <c r="C816" s="1" t="n">
        <v>45670</v>
      </c>
      <c r="D816" t="inlineStr">
        <is>
          <t>JÄMTLANDS LÄN</t>
        </is>
      </c>
      <c r="E816" t="inlineStr">
        <is>
          <t>ÅRE</t>
        </is>
      </c>
      <c r="G816" t="n">
        <v>6.7</v>
      </c>
      <c r="H816" t="n">
        <v>0</v>
      </c>
      <c r="I816" t="n">
        <v>0</v>
      </c>
      <c r="J816" t="n">
        <v>0</v>
      </c>
      <c r="K816" t="n">
        <v>0</v>
      </c>
      <c r="L816" t="n">
        <v>0</v>
      </c>
      <c r="M816" t="n">
        <v>0</v>
      </c>
      <c r="N816" t="n">
        <v>0</v>
      </c>
      <c r="O816" t="n">
        <v>0</v>
      </c>
      <c r="P816" t="n">
        <v>0</v>
      </c>
      <c r="Q816" t="n">
        <v>0</v>
      </c>
      <c r="R816" s="2" t="inlineStr"/>
    </row>
    <row r="817" ht="15" customHeight="1">
      <c r="A817" t="inlineStr">
        <is>
          <t>A 20485-2024</t>
        </is>
      </c>
      <c r="B817" s="1" t="n">
        <v>45435</v>
      </c>
      <c r="C817" s="1" t="n">
        <v>45670</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20480-2024</t>
        </is>
      </c>
      <c r="B818" s="1" t="n">
        <v>45435</v>
      </c>
      <c r="C818" s="1" t="n">
        <v>45670</v>
      </c>
      <c r="D818" t="inlineStr">
        <is>
          <t>JÄMTLANDS LÄN</t>
        </is>
      </c>
      <c r="E818" t="inlineStr">
        <is>
          <t>ÅRE</t>
        </is>
      </c>
      <c r="G818" t="n">
        <v>2.7</v>
      </c>
      <c r="H818" t="n">
        <v>0</v>
      </c>
      <c r="I818" t="n">
        <v>0</v>
      </c>
      <c r="J818" t="n">
        <v>0</v>
      </c>
      <c r="K818" t="n">
        <v>0</v>
      </c>
      <c r="L818" t="n">
        <v>0</v>
      </c>
      <c r="M818" t="n">
        <v>0</v>
      </c>
      <c r="N818" t="n">
        <v>0</v>
      </c>
      <c r="O818" t="n">
        <v>0</v>
      </c>
      <c r="P818" t="n">
        <v>0</v>
      </c>
      <c r="Q818" t="n">
        <v>0</v>
      </c>
      <c r="R818" s="2" t="inlineStr"/>
    </row>
    <row r="819" ht="15" customHeight="1">
      <c r="A819" t="inlineStr">
        <is>
          <t>A 20804-2024</t>
        </is>
      </c>
      <c r="B819" s="1" t="n">
        <v>45439</v>
      </c>
      <c r="C819" s="1" t="n">
        <v>45670</v>
      </c>
      <c r="D819" t="inlineStr">
        <is>
          <t>JÄMTLANDS LÄN</t>
        </is>
      </c>
      <c r="E819" t="inlineStr">
        <is>
          <t>ÅRE</t>
        </is>
      </c>
      <c r="G819" t="n">
        <v>6.4</v>
      </c>
      <c r="H819" t="n">
        <v>0</v>
      </c>
      <c r="I819" t="n">
        <v>0</v>
      </c>
      <c r="J819" t="n">
        <v>0</v>
      </c>
      <c r="K819" t="n">
        <v>0</v>
      </c>
      <c r="L819" t="n">
        <v>0</v>
      </c>
      <c r="M819" t="n">
        <v>0</v>
      </c>
      <c r="N819" t="n">
        <v>0</v>
      </c>
      <c r="O819" t="n">
        <v>0</v>
      </c>
      <c r="P819" t="n">
        <v>0</v>
      </c>
      <c r="Q819" t="n">
        <v>0</v>
      </c>
      <c r="R819" s="2" t="inlineStr"/>
    </row>
    <row r="820" ht="15" customHeight="1">
      <c r="A820" t="inlineStr">
        <is>
          <t>A 20999-2024</t>
        </is>
      </c>
      <c r="B820" s="1" t="n">
        <v>45439</v>
      </c>
      <c r="C820" s="1" t="n">
        <v>45670</v>
      </c>
      <c r="D820" t="inlineStr">
        <is>
          <t>JÄMTLANDS LÄN</t>
        </is>
      </c>
      <c r="E820" t="inlineStr">
        <is>
          <t>ÅRE</t>
        </is>
      </c>
      <c r="G820" t="n">
        <v>5.7</v>
      </c>
      <c r="H820" t="n">
        <v>0</v>
      </c>
      <c r="I820" t="n">
        <v>0</v>
      </c>
      <c r="J820" t="n">
        <v>0</v>
      </c>
      <c r="K820" t="n">
        <v>0</v>
      </c>
      <c r="L820" t="n">
        <v>0</v>
      </c>
      <c r="M820" t="n">
        <v>0</v>
      </c>
      <c r="N820" t="n">
        <v>0</v>
      </c>
      <c r="O820" t="n">
        <v>0</v>
      </c>
      <c r="P820" t="n">
        <v>0</v>
      </c>
      <c r="Q820" t="n">
        <v>0</v>
      </c>
      <c r="R820" s="2" t="inlineStr"/>
    </row>
    <row r="821" ht="15" customHeight="1">
      <c r="A821" t="inlineStr">
        <is>
          <t>A 21640-2024</t>
        </is>
      </c>
      <c r="B821" s="1" t="n">
        <v>45442</v>
      </c>
      <c r="C821" s="1" t="n">
        <v>45670</v>
      </c>
      <c r="D821" t="inlineStr">
        <is>
          <t>JÄMTLANDS LÄN</t>
        </is>
      </c>
      <c r="E821" t="inlineStr">
        <is>
          <t>ÅRE</t>
        </is>
      </c>
      <c r="G821" t="n">
        <v>16.4</v>
      </c>
      <c r="H821" t="n">
        <v>0</v>
      </c>
      <c r="I821" t="n">
        <v>0</v>
      </c>
      <c r="J821" t="n">
        <v>0</v>
      </c>
      <c r="K821" t="n">
        <v>0</v>
      </c>
      <c r="L821" t="n">
        <v>0</v>
      </c>
      <c r="M821" t="n">
        <v>0</v>
      </c>
      <c r="N821" t="n">
        <v>0</v>
      </c>
      <c r="O821" t="n">
        <v>0</v>
      </c>
      <c r="P821" t="n">
        <v>0</v>
      </c>
      <c r="Q821" t="n">
        <v>0</v>
      </c>
      <c r="R821" s="2" t="inlineStr"/>
    </row>
    <row r="822" ht="15" customHeight="1">
      <c r="A822" t="inlineStr">
        <is>
          <t>A 22600-2024</t>
        </is>
      </c>
      <c r="B822" s="1" t="n">
        <v>45447</v>
      </c>
      <c r="C822" s="1" t="n">
        <v>45670</v>
      </c>
      <c r="D822" t="inlineStr">
        <is>
          <t>JÄMTLANDS LÄN</t>
        </is>
      </c>
      <c r="E822" t="inlineStr">
        <is>
          <t>ÅRE</t>
        </is>
      </c>
      <c r="G822" t="n">
        <v>22.5</v>
      </c>
      <c r="H822" t="n">
        <v>0</v>
      </c>
      <c r="I822" t="n">
        <v>0</v>
      </c>
      <c r="J822" t="n">
        <v>0</v>
      </c>
      <c r="K822" t="n">
        <v>0</v>
      </c>
      <c r="L822" t="n">
        <v>0</v>
      </c>
      <c r="M822" t="n">
        <v>0</v>
      </c>
      <c r="N822" t="n">
        <v>0</v>
      </c>
      <c r="O822" t="n">
        <v>0</v>
      </c>
      <c r="P822" t="n">
        <v>0</v>
      </c>
      <c r="Q822" t="n">
        <v>0</v>
      </c>
      <c r="R822" s="2" t="inlineStr"/>
    </row>
    <row r="823" ht="15" customHeight="1">
      <c r="A823" t="inlineStr">
        <is>
          <t>A 22687-2024</t>
        </is>
      </c>
      <c r="B823" s="1" t="n">
        <v>45448</v>
      </c>
      <c r="C823" s="1" t="n">
        <v>45670</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23159-2024</t>
        </is>
      </c>
      <c r="B824" s="1" t="n">
        <v>45450</v>
      </c>
      <c r="C824" s="1" t="n">
        <v>45670</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23805-2024</t>
        </is>
      </c>
      <c r="B825" s="1" t="n">
        <v>45455</v>
      </c>
      <c r="C825" s="1" t="n">
        <v>45670</v>
      </c>
      <c r="D825" t="inlineStr">
        <is>
          <t>JÄMTLANDS LÄN</t>
        </is>
      </c>
      <c r="E825" t="inlineStr">
        <is>
          <t>ÅRE</t>
        </is>
      </c>
      <c r="G825" t="n">
        <v>1.5</v>
      </c>
      <c r="H825" t="n">
        <v>0</v>
      </c>
      <c r="I825" t="n">
        <v>0</v>
      </c>
      <c r="J825" t="n">
        <v>0</v>
      </c>
      <c r="K825" t="n">
        <v>0</v>
      </c>
      <c r="L825" t="n">
        <v>0</v>
      </c>
      <c r="M825" t="n">
        <v>0</v>
      </c>
      <c r="N825" t="n">
        <v>0</v>
      </c>
      <c r="O825" t="n">
        <v>0</v>
      </c>
      <c r="P825" t="n">
        <v>0</v>
      </c>
      <c r="Q825" t="n">
        <v>0</v>
      </c>
      <c r="R825" s="2" t="inlineStr"/>
    </row>
    <row r="826" ht="15" customHeight="1">
      <c r="A826" t="inlineStr">
        <is>
          <t>A 23822-2024</t>
        </is>
      </c>
      <c r="B826" s="1" t="n">
        <v>45455</v>
      </c>
      <c r="C826" s="1" t="n">
        <v>45670</v>
      </c>
      <c r="D826" t="inlineStr">
        <is>
          <t>JÄMTLANDS LÄN</t>
        </is>
      </c>
      <c r="E826" t="inlineStr">
        <is>
          <t>ÅRE</t>
        </is>
      </c>
      <c r="G826" t="n">
        <v>4.8</v>
      </c>
      <c r="H826" t="n">
        <v>0</v>
      </c>
      <c r="I826" t="n">
        <v>0</v>
      </c>
      <c r="J826" t="n">
        <v>0</v>
      </c>
      <c r="K826" t="n">
        <v>0</v>
      </c>
      <c r="L826" t="n">
        <v>0</v>
      </c>
      <c r="M826" t="n">
        <v>0</v>
      </c>
      <c r="N826" t="n">
        <v>0</v>
      </c>
      <c r="O826" t="n">
        <v>0</v>
      </c>
      <c r="P826" t="n">
        <v>0</v>
      </c>
      <c r="Q826" t="n">
        <v>0</v>
      </c>
      <c r="R826" s="2" t="inlineStr"/>
    </row>
    <row r="827" ht="15" customHeight="1">
      <c r="A827" t="inlineStr">
        <is>
          <t>A 24344-2024</t>
        </is>
      </c>
      <c r="B827" s="1" t="n">
        <v>45457</v>
      </c>
      <c r="C827" s="1" t="n">
        <v>45670</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25379-2024</t>
        </is>
      </c>
      <c r="B828" s="1" t="n">
        <v>45462</v>
      </c>
      <c r="C828" s="1" t="n">
        <v>45670</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25710-2024</t>
        </is>
      </c>
      <c r="B829" s="1" t="n">
        <v>45463</v>
      </c>
      <c r="C829" s="1" t="n">
        <v>45670</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25517-2024</t>
        </is>
      </c>
      <c r="B830" s="1" t="n">
        <v>45463</v>
      </c>
      <c r="C830" s="1" t="n">
        <v>45670</v>
      </c>
      <c r="D830" t="inlineStr">
        <is>
          <t>JÄMTLANDS LÄN</t>
        </is>
      </c>
      <c r="E830" t="inlineStr">
        <is>
          <t>ÅRE</t>
        </is>
      </c>
      <c r="G830" t="n">
        <v>5.3</v>
      </c>
      <c r="H830" t="n">
        <v>0</v>
      </c>
      <c r="I830" t="n">
        <v>0</v>
      </c>
      <c r="J830" t="n">
        <v>0</v>
      </c>
      <c r="K830" t="n">
        <v>0</v>
      </c>
      <c r="L830" t="n">
        <v>0</v>
      </c>
      <c r="M830" t="n">
        <v>0</v>
      </c>
      <c r="N830" t="n">
        <v>0</v>
      </c>
      <c r="O830" t="n">
        <v>0</v>
      </c>
      <c r="P830" t="n">
        <v>0</v>
      </c>
      <c r="Q830" t="n">
        <v>0</v>
      </c>
      <c r="R830" s="2" t="inlineStr"/>
    </row>
    <row r="831" ht="15" customHeight="1">
      <c r="A831" t="inlineStr">
        <is>
          <t>A 26312-2024</t>
        </is>
      </c>
      <c r="B831" s="1" t="n">
        <v>45468</v>
      </c>
      <c r="C831" s="1" t="n">
        <v>45670</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27500-2024</t>
        </is>
      </c>
      <c r="B832" s="1" t="n">
        <v>45474</v>
      </c>
      <c r="C832" s="1" t="n">
        <v>45670</v>
      </c>
      <c r="D832" t="inlineStr">
        <is>
          <t>JÄMTLANDS LÄN</t>
        </is>
      </c>
      <c r="E832" t="inlineStr">
        <is>
          <t>ÅRE</t>
        </is>
      </c>
      <c r="G832" t="n">
        <v>4.1</v>
      </c>
      <c r="H832" t="n">
        <v>0</v>
      </c>
      <c r="I832" t="n">
        <v>0</v>
      </c>
      <c r="J832" t="n">
        <v>0</v>
      </c>
      <c r="K832" t="n">
        <v>0</v>
      </c>
      <c r="L832" t="n">
        <v>0</v>
      </c>
      <c r="M832" t="n">
        <v>0</v>
      </c>
      <c r="N832" t="n">
        <v>0</v>
      </c>
      <c r="O832" t="n">
        <v>0</v>
      </c>
      <c r="P832" t="n">
        <v>0</v>
      </c>
      <c r="Q832" t="n">
        <v>0</v>
      </c>
      <c r="R832" s="2" t="inlineStr"/>
    </row>
    <row r="833" ht="15" customHeight="1">
      <c r="A833" t="inlineStr">
        <is>
          <t>A 27456-2024</t>
        </is>
      </c>
      <c r="B833" s="1" t="n">
        <v>45474</v>
      </c>
      <c r="C833" s="1" t="n">
        <v>45670</v>
      </c>
      <c r="D833" t="inlineStr">
        <is>
          <t>JÄMTLANDS LÄN</t>
        </is>
      </c>
      <c r="E833" t="inlineStr">
        <is>
          <t>ÅRE</t>
        </is>
      </c>
      <c r="G833" t="n">
        <v>6.1</v>
      </c>
      <c r="H833" t="n">
        <v>0</v>
      </c>
      <c r="I833" t="n">
        <v>0</v>
      </c>
      <c r="J833" t="n">
        <v>0</v>
      </c>
      <c r="K833" t="n">
        <v>0</v>
      </c>
      <c r="L833" t="n">
        <v>0</v>
      </c>
      <c r="M833" t="n">
        <v>0</v>
      </c>
      <c r="N833" t="n">
        <v>0</v>
      </c>
      <c r="O833" t="n">
        <v>0</v>
      </c>
      <c r="P833" t="n">
        <v>0</v>
      </c>
      <c r="Q833" t="n">
        <v>0</v>
      </c>
      <c r="R833" s="2" t="inlineStr"/>
    </row>
    <row r="834" ht="15" customHeight="1">
      <c r="A834" t="inlineStr">
        <is>
          <t>A 28642-2024</t>
        </is>
      </c>
      <c r="B834" s="1" t="n">
        <v>45478</v>
      </c>
      <c r="C834" s="1" t="n">
        <v>45670</v>
      </c>
      <c r="D834" t="inlineStr">
        <is>
          <t>JÄMTLANDS LÄN</t>
        </is>
      </c>
      <c r="E834" t="inlineStr">
        <is>
          <t>ÅRE</t>
        </is>
      </c>
      <c r="G834" t="n">
        <v>3.2</v>
      </c>
      <c r="H834" t="n">
        <v>0</v>
      </c>
      <c r="I834" t="n">
        <v>0</v>
      </c>
      <c r="J834" t="n">
        <v>0</v>
      </c>
      <c r="K834" t="n">
        <v>0</v>
      </c>
      <c r="L834" t="n">
        <v>0</v>
      </c>
      <c r="M834" t="n">
        <v>0</v>
      </c>
      <c r="N834" t="n">
        <v>0</v>
      </c>
      <c r="O834" t="n">
        <v>0</v>
      </c>
      <c r="P834" t="n">
        <v>0</v>
      </c>
      <c r="Q834" t="n">
        <v>0</v>
      </c>
      <c r="R834" s="2" t="inlineStr"/>
    </row>
    <row r="835" ht="15" customHeight="1">
      <c r="A835" t="inlineStr">
        <is>
          <t>A 29177-2024</t>
        </is>
      </c>
      <c r="B835" s="1" t="n">
        <v>45482</v>
      </c>
      <c r="C835" s="1" t="n">
        <v>45670</v>
      </c>
      <c r="D835" t="inlineStr">
        <is>
          <t>JÄMTLANDS LÄN</t>
        </is>
      </c>
      <c r="E835" t="inlineStr">
        <is>
          <t>ÅRE</t>
        </is>
      </c>
      <c r="G835" t="n">
        <v>2.5</v>
      </c>
      <c r="H835" t="n">
        <v>0</v>
      </c>
      <c r="I835" t="n">
        <v>0</v>
      </c>
      <c r="J835" t="n">
        <v>0</v>
      </c>
      <c r="K835" t="n">
        <v>0</v>
      </c>
      <c r="L835" t="n">
        <v>0</v>
      </c>
      <c r="M835" t="n">
        <v>0</v>
      </c>
      <c r="N835" t="n">
        <v>0</v>
      </c>
      <c r="O835" t="n">
        <v>0</v>
      </c>
      <c r="P835" t="n">
        <v>0</v>
      </c>
      <c r="Q835" t="n">
        <v>0</v>
      </c>
      <c r="R835" s="2" t="inlineStr"/>
    </row>
    <row r="836" ht="15" customHeight="1">
      <c r="A836" t="inlineStr">
        <is>
          <t>A 30080-2024</t>
        </is>
      </c>
      <c r="B836" s="1" t="n">
        <v>45485</v>
      </c>
      <c r="C836" s="1" t="n">
        <v>45670</v>
      </c>
      <c r="D836" t="inlineStr">
        <is>
          <t>JÄMTLANDS LÄN</t>
        </is>
      </c>
      <c r="E836" t="inlineStr">
        <is>
          <t>ÅRE</t>
        </is>
      </c>
      <c r="G836" t="n">
        <v>24.6</v>
      </c>
      <c r="H836" t="n">
        <v>0</v>
      </c>
      <c r="I836" t="n">
        <v>0</v>
      </c>
      <c r="J836" t="n">
        <v>0</v>
      </c>
      <c r="K836" t="n">
        <v>0</v>
      </c>
      <c r="L836" t="n">
        <v>0</v>
      </c>
      <c r="M836" t="n">
        <v>0</v>
      </c>
      <c r="N836" t="n">
        <v>0</v>
      </c>
      <c r="O836" t="n">
        <v>0</v>
      </c>
      <c r="P836" t="n">
        <v>0</v>
      </c>
      <c r="Q836" t="n">
        <v>0</v>
      </c>
      <c r="R836" s="2" t="inlineStr"/>
    </row>
    <row r="837" ht="15" customHeight="1">
      <c r="A837" t="inlineStr">
        <is>
          <t>A 30081-2024</t>
        </is>
      </c>
      <c r="B837" s="1" t="n">
        <v>45485</v>
      </c>
      <c r="C837" s="1" t="n">
        <v>45670</v>
      </c>
      <c r="D837" t="inlineStr">
        <is>
          <t>JÄMTLANDS LÄN</t>
        </is>
      </c>
      <c r="E837" t="inlineStr">
        <is>
          <t>ÅRE</t>
        </is>
      </c>
      <c r="G837" t="n">
        <v>17.8</v>
      </c>
      <c r="H837" t="n">
        <v>0</v>
      </c>
      <c r="I837" t="n">
        <v>0</v>
      </c>
      <c r="J837" t="n">
        <v>0</v>
      </c>
      <c r="K837" t="n">
        <v>0</v>
      </c>
      <c r="L837" t="n">
        <v>0</v>
      </c>
      <c r="M837" t="n">
        <v>0</v>
      </c>
      <c r="N837" t="n">
        <v>0</v>
      </c>
      <c r="O837" t="n">
        <v>0</v>
      </c>
      <c r="P837" t="n">
        <v>0</v>
      </c>
      <c r="Q837" t="n">
        <v>0</v>
      </c>
      <c r="R837" s="2" t="inlineStr"/>
    </row>
    <row r="838" ht="15" customHeight="1">
      <c r="A838" t="inlineStr">
        <is>
          <t>A 30379-2024</t>
        </is>
      </c>
      <c r="B838" s="1" t="n">
        <v>45491</v>
      </c>
      <c r="C838" s="1" t="n">
        <v>45670</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33230-2024</t>
        </is>
      </c>
      <c r="B839" s="1" t="n">
        <v>45518</v>
      </c>
      <c r="C839" s="1" t="n">
        <v>45670</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33239-2024</t>
        </is>
      </c>
      <c r="B840" s="1" t="n">
        <v>45518</v>
      </c>
      <c r="C840" s="1" t="n">
        <v>45670</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33379-2024</t>
        </is>
      </c>
      <c r="B841" s="1" t="n">
        <v>45519</v>
      </c>
      <c r="C841" s="1" t="n">
        <v>45670</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34149-2024</t>
        </is>
      </c>
      <c r="B842" s="1" t="n">
        <v>45524</v>
      </c>
      <c r="C842" s="1" t="n">
        <v>45670</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35745-2024</t>
        </is>
      </c>
      <c r="B843" s="1" t="n">
        <v>45532</v>
      </c>
      <c r="C843" s="1" t="n">
        <v>45670</v>
      </c>
      <c r="D843" t="inlineStr">
        <is>
          <t>JÄMTLANDS LÄN</t>
        </is>
      </c>
      <c r="E843" t="inlineStr">
        <is>
          <t>ÅRE</t>
        </is>
      </c>
      <c r="G843" t="n">
        <v>4.2</v>
      </c>
      <c r="H843" t="n">
        <v>0</v>
      </c>
      <c r="I843" t="n">
        <v>0</v>
      </c>
      <c r="J843" t="n">
        <v>0</v>
      </c>
      <c r="K843" t="n">
        <v>0</v>
      </c>
      <c r="L843" t="n">
        <v>0</v>
      </c>
      <c r="M843" t="n">
        <v>0</v>
      </c>
      <c r="N843" t="n">
        <v>0</v>
      </c>
      <c r="O843" t="n">
        <v>0</v>
      </c>
      <c r="P843" t="n">
        <v>0</v>
      </c>
      <c r="Q843" t="n">
        <v>0</v>
      </c>
      <c r="R843" s="2" t="inlineStr"/>
    </row>
    <row r="844" ht="15" customHeight="1">
      <c r="A844" t="inlineStr">
        <is>
          <t>A 37718-2024</t>
        </is>
      </c>
      <c r="B844" s="1" t="n">
        <v>45541</v>
      </c>
      <c r="C844" s="1" t="n">
        <v>45670</v>
      </c>
      <c r="D844" t="inlineStr">
        <is>
          <t>JÄMTLANDS LÄN</t>
        </is>
      </c>
      <c r="E844" t="inlineStr">
        <is>
          <t>ÅRE</t>
        </is>
      </c>
      <c r="G844" t="n">
        <v>2.9</v>
      </c>
      <c r="H844" t="n">
        <v>0</v>
      </c>
      <c r="I844" t="n">
        <v>0</v>
      </c>
      <c r="J844" t="n">
        <v>0</v>
      </c>
      <c r="K844" t="n">
        <v>0</v>
      </c>
      <c r="L844" t="n">
        <v>0</v>
      </c>
      <c r="M844" t="n">
        <v>0</v>
      </c>
      <c r="N844" t="n">
        <v>0</v>
      </c>
      <c r="O844" t="n">
        <v>0</v>
      </c>
      <c r="P844" t="n">
        <v>0</v>
      </c>
      <c r="Q844" t="n">
        <v>0</v>
      </c>
      <c r="R844" s="2" t="inlineStr"/>
    </row>
    <row r="845" ht="15" customHeight="1">
      <c r="A845" t="inlineStr">
        <is>
          <t>A 38227-2024</t>
        </is>
      </c>
      <c r="B845" s="1" t="n">
        <v>45545</v>
      </c>
      <c r="C845" s="1" t="n">
        <v>45670</v>
      </c>
      <c r="D845" t="inlineStr">
        <is>
          <t>JÄMTLANDS LÄN</t>
        </is>
      </c>
      <c r="E845" t="inlineStr">
        <is>
          <t>ÅRE</t>
        </is>
      </c>
      <c r="G845" t="n">
        <v>3.9</v>
      </c>
      <c r="H845" t="n">
        <v>0</v>
      </c>
      <c r="I845" t="n">
        <v>0</v>
      </c>
      <c r="J845" t="n">
        <v>0</v>
      </c>
      <c r="K845" t="n">
        <v>0</v>
      </c>
      <c r="L845" t="n">
        <v>0</v>
      </c>
      <c r="M845" t="n">
        <v>0</v>
      </c>
      <c r="N845" t="n">
        <v>0</v>
      </c>
      <c r="O845" t="n">
        <v>0</v>
      </c>
      <c r="P845" t="n">
        <v>0</v>
      </c>
      <c r="Q845" t="n">
        <v>0</v>
      </c>
      <c r="R845" s="2" t="inlineStr"/>
    </row>
    <row r="846" ht="15" customHeight="1">
      <c r="A846" t="inlineStr">
        <is>
          <t>A 38263-2024</t>
        </is>
      </c>
      <c r="B846" s="1" t="n">
        <v>45545</v>
      </c>
      <c r="C846" s="1" t="n">
        <v>45670</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38268-2024</t>
        </is>
      </c>
      <c r="B847" s="1" t="n">
        <v>45545</v>
      </c>
      <c r="C847" s="1" t="n">
        <v>45670</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38276-2024</t>
        </is>
      </c>
      <c r="B848" s="1" t="n">
        <v>45545</v>
      </c>
      <c r="C848" s="1" t="n">
        <v>45670</v>
      </c>
      <c r="D848" t="inlineStr">
        <is>
          <t>JÄMTLANDS LÄN</t>
        </is>
      </c>
      <c r="E848" t="inlineStr">
        <is>
          <t>ÅRE</t>
        </is>
      </c>
      <c r="G848" t="n">
        <v>6.9</v>
      </c>
      <c r="H848" t="n">
        <v>0</v>
      </c>
      <c r="I848" t="n">
        <v>0</v>
      </c>
      <c r="J848" t="n">
        <v>0</v>
      </c>
      <c r="K848" t="n">
        <v>0</v>
      </c>
      <c r="L848" t="n">
        <v>0</v>
      </c>
      <c r="M848" t="n">
        <v>0</v>
      </c>
      <c r="N848" t="n">
        <v>0</v>
      </c>
      <c r="O848" t="n">
        <v>0</v>
      </c>
      <c r="P848" t="n">
        <v>0</v>
      </c>
      <c r="Q848" t="n">
        <v>0</v>
      </c>
      <c r="R848" s="2" t="inlineStr"/>
    </row>
    <row r="849" ht="15" customHeight="1">
      <c r="A849" t="inlineStr">
        <is>
          <t>A 38791-2024</t>
        </is>
      </c>
      <c r="B849" s="1" t="n">
        <v>45547</v>
      </c>
      <c r="C849" s="1" t="n">
        <v>45670</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39069-2024</t>
        </is>
      </c>
      <c r="B850" s="1" t="n">
        <v>45548</v>
      </c>
      <c r="C850" s="1" t="n">
        <v>45670</v>
      </c>
      <c r="D850" t="inlineStr">
        <is>
          <t>JÄMTLANDS LÄN</t>
        </is>
      </c>
      <c r="E850" t="inlineStr">
        <is>
          <t>ÅRE</t>
        </is>
      </c>
      <c r="G850" t="n">
        <v>0.5</v>
      </c>
      <c r="H850" t="n">
        <v>0</v>
      </c>
      <c r="I850" t="n">
        <v>0</v>
      </c>
      <c r="J850" t="n">
        <v>0</v>
      </c>
      <c r="K850" t="n">
        <v>0</v>
      </c>
      <c r="L850" t="n">
        <v>0</v>
      </c>
      <c r="M850" t="n">
        <v>0</v>
      </c>
      <c r="N850" t="n">
        <v>0</v>
      </c>
      <c r="O850" t="n">
        <v>0</v>
      </c>
      <c r="P850" t="n">
        <v>0</v>
      </c>
      <c r="Q850" t="n">
        <v>0</v>
      </c>
      <c r="R850" s="2" t="inlineStr"/>
    </row>
    <row r="851" ht="15" customHeight="1">
      <c r="A851" t="inlineStr">
        <is>
          <t>A 39068-2024</t>
        </is>
      </c>
      <c r="B851" s="1" t="n">
        <v>45548</v>
      </c>
      <c r="C851" s="1" t="n">
        <v>45670</v>
      </c>
      <c r="D851" t="inlineStr">
        <is>
          <t>JÄMTLANDS LÄN</t>
        </is>
      </c>
      <c r="E851" t="inlineStr">
        <is>
          <t>ÅRE</t>
        </is>
      </c>
      <c r="G851" t="n">
        <v>14.8</v>
      </c>
      <c r="H851" t="n">
        <v>0</v>
      </c>
      <c r="I851" t="n">
        <v>0</v>
      </c>
      <c r="J851" t="n">
        <v>0</v>
      </c>
      <c r="K851" t="n">
        <v>0</v>
      </c>
      <c r="L851" t="n">
        <v>0</v>
      </c>
      <c r="M851" t="n">
        <v>0</v>
      </c>
      <c r="N851" t="n">
        <v>0</v>
      </c>
      <c r="O851" t="n">
        <v>0</v>
      </c>
      <c r="P851" t="n">
        <v>0</v>
      </c>
      <c r="Q851" t="n">
        <v>0</v>
      </c>
      <c r="R851" s="2" t="inlineStr"/>
    </row>
    <row r="852" ht="15" customHeight="1">
      <c r="A852" t="inlineStr">
        <is>
          <t>A 39072-2024</t>
        </is>
      </c>
      <c r="B852" s="1" t="n">
        <v>45548</v>
      </c>
      <c r="C852" s="1" t="n">
        <v>45670</v>
      </c>
      <c r="D852" t="inlineStr">
        <is>
          <t>JÄMTLANDS LÄN</t>
        </is>
      </c>
      <c r="E852" t="inlineStr">
        <is>
          <t>ÅRE</t>
        </is>
      </c>
      <c r="G852" t="n">
        <v>1.4</v>
      </c>
      <c r="H852" t="n">
        <v>0</v>
      </c>
      <c r="I852" t="n">
        <v>0</v>
      </c>
      <c r="J852" t="n">
        <v>0</v>
      </c>
      <c r="K852" t="n">
        <v>0</v>
      </c>
      <c r="L852" t="n">
        <v>0</v>
      </c>
      <c r="M852" t="n">
        <v>0</v>
      </c>
      <c r="N852" t="n">
        <v>0</v>
      </c>
      <c r="O852" t="n">
        <v>0</v>
      </c>
      <c r="P852" t="n">
        <v>0</v>
      </c>
      <c r="Q852" t="n">
        <v>0</v>
      </c>
      <c r="R852" s="2" t="inlineStr"/>
    </row>
    <row r="853" ht="15" customHeight="1">
      <c r="A853" t="inlineStr">
        <is>
          <t>A 39071-2024</t>
        </is>
      </c>
      <c r="B853" s="1" t="n">
        <v>45548</v>
      </c>
      <c r="C853" s="1" t="n">
        <v>45670</v>
      </c>
      <c r="D853" t="inlineStr">
        <is>
          <t>JÄMTLANDS LÄN</t>
        </is>
      </c>
      <c r="E853" t="inlineStr">
        <is>
          <t>ÅRE</t>
        </is>
      </c>
      <c r="G853" t="n">
        <v>0.6</v>
      </c>
      <c r="H853" t="n">
        <v>0</v>
      </c>
      <c r="I853" t="n">
        <v>0</v>
      </c>
      <c r="J853" t="n">
        <v>0</v>
      </c>
      <c r="K853" t="n">
        <v>0</v>
      </c>
      <c r="L853" t="n">
        <v>0</v>
      </c>
      <c r="M853" t="n">
        <v>0</v>
      </c>
      <c r="N853" t="n">
        <v>0</v>
      </c>
      <c r="O853" t="n">
        <v>0</v>
      </c>
      <c r="P853" t="n">
        <v>0</v>
      </c>
      <c r="Q853" t="n">
        <v>0</v>
      </c>
      <c r="R853" s="2" t="inlineStr"/>
    </row>
    <row r="854" ht="15" customHeight="1">
      <c r="A854" t="inlineStr">
        <is>
          <t>A 39070-2024</t>
        </is>
      </c>
      <c r="B854" s="1" t="n">
        <v>45548</v>
      </c>
      <c r="C854" s="1" t="n">
        <v>45670</v>
      </c>
      <c r="D854" t="inlineStr">
        <is>
          <t>JÄMTLANDS LÄN</t>
        </is>
      </c>
      <c r="E854" t="inlineStr">
        <is>
          <t>ÅRE</t>
        </is>
      </c>
      <c r="G854" t="n">
        <v>2.1</v>
      </c>
      <c r="H854" t="n">
        <v>0</v>
      </c>
      <c r="I854" t="n">
        <v>0</v>
      </c>
      <c r="J854" t="n">
        <v>0</v>
      </c>
      <c r="K854" t="n">
        <v>0</v>
      </c>
      <c r="L854" t="n">
        <v>0</v>
      </c>
      <c r="M854" t="n">
        <v>0</v>
      </c>
      <c r="N854" t="n">
        <v>0</v>
      </c>
      <c r="O854" t="n">
        <v>0</v>
      </c>
      <c r="P854" t="n">
        <v>0</v>
      </c>
      <c r="Q854" t="n">
        <v>0</v>
      </c>
      <c r="R854" s="2" t="inlineStr"/>
    </row>
    <row r="855" ht="15" customHeight="1">
      <c r="A855" t="inlineStr">
        <is>
          <t>A 39195-2024</t>
        </is>
      </c>
      <c r="B855" s="1" t="n">
        <v>45548</v>
      </c>
      <c r="C855" s="1" t="n">
        <v>45670</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41268-2024</t>
        </is>
      </c>
      <c r="B856" s="1" t="n">
        <v>45559</v>
      </c>
      <c r="C856" s="1" t="n">
        <v>45670</v>
      </c>
      <c r="D856" t="inlineStr">
        <is>
          <t>JÄMTLANDS LÄN</t>
        </is>
      </c>
      <c r="E856" t="inlineStr">
        <is>
          <t>ÅRE</t>
        </is>
      </c>
      <c r="G856" t="n">
        <v>1.1</v>
      </c>
      <c r="H856" t="n">
        <v>0</v>
      </c>
      <c r="I856" t="n">
        <v>0</v>
      </c>
      <c r="J856" t="n">
        <v>0</v>
      </c>
      <c r="K856" t="n">
        <v>0</v>
      </c>
      <c r="L856" t="n">
        <v>0</v>
      </c>
      <c r="M856" t="n">
        <v>0</v>
      </c>
      <c r="N856" t="n">
        <v>0</v>
      </c>
      <c r="O856" t="n">
        <v>0</v>
      </c>
      <c r="P856" t="n">
        <v>0</v>
      </c>
      <c r="Q856" t="n">
        <v>0</v>
      </c>
      <c r="R856" s="2" t="inlineStr"/>
    </row>
    <row r="857" ht="15" customHeight="1">
      <c r="A857" t="inlineStr">
        <is>
          <t>A 41267-2024</t>
        </is>
      </c>
      <c r="B857" s="1" t="n">
        <v>45559</v>
      </c>
      <c r="C857" s="1" t="n">
        <v>45670</v>
      </c>
      <c r="D857" t="inlineStr">
        <is>
          <t>JÄMTLANDS LÄN</t>
        </is>
      </c>
      <c r="E857" t="inlineStr">
        <is>
          <t>ÅRE</t>
        </is>
      </c>
      <c r="G857" t="n">
        <v>3.4</v>
      </c>
      <c r="H857" t="n">
        <v>0</v>
      </c>
      <c r="I857" t="n">
        <v>0</v>
      </c>
      <c r="J857" t="n">
        <v>0</v>
      </c>
      <c r="K857" t="n">
        <v>0</v>
      </c>
      <c r="L857" t="n">
        <v>0</v>
      </c>
      <c r="M857" t="n">
        <v>0</v>
      </c>
      <c r="N857" t="n">
        <v>0</v>
      </c>
      <c r="O857" t="n">
        <v>0</v>
      </c>
      <c r="P857" t="n">
        <v>0</v>
      </c>
      <c r="Q857" t="n">
        <v>0</v>
      </c>
      <c r="R857" s="2" t="inlineStr"/>
    </row>
    <row r="858" ht="15" customHeight="1">
      <c r="A858" t="inlineStr">
        <is>
          <t>A 42274-2024</t>
        </is>
      </c>
      <c r="B858" s="1" t="n">
        <v>45559</v>
      </c>
      <c r="C858" s="1" t="n">
        <v>45670</v>
      </c>
      <c r="D858" t="inlineStr">
        <is>
          <t>JÄMTLANDS LÄN</t>
        </is>
      </c>
      <c r="E858" t="inlineStr">
        <is>
          <t>ÅRE</t>
        </is>
      </c>
      <c r="G858" t="n">
        <v>2.2</v>
      </c>
      <c r="H858" t="n">
        <v>0</v>
      </c>
      <c r="I858" t="n">
        <v>0</v>
      </c>
      <c r="J858" t="n">
        <v>0</v>
      </c>
      <c r="K858" t="n">
        <v>0</v>
      </c>
      <c r="L858" t="n">
        <v>0</v>
      </c>
      <c r="M858" t="n">
        <v>0</v>
      </c>
      <c r="N858" t="n">
        <v>0</v>
      </c>
      <c r="O858" t="n">
        <v>0</v>
      </c>
      <c r="P858" t="n">
        <v>0</v>
      </c>
      <c r="Q858" t="n">
        <v>0</v>
      </c>
      <c r="R858" s="2" t="inlineStr"/>
    </row>
    <row r="859" ht="15" customHeight="1">
      <c r="A859" t="inlineStr">
        <is>
          <t>A 41266-2024</t>
        </is>
      </c>
      <c r="B859" s="1" t="n">
        <v>45559</v>
      </c>
      <c r="C859" s="1" t="n">
        <v>45670</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41677-2024</t>
        </is>
      </c>
      <c r="B860" s="1" t="n">
        <v>45560</v>
      </c>
      <c r="C860" s="1" t="n">
        <v>45670</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41653-2024</t>
        </is>
      </c>
      <c r="B861" s="1" t="n">
        <v>45560</v>
      </c>
      <c r="C861" s="1" t="n">
        <v>45670</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41686-2024</t>
        </is>
      </c>
      <c r="B862" s="1" t="n">
        <v>45560</v>
      </c>
      <c r="C862" s="1" t="n">
        <v>45670</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41688-2024</t>
        </is>
      </c>
      <c r="B863" s="1" t="n">
        <v>45560</v>
      </c>
      <c r="C863" s="1" t="n">
        <v>45670</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41814-2024</t>
        </is>
      </c>
      <c r="B864" s="1" t="n">
        <v>45561</v>
      </c>
      <c r="C864" s="1" t="n">
        <v>45670</v>
      </c>
      <c r="D864" t="inlineStr">
        <is>
          <t>JÄMTLANDS LÄN</t>
        </is>
      </c>
      <c r="E864" t="inlineStr">
        <is>
          <t>ÅRE</t>
        </is>
      </c>
      <c r="G864" t="n">
        <v>5.4</v>
      </c>
      <c r="H864" t="n">
        <v>0</v>
      </c>
      <c r="I864" t="n">
        <v>0</v>
      </c>
      <c r="J864" t="n">
        <v>0</v>
      </c>
      <c r="K864" t="n">
        <v>0</v>
      </c>
      <c r="L864" t="n">
        <v>0</v>
      </c>
      <c r="M864" t="n">
        <v>0</v>
      </c>
      <c r="N864" t="n">
        <v>0</v>
      </c>
      <c r="O864" t="n">
        <v>0</v>
      </c>
      <c r="P864" t="n">
        <v>0</v>
      </c>
      <c r="Q864" t="n">
        <v>0</v>
      </c>
      <c r="R864" s="2" t="inlineStr"/>
    </row>
    <row r="865" ht="15" customHeight="1">
      <c r="A865" t="inlineStr">
        <is>
          <t>A 41797-2024</t>
        </is>
      </c>
      <c r="B865" s="1" t="n">
        <v>45561</v>
      </c>
      <c r="C865" s="1" t="n">
        <v>45670</v>
      </c>
      <c r="D865" t="inlineStr">
        <is>
          <t>JÄMTLANDS LÄN</t>
        </is>
      </c>
      <c r="E865" t="inlineStr">
        <is>
          <t>ÅRE</t>
        </is>
      </c>
      <c r="G865" t="n">
        <v>10.5</v>
      </c>
      <c r="H865" t="n">
        <v>0</v>
      </c>
      <c r="I865" t="n">
        <v>0</v>
      </c>
      <c r="J865" t="n">
        <v>0</v>
      </c>
      <c r="K865" t="n">
        <v>0</v>
      </c>
      <c r="L865" t="n">
        <v>0</v>
      </c>
      <c r="M865" t="n">
        <v>0</v>
      </c>
      <c r="N865" t="n">
        <v>0</v>
      </c>
      <c r="O865" t="n">
        <v>0</v>
      </c>
      <c r="P865" t="n">
        <v>0</v>
      </c>
      <c r="Q865" t="n">
        <v>0</v>
      </c>
      <c r="R865" s="2" t="inlineStr"/>
    </row>
    <row r="866" ht="15" customHeight="1">
      <c r="A866" t="inlineStr">
        <is>
          <t>A 42244-2024</t>
        </is>
      </c>
      <c r="B866" s="1" t="n">
        <v>45562</v>
      </c>
      <c r="C866" s="1" t="n">
        <v>45670</v>
      </c>
      <c r="D866" t="inlineStr">
        <is>
          <t>JÄMTLANDS LÄN</t>
        </is>
      </c>
      <c r="E866" t="inlineStr">
        <is>
          <t>ÅRE</t>
        </is>
      </c>
      <c r="F866" t="inlineStr">
        <is>
          <t>Övriga Aktiebolag</t>
        </is>
      </c>
      <c r="G866" t="n">
        <v>6</v>
      </c>
      <c r="H866" t="n">
        <v>0</v>
      </c>
      <c r="I866" t="n">
        <v>0</v>
      </c>
      <c r="J866" t="n">
        <v>0</v>
      </c>
      <c r="K866" t="n">
        <v>0</v>
      </c>
      <c r="L866" t="n">
        <v>0</v>
      </c>
      <c r="M866" t="n">
        <v>0</v>
      </c>
      <c r="N866" t="n">
        <v>0</v>
      </c>
      <c r="O866" t="n">
        <v>0</v>
      </c>
      <c r="P866" t="n">
        <v>0</v>
      </c>
      <c r="Q866" t="n">
        <v>0</v>
      </c>
      <c r="R866" s="2" t="inlineStr"/>
    </row>
    <row r="867" ht="15" customHeight="1">
      <c r="A867" t="inlineStr">
        <is>
          <t>A 42592-2024</t>
        </is>
      </c>
      <c r="B867" s="1" t="n">
        <v>45565</v>
      </c>
      <c r="C867" s="1" t="n">
        <v>45670</v>
      </c>
      <c r="D867" t="inlineStr">
        <is>
          <t>JÄMTLANDS LÄN</t>
        </is>
      </c>
      <c r="E867" t="inlineStr">
        <is>
          <t>ÅRE</t>
        </is>
      </c>
      <c r="F867" t="inlineStr">
        <is>
          <t>Övriga Aktiebolag</t>
        </is>
      </c>
      <c r="G867" t="n">
        <v>4.4</v>
      </c>
      <c r="H867" t="n">
        <v>0</v>
      </c>
      <c r="I867" t="n">
        <v>0</v>
      </c>
      <c r="J867" t="n">
        <v>0</v>
      </c>
      <c r="K867" t="n">
        <v>0</v>
      </c>
      <c r="L867" t="n">
        <v>0</v>
      </c>
      <c r="M867" t="n">
        <v>0</v>
      </c>
      <c r="N867" t="n">
        <v>0</v>
      </c>
      <c r="O867" t="n">
        <v>0</v>
      </c>
      <c r="P867" t="n">
        <v>0</v>
      </c>
      <c r="Q867" t="n">
        <v>0</v>
      </c>
      <c r="R867" s="2" t="inlineStr"/>
    </row>
    <row r="868" ht="15" customHeight="1">
      <c r="A868" t="inlineStr">
        <is>
          <t>A 43307-2024</t>
        </is>
      </c>
      <c r="B868" s="1" t="n">
        <v>45568</v>
      </c>
      <c r="C868" s="1" t="n">
        <v>45670</v>
      </c>
      <c r="D868" t="inlineStr">
        <is>
          <t>JÄMTLANDS LÄN</t>
        </is>
      </c>
      <c r="E868" t="inlineStr">
        <is>
          <t>ÅRE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43342-2024</t>
        </is>
      </c>
      <c r="B869" s="1" t="n">
        <v>45568</v>
      </c>
      <c r="C869" s="1" t="n">
        <v>45670</v>
      </c>
      <c r="D869" t="inlineStr">
        <is>
          <t>JÄMTLANDS LÄN</t>
        </is>
      </c>
      <c r="E869" t="inlineStr">
        <is>
          <t>ÅRE</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44722-2024</t>
        </is>
      </c>
      <c r="B870" s="1" t="n">
        <v>45574</v>
      </c>
      <c r="C870" s="1" t="n">
        <v>45670</v>
      </c>
      <c r="D870" t="inlineStr">
        <is>
          <t>JÄMTLANDS LÄN</t>
        </is>
      </c>
      <c r="E870" t="inlineStr">
        <is>
          <t>ÅRE</t>
        </is>
      </c>
      <c r="G870" t="n">
        <v>4.1</v>
      </c>
      <c r="H870" t="n">
        <v>0</v>
      </c>
      <c r="I870" t="n">
        <v>0</v>
      </c>
      <c r="J870" t="n">
        <v>0</v>
      </c>
      <c r="K870" t="n">
        <v>0</v>
      </c>
      <c r="L870" t="n">
        <v>0</v>
      </c>
      <c r="M870" t="n">
        <v>0</v>
      </c>
      <c r="N870" t="n">
        <v>0</v>
      </c>
      <c r="O870" t="n">
        <v>0</v>
      </c>
      <c r="P870" t="n">
        <v>0</v>
      </c>
      <c r="Q870" t="n">
        <v>0</v>
      </c>
      <c r="R870" s="2" t="inlineStr"/>
    </row>
    <row r="871" ht="15" customHeight="1">
      <c r="A871" t="inlineStr">
        <is>
          <t>A 44609-2024</t>
        </is>
      </c>
      <c r="B871" s="1" t="n">
        <v>45574</v>
      </c>
      <c r="C871" s="1" t="n">
        <v>45670</v>
      </c>
      <c r="D871" t="inlineStr">
        <is>
          <t>JÄMTLANDS LÄN</t>
        </is>
      </c>
      <c r="E871" t="inlineStr">
        <is>
          <t>ÅRE</t>
        </is>
      </c>
      <c r="G871" t="n">
        <v>1.9</v>
      </c>
      <c r="H871" t="n">
        <v>0</v>
      </c>
      <c r="I871" t="n">
        <v>0</v>
      </c>
      <c r="J871" t="n">
        <v>0</v>
      </c>
      <c r="K871" t="n">
        <v>0</v>
      </c>
      <c r="L871" t="n">
        <v>0</v>
      </c>
      <c r="M871" t="n">
        <v>0</v>
      </c>
      <c r="N871" t="n">
        <v>0</v>
      </c>
      <c r="O871" t="n">
        <v>0</v>
      </c>
      <c r="P871" t="n">
        <v>0</v>
      </c>
      <c r="Q871" t="n">
        <v>0</v>
      </c>
      <c r="R871" s="2" t="inlineStr"/>
    </row>
    <row r="872" ht="15" customHeight="1">
      <c r="A872" t="inlineStr">
        <is>
          <t>A 44797-2024</t>
        </is>
      </c>
      <c r="B872" s="1" t="n">
        <v>45574</v>
      </c>
      <c r="C872" s="1" t="n">
        <v>45670</v>
      </c>
      <c r="D872" t="inlineStr">
        <is>
          <t>JÄMTLANDS LÄN</t>
        </is>
      </c>
      <c r="E872" t="inlineStr">
        <is>
          <t>ÅRE</t>
        </is>
      </c>
      <c r="G872" t="n">
        <v>21.4</v>
      </c>
      <c r="H872" t="n">
        <v>0</v>
      </c>
      <c r="I872" t="n">
        <v>0</v>
      </c>
      <c r="J872" t="n">
        <v>0</v>
      </c>
      <c r="K872" t="n">
        <v>0</v>
      </c>
      <c r="L872" t="n">
        <v>0</v>
      </c>
      <c r="M872" t="n">
        <v>0</v>
      </c>
      <c r="N872" t="n">
        <v>0</v>
      </c>
      <c r="O872" t="n">
        <v>0</v>
      </c>
      <c r="P872" t="n">
        <v>0</v>
      </c>
      <c r="Q872" t="n">
        <v>0</v>
      </c>
      <c r="R872" s="2" t="inlineStr"/>
    </row>
    <row r="873" ht="15" customHeight="1">
      <c r="A873" t="inlineStr">
        <is>
          <t>A 45113-2024</t>
        </is>
      </c>
      <c r="B873" s="1" t="n">
        <v>45575</v>
      </c>
      <c r="C873" s="1" t="n">
        <v>45670</v>
      </c>
      <c r="D873" t="inlineStr">
        <is>
          <t>JÄMTLANDS LÄN</t>
        </is>
      </c>
      <c r="E873" t="inlineStr">
        <is>
          <t>ÅRE</t>
        </is>
      </c>
      <c r="G873" t="n">
        <v>3.7</v>
      </c>
      <c r="H873" t="n">
        <v>0</v>
      </c>
      <c r="I873" t="n">
        <v>0</v>
      </c>
      <c r="J873" t="n">
        <v>0</v>
      </c>
      <c r="K873" t="n">
        <v>0</v>
      </c>
      <c r="L873" t="n">
        <v>0</v>
      </c>
      <c r="M873" t="n">
        <v>0</v>
      </c>
      <c r="N873" t="n">
        <v>0</v>
      </c>
      <c r="O873" t="n">
        <v>0</v>
      </c>
      <c r="P873" t="n">
        <v>0</v>
      </c>
      <c r="Q873" t="n">
        <v>0</v>
      </c>
      <c r="R873" s="2" t="inlineStr"/>
    </row>
    <row r="874" ht="15" customHeight="1">
      <c r="A874" t="inlineStr">
        <is>
          <t>A 45130-2024</t>
        </is>
      </c>
      <c r="B874" s="1" t="n">
        <v>45575</v>
      </c>
      <c r="C874" s="1" t="n">
        <v>45670</v>
      </c>
      <c r="D874" t="inlineStr">
        <is>
          <t>JÄMTLANDS LÄN</t>
        </is>
      </c>
      <c r="E874" t="inlineStr">
        <is>
          <t>ÅRE</t>
        </is>
      </c>
      <c r="G874" t="n">
        <v>5.2</v>
      </c>
      <c r="H874" t="n">
        <v>0</v>
      </c>
      <c r="I874" t="n">
        <v>0</v>
      </c>
      <c r="J874" t="n">
        <v>0</v>
      </c>
      <c r="K874" t="n">
        <v>0</v>
      </c>
      <c r="L874" t="n">
        <v>0</v>
      </c>
      <c r="M874" t="n">
        <v>0</v>
      </c>
      <c r="N874" t="n">
        <v>0</v>
      </c>
      <c r="O874" t="n">
        <v>0</v>
      </c>
      <c r="P874" t="n">
        <v>0</v>
      </c>
      <c r="Q874" t="n">
        <v>0</v>
      </c>
      <c r="R874" s="2" t="inlineStr"/>
    </row>
    <row r="875" ht="15" customHeight="1">
      <c r="A875" t="inlineStr">
        <is>
          <t>A 45105-2024</t>
        </is>
      </c>
      <c r="B875" s="1" t="n">
        <v>45575</v>
      </c>
      <c r="C875" s="1" t="n">
        <v>45670</v>
      </c>
      <c r="D875" t="inlineStr">
        <is>
          <t>JÄMTLANDS LÄN</t>
        </is>
      </c>
      <c r="E875" t="inlineStr">
        <is>
          <t>ÅRE</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45161-2024</t>
        </is>
      </c>
      <c r="B876" s="1" t="n">
        <v>45575</v>
      </c>
      <c r="C876" s="1" t="n">
        <v>45670</v>
      </c>
      <c r="D876" t="inlineStr">
        <is>
          <t>JÄMTLANDS LÄN</t>
        </is>
      </c>
      <c r="E876" t="inlineStr">
        <is>
          <t>ÅRE</t>
        </is>
      </c>
      <c r="G876" t="n">
        <v>6.9</v>
      </c>
      <c r="H876" t="n">
        <v>0</v>
      </c>
      <c r="I876" t="n">
        <v>0</v>
      </c>
      <c r="J876" t="n">
        <v>0</v>
      </c>
      <c r="K876" t="n">
        <v>0</v>
      </c>
      <c r="L876" t="n">
        <v>0</v>
      </c>
      <c r="M876" t="n">
        <v>0</v>
      </c>
      <c r="N876" t="n">
        <v>0</v>
      </c>
      <c r="O876" t="n">
        <v>0</v>
      </c>
      <c r="P876" t="n">
        <v>0</v>
      </c>
      <c r="Q876" t="n">
        <v>0</v>
      </c>
      <c r="R876" s="2" t="inlineStr"/>
    </row>
    <row r="877" ht="15" customHeight="1">
      <c r="A877" t="inlineStr">
        <is>
          <t>A 44925-2024</t>
        </is>
      </c>
      <c r="B877" s="1" t="n">
        <v>45575</v>
      </c>
      <c r="C877" s="1" t="n">
        <v>45670</v>
      </c>
      <c r="D877" t="inlineStr">
        <is>
          <t>JÄMTLANDS LÄN</t>
        </is>
      </c>
      <c r="E877" t="inlineStr">
        <is>
          <t>ÅRE</t>
        </is>
      </c>
      <c r="F877" t="inlineStr">
        <is>
          <t>Övriga Aktiebolag</t>
        </is>
      </c>
      <c r="G877" t="n">
        <v>22.3</v>
      </c>
      <c r="H877" t="n">
        <v>0</v>
      </c>
      <c r="I877" t="n">
        <v>0</v>
      </c>
      <c r="J877" t="n">
        <v>0</v>
      </c>
      <c r="K877" t="n">
        <v>0</v>
      </c>
      <c r="L877" t="n">
        <v>0</v>
      </c>
      <c r="M877" t="n">
        <v>0</v>
      </c>
      <c r="N877" t="n">
        <v>0</v>
      </c>
      <c r="O877" t="n">
        <v>0</v>
      </c>
      <c r="P877" t="n">
        <v>0</v>
      </c>
      <c r="Q877" t="n">
        <v>0</v>
      </c>
      <c r="R877" s="2" t="inlineStr"/>
    </row>
    <row r="878" ht="15" customHeight="1">
      <c r="A878" t="inlineStr">
        <is>
          <t>A 45286-2024</t>
        </is>
      </c>
      <c r="B878" s="1" t="n">
        <v>45576</v>
      </c>
      <c r="C878" s="1" t="n">
        <v>45670</v>
      </c>
      <c r="D878" t="inlineStr">
        <is>
          <t>JÄMTLANDS LÄN</t>
        </is>
      </c>
      <c r="E878" t="inlineStr">
        <is>
          <t>ÅRE</t>
        </is>
      </c>
      <c r="G878" t="n">
        <v>0.7</v>
      </c>
      <c r="H878" t="n">
        <v>0</v>
      </c>
      <c r="I878" t="n">
        <v>0</v>
      </c>
      <c r="J878" t="n">
        <v>0</v>
      </c>
      <c r="K878" t="n">
        <v>0</v>
      </c>
      <c r="L878" t="n">
        <v>0</v>
      </c>
      <c r="M878" t="n">
        <v>0</v>
      </c>
      <c r="N878" t="n">
        <v>0</v>
      </c>
      <c r="O878" t="n">
        <v>0</v>
      </c>
      <c r="P878" t="n">
        <v>0</v>
      </c>
      <c r="Q878" t="n">
        <v>0</v>
      </c>
      <c r="R878" s="2" t="inlineStr"/>
    </row>
    <row r="879" ht="15" customHeight="1">
      <c r="A879" t="inlineStr">
        <is>
          <t>A 45453-2024</t>
        </is>
      </c>
      <c r="B879" s="1" t="n">
        <v>45576</v>
      </c>
      <c r="C879" s="1" t="n">
        <v>45670</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45324-2024</t>
        </is>
      </c>
      <c r="B880" s="1" t="n">
        <v>45576</v>
      </c>
      <c r="C880" s="1" t="n">
        <v>45670</v>
      </c>
      <c r="D880" t="inlineStr">
        <is>
          <t>JÄMTLANDS LÄN</t>
        </is>
      </c>
      <c r="E880" t="inlineStr">
        <is>
          <t>ÅRE</t>
        </is>
      </c>
      <c r="G880" t="n">
        <v>9.4</v>
      </c>
      <c r="H880" t="n">
        <v>0</v>
      </c>
      <c r="I880" t="n">
        <v>0</v>
      </c>
      <c r="J880" t="n">
        <v>0</v>
      </c>
      <c r="K880" t="n">
        <v>0</v>
      </c>
      <c r="L880" t="n">
        <v>0</v>
      </c>
      <c r="M880" t="n">
        <v>0</v>
      </c>
      <c r="N880" t="n">
        <v>0</v>
      </c>
      <c r="O880" t="n">
        <v>0</v>
      </c>
      <c r="P880" t="n">
        <v>0</v>
      </c>
      <c r="Q880" t="n">
        <v>0</v>
      </c>
      <c r="R880" s="2" t="inlineStr"/>
    </row>
    <row r="881" ht="15" customHeight="1">
      <c r="A881" t="inlineStr">
        <is>
          <t>A 45279-2024</t>
        </is>
      </c>
      <c r="B881" s="1" t="n">
        <v>45576</v>
      </c>
      <c r="C881" s="1" t="n">
        <v>45670</v>
      </c>
      <c r="D881" t="inlineStr">
        <is>
          <t>JÄMTLANDS LÄN</t>
        </is>
      </c>
      <c r="E881" t="inlineStr">
        <is>
          <t>ÅRE</t>
        </is>
      </c>
      <c r="G881" t="n">
        <v>17.2</v>
      </c>
      <c r="H881" t="n">
        <v>0</v>
      </c>
      <c r="I881" t="n">
        <v>0</v>
      </c>
      <c r="J881" t="n">
        <v>0</v>
      </c>
      <c r="K881" t="n">
        <v>0</v>
      </c>
      <c r="L881" t="n">
        <v>0</v>
      </c>
      <c r="M881" t="n">
        <v>0</v>
      </c>
      <c r="N881" t="n">
        <v>0</v>
      </c>
      <c r="O881" t="n">
        <v>0</v>
      </c>
      <c r="P881" t="n">
        <v>0</v>
      </c>
      <c r="Q881" t="n">
        <v>0</v>
      </c>
      <c r="R881" s="2" t="inlineStr"/>
    </row>
    <row r="882" ht="15" customHeight="1">
      <c r="A882" t="inlineStr">
        <is>
          <t>A 45833-2024</t>
        </is>
      </c>
      <c r="B882" s="1" t="n">
        <v>45579</v>
      </c>
      <c r="C882" s="1" t="n">
        <v>45670</v>
      </c>
      <c r="D882" t="inlineStr">
        <is>
          <t>JÄMTLANDS LÄN</t>
        </is>
      </c>
      <c r="E882" t="inlineStr">
        <is>
          <t>ÅRE</t>
        </is>
      </c>
      <c r="G882" t="n">
        <v>16.7</v>
      </c>
      <c r="H882" t="n">
        <v>0</v>
      </c>
      <c r="I882" t="n">
        <v>0</v>
      </c>
      <c r="J882" t="n">
        <v>0</v>
      </c>
      <c r="K882" t="n">
        <v>0</v>
      </c>
      <c r="L882" t="n">
        <v>0</v>
      </c>
      <c r="M882" t="n">
        <v>0</v>
      </c>
      <c r="N882" t="n">
        <v>0</v>
      </c>
      <c r="O882" t="n">
        <v>0</v>
      </c>
      <c r="P882" t="n">
        <v>0</v>
      </c>
      <c r="Q882" t="n">
        <v>0</v>
      </c>
      <c r="R882" s="2" t="inlineStr"/>
    </row>
    <row r="883" ht="15" customHeight="1">
      <c r="A883" t="inlineStr">
        <is>
          <t>A 45796-2024</t>
        </is>
      </c>
      <c r="B883" s="1" t="n">
        <v>45579</v>
      </c>
      <c r="C883" s="1" t="n">
        <v>45670</v>
      </c>
      <c r="D883" t="inlineStr">
        <is>
          <t>JÄMTLANDS LÄN</t>
        </is>
      </c>
      <c r="E883" t="inlineStr">
        <is>
          <t>ÅRE</t>
        </is>
      </c>
      <c r="G883" t="n">
        <v>5</v>
      </c>
      <c r="H883" t="n">
        <v>0</v>
      </c>
      <c r="I883" t="n">
        <v>0</v>
      </c>
      <c r="J883" t="n">
        <v>0</v>
      </c>
      <c r="K883" t="n">
        <v>0</v>
      </c>
      <c r="L883" t="n">
        <v>0</v>
      </c>
      <c r="M883" t="n">
        <v>0</v>
      </c>
      <c r="N883" t="n">
        <v>0</v>
      </c>
      <c r="O883" t="n">
        <v>0</v>
      </c>
      <c r="P883" t="n">
        <v>0</v>
      </c>
      <c r="Q883" t="n">
        <v>0</v>
      </c>
      <c r="R883" s="2" t="inlineStr"/>
    </row>
    <row r="884" ht="15" customHeight="1">
      <c r="A884" t="inlineStr">
        <is>
          <t>A 45736-2024</t>
        </is>
      </c>
      <c r="B884" s="1" t="n">
        <v>45579</v>
      </c>
      <c r="C884" s="1" t="n">
        <v>45670</v>
      </c>
      <c r="D884" t="inlineStr">
        <is>
          <t>JÄMTLANDS LÄN</t>
        </is>
      </c>
      <c r="E884" t="inlineStr">
        <is>
          <t>ÅRE</t>
        </is>
      </c>
      <c r="G884" t="n">
        <v>14.3</v>
      </c>
      <c r="H884" t="n">
        <v>0</v>
      </c>
      <c r="I884" t="n">
        <v>0</v>
      </c>
      <c r="J884" t="n">
        <v>0</v>
      </c>
      <c r="K884" t="n">
        <v>0</v>
      </c>
      <c r="L884" t="n">
        <v>0</v>
      </c>
      <c r="M884" t="n">
        <v>0</v>
      </c>
      <c r="N884" t="n">
        <v>0</v>
      </c>
      <c r="O884" t="n">
        <v>0</v>
      </c>
      <c r="P884" t="n">
        <v>0</v>
      </c>
      <c r="Q884" t="n">
        <v>0</v>
      </c>
      <c r="R884" s="2" t="inlineStr"/>
    </row>
    <row r="885" ht="15" customHeight="1">
      <c r="A885" t="inlineStr">
        <is>
          <t>A 45834-2024</t>
        </is>
      </c>
      <c r="B885" s="1" t="n">
        <v>45579</v>
      </c>
      <c r="C885" s="1" t="n">
        <v>45670</v>
      </c>
      <c r="D885" t="inlineStr">
        <is>
          <t>JÄMTLANDS LÄN</t>
        </is>
      </c>
      <c r="E885" t="inlineStr">
        <is>
          <t>ÅRE</t>
        </is>
      </c>
      <c r="G885" t="n">
        <v>3.9</v>
      </c>
      <c r="H885" t="n">
        <v>0</v>
      </c>
      <c r="I885" t="n">
        <v>0</v>
      </c>
      <c r="J885" t="n">
        <v>0</v>
      </c>
      <c r="K885" t="n">
        <v>0</v>
      </c>
      <c r="L885" t="n">
        <v>0</v>
      </c>
      <c r="M885" t="n">
        <v>0</v>
      </c>
      <c r="N885" t="n">
        <v>0</v>
      </c>
      <c r="O885" t="n">
        <v>0</v>
      </c>
      <c r="P885" t="n">
        <v>0</v>
      </c>
      <c r="Q885" t="n">
        <v>0</v>
      </c>
      <c r="R885" s="2" t="inlineStr"/>
    </row>
    <row r="886" ht="15" customHeight="1">
      <c r="A886" t="inlineStr">
        <is>
          <t>A 45946-2024</t>
        </is>
      </c>
      <c r="B886" s="1" t="n">
        <v>45580</v>
      </c>
      <c r="C886" s="1" t="n">
        <v>45670</v>
      </c>
      <c r="D886" t="inlineStr">
        <is>
          <t>JÄMTLANDS LÄN</t>
        </is>
      </c>
      <c r="E886" t="inlineStr">
        <is>
          <t>ÅRE</t>
        </is>
      </c>
      <c r="G886" t="n">
        <v>32</v>
      </c>
      <c r="H886" t="n">
        <v>0</v>
      </c>
      <c r="I886" t="n">
        <v>0</v>
      </c>
      <c r="J886" t="n">
        <v>0</v>
      </c>
      <c r="K886" t="n">
        <v>0</v>
      </c>
      <c r="L886" t="n">
        <v>0</v>
      </c>
      <c r="M886" t="n">
        <v>0</v>
      </c>
      <c r="N886" t="n">
        <v>0</v>
      </c>
      <c r="O886" t="n">
        <v>0</v>
      </c>
      <c r="P886" t="n">
        <v>0</v>
      </c>
      <c r="Q886" t="n">
        <v>0</v>
      </c>
      <c r="R886" s="2" t="inlineStr"/>
    </row>
    <row r="887" ht="15" customHeight="1">
      <c r="A887" t="inlineStr">
        <is>
          <t>A 46259-2024</t>
        </is>
      </c>
      <c r="B887" s="1" t="n">
        <v>45581</v>
      </c>
      <c r="C887" s="1" t="n">
        <v>45670</v>
      </c>
      <c r="D887" t="inlineStr">
        <is>
          <t>JÄMTLANDS LÄN</t>
        </is>
      </c>
      <c r="E887" t="inlineStr">
        <is>
          <t>ÅRE</t>
        </is>
      </c>
      <c r="G887" t="n">
        <v>4.7</v>
      </c>
      <c r="H887" t="n">
        <v>0</v>
      </c>
      <c r="I887" t="n">
        <v>0</v>
      </c>
      <c r="J887" t="n">
        <v>0</v>
      </c>
      <c r="K887" t="n">
        <v>0</v>
      </c>
      <c r="L887" t="n">
        <v>0</v>
      </c>
      <c r="M887" t="n">
        <v>0</v>
      </c>
      <c r="N887" t="n">
        <v>0</v>
      </c>
      <c r="O887" t="n">
        <v>0</v>
      </c>
      <c r="P887" t="n">
        <v>0</v>
      </c>
      <c r="Q887" t="n">
        <v>0</v>
      </c>
      <c r="R887" s="2" t="inlineStr"/>
    </row>
    <row r="888" ht="15" customHeight="1">
      <c r="A888" t="inlineStr">
        <is>
          <t>A 46546-2024</t>
        </is>
      </c>
      <c r="B888" s="1" t="n">
        <v>45582</v>
      </c>
      <c r="C888" s="1" t="n">
        <v>45670</v>
      </c>
      <c r="D888" t="inlineStr">
        <is>
          <t>JÄMTLANDS LÄN</t>
        </is>
      </c>
      <c r="E888" t="inlineStr">
        <is>
          <t>ÅRE</t>
        </is>
      </c>
      <c r="G888" t="n">
        <v>7.5</v>
      </c>
      <c r="H888" t="n">
        <v>0</v>
      </c>
      <c r="I888" t="n">
        <v>0</v>
      </c>
      <c r="J888" t="n">
        <v>0</v>
      </c>
      <c r="K888" t="n">
        <v>0</v>
      </c>
      <c r="L888" t="n">
        <v>0</v>
      </c>
      <c r="M888" t="n">
        <v>0</v>
      </c>
      <c r="N888" t="n">
        <v>0</v>
      </c>
      <c r="O888" t="n">
        <v>0</v>
      </c>
      <c r="P888" t="n">
        <v>0</v>
      </c>
      <c r="Q888" t="n">
        <v>0</v>
      </c>
      <c r="R888" s="2" t="inlineStr"/>
    </row>
    <row r="889" ht="15" customHeight="1">
      <c r="A889" t="inlineStr">
        <is>
          <t>A 46559-2024</t>
        </is>
      </c>
      <c r="B889" s="1" t="n">
        <v>45582</v>
      </c>
      <c r="C889" s="1" t="n">
        <v>45670</v>
      </c>
      <c r="D889" t="inlineStr">
        <is>
          <t>JÄMTLANDS LÄN</t>
        </is>
      </c>
      <c r="E889" t="inlineStr">
        <is>
          <t>ÅRE</t>
        </is>
      </c>
      <c r="G889" t="n">
        <v>6.2</v>
      </c>
      <c r="H889" t="n">
        <v>0</v>
      </c>
      <c r="I889" t="n">
        <v>0</v>
      </c>
      <c r="J889" t="n">
        <v>0</v>
      </c>
      <c r="K889" t="n">
        <v>0</v>
      </c>
      <c r="L889" t="n">
        <v>0</v>
      </c>
      <c r="M889" t="n">
        <v>0</v>
      </c>
      <c r="N889" t="n">
        <v>0</v>
      </c>
      <c r="O889" t="n">
        <v>0</v>
      </c>
      <c r="P889" t="n">
        <v>0</v>
      </c>
      <c r="Q889" t="n">
        <v>0</v>
      </c>
      <c r="R889" s="2" t="inlineStr"/>
    </row>
    <row r="890" ht="15" customHeight="1">
      <c r="A890" t="inlineStr">
        <is>
          <t>A 46444-2024</t>
        </is>
      </c>
      <c r="B890" s="1" t="n">
        <v>45582</v>
      </c>
      <c r="C890" s="1" t="n">
        <v>45670</v>
      </c>
      <c r="D890" t="inlineStr">
        <is>
          <t>JÄMTLANDS LÄN</t>
        </is>
      </c>
      <c r="E890" t="inlineStr">
        <is>
          <t>ÅRE</t>
        </is>
      </c>
      <c r="G890" t="n">
        <v>19.6</v>
      </c>
      <c r="H890" t="n">
        <v>0</v>
      </c>
      <c r="I890" t="n">
        <v>0</v>
      </c>
      <c r="J890" t="n">
        <v>0</v>
      </c>
      <c r="K890" t="n">
        <v>0</v>
      </c>
      <c r="L890" t="n">
        <v>0</v>
      </c>
      <c r="M890" t="n">
        <v>0</v>
      </c>
      <c r="N890" t="n">
        <v>0</v>
      </c>
      <c r="O890" t="n">
        <v>0</v>
      </c>
      <c r="P890" t="n">
        <v>0</v>
      </c>
      <c r="Q890" t="n">
        <v>0</v>
      </c>
      <c r="R890" s="2" t="inlineStr"/>
    </row>
    <row r="891" ht="15" customHeight="1">
      <c r="A891" t="inlineStr">
        <is>
          <t>A 46788-2024</t>
        </is>
      </c>
      <c r="B891" s="1" t="n">
        <v>45583</v>
      </c>
      <c r="C891" s="1" t="n">
        <v>45670</v>
      </c>
      <c r="D891" t="inlineStr">
        <is>
          <t>JÄMTLANDS LÄN</t>
        </is>
      </c>
      <c r="E891" t="inlineStr">
        <is>
          <t>ÅRE</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46789-2024</t>
        </is>
      </c>
      <c r="B892" s="1" t="n">
        <v>45583</v>
      </c>
      <c r="C892" s="1" t="n">
        <v>45670</v>
      </c>
      <c r="D892" t="inlineStr">
        <is>
          <t>JÄMTLANDS LÄN</t>
        </is>
      </c>
      <c r="E892" t="inlineStr">
        <is>
          <t>ÅRE</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47094-2024</t>
        </is>
      </c>
      <c r="B893" s="1" t="n">
        <v>45586</v>
      </c>
      <c r="C893" s="1" t="n">
        <v>45670</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47076-2024</t>
        </is>
      </c>
      <c r="B894" s="1" t="n">
        <v>45586</v>
      </c>
      <c r="C894" s="1" t="n">
        <v>45670</v>
      </c>
      <c r="D894" t="inlineStr">
        <is>
          <t>JÄMTLANDS LÄN</t>
        </is>
      </c>
      <c r="E894" t="inlineStr">
        <is>
          <t>ÅRE</t>
        </is>
      </c>
      <c r="G894" t="n">
        <v>6.5</v>
      </c>
      <c r="H894" t="n">
        <v>0</v>
      </c>
      <c r="I894" t="n">
        <v>0</v>
      </c>
      <c r="J894" t="n">
        <v>0</v>
      </c>
      <c r="K894" t="n">
        <v>0</v>
      </c>
      <c r="L894" t="n">
        <v>0</v>
      </c>
      <c r="M894" t="n">
        <v>0</v>
      </c>
      <c r="N894" t="n">
        <v>0</v>
      </c>
      <c r="O894" t="n">
        <v>0</v>
      </c>
      <c r="P894" t="n">
        <v>0</v>
      </c>
      <c r="Q894" t="n">
        <v>0</v>
      </c>
      <c r="R894" s="2" t="inlineStr"/>
    </row>
    <row r="895" ht="15" customHeight="1">
      <c r="A895" t="inlineStr">
        <is>
          <t>A 47064-2024</t>
        </is>
      </c>
      <c r="B895" s="1" t="n">
        <v>45586</v>
      </c>
      <c r="C895" s="1" t="n">
        <v>45670</v>
      </c>
      <c r="D895" t="inlineStr">
        <is>
          <t>JÄMTLANDS LÄN</t>
        </is>
      </c>
      <c r="E895" t="inlineStr">
        <is>
          <t>ÅRE</t>
        </is>
      </c>
      <c r="G895" t="n">
        <v>2.8</v>
      </c>
      <c r="H895" t="n">
        <v>0</v>
      </c>
      <c r="I895" t="n">
        <v>0</v>
      </c>
      <c r="J895" t="n">
        <v>0</v>
      </c>
      <c r="K895" t="n">
        <v>0</v>
      </c>
      <c r="L895" t="n">
        <v>0</v>
      </c>
      <c r="M895" t="n">
        <v>0</v>
      </c>
      <c r="N895" t="n">
        <v>0</v>
      </c>
      <c r="O895" t="n">
        <v>0</v>
      </c>
      <c r="P895" t="n">
        <v>0</v>
      </c>
      <c r="Q895" t="n">
        <v>0</v>
      </c>
      <c r="R895" s="2" t="inlineStr"/>
    </row>
    <row r="896" ht="15" customHeight="1">
      <c r="A896" t="inlineStr">
        <is>
          <t>A 47075-2024</t>
        </is>
      </c>
      <c r="B896" s="1" t="n">
        <v>45586</v>
      </c>
      <c r="C896" s="1" t="n">
        <v>45670</v>
      </c>
      <c r="D896" t="inlineStr">
        <is>
          <t>JÄMTLANDS LÄN</t>
        </is>
      </c>
      <c r="E896" t="inlineStr">
        <is>
          <t>ÅRE</t>
        </is>
      </c>
      <c r="G896" t="n">
        <v>1.2</v>
      </c>
      <c r="H896" t="n">
        <v>0</v>
      </c>
      <c r="I896" t="n">
        <v>0</v>
      </c>
      <c r="J896" t="n">
        <v>0</v>
      </c>
      <c r="K896" t="n">
        <v>0</v>
      </c>
      <c r="L896" t="n">
        <v>0</v>
      </c>
      <c r="M896" t="n">
        <v>0</v>
      </c>
      <c r="N896" t="n">
        <v>0</v>
      </c>
      <c r="O896" t="n">
        <v>0</v>
      </c>
      <c r="P896" t="n">
        <v>0</v>
      </c>
      <c r="Q896" t="n">
        <v>0</v>
      </c>
      <c r="R896" s="2" t="inlineStr"/>
    </row>
    <row r="897" ht="15" customHeight="1">
      <c r="A897" t="inlineStr">
        <is>
          <t>A 47069-2024</t>
        </is>
      </c>
      <c r="B897" s="1" t="n">
        <v>45586</v>
      </c>
      <c r="C897" s="1" t="n">
        <v>45670</v>
      </c>
      <c r="D897" t="inlineStr">
        <is>
          <t>JÄMTLANDS LÄN</t>
        </is>
      </c>
      <c r="E897" t="inlineStr">
        <is>
          <t>ÅRE</t>
        </is>
      </c>
      <c r="G897" t="n">
        <v>7.1</v>
      </c>
      <c r="H897" t="n">
        <v>0</v>
      </c>
      <c r="I897" t="n">
        <v>0</v>
      </c>
      <c r="J897" t="n">
        <v>0</v>
      </c>
      <c r="K897" t="n">
        <v>0</v>
      </c>
      <c r="L897" t="n">
        <v>0</v>
      </c>
      <c r="M897" t="n">
        <v>0</v>
      </c>
      <c r="N897" t="n">
        <v>0</v>
      </c>
      <c r="O897" t="n">
        <v>0</v>
      </c>
      <c r="P897" t="n">
        <v>0</v>
      </c>
      <c r="Q897" t="n">
        <v>0</v>
      </c>
      <c r="R897" s="2" t="inlineStr"/>
    </row>
    <row r="898" ht="15" customHeight="1">
      <c r="A898" t="inlineStr">
        <is>
          <t>A 47279-2024</t>
        </is>
      </c>
      <c r="B898" s="1" t="n">
        <v>45587</v>
      </c>
      <c r="C898" s="1" t="n">
        <v>45670</v>
      </c>
      <c r="D898" t="inlineStr">
        <is>
          <t>JÄMTLANDS LÄN</t>
        </is>
      </c>
      <c r="E898" t="inlineStr">
        <is>
          <t>ÅRE</t>
        </is>
      </c>
      <c r="G898" t="n">
        <v>11.9</v>
      </c>
      <c r="H898" t="n">
        <v>0</v>
      </c>
      <c r="I898" t="n">
        <v>0</v>
      </c>
      <c r="J898" t="n">
        <v>0</v>
      </c>
      <c r="K898" t="n">
        <v>0</v>
      </c>
      <c r="L898" t="n">
        <v>0</v>
      </c>
      <c r="M898" t="n">
        <v>0</v>
      </c>
      <c r="N898" t="n">
        <v>0</v>
      </c>
      <c r="O898" t="n">
        <v>0</v>
      </c>
      <c r="P898" t="n">
        <v>0</v>
      </c>
      <c r="Q898" t="n">
        <v>0</v>
      </c>
      <c r="R898" s="2" t="inlineStr"/>
    </row>
    <row r="899" ht="15" customHeight="1">
      <c r="A899" t="inlineStr">
        <is>
          <t>A 47556-2024</t>
        </is>
      </c>
      <c r="B899" s="1" t="n">
        <v>45587</v>
      </c>
      <c r="C899" s="1" t="n">
        <v>45670</v>
      </c>
      <c r="D899" t="inlineStr">
        <is>
          <t>JÄMTLANDS LÄN</t>
        </is>
      </c>
      <c r="E899" t="inlineStr">
        <is>
          <t>ÅRE</t>
        </is>
      </c>
      <c r="G899" t="n">
        <v>2.2</v>
      </c>
      <c r="H899" t="n">
        <v>0</v>
      </c>
      <c r="I899" t="n">
        <v>0</v>
      </c>
      <c r="J899" t="n">
        <v>0</v>
      </c>
      <c r="K899" t="n">
        <v>0</v>
      </c>
      <c r="L899" t="n">
        <v>0</v>
      </c>
      <c r="M899" t="n">
        <v>0</v>
      </c>
      <c r="N899" t="n">
        <v>0</v>
      </c>
      <c r="O899" t="n">
        <v>0</v>
      </c>
      <c r="P899" t="n">
        <v>0</v>
      </c>
      <c r="Q899" t="n">
        <v>0</v>
      </c>
      <c r="R899" s="2" t="inlineStr"/>
    </row>
    <row r="900" ht="15" customHeight="1">
      <c r="A900" t="inlineStr">
        <is>
          <t>A 48766-2024</t>
        </is>
      </c>
      <c r="B900" s="1" t="n">
        <v>45593</v>
      </c>
      <c r="C900" s="1" t="n">
        <v>45670</v>
      </c>
      <c r="D900" t="inlineStr">
        <is>
          <t>JÄMTLANDS LÄN</t>
        </is>
      </c>
      <c r="E900" t="inlineStr">
        <is>
          <t>ÅRE</t>
        </is>
      </c>
      <c r="G900" t="n">
        <v>3.3</v>
      </c>
      <c r="H900" t="n">
        <v>0</v>
      </c>
      <c r="I900" t="n">
        <v>0</v>
      </c>
      <c r="J900" t="n">
        <v>0</v>
      </c>
      <c r="K900" t="n">
        <v>0</v>
      </c>
      <c r="L900" t="n">
        <v>0</v>
      </c>
      <c r="M900" t="n">
        <v>0</v>
      </c>
      <c r="N900" t="n">
        <v>0</v>
      </c>
      <c r="O900" t="n">
        <v>0</v>
      </c>
      <c r="P900" t="n">
        <v>0</v>
      </c>
      <c r="Q900" t="n">
        <v>0</v>
      </c>
      <c r="R900" s="2" t="inlineStr"/>
    </row>
    <row r="901" ht="15" customHeight="1">
      <c r="A901" t="inlineStr">
        <is>
          <t>A 48839-2024</t>
        </is>
      </c>
      <c r="B901" s="1" t="n">
        <v>45593</v>
      </c>
      <c r="C901" s="1" t="n">
        <v>45670</v>
      </c>
      <c r="D901" t="inlineStr">
        <is>
          <t>JÄMTLANDS LÄN</t>
        </is>
      </c>
      <c r="E901" t="inlineStr">
        <is>
          <t>ÅRE</t>
        </is>
      </c>
      <c r="G901" t="n">
        <v>9.6</v>
      </c>
      <c r="H901" t="n">
        <v>0</v>
      </c>
      <c r="I901" t="n">
        <v>0</v>
      </c>
      <c r="J901" t="n">
        <v>0</v>
      </c>
      <c r="K901" t="n">
        <v>0</v>
      </c>
      <c r="L901" t="n">
        <v>0</v>
      </c>
      <c r="M901" t="n">
        <v>0</v>
      </c>
      <c r="N901" t="n">
        <v>0</v>
      </c>
      <c r="O901" t="n">
        <v>0</v>
      </c>
      <c r="P901" t="n">
        <v>0</v>
      </c>
      <c r="Q901" t="n">
        <v>0</v>
      </c>
      <c r="R901" s="2" t="inlineStr"/>
    </row>
    <row r="902" ht="15" customHeight="1">
      <c r="A902" t="inlineStr">
        <is>
          <t>A 48769-2024</t>
        </is>
      </c>
      <c r="B902" s="1" t="n">
        <v>45593</v>
      </c>
      <c r="C902" s="1" t="n">
        <v>45670</v>
      </c>
      <c r="D902" t="inlineStr">
        <is>
          <t>JÄMTLANDS LÄN</t>
        </is>
      </c>
      <c r="E902" t="inlineStr">
        <is>
          <t>ÅRE</t>
        </is>
      </c>
      <c r="G902" t="n">
        <v>3</v>
      </c>
      <c r="H902" t="n">
        <v>0</v>
      </c>
      <c r="I902" t="n">
        <v>0</v>
      </c>
      <c r="J902" t="n">
        <v>0</v>
      </c>
      <c r="K902" t="n">
        <v>0</v>
      </c>
      <c r="L902" t="n">
        <v>0</v>
      </c>
      <c r="M902" t="n">
        <v>0</v>
      </c>
      <c r="N902" t="n">
        <v>0</v>
      </c>
      <c r="O902" t="n">
        <v>0</v>
      </c>
      <c r="P902" t="n">
        <v>0</v>
      </c>
      <c r="Q902" t="n">
        <v>0</v>
      </c>
      <c r="R902" s="2" t="inlineStr"/>
    </row>
    <row r="903" ht="15" customHeight="1">
      <c r="A903" t="inlineStr">
        <is>
          <t>A 49110-2024</t>
        </is>
      </c>
      <c r="B903" s="1" t="n">
        <v>45594</v>
      </c>
      <c r="C903" s="1" t="n">
        <v>45670</v>
      </c>
      <c r="D903" t="inlineStr">
        <is>
          <t>JÄMTLANDS LÄN</t>
        </is>
      </c>
      <c r="E903" t="inlineStr">
        <is>
          <t>ÅRE</t>
        </is>
      </c>
      <c r="G903" t="n">
        <v>10</v>
      </c>
      <c r="H903" t="n">
        <v>0</v>
      </c>
      <c r="I903" t="n">
        <v>0</v>
      </c>
      <c r="J903" t="n">
        <v>0</v>
      </c>
      <c r="K903" t="n">
        <v>0</v>
      </c>
      <c r="L903" t="n">
        <v>0</v>
      </c>
      <c r="M903" t="n">
        <v>0</v>
      </c>
      <c r="N903" t="n">
        <v>0</v>
      </c>
      <c r="O903" t="n">
        <v>0</v>
      </c>
      <c r="P903" t="n">
        <v>0</v>
      </c>
      <c r="Q903" t="n">
        <v>0</v>
      </c>
      <c r="R903" s="2" t="inlineStr"/>
    </row>
    <row r="904" ht="15" customHeight="1">
      <c r="A904" t="inlineStr">
        <is>
          <t>A 49267-2024</t>
        </is>
      </c>
      <c r="B904" s="1" t="n">
        <v>45595</v>
      </c>
      <c r="C904" s="1" t="n">
        <v>45670</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49296-2024</t>
        </is>
      </c>
      <c r="B905" s="1" t="n">
        <v>45595</v>
      </c>
      <c r="C905" s="1" t="n">
        <v>45670</v>
      </c>
      <c r="D905" t="inlineStr">
        <is>
          <t>JÄMTLANDS LÄN</t>
        </is>
      </c>
      <c r="E905" t="inlineStr">
        <is>
          <t>ÅRE</t>
        </is>
      </c>
      <c r="G905" t="n">
        <v>1</v>
      </c>
      <c r="H905" t="n">
        <v>0</v>
      </c>
      <c r="I905" t="n">
        <v>0</v>
      </c>
      <c r="J905" t="n">
        <v>0</v>
      </c>
      <c r="K905" t="n">
        <v>0</v>
      </c>
      <c r="L905" t="n">
        <v>0</v>
      </c>
      <c r="M905" t="n">
        <v>0</v>
      </c>
      <c r="N905" t="n">
        <v>0</v>
      </c>
      <c r="O905" t="n">
        <v>0</v>
      </c>
      <c r="P905" t="n">
        <v>0</v>
      </c>
      <c r="Q905" t="n">
        <v>0</v>
      </c>
      <c r="R905" s="2" t="inlineStr"/>
    </row>
    <row r="906" ht="15" customHeight="1">
      <c r="A906" t="inlineStr">
        <is>
          <t>A 49313-2024</t>
        </is>
      </c>
      <c r="B906" s="1" t="n">
        <v>45595</v>
      </c>
      <c r="C906" s="1" t="n">
        <v>45670</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49320-2024</t>
        </is>
      </c>
      <c r="B907" s="1" t="n">
        <v>45595</v>
      </c>
      <c r="C907" s="1" t="n">
        <v>45670</v>
      </c>
      <c r="D907" t="inlineStr">
        <is>
          <t>JÄMTLANDS LÄN</t>
        </is>
      </c>
      <c r="E907" t="inlineStr">
        <is>
          <t>ÅRE</t>
        </is>
      </c>
      <c r="G907" t="n">
        <v>1.1</v>
      </c>
      <c r="H907" t="n">
        <v>0</v>
      </c>
      <c r="I907" t="n">
        <v>0</v>
      </c>
      <c r="J907" t="n">
        <v>0</v>
      </c>
      <c r="K907" t="n">
        <v>0</v>
      </c>
      <c r="L907" t="n">
        <v>0</v>
      </c>
      <c r="M907" t="n">
        <v>0</v>
      </c>
      <c r="N907" t="n">
        <v>0</v>
      </c>
      <c r="O907" t="n">
        <v>0</v>
      </c>
      <c r="P907" t="n">
        <v>0</v>
      </c>
      <c r="Q907" t="n">
        <v>0</v>
      </c>
      <c r="R907" s="2" t="inlineStr"/>
    </row>
    <row r="908" ht="15" customHeight="1">
      <c r="A908" t="inlineStr">
        <is>
          <t>A 49303-2024</t>
        </is>
      </c>
      <c r="B908" s="1" t="n">
        <v>45595</v>
      </c>
      <c r="C908" s="1" t="n">
        <v>45670</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49678-2024</t>
        </is>
      </c>
      <c r="B909" s="1" t="n">
        <v>45596</v>
      </c>
      <c r="C909" s="1" t="n">
        <v>45670</v>
      </c>
      <c r="D909" t="inlineStr">
        <is>
          <t>JÄMTLANDS LÄN</t>
        </is>
      </c>
      <c r="E909" t="inlineStr">
        <is>
          <t>ÅRE</t>
        </is>
      </c>
      <c r="G909" t="n">
        <v>2.6</v>
      </c>
      <c r="H909" t="n">
        <v>0</v>
      </c>
      <c r="I909" t="n">
        <v>0</v>
      </c>
      <c r="J909" t="n">
        <v>0</v>
      </c>
      <c r="K909" t="n">
        <v>0</v>
      </c>
      <c r="L909" t="n">
        <v>0</v>
      </c>
      <c r="M909" t="n">
        <v>0</v>
      </c>
      <c r="N909" t="n">
        <v>0</v>
      </c>
      <c r="O909" t="n">
        <v>0</v>
      </c>
      <c r="P909" t="n">
        <v>0</v>
      </c>
      <c r="Q909" t="n">
        <v>0</v>
      </c>
      <c r="R909" s="2" t="inlineStr"/>
    </row>
    <row r="910" ht="15" customHeight="1">
      <c r="A910" t="inlineStr">
        <is>
          <t>A 49702-2024</t>
        </is>
      </c>
      <c r="B910" s="1" t="n">
        <v>45596</v>
      </c>
      <c r="C910" s="1" t="n">
        <v>45670</v>
      </c>
      <c r="D910" t="inlineStr">
        <is>
          <t>JÄMTLANDS LÄN</t>
        </is>
      </c>
      <c r="E910" t="inlineStr">
        <is>
          <t>ÅRE</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49799-2024</t>
        </is>
      </c>
      <c r="B911" s="1" t="n">
        <v>45596</v>
      </c>
      <c r="C911" s="1" t="n">
        <v>45670</v>
      </c>
      <c r="D911" t="inlineStr">
        <is>
          <t>JÄMTLANDS LÄN</t>
        </is>
      </c>
      <c r="E911" t="inlineStr">
        <is>
          <t>ÅRE</t>
        </is>
      </c>
      <c r="G911" t="n">
        <v>7.2</v>
      </c>
      <c r="H911" t="n">
        <v>0</v>
      </c>
      <c r="I911" t="n">
        <v>0</v>
      </c>
      <c r="J911" t="n">
        <v>0</v>
      </c>
      <c r="K911" t="n">
        <v>0</v>
      </c>
      <c r="L911" t="n">
        <v>0</v>
      </c>
      <c r="M911" t="n">
        <v>0</v>
      </c>
      <c r="N911" t="n">
        <v>0</v>
      </c>
      <c r="O911" t="n">
        <v>0</v>
      </c>
      <c r="P911" t="n">
        <v>0</v>
      </c>
      <c r="Q911" t="n">
        <v>0</v>
      </c>
      <c r="R911" s="2" t="inlineStr"/>
    </row>
    <row r="912" ht="15" customHeight="1">
      <c r="A912" t="inlineStr">
        <is>
          <t>A 49778-2024</t>
        </is>
      </c>
      <c r="B912" s="1" t="n">
        <v>45596</v>
      </c>
      <c r="C912" s="1" t="n">
        <v>45670</v>
      </c>
      <c r="D912" t="inlineStr">
        <is>
          <t>JÄMTLANDS LÄN</t>
        </is>
      </c>
      <c r="E912" t="inlineStr">
        <is>
          <t>ÅRE</t>
        </is>
      </c>
      <c r="G912" t="n">
        <v>34.5</v>
      </c>
      <c r="H912" t="n">
        <v>0</v>
      </c>
      <c r="I912" t="n">
        <v>0</v>
      </c>
      <c r="J912" t="n">
        <v>0</v>
      </c>
      <c r="K912" t="n">
        <v>0</v>
      </c>
      <c r="L912" t="n">
        <v>0</v>
      </c>
      <c r="M912" t="n">
        <v>0</v>
      </c>
      <c r="N912" t="n">
        <v>0</v>
      </c>
      <c r="O912" t="n">
        <v>0</v>
      </c>
      <c r="P912" t="n">
        <v>0</v>
      </c>
      <c r="Q912" t="n">
        <v>0</v>
      </c>
      <c r="R912" s="2" t="inlineStr"/>
    </row>
    <row r="913" ht="15" customHeight="1">
      <c r="A913" t="inlineStr">
        <is>
          <t>A 49805-2024</t>
        </is>
      </c>
      <c r="B913" s="1" t="n">
        <v>45596</v>
      </c>
      <c r="C913" s="1" t="n">
        <v>45670</v>
      </c>
      <c r="D913" t="inlineStr">
        <is>
          <t>JÄMTLANDS LÄN</t>
        </is>
      </c>
      <c r="E913" t="inlineStr">
        <is>
          <t>ÅRE</t>
        </is>
      </c>
      <c r="G913" t="n">
        <v>3.5</v>
      </c>
      <c r="H913" t="n">
        <v>0</v>
      </c>
      <c r="I913" t="n">
        <v>0</v>
      </c>
      <c r="J913" t="n">
        <v>0</v>
      </c>
      <c r="K913" t="n">
        <v>0</v>
      </c>
      <c r="L913" t="n">
        <v>0</v>
      </c>
      <c r="M913" t="n">
        <v>0</v>
      </c>
      <c r="N913" t="n">
        <v>0</v>
      </c>
      <c r="O913" t="n">
        <v>0</v>
      </c>
      <c r="P913" t="n">
        <v>0</v>
      </c>
      <c r="Q913" t="n">
        <v>0</v>
      </c>
      <c r="R913" s="2" t="inlineStr"/>
    </row>
    <row r="914" ht="15" customHeight="1">
      <c r="A914" t="inlineStr">
        <is>
          <t>A 49834-2024</t>
        </is>
      </c>
      <c r="B914" s="1" t="n">
        <v>45597</v>
      </c>
      <c r="C914" s="1" t="n">
        <v>45670</v>
      </c>
      <c r="D914" t="inlineStr">
        <is>
          <t>JÄMTLANDS LÄN</t>
        </is>
      </c>
      <c r="E914" t="inlineStr">
        <is>
          <t>ÅRE</t>
        </is>
      </c>
      <c r="G914" t="n">
        <v>0.9</v>
      </c>
      <c r="H914" t="n">
        <v>0</v>
      </c>
      <c r="I914" t="n">
        <v>0</v>
      </c>
      <c r="J914" t="n">
        <v>0</v>
      </c>
      <c r="K914" t="n">
        <v>0</v>
      </c>
      <c r="L914" t="n">
        <v>0</v>
      </c>
      <c r="M914" t="n">
        <v>0</v>
      </c>
      <c r="N914" t="n">
        <v>0</v>
      </c>
      <c r="O914" t="n">
        <v>0</v>
      </c>
      <c r="P914" t="n">
        <v>0</v>
      </c>
      <c r="Q914" t="n">
        <v>0</v>
      </c>
      <c r="R914" s="2" t="inlineStr"/>
    </row>
    <row r="915" ht="15" customHeight="1">
      <c r="A915" t="inlineStr">
        <is>
          <t>A 50034-2024</t>
        </is>
      </c>
      <c r="B915" s="1" t="n">
        <v>45599</v>
      </c>
      <c r="C915" s="1" t="n">
        <v>45670</v>
      </c>
      <c r="D915" t="inlineStr">
        <is>
          <t>JÄMTLANDS LÄN</t>
        </is>
      </c>
      <c r="E915" t="inlineStr">
        <is>
          <t>ÅRE</t>
        </is>
      </c>
      <c r="G915" t="n">
        <v>1.5</v>
      </c>
      <c r="H915" t="n">
        <v>0</v>
      </c>
      <c r="I915" t="n">
        <v>0</v>
      </c>
      <c r="J915" t="n">
        <v>0</v>
      </c>
      <c r="K915" t="n">
        <v>0</v>
      </c>
      <c r="L915" t="n">
        <v>0</v>
      </c>
      <c r="M915" t="n">
        <v>0</v>
      </c>
      <c r="N915" t="n">
        <v>0</v>
      </c>
      <c r="O915" t="n">
        <v>0</v>
      </c>
      <c r="P915" t="n">
        <v>0</v>
      </c>
      <c r="Q915" t="n">
        <v>0</v>
      </c>
      <c r="R915" s="2" t="inlineStr"/>
    </row>
    <row r="916" ht="15" customHeight="1">
      <c r="A916" t="inlineStr">
        <is>
          <t>A 50344-2024</t>
        </is>
      </c>
      <c r="B916" s="1" t="n">
        <v>45600</v>
      </c>
      <c r="C916" s="1" t="n">
        <v>45670</v>
      </c>
      <c r="D916" t="inlineStr">
        <is>
          <t>JÄMTLANDS LÄN</t>
        </is>
      </c>
      <c r="E916" t="inlineStr">
        <is>
          <t>ÅRE</t>
        </is>
      </c>
      <c r="G916" t="n">
        <v>4</v>
      </c>
      <c r="H916" t="n">
        <v>0</v>
      </c>
      <c r="I916" t="n">
        <v>0</v>
      </c>
      <c r="J916" t="n">
        <v>0</v>
      </c>
      <c r="K916" t="n">
        <v>0</v>
      </c>
      <c r="L916" t="n">
        <v>0</v>
      </c>
      <c r="M916" t="n">
        <v>0</v>
      </c>
      <c r="N916" t="n">
        <v>0</v>
      </c>
      <c r="O916" t="n">
        <v>0</v>
      </c>
      <c r="P916" t="n">
        <v>0</v>
      </c>
      <c r="Q916" t="n">
        <v>0</v>
      </c>
      <c r="R916" s="2" t="inlineStr"/>
    </row>
    <row r="917" ht="15" customHeight="1">
      <c r="A917" t="inlineStr">
        <is>
          <t>A 50397-2024</t>
        </is>
      </c>
      <c r="B917" s="1" t="n">
        <v>45601</v>
      </c>
      <c r="C917" s="1" t="n">
        <v>45670</v>
      </c>
      <c r="D917" t="inlineStr">
        <is>
          <t>JÄMTLANDS LÄN</t>
        </is>
      </c>
      <c r="E917" t="inlineStr">
        <is>
          <t>ÅRE</t>
        </is>
      </c>
      <c r="G917" t="n">
        <v>4.3</v>
      </c>
      <c r="H917" t="n">
        <v>0</v>
      </c>
      <c r="I917" t="n">
        <v>0</v>
      </c>
      <c r="J917" t="n">
        <v>0</v>
      </c>
      <c r="K917" t="n">
        <v>0</v>
      </c>
      <c r="L917" t="n">
        <v>0</v>
      </c>
      <c r="M917" t="n">
        <v>0</v>
      </c>
      <c r="N917" t="n">
        <v>0</v>
      </c>
      <c r="O917" t="n">
        <v>0</v>
      </c>
      <c r="P917" t="n">
        <v>0</v>
      </c>
      <c r="Q917" t="n">
        <v>0</v>
      </c>
      <c r="R917" s="2" t="inlineStr"/>
    </row>
    <row r="918" ht="15" customHeight="1">
      <c r="A918" t="inlineStr">
        <is>
          <t>A 50920-2024</t>
        </is>
      </c>
      <c r="B918" s="1" t="n">
        <v>45602</v>
      </c>
      <c r="C918" s="1" t="n">
        <v>45670</v>
      </c>
      <c r="D918" t="inlineStr">
        <is>
          <t>JÄMTLANDS LÄN</t>
        </is>
      </c>
      <c r="E918" t="inlineStr">
        <is>
          <t>ÅRE</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51444-2024</t>
        </is>
      </c>
      <c r="B919" s="1" t="n">
        <v>45604</v>
      </c>
      <c r="C919" s="1" t="n">
        <v>45670</v>
      </c>
      <c r="D919" t="inlineStr">
        <is>
          <t>JÄMTLANDS LÄN</t>
        </is>
      </c>
      <c r="E919" t="inlineStr">
        <is>
          <t>ÅRE</t>
        </is>
      </c>
      <c r="G919" t="n">
        <v>2.2</v>
      </c>
      <c r="H919" t="n">
        <v>0</v>
      </c>
      <c r="I919" t="n">
        <v>0</v>
      </c>
      <c r="J919" t="n">
        <v>0</v>
      </c>
      <c r="K919" t="n">
        <v>0</v>
      </c>
      <c r="L919" t="n">
        <v>0</v>
      </c>
      <c r="M919" t="n">
        <v>0</v>
      </c>
      <c r="N919" t="n">
        <v>0</v>
      </c>
      <c r="O919" t="n">
        <v>0</v>
      </c>
      <c r="P919" t="n">
        <v>0</v>
      </c>
      <c r="Q919" t="n">
        <v>0</v>
      </c>
      <c r="R919" s="2" t="inlineStr"/>
    </row>
    <row r="920" ht="15" customHeight="1">
      <c r="A920" t="inlineStr">
        <is>
          <t>A 51452-2024</t>
        </is>
      </c>
      <c r="B920" s="1" t="n">
        <v>45604</v>
      </c>
      <c r="C920" s="1" t="n">
        <v>45670</v>
      </c>
      <c r="D920" t="inlineStr">
        <is>
          <t>JÄMTLANDS LÄN</t>
        </is>
      </c>
      <c r="E920" t="inlineStr">
        <is>
          <t>ÅRE</t>
        </is>
      </c>
      <c r="G920" t="n">
        <v>8</v>
      </c>
      <c r="H920" t="n">
        <v>0</v>
      </c>
      <c r="I920" t="n">
        <v>0</v>
      </c>
      <c r="J920" t="n">
        <v>0</v>
      </c>
      <c r="K920" t="n">
        <v>0</v>
      </c>
      <c r="L920" t="n">
        <v>0</v>
      </c>
      <c r="M920" t="n">
        <v>0</v>
      </c>
      <c r="N920" t="n">
        <v>0</v>
      </c>
      <c r="O920" t="n">
        <v>0</v>
      </c>
      <c r="P920" t="n">
        <v>0</v>
      </c>
      <c r="Q920" t="n">
        <v>0</v>
      </c>
      <c r="R920" s="2" t="inlineStr"/>
    </row>
    <row r="921" ht="15" customHeight="1">
      <c r="A921" t="inlineStr">
        <is>
          <t>A 51500-2024</t>
        </is>
      </c>
      <c r="B921" s="1" t="n">
        <v>45604</v>
      </c>
      <c r="C921" s="1" t="n">
        <v>45670</v>
      </c>
      <c r="D921" t="inlineStr">
        <is>
          <t>JÄMTLANDS LÄN</t>
        </is>
      </c>
      <c r="E921" t="inlineStr">
        <is>
          <t>ÅRE</t>
        </is>
      </c>
      <c r="G921" t="n">
        <v>1.7</v>
      </c>
      <c r="H921" t="n">
        <v>0</v>
      </c>
      <c r="I921" t="n">
        <v>0</v>
      </c>
      <c r="J921" t="n">
        <v>0</v>
      </c>
      <c r="K921" t="n">
        <v>0</v>
      </c>
      <c r="L921" t="n">
        <v>0</v>
      </c>
      <c r="M921" t="n">
        <v>0</v>
      </c>
      <c r="N921" t="n">
        <v>0</v>
      </c>
      <c r="O921" t="n">
        <v>0</v>
      </c>
      <c r="P921" t="n">
        <v>0</v>
      </c>
      <c r="Q921" t="n">
        <v>0</v>
      </c>
      <c r="R921" s="2" t="inlineStr"/>
    </row>
    <row r="922" ht="15" customHeight="1">
      <c r="A922" t="inlineStr">
        <is>
          <t>A 51925-2024</t>
        </is>
      </c>
      <c r="B922" s="1" t="n">
        <v>45607</v>
      </c>
      <c r="C922" s="1" t="n">
        <v>45670</v>
      </c>
      <c r="D922" t="inlineStr">
        <is>
          <t>JÄMTLANDS LÄN</t>
        </is>
      </c>
      <c r="E922" t="inlineStr">
        <is>
          <t>ÅRE</t>
        </is>
      </c>
      <c r="G922" t="n">
        <v>6.1</v>
      </c>
      <c r="H922" t="n">
        <v>0</v>
      </c>
      <c r="I922" t="n">
        <v>0</v>
      </c>
      <c r="J922" t="n">
        <v>0</v>
      </c>
      <c r="K922" t="n">
        <v>0</v>
      </c>
      <c r="L922" t="n">
        <v>0</v>
      </c>
      <c r="M922" t="n">
        <v>0</v>
      </c>
      <c r="N922" t="n">
        <v>0</v>
      </c>
      <c r="O922" t="n">
        <v>0</v>
      </c>
      <c r="P922" t="n">
        <v>0</v>
      </c>
      <c r="Q922" t="n">
        <v>0</v>
      </c>
      <c r="R922" s="2" t="inlineStr"/>
    </row>
    <row r="923" ht="15" customHeight="1">
      <c r="A923" t="inlineStr">
        <is>
          <t>A 51894-2024</t>
        </is>
      </c>
      <c r="B923" s="1" t="n">
        <v>45607</v>
      </c>
      <c r="C923" s="1" t="n">
        <v>45670</v>
      </c>
      <c r="D923" t="inlineStr">
        <is>
          <t>JÄMTLANDS LÄN</t>
        </is>
      </c>
      <c r="E923" t="inlineStr">
        <is>
          <t>ÅRE</t>
        </is>
      </c>
      <c r="G923" t="n">
        <v>6.8</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45670</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45670</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45670</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45670</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45670</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45670</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45670</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45670</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45670</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45670</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45670</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45670</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45670</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45670</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45670</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45670</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45670</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45670</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45670</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45670</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45670</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45670</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45670</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45670</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45670</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45670</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45670</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45670</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45670</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45670</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45670</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45670</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45670</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45670</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45670</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c r="A959" t="inlineStr">
        <is>
          <t>A 1112-2025</t>
        </is>
      </c>
      <c r="B959" s="1" t="n">
        <v>45666</v>
      </c>
      <c r="C959" s="1" t="n">
        <v>45670</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2025-01-13T15:53:52Z</dcterms:created>
  <dcterms:modified xmlns:dcterms="http://purl.org/dc/terms/" xmlns:xsi="http://www.w3.org/2001/XMLSchema-instance" xsi:type="dcterms:W3CDTF">2025-01-13T15:53:53Z</dcterms:modified>
</cp:coreProperties>
</file>