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45880</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45880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45880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45880</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45880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45880</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45880</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26003-2025</t>
        </is>
      </c>
      <c r="B14" s="1" t="n">
        <v>45804.6678587963</v>
      </c>
      <c r="C14" s="1" t="n">
        <v>45880</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45880</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54693-2022</t>
        </is>
      </c>
      <c r="B16" s="1" t="n">
        <v>44883.49158564815</v>
      </c>
      <c r="C16" s="1" t="n">
        <v>45880</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45880</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13097-2024</t>
        </is>
      </c>
      <c r="B18" s="1" t="n">
        <v>45385</v>
      </c>
      <c r="C18" s="1" t="n">
        <v>45880</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45880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45880</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43927-2024</t>
        </is>
      </c>
      <c r="B21" s="1" t="n">
        <v>45572</v>
      </c>
      <c r="C21" s="1" t="n">
        <v>45880</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32037-2025</t>
        </is>
      </c>
      <c r="B22" s="1" t="n">
        <v>45835.42688657407</v>
      </c>
      <c r="C22" s="1" t="n">
        <v>45880</v>
      </c>
      <c r="D22" t="inlineStr">
        <is>
          <t>JÄMTLANDS LÄN</t>
        </is>
      </c>
      <c r="E22" t="inlineStr">
        <is>
          <t>ÅRE</t>
        </is>
      </c>
      <c r="G22" t="n">
        <v>16.6</v>
      </c>
      <c r="H22" t="n">
        <v>7</v>
      </c>
      <c r="I22" t="n">
        <v>2</v>
      </c>
      <c r="J22" t="n">
        <v>6</v>
      </c>
      <c r="K22" t="n">
        <v>1</v>
      </c>
      <c r="L22" t="n">
        <v>0</v>
      </c>
      <c r="M22" t="n">
        <v>0</v>
      </c>
      <c r="N22" t="n">
        <v>0</v>
      </c>
      <c r="O22" t="n">
        <v>7</v>
      </c>
      <c r="P22" t="n">
        <v>1</v>
      </c>
      <c r="Q22" t="n">
        <v>13</v>
      </c>
      <c r="R22" s="2" t="inlineStr">
        <is>
          <t>Knärot
Gammelgransskål
Garnlav
Lunglav
Skrovellav
Ullticka
Vitgrynig nållav
Spindelblomster
Tvåblad
Tjäder
Fläcknycklar
Ängsnycklar
Revlummer</t>
        </is>
      </c>
      <c r="S22">
        <f>HYPERLINK("https://klasma.github.io/Logging_2321/artfynd/A 32037-2025 artfynd.xlsx", "A 32037-2025")</f>
        <v/>
      </c>
      <c r="T22">
        <f>HYPERLINK("https://klasma.github.io/Logging_2321/kartor/A 32037-2025 karta.png", "A 32037-2025")</f>
        <v/>
      </c>
      <c r="U22">
        <f>HYPERLINK("https://klasma.github.io/Logging_2321/knärot/A 32037-2025 karta knärot.png", "A 32037-2025")</f>
        <v/>
      </c>
      <c r="V22">
        <f>HYPERLINK("https://klasma.github.io/Logging_2321/klagomål/A 32037-2025 FSC-klagomål.docx", "A 32037-2025")</f>
        <v/>
      </c>
      <c r="W22">
        <f>HYPERLINK("https://klasma.github.io/Logging_2321/klagomålsmail/A 32037-2025 FSC-klagomål mail.docx", "A 32037-2025")</f>
        <v/>
      </c>
      <c r="X22">
        <f>HYPERLINK("https://klasma.github.io/Logging_2321/tillsyn/A 32037-2025 tillsynsbegäran.docx", "A 32037-2025")</f>
        <v/>
      </c>
      <c r="Y22">
        <f>HYPERLINK("https://klasma.github.io/Logging_2321/tillsynsmail/A 32037-2025 tillsynsbegäran mail.docx", "A 32037-2025")</f>
        <v/>
      </c>
      <c r="Z22">
        <f>HYPERLINK("https://klasma.github.io/Logging_2321/fåglar/A 32037-2025 prioriterade fågelarter.docx", "A 32037-2025")</f>
        <v/>
      </c>
    </row>
    <row r="23" ht="15" customHeight="1">
      <c r="A23" t="inlineStr">
        <is>
          <t>A 6089-2025</t>
        </is>
      </c>
      <c r="B23" s="1" t="n">
        <v>45697.72040509259</v>
      </c>
      <c r="C23" s="1" t="n">
        <v>45880</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45880</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50311-2024</t>
        </is>
      </c>
      <c r="B25" s="1" t="n">
        <v>45600</v>
      </c>
      <c r="C25" s="1" t="n">
        <v>45880</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45880</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45880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45880</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45880</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45880</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45880</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27634-2025</t>
        </is>
      </c>
      <c r="B32" s="1" t="n">
        <v>45813</v>
      </c>
      <c r="C32" s="1" t="n">
        <v>45880</v>
      </c>
      <c r="D32" t="inlineStr">
        <is>
          <t>JÄMTLANDS LÄN</t>
        </is>
      </c>
      <c r="E32" t="inlineStr">
        <is>
          <t>ÅRE</t>
        </is>
      </c>
      <c r="G32" t="n">
        <v>8.1</v>
      </c>
      <c r="H32" t="n">
        <v>5</v>
      </c>
      <c r="I32" t="n">
        <v>1</v>
      </c>
      <c r="J32" t="n">
        <v>5</v>
      </c>
      <c r="K32" t="n">
        <v>1</v>
      </c>
      <c r="L32" t="n">
        <v>1</v>
      </c>
      <c r="M32" t="n">
        <v>0</v>
      </c>
      <c r="N32" t="n">
        <v>0</v>
      </c>
      <c r="O32" t="n">
        <v>7</v>
      </c>
      <c r="P32" t="n">
        <v>2</v>
      </c>
      <c r="Q32" t="n">
        <v>9</v>
      </c>
      <c r="R32" s="2" t="inlineStr">
        <is>
          <t>Grönfink
Rynkskinn
Doftskinn
Kråka
Skogshare
Talltita
Tretåig hackspett
Ögonpyrola
Kungsfågel</t>
        </is>
      </c>
      <c r="S32">
        <f>HYPERLINK("https://klasma.github.io/Logging_2321/artfynd/A 27634-2025 artfynd.xlsx", "A 27634-2025")</f>
        <v/>
      </c>
      <c r="T32">
        <f>HYPERLINK("https://klasma.github.io/Logging_2321/kartor/A 27634-2025 karta.png", "A 27634-2025")</f>
        <v/>
      </c>
      <c r="V32">
        <f>HYPERLINK("https://klasma.github.io/Logging_2321/klagomål/A 27634-2025 FSC-klagomål.docx", "A 27634-2025")</f>
        <v/>
      </c>
      <c r="W32">
        <f>HYPERLINK("https://klasma.github.io/Logging_2321/klagomålsmail/A 27634-2025 FSC-klagomål mail.docx", "A 27634-2025")</f>
        <v/>
      </c>
      <c r="X32">
        <f>HYPERLINK("https://klasma.github.io/Logging_2321/tillsyn/A 27634-2025 tillsynsbegäran.docx", "A 27634-2025")</f>
        <v/>
      </c>
      <c r="Y32">
        <f>HYPERLINK("https://klasma.github.io/Logging_2321/tillsynsmail/A 27634-2025 tillsynsbegäran mail.docx", "A 27634-2025")</f>
        <v/>
      </c>
      <c r="Z32">
        <f>HYPERLINK("https://klasma.github.io/Logging_2321/fåglar/A 27634-2025 prioriterade fågelarter.docx", "A 27634-2025")</f>
        <v/>
      </c>
    </row>
    <row r="33" ht="15" customHeight="1">
      <c r="A33" t="inlineStr">
        <is>
          <t>A 10763-2021</t>
        </is>
      </c>
      <c r="B33" s="1" t="n">
        <v>44259</v>
      </c>
      <c r="C33" s="1" t="n">
        <v>45880</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20664-2021</t>
        </is>
      </c>
      <c r="B34" s="1" t="n">
        <v>44316</v>
      </c>
      <c r="C34" s="1" t="n">
        <v>45880</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23822-2024</t>
        </is>
      </c>
      <c r="B35" s="1" t="n">
        <v>45455.46412037037</v>
      </c>
      <c r="C35" s="1" t="n">
        <v>45880</v>
      </c>
      <c r="D35" t="inlineStr">
        <is>
          <t>JÄMTLANDS LÄN</t>
        </is>
      </c>
      <c r="E35" t="inlineStr">
        <is>
          <t>ÅRE</t>
        </is>
      </c>
      <c r="G35" t="n">
        <v>4.8</v>
      </c>
      <c r="H35" t="n">
        <v>2</v>
      </c>
      <c r="I35" t="n">
        <v>0</v>
      </c>
      <c r="J35" t="n">
        <v>7</v>
      </c>
      <c r="K35" t="n">
        <v>1</v>
      </c>
      <c r="L35" t="n">
        <v>0</v>
      </c>
      <c r="M35" t="n">
        <v>0</v>
      </c>
      <c r="N35" t="n">
        <v>0</v>
      </c>
      <c r="O35" t="n">
        <v>8</v>
      </c>
      <c r="P35" t="n">
        <v>1</v>
      </c>
      <c r="Q35" t="n">
        <v>8</v>
      </c>
      <c r="R35" s="2" t="inlineStr">
        <is>
          <t>Knärot
Gammelgransskål
Garnlav
Harticka
Rosenticka
Rödbrun blekspik
Tretåig hackspett
Ullticka</t>
        </is>
      </c>
      <c r="S35">
        <f>HYPERLINK("https://klasma.github.io/Logging_2321/artfynd/A 23822-2024 artfynd.xlsx", "A 23822-2024")</f>
        <v/>
      </c>
      <c r="T35">
        <f>HYPERLINK("https://klasma.github.io/Logging_2321/kartor/A 23822-2024 karta.png", "A 23822-2024")</f>
        <v/>
      </c>
      <c r="U35">
        <f>HYPERLINK("https://klasma.github.io/Logging_2321/knärot/A 23822-2024 karta knärot.png", "A 23822-2024")</f>
        <v/>
      </c>
      <c r="V35">
        <f>HYPERLINK("https://klasma.github.io/Logging_2321/klagomål/A 23822-2024 FSC-klagomål.docx", "A 23822-2024")</f>
        <v/>
      </c>
      <c r="W35">
        <f>HYPERLINK("https://klasma.github.io/Logging_2321/klagomålsmail/A 23822-2024 FSC-klagomål mail.docx", "A 23822-2024")</f>
        <v/>
      </c>
      <c r="X35">
        <f>HYPERLINK("https://klasma.github.io/Logging_2321/tillsyn/A 23822-2024 tillsynsbegäran.docx", "A 23822-2024")</f>
        <v/>
      </c>
      <c r="Y35">
        <f>HYPERLINK("https://klasma.github.io/Logging_2321/tillsynsmail/A 23822-2024 tillsynsbegäran mail.docx", "A 23822-2024")</f>
        <v/>
      </c>
      <c r="Z35">
        <f>HYPERLINK("https://klasma.github.io/Logging_2321/fåglar/A 23822-2024 prioriterade fågelarter.docx", "A 23822-2024")</f>
        <v/>
      </c>
    </row>
    <row r="36" ht="15" customHeight="1">
      <c r="A36" t="inlineStr">
        <is>
          <t>A 64239-2021</t>
        </is>
      </c>
      <c r="B36" s="1" t="n">
        <v>44510</v>
      </c>
      <c r="C36" s="1" t="n">
        <v>45880</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45880</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45880</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45880</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31953-2021</t>
        </is>
      </c>
      <c r="B40" s="1" t="n">
        <v>44370</v>
      </c>
      <c r="C40" s="1" t="n">
        <v>45880</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45880</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45880</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27805-2022</t>
        </is>
      </c>
      <c r="B43" s="1" t="n">
        <v>44743</v>
      </c>
      <c r="C43" s="1" t="n">
        <v>45880</v>
      </c>
      <c r="D43" t="inlineStr">
        <is>
          <t>JÄMTLANDS LÄN</t>
        </is>
      </c>
      <c r="E43" t="inlineStr">
        <is>
          <t>ÅRE</t>
        </is>
      </c>
      <c r="G43" t="n">
        <v>106.2</v>
      </c>
      <c r="H43" t="n">
        <v>4</v>
      </c>
      <c r="I43" t="n">
        <v>0</v>
      </c>
      <c r="J43" t="n">
        <v>5</v>
      </c>
      <c r="K43" t="n">
        <v>0</v>
      </c>
      <c r="L43" t="n">
        <v>1</v>
      </c>
      <c r="M43" t="n">
        <v>0</v>
      </c>
      <c r="N43" t="n">
        <v>0</v>
      </c>
      <c r="O43" t="n">
        <v>6</v>
      </c>
      <c r="P43" t="n">
        <v>1</v>
      </c>
      <c r="Q43" t="n">
        <v>7</v>
      </c>
      <c r="R43" s="2" t="inlineStr">
        <is>
          <t>Grönfink
Garnlav
Grå blåbärsfältmätare
Kavernularia
Talltita
Tretåig hackspett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4945-2025</t>
        </is>
      </c>
      <c r="B44" s="1" t="n">
        <v>45688</v>
      </c>
      <c r="C44" s="1" t="n">
        <v>45880</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45880</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56888-2022</t>
        </is>
      </c>
      <c r="B46" s="1" t="n">
        <v>44894</v>
      </c>
      <c r="C46" s="1" t="n">
        <v>45880</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30035-2024</t>
        </is>
      </c>
      <c r="B47" s="1" t="n">
        <v>45485</v>
      </c>
      <c r="C47" s="1" t="n">
        <v>45880</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6236-2021</t>
        </is>
      </c>
      <c r="B48" s="1" t="n">
        <v>44231</v>
      </c>
      <c r="C48" s="1" t="n">
        <v>45880</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24201-2021</t>
        </is>
      </c>
      <c r="B49" s="1" t="n">
        <v>44336</v>
      </c>
      <c r="C49" s="1" t="n">
        <v>45880</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43942-2024</t>
        </is>
      </c>
      <c r="B50" s="1" t="n">
        <v>45572</v>
      </c>
      <c r="C50" s="1" t="n">
        <v>45880</v>
      </c>
      <c r="D50" t="inlineStr">
        <is>
          <t>JÄMTLANDS LÄN</t>
        </is>
      </c>
      <c r="E50" t="inlineStr">
        <is>
          <t>ÅRE</t>
        </is>
      </c>
      <c r="G50" t="n">
        <v>20.8</v>
      </c>
      <c r="H50" t="n">
        <v>0</v>
      </c>
      <c r="I50" t="n">
        <v>3</v>
      </c>
      <c r="J50" t="n">
        <v>3</v>
      </c>
      <c r="K50" t="n">
        <v>0</v>
      </c>
      <c r="L50" t="n">
        <v>0</v>
      </c>
      <c r="M50" t="n">
        <v>0</v>
      </c>
      <c r="N50" t="n">
        <v>0</v>
      </c>
      <c r="O50" t="n">
        <v>3</v>
      </c>
      <c r="P50" t="n">
        <v>0</v>
      </c>
      <c r="Q50" t="n">
        <v>6</v>
      </c>
      <c r="R50" s="2" t="inlineStr">
        <is>
          <t>Doftskinn
Granticka
Vedflikmossa
Kransrams
Mörk husmossa
Vedticka</t>
        </is>
      </c>
      <c r="S50">
        <f>HYPERLINK("https://klasma.github.io/Logging_2321/artfynd/A 43942-2024 artfynd.xlsx", "A 43942-2024")</f>
        <v/>
      </c>
      <c r="T50">
        <f>HYPERLINK("https://klasma.github.io/Logging_2321/kartor/A 43942-2024 karta.png", "A 43942-2024")</f>
        <v/>
      </c>
      <c r="V50">
        <f>HYPERLINK("https://klasma.github.io/Logging_2321/klagomål/A 43942-2024 FSC-klagomål.docx", "A 43942-2024")</f>
        <v/>
      </c>
      <c r="W50">
        <f>HYPERLINK("https://klasma.github.io/Logging_2321/klagomålsmail/A 43942-2024 FSC-klagomål mail.docx", "A 43942-2024")</f>
        <v/>
      </c>
      <c r="X50">
        <f>HYPERLINK("https://klasma.github.io/Logging_2321/tillsyn/A 43942-2024 tillsynsbegäran.docx", "A 43942-2024")</f>
        <v/>
      </c>
      <c r="Y50">
        <f>HYPERLINK("https://klasma.github.io/Logging_2321/tillsynsmail/A 43942-2024 tillsynsbegäran mail.docx", "A 43942-2024")</f>
        <v/>
      </c>
    </row>
    <row r="51" ht="15" customHeight="1">
      <c r="A51" t="inlineStr">
        <is>
          <t>A 14205-2021</t>
        </is>
      </c>
      <c r="B51" s="1" t="n">
        <v>44278</v>
      </c>
      <c r="C51" s="1" t="n">
        <v>45880</v>
      </c>
      <c r="D51" t="inlineStr">
        <is>
          <t>JÄMTLANDS LÄN</t>
        </is>
      </c>
      <c r="E51" t="inlineStr">
        <is>
          <t>ÅRE</t>
        </is>
      </c>
      <c r="G51" t="n">
        <v>16.7</v>
      </c>
      <c r="H51" t="n">
        <v>1</v>
      </c>
      <c r="I51" t="n">
        <v>2</v>
      </c>
      <c r="J51" t="n">
        <v>4</v>
      </c>
      <c r="K51" t="n">
        <v>0</v>
      </c>
      <c r="L51" t="n">
        <v>0</v>
      </c>
      <c r="M51" t="n">
        <v>0</v>
      </c>
      <c r="N51" t="n">
        <v>0</v>
      </c>
      <c r="O51" t="n">
        <v>4</v>
      </c>
      <c r="P51" t="n">
        <v>0</v>
      </c>
      <c r="Q51" t="n">
        <v>6</v>
      </c>
      <c r="R51" s="2" t="inlineStr">
        <is>
          <t>Granticka
Leptoporus mollis
Skrovellav
Tretåig hackspett
Blåmossa
Stuplav</t>
        </is>
      </c>
      <c r="S51">
        <f>HYPERLINK("https://klasma.github.io/Logging_2321/artfynd/A 14205-2021 artfynd.xlsx", "A 14205-2021")</f>
        <v/>
      </c>
      <c r="T51">
        <f>HYPERLINK("https://klasma.github.io/Logging_2321/kartor/A 14205-2021 karta.png", "A 14205-2021")</f>
        <v/>
      </c>
      <c r="V51">
        <f>HYPERLINK("https://klasma.github.io/Logging_2321/klagomål/A 14205-2021 FSC-klagomål.docx", "A 14205-2021")</f>
        <v/>
      </c>
      <c r="W51">
        <f>HYPERLINK("https://klasma.github.io/Logging_2321/klagomålsmail/A 14205-2021 FSC-klagomål mail.docx", "A 14205-2021")</f>
        <v/>
      </c>
      <c r="X51">
        <f>HYPERLINK("https://klasma.github.io/Logging_2321/tillsyn/A 14205-2021 tillsynsbegäran.docx", "A 14205-2021")</f>
        <v/>
      </c>
      <c r="Y51">
        <f>HYPERLINK("https://klasma.github.io/Logging_2321/tillsynsmail/A 14205-2021 tillsynsbegäran mail.docx", "A 14205-2021")</f>
        <v/>
      </c>
      <c r="Z51">
        <f>HYPERLINK("https://klasma.github.io/Logging_2321/fåglar/A 14205-2021 prioriterade fågelarter.docx", "A 14205-2021")</f>
        <v/>
      </c>
    </row>
    <row r="52" ht="15" customHeight="1">
      <c r="A52" t="inlineStr">
        <is>
          <t>A 42629-2020</t>
        </is>
      </c>
      <c r="B52" s="1" t="n">
        <v>44077</v>
      </c>
      <c r="C52" s="1" t="n">
        <v>45880</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58238-2021</t>
        </is>
      </c>
      <c r="B53" s="1" t="n">
        <v>44487</v>
      </c>
      <c r="C53" s="1" t="n">
        <v>45880</v>
      </c>
      <c r="D53" t="inlineStr">
        <is>
          <t>JÄMTLANDS LÄN</t>
        </is>
      </c>
      <c r="E53" t="inlineStr">
        <is>
          <t>ÅRE</t>
        </is>
      </c>
      <c r="G53" t="n">
        <v>42.2</v>
      </c>
      <c r="H53" t="n">
        <v>0</v>
      </c>
      <c r="I53" t="n">
        <v>0</v>
      </c>
      <c r="J53" t="n">
        <v>3</v>
      </c>
      <c r="K53" t="n">
        <v>2</v>
      </c>
      <c r="L53" t="n">
        <v>0</v>
      </c>
      <c r="M53" t="n">
        <v>0</v>
      </c>
      <c r="N53" t="n">
        <v>0</v>
      </c>
      <c r="O53" t="n">
        <v>5</v>
      </c>
      <c r="P53" t="n">
        <v>2</v>
      </c>
      <c r="Q53" t="n">
        <v>5</v>
      </c>
      <c r="R53" s="2" t="inlineStr">
        <is>
          <t>Lappticka
Norsk näverlav
Gammelgransskål
Gränsticka
Rödbrun blekspik</t>
        </is>
      </c>
      <c r="S53">
        <f>HYPERLINK("https://klasma.github.io/Logging_2321/artfynd/A 58238-2021 artfynd.xlsx", "A 58238-2021")</f>
        <v/>
      </c>
      <c r="T53">
        <f>HYPERLINK("https://klasma.github.io/Logging_2321/kartor/A 58238-2021 karta.png", "A 58238-2021")</f>
        <v/>
      </c>
      <c r="V53">
        <f>HYPERLINK("https://klasma.github.io/Logging_2321/klagomål/A 58238-2021 FSC-klagomål.docx", "A 58238-2021")</f>
        <v/>
      </c>
      <c r="W53">
        <f>HYPERLINK("https://klasma.github.io/Logging_2321/klagomålsmail/A 58238-2021 FSC-klagomål mail.docx", "A 58238-2021")</f>
        <v/>
      </c>
      <c r="X53">
        <f>HYPERLINK("https://klasma.github.io/Logging_2321/tillsyn/A 58238-2021 tillsynsbegäran.docx", "A 58238-2021")</f>
        <v/>
      </c>
      <c r="Y53">
        <f>HYPERLINK("https://klasma.github.io/Logging_2321/tillsynsmail/A 58238-2021 tillsynsbegäran mail.docx", "A 58238-2021")</f>
        <v/>
      </c>
    </row>
    <row r="54" ht="15" customHeight="1">
      <c r="A54" t="inlineStr">
        <is>
          <t>A 60246-2021</t>
        </is>
      </c>
      <c r="B54" s="1" t="n">
        <v>44495</v>
      </c>
      <c r="C54" s="1" t="n">
        <v>45880</v>
      </c>
      <c r="D54" t="inlineStr">
        <is>
          <t>JÄMTLANDS LÄN</t>
        </is>
      </c>
      <c r="E54" t="inlineStr">
        <is>
          <t>ÅRE</t>
        </is>
      </c>
      <c r="G54" t="n">
        <v>4.3</v>
      </c>
      <c r="H54" t="n">
        <v>1</v>
      </c>
      <c r="I54" t="n">
        <v>0</v>
      </c>
      <c r="J54" t="n">
        <v>4</v>
      </c>
      <c r="K54" t="n">
        <v>1</v>
      </c>
      <c r="L54" t="n">
        <v>0</v>
      </c>
      <c r="M54" t="n">
        <v>0</v>
      </c>
      <c r="N54" t="n">
        <v>0</v>
      </c>
      <c r="O54" t="n">
        <v>5</v>
      </c>
      <c r="P54" t="n">
        <v>1</v>
      </c>
      <c r="Q54" t="n">
        <v>5</v>
      </c>
      <c r="R54" s="2" t="inlineStr">
        <is>
          <t>Lappticka
Granticka
Tretåig hackspett
Ullticka
Vitgrynig nållav</t>
        </is>
      </c>
      <c r="S54">
        <f>HYPERLINK("https://klasma.github.io/Logging_2321/artfynd/A 60246-2021 artfynd.xlsx", "A 60246-2021")</f>
        <v/>
      </c>
      <c r="T54">
        <f>HYPERLINK("https://klasma.github.io/Logging_2321/kartor/A 60246-2021 karta.png", "A 60246-2021")</f>
        <v/>
      </c>
      <c r="V54">
        <f>HYPERLINK("https://klasma.github.io/Logging_2321/klagomål/A 60246-2021 FSC-klagomål.docx", "A 60246-2021")</f>
        <v/>
      </c>
      <c r="W54">
        <f>HYPERLINK("https://klasma.github.io/Logging_2321/klagomålsmail/A 60246-2021 FSC-klagomål mail.docx", "A 60246-2021")</f>
        <v/>
      </c>
      <c r="X54">
        <f>HYPERLINK("https://klasma.github.io/Logging_2321/tillsyn/A 60246-2021 tillsynsbegäran.docx", "A 60246-2021")</f>
        <v/>
      </c>
      <c r="Y54">
        <f>HYPERLINK("https://klasma.github.io/Logging_2321/tillsynsmail/A 60246-2021 tillsynsbegäran mail.docx", "A 60246-2021")</f>
        <v/>
      </c>
      <c r="Z54">
        <f>HYPERLINK("https://klasma.github.io/Logging_2321/fåglar/A 60246-2021 prioriterade fågelarter.docx", "A 60246-2021")</f>
        <v/>
      </c>
    </row>
    <row r="55" ht="15" customHeight="1">
      <c r="A55" t="inlineStr">
        <is>
          <t>A 45114-2022</t>
        </is>
      </c>
      <c r="B55" s="1" t="n">
        <v>44843.84256944444</v>
      </c>
      <c r="C55" s="1" t="n">
        <v>45880</v>
      </c>
      <c r="D55" t="inlineStr">
        <is>
          <t>JÄMTLANDS LÄN</t>
        </is>
      </c>
      <c r="E55" t="inlineStr">
        <is>
          <t>ÅRE</t>
        </is>
      </c>
      <c r="G55" t="n">
        <v>2.1</v>
      </c>
      <c r="H55" t="n">
        <v>1</v>
      </c>
      <c r="I55" t="n">
        <v>3</v>
      </c>
      <c r="J55" t="n">
        <v>1</v>
      </c>
      <c r="K55" t="n">
        <v>0</v>
      </c>
      <c r="L55" t="n">
        <v>0</v>
      </c>
      <c r="M55" t="n">
        <v>0</v>
      </c>
      <c r="N55" t="n">
        <v>0</v>
      </c>
      <c r="O55" t="n">
        <v>1</v>
      </c>
      <c r="P55" t="n">
        <v>0</v>
      </c>
      <c r="Q55" t="n">
        <v>5</v>
      </c>
      <c r="R55" s="2" t="inlineStr">
        <is>
          <t>Lunglav
Luddlav
Strutbräken
Stuplav
Fläcknycklar</t>
        </is>
      </c>
      <c r="S55">
        <f>HYPERLINK("https://klasma.github.io/Logging_2321/artfynd/A 45114-2022 artfynd.xlsx", "A 45114-2022")</f>
        <v/>
      </c>
      <c r="T55">
        <f>HYPERLINK("https://klasma.github.io/Logging_2321/kartor/A 45114-2022 karta.png", "A 45114-2022")</f>
        <v/>
      </c>
      <c r="V55">
        <f>HYPERLINK("https://klasma.github.io/Logging_2321/klagomål/A 45114-2022 FSC-klagomål.docx", "A 45114-2022")</f>
        <v/>
      </c>
      <c r="W55">
        <f>HYPERLINK("https://klasma.github.io/Logging_2321/klagomålsmail/A 45114-2022 FSC-klagomål mail.docx", "A 45114-2022")</f>
        <v/>
      </c>
      <c r="X55">
        <f>HYPERLINK("https://klasma.github.io/Logging_2321/tillsyn/A 45114-2022 tillsynsbegäran.docx", "A 45114-2022")</f>
        <v/>
      </c>
      <c r="Y55">
        <f>HYPERLINK("https://klasma.github.io/Logging_2321/tillsynsmail/A 45114-2022 tillsynsbegäran mail.docx", "A 45114-2022")</f>
        <v/>
      </c>
    </row>
    <row r="56" ht="15" customHeight="1">
      <c r="A56" t="inlineStr">
        <is>
          <t>A 59380-2020</t>
        </is>
      </c>
      <c r="B56" s="1" t="n">
        <v>44145</v>
      </c>
      <c r="C56" s="1" t="n">
        <v>45880</v>
      </c>
      <c r="D56" t="inlineStr">
        <is>
          <t>JÄMTLANDS LÄN</t>
        </is>
      </c>
      <c r="E56" t="inlineStr">
        <is>
          <t>ÅRE</t>
        </is>
      </c>
      <c r="G56" t="n">
        <v>10.8</v>
      </c>
      <c r="H56" t="n">
        <v>0</v>
      </c>
      <c r="I56" t="n">
        <v>0</v>
      </c>
      <c r="J56" t="n">
        <v>5</v>
      </c>
      <c r="K56" t="n">
        <v>0</v>
      </c>
      <c r="L56" t="n">
        <v>0</v>
      </c>
      <c r="M56" t="n">
        <v>0</v>
      </c>
      <c r="N56" t="n">
        <v>0</v>
      </c>
      <c r="O56" t="n">
        <v>5</v>
      </c>
      <c r="P56" t="n">
        <v>0</v>
      </c>
      <c r="Q56" t="n">
        <v>5</v>
      </c>
      <c r="R56" s="2" t="inlineStr">
        <is>
          <t>Gammelgransskål
Gränsticka
Harticka
Lunglav
Skrovellav</t>
        </is>
      </c>
      <c r="S56">
        <f>HYPERLINK("https://klasma.github.io/Logging_2321/artfynd/A 59380-2020 artfynd.xlsx", "A 59380-2020")</f>
        <v/>
      </c>
      <c r="T56">
        <f>HYPERLINK("https://klasma.github.io/Logging_2321/kartor/A 59380-2020 karta.png", "A 59380-2020")</f>
        <v/>
      </c>
      <c r="V56">
        <f>HYPERLINK("https://klasma.github.io/Logging_2321/klagomål/A 59380-2020 FSC-klagomål.docx", "A 59380-2020")</f>
        <v/>
      </c>
      <c r="W56">
        <f>HYPERLINK("https://klasma.github.io/Logging_2321/klagomålsmail/A 59380-2020 FSC-klagomål mail.docx", "A 59380-2020")</f>
        <v/>
      </c>
      <c r="X56">
        <f>HYPERLINK("https://klasma.github.io/Logging_2321/tillsyn/A 59380-2020 tillsynsbegäran.docx", "A 59380-2020")</f>
        <v/>
      </c>
      <c r="Y56">
        <f>HYPERLINK("https://klasma.github.io/Logging_2321/tillsynsmail/A 59380-2020 tillsynsbegäran mail.docx", "A 59380-2020")</f>
        <v/>
      </c>
    </row>
    <row r="57" ht="15" customHeight="1">
      <c r="A57" t="inlineStr">
        <is>
          <t>A 14195-2021</t>
        </is>
      </c>
      <c r="B57" s="1" t="n">
        <v>44278</v>
      </c>
      <c r="C57" s="1" t="n">
        <v>45880</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19925-2025</t>
        </is>
      </c>
      <c r="B58" s="1" t="n">
        <v>45771.634375</v>
      </c>
      <c r="C58" s="1" t="n">
        <v>45880</v>
      </c>
      <c r="D58" t="inlineStr">
        <is>
          <t>JÄMTLANDS LÄN</t>
        </is>
      </c>
      <c r="E58" t="inlineStr">
        <is>
          <t>ÅRE</t>
        </is>
      </c>
      <c r="G58" t="n">
        <v>7.6</v>
      </c>
      <c r="H58" t="n">
        <v>1</v>
      </c>
      <c r="I58" t="n">
        <v>1</v>
      </c>
      <c r="J58" t="n">
        <v>2</v>
      </c>
      <c r="K58" t="n">
        <v>0</v>
      </c>
      <c r="L58" t="n">
        <v>1</v>
      </c>
      <c r="M58" t="n">
        <v>0</v>
      </c>
      <c r="N58" t="n">
        <v>0</v>
      </c>
      <c r="O58" t="n">
        <v>3</v>
      </c>
      <c r="P58" t="n">
        <v>1</v>
      </c>
      <c r="Q58" t="n">
        <v>5</v>
      </c>
      <c r="R58" s="2" t="inlineStr">
        <is>
          <t>Skarptandad daggkåpa
Liten svartspik
Vitgrynig nållav
Kornig nållav
Blåsippa</t>
        </is>
      </c>
      <c r="S58">
        <f>HYPERLINK("https://klasma.github.io/Logging_2321/artfynd/A 19925-2025 artfynd.xlsx", "A 19925-2025")</f>
        <v/>
      </c>
      <c r="T58">
        <f>HYPERLINK("https://klasma.github.io/Logging_2321/kartor/A 19925-2025 karta.png", "A 19925-2025")</f>
        <v/>
      </c>
      <c r="V58">
        <f>HYPERLINK("https://klasma.github.io/Logging_2321/klagomål/A 19925-2025 FSC-klagomål.docx", "A 19925-2025")</f>
        <v/>
      </c>
      <c r="W58">
        <f>HYPERLINK("https://klasma.github.io/Logging_2321/klagomålsmail/A 19925-2025 FSC-klagomål mail.docx", "A 19925-2025")</f>
        <v/>
      </c>
      <c r="X58">
        <f>HYPERLINK("https://klasma.github.io/Logging_2321/tillsyn/A 19925-2025 tillsynsbegäran.docx", "A 19925-2025")</f>
        <v/>
      </c>
      <c r="Y58">
        <f>HYPERLINK("https://klasma.github.io/Logging_2321/tillsynsmail/A 19925-2025 tillsynsbegäran mail.docx", "A 19925-2025")</f>
        <v/>
      </c>
    </row>
    <row r="59" ht="15" customHeight="1">
      <c r="A59" t="inlineStr">
        <is>
          <t>A 10491-2024</t>
        </is>
      </c>
      <c r="B59" s="1" t="n">
        <v>45366</v>
      </c>
      <c r="C59" s="1" t="n">
        <v>45880</v>
      </c>
      <c r="D59" t="inlineStr">
        <is>
          <t>JÄMTLANDS LÄN</t>
        </is>
      </c>
      <c r="E59" t="inlineStr">
        <is>
          <t>ÅRE</t>
        </is>
      </c>
      <c r="G59" t="n">
        <v>13.5</v>
      </c>
      <c r="H59" t="n">
        <v>0</v>
      </c>
      <c r="I59" t="n">
        <v>0</v>
      </c>
      <c r="J59" t="n">
        <v>4</v>
      </c>
      <c r="K59" t="n">
        <v>1</v>
      </c>
      <c r="L59" t="n">
        <v>0</v>
      </c>
      <c r="M59" t="n">
        <v>0</v>
      </c>
      <c r="N59" t="n">
        <v>0</v>
      </c>
      <c r="O59" t="n">
        <v>5</v>
      </c>
      <c r="P59" t="n">
        <v>1</v>
      </c>
      <c r="Q59" t="n">
        <v>5</v>
      </c>
      <c r="R59" s="2" t="inlineStr">
        <is>
          <t>Ulltickeporing
Brunpudrad nållav
Harticka
Rödbrun blekspik
Ullticka</t>
        </is>
      </c>
      <c r="S59">
        <f>HYPERLINK("https://klasma.github.io/Logging_2321/artfynd/A 10491-2024 artfynd.xlsx", "A 10491-2024")</f>
        <v/>
      </c>
      <c r="T59">
        <f>HYPERLINK("https://klasma.github.io/Logging_2321/kartor/A 10491-2024 karta.png", "A 10491-2024")</f>
        <v/>
      </c>
      <c r="V59">
        <f>HYPERLINK("https://klasma.github.io/Logging_2321/klagomål/A 10491-2024 FSC-klagomål.docx", "A 10491-2024")</f>
        <v/>
      </c>
      <c r="W59">
        <f>HYPERLINK("https://klasma.github.io/Logging_2321/klagomålsmail/A 10491-2024 FSC-klagomål mail.docx", "A 10491-2024")</f>
        <v/>
      </c>
      <c r="X59">
        <f>HYPERLINK("https://klasma.github.io/Logging_2321/tillsyn/A 10491-2024 tillsynsbegäran.docx", "A 10491-2024")</f>
        <v/>
      </c>
      <c r="Y59">
        <f>HYPERLINK("https://klasma.github.io/Logging_2321/tillsynsmail/A 10491-2024 tillsynsbegäran mail.docx", "A 10491-2024")</f>
        <v/>
      </c>
    </row>
    <row r="60" ht="15" customHeight="1">
      <c r="A60" t="inlineStr">
        <is>
          <t>A 30034-2024</t>
        </is>
      </c>
      <c r="B60" s="1" t="n">
        <v>45485</v>
      </c>
      <c r="C60" s="1" t="n">
        <v>45880</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30034-2024 artfynd.xlsx", "A 30034-2024")</f>
        <v/>
      </c>
      <c r="T60">
        <f>HYPERLINK("https://klasma.github.io/Logging_2321/kartor/A 30034-2024 karta.png", "A 30034-2024")</f>
        <v/>
      </c>
      <c r="V60">
        <f>HYPERLINK("https://klasma.github.io/Logging_2321/klagomål/A 30034-2024 FSC-klagomål.docx", "A 30034-2024")</f>
        <v/>
      </c>
      <c r="W60">
        <f>HYPERLINK("https://klasma.github.io/Logging_2321/klagomålsmail/A 30034-2024 FSC-klagomål mail.docx", "A 30034-2024")</f>
        <v/>
      </c>
      <c r="X60">
        <f>HYPERLINK("https://klasma.github.io/Logging_2321/tillsyn/A 30034-2024 tillsynsbegäran.docx", "A 30034-2024")</f>
        <v/>
      </c>
      <c r="Y60">
        <f>HYPERLINK("https://klasma.github.io/Logging_2321/tillsynsmail/A 30034-2024 tillsynsbegäran mail.docx", "A 30034-2024")</f>
        <v/>
      </c>
    </row>
    <row r="61" ht="15" customHeight="1">
      <c r="A61" t="inlineStr">
        <is>
          <t>A 32097-2025</t>
        </is>
      </c>
      <c r="B61" s="1" t="n">
        <v>45835.4641087963</v>
      </c>
      <c r="C61" s="1" t="n">
        <v>45880</v>
      </c>
      <c r="D61" t="inlineStr">
        <is>
          <t>JÄMTLANDS LÄN</t>
        </is>
      </c>
      <c r="E61" t="inlineStr">
        <is>
          <t>ÅRE</t>
        </is>
      </c>
      <c r="G61" t="n">
        <v>6.2</v>
      </c>
      <c r="H61" t="n">
        <v>2</v>
      </c>
      <c r="I61" t="n">
        <v>3</v>
      </c>
      <c r="J61" t="n">
        <v>2</v>
      </c>
      <c r="K61" t="n">
        <v>0</v>
      </c>
      <c r="L61" t="n">
        <v>0</v>
      </c>
      <c r="M61" t="n">
        <v>0</v>
      </c>
      <c r="N61" t="n">
        <v>0</v>
      </c>
      <c r="O61" t="n">
        <v>2</v>
      </c>
      <c r="P61" t="n">
        <v>0</v>
      </c>
      <c r="Q61" t="n">
        <v>5</v>
      </c>
      <c r="R61" s="2" t="inlineStr">
        <is>
          <t>Granticka
Lunglav
Spindelblomster
Stuplav
Tvåblad</t>
        </is>
      </c>
      <c r="S61">
        <f>HYPERLINK("https://klasma.github.io/Logging_2321/artfynd/A 32097-2025 artfynd.xlsx", "A 32097-2025")</f>
        <v/>
      </c>
      <c r="T61">
        <f>HYPERLINK("https://klasma.github.io/Logging_2321/kartor/A 32097-2025 karta.png", "A 32097-2025")</f>
        <v/>
      </c>
      <c r="V61">
        <f>HYPERLINK("https://klasma.github.io/Logging_2321/klagomål/A 32097-2025 FSC-klagomål.docx", "A 32097-2025")</f>
        <v/>
      </c>
      <c r="W61">
        <f>HYPERLINK("https://klasma.github.io/Logging_2321/klagomålsmail/A 32097-2025 FSC-klagomål mail.docx", "A 32097-2025")</f>
        <v/>
      </c>
      <c r="X61">
        <f>HYPERLINK("https://klasma.github.io/Logging_2321/tillsyn/A 32097-2025 tillsynsbegäran.docx", "A 32097-2025")</f>
        <v/>
      </c>
      <c r="Y61">
        <f>HYPERLINK("https://klasma.github.io/Logging_2321/tillsynsmail/A 32097-2025 tillsynsbegäran mail.docx", "A 32097-2025")</f>
        <v/>
      </c>
    </row>
    <row r="62" ht="15" customHeight="1">
      <c r="A62" t="inlineStr">
        <is>
          <t>A 20039-2024</t>
        </is>
      </c>
      <c r="B62" s="1" t="n">
        <v>45434</v>
      </c>
      <c r="C62" s="1" t="n">
        <v>45880</v>
      </c>
      <c r="D62" t="inlineStr">
        <is>
          <t>JÄMTLANDS LÄN</t>
        </is>
      </c>
      <c r="E62" t="inlineStr">
        <is>
          <t>ÅRE</t>
        </is>
      </c>
      <c r="G62" t="n">
        <v>5.3</v>
      </c>
      <c r="H62" t="n">
        <v>1</v>
      </c>
      <c r="I62" t="n">
        <v>0</v>
      </c>
      <c r="J62" t="n">
        <v>4</v>
      </c>
      <c r="K62" t="n">
        <v>1</v>
      </c>
      <c r="L62" t="n">
        <v>0</v>
      </c>
      <c r="M62" t="n">
        <v>0</v>
      </c>
      <c r="N62" t="n">
        <v>0</v>
      </c>
      <c r="O62" t="n">
        <v>5</v>
      </c>
      <c r="P62" t="n">
        <v>1</v>
      </c>
      <c r="Q62" t="n">
        <v>5</v>
      </c>
      <c r="R62" s="2" t="inlineStr">
        <is>
          <t>Vågticka
Garnlav
Gränsticka
Tretåig hackspett
Ullticka</t>
        </is>
      </c>
      <c r="S62">
        <f>HYPERLINK("https://klasma.github.io/Logging_2321/artfynd/A 20039-2024 artfynd.xlsx", "A 20039-2024")</f>
        <v/>
      </c>
      <c r="T62">
        <f>HYPERLINK("https://klasma.github.io/Logging_2321/kartor/A 20039-2024 karta.png", "A 20039-2024")</f>
        <v/>
      </c>
      <c r="V62">
        <f>HYPERLINK("https://klasma.github.io/Logging_2321/klagomål/A 20039-2024 FSC-klagomål.docx", "A 20039-2024")</f>
        <v/>
      </c>
      <c r="W62">
        <f>HYPERLINK("https://klasma.github.io/Logging_2321/klagomålsmail/A 20039-2024 FSC-klagomål mail.docx", "A 20039-2024")</f>
        <v/>
      </c>
      <c r="X62">
        <f>HYPERLINK("https://klasma.github.io/Logging_2321/tillsyn/A 20039-2024 tillsynsbegäran.docx", "A 20039-2024")</f>
        <v/>
      </c>
      <c r="Y62">
        <f>HYPERLINK("https://klasma.github.io/Logging_2321/tillsynsmail/A 20039-2024 tillsynsbegäran mail.docx", "A 20039-2024")</f>
        <v/>
      </c>
      <c r="Z62">
        <f>HYPERLINK("https://klasma.github.io/Logging_2321/fåglar/A 20039-2024 prioriterade fågelarter.docx", "A 20039-2024")</f>
        <v/>
      </c>
    </row>
    <row r="63" ht="15" customHeight="1">
      <c r="A63" t="inlineStr">
        <is>
          <t>A 12988-2021</t>
        </is>
      </c>
      <c r="B63" s="1" t="n">
        <v>44271</v>
      </c>
      <c r="C63" s="1" t="n">
        <v>45880</v>
      </c>
      <c r="D63" t="inlineStr">
        <is>
          <t>JÄMTLANDS LÄN</t>
        </is>
      </c>
      <c r="E63" t="inlineStr">
        <is>
          <t>ÅRE</t>
        </is>
      </c>
      <c r="G63" t="n">
        <v>25.9</v>
      </c>
      <c r="H63" t="n">
        <v>1</v>
      </c>
      <c r="I63" t="n">
        <v>2</v>
      </c>
      <c r="J63" t="n">
        <v>3</v>
      </c>
      <c r="K63" t="n">
        <v>0</v>
      </c>
      <c r="L63" t="n">
        <v>0</v>
      </c>
      <c r="M63" t="n">
        <v>0</v>
      </c>
      <c r="N63" t="n">
        <v>0</v>
      </c>
      <c r="O63" t="n">
        <v>3</v>
      </c>
      <c r="P63" t="n">
        <v>0</v>
      </c>
      <c r="Q63" t="n">
        <v>5</v>
      </c>
      <c r="R63" s="2" t="inlineStr">
        <is>
          <t>Granticka
Skrovellav
Ullticka
Spindelblomster
Stuplav</t>
        </is>
      </c>
      <c r="S63">
        <f>HYPERLINK("https://klasma.github.io/Logging_2321/artfynd/A 12988-2021 artfynd.xlsx", "A 12988-2021")</f>
        <v/>
      </c>
      <c r="T63">
        <f>HYPERLINK("https://klasma.github.io/Logging_2321/kartor/A 12988-2021 karta.png", "A 12988-2021")</f>
        <v/>
      </c>
      <c r="V63">
        <f>HYPERLINK("https://klasma.github.io/Logging_2321/klagomål/A 12988-2021 FSC-klagomål.docx", "A 12988-2021")</f>
        <v/>
      </c>
      <c r="W63">
        <f>HYPERLINK("https://klasma.github.io/Logging_2321/klagomålsmail/A 12988-2021 FSC-klagomål mail.docx", "A 12988-2021")</f>
        <v/>
      </c>
      <c r="X63">
        <f>HYPERLINK("https://klasma.github.io/Logging_2321/tillsyn/A 12988-2021 tillsynsbegäran.docx", "A 12988-2021")</f>
        <v/>
      </c>
      <c r="Y63">
        <f>HYPERLINK("https://klasma.github.io/Logging_2321/tillsynsmail/A 12988-2021 tillsynsbegäran mail.docx", "A 12988-2021")</f>
        <v/>
      </c>
    </row>
    <row r="64" ht="15" customHeight="1">
      <c r="A64" t="inlineStr">
        <is>
          <t>A 17855-2024</t>
        </is>
      </c>
      <c r="B64" s="1" t="n">
        <v>45419</v>
      </c>
      <c r="C64" s="1" t="n">
        <v>45880</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42565-2024</t>
        </is>
      </c>
      <c r="B65" s="1" t="n">
        <v>45565</v>
      </c>
      <c r="C65" s="1" t="n">
        <v>45880</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57537-2024</t>
        </is>
      </c>
      <c r="B66" s="1" t="n">
        <v>45630</v>
      </c>
      <c r="C66" s="1" t="n">
        <v>45880</v>
      </c>
      <c r="D66" t="inlineStr">
        <is>
          <t>JÄMTLANDS LÄN</t>
        </is>
      </c>
      <c r="E66" t="inlineStr">
        <is>
          <t>ÅRE</t>
        </is>
      </c>
      <c r="G66" t="n">
        <v>19.1</v>
      </c>
      <c r="H66" t="n">
        <v>1</v>
      </c>
      <c r="I66" t="n">
        <v>0</v>
      </c>
      <c r="J66" t="n">
        <v>4</v>
      </c>
      <c r="K66" t="n">
        <v>0</v>
      </c>
      <c r="L66" t="n">
        <v>0</v>
      </c>
      <c r="M66" t="n">
        <v>0</v>
      </c>
      <c r="N66" t="n">
        <v>0</v>
      </c>
      <c r="O66" t="n">
        <v>4</v>
      </c>
      <c r="P66" t="n">
        <v>0</v>
      </c>
      <c r="Q66" t="n">
        <v>4</v>
      </c>
      <c r="R66" s="2" t="inlineStr">
        <is>
          <t>Garnlav
Granticka
Tretåig hackspett
Ullticka</t>
        </is>
      </c>
      <c r="S66">
        <f>HYPERLINK("https://klasma.github.io/Logging_2321/artfynd/A 57537-2024 artfynd.xlsx", "A 57537-2024")</f>
        <v/>
      </c>
      <c r="T66">
        <f>HYPERLINK("https://klasma.github.io/Logging_2321/kartor/A 57537-2024 karta.png", "A 57537-2024")</f>
        <v/>
      </c>
      <c r="V66">
        <f>HYPERLINK("https://klasma.github.io/Logging_2321/klagomål/A 57537-2024 FSC-klagomål.docx", "A 57537-2024")</f>
        <v/>
      </c>
      <c r="W66">
        <f>HYPERLINK("https://klasma.github.io/Logging_2321/klagomålsmail/A 57537-2024 FSC-klagomål mail.docx", "A 57537-2024")</f>
        <v/>
      </c>
      <c r="X66">
        <f>HYPERLINK("https://klasma.github.io/Logging_2321/tillsyn/A 57537-2024 tillsynsbegäran.docx", "A 57537-2024")</f>
        <v/>
      </c>
      <c r="Y66">
        <f>HYPERLINK("https://klasma.github.io/Logging_2321/tillsynsmail/A 57537-2024 tillsynsbegäran mail.docx", "A 57537-2024")</f>
        <v/>
      </c>
      <c r="Z66">
        <f>HYPERLINK("https://klasma.github.io/Logging_2321/fåglar/A 57537-2024 prioriterade fågelarter.docx", "A 57537-2024")</f>
        <v/>
      </c>
    </row>
    <row r="67" ht="15" customHeight="1">
      <c r="A67" t="inlineStr">
        <is>
          <t>A 12271-2022</t>
        </is>
      </c>
      <c r="B67" s="1" t="n">
        <v>44637</v>
      </c>
      <c r="C67" s="1" t="n">
        <v>45880</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56183-2022</t>
        </is>
      </c>
      <c r="B68" s="1" t="n">
        <v>44889</v>
      </c>
      <c r="C68" s="1" t="n">
        <v>45880</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19277-2021</t>
        </is>
      </c>
      <c r="B69" s="1" t="n">
        <v>44309</v>
      </c>
      <c r="C69" s="1" t="n">
        <v>45880</v>
      </c>
      <c r="D69" t="inlineStr">
        <is>
          <t>JÄMTLANDS LÄN</t>
        </is>
      </c>
      <c r="E69" t="inlineStr">
        <is>
          <t>ÅRE</t>
        </is>
      </c>
      <c r="G69" t="n">
        <v>3.2</v>
      </c>
      <c r="H69" t="n">
        <v>0</v>
      </c>
      <c r="I69" t="n">
        <v>2</v>
      </c>
      <c r="J69" t="n">
        <v>2</v>
      </c>
      <c r="K69" t="n">
        <v>0</v>
      </c>
      <c r="L69" t="n">
        <v>0</v>
      </c>
      <c r="M69" t="n">
        <v>0</v>
      </c>
      <c r="N69" t="n">
        <v>0</v>
      </c>
      <c r="O69" t="n">
        <v>2</v>
      </c>
      <c r="P69" t="n">
        <v>0</v>
      </c>
      <c r="Q69" t="n">
        <v>4</v>
      </c>
      <c r="R69" s="2" t="inlineStr">
        <is>
          <t>Garnlav
Gränsticka
Korallblylav
Stuplav</t>
        </is>
      </c>
      <c r="S69">
        <f>HYPERLINK("https://klasma.github.io/Logging_2321/artfynd/A 19277-2021 artfynd.xlsx", "A 19277-2021")</f>
        <v/>
      </c>
      <c r="T69">
        <f>HYPERLINK("https://klasma.github.io/Logging_2321/kartor/A 19277-2021 karta.png", "A 19277-2021")</f>
        <v/>
      </c>
      <c r="V69">
        <f>HYPERLINK("https://klasma.github.io/Logging_2321/klagomål/A 19277-2021 FSC-klagomål.docx", "A 19277-2021")</f>
        <v/>
      </c>
      <c r="W69">
        <f>HYPERLINK("https://klasma.github.io/Logging_2321/klagomålsmail/A 19277-2021 FSC-klagomål mail.docx", "A 19277-2021")</f>
        <v/>
      </c>
      <c r="X69">
        <f>HYPERLINK("https://klasma.github.io/Logging_2321/tillsyn/A 19277-2021 tillsynsbegäran.docx", "A 19277-2021")</f>
        <v/>
      </c>
      <c r="Y69">
        <f>HYPERLINK("https://klasma.github.io/Logging_2321/tillsynsmail/A 19277-2021 tillsynsbegäran mail.docx", "A 19277-2021")</f>
        <v/>
      </c>
    </row>
    <row r="70" ht="15" customHeight="1">
      <c r="A70" t="inlineStr">
        <is>
          <t>A 17107-2025</t>
        </is>
      </c>
      <c r="B70" s="1" t="n">
        <v>45755</v>
      </c>
      <c r="C70" s="1" t="n">
        <v>45880</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20035-2024</t>
        </is>
      </c>
      <c r="B71" s="1" t="n">
        <v>45434</v>
      </c>
      <c r="C71" s="1" t="n">
        <v>45880</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58082-2022</t>
        </is>
      </c>
      <c r="B72" s="1" t="n">
        <v>44900</v>
      </c>
      <c r="C72" s="1" t="n">
        <v>45880</v>
      </c>
      <c r="D72" t="inlineStr">
        <is>
          <t>JÄMTLANDS LÄN</t>
        </is>
      </c>
      <c r="E72" t="inlineStr">
        <is>
          <t>ÅRE</t>
        </is>
      </c>
      <c r="G72" t="n">
        <v>28.2</v>
      </c>
      <c r="H72" t="n">
        <v>2</v>
      </c>
      <c r="I72" t="n">
        <v>1</v>
      </c>
      <c r="J72" t="n">
        <v>2</v>
      </c>
      <c r="K72" t="n">
        <v>0</v>
      </c>
      <c r="L72" t="n">
        <v>0</v>
      </c>
      <c r="M72" t="n">
        <v>0</v>
      </c>
      <c r="N72" t="n">
        <v>0</v>
      </c>
      <c r="O72" t="n">
        <v>2</v>
      </c>
      <c r="P72" t="n">
        <v>0</v>
      </c>
      <c r="Q72" t="n">
        <v>3</v>
      </c>
      <c r="R72" s="2" t="inlineStr">
        <is>
          <t>Spillkråka
Tretåig hackspett
Kambräken</t>
        </is>
      </c>
      <c r="S72">
        <f>HYPERLINK("https://klasma.github.io/Logging_2321/artfynd/A 58082-2022 artfynd.xlsx", "A 58082-2022")</f>
        <v/>
      </c>
      <c r="T72">
        <f>HYPERLINK("https://klasma.github.io/Logging_2321/kartor/A 58082-2022 karta.png", "A 58082-2022")</f>
        <v/>
      </c>
      <c r="V72">
        <f>HYPERLINK("https://klasma.github.io/Logging_2321/klagomål/A 58082-2022 FSC-klagomål.docx", "A 58082-2022")</f>
        <v/>
      </c>
      <c r="W72">
        <f>HYPERLINK("https://klasma.github.io/Logging_2321/klagomålsmail/A 58082-2022 FSC-klagomål mail.docx", "A 58082-2022")</f>
        <v/>
      </c>
      <c r="X72">
        <f>HYPERLINK("https://klasma.github.io/Logging_2321/tillsyn/A 58082-2022 tillsynsbegäran.docx", "A 58082-2022")</f>
        <v/>
      </c>
      <c r="Y72">
        <f>HYPERLINK("https://klasma.github.io/Logging_2321/tillsynsmail/A 58082-2022 tillsynsbegäran mail.docx", "A 58082-2022")</f>
        <v/>
      </c>
      <c r="Z72">
        <f>HYPERLINK("https://klasma.github.io/Logging_2321/fåglar/A 58082-2022 prioriterade fågelarter.docx", "A 58082-2022")</f>
        <v/>
      </c>
    </row>
    <row r="73" ht="15" customHeight="1">
      <c r="A73" t="inlineStr">
        <is>
          <t>A 10773-2021</t>
        </is>
      </c>
      <c r="B73" s="1" t="n">
        <v>44259</v>
      </c>
      <c r="C73" s="1" t="n">
        <v>45880</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36260-2023</t>
        </is>
      </c>
      <c r="B74" s="1" t="n">
        <v>45151</v>
      </c>
      <c r="C74" s="1" t="n">
        <v>45880</v>
      </c>
      <c r="D74" t="inlineStr">
        <is>
          <t>JÄMTLANDS LÄN</t>
        </is>
      </c>
      <c r="E74" t="inlineStr">
        <is>
          <t>ÅRE</t>
        </is>
      </c>
      <c r="G74" t="n">
        <v>2.6</v>
      </c>
      <c r="H74" t="n">
        <v>0</v>
      </c>
      <c r="I74" t="n">
        <v>3</v>
      </c>
      <c r="J74" t="n">
        <v>0</v>
      </c>
      <c r="K74" t="n">
        <v>0</v>
      </c>
      <c r="L74" t="n">
        <v>0</v>
      </c>
      <c r="M74" t="n">
        <v>0</v>
      </c>
      <c r="N74" t="n">
        <v>0</v>
      </c>
      <c r="O74" t="n">
        <v>0</v>
      </c>
      <c r="P74" t="n">
        <v>0</v>
      </c>
      <c r="Q74" t="n">
        <v>3</v>
      </c>
      <c r="R74" s="2" t="inlineStr">
        <is>
          <t>Svavelriska
Underviol
Vedticka</t>
        </is>
      </c>
      <c r="S74">
        <f>HYPERLINK("https://klasma.github.io/Logging_2321/artfynd/A 36260-2023 artfynd.xlsx", "A 36260-2023")</f>
        <v/>
      </c>
      <c r="T74">
        <f>HYPERLINK("https://klasma.github.io/Logging_2321/kartor/A 36260-2023 karta.png", "A 36260-2023")</f>
        <v/>
      </c>
      <c r="V74">
        <f>HYPERLINK("https://klasma.github.io/Logging_2321/klagomål/A 36260-2023 FSC-klagomål.docx", "A 36260-2023")</f>
        <v/>
      </c>
      <c r="W74">
        <f>HYPERLINK("https://klasma.github.io/Logging_2321/klagomålsmail/A 36260-2023 FSC-klagomål mail.docx", "A 36260-2023")</f>
        <v/>
      </c>
      <c r="X74">
        <f>HYPERLINK("https://klasma.github.io/Logging_2321/tillsyn/A 36260-2023 tillsynsbegäran.docx", "A 36260-2023")</f>
        <v/>
      </c>
      <c r="Y74">
        <f>HYPERLINK("https://klasma.github.io/Logging_2321/tillsynsmail/A 36260-2023 tillsynsbegäran mail.docx", "A 36260-2023")</f>
        <v/>
      </c>
    </row>
    <row r="75" ht="15" customHeight="1">
      <c r="A75" t="inlineStr">
        <is>
          <t>A 23729-2023</t>
        </is>
      </c>
      <c r="B75" s="1" t="n">
        <v>45072</v>
      </c>
      <c r="C75" s="1" t="n">
        <v>45880</v>
      </c>
      <c r="D75" t="inlineStr">
        <is>
          <t>JÄMTLANDS LÄN</t>
        </is>
      </c>
      <c r="E75" t="inlineStr">
        <is>
          <t>ÅRE</t>
        </is>
      </c>
      <c r="G75" t="n">
        <v>4.3</v>
      </c>
      <c r="H75" t="n">
        <v>1</v>
      </c>
      <c r="I75" t="n">
        <v>0</v>
      </c>
      <c r="J75" t="n">
        <v>3</v>
      </c>
      <c r="K75" t="n">
        <v>0</v>
      </c>
      <c r="L75" t="n">
        <v>0</v>
      </c>
      <c r="M75" t="n">
        <v>0</v>
      </c>
      <c r="N75" t="n">
        <v>0</v>
      </c>
      <c r="O75" t="n">
        <v>3</v>
      </c>
      <c r="P75" t="n">
        <v>0</v>
      </c>
      <c r="Q75" t="n">
        <v>3</v>
      </c>
      <c r="R75" s="2" t="inlineStr">
        <is>
          <t>Granticka
Lunglav
Tretåig hackspett</t>
        </is>
      </c>
      <c r="S75">
        <f>HYPERLINK("https://klasma.github.io/Logging_2321/artfynd/A 23729-2023 artfynd.xlsx", "A 23729-2023")</f>
        <v/>
      </c>
      <c r="T75">
        <f>HYPERLINK("https://klasma.github.io/Logging_2321/kartor/A 23729-2023 karta.png", "A 23729-2023")</f>
        <v/>
      </c>
      <c r="V75">
        <f>HYPERLINK("https://klasma.github.io/Logging_2321/klagomål/A 23729-2023 FSC-klagomål.docx", "A 23729-2023")</f>
        <v/>
      </c>
      <c r="W75">
        <f>HYPERLINK("https://klasma.github.io/Logging_2321/klagomålsmail/A 23729-2023 FSC-klagomål mail.docx", "A 23729-2023")</f>
        <v/>
      </c>
      <c r="X75">
        <f>HYPERLINK("https://klasma.github.io/Logging_2321/tillsyn/A 23729-2023 tillsynsbegäran.docx", "A 23729-2023")</f>
        <v/>
      </c>
      <c r="Y75">
        <f>HYPERLINK("https://klasma.github.io/Logging_2321/tillsynsmail/A 23729-2023 tillsynsbegäran mail.docx", "A 23729-2023")</f>
        <v/>
      </c>
      <c r="Z75">
        <f>HYPERLINK("https://klasma.github.io/Logging_2321/fåglar/A 23729-2023 prioriterade fågelarter.docx", "A 23729-2023")</f>
        <v/>
      </c>
    </row>
    <row r="76" ht="15" customHeight="1">
      <c r="A76" t="inlineStr">
        <is>
          <t>A 22601-2024</t>
        </is>
      </c>
      <c r="B76" s="1" t="n">
        <v>45447</v>
      </c>
      <c r="C76" s="1" t="n">
        <v>45880</v>
      </c>
      <c r="D76" t="inlineStr">
        <is>
          <t>JÄMTLANDS LÄN</t>
        </is>
      </c>
      <c r="E76" t="inlineStr">
        <is>
          <t>ÅRE</t>
        </is>
      </c>
      <c r="G76" t="n">
        <v>14.7</v>
      </c>
      <c r="H76" t="n">
        <v>0</v>
      </c>
      <c r="I76" t="n">
        <v>2</v>
      </c>
      <c r="J76" t="n">
        <v>1</v>
      </c>
      <c r="K76" t="n">
        <v>0</v>
      </c>
      <c r="L76" t="n">
        <v>0</v>
      </c>
      <c r="M76" t="n">
        <v>0</v>
      </c>
      <c r="N76" t="n">
        <v>0</v>
      </c>
      <c r="O76" t="n">
        <v>1</v>
      </c>
      <c r="P76" t="n">
        <v>0</v>
      </c>
      <c r="Q76" t="n">
        <v>3</v>
      </c>
      <c r="R76" s="2" t="inlineStr">
        <is>
          <t>Granticka
Nordlig tuffmossa
Svavelriska</t>
        </is>
      </c>
      <c r="S76">
        <f>HYPERLINK("https://klasma.github.io/Logging_2321/artfynd/A 22601-2024 artfynd.xlsx", "A 22601-2024")</f>
        <v/>
      </c>
      <c r="T76">
        <f>HYPERLINK("https://klasma.github.io/Logging_2321/kartor/A 22601-2024 karta.png", "A 22601-2024")</f>
        <v/>
      </c>
      <c r="V76">
        <f>HYPERLINK("https://klasma.github.io/Logging_2321/klagomål/A 22601-2024 FSC-klagomål.docx", "A 22601-2024")</f>
        <v/>
      </c>
      <c r="W76">
        <f>HYPERLINK("https://klasma.github.io/Logging_2321/klagomålsmail/A 22601-2024 FSC-klagomål mail.docx", "A 22601-2024")</f>
        <v/>
      </c>
      <c r="X76">
        <f>HYPERLINK("https://klasma.github.io/Logging_2321/tillsyn/A 22601-2024 tillsynsbegäran.docx", "A 22601-2024")</f>
        <v/>
      </c>
      <c r="Y76">
        <f>HYPERLINK("https://klasma.github.io/Logging_2321/tillsynsmail/A 22601-2024 tillsynsbegäran mail.docx", "A 22601-2024")</f>
        <v/>
      </c>
    </row>
    <row r="77" ht="15" customHeight="1">
      <c r="A77" t="inlineStr">
        <is>
          <t>A 59237-2022</t>
        </is>
      </c>
      <c r="B77" s="1" t="n">
        <v>44904</v>
      </c>
      <c r="C77" s="1" t="n">
        <v>45880</v>
      </c>
      <c r="D77" t="inlineStr">
        <is>
          <t>JÄMTLANDS LÄN</t>
        </is>
      </c>
      <c r="E77" t="inlineStr">
        <is>
          <t>ÅRE</t>
        </is>
      </c>
      <c r="G77" t="n">
        <v>33.7</v>
      </c>
      <c r="H77" t="n">
        <v>1</v>
      </c>
      <c r="I77" t="n">
        <v>0</v>
      </c>
      <c r="J77" t="n">
        <v>3</v>
      </c>
      <c r="K77" t="n">
        <v>0</v>
      </c>
      <c r="L77" t="n">
        <v>0</v>
      </c>
      <c r="M77" t="n">
        <v>0</v>
      </c>
      <c r="N77" t="n">
        <v>0</v>
      </c>
      <c r="O77" t="n">
        <v>3</v>
      </c>
      <c r="P77" t="n">
        <v>0</v>
      </c>
      <c r="Q77" t="n">
        <v>3</v>
      </c>
      <c r="R77" s="2" t="inlineStr">
        <is>
          <t>Granticka
Tretåig hackspett
Vitgrynig nållav</t>
        </is>
      </c>
      <c r="S77">
        <f>HYPERLINK("https://klasma.github.io/Logging_2321/artfynd/A 59237-2022 artfynd.xlsx", "A 59237-2022")</f>
        <v/>
      </c>
      <c r="T77">
        <f>HYPERLINK("https://klasma.github.io/Logging_2321/kartor/A 59237-2022 karta.png", "A 59237-2022")</f>
        <v/>
      </c>
      <c r="V77">
        <f>HYPERLINK("https://klasma.github.io/Logging_2321/klagomål/A 59237-2022 FSC-klagomål.docx", "A 59237-2022")</f>
        <v/>
      </c>
      <c r="W77">
        <f>HYPERLINK("https://klasma.github.io/Logging_2321/klagomålsmail/A 59237-2022 FSC-klagomål mail.docx", "A 59237-2022")</f>
        <v/>
      </c>
      <c r="X77">
        <f>HYPERLINK("https://klasma.github.io/Logging_2321/tillsyn/A 59237-2022 tillsynsbegäran.docx", "A 59237-2022")</f>
        <v/>
      </c>
      <c r="Y77">
        <f>HYPERLINK("https://klasma.github.io/Logging_2321/tillsynsmail/A 59237-2022 tillsynsbegäran mail.docx", "A 59237-2022")</f>
        <v/>
      </c>
      <c r="Z77">
        <f>HYPERLINK("https://klasma.github.io/Logging_2321/fåglar/A 59237-2022 prioriterade fågelarter.docx", "A 59237-2022")</f>
        <v/>
      </c>
    </row>
    <row r="78" ht="15" customHeight="1">
      <c r="A78" t="inlineStr">
        <is>
          <t>A 13625-2023</t>
        </is>
      </c>
      <c r="B78" s="1" t="n">
        <v>45006</v>
      </c>
      <c r="C78" s="1" t="n">
        <v>45880</v>
      </c>
      <c r="D78" t="inlineStr">
        <is>
          <t>JÄMTLANDS LÄN</t>
        </is>
      </c>
      <c r="E78" t="inlineStr">
        <is>
          <t>ÅRE</t>
        </is>
      </c>
      <c r="G78" t="n">
        <v>22.9</v>
      </c>
      <c r="H78" t="n">
        <v>1</v>
      </c>
      <c r="I78" t="n">
        <v>0</v>
      </c>
      <c r="J78" t="n">
        <v>3</v>
      </c>
      <c r="K78" t="n">
        <v>0</v>
      </c>
      <c r="L78" t="n">
        <v>0</v>
      </c>
      <c r="M78" t="n">
        <v>0</v>
      </c>
      <c r="N78" t="n">
        <v>0</v>
      </c>
      <c r="O78" t="n">
        <v>3</v>
      </c>
      <c r="P78" t="n">
        <v>0</v>
      </c>
      <c r="Q78" t="n">
        <v>3</v>
      </c>
      <c r="R78" s="2" t="inlineStr">
        <is>
          <t>Lunglav
Tretåig hackspett
Vitskaftad svartspik</t>
        </is>
      </c>
      <c r="S78">
        <f>HYPERLINK("https://klasma.github.io/Logging_2321/artfynd/A 13625-2023 artfynd.xlsx", "A 13625-2023")</f>
        <v/>
      </c>
      <c r="T78">
        <f>HYPERLINK("https://klasma.github.io/Logging_2321/kartor/A 13625-2023 karta.png", "A 13625-2023")</f>
        <v/>
      </c>
      <c r="V78">
        <f>HYPERLINK("https://klasma.github.io/Logging_2321/klagomål/A 13625-2023 FSC-klagomål.docx", "A 13625-2023")</f>
        <v/>
      </c>
      <c r="W78">
        <f>HYPERLINK("https://klasma.github.io/Logging_2321/klagomålsmail/A 13625-2023 FSC-klagomål mail.docx", "A 13625-2023")</f>
        <v/>
      </c>
      <c r="X78">
        <f>HYPERLINK("https://klasma.github.io/Logging_2321/tillsyn/A 13625-2023 tillsynsbegäran.docx", "A 13625-2023")</f>
        <v/>
      </c>
      <c r="Y78">
        <f>HYPERLINK("https://klasma.github.io/Logging_2321/tillsynsmail/A 13625-2023 tillsynsbegäran mail.docx", "A 13625-2023")</f>
        <v/>
      </c>
      <c r="Z78">
        <f>HYPERLINK("https://klasma.github.io/Logging_2321/fåglar/A 13625-2023 prioriterade fågelarter.docx", "A 13625-2023")</f>
        <v/>
      </c>
    </row>
    <row r="79" ht="15" customHeight="1">
      <c r="A79" t="inlineStr">
        <is>
          <t>A 20124-2023</t>
        </is>
      </c>
      <c r="B79" s="1" t="n">
        <v>45055</v>
      </c>
      <c r="C79" s="1" t="n">
        <v>45880</v>
      </c>
      <c r="D79" t="inlineStr">
        <is>
          <t>JÄMTLANDS LÄN</t>
        </is>
      </c>
      <c r="E79" t="inlineStr">
        <is>
          <t>ÅRE</t>
        </is>
      </c>
      <c r="G79" t="n">
        <v>3.4</v>
      </c>
      <c r="H79" t="n">
        <v>0</v>
      </c>
      <c r="I79" t="n">
        <v>3</v>
      </c>
      <c r="J79" t="n">
        <v>0</v>
      </c>
      <c r="K79" t="n">
        <v>0</v>
      </c>
      <c r="L79" t="n">
        <v>0</v>
      </c>
      <c r="M79" t="n">
        <v>0</v>
      </c>
      <c r="N79" t="n">
        <v>0</v>
      </c>
      <c r="O79" t="n">
        <v>0</v>
      </c>
      <c r="P79" t="n">
        <v>0</v>
      </c>
      <c r="Q79" t="n">
        <v>3</v>
      </c>
      <c r="R79" s="2" t="inlineStr">
        <is>
          <t>Finbräken
Svart trolldruva
Underviol</t>
        </is>
      </c>
      <c r="S79">
        <f>HYPERLINK("https://klasma.github.io/Logging_2321/artfynd/A 20124-2023 artfynd.xlsx", "A 20124-2023")</f>
        <v/>
      </c>
      <c r="T79">
        <f>HYPERLINK("https://klasma.github.io/Logging_2321/kartor/A 20124-2023 karta.png", "A 20124-2023")</f>
        <v/>
      </c>
      <c r="V79">
        <f>HYPERLINK("https://klasma.github.io/Logging_2321/klagomål/A 20124-2023 FSC-klagomål.docx", "A 20124-2023")</f>
        <v/>
      </c>
      <c r="W79">
        <f>HYPERLINK("https://klasma.github.io/Logging_2321/klagomålsmail/A 20124-2023 FSC-klagomål mail.docx", "A 20124-2023")</f>
        <v/>
      </c>
      <c r="X79">
        <f>HYPERLINK("https://klasma.github.io/Logging_2321/tillsyn/A 20124-2023 tillsynsbegäran.docx", "A 20124-2023")</f>
        <v/>
      </c>
      <c r="Y79">
        <f>HYPERLINK("https://klasma.github.io/Logging_2321/tillsynsmail/A 20124-2023 tillsynsbegäran mail.docx", "A 20124-2023")</f>
        <v/>
      </c>
    </row>
    <row r="80" ht="15" customHeight="1">
      <c r="A80" t="inlineStr">
        <is>
          <t>A 12269-2022</t>
        </is>
      </c>
      <c r="B80" s="1" t="n">
        <v>44637</v>
      </c>
      <c r="C80" s="1" t="n">
        <v>45880</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72934-2021</t>
        </is>
      </c>
      <c r="B81" s="1" t="n">
        <v>44547</v>
      </c>
      <c r="C81" s="1" t="n">
        <v>45880</v>
      </c>
      <c r="D81" t="inlineStr">
        <is>
          <t>JÄMTLANDS LÄN</t>
        </is>
      </c>
      <c r="E81" t="inlineStr">
        <is>
          <t>ÅRE</t>
        </is>
      </c>
      <c r="G81" t="n">
        <v>31.9</v>
      </c>
      <c r="H81" t="n">
        <v>0</v>
      </c>
      <c r="I81" t="n">
        <v>0</v>
      </c>
      <c r="J81" t="n">
        <v>3</v>
      </c>
      <c r="K81" t="n">
        <v>0</v>
      </c>
      <c r="L81" t="n">
        <v>0</v>
      </c>
      <c r="M81" t="n">
        <v>0</v>
      </c>
      <c r="N81" t="n">
        <v>0</v>
      </c>
      <c r="O81" t="n">
        <v>3</v>
      </c>
      <c r="P81" t="n">
        <v>0</v>
      </c>
      <c r="Q81" t="n">
        <v>3</v>
      </c>
      <c r="R81" s="2" t="inlineStr">
        <is>
          <t>Gränsticka
Skrovellav
Stjärntagging</t>
        </is>
      </c>
      <c r="S81">
        <f>HYPERLINK("https://klasma.github.io/Logging_2321/artfynd/A 72934-2021 artfynd.xlsx", "A 72934-2021")</f>
        <v/>
      </c>
      <c r="T81">
        <f>HYPERLINK("https://klasma.github.io/Logging_2321/kartor/A 72934-2021 karta.png", "A 72934-2021")</f>
        <v/>
      </c>
      <c r="V81">
        <f>HYPERLINK("https://klasma.github.io/Logging_2321/klagomål/A 72934-2021 FSC-klagomål.docx", "A 72934-2021")</f>
        <v/>
      </c>
      <c r="W81">
        <f>HYPERLINK("https://klasma.github.io/Logging_2321/klagomålsmail/A 72934-2021 FSC-klagomål mail.docx", "A 72934-2021")</f>
        <v/>
      </c>
      <c r="X81">
        <f>HYPERLINK("https://klasma.github.io/Logging_2321/tillsyn/A 72934-2021 tillsynsbegäran.docx", "A 72934-2021")</f>
        <v/>
      </c>
      <c r="Y81">
        <f>HYPERLINK("https://klasma.github.io/Logging_2321/tillsynsmail/A 72934-2021 tillsynsbegäran mail.docx", "A 72934-2021")</f>
        <v/>
      </c>
    </row>
    <row r="82" ht="15" customHeight="1">
      <c r="A82" t="inlineStr">
        <is>
          <t>A 10627-2023</t>
        </is>
      </c>
      <c r="B82" s="1" t="n">
        <v>44984</v>
      </c>
      <c r="C82" s="1" t="n">
        <v>45880</v>
      </c>
      <c r="D82" t="inlineStr">
        <is>
          <t>JÄMTLANDS LÄN</t>
        </is>
      </c>
      <c r="E82" t="inlineStr">
        <is>
          <t>ÅRE</t>
        </is>
      </c>
      <c r="G82" t="n">
        <v>29.1</v>
      </c>
      <c r="H82" t="n">
        <v>1</v>
      </c>
      <c r="I82" t="n">
        <v>0</v>
      </c>
      <c r="J82" t="n">
        <v>3</v>
      </c>
      <c r="K82" t="n">
        <v>0</v>
      </c>
      <c r="L82" t="n">
        <v>0</v>
      </c>
      <c r="M82" t="n">
        <v>0</v>
      </c>
      <c r="N82" t="n">
        <v>0</v>
      </c>
      <c r="O82" t="n">
        <v>3</v>
      </c>
      <c r="P82" t="n">
        <v>0</v>
      </c>
      <c r="Q82" t="n">
        <v>3</v>
      </c>
      <c r="R82" s="2" t="inlineStr">
        <is>
          <t>Harticka
Tretåig hackspett
Vitgrynig nållav</t>
        </is>
      </c>
      <c r="S82">
        <f>HYPERLINK("https://klasma.github.io/Logging_2321/artfynd/A 10627-2023 artfynd.xlsx", "A 10627-2023")</f>
        <v/>
      </c>
      <c r="T82">
        <f>HYPERLINK("https://klasma.github.io/Logging_2321/kartor/A 10627-2023 karta.png", "A 10627-2023")</f>
        <v/>
      </c>
      <c r="V82">
        <f>HYPERLINK("https://klasma.github.io/Logging_2321/klagomål/A 10627-2023 FSC-klagomål.docx", "A 10627-2023")</f>
        <v/>
      </c>
      <c r="W82">
        <f>HYPERLINK("https://klasma.github.io/Logging_2321/klagomålsmail/A 10627-2023 FSC-klagomål mail.docx", "A 10627-2023")</f>
        <v/>
      </c>
      <c r="X82">
        <f>HYPERLINK("https://klasma.github.io/Logging_2321/tillsyn/A 10627-2023 tillsynsbegäran.docx", "A 10627-2023")</f>
        <v/>
      </c>
      <c r="Y82">
        <f>HYPERLINK("https://klasma.github.io/Logging_2321/tillsynsmail/A 10627-2023 tillsynsbegäran mail.docx", "A 10627-2023")</f>
        <v/>
      </c>
      <c r="Z82">
        <f>HYPERLINK("https://klasma.github.io/Logging_2321/fåglar/A 10627-2023 prioriterade fågelarter.docx", "A 10627-2023")</f>
        <v/>
      </c>
    </row>
    <row r="83" ht="15" customHeight="1">
      <c r="A83" t="inlineStr">
        <is>
          <t>A 22692-2025</t>
        </is>
      </c>
      <c r="B83" s="1" t="n">
        <v>45789.53834490741</v>
      </c>
      <c r="C83" s="1" t="n">
        <v>45880</v>
      </c>
      <c r="D83" t="inlineStr">
        <is>
          <t>JÄMTLANDS LÄN</t>
        </is>
      </c>
      <c r="E83" t="inlineStr">
        <is>
          <t>ÅRE</t>
        </is>
      </c>
      <c r="G83" t="n">
        <v>10.6</v>
      </c>
      <c r="H83" t="n">
        <v>0</v>
      </c>
      <c r="I83" t="n">
        <v>0</v>
      </c>
      <c r="J83" t="n">
        <v>3</v>
      </c>
      <c r="K83" t="n">
        <v>0</v>
      </c>
      <c r="L83" t="n">
        <v>0</v>
      </c>
      <c r="M83" t="n">
        <v>0</v>
      </c>
      <c r="N83" t="n">
        <v>0</v>
      </c>
      <c r="O83" t="n">
        <v>3</v>
      </c>
      <c r="P83" t="n">
        <v>0</v>
      </c>
      <c r="Q83" t="n">
        <v>3</v>
      </c>
      <c r="R83" s="2" t="inlineStr">
        <is>
          <t>Gammelgransskål
Garnlav
Skrovellav</t>
        </is>
      </c>
      <c r="S83">
        <f>HYPERLINK("https://klasma.github.io/Logging_2321/artfynd/A 22692-2025 artfynd.xlsx", "A 22692-2025")</f>
        <v/>
      </c>
      <c r="T83">
        <f>HYPERLINK("https://klasma.github.io/Logging_2321/kartor/A 22692-2025 karta.png", "A 22692-2025")</f>
        <v/>
      </c>
      <c r="V83">
        <f>HYPERLINK("https://klasma.github.io/Logging_2321/klagomål/A 22692-2025 FSC-klagomål.docx", "A 22692-2025")</f>
        <v/>
      </c>
      <c r="W83">
        <f>HYPERLINK("https://klasma.github.io/Logging_2321/klagomålsmail/A 22692-2025 FSC-klagomål mail.docx", "A 22692-2025")</f>
        <v/>
      </c>
      <c r="X83">
        <f>HYPERLINK("https://klasma.github.io/Logging_2321/tillsyn/A 22692-2025 tillsynsbegäran.docx", "A 22692-2025")</f>
        <v/>
      </c>
      <c r="Y83">
        <f>HYPERLINK("https://klasma.github.io/Logging_2321/tillsynsmail/A 22692-2025 tillsynsbegäran mail.docx", "A 22692-2025")</f>
        <v/>
      </c>
    </row>
    <row r="84" ht="15" customHeight="1">
      <c r="A84" t="inlineStr">
        <is>
          <t>A 52588-2024</t>
        </is>
      </c>
      <c r="B84" s="1" t="n">
        <v>45609.69825231482</v>
      </c>
      <c r="C84" s="1" t="n">
        <v>45880</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54988-2020</t>
        </is>
      </c>
      <c r="B85" s="1" t="n">
        <v>44130</v>
      </c>
      <c r="C85" s="1" t="n">
        <v>45880</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21006-2022</t>
        </is>
      </c>
      <c r="B86" s="1" t="n">
        <v>44701</v>
      </c>
      <c r="C86" s="1" t="n">
        <v>45880</v>
      </c>
      <c r="D86" t="inlineStr">
        <is>
          <t>JÄMTLANDS LÄN</t>
        </is>
      </c>
      <c r="E86" t="inlineStr">
        <is>
          <t>ÅRE</t>
        </is>
      </c>
      <c r="G86" t="n">
        <v>5.5</v>
      </c>
      <c r="H86" t="n">
        <v>1</v>
      </c>
      <c r="I86" t="n">
        <v>0</v>
      </c>
      <c r="J86" t="n">
        <v>3</v>
      </c>
      <c r="K86" t="n">
        <v>0</v>
      </c>
      <c r="L86" t="n">
        <v>0</v>
      </c>
      <c r="M86" t="n">
        <v>0</v>
      </c>
      <c r="N86" t="n">
        <v>0</v>
      </c>
      <c r="O86" t="n">
        <v>3</v>
      </c>
      <c r="P86" t="n">
        <v>0</v>
      </c>
      <c r="Q86" t="n">
        <v>3</v>
      </c>
      <c r="R86" s="2" t="inlineStr">
        <is>
          <t>Gammelgransskål
Granticka
Tretåig hackspett</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57918-2024</t>
        </is>
      </c>
      <c r="B87" s="1" t="n">
        <v>45631</v>
      </c>
      <c r="C87" s="1" t="n">
        <v>45880</v>
      </c>
      <c r="D87" t="inlineStr">
        <is>
          <t>JÄMTLANDS LÄN</t>
        </is>
      </c>
      <c r="E87" t="inlineStr">
        <is>
          <t>ÅRE</t>
        </is>
      </c>
      <c r="F87" t="inlineStr">
        <is>
          <t>Övriga Aktiebolag</t>
        </is>
      </c>
      <c r="G87" t="n">
        <v>18.8</v>
      </c>
      <c r="H87" t="n">
        <v>1</v>
      </c>
      <c r="I87" t="n">
        <v>0</v>
      </c>
      <c r="J87" t="n">
        <v>3</v>
      </c>
      <c r="K87" t="n">
        <v>0</v>
      </c>
      <c r="L87" t="n">
        <v>0</v>
      </c>
      <c r="M87" t="n">
        <v>0</v>
      </c>
      <c r="N87" t="n">
        <v>0</v>
      </c>
      <c r="O87" t="n">
        <v>3</v>
      </c>
      <c r="P87" t="n">
        <v>0</v>
      </c>
      <c r="Q87" t="n">
        <v>3</v>
      </c>
      <c r="R87" s="2" t="inlineStr">
        <is>
          <t>Gammelgransskål
Garnlav
Tretåig hackspett</t>
        </is>
      </c>
      <c r="S87">
        <f>HYPERLINK("https://klasma.github.io/Logging_2321/artfynd/A 57918-2024 artfynd.xlsx", "A 57918-2024")</f>
        <v/>
      </c>
      <c r="T87">
        <f>HYPERLINK("https://klasma.github.io/Logging_2321/kartor/A 57918-2024 karta.png", "A 57918-2024")</f>
        <v/>
      </c>
      <c r="V87">
        <f>HYPERLINK("https://klasma.github.io/Logging_2321/klagomål/A 57918-2024 FSC-klagomål.docx", "A 57918-2024")</f>
        <v/>
      </c>
      <c r="W87">
        <f>HYPERLINK("https://klasma.github.io/Logging_2321/klagomålsmail/A 57918-2024 FSC-klagomål mail.docx", "A 57918-2024")</f>
        <v/>
      </c>
      <c r="X87">
        <f>HYPERLINK("https://klasma.github.io/Logging_2321/tillsyn/A 57918-2024 tillsynsbegäran.docx", "A 57918-2024")</f>
        <v/>
      </c>
      <c r="Y87">
        <f>HYPERLINK("https://klasma.github.io/Logging_2321/tillsynsmail/A 57918-2024 tillsynsbegäran mail.docx", "A 57918-2024")</f>
        <v/>
      </c>
      <c r="Z87">
        <f>HYPERLINK("https://klasma.github.io/Logging_2321/fåglar/A 57918-2024 prioriterade fågelarter.docx", "A 57918-2024")</f>
        <v/>
      </c>
    </row>
    <row r="88" ht="15" customHeight="1">
      <c r="A88" t="inlineStr">
        <is>
          <t>A 61875-2024</t>
        </is>
      </c>
      <c r="B88" s="1" t="n">
        <v>45651</v>
      </c>
      <c r="C88" s="1" t="n">
        <v>45880</v>
      </c>
      <c r="D88" t="inlineStr">
        <is>
          <t>JÄMTLANDS LÄN</t>
        </is>
      </c>
      <c r="E88" t="inlineStr">
        <is>
          <t>ÅRE</t>
        </is>
      </c>
      <c r="G88" t="n">
        <v>35.5</v>
      </c>
      <c r="H88" t="n">
        <v>1</v>
      </c>
      <c r="I88" t="n">
        <v>0</v>
      </c>
      <c r="J88" t="n">
        <v>3</v>
      </c>
      <c r="K88" t="n">
        <v>0</v>
      </c>
      <c r="L88" t="n">
        <v>0</v>
      </c>
      <c r="M88" t="n">
        <v>0</v>
      </c>
      <c r="N88" t="n">
        <v>0</v>
      </c>
      <c r="O88" t="n">
        <v>3</v>
      </c>
      <c r="P88" t="n">
        <v>0</v>
      </c>
      <c r="Q88" t="n">
        <v>3</v>
      </c>
      <c r="R88" s="2" t="inlineStr">
        <is>
          <t>Rosenticka
Tretåig hackspett
Ullticka</t>
        </is>
      </c>
      <c r="S88">
        <f>HYPERLINK("https://klasma.github.io/Logging_2321/artfynd/A 61875-2024 artfynd.xlsx", "A 61875-2024")</f>
        <v/>
      </c>
      <c r="T88">
        <f>HYPERLINK("https://klasma.github.io/Logging_2321/kartor/A 61875-2024 karta.png", "A 61875-2024")</f>
        <v/>
      </c>
      <c r="V88">
        <f>HYPERLINK("https://klasma.github.io/Logging_2321/klagomål/A 61875-2024 FSC-klagomål.docx", "A 61875-2024")</f>
        <v/>
      </c>
      <c r="W88">
        <f>HYPERLINK("https://klasma.github.io/Logging_2321/klagomålsmail/A 61875-2024 FSC-klagomål mail.docx", "A 61875-2024")</f>
        <v/>
      </c>
      <c r="X88">
        <f>HYPERLINK("https://klasma.github.io/Logging_2321/tillsyn/A 61875-2024 tillsynsbegäran.docx", "A 61875-2024")</f>
        <v/>
      </c>
      <c r="Y88">
        <f>HYPERLINK("https://klasma.github.io/Logging_2321/tillsynsmail/A 61875-2024 tillsynsbegäran mail.docx", "A 61875-2024")</f>
        <v/>
      </c>
      <c r="Z88">
        <f>HYPERLINK("https://klasma.github.io/Logging_2321/fåglar/A 61875-2024 prioriterade fågelarter.docx", "A 61875-2024")</f>
        <v/>
      </c>
    </row>
    <row r="89" ht="15" customHeight="1">
      <c r="A89" t="inlineStr">
        <is>
          <t>A 23572-2021</t>
        </is>
      </c>
      <c r="B89" s="1" t="n">
        <v>44334</v>
      </c>
      <c r="C89" s="1" t="n">
        <v>45880</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58387-2023</t>
        </is>
      </c>
      <c r="B90" s="1" t="n">
        <v>45250</v>
      </c>
      <c r="C90" s="1" t="n">
        <v>45880</v>
      </c>
      <c r="D90" t="inlineStr">
        <is>
          <t>JÄMTLANDS LÄN</t>
        </is>
      </c>
      <c r="E90" t="inlineStr">
        <is>
          <t>ÅRE</t>
        </is>
      </c>
      <c r="G90" t="n">
        <v>24.7</v>
      </c>
      <c r="H90" t="n">
        <v>3</v>
      </c>
      <c r="I90" t="n">
        <v>0</v>
      </c>
      <c r="J90" t="n">
        <v>2</v>
      </c>
      <c r="K90" t="n">
        <v>0</v>
      </c>
      <c r="L90" t="n">
        <v>0</v>
      </c>
      <c r="M90" t="n">
        <v>0</v>
      </c>
      <c r="N90" t="n">
        <v>0</v>
      </c>
      <c r="O90" t="n">
        <v>2</v>
      </c>
      <c r="P90" t="n">
        <v>0</v>
      </c>
      <c r="Q90" t="n">
        <v>3</v>
      </c>
      <c r="R90" s="2" t="inlineStr">
        <is>
          <t>Spillkråka
Tretåig hackspett
Lavskrika</t>
        </is>
      </c>
      <c r="S90">
        <f>HYPERLINK("https://klasma.github.io/Logging_2321/artfynd/A 58387-2023 artfynd.xlsx", "A 58387-2023")</f>
        <v/>
      </c>
      <c r="T90">
        <f>HYPERLINK("https://klasma.github.io/Logging_2321/kartor/A 58387-2023 karta.png", "A 58387-2023")</f>
        <v/>
      </c>
      <c r="V90">
        <f>HYPERLINK("https://klasma.github.io/Logging_2321/klagomål/A 58387-2023 FSC-klagomål.docx", "A 58387-2023")</f>
        <v/>
      </c>
      <c r="W90">
        <f>HYPERLINK("https://klasma.github.io/Logging_2321/klagomålsmail/A 58387-2023 FSC-klagomål mail.docx", "A 58387-2023")</f>
        <v/>
      </c>
      <c r="X90">
        <f>HYPERLINK("https://klasma.github.io/Logging_2321/tillsyn/A 58387-2023 tillsynsbegäran.docx", "A 58387-2023")</f>
        <v/>
      </c>
      <c r="Y90">
        <f>HYPERLINK("https://klasma.github.io/Logging_2321/tillsynsmail/A 58387-2023 tillsynsbegäran mail.docx", "A 58387-2023")</f>
        <v/>
      </c>
      <c r="Z90">
        <f>HYPERLINK("https://klasma.github.io/Logging_2321/fåglar/A 58387-2023 prioriterade fågelarter.docx", "A 58387-2023")</f>
        <v/>
      </c>
    </row>
    <row r="91" ht="15" customHeight="1">
      <c r="A91" t="inlineStr">
        <is>
          <t>A 40245-2023</t>
        </is>
      </c>
      <c r="B91" s="1" t="n">
        <v>45167</v>
      </c>
      <c r="C91" s="1" t="n">
        <v>45880</v>
      </c>
      <c r="D91" t="inlineStr">
        <is>
          <t>JÄMTLANDS LÄN</t>
        </is>
      </c>
      <c r="E91" t="inlineStr">
        <is>
          <t>ÅRE</t>
        </is>
      </c>
      <c r="G91" t="n">
        <v>18.8</v>
      </c>
      <c r="H91" t="n">
        <v>1</v>
      </c>
      <c r="I91" t="n">
        <v>0</v>
      </c>
      <c r="J91" t="n">
        <v>3</v>
      </c>
      <c r="K91" t="n">
        <v>0</v>
      </c>
      <c r="L91" t="n">
        <v>0</v>
      </c>
      <c r="M91" t="n">
        <v>0</v>
      </c>
      <c r="N91" t="n">
        <v>0</v>
      </c>
      <c r="O91" t="n">
        <v>3</v>
      </c>
      <c r="P91" t="n">
        <v>0</v>
      </c>
      <c r="Q91" t="n">
        <v>3</v>
      </c>
      <c r="R91" s="2" t="inlineStr">
        <is>
          <t>Lunglav
Skrovellav
Tretåig hackspett</t>
        </is>
      </c>
      <c r="S91">
        <f>HYPERLINK("https://klasma.github.io/Logging_2321/artfynd/A 40245-2023 artfynd.xlsx", "A 40245-2023")</f>
        <v/>
      </c>
      <c r="T91">
        <f>HYPERLINK("https://klasma.github.io/Logging_2321/kartor/A 40245-2023 karta.png", "A 40245-2023")</f>
        <v/>
      </c>
      <c r="V91">
        <f>HYPERLINK("https://klasma.github.io/Logging_2321/klagomål/A 40245-2023 FSC-klagomål.docx", "A 40245-2023")</f>
        <v/>
      </c>
      <c r="W91">
        <f>HYPERLINK("https://klasma.github.io/Logging_2321/klagomålsmail/A 40245-2023 FSC-klagomål mail.docx", "A 40245-2023")</f>
        <v/>
      </c>
      <c r="X91">
        <f>HYPERLINK("https://klasma.github.io/Logging_2321/tillsyn/A 40245-2023 tillsynsbegäran.docx", "A 40245-2023")</f>
        <v/>
      </c>
      <c r="Y91">
        <f>HYPERLINK("https://klasma.github.io/Logging_2321/tillsynsmail/A 40245-2023 tillsynsbegäran mail.docx", "A 40245-2023")</f>
        <v/>
      </c>
      <c r="Z91">
        <f>HYPERLINK("https://klasma.github.io/Logging_2321/fåglar/A 40245-2023 prioriterade fågelarter.docx", "A 40245-2023")</f>
        <v/>
      </c>
    </row>
    <row r="92" ht="15" customHeight="1">
      <c r="A92" t="inlineStr">
        <is>
          <t>A 10501-2024</t>
        </is>
      </c>
      <c r="B92" s="1" t="n">
        <v>45366</v>
      </c>
      <c r="C92" s="1" t="n">
        <v>45880</v>
      </c>
      <c r="D92" t="inlineStr">
        <is>
          <t>JÄMTLANDS LÄN</t>
        </is>
      </c>
      <c r="E92" t="inlineStr">
        <is>
          <t>ÅRE</t>
        </is>
      </c>
      <c r="G92" t="n">
        <v>4.5</v>
      </c>
      <c r="H92" t="n">
        <v>0</v>
      </c>
      <c r="I92" t="n">
        <v>0</v>
      </c>
      <c r="J92" t="n">
        <v>3</v>
      </c>
      <c r="K92" t="n">
        <v>0</v>
      </c>
      <c r="L92" t="n">
        <v>0</v>
      </c>
      <c r="M92" t="n">
        <v>0</v>
      </c>
      <c r="N92" t="n">
        <v>0</v>
      </c>
      <c r="O92" t="n">
        <v>3</v>
      </c>
      <c r="P92" t="n">
        <v>0</v>
      </c>
      <c r="Q92" t="n">
        <v>3</v>
      </c>
      <c r="R92" s="2" t="inlineStr">
        <is>
          <t>Doftskinn
Granticka
Harticka</t>
        </is>
      </c>
      <c r="S92">
        <f>HYPERLINK("https://klasma.github.io/Logging_2321/artfynd/A 10501-2024 artfynd.xlsx", "A 10501-2024")</f>
        <v/>
      </c>
      <c r="T92">
        <f>HYPERLINK("https://klasma.github.io/Logging_2321/kartor/A 10501-2024 karta.png", "A 10501-2024")</f>
        <v/>
      </c>
      <c r="V92">
        <f>HYPERLINK("https://klasma.github.io/Logging_2321/klagomål/A 10501-2024 FSC-klagomål.docx", "A 10501-2024")</f>
        <v/>
      </c>
      <c r="W92">
        <f>HYPERLINK("https://klasma.github.io/Logging_2321/klagomålsmail/A 10501-2024 FSC-klagomål mail.docx", "A 10501-2024")</f>
        <v/>
      </c>
      <c r="X92">
        <f>HYPERLINK("https://klasma.github.io/Logging_2321/tillsyn/A 10501-2024 tillsynsbegäran.docx", "A 10501-2024")</f>
        <v/>
      </c>
      <c r="Y92">
        <f>HYPERLINK("https://klasma.github.io/Logging_2321/tillsynsmail/A 10501-2024 tillsynsbegäran mail.docx", "A 10501-2024")</f>
        <v/>
      </c>
    </row>
    <row r="93" ht="15" customHeight="1">
      <c r="A93" t="inlineStr">
        <is>
          <t>A 14198-2021</t>
        </is>
      </c>
      <c r="B93" s="1" t="n">
        <v>44278</v>
      </c>
      <c r="C93" s="1" t="n">
        <v>45880</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23638-2023</t>
        </is>
      </c>
      <c r="B94" s="1" t="n">
        <v>45072</v>
      </c>
      <c r="C94" s="1" t="n">
        <v>45880</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52778-2020</t>
        </is>
      </c>
      <c r="B95" s="1" t="n">
        <v>44119</v>
      </c>
      <c r="C95" s="1" t="n">
        <v>45880</v>
      </c>
      <c r="D95" t="inlineStr">
        <is>
          <t>JÄMTLANDS LÄN</t>
        </is>
      </c>
      <c r="E95" t="inlineStr">
        <is>
          <t>ÅRE</t>
        </is>
      </c>
      <c r="G95" t="n">
        <v>16.5</v>
      </c>
      <c r="H95" t="n">
        <v>0</v>
      </c>
      <c r="I95" t="n">
        <v>0</v>
      </c>
      <c r="J95" t="n">
        <v>2</v>
      </c>
      <c r="K95" t="n">
        <v>0</v>
      </c>
      <c r="L95" t="n">
        <v>0</v>
      </c>
      <c r="M95" t="n">
        <v>0</v>
      </c>
      <c r="N95" t="n">
        <v>0</v>
      </c>
      <c r="O95" t="n">
        <v>2</v>
      </c>
      <c r="P95" t="n">
        <v>0</v>
      </c>
      <c r="Q95" t="n">
        <v>2</v>
      </c>
      <c r="R95" s="2" t="inlineStr">
        <is>
          <t>Garnlav
Granticka</t>
        </is>
      </c>
      <c r="S95">
        <f>HYPERLINK("https://klasma.github.io/Logging_2321/artfynd/A 52778-2020 artfynd.xlsx", "A 52778-2020")</f>
        <v/>
      </c>
      <c r="T95">
        <f>HYPERLINK("https://klasma.github.io/Logging_2321/kartor/A 52778-2020 karta.png", "A 52778-2020")</f>
        <v/>
      </c>
      <c r="V95">
        <f>HYPERLINK("https://klasma.github.io/Logging_2321/klagomål/A 52778-2020 FSC-klagomål.docx", "A 52778-2020")</f>
        <v/>
      </c>
      <c r="W95">
        <f>HYPERLINK("https://klasma.github.io/Logging_2321/klagomålsmail/A 52778-2020 FSC-klagomål mail.docx", "A 52778-2020")</f>
        <v/>
      </c>
      <c r="X95">
        <f>HYPERLINK("https://klasma.github.io/Logging_2321/tillsyn/A 52778-2020 tillsynsbegäran.docx", "A 52778-2020")</f>
        <v/>
      </c>
      <c r="Y95">
        <f>HYPERLINK("https://klasma.github.io/Logging_2321/tillsynsmail/A 52778-2020 tillsynsbegäran mail.docx", "A 52778-2020")</f>
        <v/>
      </c>
    </row>
    <row r="96" ht="15" customHeight="1">
      <c r="A96" t="inlineStr">
        <is>
          <t>A 54128-2023</t>
        </is>
      </c>
      <c r="B96" s="1" t="n">
        <v>45232</v>
      </c>
      <c r="C96" s="1" t="n">
        <v>45880</v>
      </c>
      <c r="D96" t="inlineStr">
        <is>
          <t>JÄMTLANDS LÄN</t>
        </is>
      </c>
      <c r="E96" t="inlineStr">
        <is>
          <t>ÅRE</t>
        </is>
      </c>
      <c r="G96" t="n">
        <v>3.9</v>
      </c>
      <c r="H96" t="n">
        <v>1</v>
      </c>
      <c r="I96" t="n">
        <v>0</v>
      </c>
      <c r="J96" t="n">
        <v>2</v>
      </c>
      <c r="K96" t="n">
        <v>0</v>
      </c>
      <c r="L96" t="n">
        <v>0</v>
      </c>
      <c r="M96" t="n">
        <v>0</v>
      </c>
      <c r="N96" t="n">
        <v>0</v>
      </c>
      <c r="O96" t="n">
        <v>2</v>
      </c>
      <c r="P96" t="n">
        <v>0</v>
      </c>
      <c r="Q96" t="n">
        <v>2</v>
      </c>
      <c r="R96" s="2" t="inlineStr">
        <is>
          <t>Garnlav
Tretåig hackspett</t>
        </is>
      </c>
      <c r="S96">
        <f>HYPERLINK("https://klasma.github.io/Logging_2321/artfynd/A 54128-2023 artfynd.xlsx", "A 54128-2023")</f>
        <v/>
      </c>
      <c r="T96">
        <f>HYPERLINK("https://klasma.github.io/Logging_2321/kartor/A 54128-2023 karta.png", "A 54128-2023")</f>
        <v/>
      </c>
      <c r="V96">
        <f>HYPERLINK("https://klasma.github.io/Logging_2321/klagomål/A 54128-2023 FSC-klagomål.docx", "A 54128-2023")</f>
        <v/>
      </c>
      <c r="W96">
        <f>HYPERLINK("https://klasma.github.io/Logging_2321/klagomålsmail/A 54128-2023 FSC-klagomål mail.docx", "A 54128-2023")</f>
        <v/>
      </c>
      <c r="X96">
        <f>HYPERLINK("https://klasma.github.io/Logging_2321/tillsyn/A 54128-2023 tillsynsbegäran.docx", "A 54128-2023")</f>
        <v/>
      </c>
      <c r="Y96">
        <f>HYPERLINK("https://klasma.github.io/Logging_2321/tillsynsmail/A 54128-2023 tillsynsbegäran mail.docx", "A 54128-2023")</f>
        <v/>
      </c>
      <c r="Z96">
        <f>HYPERLINK("https://klasma.github.io/Logging_2321/fåglar/A 54128-2023 prioriterade fågelarter.docx", "A 54128-2023")</f>
        <v/>
      </c>
    </row>
    <row r="97" ht="15" customHeight="1">
      <c r="A97" t="inlineStr">
        <is>
          <t>A 18719-2024</t>
        </is>
      </c>
      <c r="B97" s="1" t="n">
        <v>45426</v>
      </c>
      <c r="C97" s="1" t="n">
        <v>45880</v>
      </c>
      <c r="D97" t="inlineStr">
        <is>
          <t>JÄMTLANDS LÄN</t>
        </is>
      </c>
      <c r="E97" t="inlineStr">
        <is>
          <t>ÅRE</t>
        </is>
      </c>
      <c r="F97" t="inlineStr">
        <is>
          <t>Övriga Aktiebolag</t>
        </is>
      </c>
      <c r="G97" t="n">
        <v>6.6</v>
      </c>
      <c r="H97" t="n">
        <v>1</v>
      </c>
      <c r="I97" t="n">
        <v>0</v>
      </c>
      <c r="J97" t="n">
        <v>2</v>
      </c>
      <c r="K97" t="n">
        <v>0</v>
      </c>
      <c r="L97" t="n">
        <v>0</v>
      </c>
      <c r="M97" t="n">
        <v>0</v>
      </c>
      <c r="N97" t="n">
        <v>0</v>
      </c>
      <c r="O97" t="n">
        <v>2</v>
      </c>
      <c r="P97" t="n">
        <v>0</v>
      </c>
      <c r="Q97" t="n">
        <v>2</v>
      </c>
      <c r="R97" s="2" t="inlineStr">
        <is>
          <t>Granticka
Tretåig hackspett</t>
        </is>
      </c>
      <c r="S97">
        <f>HYPERLINK("https://klasma.github.io/Logging_2321/artfynd/A 18719-2024 artfynd.xlsx", "A 18719-2024")</f>
        <v/>
      </c>
      <c r="T97">
        <f>HYPERLINK("https://klasma.github.io/Logging_2321/kartor/A 18719-2024 karta.png", "A 18719-2024")</f>
        <v/>
      </c>
      <c r="V97">
        <f>HYPERLINK("https://klasma.github.io/Logging_2321/klagomål/A 18719-2024 FSC-klagomål.docx", "A 18719-2024")</f>
        <v/>
      </c>
      <c r="W97">
        <f>HYPERLINK("https://klasma.github.io/Logging_2321/klagomålsmail/A 18719-2024 FSC-klagomål mail.docx", "A 18719-2024")</f>
        <v/>
      </c>
      <c r="X97">
        <f>HYPERLINK("https://klasma.github.io/Logging_2321/tillsyn/A 18719-2024 tillsynsbegäran.docx", "A 18719-2024")</f>
        <v/>
      </c>
      <c r="Y97">
        <f>HYPERLINK("https://klasma.github.io/Logging_2321/tillsynsmail/A 18719-2024 tillsynsbegäran mail.docx", "A 18719-2024")</f>
        <v/>
      </c>
      <c r="Z97">
        <f>HYPERLINK("https://klasma.github.io/Logging_2321/fåglar/A 18719-2024 prioriterade fågelarter.docx", "A 18719-2024")</f>
        <v/>
      </c>
    </row>
    <row r="98" ht="15" customHeight="1">
      <c r="A98" t="inlineStr">
        <is>
          <t>A 22974-2022</t>
        </is>
      </c>
      <c r="B98" s="1" t="n">
        <v>44716</v>
      </c>
      <c r="C98" s="1" t="n">
        <v>45880</v>
      </c>
      <c r="D98" t="inlineStr">
        <is>
          <t>JÄMTLANDS LÄN</t>
        </is>
      </c>
      <c r="E98" t="inlineStr">
        <is>
          <t>ÅRE</t>
        </is>
      </c>
      <c r="G98" t="n">
        <v>8.300000000000001</v>
      </c>
      <c r="H98" t="n">
        <v>1</v>
      </c>
      <c r="I98" t="n">
        <v>2</v>
      </c>
      <c r="J98" t="n">
        <v>0</v>
      </c>
      <c r="K98" t="n">
        <v>0</v>
      </c>
      <c r="L98" t="n">
        <v>0</v>
      </c>
      <c r="M98" t="n">
        <v>0</v>
      </c>
      <c r="N98" t="n">
        <v>0</v>
      </c>
      <c r="O98" t="n">
        <v>0</v>
      </c>
      <c r="P98" t="n">
        <v>0</v>
      </c>
      <c r="Q98" t="n">
        <v>2</v>
      </c>
      <c r="R98" s="2" t="inlineStr">
        <is>
          <t>Spindelblomster
Ögonpyrola</t>
        </is>
      </c>
      <c r="S98">
        <f>HYPERLINK("https://klasma.github.io/Logging_2321/artfynd/A 22974-2022 artfynd.xlsx", "A 22974-2022")</f>
        <v/>
      </c>
      <c r="T98">
        <f>HYPERLINK("https://klasma.github.io/Logging_2321/kartor/A 22974-2022 karta.png", "A 22974-2022")</f>
        <v/>
      </c>
      <c r="V98">
        <f>HYPERLINK("https://klasma.github.io/Logging_2321/klagomål/A 22974-2022 FSC-klagomål.docx", "A 22974-2022")</f>
        <v/>
      </c>
      <c r="W98">
        <f>HYPERLINK("https://klasma.github.io/Logging_2321/klagomålsmail/A 22974-2022 FSC-klagomål mail.docx", "A 22974-2022")</f>
        <v/>
      </c>
      <c r="X98">
        <f>HYPERLINK("https://klasma.github.io/Logging_2321/tillsyn/A 22974-2022 tillsynsbegäran.docx", "A 22974-2022")</f>
        <v/>
      </c>
      <c r="Y98">
        <f>HYPERLINK("https://klasma.github.io/Logging_2321/tillsynsmail/A 22974-2022 tillsynsbegäran mail.docx", "A 22974-2022")</f>
        <v/>
      </c>
    </row>
    <row r="99" ht="15" customHeight="1">
      <c r="A99" t="inlineStr">
        <is>
          <t>A 5531-2023</t>
        </is>
      </c>
      <c r="B99" s="1" t="n">
        <v>44957</v>
      </c>
      <c r="C99" s="1" t="n">
        <v>45880</v>
      </c>
      <c r="D99" t="inlineStr">
        <is>
          <t>JÄMTLANDS LÄN</t>
        </is>
      </c>
      <c r="E99" t="inlineStr">
        <is>
          <t>ÅRE</t>
        </is>
      </c>
      <c r="G99" t="n">
        <v>3.8</v>
      </c>
      <c r="H99" t="n">
        <v>1</v>
      </c>
      <c r="I99" t="n">
        <v>0</v>
      </c>
      <c r="J99" t="n">
        <v>2</v>
      </c>
      <c r="K99" t="n">
        <v>0</v>
      </c>
      <c r="L99" t="n">
        <v>0</v>
      </c>
      <c r="M99" t="n">
        <v>0</v>
      </c>
      <c r="N99" t="n">
        <v>0</v>
      </c>
      <c r="O99" t="n">
        <v>2</v>
      </c>
      <c r="P99" t="n">
        <v>0</v>
      </c>
      <c r="Q99" t="n">
        <v>2</v>
      </c>
      <c r="R99" s="2" t="inlineStr">
        <is>
          <t>Granticka
Tretåig hackspett</t>
        </is>
      </c>
      <c r="S99">
        <f>HYPERLINK("https://klasma.github.io/Logging_2321/artfynd/A 5531-2023 artfynd.xlsx", "A 5531-2023")</f>
        <v/>
      </c>
      <c r="T99">
        <f>HYPERLINK("https://klasma.github.io/Logging_2321/kartor/A 5531-2023 karta.png", "A 5531-2023")</f>
        <v/>
      </c>
      <c r="V99">
        <f>HYPERLINK("https://klasma.github.io/Logging_2321/klagomål/A 5531-2023 FSC-klagomål.docx", "A 5531-2023")</f>
        <v/>
      </c>
      <c r="W99">
        <f>HYPERLINK("https://klasma.github.io/Logging_2321/klagomålsmail/A 5531-2023 FSC-klagomål mail.docx", "A 5531-2023")</f>
        <v/>
      </c>
      <c r="X99">
        <f>HYPERLINK("https://klasma.github.io/Logging_2321/tillsyn/A 5531-2023 tillsynsbegäran.docx", "A 5531-2023")</f>
        <v/>
      </c>
      <c r="Y99">
        <f>HYPERLINK("https://klasma.github.io/Logging_2321/tillsynsmail/A 5531-2023 tillsynsbegäran mail.docx", "A 5531-2023")</f>
        <v/>
      </c>
      <c r="Z99">
        <f>HYPERLINK("https://klasma.github.io/Logging_2321/fåglar/A 5531-2023 prioriterade fågelarter.docx", "A 5531-2023")</f>
        <v/>
      </c>
    </row>
    <row r="100" ht="15" customHeight="1">
      <c r="A100" t="inlineStr">
        <is>
          <t>A 46984-2021</t>
        </is>
      </c>
      <c r="B100" s="1" t="n">
        <v>44446</v>
      </c>
      <c r="C100" s="1" t="n">
        <v>45880</v>
      </c>
      <c r="D100" t="inlineStr">
        <is>
          <t>JÄMTLANDS LÄN</t>
        </is>
      </c>
      <c r="E100" t="inlineStr">
        <is>
          <t>ÅRE</t>
        </is>
      </c>
      <c r="G100" t="n">
        <v>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46984-2021 artfynd.xlsx", "A 46984-2021")</f>
        <v/>
      </c>
      <c r="T100">
        <f>HYPERLINK("https://klasma.github.io/Logging_2321/kartor/A 46984-2021 karta.png", "A 46984-2021")</f>
        <v/>
      </c>
      <c r="V100">
        <f>HYPERLINK("https://klasma.github.io/Logging_2321/klagomål/A 46984-2021 FSC-klagomål.docx", "A 46984-2021")</f>
        <v/>
      </c>
      <c r="W100">
        <f>HYPERLINK("https://klasma.github.io/Logging_2321/klagomålsmail/A 46984-2021 FSC-klagomål mail.docx", "A 46984-2021")</f>
        <v/>
      </c>
      <c r="X100">
        <f>HYPERLINK("https://klasma.github.io/Logging_2321/tillsyn/A 46984-2021 tillsynsbegäran.docx", "A 46984-2021")</f>
        <v/>
      </c>
      <c r="Y100">
        <f>HYPERLINK("https://klasma.github.io/Logging_2321/tillsynsmail/A 46984-2021 tillsynsbegäran mail.docx", "A 46984-2021")</f>
        <v/>
      </c>
      <c r="Z100">
        <f>HYPERLINK("https://klasma.github.io/Logging_2321/fåglar/A 46984-2021 prioriterade fågelarter.docx", "A 46984-2021")</f>
        <v/>
      </c>
    </row>
    <row r="101" ht="15" customHeight="1">
      <c r="A101" t="inlineStr">
        <is>
          <t>A 64668-2021</t>
        </is>
      </c>
      <c r="B101" s="1" t="n">
        <v>44512</v>
      </c>
      <c r="C101" s="1" t="n">
        <v>45880</v>
      </c>
      <c r="D101" t="inlineStr">
        <is>
          <t>JÄMTLANDS LÄN</t>
        </is>
      </c>
      <c r="E101" t="inlineStr">
        <is>
          <t>ÅRE</t>
        </is>
      </c>
      <c r="G101" t="n">
        <v>1.9</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64668-2021 artfynd.xlsx", "A 64668-2021")</f>
        <v/>
      </c>
      <c r="T101">
        <f>HYPERLINK("https://klasma.github.io/Logging_2321/kartor/A 64668-2021 karta.png", "A 64668-2021")</f>
        <v/>
      </c>
      <c r="V101">
        <f>HYPERLINK("https://klasma.github.io/Logging_2321/klagomål/A 64668-2021 FSC-klagomål.docx", "A 64668-2021")</f>
        <v/>
      </c>
      <c r="W101">
        <f>HYPERLINK("https://klasma.github.io/Logging_2321/klagomålsmail/A 64668-2021 FSC-klagomål mail.docx", "A 64668-2021")</f>
        <v/>
      </c>
      <c r="X101">
        <f>HYPERLINK("https://klasma.github.io/Logging_2321/tillsyn/A 64668-2021 tillsynsbegäran.docx", "A 64668-2021")</f>
        <v/>
      </c>
      <c r="Y101">
        <f>HYPERLINK("https://klasma.github.io/Logging_2321/tillsynsmail/A 64668-2021 tillsynsbegäran mail.docx", "A 64668-2021")</f>
        <v/>
      </c>
      <c r="Z101">
        <f>HYPERLINK("https://klasma.github.io/Logging_2321/fåglar/A 64668-2021 prioriterade fågelarter.docx", "A 64668-2021")</f>
        <v/>
      </c>
    </row>
    <row r="102" ht="15" customHeight="1">
      <c r="A102" t="inlineStr">
        <is>
          <t>A 5418-2023</t>
        </is>
      </c>
      <c r="B102" s="1" t="n">
        <v>44957</v>
      </c>
      <c r="C102" s="1" t="n">
        <v>45880</v>
      </c>
      <c r="D102" t="inlineStr">
        <is>
          <t>JÄMTLANDS LÄN</t>
        </is>
      </c>
      <c r="E102" t="inlineStr">
        <is>
          <t>ÅRE</t>
        </is>
      </c>
      <c r="G102" t="n">
        <v>5</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5418-2023 artfynd.xlsx", "A 5418-2023")</f>
        <v/>
      </c>
      <c r="T102">
        <f>HYPERLINK("https://klasma.github.io/Logging_2321/kartor/A 5418-2023 karta.png", "A 5418-2023")</f>
        <v/>
      </c>
      <c r="V102">
        <f>HYPERLINK("https://klasma.github.io/Logging_2321/klagomål/A 5418-2023 FSC-klagomål.docx", "A 5418-2023")</f>
        <v/>
      </c>
      <c r="W102">
        <f>HYPERLINK("https://klasma.github.io/Logging_2321/klagomålsmail/A 5418-2023 FSC-klagomål mail.docx", "A 5418-2023")</f>
        <v/>
      </c>
      <c r="X102">
        <f>HYPERLINK("https://klasma.github.io/Logging_2321/tillsyn/A 5418-2023 tillsynsbegäran.docx", "A 5418-2023")</f>
        <v/>
      </c>
      <c r="Y102">
        <f>HYPERLINK("https://klasma.github.io/Logging_2321/tillsynsmail/A 5418-2023 tillsynsbegäran mail.docx", "A 5418-2023")</f>
        <v/>
      </c>
      <c r="Z102">
        <f>HYPERLINK("https://klasma.github.io/Logging_2321/fåglar/A 5418-2023 prioriterade fågelarter.docx", "A 5418-2023")</f>
        <v/>
      </c>
    </row>
    <row r="103" ht="15" customHeight="1">
      <c r="A103" t="inlineStr">
        <is>
          <t>A 23625-2024</t>
        </is>
      </c>
      <c r="B103" s="1" t="n">
        <v>45454</v>
      </c>
      <c r="C103" s="1" t="n">
        <v>45880</v>
      </c>
      <c r="D103" t="inlineStr">
        <is>
          <t>JÄMTLANDS LÄN</t>
        </is>
      </c>
      <c r="E103" t="inlineStr">
        <is>
          <t>ÅRE</t>
        </is>
      </c>
      <c r="G103" t="n">
        <v>15.2</v>
      </c>
      <c r="H103" t="n">
        <v>2</v>
      </c>
      <c r="I103" t="n">
        <v>0</v>
      </c>
      <c r="J103" t="n">
        <v>1</v>
      </c>
      <c r="K103" t="n">
        <v>0</v>
      </c>
      <c r="L103" t="n">
        <v>0</v>
      </c>
      <c r="M103" t="n">
        <v>0</v>
      </c>
      <c r="N103" t="n">
        <v>0</v>
      </c>
      <c r="O103" t="n">
        <v>1</v>
      </c>
      <c r="P103" t="n">
        <v>0</v>
      </c>
      <c r="Q103" t="n">
        <v>2</v>
      </c>
      <c r="R103" s="2" t="inlineStr">
        <is>
          <t>Tretåig hackspett
Lavskrika</t>
        </is>
      </c>
      <c r="S103">
        <f>HYPERLINK("https://klasma.github.io/Logging_2321/artfynd/A 23625-2024 artfynd.xlsx", "A 23625-2024")</f>
        <v/>
      </c>
      <c r="T103">
        <f>HYPERLINK("https://klasma.github.io/Logging_2321/kartor/A 23625-2024 karta.png", "A 23625-2024")</f>
        <v/>
      </c>
      <c r="V103">
        <f>HYPERLINK("https://klasma.github.io/Logging_2321/klagomål/A 23625-2024 FSC-klagomål.docx", "A 23625-2024")</f>
        <v/>
      </c>
      <c r="W103">
        <f>HYPERLINK("https://klasma.github.io/Logging_2321/klagomålsmail/A 23625-2024 FSC-klagomål mail.docx", "A 23625-2024")</f>
        <v/>
      </c>
      <c r="X103">
        <f>HYPERLINK("https://klasma.github.io/Logging_2321/tillsyn/A 23625-2024 tillsynsbegäran.docx", "A 23625-2024")</f>
        <v/>
      </c>
      <c r="Y103">
        <f>HYPERLINK("https://klasma.github.io/Logging_2321/tillsynsmail/A 23625-2024 tillsynsbegäran mail.docx", "A 23625-2024")</f>
        <v/>
      </c>
      <c r="Z103">
        <f>HYPERLINK("https://klasma.github.io/Logging_2321/fåglar/A 23625-2024 prioriterade fågelarter.docx", "A 23625-2024")</f>
        <v/>
      </c>
    </row>
    <row r="104" ht="15" customHeight="1">
      <c r="A104" t="inlineStr">
        <is>
          <t>A 8982-2025</t>
        </is>
      </c>
      <c r="B104" s="1" t="n">
        <v>45713.53458333333</v>
      </c>
      <c r="C104" s="1" t="n">
        <v>45880</v>
      </c>
      <c r="D104" t="inlineStr">
        <is>
          <t>JÄMTLANDS LÄN</t>
        </is>
      </c>
      <c r="E104" t="inlineStr">
        <is>
          <t>ÅRE</t>
        </is>
      </c>
      <c r="G104" t="n">
        <v>3.2</v>
      </c>
      <c r="H104" t="n">
        <v>0</v>
      </c>
      <c r="I104" t="n">
        <v>1</v>
      </c>
      <c r="J104" t="n">
        <v>1</v>
      </c>
      <c r="K104" t="n">
        <v>0</v>
      </c>
      <c r="L104" t="n">
        <v>0</v>
      </c>
      <c r="M104" t="n">
        <v>0</v>
      </c>
      <c r="N104" t="n">
        <v>0</v>
      </c>
      <c r="O104" t="n">
        <v>1</v>
      </c>
      <c r="P104" t="n">
        <v>0</v>
      </c>
      <c r="Q104" t="n">
        <v>2</v>
      </c>
      <c r="R104" s="2" t="inlineStr">
        <is>
          <t>Garnlav
Svavelriska</t>
        </is>
      </c>
      <c r="S104">
        <f>HYPERLINK("https://klasma.github.io/Logging_2321/artfynd/A 8982-2025 artfynd.xlsx", "A 8982-2025")</f>
        <v/>
      </c>
      <c r="T104">
        <f>HYPERLINK("https://klasma.github.io/Logging_2321/kartor/A 8982-2025 karta.png", "A 8982-2025")</f>
        <v/>
      </c>
      <c r="U104">
        <f>HYPERLINK("https://klasma.github.io/Logging_2321/knärot/A 8982-2025 karta knärot.png", "A 8982-2025")</f>
        <v/>
      </c>
      <c r="V104">
        <f>HYPERLINK("https://klasma.github.io/Logging_2321/klagomål/A 8982-2025 FSC-klagomål.docx", "A 8982-2025")</f>
        <v/>
      </c>
      <c r="W104">
        <f>HYPERLINK("https://klasma.github.io/Logging_2321/klagomålsmail/A 8982-2025 FSC-klagomål mail.docx", "A 8982-2025")</f>
        <v/>
      </c>
      <c r="X104">
        <f>HYPERLINK("https://klasma.github.io/Logging_2321/tillsyn/A 8982-2025 tillsynsbegäran.docx", "A 8982-2025")</f>
        <v/>
      </c>
      <c r="Y104">
        <f>HYPERLINK("https://klasma.github.io/Logging_2321/tillsynsmail/A 8982-2025 tillsynsbegäran mail.docx", "A 8982-2025")</f>
        <v/>
      </c>
    </row>
    <row r="105" ht="15" customHeight="1">
      <c r="A105" t="inlineStr">
        <is>
          <t>A 17489-2024</t>
        </is>
      </c>
      <c r="B105" s="1" t="n">
        <v>45415</v>
      </c>
      <c r="C105" s="1" t="n">
        <v>45880</v>
      </c>
      <c r="D105" t="inlineStr">
        <is>
          <t>JÄMTLANDS LÄN</t>
        </is>
      </c>
      <c r="E105" t="inlineStr">
        <is>
          <t>ÅRE</t>
        </is>
      </c>
      <c r="G105" t="n">
        <v>12.9</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17489-2024 artfynd.xlsx", "A 17489-2024")</f>
        <v/>
      </c>
      <c r="T105">
        <f>HYPERLINK("https://klasma.github.io/Logging_2321/kartor/A 17489-2024 karta.png", "A 17489-2024")</f>
        <v/>
      </c>
      <c r="V105">
        <f>HYPERLINK("https://klasma.github.io/Logging_2321/klagomål/A 17489-2024 FSC-klagomål.docx", "A 17489-2024")</f>
        <v/>
      </c>
      <c r="W105">
        <f>HYPERLINK("https://klasma.github.io/Logging_2321/klagomålsmail/A 17489-2024 FSC-klagomål mail.docx", "A 17489-2024")</f>
        <v/>
      </c>
      <c r="X105">
        <f>HYPERLINK("https://klasma.github.io/Logging_2321/tillsyn/A 17489-2024 tillsynsbegäran.docx", "A 17489-2024")</f>
        <v/>
      </c>
      <c r="Y105">
        <f>HYPERLINK("https://klasma.github.io/Logging_2321/tillsynsmail/A 17489-2024 tillsynsbegäran mail.docx", "A 17489-2024")</f>
        <v/>
      </c>
      <c r="Z105">
        <f>HYPERLINK("https://klasma.github.io/Logging_2321/fåglar/A 17489-2024 prioriterade fågelarter.docx", "A 17489-2024")</f>
        <v/>
      </c>
    </row>
    <row r="106" ht="15" customHeight="1">
      <c r="A106" t="inlineStr">
        <is>
          <t>A 60533-2022</t>
        </is>
      </c>
      <c r="B106" s="1" t="n">
        <v>44904</v>
      </c>
      <c r="C106" s="1" t="n">
        <v>45880</v>
      </c>
      <c r="D106" t="inlineStr">
        <is>
          <t>JÄMTLANDS LÄN</t>
        </is>
      </c>
      <c r="E106" t="inlineStr">
        <is>
          <t>ÅRE</t>
        </is>
      </c>
      <c r="G106" t="n">
        <v>3.6</v>
      </c>
      <c r="H106" t="n">
        <v>2</v>
      </c>
      <c r="I106" t="n">
        <v>0</v>
      </c>
      <c r="J106" t="n">
        <v>2</v>
      </c>
      <c r="K106" t="n">
        <v>0</v>
      </c>
      <c r="L106" t="n">
        <v>0</v>
      </c>
      <c r="M106" t="n">
        <v>0</v>
      </c>
      <c r="N106" t="n">
        <v>0</v>
      </c>
      <c r="O106" t="n">
        <v>2</v>
      </c>
      <c r="P106" t="n">
        <v>0</v>
      </c>
      <c r="Q106" t="n">
        <v>2</v>
      </c>
      <c r="R106" s="2" t="inlineStr">
        <is>
          <t>Talltita
Tretåig hackspett</t>
        </is>
      </c>
      <c r="S106">
        <f>HYPERLINK("https://klasma.github.io/Logging_2321/artfynd/A 60533-2022 artfynd.xlsx", "A 60533-2022")</f>
        <v/>
      </c>
      <c r="T106">
        <f>HYPERLINK("https://klasma.github.io/Logging_2321/kartor/A 60533-2022 karta.png", "A 60533-2022")</f>
        <v/>
      </c>
      <c r="V106">
        <f>HYPERLINK("https://klasma.github.io/Logging_2321/klagomål/A 60533-2022 FSC-klagomål.docx", "A 60533-2022")</f>
        <v/>
      </c>
      <c r="W106">
        <f>HYPERLINK("https://klasma.github.io/Logging_2321/klagomålsmail/A 60533-2022 FSC-klagomål mail.docx", "A 60533-2022")</f>
        <v/>
      </c>
      <c r="X106">
        <f>HYPERLINK("https://klasma.github.io/Logging_2321/tillsyn/A 60533-2022 tillsynsbegäran.docx", "A 60533-2022")</f>
        <v/>
      </c>
      <c r="Y106">
        <f>HYPERLINK("https://klasma.github.io/Logging_2321/tillsynsmail/A 60533-2022 tillsynsbegäran mail.docx", "A 60533-2022")</f>
        <v/>
      </c>
      <c r="Z106">
        <f>HYPERLINK("https://klasma.github.io/Logging_2321/fåglar/A 60533-2022 prioriterade fågelarter.docx", "A 60533-2022")</f>
        <v/>
      </c>
    </row>
    <row r="107" ht="15" customHeight="1">
      <c r="A107" t="inlineStr">
        <is>
          <t>A 3152-2023</t>
        </is>
      </c>
      <c r="B107" s="1" t="n">
        <v>44946</v>
      </c>
      <c r="C107" s="1" t="n">
        <v>45880</v>
      </c>
      <c r="D107" t="inlineStr">
        <is>
          <t>JÄMTLANDS LÄN</t>
        </is>
      </c>
      <c r="E107" t="inlineStr">
        <is>
          <t>ÅRE</t>
        </is>
      </c>
      <c r="G107" t="n">
        <v>1.9</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HYPERLINK("https://klasma.github.io/Logging_2321/artfynd/A 3152-2023 artfynd.xlsx", "A 3152-2023")</f>
        <v/>
      </c>
      <c r="T107">
        <f>HYPERLINK("https://klasma.github.io/Logging_2321/kartor/A 3152-2023 karta.png", "A 3152-2023")</f>
        <v/>
      </c>
      <c r="V107">
        <f>HYPERLINK("https://klasma.github.io/Logging_2321/klagomål/A 3152-2023 FSC-klagomål.docx", "A 3152-2023")</f>
        <v/>
      </c>
      <c r="W107">
        <f>HYPERLINK("https://klasma.github.io/Logging_2321/klagomålsmail/A 3152-2023 FSC-klagomål mail.docx", "A 3152-2023")</f>
        <v/>
      </c>
      <c r="X107">
        <f>HYPERLINK("https://klasma.github.io/Logging_2321/tillsyn/A 3152-2023 tillsynsbegäran.docx", "A 3152-2023")</f>
        <v/>
      </c>
      <c r="Y107">
        <f>HYPERLINK("https://klasma.github.io/Logging_2321/tillsynsmail/A 3152-2023 tillsynsbegäran mail.docx", "A 3152-2023")</f>
        <v/>
      </c>
      <c r="Z107">
        <f>HYPERLINK("https://klasma.github.io/Logging_2321/fåglar/A 3152-2023 prioriterade fågelarter.docx", "A 3152-2023")</f>
        <v/>
      </c>
    </row>
    <row r="108" ht="15" customHeight="1">
      <c r="A108" t="inlineStr">
        <is>
          <t>A 54055-2023</t>
        </is>
      </c>
      <c r="B108" s="1" t="n">
        <v>45231</v>
      </c>
      <c r="C108" s="1" t="n">
        <v>45880</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23706-2023</t>
        </is>
      </c>
      <c r="B109" s="1" t="n">
        <v>45072</v>
      </c>
      <c r="C109" s="1" t="n">
        <v>45880</v>
      </c>
      <c r="D109" t="inlineStr">
        <is>
          <t>JÄMTLANDS LÄN</t>
        </is>
      </c>
      <c r="E109" t="inlineStr">
        <is>
          <t>ÅRE</t>
        </is>
      </c>
      <c r="G109" t="n">
        <v>8.1</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HYPERLINK("https://klasma.github.io/Logging_2321/artfynd/A 23706-2023 artfynd.xlsx", "A 23706-2023")</f>
        <v/>
      </c>
      <c r="T109">
        <f>HYPERLINK("https://klasma.github.io/Logging_2321/kartor/A 23706-2023 karta.png", "A 23706-2023")</f>
        <v/>
      </c>
      <c r="V109">
        <f>HYPERLINK("https://klasma.github.io/Logging_2321/klagomål/A 23706-2023 FSC-klagomål.docx", "A 23706-2023")</f>
        <v/>
      </c>
      <c r="W109">
        <f>HYPERLINK("https://klasma.github.io/Logging_2321/klagomålsmail/A 23706-2023 FSC-klagomål mail.docx", "A 23706-2023")</f>
        <v/>
      </c>
      <c r="X109">
        <f>HYPERLINK("https://klasma.github.io/Logging_2321/tillsyn/A 23706-2023 tillsynsbegäran.docx", "A 23706-2023")</f>
        <v/>
      </c>
      <c r="Y109">
        <f>HYPERLINK("https://klasma.github.io/Logging_2321/tillsynsmail/A 23706-2023 tillsynsbegäran mail.docx", "A 23706-2023")</f>
        <v/>
      </c>
      <c r="Z109">
        <f>HYPERLINK("https://klasma.github.io/Logging_2321/fåglar/A 23706-2023 prioriterade fågelarter.docx", "A 23706-2023")</f>
        <v/>
      </c>
    </row>
    <row r="110" ht="15" customHeight="1">
      <c r="A110" t="inlineStr">
        <is>
          <t>A 32114-2025</t>
        </is>
      </c>
      <c r="B110" s="1" t="n">
        <v>45835.48488425926</v>
      </c>
      <c r="C110" s="1" t="n">
        <v>45880</v>
      </c>
      <c r="D110" t="inlineStr">
        <is>
          <t>JÄMTLANDS LÄN</t>
        </is>
      </c>
      <c r="E110" t="inlineStr">
        <is>
          <t>ÅRE</t>
        </is>
      </c>
      <c r="G110" t="n">
        <v>1.6</v>
      </c>
      <c r="H110" t="n">
        <v>0</v>
      </c>
      <c r="I110" t="n">
        <v>0</v>
      </c>
      <c r="J110" t="n">
        <v>2</v>
      </c>
      <c r="K110" t="n">
        <v>0</v>
      </c>
      <c r="L110" t="n">
        <v>0</v>
      </c>
      <c r="M110" t="n">
        <v>0</v>
      </c>
      <c r="N110" t="n">
        <v>0</v>
      </c>
      <c r="O110" t="n">
        <v>2</v>
      </c>
      <c r="P110" t="n">
        <v>0</v>
      </c>
      <c r="Q110" t="n">
        <v>2</v>
      </c>
      <c r="R110" s="2" t="inlineStr">
        <is>
          <t>Kolflarnlav
Rosenticka</t>
        </is>
      </c>
      <c r="S110">
        <f>HYPERLINK("https://klasma.github.io/Logging_2321/artfynd/A 32114-2025 artfynd.xlsx", "A 32114-2025")</f>
        <v/>
      </c>
      <c r="T110">
        <f>HYPERLINK("https://klasma.github.io/Logging_2321/kartor/A 32114-2025 karta.png", "A 32114-2025")</f>
        <v/>
      </c>
      <c r="V110">
        <f>HYPERLINK("https://klasma.github.io/Logging_2321/klagomål/A 32114-2025 FSC-klagomål.docx", "A 32114-2025")</f>
        <v/>
      </c>
      <c r="W110">
        <f>HYPERLINK("https://klasma.github.io/Logging_2321/klagomålsmail/A 32114-2025 FSC-klagomål mail.docx", "A 32114-2025")</f>
        <v/>
      </c>
      <c r="X110">
        <f>HYPERLINK("https://klasma.github.io/Logging_2321/tillsyn/A 32114-2025 tillsynsbegäran.docx", "A 32114-2025")</f>
        <v/>
      </c>
      <c r="Y110">
        <f>HYPERLINK("https://klasma.github.io/Logging_2321/tillsynsmail/A 32114-2025 tillsynsbegäran mail.docx", "A 32114-2025")</f>
        <v/>
      </c>
    </row>
    <row r="111" ht="15" customHeight="1">
      <c r="A111" t="inlineStr">
        <is>
          <t>A 32207-2022</t>
        </is>
      </c>
      <c r="B111" s="1" t="n">
        <v>44781</v>
      </c>
      <c r="C111" s="1" t="n">
        <v>45880</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18851-2022</t>
        </is>
      </c>
      <c r="B112" s="1" t="n">
        <v>44690</v>
      </c>
      <c r="C112" s="1" t="n">
        <v>45880</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23566-2021</t>
        </is>
      </c>
      <c r="B113" s="1" t="n">
        <v>44334</v>
      </c>
      <c r="C113" s="1" t="n">
        <v>45880</v>
      </c>
      <c r="D113" t="inlineStr">
        <is>
          <t>JÄMTLANDS LÄN</t>
        </is>
      </c>
      <c r="E113" t="inlineStr">
        <is>
          <t>ÅRE</t>
        </is>
      </c>
      <c r="G113" t="n">
        <v>20</v>
      </c>
      <c r="H113" t="n">
        <v>1</v>
      </c>
      <c r="I113" t="n">
        <v>1</v>
      </c>
      <c r="J113" t="n">
        <v>1</v>
      </c>
      <c r="K113" t="n">
        <v>0</v>
      </c>
      <c r="L113" t="n">
        <v>0</v>
      </c>
      <c r="M113" t="n">
        <v>0</v>
      </c>
      <c r="N113" t="n">
        <v>0</v>
      </c>
      <c r="O113" t="n">
        <v>1</v>
      </c>
      <c r="P113" t="n">
        <v>0</v>
      </c>
      <c r="Q113" t="n">
        <v>2</v>
      </c>
      <c r="R113" s="2" t="inlineStr">
        <is>
          <t>Skrovellav
Spindelblomster</t>
        </is>
      </c>
      <c r="S113">
        <f>HYPERLINK("https://klasma.github.io/Logging_2321/artfynd/A 23566-2021 artfynd.xlsx", "A 23566-2021")</f>
        <v/>
      </c>
      <c r="T113">
        <f>HYPERLINK("https://klasma.github.io/Logging_2321/kartor/A 23566-2021 karta.png", "A 23566-2021")</f>
        <v/>
      </c>
      <c r="V113">
        <f>HYPERLINK("https://klasma.github.io/Logging_2321/klagomål/A 23566-2021 FSC-klagomål.docx", "A 23566-2021")</f>
        <v/>
      </c>
      <c r="W113">
        <f>HYPERLINK("https://klasma.github.io/Logging_2321/klagomålsmail/A 23566-2021 FSC-klagomål mail.docx", "A 23566-2021")</f>
        <v/>
      </c>
      <c r="X113">
        <f>HYPERLINK("https://klasma.github.io/Logging_2321/tillsyn/A 23566-2021 tillsynsbegäran.docx", "A 23566-2021")</f>
        <v/>
      </c>
      <c r="Y113">
        <f>HYPERLINK("https://klasma.github.io/Logging_2321/tillsynsmail/A 23566-2021 tillsynsbegäran mail.docx", "A 23566-2021")</f>
        <v/>
      </c>
    </row>
    <row r="114" ht="15" customHeight="1">
      <c r="A114" t="inlineStr">
        <is>
          <t>A 22231-2022</t>
        </is>
      </c>
      <c r="B114" s="1" t="n">
        <v>44712</v>
      </c>
      <c r="C114" s="1" t="n">
        <v>45880</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36395-2025</t>
        </is>
      </c>
      <c r="B115" s="1" t="n">
        <v>45868.6211574074</v>
      </c>
      <c r="C115" s="1" t="n">
        <v>45880</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37204-2025</t>
        </is>
      </c>
      <c r="B116" s="1" t="n">
        <v>45875.69826388889</v>
      </c>
      <c r="C116" s="1" t="n">
        <v>45880</v>
      </c>
      <c r="D116" t="inlineStr">
        <is>
          <t>JÄMTLANDS LÄN</t>
        </is>
      </c>
      <c r="E116" t="inlineStr">
        <is>
          <t>ÅRE</t>
        </is>
      </c>
      <c r="G116" t="n">
        <v>2.9</v>
      </c>
      <c r="H116" t="n">
        <v>1</v>
      </c>
      <c r="I116" t="n">
        <v>1</v>
      </c>
      <c r="J116" t="n">
        <v>0</v>
      </c>
      <c r="K116" t="n">
        <v>0</v>
      </c>
      <c r="L116" t="n">
        <v>0</v>
      </c>
      <c r="M116" t="n">
        <v>0</v>
      </c>
      <c r="N116" t="n">
        <v>0</v>
      </c>
      <c r="O116" t="n">
        <v>0</v>
      </c>
      <c r="P116" t="n">
        <v>0</v>
      </c>
      <c r="Q116" t="n">
        <v>2</v>
      </c>
      <c r="R116" s="2" t="inlineStr">
        <is>
          <t>Norrlandslav
Revlummer</t>
        </is>
      </c>
      <c r="S116">
        <f>HYPERLINK("https://klasma.github.io/Logging_2321/artfynd/A 37204-2025 artfynd.xlsx", "A 37204-2025")</f>
        <v/>
      </c>
      <c r="T116">
        <f>HYPERLINK("https://klasma.github.io/Logging_2321/kartor/A 37204-2025 karta.png", "A 37204-2025")</f>
        <v/>
      </c>
      <c r="V116">
        <f>HYPERLINK("https://klasma.github.io/Logging_2321/klagomål/A 37204-2025 FSC-klagomål.docx", "A 37204-2025")</f>
        <v/>
      </c>
      <c r="W116">
        <f>HYPERLINK("https://klasma.github.io/Logging_2321/klagomålsmail/A 37204-2025 FSC-klagomål mail.docx", "A 37204-2025")</f>
        <v/>
      </c>
      <c r="X116">
        <f>HYPERLINK("https://klasma.github.io/Logging_2321/tillsyn/A 37204-2025 tillsynsbegäran.docx", "A 37204-2025")</f>
        <v/>
      </c>
      <c r="Y116">
        <f>HYPERLINK("https://klasma.github.io/Logging_2321/tillsynsmail/A 37204-2025 tillsynsbegäran mail.docx", "A 37204-2025")</f>
        <v/>
      </c>
    </row>
    <row r="117" ht="15" customHeight="1">
      <c r="A117" t="inlineStr">
        <is>
          <t>A 49977-2024</t>
        </is>
      </c>
      <c r="B117" s="1" t="n">
        <v>45597</v>
      </c>
      <c r="C117" s="1" t="n">
        <v>45880</v>
      </c>
      <c r="D117" t="inlineStr">
        <is>
          <t>JÄMTLANDS LÄN</t>
        </is>
      </c>
      <c r="E117" t="inlineStr">
        <is>
          <t>ÅRE</t>
        </is>
      </c>
      <c r="G117" t="n">
        <v>13.3</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49977-2024 artfynd.xlsx", "A 49977-2024")</f>
        <v/>
      </c>
      <c r="T117">
        <f>HYPERLINK("https://klasma.github.io/Logging_2321/kartor/A 49977-2024 karta.png", "A 49977-2024")</f>
        <v/>
      </c>
      <c r="V117">
        <f>HYPERLINK("https://klasma.github.io/Logging_2321/klagomål/A 49977-2024 FSC-klagomål.docx", "A 49977-2024")</f>
        <v/>
      </c>
      <c r="W117">
        <f>HYPERLINK("https://klasma.github.io/Logging_2321/klagomålsmail/A 49977-2024 FSC-klagomål mail.docx", "A 49977-2024")</f>
        <v/>
      </c>
      <c r="X117">
        <f>HYPERLINK("https://klasma.github.io/Logging_2321/tillsyn/A 49977-2024 tillsynsbegäran.docx", "A 49977-2024")</f>
        <v/>
      </c>
      <c r="Y117">
        <f>HYPERLINK("https://klasma.github.io/Logging_2321/tillsynsmail/A 49977-2024 tillsynsbegäran mail.docx", "A 49977-2024")</f>
        <v/>
      </c>
      <c r="Z117">
        <f>HYPERLINK("https://klasma.github.io/Logging_2321/fåglar/A 49977-2024 prioriterade fågelarter.docx", "A 49977-2024")</f>
        <v/>
      </c>
    </row>
    <row r="118" ht="15" customHeight="1">
      <c r="A118" t="inlineStr">
        <is>
          <t>A 5388-2021</t>
        </is>
      </c>
      <c r="B118" s="1" t="n">
        <v>44229</v>
      </c>
      <c r="C118" s="1" t="n">
        <v>45880</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6108-2023</t>
        </is>
      </c>
      <c r="B119" s="1" t="n">
        <v>44964</v>
      </c>
      <c r="C119" s="1" t="n">
        <v>45880</v>
      </c>
      <c r="D119" t="inlineStr">
        <is>
          <t>JÄMTLANDS LÄN</t>
        </is>
      </c>
      <c r="E119" t="inlineStr">
        <is>
          <t>ÅRE</t>
        </is>
      </c>
      <c r="G119" t="n">
        <v>15.4</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6108-2023 artfynd.xlsx", "A 6108-2023")</f>
        <v/>
      </c>
      <c r="T119">
        <f>HYPERLINK("https://klasma.github.io/Logging_2321/kartor/A 6108-2023 karta.png", "A 6108-2023")</f>
        <v/>
      </c>
      <c r="V119">
        <f>HYPERLINK("https://klasma.github.io/Logging_2321/klagomål/A 6108-2023 FSC-klagomål.docx", "A 6108-2023")</f>
        <v/>
      </c>
      <c r="W119">
        <f>HYPERLINK("https://klasma.github.io/Logging_2321/klagomålsmail/A 6108-2023 FSC-klagomål mail.docx", "A 6108-2023")</f>
        <v/>
      </c>
      <c r="X119">
        <f>HYPERLINK("https://klasma.github.io/Logging_2321/tillsyn/A 6108-2023 tillsynsbegäran.docx", "A 6108-2023")</f>
        <v/>
      </c>
      <c r="Y119">
        <f>HYPERLINK("https://klasma.github.io/Logging_2321/tillsynsmail/A 6108-2023 tillsynsbegäran mail.docx", "A 6108-2023")</f>
        <v/>
      </c>
      <c r="Z119">
        <f>HYPERLINK("https://klasma.github.io/Logging_2321/fåglar/A 6108-2023 prioriterade fågelarter.docx", "A 6108-2023")</f>
        <v/>
      </c>
    </row>
    <row r="120" ht="15" customHeight="1">
      <c r="A120" t="inlineStr">
        <is>
          <t>A 20501-2021</t>
        </is>
      </c>
      <c r="B120" s="1" t="n">
        <v>44315.68802083333</v>
      </c>
      <c r="C120" s="1" t="n">
        <v>45880</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45880</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58117-2021</t>
        </is>
      </c>
      <c r="B122" s="1" t="n">
        <v>44487</v>
      </c>
      <c r="C122" s="1" t="n">
        <v>45880</v>
      </c>
      <c r="D122" t="inlineStr">
        <is>
          <t>JÄMTLANDS LÄN</t>
        </is>
      </c>
      <c r="E122" t="inlineStr">
        <is>
          <t>ÅRE</t>
        </is>
      </c>
      <c r="G122" t="n">
        <v>40.9</v>
      </c>
      <c r="H122" t="n">
        <v>0</v>
      </c>
      <c r="I122" t="n">
        <v>1</v>
      </c>
      <c r="J122" t="n">
        <v>0</v>
      </c>
      <c r="K122" t="n">
        <v>0</v>
      </c>
      <c r="L122" t="n">
        <v>0</v>
      </c>
      <c r="M122" t="n">
        <v>0</v>
      </c>
      <c r="N122" t="n">
        <v>0</v>
      </c>
      <c r="O122" t="n">
        <v>0</v>
      </c>
      <c r="P122" t="n">
        <v>0</v>
      </c>
      <c r="Q122" t="n">
        <v>1</v>
      </c>
      <c r="R122" s="2" t="inlineStr">
        <is>
          <t>Stuplav</t>
        </is>
      </c>
      <c r="S122">
        <f>HYPERLINK("https://klasma.github.io/Logging_2321/artfynd/A 58117-2021 artfynd.xlsx", "A 58117-2021")</f>
        <v/>
      </c>
      <c r="T122">
        <f>HYPERLINK("https://klasma.github.io/Logging_2321/kartor/A 58117-2021 karta.png", "A 58117-2021")</f>
        <v/>
      </c>
      <c r="V122">
        <f>HYPERLINK("https://klasma.github.io/Logging_2321/klagomål/A 58117-2021 FSC-klagomål.docx", "A 58117-2021")</f>
        <v/>
      </c>
      <c r="W122">
        <f>HYPERLINK("https://klasma.github.io/Logging_2321/klagomålsmail/A 58117-2021 FSC-klagomål mail.docx", "A 58117-2021")</f>
        <v/>
      </c>
      <c r="X122">
        <f>HYPERLINK("https://klasma.github.io/Logging_2321/tillsyn/A 58117-2021 tillsynsbegäran.docx", "A 58117-2021")</f>
        <v/>
      </c>
      <c r="Y122">
        <f>HYPERLINK("https://klasma.github.io/Logging_2321/tillsynsmail/A 58117-2021 tillsynsbegäran mail.docx", "A 58117-2021")</f>
        <v/>
      </c>
    </row>
    <row r="123" ht="15" customHeight="1">
      <c r="A123" t="inlineStr">
        <is>
          <t>A 58239-2021</t>
        </is>
      </c>
      <c r="B123" s="1" t="n">
        <v>44487</v>
      </c>
      <c r="C123" s="1" t="n">
        <v>45880</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53598-2020</t>
        </is>
      </c>
      <c r="B124" s="1" t="n">
        <v>44124</v>
      </c>
      <c r="C124" s="1" t="n">
        <v>45880</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45880</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45880</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45880</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20500-2021</t>
        </is>
      </c>
      <c r="B128" s="1" t="n">
        <v>44315.68729166667</v>
      </c>
      <c r="C128" s="1" t="n">
        <v>45880</v>
      </c>
      <c r="D128" t="inlineStr">
        <is>
          <t>JÄMTLANDS LÄN</t>
        </is>
      </c>
      <c r="E128" t="inlineStr">
        <is>
          <t>ÅRE</t>
        </is>
      </c>
      <c r="G128" t="n">
        <v>3</v>
      </c>
      <c r="H128" t="n">
        <v>0</v>
      </c>
      <c r="I128" t="n">
        <v>1</v>
      </c>
      <c r="J128" t="n">
        <v>0</v>
      </c>
      <c r="K128" t="n">
        <v>0</v>
      </c>
      <c r="L128" t="n">
        <v>0</v>
      </c>
      <c r="M128" t="n">
        <v>0</v>
      </c>
      <c r="N128" t="n">
        <v>0</v>
      </c>
      <c r="O128" t="n">
        <v>0</v>
      </c>
      <c r="P128" t="n">
        <v>0</v>
      </c>
      <c r="Q128" t="n">
        <v>1</v>
      </c>
      <c r="R128" s="2" t="inlineStr">
        <is>
          <t>Svart trolldruva</t>
        </is>
      </c>
      <c r="S128">
        <f>HYPERLINK("https://klasma.github.io/Logging_2321/artfynd/A 20500-2021 artfynd.xlsx", "A 20500-2021")</f>
        <v/>
      </c>
      <c r="T128">
        <f>HYPERLINK("https://klasma.github.io/Logging_2321/kartor/A 20500-2021 karta.png", "A 20500-2021")</f>
        <v/>
      </c>
      <c r="V128">
        <f>HYPERLINK("https://klasma.github.io/Logging_2321/klagomål/A 20500-2021 FSC-klagomål.docx", "A 20500-2021")</f>
        <v/>
      </c>
      <c r="W128">
        <f>HYPERLINK("https://klasma.github.io/Logging_2321/klagomålsmail/A 20500-2021 FSC-klagomål mail.docx", "A 20500-2021")</f>
        <v/>
      </c>
      <c r="X128">
        <f>HYPERLINK("https://klasma.github.io/Logging_2321/tillsyn/A 20500-2021 tillsynsbegäran.docx", "A 20500-2021")</f>
        <v/>
      </c>
      <c r="Y128">
        <f>HYPERLINK("https://klasma.github.io/Logging_2321/tillsynsmail/A 20500-2021 tillsynsbegäran mail.docx", "A 20500-2021")</f>
        <v/>
      </c>
    </row>
    <row r="129" ht="15" customHeight="1">
      <c r="A129" t="inlineStr">
        <is>
          <t>A 65446-2020</t>
        </is>
      </c>
      <c r="B129" s="1" t="n">
        <v>44173</v>
      </c>
      <c r="C129" s="1" t="n">
        <v>45880</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45880</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53462-2024</t>
        </is>
      </c>
      <c r="B131" s="1" t="n">
        <v>45614.55241898148</v>
      </c>
      <c r="C131" s="1" t="n">
        <v>45880</v>
      </c>
      <c r="D131" t="inlineStr">
        <is>
          <t>JÄMTLANDS LÄN</t>
        </is>
      </c>
      <c r="E131" t="inlineStr">
        <is>
          <t>ÅRE</t>
        </is>
      </c>
      <c r="G131" t="n">
        <v>12.8</v>
      </c>
      <c r="H131" t="n">
        <v>0</v>
      </c>
      <c r="I131" t="n">
        <v>0</v>
      </c>
      <c r="J131" t="n">
        <v>1</v>
      </c>
      <c r="K131" t="n">
        <v>0</v>
      </c>
      <c r="L131" t="n">
        <v>0</v>
      </c>
      <c r="M131" t="n">
        <v>0</v>
      </c>
      <c r="N131" t="n">
        <v>0</v>
      </c>
      <c r="O131" t="n">
        <v>1</v>
      </c>
      <c r="P131" t="n">
        <v>0</v>
      </c>
      <c r="Q131" t="n">
        <v>1</v>
      </c>
      <c r="R131" s="2" t="inlineStr">
        <is>
          <t>Granticka</t>
        </is>
      </c>
      <c r="S131">
        <f>HYPERLINK("https://klasma.github.io/Logging_2321/artfynd/A 53462-2024 artfynd.xlsx", "A 53462-2024")</f>
        <v/>
      </c>
      <c r="T131">
        <f>HYPERLINK("https://klasma.github.io/Logging_2321/kartor/A 53462-2024 karta.png", "A 53462-2024")</f>
        <v/>
      </c>
      <c r="V131">
        <f>HYPERLINK("https://klasma.github.io/Logging_2321/klagomål/A 53462-2024 FSC-klagomål.docx", "A 53462-2024")</f>
        <v/>
      </c>
      <c r="W131">
        <f>HYPERLINK("https://klasma.github.io/Logging_2321/klagomålsmail/A 53462-2024 FSC-klagomål mail.docx", "A 53462-2024")</f>
        <v/>
      </c>
      <c r="X131">
        <f>HYPERLINK("https://klasma.github.io/Logging_2321/tillsyn/A 53462-2024 tillsynsbegäran.docx", "A 53462-2024")</f>
        <v/>
      </c>
      <c r="Y131">
        <f>HYPERLINK("https://klasma.github.io/Logging_2321/tillsynsmail/A 53462-2024 tillsynsbegäran mail.docx", "A 53462-2024")</f>
        <v/>
      </c>
    </row>
    <row r="132" ht="15" customHeight="1">
      <c r="A132" t="inlineStr">
        <is>
          <t>A 37082-2021</t>
        </is>
      </c>
      <c r="B132" s="1" t="n">
        <v>44395</v>
      </c>
      <c r="C132" s="1" t="n">
        <v>45880</v>
      </c>
      <c r="D132" t="inlineStr">
        <is>
          <t>JÄMTLANDS LÄN</t>
        </is>
      </c>
      <c r="E132" t="inlineStr">
        <is>
          <t>ÅRE</t>
        </is>
      </c>
      <c r="G132" t="n">
        <v>14.6</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37082-2021 artfynd.xlsx", "A 37082-2021")</f>
        <v/>
      </c>
      <c r="T132">
        <f>HYPERLINK("https://klasma.github.io/Logging_2321/kartor/A 37082-2021 karta.png", "A 37082-2021")</f>
        <v/>
      </c>
      <c r="V132">
        <f>HYPERLINK("https://klasma.github.io/Logging_2321/klagomål/A 37082-2021 FSC-klagomål.docx", "A 37082-2021")</f>
        <v/>
      </c>
      <c r="W132">
        <f>HYPERLINK("https://klasma.github.io/Logging_2321/klagomålsmail/A 37082-2021 FSC-klagomål mail.docx", "A 37082-2021")</f>
        <v/>
      </c>
      <c r="X132">
        <f>HYPERLINK("https://klasma.github.io/Logging_2321/tillsyn/A 37082-2021 tillsynsbegäran.docx", "A 37082-2021")</f>
        <v/>
      </c>
      <c r="Y132">
        <f>HYPERLINK("https://klasma.github.io/Logging_2321/tillsynsmail/A 37082-2021 tillsynsbegäran mail.docx", "A 37082-2021")</f>
        <v/>
      </c>
      <c r="Z132">
        <f>HYPERLINK("https://klasma.github.io/Logging_2321/fåglar/A 37082-2021 prioriterade fågelarter.docx", "A 37082-2021")</f>
        <v/>
      </c>
    </row>
    <row r="133" ht="15" customHeight="1">
      <c r="A133" t="inlineStr">
        <is>
          <t>A 2422-2021</t>
        </is>
      </c>
      <c r="B133" s="1" t="n">
        <v>44214</v>
      </c>
      <c r="C133" s="1" t="n">
        <v>45880</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61471-2023</t>
        </is>
      </c>
      <c r="B134" s="1" t="n">
        <v>45264</v>
      </c>
      <c r="C134" s="1" t="n">
        <v>45880</v>
      </c>
      <c r="D134" t="inlineStr">
        <is>
          <t>JÄMTLANDS LÄN</t>
        </is>
      </c>
      <c r="E134" t="inlineStr">
        <is>
          <t>ÅRE</t>
        </is>
      </c>
      <c r="G134" t="n">
        <v>1</v>
      </c>
      <c r="H134" t="n">
        <v>0</v>
      </c>
      <c r="I134" t="n">
        <v>0</v>
      </c>
      <c r="J134" t="n">
        <v>1</v>
      </c>
      <c r="K134" t="n">
        <v>0</v>
      </c>
      <c r="L134" t="n">
        <v>0</v>
      </c>
      <c r="M134" t="n">
        <v>0</v>
      </c>
      <c r="N134" t="n">
        <v>0</v>
      </c>
      <c r="O134" t="n">
        <v>1</v>
      </c>
      <c r="P134" t="n">
        <v>0</v>
      </c>
      <c r="Q134" t="n">
        <v>1</v>
      </c>
      <c r="R134" s="2" t="inlineStr">
        <is>
          <t>Skrovellav</t>
        </is>
      </c>
      <c r="S134">
        <f>HYPERLINK("https://klasma.github.io/Logging_2321/artfynd/A 61471-2023 artfynd.xlsx", "A 61471-2023")</f>
        <v/>
      </c>
      <c r="T134">
        <f>HYPERLINK("https://klasma.github.io/Logging_2321/kartor/A 61471-2023 karta.png", "A 61471-2023")</f>
        <v/>
      </c>
      <c r="V134">
        <f>HYPERLINK("https://klasma.github.io/Logging_2321/klagomål/A 61471-2023 FSC-klagomål.docx", "A 61471-2023")</f>
        <v/>
      </c>
      <c r="W134">
        <f>HYPERLINK("https://klasma.github.io/Logging_2321/klagomålsmail/A 61471-2023 FSC-klagomål mail.docx", "A 61471-2023")</f>
        <v/>
      </c>
      <c r="X134">
        <f>HYPERLINK("https://klasma.github.io/Logging_2321/tillsyn/A 61471-2023 tillsynsbegäran.docx", "A 61471-2023")</f>
        <v/>
      </c>
      <c r="Y134">
        <f>HYPERLINK("https://klasma.github.io/Logging_2321/tillsynsmail/A 61471-2023 tillsynsbegäran mail.docx", "A 61471-2023")</f>
        <v/>
      </c>
    </row>
    <row r="135" ht="15" customHeight="1">
      <c r="A135" t="inlineStr">
        <is>
          <t>A 12970-2021</t>
        </is>
      </c>
      <c r="B135" s="1" t="n">
        <v>44271</v>
      </c>
      <c r="C135" s="1" t="n">
        <v>45880</v>
      </c>
      <c r="D135" t="inlineStr">
        <is>
          <t>JÄMTLANDS LÄN</t>
        </is>
      </c>
      <c r="E135" t="inlineStr">
        <is>
          <t>ÅRE</t>
        </is>
      </c>
      <c r="G135" t="n">
        <v>20.5</v>
      </c>
      <c r="H135" t="n">
        <v>1</v>
      </c>
      <c r="I135" t="n">
        <v>1</v>
      </c>
      <c r="J135" t="n">
        <v>0</v>
      </c>
      <c r="K135" t="n">
        <v>0</v>
      </c>
      <c r="L135" t="n">
        <v>0</v>
      </c>
      <c r="M135" t="n">
        <v>0</v>
      </c>
      <c r="N135" t="n">
        <v>0</v>
      </c>
      <c r="O135" t="n">
        <v>0</v>
      </c>
      <c r="P135" t="n">
        <v>0</v>
      </c>
      <c r="Q135" t="n">
        <v>1</v>
      </c>
      <c r="R135" s="2" t="inlineStr">
        <is>
          <t>Spindelblomster</t>
        </is>
      </c>
      <c r="S135">
        <f>HYPERLINK("https://klasma.github.io/Logging_2321/artfynd/A 12970-2021 artfynd.xlsx", "A 12970-2021")</f>
        <v/>
      </c>
      <c r="T135">
        <f>HYPERLINK("https://klasma.github.io/Logging_2321/kartor/A 12970-2021 karta.png", "A 12970-2021")</f>
        <v/>
      </c>
      <c r="V135">
        <f>HYPERLINK("https://klasma.github.io/Logging_2321/klagomål/A 12970-2021 FSC-klagomål.docx", "A 12970-2021")</f>
        <v/>
      </c>
      <c r="W135">
        <f>HYPERLINK("https://klasma.github.io/Logging_2321/klagomålsmail/A 12970-2021 FSC-klagomål mail.docx", "A 12970-2021")</f>
        <v/>
      </c>
      <c r="X135">
        <f>HYPERLINK("https://klasma.github.io/Logging_2321/tillsyn/A 12970-2021 tillsynsbegäran.docx", "A 12970-2021")</f>
        <v/>
      </c>
      <c r="Y135">
        <f>HYPERLINK("https://klasma.github.io/Logging_2321/tillsynsmail/A 12970-2021 tillsynsbegäran mail.docx", "A 12970-2021")</f>
        <v/>
      </c>
    </row>
    <row r="136" ht="15" customHeight="1">
      <c r="A136" t="inlineStr">
        <is>
          <t>A 17636-2024</t>
        </is>
      </c>
      <c r="B136" s="1" t="n">
        <v>45418</v>
      </c>
      <c r="C136" s="1" t="n">
        <v>45880</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32865-2024</t>
        </is>
      </c>
      <c r="B137" s="1" t="n">
        <v>45516</v>
      </c>
      <c r="C137" s="1" t="n">
        <v>45880</v>
      </c>
      <c r="D137" t="inlineStr">
        <is>
          <t>JÄMTLANDS LÄN</t>
        </is>
      </c>
      <c r="E137" t="inlineStr">
        <is>
          <t>ÅRE</t>
        </is>
      </c>
      <c r="G137" t="n">
        <v>29.5</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32865-2024 artfynd.xlsx", "A 32865-2024")</f>
        <v/>
      </c>
      <c r="T137">
        <f>HYPERLINK("https://klasma.github.io/Logging_2321/kartor/A 32865-2024 karta.png", "A 32865-2024")</f>
        <v/>
      </c>
      <c r="V137">
        <f>HYPERLINK("https://klasma.github.io/Logging_2321/klagomål/A 32865-2024 FSC-klagomål.docx", "A 32865-2024")</f>
        <v/>
      </c>
      <c r="W137">
        <f>HYPERLINK("https://klasma.github.io/Logging_2321/klagomålsmail/A 32865-2024 FSC-klagomål mail.docx", "A 32865-2024")</f>
        <v/>
      </c>
      <c r="X137">
        <f>HYPERLINK("https://klasma.github.io/Logging_2321/tillsyn/A 32865-2024 tillsynsbegäran.docx", "A 32865-2024")</f>
        <v/>
      </c>
      <c r="Y137">
        <f>HYPERLINK("https://klasma.github.io/Logging_2321/tillsynsmail/A 32865-2024 tillsynsbegäran mail.docx", "A 32865-2024")</f>
        <v/>
      </c>
      <c r="Z137">
        <f>HYPERLINK("https://klasma.github.io/Logging_2321/fåglar/A 32865-2024 prioriterade fågelarter.docx", "A 32865-2024")</f>
        <v/>
      </c>
    </row>
    <row r="138" ht="15" customHeight="1">
      <c r="A138" t="inlineStr">
        <is>
          <t>A 52746-2024</t>
        </is>
      </c>
      <c r="B138" s="1" t="n">
        <v>45610.4809375</v>
      </c>
      <c r="C138" s="1" t="n">
        <v>45880</v>
      </c>
      <c r="D138" t="inlineStr">
        <is>
          <t>JÄMTLANDS LÄN</t>
        </is>
      </c>
      <c r="E138" t="inlineStr">
        <is>
          <t>ÅRE</t>
        </is>
      </c>
      <c r="G138" t="n">
        <v>1.4</v>
      </c>
      <c r="H138" t="n">
        <v>1</v>
      </c>
      <c r="I138" t="n">
        <v>0</v>
      </c>
      <c r="J138" t="n">
        <v>0</v>
      </c>
      <c r="K138" t="n">
        <v>0</v>
      </c>
      <c r="L138" t="n">
        <v>0</v>
      </c>
      <c r="M138" t="n">
        <v>0</v>
      </c>
      <c r="N138" t="n">
        <v>0</v>
      </c>
      <c r="O138" t="n">
        <v>0</v>
      </c>
      <c r="P138" t="n">
        <v>0</v>
      </c>
      <c r="Q138" t="n">
        <v>1</v>
      </c>
      <c r="R138" s="2" t="inlineStr">
        <is>
          <t>Blåsippa</t>
        </is>
      </c>
      <c r="S138">
        <f>HYPERLINK("https://klasma.github.io/Logging_2321/artfynd/A 52746-2024 artfynd.xlsx", "A 52746-2024")</f>
        <v/>
      </c>
      <c r="T138">
        <f>HYPERLINK("https://klasma.github.io/Logging_2321/kartor/A 52746-2024 karta.png", "A 52746-2024")</f>
        <v/>
      </c>
      <c r="V138">
        <f>HYPERLINK("https://klasma.github.io/Logging_2321/klagomål/A 52746-2024 FSC-klagomål.docx", "A 52746-2024")</f>
        <v/>
      </c>
      <c r="W138">
        <f>HYPERLINK("https://klasma.github.io/Logging_2321/klagomålsmail/A 52746-2024 FSC-klagomål mail.docx", "A 52746-2024")</f>
        <v/>
      </c>
      <c r="X138">
        <f>HYPERLINK("https://klasma.github.io/Logging_2321/tillsyn/A 52746-2024 tillsynsbegäran.docx", "A 52746-2024")</f>
        <v/>
      </c>
      <c r="Y138">
        <f>HYPERLINK("https://klasma.github.io/Logging_2321/tillsynsmail/A 52746-2024 tillsynsbegäran mail.docx", "A 52746-2024")</f>
        <v/>
      </c>
    </row>
    <row r="139" ht="15" customHeight="1">
      <c r="A139" t="inlineStr">
        <is>
          <t>A 55194-2022</t>
        </is>
      </c>
      <c r="B139" s="1" t="n">
        <v>44886</v>
      </c>
      <c r="C139" s="1" t="n">
        <v>45880</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50321-2024</t>
        </is>
      </c>
      <c r="B140" s="1" t="n">
        <v>45600</v>
      </c>
      <c r="C140" s="1" t="n">
        <v>45880</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10632-2023</t>
        </is>
      </c>
      <c r="B141" s="1" t="n">
        <v>44984</v>
      </c>
      <c r="C141" s="1" t="n">
        <v>45880</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45880</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45880</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21939-2025</t>
        </is>
      </c>
      <c r="B144" s="1" t="n">
        <v>45784.58445601852</v>
      </c>
      <c r="C144" s="1" t="n">
        <v>45880</v>
      </c>
      <c r="D144" t="inlineStr">
        <is>
          <t>JÄMTLANDS LÄN</t>
        </is>
      </c>
      <c r="E144" t="inlineStr">
        <is>
          <t>ÅRE</t>
        </is>
      </c>
      <c r="G144" t="n">
        <v>6.5</v>
      </c>
      <c r="H144" t="n">
        <v>0</v>
      </c>
      <c r="I144" t="n">
        <v>1</v>
      </c>
      <c r="J144" t="n">
        <v>0</v>
      </c>
      <c r="K144" t="n">
        <v>0</v>
      </c>
      <c r="L144" t="n">
        <v>0</v>
      </c>
      <c r="M144" t="n">
        <v>0</v>
      </c>
      <c r="N144" t="n">
        <v>0</v>
      </c>
      <c r="O144" t="n">
        <v>0</v>
      </c>
      <c r="P144" t="n">
        <v>0</v>
      </c>
      <c r="Q144" t="n">
        <v>1</v>
      </c>
      <c r="R144" s="2" t="inlineStr">
        <is>
          <t>Finbräken</t>
        </is>
      </c>
      <c r="S144">
        <f>HYPERLINK("https://klasma.github.io/Logging_2321/artfynd/A 21939-2025 artfynd.xlsx", "A 21939-2025")</f>
        <v/>
      </c>
      <c r="T144">
        <f>HYPERLINK("https://klasma.github.io/Logging_2321/kartor/A 21939-2025 karta.png", "A 21939-2025")</f>
        <v/>
      </c>
      <c r="V144">
        <f>HYPERLINK("https://klasma.github.io/Logging_2321/klagomål/A 21939-2025 FSC-klagomål.docx", "A 21939-2025")</f>
        <v/>
      </c>
      <c r="W144">
        <f>HYPERLINK("https://klasma.github.io/Logging_2321/klagomålsmail/A 21939-2025 FSC-klagomål mail.docx", "A 21939-2025")</f>
        <v/>
      </c>
      <c r="X144">
        <f>HYPERLINK("https://klasma.github.io/Logging_2321/tillsyn/A 21939-2025 tillsynsbegäran.docx", "A 21939-2025")</f>
        <v/>
      </c>
      <c r="Y144">
        <f>HYPERLINK("https://klasma.github.io/Logging_2321/tillsynsmail/A 21939-2025 tillsynsbegäran mail.docx", "A 21939-2025")</f>
        <v/>
      </c>
    </row>
    <row r="145" ht="15" customHeight="1">
      <c r="A145" t="inlineStr">
        <is>
          <t>A 5611-2023</t>
        </is>
      </c>
      <c r="B145" s="1" t="n">
        <v>44958</v>
      </c>
      <c r="C145" s="1" t="n">
        <v>45880</v>
      </c>
      <c r="D145" t="inlineStr">
        <is>
          <t>JÄMTLANDS LÄN</t>
        </is>
      </c>
      <c r="E145" t="inlineStr">
        <is>
          <t>ÅRE</t>
        </is>
      </c>
      <c r="G145" t="n">
        <v>10.5</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5611-2023 artfynd.xlsx", "A 5611-2023")</f>
        <v/>
      </c>
      <c r="T145">
        <f>HYPERLINK("https://klasma.github.io/Logging_2321/kartor/A 5611-2023 karta.png", "A 5611-2023")</f>
        <v/>
      </c>
      <c r="V145">
        <f>HYPERLINK("https://klasma.github.io/Logging_2321/klagomål/A 5611-2023 FSC-klagomål.docx", "A 5611-2023")</f>
        <v/>
      </c>
      <c r="W145">
        <f>HYPERLINK("https://klasma.github.io/Logging_2321/klagomålsmail/A 5611-2023 FSC-klagomål mail.docx", "A 5611-2023")</f>
        <v/>
      </c>
      <c r="X145">
        <f>HYPERLINK("https://klasma.github.io/Logging_2321/tillsyn/A 5611-2023 tillsynsbegäran.docx", "A 5611-2023")</f>
        <v/>
      </c>
      <c r="Y145">
        <f>HYPERLINK("https://klasma.github.io/Logging_2321/tillsynsmail/A 5611-2023 tillsynsbegäran mail.docx", "A 5611-2023")</f>
        <v/>
      </c>
      <c r="Z145">
        <f>HYPERLINK("https://klasma.github.io/Logging_2321/fåglar/A 5611-2023 prioriterade fågelarter.docx", "A 5611-2023")</f>
        <v/>
      </c>
    </row>
    <row r="146" ht="15" customHeight="1">
      <c r="A146" t="inlineStr">
        <is>
          <t>A 4775-2025</t>
        </is>
      </c>
      <c r="B146" s="1" t="n">
        <v>45688</v>
      </c>
      <c r="C146" s="1" t="n">
        <v>45880</v>
      </c>
      <c r="D146" t="inlineStr">
        <is>
          <t>JÄMTLANDS LÄN</t>
        </is>
      </c>
      <c r="E146" t="inlineStr">
        <is>
          <t>ÅRE</t>
        </is>
      </c>
      <c r="G146" t="n">
        <v>0.7</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4775-2025 artfynd.xlsx", "A 4775-2025")</f>
        <v/>
      </c>
      <c r="T146">
        <f>HYPERLINK("https://klasma.github.io/Logging_2321/kartor/A 4775-2025 karta.png", "A 4775-2025")</f>
        <v/>
      </c>
      <c r="V146">
        <f>HYPERLINK("https://klasma.github.io/Logging_2321/klagomål/A 4775-2025 FSC-klagomål.docx", "A 4775-2025")</f>
        <v/>
      </c>
      <c r="W146">
        <f>HYPERLINK("https://klasma.github.io/Logging_2321/klagomålsmail/A 4775-2025 FSC-klagomål mail.docx", "A 4775-2025")</f>
        <v/>
      </c>
      <c r="X146">
        <f>HYPERLINK("https://klasma.github.io/Logging_2321/tillsyn/A 4775-2025 tillsynsbegäran.docx", "A 4775-2025")</f>
        <v/>
      </c>
      <c r="Y146">
        <f>HYPERLINK("https://klasma.github.io/Logging_2321/tillsynsmail/A 4775-2025 tillsynsbegäran mail.docx", "A 4775-2025")</f>
        <v/>
      </c>
      <c r="Z146">
        <f>HYPERLINK("https://klasma.github.io/Logging_2321/fåglar/A 4775-2025 prioriterade fågelarter.docx", "A 4775-2025")</f>
        <v/>
      </c>
    </row>
    <row r="147" ht="15" customHeight="1">
      <c r="A147" t="inlineStr">
        <is>
          <t>A 30032-2024</t>
        </is>
      </c>
      <c r="B147" s="1" t="n">
        <v>45485</v>
      </c>
      <c r="C147" s="1" t="n">
        <v>45880</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30032-2024 artfynd.xlsx", "A 30032-2024")</f>
        <v/>
      </c>
      <c r="T147">
        <f>HYPERLINK("https://klasma.github.io/Logging_2321/kartor/A 30032-2024 karta.png", "A 30032-2024")</f>
        <v/>
      </c>
      <c r="V147">
        <f>HYPERLINK("https://klasma.github.io/Logging_2321/klagomål/A 30032-2024 FSC-klagomål.docx", "A 30032-2024")</f>
        <v/>
      </c>
      <c r="W147">
        <f>HYPERLINK("https://klasma.github.io/Logging_2321/klagomålsmail/A 30032-2024 FSC-klagomål mail.docx", "A 30032-2024")</f>
        <v/>
      </c>
      <c r="X147">
        <f>HYPERLINK("https://klasma.github.io/Logging_2321/tillsyn/A 30032-2024 tillsynsbegäran.docx", "A 30032-2024")</f>
        <v/>
      </c>
      <c r="Y147">
        <f>HYPERLINK("https://klasma.github.io/Logging_2321/tillsynsmail/A 30032-2024 tillsynsbegäran mail.docx", "A 30032-2024")</f>
        <v/>
      </c>
    </row>
    <row r="148" ht="15" customHeight="1">
      <c r="A148" t="inlineStr">
        <is>
          <t>A 74392-2021</t>
        </is>
      </c>
      <c r="B148" s="1" t="n">
        <v>44559</v>
      </c>
      <c r="C148" s="1" t="n">
        <v>45880</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23818-2025</t>
        </is>
      </c>
      <c r="B149" s="1" t="n">
        <v>45793.58469907408</v>
      </c>
      <c r="C149" s="1" t="n">
        <v>45880</v>
      </c>
      <c r="D149" t="inlineStr">
        <is>
          <t>JÄMTLANDS LÄN</t>
        </is>
      </c>
      <c r="E149" t="inlineStr">
        <is>
          <t>ÅRE</t>
        </is>
      </c>
      <c r="G149" t="n">
        <v>7.5</v>
      </c>
      <c r="H149" t="n">
        <v>1</v>
      </c>
      <c r="I149" t="n">
        <v>0</v>
      </c>
      <c r="J149" t="n">
        <v>0</v>
      </c>
      <c r="K149" t="n">
        <v>0</v>
      </c>
      <c r="L149" t="n">
        <v>0</v>
      </c>
      <c r="M149" t="n">
        <v>0</v>
      </c>
      <c r="N149" t="n">
        <v>0</v>
      </c>
      <c r="O149" t="n">
        <v>0</v>
      </c>
      <c r="P149" t="n">
        <v>0</v>
      </c>
      <c r="Q149" t="n">
        <v>1</v>
      </c>
      <c r="R149" s="2" t="inlineStr">
        <is>
          <t>Tjäder</t>
        </is>
      </c>
      <c r="S149">
        <f>HYPERLINK("https://klasma.github.io/Logging_2321/artfynd/A 23818-2025 artfynd.xlsx", "A 23818-2025")</f>
        <v/>
      </c>
      <c r="T149">
        <f>HYPERLINK("https://klasma.github.io/Logging_2321/kartor/A 23818-2025 karta.png", "A 23818-2025")</f>
        <v/>
      </c>
      <c r="V149">
        <f>HYPERLINK("https://klasma.github.io/Logging_2321/klagomål/A 23818-2025 FSC-klagomål.docx", "A 23818-2025")</f>
        <v/>
      </c>
      <c r="W149">
        <f>HYPERLINK("https://klasma.github.io/Logging_2321/klagomålsmail/A 23818-2025 FSC-klagomål mail.docx", "A 23818-2025")</f>
        <v/>
      </c>
      <c r="X149">
        <f>HYPERLINK("https://klasma.github.io/Logging_2321/tillsyn/A 23818-2025 tillsynsbegäran.docx", "A 23818-2025")</f>
        <v/>
      </c>
      <c r="Y149">
        <f>HYPERLINK("https://klasma.github.io/Logging_2321/tillsynsmail/A 23818-2025 tillsynsbegäran mail.docx", "A 23818-2025")</f>
        <v/>
      </c>
      <c r="Z149">
        <f>HYPERLINK("https://klasma.github.io/Logging_2321/fåglar/A 23818-2025 prioriterade fågelarter.docx", "A 23818-2025")</f>
        <v/>
      </c>
    </row>
    <row r="150" ht="15" customHeight="1">
      <c r="A150" t="inlineStr">
        <is>
          <t>A 17692-2022</t>
        </is>
      </c>
      <c r="B150" s="1" t="n">
        <v>44680</v>
      </c>
      <c r="C150" s="1" t="n">
        <v>45880</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8131-2024</t>
        </is>
      </c>
      <c r="B151" s="1" t="n">
        <v>45351</v>
      </c>
      <c r="C151" s="1" t="n">
        <v>45880</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45144-2024</t>
        </is>
      </c>
      <c r="B152" s="1" t="n">
        <v>45575.63767361111</v>
      </c>
      <c r="C152" s="1" t="n">
        <v>45880</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23556-2021</t>
        </is>
      </c>
      <c r="B153" s="1" t="n">
        <v>44334</v>
      </c>
      <c r="C153" s="1" t="n">
        <v>45880</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32216-2022</t>
        </is>
      </c>
      <c r="B154" s="1" t="n">
        <v>44781</v>
      </c>
      <c r="C154" s="1" t="n">
        <v>45880</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15909-2025</t>
        </is>
      </c>
      <c r="B155" s="1" t="n">
        <v>45749</v>
      </c>
      <c r="C155" s="1" t="n">
        <v>45880</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14245-2025</t>
        </is>
      </c>
      <c r="B156" s="1" t="n">
        <v>45740</v>
      </c>
      <c r="C156" s="1" t="n">
        <v>45880</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46966-2020</t>
        </is>
      </c>
      <c r="B157" s="1" t="n">
        <v>44090</v>
      </c>
      <c r="C157" s="1" t="n">
        <v>45880</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5480-2023</t>
        </is>
      </c>
      <c r="B158" s="1" t="n">
        <v>44957</v>
      </c>
      <c r="C158" s="1" t="n">
        <v>45880</v>
      </c>
      <c r="D158" t="inlineStr">
        <is>
          <t>JÄMTLANDS LÄN</t>
        </is>
      </c>
      <c r="E158" t="inlineStr">
        <is>
          <t>ÅRE</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5480-2023 artfynd.xlsx", "A 5480-2023")</f>
        <v/>
      </c>
      <c r="T158">
        <f>HYPERLINK("https://klasma.github.io/Logging_2321/kartor/A 5480-2023 karta.png", "A 5480-2023")</f>
        <v/>
      </c>
      <c r="V158">
        <f>HYPERLINK("https://klasma.github.io/Logging_2321/klagomål/A 5480-2023 FSC-klagomål.docx", "A 5480-2023")</f>
        <v/>
      </c>
      <c r="W158">
        <f>HYPERLINK("https://klasma.github.io/Logging_2321/klagomålsmail/A 5480-2023 FSC-klagomål mail.docx", "A 5480-2023")</f>
        <v/>
      </c>
      <c r="X158">
        <f>HYPERLINK("https://klasma.github.io/Logging_2321/tillsyn/A 5480-2023 tillsynsbegäran.docx", "A 5480-2023")</f>
        <v/>
      </c>
      <c r="Y158">
        <f>HYPERLINK("https://klasma.github.io/Logging_2321/tillsynsmail/A 5480-2023 tillsynsbegäran mail.docx", "A 5480-2023")</f>
        <v/>
      </c>
      <c r="Z158">
        <f>HYPERLINK("https://klasma.github.io/Logging_2321/fåglar/A 5480-2023 prioriterade fågelarter.docx", "A 5480-2023")</f>
        <v/>
      </c>
    </row>
    <row r="159" ht="15" customHeight="1">
      <c r="A159" t="inlineStr">
        <is>
          <t>A 18543-2021</t>
        </is>
      </c>
      <c r="B159" s="1" t="n">
        <v>44306</v>
      </c>
      <c r="C159" s="1" t="n">
        <v>45880</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14826-2021</t>
        </is>
      </c>
      <c r="B160" s="1" t="n">
        <v>44280</v>
      </c>
      <c r="C160" s="1" t="n">
        <v>45880</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45880</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45880</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45880</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45880</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45880</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45880</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45880</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45880</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45880</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45880</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12387-2021</t>
        </is>
      </c>
      <c r="B171" s="1" t="n">
        <v>44267</v>
      </c>
      <c r="C171" s="1" t="n">
        <v>45880</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45880</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45880</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45880</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45880</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45880</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45880</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45880</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45880</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45880</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45880</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45880</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45880</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45880</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45880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45880</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45880</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45880</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45880</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45880</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45880</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45880</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45880</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38454-2020</t>
        </is>
      </c>
      <c r="B194" s="1" t="n">
        <v>44060</v>
      </c>
      <c r="C194" s="1" t="n">
        <v>45880</v>
      </c>
      <c r="D194" t="inlineStr">
        <is>
          <t>JÄMTLANDS LÄN</t>
        </is>
      </c>
      <c r="E194" t="inlineStr">
        <is>
          <t>ÅRE</t>
        </is>
      </c>
      <c r="G194" t="n">
        <v>6.9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45880</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45880</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45880</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45880</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45880</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45880</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18374-2021</t>
        </is>
      </c>
      <c r="B201" s="1" t="n">
        <v>44305</v>
      </c>
      <c r="C201" s="1" t="n">
        <v>45880</v>
      </c>
      <c r="D201" t="inlineStr">
        <is>
          <t>JÄMTLANDS LÄN</t>
        </is>
      </c>
      <c r="E201" t="inlineStr">
        <is>
          <t>ÅRE</t>
        </is>
      </c>
      <c r="G201" t="n">
        <v>1.5</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45880</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45880</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45880</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45880</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45880</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45880</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45880</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45880</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45880</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45880</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45880</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45880</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25122-2022</t>
        </is>
      </c>
      <c r="B214" s="1" t="n">
        <v>44729</v>
      </c>
      <c r="C214" s="1" t="n">
        <v>45880</v>
      </c>
      <c r="D214" t="inlineStr">
        <is>
          <t>JÄMTLANDS LÄN</t>
        </is>
      </c>
      <c r="E214" t="inlineStr">
        <is>
          <t>ÅRE</t>
        </is>
      </c>
      <c r="G214" t="n">
        <v>0.3</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45880</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45880</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45880</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45880</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45880</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45880</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45880</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45880</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11500-2022</t>
        </is>
      </c>
      <c r="B223" s="1" t="n">
        <v>44631</v>
      </c>
      <c r="C223" s="1" t="n">
        <v>45880</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45880</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12182-2023</t>
        </is>
      </c>
      <c r="B225" s="1" t="n">
        <v>44998</v>
      </c>
      <c r="C225" s="1" t="n">
        <v>45880</v>
      </c>
      <c r="D225" t="inlineStr">
        <is>
          <t>JÄMTLANDS LÄN</t>
        </is>
      </c>
      <c r="E225" t="inlineStr">
        <is>
          <t>ÅRE</t>
        </is>
      </c>
      <c r="G225" t="n">
        <v>11.7</v>
      </c>
      <c r="H225" t="n">
        <v>0</v>
      </c>
      <c r="I225" t="n">
        <v>0</v>
      </c>
      <c r="J225" t="n">
        <v>0</v>
      </c>
      <c r="K225" t="n">
        <v>0</v>
      </c>
      <c r="L225" t="n">
        <v>0</v>
      </c>
      <c r="M225" t="n">
        <v>0</v>
      </c>
      <c r="N225" t="n">
        <v>0</v>
      </c>
      <c r="O225" t="n">
        <v>0</v>
      </c>
      <c r="P225" t="n">
        <v>0</v>
      </c>
      <c r="Q225" t="n">
        <v>0</v>
      </c>
      <c r="R225" s="2" t="inlineStr"/>
    </row>
    <row r="226" ht="15" customHeight="1">
      <c r="A226" t="inlineStr">
        <is>
          <t>A 25926-2023</t>
        </is>
      </c>
      <c r="B226" s="1" t="n">
        <v>45085</v>
      </c>
      <c r="C226" s="1" t="n">
        <v>45880</v>
      </c>
      <c r="D226" t="inlineStr">
        <is>
          <t>JÄMTLANDS LÄN</t>
        </is>
      </c>
      <c r="E226" t="inlineStr">
        <is>
          <t>ÅRE</t>
        </is>
      </c>
      <c r="G226" t="n">
        <v>1.7</v>
      </c>
      <c r="H226" t="n">
        <v>0</v>
      </c>
      <c r="I226" t="n">
        <v>0</v>
      </c>
      <c r="J226" t="n">
        <v>0</v>
      </c>
      <c r="K226" t="n">
        <v>0</v>
      </c>
      <c r="L226" t="n">
        <v>0</v>
      </c>
      <c r="M226" t="n">
        <v>0</v>
      </c>
      <c r="N226" t="n">
        <v>0</v>
      </c>
      <c r="O226" t="n">
        <v>0</v>
      </c>
      <c r="P226" t="n">
        <v>0</v>
      </c>
      <c r="Q226" t="n">
        <v>0</v>
      </c>
      <c r="R226" s="2" t="inlineStr"/>
    </row>
    <row r="227" ht="15" customHeight="1">
      <c r="A227" t="inlineStr">
        <is>
          <t>A 56910-2022</t>
        </is>
      </c>
      <c r="B227" s="1" t="n">
        <v>44894.59936342593</v>
      </c>
      <c r="C227" s="1" t="n">
        <v>45880</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56976-2023</t>
        </is>
      </c>
      <c r="B228" s="1" t="n">
        <v>45244.64202546296</v>
      </c>
      <c r="C228" s="1" t="n">
        <v>45880</v>
      </c>
      <c r="D228" t="inlineStr">
        <is>
          <t>JÄMTLANDS LÄN</t>
        </is>
      </c>
      <c r="E228" t="inlineStr">
        <is>
          <t>ÅRE</t>
        </is>
      </c>
      <c r="F228" t="inlineStr">
        <is>
          <t>Övriga Aktiebolag</t>
        </is>
      </c>
      <c r="G228" t="n">
        <v>4.9</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45880</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56842-2022</t>
        </is>
      </c>
      <c r="B230" s="1" t="n">
        <v>44894.47856481482</v>
      </c>
      <c r="C230" s="1" t="n">
        <v>45880</v>
      </c>
      <c r="D230" t="inlineStr">
        <is>
          <t>JÄMTLANDS LÄN</t>
        </is>
      </c>
      <c r="E230" t="inlineStr">
        <is>
          <t>ÅRE</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47069-2024</t>
        </is>
      </c>
      <c r="B231" s="1" t="n">
        <v>45586.48003472222</v>
      </c>
      <c r="C231" s="1" t="n">
        <v>45880</v>
      </c>
      <c r="D231" t="inlineStr">
        <is>
          <t>JÄMTLANDS LÄN</t>
        </is>
      </c>
      <c r="E231" t="inlineStr">
        <is>
          <t>ÅRE</t>
        </is>
      </c>
      <c r="G231" t="n">
        <v>7.1</v>
      </c>
      <c r="H231" t="n">
        <v>0</v>
      </c>
      <c r="I231" t="n">
        <v>0</v>
      </c>
      <c r="J231" t="n">
        <v>0</v>
      </c>
      <c r="K231" t="n">
        <v>0</v>
      </c>
      <c r="L231" t="n">
        <v>0</v>
      </c>
      <c r="M231" t="n">
        <v>0</v>
      </c>
      <c r="N231" t="n">
        <v>0</v>
      </c>
      <c r="O231" t="n">
        <v>0</v>
      </c>
      <c r="P231" t="n">
        <v>0</v>
      </c>
      <c r="Q231" t="n">
        <v>0</v>
      </c>
      <c r="R231" s="2" t="inlineStr"/>
    </row>
    <row r="232" ht="15" customHeight="1">
      <c r="A232" t="inlineStr">
        <is>
          <t>A 6113-2024</t>
        </is>
      </c>
      <c r="B232" s="1" t="n">
        <v>45337</v>
      </c>
      <c r="C232" s="1" t="n">
        <v>45880</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8798-2025</t>
        </is>
      </c>
      <c r="B233" s="1" t="n">
        <v>45712</v>
      </c>
      <c r="C233" s="1" t="n">
        <v>45880</v>
      </c>
      <c r="D233" t="inlineStr">
        <is>
          <t>JÄMTLANDS LÄN</t>
        </is>
      </c>
      <c r="E233" t="inlineStr">
        <is>
          <t>ÅRE</t>
        </is>
      </c>
      <c r="G233" t="n">
        <v>1.6</v>
      </c>
      <c r="H233" t="n">
        <v>0</v>
      </c>
      <c r="I233" t="n">
        <v>0</v>
      </c>
      <c r="J233" t="n">
        <v>0</v>
      </c>
      <c r="K233" t="n">
        <v>0</v>
      </c>
      <c r="L233" t="n">
        <v>0</v>
      </c>
      <c r="M233" t="n">
        <v>0</v>
      </c>
      <c r="N233" t="n">
        <v>0</v>
      </c>
      <c r="O233" t="n">
        <v>0</v>
      </c>
      <c r="P233" t="n">
        <v>0</v>
      </c>
      <c r="Q233" t="n">
        <v>0</v>
      </c>
      <c r="R233" s="2" t="inlineStr"/>
    </row>
    <row r="234" ht="15" customHeight="1">
      <c r="A234" t="inlineStr">
        <is>
          <t>A 13039-2024</t>
        </is>
      </c>
      <c r="B234" s="1" t="n">
        <v>45385</v>
      </c>
      <c r="C234" s="1" t="n">
        <v>45880</v>
      </c>
      <c r="D234" t="inlineStr">
        <is>
          <t>JÄMTLANDS LÄN</t>
        </is>
      </c>
      <c r="E234" t="inlineStr">
        <is>
          <t>ÅRE</t>
        </is>
      </c>
      <c r="G234" t="n">
        <v>1.8</v>
      </c>
      <c r="H234" t="n">
        <v>0</v>
      </c>
      <c r="I234" t="n">
        <v>0</v>
      </c>
      <c r="J234" t="n">
        <v>0</v>
      </c>
      <c r="K234" t="n">
        <v>0</v>
      </c>
      <c r="L234" t="n">
        <v>0</v>
      </c>
      <c r="M234" t="n">
        <v>0</v>
      </c>
      <c r="N234" t="n">
        <v>0</v>
      </c>
      <c r="O234" t="n">
        <v>0</v>
      </c>
      <c r="P234" t="n">
        <v>0</v>
      </c>
      <c r="Q234" t="n">
        <v>0</v>
      </c>
      <c r="R234" s="2" t="inlineStr"/>
    </row>
    <row r="235" ht="15" customHeight="1">
      <c r="A235" t="inlineStr">
        <is>
          <t>A 48177-2020</t>
        </is>
      </c>
      <c r="B235" s="1" t="n">
        <v>44102</v>
      </c>
      <c r="C235" s="1" t="n">
        <v>45880</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1414-2023</t>
        </is>
      </c>
      <c r="B236" s="1" t="n">
        <v>44936</v>
      </c>
      <c r="C236" s="1" t="n">
        <v>45880</v>
      </c>
      <c r="D236" t="inlineStr">
        <is>
          <t>JÄMTLANDS LÄN</t>
        </is>
      </c>
      <c r="E236" t="inlineStr">
        <is>
          <t>ÅRE</t>
        </is>
      </c>
      <c r="G236" t="n">
        <v>1.7</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45880</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39069-2024</t>
        </is>
      </c>
      <c r="B238" s="1" t="n">
        <v>45548.53166666667</v>
      </c>
      <c r="C238" s="1" t="n">
        <v>45880</v>
      </c>
      <c r="D238" t="inlineStr">
        <is>
          <t>JÄMTLANDS LÄN</t>
        </is>
      </c>
      <c r="E238" t="inlineStr">
        <is>
          <t>ÅRE</t>
        </is>
      </c>
      <c r="G238" t="n">
        <v>0.5</v>
      </c>
      <c r="H238" t="n">
        <v>0</v>
      </c>
      <c r="I238" t="n">
        <v>0</v>
      </c>
      <c r="J238" t="n">
        <v>0</v>
      </c>
      <c r="K238" t="n">
        <v>0</v>
      </c>
      <c r="L238" t="n">
        <v>0</v>
      </c>
      <c r="M238" t="n">
        <v>0</v>
      </c>
      <c r="N238" t="n">
        <v>0</v>
      </c>
      <c r="O238" t="n">
        <v>0</v>
      </c>
      <c r="P238" t="n">
        <v>0</v>
      </c>
      <c r="Q238" t="n">
        <v>0</v>
      </c>
      <c r="R238" s="2" t="inlineStr"/>
    </row>
    <row r="239" ht="15" customHeight="1">
      <c r="A239" t="inlineStr">
        <is>
          <t>A 9312-2025</t>
        </is>
      </c>
      <c r="B239" s="1" t="n">
        <v>45714.68869212963</v>
      </c>
      <c r="C239" s="1" t="n">
        <v>45880</v>
      </c>
      <c r="D239" t="inlineStr">
        <is>
          <t>JÄMTLANDS LÄN</t>
        </is>
      </c>
      <c r="E239" t="inlineStr">
        <is>
          <t>ÅRE</t>
        </is>
      </c>
      <c r="G239" t="n">
        <v>1.2</v>
      </c>
      <c r="H239" t="n">
        <v>0</v>
      </c>
      <c r="I239" t="n">
        <v>0</v>
      </c>
      <c r="J239" t="n">
        <v>0</v>
      </c>
      <c r="K239" t="n">
        <v>0</v>
      </c>
      <c r="L239" t="n">
        <v>0</v>
      </c>
      <c r="M239" t="n">
        <v>0</v>
      </c>
      <c r="N239" t="n">
        <v>0</v>
      </c>
      <c r="O239" t="n">
        <v>0</v>
      </c>
      <c r="P239" t="n">
        <v>0</v>
      </c>
      <c r="Q239" t="n">
        <v>0</v>
      </c>
      <c r="R239" s="2" t="inlineStr"/>
    </row>
    <row r="240" ht="15" customHeight="1">
      <c r="A240" t="inlineStr">
        <is>
          <t>A 10567-2025</t>
        </is>
      </c>
      <c r="B240" s="1" t="n">
        <v>45714</v>
      </c>
      <c r="C240" s="1" t="n">
        <v>45880</v>
      </c>
      <c r="D240" t="inlineStr">
        <is>
          <t>JÄMTLANDS LÄN</t>
        </is>
      </c>
      <c r="E240" t="inlineStr">
        <is>
          <t>ÅRE</t>
        </is>
      </c>
      <c r="G240" t="n">
        <v>3.6</v>
      </c>
      <c r="H240" t="n">
        <v>0</v>
      </c>
      <c r="I240" t="n">
        <v>0</v>
      </c>
      <c r="J240" t="n">
        <v>0</v>
      </c>
      <c r="K240" t="n">
        <v>0</v>
      </c>
      <c r="L240" t="n">
        <v>0</v>
      </c>
      <c r="M240" t="n">
        <v>0</v>
      </c>
      <c r="N240" t="n">
        <v>0</v>
      </c>
      <c r="O240" t="n">
        <v>0</v>
      </c>
      <c r="P240" t="n">
        <v>0</v>
      </c>
      <c r="Q240" t="n">
        <v>0</v>
      </c>
      <c r="R240" s="2" t="inlineStr"/>
    </row>
    <row r="241" ht="15" customHeight="1">
      <c r="A241" t="inlineStr">
        <is>
          <t>A 59753-2023</t>
        </is>
      </c>
      <c r="B241" s="1" t="n">
        <v>45254</v>
      </c>
      <c r="C241" s="1" t="n">
        <v>45880</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49267-2024</t>
        </is>
      </c>
      <c r="B242" s="1" t="n">
        <v>45595</v>
      </c>
      <c r="C242" s="1" t="n">
        <v>45880</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29294-2023</t>
        </is>
      </c>
      <c r="B243" s="1" t="n">
        <v>45098</v>
      </c>
      <c r="C243" s="1" t="n">
        <v>45880</v>
      </c>
      <c r="D243" t="inlineStr">
        <is>
          <t>JÄMTLANDS LÄN</t>
        </is>
      </c>
      <c r="E243" t="inlineStr">
        <is>
          <t>ÅRE</t>
        </is>
      </c>
      <c r="G243" t="n">
        <v>0.7</v>
      </c>
      <c r="H243" t="n">
        <v>0</v>
      </c>
      <c r="I243" t="n">
        <v>0</v>
      </c>
      <c r="J243" t="n">
        <v>0</v>
      </c>
      <c r="K243" t="n">
        <v>0</v>
      </c>
      <c r="L243" t="n">
        <v>0</v>
      </c>
      <c r="M243" t="n">
        <v>0</v>
      </c>
      <c r="N243" t="n">
        <v>0</v>
      </c>
      <c r="O243" t="n">
        <v>0</v>
      </c>
      <c r="P243" t="n">
        <v>0</v>
      </c>
      <c r="Q243" t="n">
        <v>0</v>
      </c>
      <c r="R243" s="2" t="inlineStr"/>
    </row>
    <row r="244" ht="15" customHeight="1">
      <c r="A244" t="inlineStr">
        <is>
          <t>A 8576-2024</t>
        </is>
      </c>
      <c r="B244" s="1" t="n">
        <v>45355</v>
      </c>
      <c r="C244" s="1" t="n">
        <v>45880</v>
      </c>
      <c r="D244" t="inlineStr">
        <is>
          <t>JÄMTLANDS LÄN</t>
        </is>
      </c>
      <c r="E244" t="inlineStr">
        <is>
          <t>ÅRE</t>
        </is>
      </c>
      <c r="G244" t="n">
        <v>21.7</v>
      </c>
      <c r="H244" t="n">
        <v>0</v>
      </c>
      <c r="I244" t="n">
        <v>0</v>
      </c>
      <c r="J244" t="n">
        <v>0</v>
      </c>
      <c r="K244" t="n">
        <v>0</v>
      </c>
      <c r="L244" t="n">
        <v>0</v>
      </c>
      <c r="M244" t="n">
        <v>0</v>
      </c>
      <c r="N244" t="n">
        <v>0</v>
      </c>
      <c r="O244" t="n">
        <v>0</v>
      </c>
      <c r="P244" t="n">
        <v>0</v>
      </c>
      <c r="Q244" t="n">
        <v>0</v>
      </c>
      <c r="R244" s="2" t="inlineStr"/>
    </row>
    <row r="245" ht="15" customHeight="1">
      <c r="A245" t="inlineStr">
        <is>
          <t>A 52470-2022</t>
        </is>
      </c>
      <c r="B245" s="1" t="n">
        <v>44874.48167824074</v>
      </c>
      <c r="C245" s="1" t="n">
        <v>45880</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57158-2021</t>
        </is>
      </c>
      <c r="B246" s="1" t="n">
        <v>44482</v>
      </c>
      <c r="C246" s="1" t="n">
        <v>45880</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33015-2022</t>
        </is>
      </c>
      <c r="B247" s="1" t="n">
        <v>44784</v>
      </c>
      <c r="C247" s="1" t="n">
        <v>45880</v>
      </c>
      <c r="D247" t="inlineStr">
        <is>
          <t>JÄMTLANDS LÄN</t>
        </is>
      </c>
      <c r="E247" t="inlineStr">
        <is>
          <t>ÅRE</t>
        </is>
      </c>
      <c r="G247" t="n">
        <v>5.1</v>
      </c>
      <c r="H247" t="n">
        <v>0</v>
      </c>
      <c r="I247" t="n">
        <v>0</v>
      </c>
      <c r="J247" t="n">
        <v>0</v>
      </c>
      <c r="K247" t="n">
        <v>0</v>
      </c>
      <c r="L247" t="n">
        <v>0</v>
      </c>
      <c r="M247" t="n">
        <v>0</v>
      </c>
      <c r="N247" t="n">
        <v>0</v>
      </c>
      <c r="O247" t="n">
        <v>0</v>
      </c>
      <c r="P247" t="n">
        <v>0</v>
      </c>
      <c r="Q247" t="n">
        <v>0</v>
      </c>
      <c r="R247" s="2" t="inlineStr"/>
    </row>
    <row r="248" ht="15" customHeight="1">
      <c r="A248" t="inlineStr">
        <is>
          <t>A 54615-2022</t>
        </is>
      </c>
      <c r="B248" s="1" t="n">
        <v>44883.36125</v>
      </c>
      <c r="C248" s="1" t="n">
        <v>45880</v>
      </c>
      <c r="D248" t="inlineStr">
        <is>
          <t>JÄMTLANDS LÄN</t>
        </is>
      </c>
      <c r="E248" t="inlineStr">
        <is>
          <t>ÅRE</t>
        </is>
      </c>
      <c r="F248" t="inlineStr">
        <is>
          <t>Övriga Aktiebolag</t>
        </is>
      </c>
      <c r="G248" t="n">
        <v>5.1</v>
      </c>
      <c r="H248" t="n">
        <v>0</v>
      </c>
      <c r="I248" t="n">
        <v>0</v>
      </c>
      <c r="J248" t="n">
        <v>0</v>
      </c>
      <c r="K248" t="n">
        <v>0</v>
      </c>
      <c r="L248" t="n">
        <v>0</v>
      </c>
      <c r="M248" t="n">
        <v>0</v>
      </c>
      <c r="N248" t="n">
        <v>0</v>
      </c>
      <c r="O248" t="n">
        <v>0</v>
      </c>
      <c r="P248" t="n">
        <v>0</v>
      </c>
      <c r="Q248" t="n">
        <v>0</v>
      </c>
      <c r="R248" s="2" t="inlineStr"/>
    </row>
    <row r="249" ht="15" customHeight="1">
      <c r="A249" t="inlineStr">
        <is>
          <t>A 12288-2023</t>
        </is>
      </c>
      <c r="B249" s="1" t="n">
        <v>44998.73143518518</v>
      </c>
      <c r="C249" s="1" t="n">
        <v>45880</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13559-2025</t>
        </is>
      </c>
      <c r="B250" s="1" t="n">
        <v>45736.55288194444</v>
      </c>
      <c r="C250" s="1" t="n">
        <v>45880</v>
      </c>
      <c r="D250" t="inlineStr">
        <is>
          <t>JÄMTLANDS LÄN</t>
        </is>
      </c>
      <c r="E250" t="inlineStr">
        <is>
          <t>ÅRE</t>
        </is>
      </c>
      <c r="F250" t="inlineStr">
        <is>
          <t>Övriga statliga verk och myndigheter</t>
        </is>
      </c>
      <c r="G250" t="n">
        <v>0.4</v>
      </c>
      <c r="H250" t="n">
        <v>0</v>
      </c>
      <c r="I250" t="n">
        <v>0</v>
      </c>
      <c r="J250" t="n">
        <v>0</v>
      </c>
      <c r="K250" t="n">
        <v>0</v>
      </c>
      <c r="L250" t="n">
        <v>0</v>
      </c>
      <c r="M250" t="n">
        <v>0</v>
      </c>
      <c r="N250" t="n">
        <v>0</v>
      </c>
      <c r="O250" t="n">
        <v>0</v>
      </c>
      <c r="P250" t="n">
        <v>0</v>
      </c>
      <c r="Q250" t="n">
        <v>0</v>
      </c>
      <c r="R250" s="2" t="inlineStr"/>
    </row>
    <row r="251" ht="15" customHeight="1">
      <c r="A251" t="inlineStr">
        <is>
          <t>A 52707-2022</t>
        </is>
      </c>
      <c r="B251" s="1" t="n">
        <v>44874</v>
      </c>
      <c r="C251" s="1" t="n">
        <v>45880</v>
      </c>
      <c r="D251" t="inlineStr">
        <is>
          <t>JÄMTLANDS LÄN</t>
        </is>
      </c>
      <c r="E251" t="inlineStr">
        <is>
          <t>ÅRE</t>
        </is>
      </c>
      <c r="F251" t="inlineStr">
        <is>
          <t>Övriga Aktiebolag</t>
        </is>
      </c>
      <c r="G251" t="n">
        <v>2.3</v>
      </c>
      <c r="H251" t="n">
        <v>0</v>
      </c>
      <c r="I251" t="n">
        <v>0</v>
      </c>
      <c r="J251" t="n">
        <v>0</v>
      </c>
      <c r="K251" t="n">
        <v>0</v>
      </c>
      <c r="L251" t="n">
        <v>0</v>
      </c>
      <c r="M251" t="n">
        <v>0</v>
      </c>
      <c r="N251" t="n">
        <v>0</v>
      </c>
      <c r="O251" t="n">
        <v>0</v>
      </c>
      <c r="P251" t="n">
        <v>0</v>
      </c>
      <c r="Q251" t="n">
        <v>0</v>
      </c>
      <c r="R251" s="2" t="inlineStr"/>
    </row>
    <row r="252" ht="15" customHeight="1">
      <c r="A252" t="inlineStr">
        <is>
          <t>A 54175-2023</t>
        </is>
      </c>
      <c r="B252" s="1" t="n">
        <v>45232</v>
      </c>
      <c r="C252" s="1" t="n">
        <v>45880</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46976-2024</t>
        </is>
      </c>
      <c r="B253" s="1" t="n">
        <v>45586</v>
      </c>
      <c r="C253" s="1" t="n">
        <v>45880</v>
      </c>
      <c r="D253" t="inlineStr">
        <is>
          <t>JÄMTLANDS LÄN</t>
        </is>
      </c>
      <c r="E253" t="inlineStr">
        <is>
          <t>ÅRE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25710-2024</t>
        </is>
      </c>
      <c r="B254" s="1" t="n">
        <v>45463</v>
      </c>
      <c r="C254" s="1" t="n">
        <v>45880</v>
      </c>
      <c r="D254" t="inlineStr">
        <is>
          <t>JÄMTLANDS LÄN</t>
        </is>
      </c>
      <c r="E254" t="inlineStr">
        <is>
          <t>ÅRE</t>
        </is>
      </c>
      <c r="G254" t="n">
        <v>4.5</v>
      </c>
      <c r="H254" t="n">
        <v>0</v>
      </c>
      <c r="I254" t="n">
        <v>0</v>
      </c>
      <c r="J254" t="n">
        <v>0</v>
      </c>
      <c r="K254" t="n">
        <v>0</v>
      </c>
      <c r="L254" t="n">
        <v>0</v>
      </c>
      <c r="M254" t="n">
        <v>0</v>
      </c>
      <c r="N254" t="n">
        <v>0</v>
      </c>
      <c r="O254" t="n">
        <v>0</v>
      </c>
      <c r="P254" t="n">
        <v>0</v>
      </c>
      <c r="Q254" t="n">
        <v>0</v>
      </c>
      <c r="R254" s="2" t="inlineStr"/>
    </row>
    <row r="255" ht="15" customHeight="1">
      <c r="A255" t="inlineStr">
        <is>
          <t>A 49818-2022</t>
        </is>
      </c>
      <c r="B255" s="1" t="n">
        <v>44859</v>
      </c>
      <c r="C255" s="1" t="n">
        <v>45880</v>
      </c>
      <c r="D255" t="inlineStr">
        <is>
          <t>JÄMTLANDS LÄN</t>
        </is>
      </c>
      <c r="E255" t="inlineStr">
        <is>
          <t>ÅRE</t>
        </is>
      </c>
      <c r="G255" t="n">
        <v>63</v>
      </c>
      <c r="H255" t="n">
        <v>0</v>
      </c>
      <c r="I255" t="n">
        <v>0</v>
      </c>
      <c r="J255" t="n">
        <v>0</v>
      </c>
      <c r="K255" t="n">
        <v>0</v>
      </c>
      <c r="L255" t="n">
        <v>0</v>
      </c>
      <c r="M255" t="n">
        <v>0</v>
      </c>
      <c r="N255" t="n">
        <v>0</v>
      </c>
      <c r="O255" t="n">
        <v>0</v>
      </c>
      <c r="P255" t="n">
        <v>0</v>
      </c>
      <c r="Q255" t="n">
        <v>0</v>
      </c>
      <c r="R255" s="2" t="inlineStr"/>
    </row>
    <row r="256" ht="15" customHeight="1">
      <c r="A256" t="inlineStr">
        <is>
          <t>A 3066-2023</t>
        </is>
      </c>
      <c r="B256" s="1" t="n">
        <v>44946</v>
      </c>
      <c r="C256" s="1" t="n">
        <v>45880</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3149-2023</t>
        </is>
      </c>
      <c r="B257" s="1" t="n">
        <v>44946.5500925926</v>
      </c>
      <c r="C257" s="1" t="n">
        <v>45880</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34231-2023</t>
        </is>
      </c>
      <c r="B258" s="1" t="n">
        <v>45127</v>
      </c>
      <c r="C258" s="1" t="n">
        <v>45880</v>
      </c>
      <c r="D258" t="inlineStr">
        <is>
          <t>JÄMTLANDS LÄN</t>
        </is>
      </c>
      <c r="E258" t="inlineStr">
        <is>
          <t>ÅRE</t>
        </is>
      </c>
      <c r="G258" t="n">
        <v>18.3</v>
      </c>
      <c r="H258" t="n">
        <v>0</v>
      </c>
      <c r="I258" t="n">
        <v>0</v>
      </c>
      <c r="J258" t="n">
        <v>0</v>
      </c>
      <c r="K258" t="n">
        <v>0</v>
      </c>
      <c r="L258" t="n">
        <v>0</v>
      </c>
      <c r="M258" t="n">
        <v>0</v>
      </c>
      <c r="N258" t="n">
        <v>0</v>
      </c>
      <c r="O258" t="n">
        <v>0</v>
      </c>
      <c r="P258" t="n">
        <v>0</v>
      </c>
      <c r="Q258" t="n">
        <v>0</v>
      </c>
      <c r="R258" s="2" t="inlineStr"/>
    </row>
    <row r="259" ht="15" customHeight="1">
      <c r="A259" t="inlineStr">
        <is>
          <t>A 61978-2023</t>
        </is>
      </c>
      <c r="B259" s="1" t="n">
        <v>45266.59711805556</v>
      </c>
      <c r="C259" s="1" t="n">
        <v>45880</v>
      </c>
      <c r="D259" t="inlineStr">
        <is>
          <t>JÄMTLANDS LÄN</t>
        </is>
      </c>
      <c r="E259" t="inlineStr">
        <is>
          <t>ÅRE</t>
        </is>
      </c>
      <c r="G259" t="n">
        <v>5.5</v>
      </c>
      <c r="H259" t="n">
        <v>0</v>
      </c>
      <c r="I259" t="n">
        <v>0</v>
      </c>
      <c r="J259" t="n">
        <v>0</v>
      </c>
      <c r="K259" t="n">
        <v>0</v>
      </c>
      <c r="L259" t="n">
        <v>0</v>
      </c>
      <c r="M259" t="n">
        <v>0</v>
      </c>
      <c r="N259" t="n">
        <v>0</v>
      </c>
      <c r="O259" t="n">
        <v>0</v>
      </c>
      <c r="P259" t="n">
        <v>0</v>
      </c>
      <c r="Q259" t="n">
        <v>0</v>
      </c>
      <c r="R259" s="2" t="inlineStr"/>
    </row>
    <row r="260" ht="15" customHeight="1">
      <c r="A260" t="inlineStr">
        <is>
          <t>A 33117-2023</t>
        </is>
      </c>
      <c r="B260" s="1" t="n">
        <v>45126</v>
      </c>
      <c r="C260" s="1" t="n">
        <v>45880</v>
      </c>
      <c r="D260" t="inlineStr">
        <is>
          <t>JÄMTLANDS LÄN</t>
        </is>
      </c>
      <c r="E260" t="inlineStr">
        <is>
          <t>ÅRE</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52427-2021</t>
        </is>
      </c>
      <c r="B261" s="1" t="n">
        <v>44466.34178240741</v>
      </c>
      <c r="C261" s="1" t="n">
        <v>45880</v>
      </c>
      <c r="D261" t="inlineStr">
        <is>
          <t>JÄMTLANDS LÄN</t>
        </is>
      </c>
      <c r="E261" t="inlineStr">
        <is>
          <t>ÅRE</t>
        </is>
      </c>
      <c r="G261" t="n">
        <v>4</v>
      </c>
      <c r="H261" t="n">
        <v>0</v>
      </c>
      <c r="I261" t="n">
        <v>0</v>
      </c>
      <c r="J261" t="n">
        <v>0</v>
      </c>
      <c r="K261" t="n">
        <v>0</v>
      </c>
      <c r="L261" t="n">
        <v>0</v>
      </c>
      <c r="M261" t="n">
        <v>0</v>
      </c>
      <c r="N261" t="n">
        <v>0</v>
      </c>
      <c r="O261" t="n">
        <v>0</v>
      </c>
      <c r="P261" t="n">
        <v>0</v>
      </c>
      <c r="Q261" t="n">
        <v>0</v>
      </c>
      <c r="R261" s="2" t="inlineStr"/>
    </row>
    <row r="262" ht="15" customHeight="1">
      <c r="A262" t="inlineStr">
        <is>
          <t>A 376-2024</t>
        </is>
      </c>
      <c r="B262" s="1" t="n">
        <v>45296</v>
      </c>
      <c r="C262" s="1" t="n">
        <v>45880</v>
      </c>
      <c r="D262" t="inlineStr">
        <is>
          <t>JÄMTLANDS LÄN</t>
        </is>
      </c>
      <c r="E262" t="inlineStr">
        <is>
          <t>ÅRE</t>
        </is>
      </c>
      <c r="F262" t="inlineStr">
        <is>
          <t>Kyrkan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58882-2022</t>
        </is>
      </c>
      <c r="B263" s="1" t="n">
        <v>44896</v>
      </c>
      <c r="C263" s="1" t="n">
        <v>45880</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54164-2023</t>
        </is>
      </c>
      <c r="B264" s="1" t="n">
        <v>45232.47815972222</v>
      </c>
      <c r="C264" s="1" t="n">
        <v>45880</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67270-2020</t>
        </is>
      </c>
      <c r="B265" s="1" t="n">
        <v>44179</v>
      </c>
      <c r="C265" s="1" t="n">
        <v>45880</v>
      </c>
      <c r="D265" t="inlineStr">
        <is>
          <t>JÄMTLANDS LÄN</t>
        </is>
      </c>
      <c r="E265" t="inlineStr">
        <is>
          <t>ÅRE</t>
        </is>
      </c>
      <c r="G265" t="n">
        <v>4.2</v>
      </c>
      <c r="H265" t="n">
        <v>0</v>
      </c>
      <c r="I265" t="n">
        <v>0</v>
      </c>
      <c r="J265" t="n">
        <v>0</v>
      </c>
      <c r="K265" t="n">
        <v>0</v>
      </c>
      <c r="L265" t="n">
        <v>0</v>
      </c>
      <c r="M265" t="n">
        <v>0</v>
      </c>
      <c r="N265" t="n">
        <v>0</v>
      </c>
      <c r="O265" t="n">
        <v>0</v>
      </c>
      <c r="P265" t="n">
        <v>0</v>
      </c>
      <c r="Q265" t="n">
        <v>0</v>
      </c>
      <c r="R265" s="2" t="inlineStr"/>
    </row>
    <row r="266" ht="15" customHeight="1">
      <c r="A266" t="inlineStr">
        <is>
          <t>A 69592-2021</t>
        </is>
      </c>
      <c r="B266" s="1" t="n">
        <v>44531</v>
      </c>
      <c r="C266" s="1" t="n">
        <v>45880</v>
      </c>
      <c r="D266" t="inlineStr">
        <is>
          <t>JÄMTLANDS LÄN</t>
        </is>
      </c>
      <c r="E266" t="inlineStr">
        <is>
          <t>ÅRE</t>
        </is>
      </c>
      <c r="G266" t="n">
        <v>4.7</v>
      </c>
      <c r="H266" t="n">
        <v>0</v>
      </c>
      <c r="I266" t="n">
        <v>0</v>
      </c>
      <c r="J266" t="n">
        <v>0</v>
      </c>
      <c r="K266" t="n">
        <v>0</v>
      </c>
      <c r="L266" t="n">
        <v>0</v>
      </c>
      <c r="M266" t="n">
        <v>0</v>
      </c>
      <c r="N266" t="n">
        <v>0</v>
      </c>
      <c r="O266" t="n">
        <v>0</v>
      </c>
      <c r="P266" t="n">
        <v>0</v>
      </c>
      <c r="Q266" t="n">
        <v>0</v>
      </c>
      <c r="R266" s="2" t="inlineStr"/>
    </row>
    <row r="267" ht="15" customHeight="1">
      <c r="A267" t="inlineStr">
        <is>
          <t>A 20804-2024</t>
        </is>
      </c>
      <c r="B267" s="1" t="n">
        <v>45439.30988425926</v>
      </c>
      <c r="C267" s="1" t="n">
        <v>45880</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54250-2024</t>
        </is>
      </c>
      <c r="B268" s="1" t="n">
        <v>45616</v>
      </c>
      <c r="C268" s="1" t="n">
        <v>45880</v>
      </c>
      <c r="D268" t="inlineStr">
        <is>
          <t>JÄMTLANDS LÄN</t>
        </is>
      </c>
      <c r="E268" t="inlineStr">
        <is>
          <t>ÅRE</t>
        </is>
      </c>
      <c r="G268" t="n">
        <v>2.8</v>
      </c>
      <c r="H268" t="n">
        <v>0</v>
      </c>
      <c r="I268" t="n">
        <v>0</v>
      </c>
      <c r="J268" t="n">
        <v>0</v>
      </c>
      <c r="K268" t="n">
        <v>0</v>
      </c>
      <c r="L268" t="n">
        <v>0</v>
      </c>
      <c r="M268" t="n">
        <v>0</v>
      </c>
      <c r="N268" t="n">
        <v>0</v>
      </c>
      <c r="O268" t="n">
        <v>0</v>
      </c>
      <c r="P268" t="n">
        <v>0</v>
      </c>
      <c r="Q268" t="n">
        <v>0</v>
      </c>
      <c r="R268" s="2" t="inlineStr"/>
    </row>
    <row r="269" ht="15" customHeight="1">
      <c r="A269" t="inlineStr">
        <is>
          <t>A 6232-2021</t>
        </is>
      </c>
      <c r="B269" s="1" t="n">
        <v>44231</v>
      </c>
      <c r="C269" s="1" t="n">
        <v>45880</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9126-2025</t>
        </is>
      </c>
      <c r="B270" s="1" t="n">
        <v>45713</v>
      </c>
      <c r="C270" s="1" t="n">
        <v>45880</v>
      </c>
      <c r="D270" t="inlineStr">
        <is>
          <t>JÄMTLANDS LÄN</t>
        </is>
      </c>
      <c r="E270" t="inlineStr">
        <is>
          <t>ÅRE</t>
        </is>
      </c>
      <c r="G270" t="n">
        <v>2</v>
      </c>
      <c r="H270" t="n">
        <v>0</v>
      </c>
      <c r="I270" t="n">
        <v>0</v>
      </c>
      <c r="J270" t="n">
        <v>0</v>
      </c>
      <c r="K270" t="n">
        <v>0</v>
      </c>
      <c r="L270" t="n">
        <v>0</v>
      </c>
      <c r="M270" t="n">
        <v>0</v>
      </c>
      <c r="N270" t="n">
        <v>0</v>
      </c>
      <c r="O270" t="n">
        <v>0</v>
      </c>
      <c r="P270" t="n">
        <v>0</v>
      </c>
      <c r="Q270" t="n">
        <v>0</v>
      </c>
      <c r="R270" s="2" t="inlineStr"/>
    </row>
    <row r="271" ht="15" customHeight="1">
      <c r="A271" t="inlineStr">
        <is>
          <t>A 2376-2023</t>
        </is>
      </c>
      <c r="B271" s="1" t="n">
        <v>44942</v>
      </c>
      <c r="C271" s="1" t="n">
        <v>45880</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56576-2022</t>
        </is>
      </c>
      <c r="B272" s="1" t="n">
        <v>44893</v>
      </c>
      <c r="C272" s="1" t="n">
        <v>45880</v>
      </c>
      <c r="D272" t="inlineStr">
        <is>
          <t>JÄMTLANDS LÄN</t>
        </is>
      </c>
      <c r="E272" t="inlineStr">
        <is>
          <t>ÅRE</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12944-2024</t>
        </is>
      </c>
      <c r="B273" s="1" t="n">
        <v>45385</v>
      </c>
      <c r="C273" s="1" t="n">
        <v>45880</v>
      </c>
      <c r="D273" t="inlineStr">
        <is>
          <t>JÄMTLANDS LÄN</t>
        </is>
      </c>
      <c r="E273" t="inlineStr">
        <is>
          <t>ÅRE</t>
        </is>
      </c>
      <c r="G273" t="n">
        <v>1.9</v>
      </c>
      <c r="H273" t="n">
        <v>0</v>
      </c>
      <c r="I273" t="n">
        <v>0</v>
      </c>
      <c r="J273" t="n">
        <v>0</v>
      </c>
      <c r="K273" t="n">
        <v>0</v>
      </c>
      <c r="L273" t="n">
        <v>0</v>
      </c>
      <c r="M273" t="n">
        <v>0</v>
      </c>
      <c r="N273" t="n">
        <v>0</v>
      </c>
      <c r="O273" t="n">
        <v>0</v>
      </c>
      <c r="P273" t="n">
        <v>0</v>
      </c>
      <c r="Q273" t="n">
        <v>0</v>
      </c>
      <c r="R273" s="2" t="inlineStr"/>
    </row>
    <row r="274" ht="15" customHeight="1">
      <c r="A274" t="inlineStr">
        <is>
          <t>A 39071-2024</t>
        </is>
      </c>
      <c r="B274" s="1" t="n">
        <v>45548.53193287037</v>
      </c>
      <c r="C274" s="1" t="n">
        <v>45880</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53014-2023</t>
        </is>
      </c>
      <c r="B275" s="1" t="n">
        <v>45226</v>
      </c>
      <c r="C275" s="1" t="n">
        <v>45880</v>
      </c>
      <c r="D275" t="inlineStr">
        <is>
          <t>JÄMTLANDS LÄN</t>
        </is>
      </c>
      <c r="E275" t="inlineStr">
        <is>
          <t>ÅRE</t>
        </is>
      </c>
      <c r="F275" t="inlineStr">
        <is>
          <t>Övriga Aktiebolag</t>
        </is>
      </c>
      <c r="G275" t="n">
        <v>7.5</v>
      </c>
      <c r="H275" t="n">
        <v>0</v>
      </c>
      <c r="I275" t="n">
        <v>0</v>
      </c>
      <c r="J275" t="n">
        <v>0</v>
      </c>
      <c r="K275" t="n">
        <v>0</v>
      </c>
      <c r="L275" t="n">
        <v>0</v>
      </c>
      <c r="M275" t="n">
        <v>0</v>
      </c>
      <c r="N275" t="n">
        <v>0</v>
      </c>
      <c r="O275" t="n">
        <v>0</v>
      </c>
      <c r="P275" t="n">
        <v>0</v>
      </c>
      <c r="Q275" t="n">
        <v>0</v>
      </c>
      <c r="R275" s="2" t="inlineStr"/>
    </row>
    <row r="276" ht="15" customHeight="1">
      <c r="A276" t="inlineStr">
        <is>
          <t>A 15482-2024</t>
        </is>
      </c>
      <c r="B276" s="1" t="n">
        <v>45401.49361111111</v>
      </c>
      <c r="C276" s="1" t="n">
        <v>45880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20170-2025</t>
        </is>
      </c>
      <c r="B277" s="1" t="n">
        <v>45772.57789351852</v>
      </c>
      <c r="C277" s="1" t="n">
        <v>45880</v>
      </c>
      <c r="D277" t="inlineStr">
        <is>
          <t>JÄMTLANDS LÄN</t>
        </is>
      </c>
      <c r="E277" t="inlineStr">
        <is>
          <t>ÅRE</t>
        </is>
      </c>
      <c r="G277" t="n">
        <v>0.1</v>
      </c>
      <c r="H277" t="n">
        <v>0</v>
      </c>
      <c r="I277" t="n">
        <v>0</v>
      </c>
      <c r="J277" t="n">
        <v>0</v>
      </c>
      <c r="K277" t="n">
        <v>0</v>
      </c>
      <c r="L277" t="n">
        <v>0</v>
      </c>
      <c r="M277" t="n">
        <v>0</v>
      </c>
      <c r="N277" t="n">
        <v>0</v>
      </c>
      <c r="O277" t="n">
        <v>0</v>
      </c>
      <c r="P277" t="n">
        <v>0</v>
      </c>
      <c r="Q277" t="n">
        <v>0</v>
      </c>
      <c r="R277" s="2" t="inlineStr"/>
    </row>
    <row r="278" ht="15" customHeight="1">
      <c r="A278" t="inlineStr">
        <is>
          <t>A 36219-2022</t>
        </is>
      </c>
      <c r="B278" s="1" t="n">
        <v>44803</v>
      </c>
      <c r="C278" s="1" t="n">
        <v>45880</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33239-2024</t>
        </is>
      </c>
      <c r="B279" s="1" t="n">
        <v>45518.59618055556</v>
      </c>
      <c r="C279" s="1" t="n">
        <v>45880</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34357-2021</t>
        </is>
      </c>
      <c r="B280" s="1" t="n">
        <v>44379</v>
      </c>
      <c r="C280" s="1" t="n">
        <v>45880</v>
      </c>
      <c r="D280" t="inlineStr">
        <is>
          <t>JÄMTLANDS LÄN</t>
        </is>
      </c>
      <c r="E280" t="inlineStr">
        <is>
          <t>ÅRE</t>
        </is>
      </c>
      <c r="G280" t="n">
        <v>7.1</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45880</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38456-2021</t>
        </is>
      </c>
      <c r="B282" s="1" t="n">
        <v>44406</v>
      </c>
      <c r="C282" s="1" t="n">
        <v>45880</v>
      </c>
      <c r="D282" t="inlineStr">
        <is>
          <t>JÄMTLANDS LÄN</t>
        </is>
      </c>
      <c r="E282" t="inlineStr">
        <is>
          <t>ÅRE</t>
        </is>
      </c>
      <c r="G282" t="n">
        <v>19.8</v>
      </c>
      <c r="H282" t="n">
        <v>0</v>
      </c>
      <c r="I282" t="n">
        <v>0</v>
      </c>
      <c r="J282" t="n">
        <v>0</v>
      </c>
      <c r="K282" t="n">
        <v>0</v>
      </c>
      <c r="L282" t="n">
        <v>0</v>
      </c>
      <c r="M282" t="n">
        <v>0</v>
      </c>
      <c r="N282" t="n">
        <v>0</v>
      </c>
      <c r="O282" t="n">
        <v>0</v>
      </c>
      <c r="P282" t="n">
        <v>0</v>
      </c>
      <c r="Q282" t="n">
        <v>0</v>
      </c>
      <c r="R282" s="2" t="inlineStr"/>
    </row>
    <row r="283" ht="15" customHeight="1">
      <c r="A283" t="inlineStr">
        <is>
          <t>A 57710-2021</t>
        </is>
      </c>
      <c r="B283" s="1" t="n">
        <v>44484</v>
      </c>
      <c r="C283" s="1" t="n">
        <v>45880</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66083-2020</t>
        </is>
      </c>
      <c r="B284" s="1" t="n">
        <v>44172</v>
      </c>
      <c r="C284" s="1" t="n">
        <v>45880</v>
      </c>
      <c r="D284" t="inlineStr">
        <is>
          <t>JÄMTLANDS LÄN</t>
        </is>
      </c>
      <c r="E284" t="inlineStr">
        <is>
          <t>ÅRE</t>
        </is>
      </c>
      <c r="G284" t="n">
        <v>349.9</v>
      </c>
      <c r="H284" t="n">
        <v>0</v>
      </c>
      <c r="I284" t="n">
        <v>0</v>
      </c>
      <c r="J284" t="n">
        <v>0</v>
      </c>
      <c r="K284" t="n">
        <v>0</v>
      </c>
      <c r="L284" t="n">
        <v>0</v>
      </c>
      <c r="M284" t="n">
        <v>0</v>
      </c>
      <c r="N284" t="n">
        <v>0</v>
      </c>
      <c r="O284" t="n">
        <v>0</v>
      </c>
      <c r="P284" t="n">
        <v>0</v>
      </c>
      <c r="Q284" t="n">
        <v>0</v>
      </c>
      <c r="R284" s="2" t="inlineStr"/>
    </row>
    <row r="285" ht="15" customHeight="1">
      <c r="A285" t="inlineStr">
        <is>
          <t>A 58232-2021</t>
        </is>
      </c>
      <c r="B285" s="1" t="n">
        <v>44487</v>
      </c>
      <c r="C285" s="1" t="n">
        <v>45880</v>
      </c>
      <c r="D285" t="inlineStr">
        <is>
          <t>JÄMTLANDS LÄN</t>
        </is>
      </c>
      <c r="E285" t="inlineStr">
        <is>
          <t>ÅRE</t>
        </is>
      </c>
      <c r="G285" t="n">
        <v>43.7</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45880</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51452-2024</t>
        </is>
      </c>
      <c r="B287" s="1" t="n">
        <v>45604.49045138889</v>
      </c>
      <c r="C287" s="1" t="n">
        <v>45880</v>
      </c>
      <c r="D287" t="inlineStr">
        <is>
          <t>JÄMTLANDS LÄN</t>
        </is>
      </c>
      <c r="E287" t="inlineStr">
        <is>
          <t>ÅRE</t>
        </is>
      </c>
      <c r="G287" t="n">
        <v>8</v>
      </c>
      <c r="H287" t="n">
        <v>0</v>
      </c>
      <c r="I287" t="n">
        <v>0</v>
      </c>
      <c r="J287" t="n">
        <v>0</v>
      </c>
      <c r="K287" t="n">
        <v>0</v>
      </c>
      <c r="L287" t="n">
        <v>0</v>
      </c>
      <c r="M287" t="n">
        <v>0</v>
      </c>
      <c r="N287" t="n">
        <v>0</v>
      </c>
      <c r="O287" t="n">
        <v>0</v>
      </c>
      <c r="P287" t="n">
        <v>0</v>
      </c>
      <c r="Q287" t="n">
        <v>0</v>
      </c>
      <c r="R287" s="2" t="inlineStr"/>
    </row>
    <row r="288" ht="15" customHeight="1">
      <c r="A288" t="inlineStr">
        <is>
          <t>A 20999-2024</t>
        </is>
      </c>
      <c r="B288" s="1" t="n">
        <v>45439</v>
      </c>
      <c r="C288" s="1" t="n">
        <v>45880</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45113-2024</t>
        </is>
      </c>
      <c r="B289" s="1" t="n">
        <v>45575.59709490741</v>
      </c>
      <c r="C289" s="1" t="n">
        <v>45880</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53899-2023</t>
        </is>
      </c>
      <c r="B290" s="1" t="n">
        <v>45231.54160879629</v>
      </c>
      <c r="C290" s="1" t="n">
        <v>45880</v>
      </c>
      <c r="D290" t="inlineStr">
        <is>
          <t>JÄMTLANDS LÄN</t>
        </is>
      </c>
      <c r="E290" t="inlineStr">
        <is>
          <t>ÅRE</t>
        </is>
      </c>
      <c r="G290" t="n">
        <v>20.4</v>
      </c>
      <c r="H290" t="n">
        <v>0</v>
      </c>
      <c r="I290" t="n">
        <v>0</v>
      </c>
      <c r="J290" t="n">
        <v>0</v>
      </c>
      <c r="K290" t="n">
        <v>0</v>
      </c>
      <c r="L290" t="n">
        <v>0</v>
      </c>
      <c r="M290" t="n">
        <v>0</v>
      </c>
      <c r="N290" t="n">
        <v>0</v>
      </c>
      <c r="O290" t="n">
        <v>0</v>
      </c>
      <c r="P290" t="n">
        <v>0</v>
      </c>
      <c r="Q290" t="n">
        <v>0</v>
      </c>
      <c r="R290" s="2" t="inlineStr"/>
    </row>
    <row r="291" ht="15" customHeight="1">
      <c r="A291" t="inlineStr">
        <is>
          <t>A 58917-2022</t>
        </is>
      </c>
      <c r="B291" s="1" t="n">
        <v>44903</v>
      </c>
      <c r="C291" s="1" t="n">
        <v>45880</v>
      </c>
      <c r="D291" t="inlineStr">
        <is>
          <t>JÄMTLANDS LÄN</t>
        </is>
      </c>
      <c r="E291" t="inlineStr">
        <is>
          <t>ÅRE</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64237-2021</t>
        </is>
      </c>
      <c r="B292" s="1" t="n">
        <v>44510</v>
      </c>
      <c r="C292" s="1" t="n">
        <v>45880</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45880</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37734-2023</t>
        </is>
      </c>
      <c r="B294" s="1" t="n">
        <v>45159.61971064815</v>
      </c>
      <c r="C294" s="1" t="n">
        <v>45880</v>
      </c>
      <c r="D294" t="inlineStr">
        <is>
          <t>JÄMTLANDS LÄN</t>
        </is>
      </c>
      <c r="E294" t="inlineStr">
        <is>
          <t>ÅRE</t>
        </is>
      </c>
      <c r="G294" t="n">
        <v>3.4</v>
      </c>
      <c r="H294" t="n">
        <v>0</v>
      </c>
      <c r="I294" t="n">
        <v>0</v>
      </c>
      <c r="J294" t="n">
        <v>0</v>
      </c>
      <c r="K294" t="n">
        <v>0</v>
      </c>
      <c r="L294" t="n">
        <v>0</v>
      </c>
      <c r="M294" t="n">
        <v>0</v>
      </c>
      <c r="N294" t="n">
        <v>0</v>
      </c>
      <c r="O294" t="n">
        <v>0</v>
      </c>
      <c r="P294" t="n">
        <v>0</v>
      </c>
      <c r="Q294" t="n">
        <v>0</v>
      </c>
      <c r="R294" s="2" t="inlineStr"/>
    </row>
    <row r="295" ht="15" customHeight="1">
      <c r="A295" t="inlineStr">
        <is>
          <t>A 25379-2024</t>
        </is>
      </c>
      <c r="B295" s="1" t="n">
        <v>45462</v>
      </c>
      <c r="C295" s="1" t="n">
        <v>45880</v>
      </c>
      <c r="D295" t="inlineStr">
        <is>
          <t>JÄMTLANDS LÄN</t>
        </is>
      </c>
      <c r="E295" t="inlineStr">
        <is>
          <t>ÅRE</t>
        </is>
      </c>
      <c r="G295" t="n">
        <v>4.5</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45880</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7970-2023</t>
        </is>
      </c>
      <c r="B297" s="1" t="n">
        <v>44970</v>
      </c>
      <c r="C297" s="1" t="n">
        <v>45880</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58758-2022</t>
        </is>
      </c>
      <c r="B298" s="1" t="n">
        <v>44903</v>
      </c>
      <c r="C298" s="1" t="n">
        <v>45880</v>
      </c>
      <c r="D298" t="inlineStr">
        <is>
          <t>JÄMTLANDS LÄN</t>
        </is>
      </c>
      <c r="E298" t="inlineStr">
        <is>
          <t>ÅRE</t>
        </is>
      </c>
      <c r="F298" t="inlineStr">
        <is>
          <t>Övriga Aktiebolag</t>
        </is>
      </c>
      <c r="G298" t="n">
        <v>42.9</v>
      </c>
      <c r="H298" t="n">
        <v>0</v>
      </c>
      <c r="I298" t="n">
        <v>0</v>
      </c>
      <c r="J298" t="n">
        <v>0</v>
      </c>
      <c r="K298" t="n">
        <v>0</v>
      </c>
      <c r="L298" t="n">
        <v>0</v>
      </c>
      <c r="M298" t="n">
        <v>0</v>
      </c>
      <c r="N298" t="n">
        <v>0</v>
      </c>
      <c r="O298" t="n">
        <v>0</v>
      </c>
      <c r="P298" t="n">
        <v>0</v>
      </c>
      <c r="Q298" t="n">
        <v>0</v>
      </c>
      <c r="R298" s="2" t="inlineStr"/>
    </row>
    <row r="299" ht="15" customHeight="1">
      <c r="A299" t="inlineStr">
        <is>
          <t>A 57770-2023</t>
        </is>
      </c>
      <c r="B299" s="1" t="n">
        <v>45246.92542824074</v>
      </c>
      <c r="C299" s="1" t="n">
        <v>45880</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556-2023</t>
        </is>
      </c>
      <c r="B300" s="1" t="n">
        <v>44930</v>
      </c>
      <c r="C300" s="1" t="n">
        <v>45880</v>
      </c>
      <c r="D300" t="inlineStr">
        <is>
          <t>JÄMTLANDS LÄN</t>
        </is>
      </c>
      <c r="E300" t="inlineStr">
        <is>
          <t>ÅRE</t>
        </is>
      </c>
      <c r="G300" t="n">
        <v>14.9</v>
      </c>
      <c r="H300" t="n">
        <v>0</v>
      </c>
      <c r="I300" t="n">
        <v>0</v>
      </c>
      <c r="J300" t="n">
        <v>0</v>
      </c>
      <c r="K300" t="n">
        <v>0</v>
      </c>
      <c r="L300" t="n">
        <v>0</v>
      </c>
      <c r="M300" t="n">
        <v>0</v>
      </c>
      <c r="N300" t="n">
        <v>0</v>
      </c>
      <c r="O300" t="n">
        <v>0</v>
      </c>
      <c r="P300" t="n">
        <v>0</v>
      </c>
      <c r="Q300" t="n">
        <v>0</v>
      </c>
      <c r="R300" s="2" t="inlineStr"/>
    </row>
    <row r="301" ht="15" customHeight="1">
      <c r="A301" t="inlineStr">
        <is>
          <t>A 393-2024</t>
        </is>
      </c>
      <c r="B301" s="1" t="n">
        <v>45296.43614583334</v>
      </c>
      <c r="C301" s="1" t="n">
        <v>45880</v>
      </c>
      <c r="D301" t="inlineStr">
        <is>
          <t>JÄMTLANDS LÄN</t>
        </is>
      </c>
      <c r="E301" t="inlineStr">
        <is>
          <t>ÅRE</t>
        </is>
      </c>
      <c r="G301" t="n">
        <v>6.5</v>
      </c>
      <c r="H301" t="n">
        <v>0</v>
      </c>
      <c r="I301" t="n">
        <v>0</v>
      </c>
      <c r="J301" t="n">
        <v>0</v>
      </c>
      <c r="K301" t="n">
        <v>0</v>
      </c>
      <c r="L301" t="n">
        <v>0</v>
      </c>
      <c r="M301" t="n">
        <v>0</v>
      </c>
      <c r="N301" t="n">
        <v>0</v>
      </c>
      <c r="O301" t="n">
        <v>0</v>
      </c>
      <c r="P301" t="n">
        <v>0</v>
      </c>
      <c r="Q301" t="n">
        <v>0</v>
      </c>
      <c r="R301" s="2" t="inlineStr"/>
    </row>
    <row r="302" ht="15" customHeight="1">
      <c r="A302" t="inlineStr">
        <is>
          <t>A 13033-2024</t>
        </is>
      </c>
      <c r="B302" s="1" t="n">
        <v>45385</v>
      </c>
      <c r="C302" s="1" t="n">
        <v>45880</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40336-2021</t>
        </is>
      </c>
      <c r="B303" s="1" t="n">
        <v>44419</v>
      </c>
      <c r="C303" s="1" t="n">
        <v>45880</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34538-2023</t>
        </is>
      </c>
      <c r="B304" s="1" t="n">
        <v>45134</v>
      </c>
      <c r="C304" s="1" t="n">
        <v>45880</v>
      </c>
      <c r="D304" t="inlineStr">
        <is>
          <t>JÄMTLANDS LÄN</t>
        </is>
      </c>
      <c r="E304" t="inlineStr">
        <is>
          <t>ÅRE</t>
        </is>
      </c>
      <c r="G304" t="n">
        <v>1.3</v>
      </c>
      <c r="H304" t="n">
        <v>0</v>
      </c>
      <c r="I304" t="n">
        <v>0</v>
      </c>
      <c r="J304" t="n">
        <v>0</v>
      </c>
      <c r="K304" t="n">
        <v>0</v>
      </c>
      <c r="L304" t="n">
        <v>0</v>
      </c>
      <c r="M304" t="n">
        <v>0</v>
      </c>
      <c r="N304" t="n">
        <v>0</v>
      </c>
      <c r="O304" t="n">
        <v>0</v>
      </c>
      <c r="P304" t="n">
        <v>0</v>
      </c>
      <c r="Q304" t="n">
        <v>0</v>
      </c>
      <c r="R304" s="2" t="inlineStr"/>
    </row>
    <row r="305" ht="15" customHeight="1">
      <c r="A305" t="inlineStr">
        <is>
          <t>A 12227-2023</t>
        </is>
      </c>
      <c r="B305" s="1" t="n">
        <v>44998.60261574074</v>
      </c>
      <c r="C305" s="1" t="n">
        <v>45880</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55944-2022</t>
        </is>
      </c>
      <c r="B306" s="1" t="n">
        <v>44889</v>
      </c>
      <c r="C306" s="1" t="n">
        <v>45880</v>
      </c>
      <c r="D306" t="inlineStr">
        <is>
          <t>JÄMTLANDS LÄN</t>
        </is>
      </c>
      <c r="E306" t="inlineStr">
        <is>
          <t>ÅRE</t>
        </is>
      </c>
      <c r="G306" t="n">
        <v>11.1</v>
      </c>
      <c r="H306" t="n">
        <v>0</v>
      </c>
      <c r="I306" t="n">
        <v>0</v>
      </c>
      <c r="J306" t="n">
        <v>0</v>
      </c>
      <c r="K306" t="n">
        <v>0</v>
      </c>
      <c r="L306" t="n">
        <v>0</v>
      </c>
      <c r="M306" t="n">
        <v>0</v>
      </c>
      <c r="N306" t="n">
        <v>0</v>
      </c>
      <c r="O306" t="n">
        <v>0</v>
      </c>
      <c r="P306" t="n">
        <v>0</v>
      </c>
      <c r="Q306" t="n">
        <v>0</v>
      </c>
      <c r="R306" s="2" t="inlineStr"/>
    </row>
    <row r="307" ht="15" customHeight="1">
      <c r="A307" t="inlineStr">
        <is>
          <t>A 7573-2023</t>
        </is>
      </c>
      <c r="B307" s="1" t="n">
        <v>44967</v>
      </c>
      <c r="C307" s="1" t="n">
        <v>45880</v>
      </c>
      <c r="D307" t="inlineStr">
        <is>
          <t>JÄMTLANDS LÄN</t>
        </is>
      </c>
      <c r="E307" t="inlineStr">
        <is>
          <t>ÅRE</t>
        </is>
      </c>
      <c r="G307" t="n">
        <v>7</v>
      </c>
      <c r="H307" t="n">
        <v>0</v>
      </c>
      <c r="I307" t="n">
        <v>0</v>
      </c>
      <c r="J307" t="n">
        <v>0</v>
      </c>
      <c r="K307" t="n">
        <v>0</v>
      </c>
      <c r="L307" t="n">
        <v>0</v>
      </c>
      <c r="M307" t="n">
        <v>0</v>
      </c>
      <c r="N307" t="n">
        <v>0</v>
      </c>
      <c r="O307" t="n">
        <v>0</v>
      </c>
      <c r="P307" t="n">
        <v>0</v>
      </c>
      <c r="Q307" t="n">
        <v>0</v>
      </c>
      <c r="R307" s="2" t="inlineStr"/>
    </row>
    <row r="308" ht="15" customHeight="1">
      <c r="A308" t="inlineStr">
        <is>
          <t>A 61622-2023</t>
        </is>
      </c>
      <c r="B308" s="1" t="n">
        <v>45261</v>
      </c>
      <c r="C308" s="1" t="n">
        <v>45880</v>
      </c>
      <c r="D308" t="inlineStr">
        <is>
          <t>JÄMTLANDS LÄN</t>
        </is>
      </c>
      <c r="E308" t="inlineStr">
        <is>
          <t>ÅRE</t>
        </is>
      </c>
      <c r="G308" t="n">
        <v>1.6</v>
      </c>
      <c r="H308" t="n">
        <v>0</v>
      </c>
      <c r="I308" t="n">
        <v>0</v>
      </c>
      <c r="J308" t="n">
        <v>0</v>
      </c>
      <c r="K308" t="n">
        <v>0</v>
      </c>
      <c r="L308" t="n">
        <v>0</v>
      </c>
      <c r="M308" t="n">
        <v>0</v>
      </c>
      <c r="N308" t="n">
        <v>0</v>
      </c>
      <c r="O308" t="n">
        <v>0</v>
      </c>
      <c r="P308" t="n">
        <v>0</v>
      </c>
      <c r="Q308" t="n">
        <v>0</v>
      </c>
      <c r="R308" s="2" t="inlineStr"/>
    </row>
    <row r="309" ht="15" customHeight="1">
      <c r="A309" t="inlineStr">
        <is>
          <t>A 45242-2023</t>
        </is>
      </c>
      <c r="B309" s="1" t="n">
        <v>45187</v>
      </c>
      <c r="C309" s="1" t="n">
        <v>45880</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1491-2024</t>
        </is>
      </c>
      <c r="B310" s="1" t="n">
        <v>45305</v>
      </c>
      <c r="C310" s="1" t="n">
        <v>45880</v>
      </c>
      <c r="D310" t="inlineStr">
        <is>
          <t>JÄMTLANDS LÄN</t>
        </is>
      </c>
      <c r="E310" t="inlineStr">
        <is>
          <t>ÅRE</t>
        </is>
      </c>
      <c r="G310" t="n">
        <v>31.4</v>
      </c>
      <c r="H310" t="n">
        <v>0</v>
      </c>
      <c r="I310" t="n">
        <v>0</v>
      </c>
      <c r="J310" t="n">
        <v>0</v>
      </c>
      <c r="K310" t="n">
        <v>0</v>
      </c>
      <c r="L310" t="n">
        <v>0</v>
      </c>
      <c r="M310" t="n">
        <v>0</v>
      </c>
      <c r="N310" t="n">
        <v>0</v>
      </c>
      <c r="O310" t="n">
        <v>0</v>
      </c>
      <c r="P310" t="n">
        <v>0</v>
      </c>
      <c r="Q310" t="n">
        <v>0</v>
      </c>
      <c r="R310" s="2" t="inlineStr"/>
    </row>
    <row r="311" ht="15" customHeight="1">
      <c r="A311" t="inlineStr">
        <is>
          <t>A 58889-2022</t>
        </is>
      </c>
      <c r="B311" s="1" t="n">
        <v>44896</v>
      </c>
      <c r="C311" s="1" t="n">
        <v>45880</v>
      </c>
      <c r="D311" t="inlineStr">
        <is>
          <t>JÄMTLANDS LÄN</t>
        </is>
      </c>
      <c r="E311" t="inlineStr">
        <is>
          <t>ÅRE</t>
        </is>
      </c>
      <c r="G311" t="n">
        <v>6.9</v>
      </c>
      <c r="H311" t="n">
        <v>0</v>
      </c>
      <c r="I311" t="n">
        <v>0</v>
      </c>
      <c r="J311" t="n">
        <v>0</v>
      </c>
      <c r="K311" t="n">
        <v>0</v>
      </c>
      <c r="L311" t="n">
        <v>0</v>
      </c>
      <c r="M311" t="n">
        <v>0</v>
      </c>
      <c r="N311" t="n">
        <v>0</v>
      </c>
      <c r="O311" t="n">
        <v>0</v>
      </c>
      <c r="P311" t="n">
        <v>0</v>
      </c>
      <c r="Q311" t="n">
        <v>0</v>
      </c>
      <c r="R311" s="2" t="inlineStr"/>
    </row>
    <row r="312" ht="15" customHeight="1">
      <c r="A312" t="inlineStr">
        <is>
          <t>A 12287-2023</t>
        </is>
      </c>
      <c r="B312" s="1" t="n">
        <v>44998.72736111111</v>
      </c>
      <c r="C312" s="1" t="n">
        <v>45880</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12290-2023</t>
        </is>
      </c>
      <c r="B313" s="1" t="n">
        <v>44998.73545138889</v>
      </c>
      <c r="C313" s="1" t="n">
        <v>45880</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12291-2023</t>
        </is>
      </c>
      <c r="B314" s="1" t="n">
        <v>44998.74140046296</v>
      </c>
      <c r="C314" s="1" t="n">
        <v>45880</v>
      </c>
      <c r="D314" t="inlineStr">
        <is>
          <t>JÄMTLANDS LÄN</t>
        </is>
      </c>
      <c r="E314" t="inlineStr">
        <is>
          <t>ÅRE</t>
        </is>
      </c>
      <c r="G314" t="n">
        <v>6</v>
      </c>
      <c r="H314" t="n">
        <v>0</v>
      </c>
      <c r="I314" t="n">
        <v>0</v>
      </c>
      <c r="J314" t="n">
        <v>0</v>
      </c>
      <c r="K314" t="n">
        <v>0</v>
      </c>
      <c r="L314" t="n">
        <v>0</v>
      </c>
      <c r="M314" t="n">
        <v>0</v>
      </c>
      <c r="N314" t="n">
        <v>0</v>
      </c>
      <c r="O314" t="n">
        <v>0</v>
      </c>
      <c r="P314" t="n">
        <v>0</v>
      </c>
      <c r="Q314" t="n">
        <v>0</v>
      </c>
      <c r="R314" s="2" t="inlineStr"/>
    </row>
    <row r="315" ht="15" customHeight="1">
      <c r="A315" t="inlineStr">
        <is>
          <t>A 44609-2024</t>
        </is>
      </c>
      <c r="B315" s="1" t="n">
        <v>45574.51212962963</v>
      </c>
      <c r="C315" s="1" t="n">
        <v>45880</v>
      </c>
      <c r="D315" t="inlineStr">
        <is>
          <t>JÄMTLANDS LÄN</t>
        </is>
      </c>
      <c r="E315" t="inlineStr">
        <is>
          <t>ÅRE</t>
        </is>
      </c>
      <c r="G315" t="n">
        <v>1.9</v>
      </c>
      <c r="H315" t="n">
        <v>0</v>
      </c>
      <c r="I315" t="n">
        <v>0</v>
      </c>
      <c r="J315" t="n">
        <v>0</v>
      </c>
      <c r="K315" t="n">
        <v>0</v>
      </c>
      <c r="L315" t="n">
        <v>0</v>
      </c>
      <c r="M315" t="n">
        <v>0</v>
      </c>
      <c r="N315" t="n">
        <v>0</v>
      </c>
      <c r="O315" t="n">
        <v>0</v>
      </c>
      <c r="P315" t="n">
        <v>0</v>
      </c>
      <c r="Q315" t="n">
        <v>0</v>
      </c>
      <c r="R315" s="2" t="inlineStr"/>
    </row>
    <row r="316" ht="15" customHeight="1">
      <c r="A316" t="inlineStr">
        <is>
          <t>A 61815-2021</t>
        </is>
      </c>
      <c r="B316" s="1" t="n">
        <v>44498</v>
      </c>
      <c r="C316" s="1" t="n">
        <v>45880</v>
      </c>
      <c r="D316" t="inlineStr">
        <is>
          <t>JÄMTLANDS LÄN</t>
        </is>
      </c>
      <c r="E316" t="inlineStr">
        <is>
          <t>ÅRE</t>
        </is>
      </c>
      <c r="G316" t="n">
        <v>7.4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45880</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41677-2024</t>
        </is>
      </c>
      <c r="B318" s="1" t="n">
        <v>45560.66037037037</v>
      </c>
      <c r="C318" s="1" t="n">
        <v>45880</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41688-2024</t>
        </is>
      </c>
      <c r="B319" s="1" t="n">
        <v>45560.67542824074</v>
      </c>
      <c r="C319" s="1" t="n">
        <v>45880</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30263-2023</t>
        </is>
      </c>
      <c r="B320" s="1" t="n">
        <v>45099</v>
      </c>
      <c r="C320" s="1" t="n">
        <v>45880</v>
      </c>
      <c r="D320" t="inlineStr">
        <is>
          <t>JÄMTLANDS LÄN</t>
        </is>
      </c>
      <c r="E320" t="inlineStr">
        <is>
          <t>ÅRE</t>
        </is>
      </c>
      <c r="G320" t="n">
        <v>15.9</v>
      </c>
      <c r="H320" t="n">
        <v>0</v>
      </c>
      <c r="I320" t="n">
        <v>0</v>
      </c>
      <c r="J320" t="n">
        <v>0</v>
      </c>
      <c r="K320" t="n">
        <v>0</v>
      </c>
      <c r="L320" t="n">
        <v>0</v>
      </c>
      <c r="M320" t="n">
        <v>0</v>
      </c>
      <c r="N320" t="n">
        <v>0</v>
      </c>
      <c r="O320" t="n">
        <v>0</v>
      </c>
      <c r="P320" t="n">
        <v>0</v>
      </c>
      <c r="Q320" t="n">
        <v>0</v>
      </c>
      <c r="R320" s="2" t="inlineStr"/>
    </row>
    <row r="321" ht="15" customHeight="1">
      <c r="A321" t="inlineStr">
        <is>
          <t>A 4218-2025</t>
        </is>
      </c>
      <c r="B321" s="1" t="n">
        <v>45685</v>
      </c>
      <c r="C321" s="1" t="n">
        <v>45880</v>
      </c>
      <c r="D321" t="inlineStr">
        <is>
          <t>JÄMTLANDS LÄN</t>
        </is>
      </c>
      <c r="E321" t="inlineStr">
        <is>
          <t>ÅRE</t>
        </is>
      </c>
      <c r="F321" t="inlineStr">
        <is>
          <t>Övriga Aktiebolag</t>
        </is>
      </c>
      <c r="G321" t="n">
        <v>10.1</v>
      </c>
      <c r="H321" t="n">
        <v>0</v>
      </c>
      <c r="I321" t="n">
        <v>0</v>
      </c>
      <c r="J321" t="n">
        <v>0</v>
      </c>
      <c r="K321" t="n">
        <v>0</v>
      </c>
      <c r="L321" t="n">
        <v>0</v>
      </c>
      <c r="M321" t="n">
        <v>0</v>
      </c>
      <c r="N321" t="n">
        <v>0</v>
      </c>
      <c r="O321" t="n">
        <v>0</v>
      </c>
      <c r="P321" t="n">
        <v>0</v>
      </c>
      <c r="Q321" t="n">
        <v>0</v>
      </c>
      <c r="R321" s="2" t="inlineStr"/>
    </row>
    <row r="322" ht="15" customHeight="1">
      <c r="A322" t="inlineStr">
        <is>
          <t>A 59387-2022</t>
        </is>
      </c>
      <c r="B322" s="1" t="n">
        <v>44905</v>
      </c>
      <c r="C322" s="1" t="n">
        <v>45880</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45880</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15692-2025</t>
        </is>
      </c>
      <c r="B324" s="1" t="n">
        <v>45748</v>
      </c>
      <c r="C324" s="1" t="n">
        <v>45880</v>
      </c>
      <c r="D324" t="inlineStr">
        <is>
          <t>JÄMTLANDS LÄN</t>
        </is>
      </c>
      <c r="E324" t="inlineStr">
        <is>
          <t>ÅRE</t>
        </is>
      </c>
      <c r="G324" t="n">
        <v>2.7</v>
      </c>
      <c r="H324" t="n">
        <v>0</v>
      </c>
      <c r="I324" t="n">
        <v>0</v>
      </c>
      <c r="J324" t="n">
        <v>0</v>
      </c>
      <c r="K324" t="n">
        <v>0</v>
      </c>
      <c r="L324" t="n">
        <v>0</v>
      </c>
      <c r="M324" t="n">
        <v>0</v>
      </c>
      <c r="N324" t="n">
        <v>0</v>
      </c>
      <c r="O324" t="n">
        <v>0</v>
      </c>
      <c r="P324" t="n">
        <v>0</v>
      </c>
      <c r="Q324" t="n">
        <v>0</v>
      </c>
      <c r="R324" s="2" t="inlineStr"/>
    </row>
    <row r="325" ht="15" customHeight="1">
      <c r="A325" t="inlineStr">
        <is>
          <t>A 56736-2023</t>
        </is>
      </c>
      <c r="B325" s="1" t="n">
        <v>45244</v>
      </c>
      <c r="C325" s="1" t="n">
        <v>45880</v>
      </c>
      <c r="D325" t="inlineStr">
        <is>
          <t>JÄMTLANDS LÄN</t>
        </is>
      </c>
      <c r="E325" t="inlineStr">
        <is>
          <t>ÅRE</t>
        </is>
      </c>
      <c r="F325" t="inlineStr">
        <is>
          <t>Övriga Aktiebolag</t>
        </is>
      </c>
      <c r="G325" t="n">
        <v>10.7</v>
      </c>
      <c r="H325" t="n">
        <v>0</v>
      </c>
      <c r="I325" t="n">
        <v>0</v>
      </c>
      <c r="J325" t="n">
        <v>0</v>
      </c>
      <c r="K325" t="n">
        <v>0</v>
      </c>
      <c r="L325" t="n">
        <v>0</v>
      </c>
      <c r="M325" t="n">
        <v>0</v>
      </c>
      <c r="N325" t="n">
        <v>0</v>
      </c>
      <c r="O325" t="n">
        <v>0</v>
      </c>
      <c r="P325" t="n">
        <v>0</v>
      </c>
      <c r="Q325" t="n">
        <v>0</v>
      </c>
      <c r="R325" s="2" t="inlineStr"/>
    </row>
    <row r="326" ht="15" customHeight="1">
      <c r="A326" t="inlineStr">
        <is>
          <t>A 59397-2021</t>
        </is>
      </c>
      <c r="B326" s="1" t="n">
        <v>44491</v>
      </c>
      <c r="C326" s="1" t="n">
        <v>45880</v>
      </c>
      <c r="D326" t="inlineStr">
        <is>
          <t>JÄMTLANDS LÄN</t>
        </is>
      </c>
      <c r="E326" t="inlineStr">
        <is>
          <t>ÅRE</t>
        </is>
      </c>
      <c r="F326" t="inlineStr">
        <is>
          <t>Övriga Aktiebolag</t>
        </is>
      </c>
      <c r="G326" t="n">
        <v>7.6</v>
      </c>
      <c r="H326" t="n">
        <v>0</v>
      </c>
      <c r="I326" t="n">
        <v>0</v>
      </c>
      <c r="J326" t="n">
        <v>0</v>
      </c>
      <c r="K326" t="n">
        <v>0</v>
      </c>
      <c r="L326" t="n">
        <v>0</v>
      </c>
      <c r="M326" t="n">
        <v>0</v>
      </c>
      <c r="N326" t="n">
        <v>0</v>
      </c>
      <c r="O326" t="n">
        <v>0</v>
      </c>
      <c r="P326" t="n">
        <v>0</v>
      </c>
      <c r="Q326" t="n">
        <v>0</v>
      </c>
      <c r="R326" s="2" t="inlineStr"/>
    </row>
    <row r="327" ht="15" customHeight="1">
      <c r="A327" t="inlineStr">
        <is>
          <t>A 23159-2024</t>
        </is>
      </c>
      <c r="B327" s="1" t="n">
        <v>45450.7033912037</v>
      </c>
      <c r="C327" s="1" t="n">
        <v>45880</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12177-2025</t>
        </is>
      </c>
      <c r="B328" s="1" t="n">
        <v>45729.45119212963</v>
      </c>
      <c r="C328" s="1" t="n">
        <v>45880</v>
      </c>
      <c r="D328" t="inlineStr">
        <is>
          <t>JÄMTLANDS LÄN</t>
        </is>
      </c>
      <c r="E328" t="inlineStr">
        <is>
          <t>ÅRE</t>
        </is>
      </c>
      <c r="F328" t="inlineStr">
        <is>
          <t>Övriga Aktiebolag</t>
        </is>
      </c>
      <c r="G328" t="n">
        <v>13.2</v>
      </c>
      <c r="H328" t="n">
        <v>0</v>
      </c>
      <c r="I328" t="n">
        <v>0</v>
      </c>
      <c r="J328" t="n">
        <v>0</v>
      </c>
      <c r="K328" t="n">
        <v>0</v>
      </c>
      <c r="L328" t="n">
        <v>0</v>
      </c>
      <c r="M328" t="n">
        <v>0</v>
      </c>
      <c r="N328" t="n">
        <v>0</v>
      </c>
      <c r="O328" t="n">
        <v>0</v>
      </c>
      <c r="P328" t="n">
        <v>0</v>
      </c>
      <c r="Q328" t="n">
        <v>0</v>
      </c>
      <c r="R328" s="2" t="inlineStr"/>
    </row>
    <row r="329" ht="15" customHeight="1">
      <c r="A329" t="inlineStr">
        <is>
          <t>A 23651-2025</t>
        </is>
      </c>
      <c r="B329" s="1" t="n">
        <v>45792.70914351852</v>
      </c>
      <c r="C329" s="1" t="n">
        <v>45880</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73800-2021</t>
        </is>
      </c>
      <c r="B330" s="1" t="n">
        <v>44552</v>
      </c>
      <c r="C330" s="1" t="n">
        <v>45880</v>
      </c>
      <c r="D330" t="inlineStr">
        <is>
          <t>JÄMTLANDS LÄN</t>
        </is>
      </c>
      <c r="E330" t="inlineStr">
        <is>
          <t>ÅRE</t>
        </is>
      </c>
      <c r="G330" t="n">
        <v>8.6</v>
      </c>
      <c r="H330" t="n">
        <v>0</v>
      </c>
      <c r="I330" t="n">
        <v>0</v>
      </c>
      <c r="J330" t="n">
        <v>0</v>
      </c>
      <c r="K330" t="n">
        <v>0</v>
      </c>
      <c r="L330" t="n">
        <v>0</v>
      </c>
      <c r="M330" t="n">
        <v>0</v>
      </c>
      <c r="N330" t="n">
        <v>0</v>
      </c>
      <c r="O330" t="n">
        <v>0</v>
      </c>
      <c r="P330" t="n">
        <v>0</v>
      </c>
      <c r="Q330" t="n">
        <v>0</v>
      </c>
      <c r="R330" s="2" t="inlineStr"/>
    </row>
    <row r="331" ht="15" customHeight="1">
      <c r="A331" t="inlineStr">
        <is>
          <t>A 44925-2024</t>
        </is>
      </c>
      <c r="B331" s="1" t="n">
        <v>45575.40700231482</v>
      </c>
      <c r="C331" s="1" t="n">
        <v>45880</v>
      </c>
      <c r="D331" t="inlineStr">
        <is>
          <t>JÄMTLANDS LÄN</t>
        </is>
      </c>
      <c r="E331" t="inlineStr">
        <is>
          <t>ÅRE</t>
        </is>
      </c>
      <c r="F331" t="inlineStr">
        <is>
          <t>Övriga Aktiebolag</t>
        </is>
      </c>
      <c r="G331" t="n">
        <v>22.3</v>
      </c>
      <c r="H331" t="n">
        <v>0</v>
      </c>
      <c r="I331" t="n">
        <v>0</v>
      </c>
      <c r="J331" t="n">
        <v>0</v>
      </c>
      <c r="K331" t="n">
        <v>0</v>
      </c>
      <c r="L331" t="n">
        <v>0</v>
      </c>
      <c r="M331" t="n">
        <v>0</v>
      </c>
      <c r="N331" t="n">
        <v>0</v>
      </c>
      <c r="O331" t="n">
        <v>0</v>
      </c>
      <c r="P331" t="n">
        <v>0</v>
      </c>
      <c r="Q331" t="n">
        <v>0</v>
      </c>
      <c r="R331" s="2" t="inlineStr"/>
    </row>
    <row r="332" ht="15" customHeight="1">
      <c r="A332" t="inlineStr">
        <is>
          <t>A 64245-2021</t>
        </is>
      </c>
      <c r="B332" s="1" t="n">
        <v>44510</v>
      </c>
      <c r="C332" s="1" t="n">
        <v>45880</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9613-2021</t>
        </is>
      </c>
      <c r="B333" s="1" t="n">
        <v>44251</v>
      </c>
      <c r="C333" s="1" t="n">
        <v>45880</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41266-2024</t>
        </is>
      </c>
      <c r="B334" s="1" t="n">
        <v>45559</v>
      </c>
      <c r="C334" s="1" t="n">
        <v>45880</v>
      </c>
      <c r="D334" t="inlineStr">
        <is>
          <t>JÄMTLANDS LÄN</t>
        </is>
      </c>
      <c r="E334" t="inlineStr">
        <is>
          <t>ÅRE</t>
        </is>
      </c>
      <c r="G334" t="n">
        <v>1</v>
      </c>
      <c r="H334" t="n">
        <v>0</v>
      </c>
      <c r="I334" t="n">
        <v>0</v>
      </c>
      <c r="J334" t="n">
        <v>0</v>
      </c>
      <c r="K334" t="n">
        <v>0</v>
      </c>
      <c r="L334" t="n">
        <v>0</v>
      </c>
      <c r="M334" t="n">
        <v>0</v>
      </c>
      <c r="N334" t="n">
        <v>0</v>
      </c>
      <c r="O334" t="n">
        <v>0</v>
      </c>
      <c r="P334" t="n">
        <v>0</v>
      </c>
      <c r="Q334" t="n">
        <v>0</v>
      </c>
      <c r="R334" s="2" t="inlineStr"/>
    </row>
    <row r="335" ht="15" customHeight="1">
      <c r="A335" t="inlineStr">
        <is>
          <t>A 61295-2023</t>
        </is>
      </c>
      <c r="B335" s="1" t="n">
        <v>45264</v>
      </c>
      <c r="C335" s="1" t="n">
        <v>45880</v>
      </c>
      <c r="D335" t="inlineStr">
        <is>
          <t>JÄMTLANDS LÄN</t>
        </is>
      </c>
      <c r="E335" t="inlineStr">
        <is>
          <t>ÅRE</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29177-2024</t>
        </is>
      </c>
      <c r="B336" s="1" t="n">
        <v>45482.53859953704</v>
      </c>
      <c r="C336" s="1" t="n">
        <v>45880</v>
      </c>
      <c r="D336" t="inlineStr">
        <is>
          <t>JÄMTLANDS LÄN</t>
        </is>
      </c>
      <c r="E336" t="inlineStr">
        <is>
          <t>ÅRE</t>
        </is>
      </c>
      <c r="G336" t="n">
        <v>2.5</v>
      </c>
      <c r="H336" t="n">
        <v>0</v>
      </c>
      <c r="I336" t="n">
        <v>0</v>
      </c>
      <c r="J336" t="n">
        <v>0</v>
      </c>
      <c r="K336" t="n">
        <v>0</v>
      </c>
      <c r="L336" t="n">
        <v>0</v>
      </c>
      <c r="M336" t="n">
        <v>0</v>
      </c>
      <c r="N336" t="n">
        <v>0</v>
      </c>
      <c r="O336" t="n">
        <v>0</v>
      </c>
      <c r="P336" t="n">
        <v>0</v>
      </c>
      <c r="Q336" t="n">
        <v>0</v>
      </c>
      <c r="R336" s="2" t="inlineStr"/>
    </row>
    <row r="337" ht="15" customHeight="1">
      <c r="A337" t="inlineStr">
        <is>
          <t>A 9775-2023</t>
        </is>
      </c>
      <c r="B337" s="1" t="n">
        <v>44984.60255787037</v>
      </c>
      <c r="C337" s="1" t="n">
        <v>45880</v>
      </c>
      <c r="D337" t="inlineStr">
        <is>
          <t>JÄMTLANDS LÄN</t>
        </is>
      </c>
      <c r="E337" t="inlineStr">
        <is>
          <t>ÅRE</t>
        </is>
      </c>
      <c r="G337" t="n">
        <v>2.4</v>
      </c>
      <c r="H337" t="n">
        <v>0</v>
      </c>
      <c r="I337" t="n">
        <v>0</v>
      </c>
      <c r="J337" t="n">
        <v>0</v>
      </c>
      <c r="K337" t="n">
        <v>0</v>
      </c>
      <c r="L337" t="n">
        <v>0</v>
      </c>
      <c r="M337" t="n">
        <v>0</v>
      </c>
      <c r="N337" t="n">
        <v>0</v>
      </c>
      <c r="O337" t="n">
        <v>0</v>
      </c>
      <c r="P337" t="n">
        <v>0</v>
      </c>
      <c r="Q337" t="n">
        <v>0</v>
      </c>
      <c r="R337" s="2" t="inlineStr"/>
    </row>
    <row r="338" ht="15" customHeight="1">
      <c r="A338" t="inlineStr">
        <is>
          <t>A 61924-2022</t>
        </is>
      </c>
      <c r="B338" s="1" t="n">
        <v>44917</v>
      </c>
      <c r="C338" s="1" t="n">
        <v>45880</v>
      </c>
      <c r="D338" t="inlineStr">
        <is>
          <t>JÄMTLANDS LÄN</t>
        </is>
      </c>
      <c r="E338" t="inlineStr">
        <is>
          <t>ÅRE</t>
        </is>
      </c>
      <c r="G338" t="n">
        <v>39.8</v>
      </c>
      <c r="H338" t="n">
        <v>0</v>
      </c>
      <c r="I338" t="n">
        <v>0</v>
      </c>
      <c r="J338" t="n">
        <v>0</v>
      </c>
      <c r="K338" t="n">
        <v>0</v>
      </c>
      <c r="L338" t="n">
        <v>0</v>
      </c>
      <c r="M338" t="n">
        <v>0</v>
      </c>
      <c r="N338" t="n">
        <v>0</v>
      </c>
      <c r="O338" t="n">
        <v>0</v>
      </c>
      <c r="P338" t="n">
        <v>0</v>
      </c>
      <c r="Q338" t="n">
        <v>0</v>
      </c>
      <c r="R338" s="2" t="inlineStr"/>
    </row>
    <row r="339" ht="15" customHeight="1">
      <c r="A339" t="inlineStr">
        <is>
          <t>A 22707-2021</t>
        </is>
      </c>
      <c r="B339" s="1" t="n">
        <v>44323</v>
      </c>
      <c r="C339" s="1" t="n">
        <v>45880</v>
      </c>
      <c r="D339" t="inlineStr">
        <is>
          <t>JÄMTLANDS LÄN</t>
        </is>
      </c>
      <c r="E339" t="inlineStr">
        <is>
          <t>ÅRE</t>
        </is>
      </c>
      <c r="G339" t="n">
        <v>6.3</v>
      </c>
      <c r="H339" t="n">
        <v>0</v>
      </c>
      <c r="I339" t="n">
        <v>0</v>
      </c>
      <c r="J339" t="n">
        <v>0</v>
      </c>
      <c r="K339" t="n">
        <v>0</v>
      </c>
      <c r="L339" t="n">
        <v>0</v>
      </c>
      <c r="M339" t="n">
        <v>0</v>
      </c>
      <c r="N339" t="n">
        <v>0</v>
      </c>
      <c r="O339" t="n">
        <v>0</v>
      </c>
      <c r="P339" t="n">
        <v>0</v>
      </c>
      <c r="Q339" t="n">
        <v>0</v>
      </c>
      <c r="R339" s="2" t="inlineStr"/>
    </row>
    <row r="340" ht="15" customHeight="1">
      <c r="A340" t="inlineStr">
        <is>
          <t>A 54904-2022</t>
        </is>
      </c>
      <c r="B340" s="1" t="n">
        <v>44886</v>
      </c>
      <c r="C340" s="1" t="n">
        <v>45880</v>
      </c>
      <c r="D340" t="inlineStr">
        <is>
          <t>JÄMTLANDS LÄN</t>
        </is>
      </c>
      <c r="E340" t="inlineStr">
        <is>
          <t>ÅRE</t>
        </is>
      </c>
      <c r="F340" t="inlineStr">
        <is>
          <t>Övriga Aktiebolag</t>
        </is>
      </c>
      <c r="G340" t="n">
        <v>12.2</v>
      </c>
      <c r="H340" t="n">
        <v>0</v>
      </c>
      <c r="I340" t="n">
        <v>0</v>
      </c>
      <c r="J340" t="n">
        <v>0</v>
      </c>
      <c r="K340" t="n">
        <v>0</v>
      </c>
      <c r="L340" t="n">
        <v>0</v>
      </c>
      <c r="M340" t="n">
        <v>0</v>
      </c>
      <c r="N340" t="n">
        <v>0</v>
      </c>
      <c r="O340" t="n">
        <v>0</v>
      </c>
      <c r="P340" t="n">
        <v>0</v>
      </c>
      <c r="Q340" t="n">
        <v>0</v>
      </c>
      <c r="R340" s="2" t="inlineStr"/>
    </row>
    <row r="341" ht="15" customHeight="1">
      <c r="A341" t="inlineStr">
        <is>
          <t>A 37729-2023</t>
        </is>
      </c>
      <c r="B341" s="1" t="n">
        <v>45159</v>
      </c>
      <c r="C341" s="1" t="n">
        <v>45880</v>
      </c>
      <c r="D341" t="inlineStr">
        <is>
          <t>JÄMTLANDS LÄN</t>
        </is>
      </c>
      <c r="E341" t="inlineStr">
        <is>
          <t>ÅRE</t>
        </is>
      </c>
      <c r="G341" t="n">
        <v>2.4</v>
      </c>
      <c r="H341" t="n">
        <v>0</v>
      </c>
      <c r="I341" t="n">
        <v>0</v>
      </c>
      <c r="J341" t="n">
        <v>0</v>
      </c>
      <c r="K341" t="n">
        <v>0</v>
      </c>
      <c r="L341" t="n">
        <v>0</v>
      </c>
      <c r="M341" t="n">
        <v>0</v>
      </c>
      <c r="N341" t="n">
        <v>0</v>
      </c>
      <c r="O341" t="n">
        <v>0</v>
      </c>
      <c r="P341" t="n">
        <v>0</v>
      </c>
      <c r="Q341" t="n">
        <v>0</v>
      </c>
      <c r="R341" s="2" t="inlineStr"/>
    </row>
    <row r="342" ht="15" customHeight="1">
      <c r="A342" t="inlineStr">
        <is>
          <t>A 50099-2021</t>
        </is>
      </c>
      <c r="B342" s="1" t="n">
        <v>44456</v>
      </c>
      <c r="C342" s="1" t="n">
        <v>45880</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1460-2024</t>
        </is>
      </c>
      <c r="B343" s="1" t="n">
        <v>45303.93322916667</v>
      </c>
      <c r="C343" s="1" t="n">
        <v>45880</v>
      </c>
      <c r="D343" t="inlineStr">
        <is>
          <t>JÄMTLANDS LÄN</t>
        </is>
      </c>
      <c r="E343" t="inlineStr">
        <is>
          <t>ÅRE</t>
        </is>
      </c>
      <c r="F343" t="inlineStr">
        <is>
          <t>Övriga Aktiebolag</t>
        </is>
      </c>
      <c r="G343" t="n">
        <v>1.3</v>
      </c>
      <c r="H343" t="n">
        <v>0</v>
      </c>
      <c r="I343" t="n">
        <v>0</v>
      </c>
      <c r="J343" t="n">
        <v>0</v>
      </c>
      <c r="K343" t="n">
        <v>0</v>
      </c>
      <c r="L343" t="n">
        <v>0</v>
      </c>
      <c r="M343" t="n">
        <v>0</v>
      </c>
      <c r="N343" t="n">
        <v>0</v>
      </c>
      <c r="O343" t="n">
        <v>0</v>
      </c>
      <c r="P343" t="n">
        <v>0</v>
      </c>
      <c r="Q343" t="n">
        <v>0</v>
      </c>
      <c r="R343" s="2" t="inlineStr"/>
    </row>
    <row r="344" ht="15" customHeight="1">
      <c r="A344" t="inlineStr">
        <is>
          <t>A 60426-2022</t>
        </is>
      </c>
      <c r="B344" s="1" t="n">
        <v>44911.32092592592</v>
      </c>
      <c r="C344" s="1" t="n">
        <v>45880</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45324-2024</t>
        </is>
      </c>
      <c r="B345" s="1" t="n">
        <v>45576</v>
      </c>
      <c r="C345" s="1" t="n">
        <v>45880</v>
      </c>
      <c r="D345" t="inlineStr">
        <is>
          <t>JÄMTLANDS LÄN</t>
        </is>
      </c>
      <c r="E345" t="inlineStr">
        <is>
          <t>ÅRE</t>
        </is>
      </c>
      <c r="G345" t="n">
        <v>9.4</v>
      </c>
      <c r="H345" t="n">
        <v>0</v>
      </c>
      <c r="I345" t="n">
        <v>0</v>
      </c>
      <c r="J345" t="n">
        <v>0</v>
      </c>
      <c r="K345" t="n">
        <v>0</v>
      </c>
      <c r="L345" t="n">
        <v>0</v>
      </c>
      <c r="M345" t="n">
        <v>0</v>
      </c>
      <c r="N345" t="n">
        <v>0</v>
      </c>
      <c r="O345" t="n">
        <v>0</v>
      </c>
      <c r="P345" t="n">
        <v>0</v>
      </c>
      <c r="Q345" t="n">
        <v>0</v>
      </c>
      <c r="R345" s="2" t="inlineStr"/>
    </row>
    <row r="346" ht="15" customHeight="1">
      <c r="A346" t="inlineStr">
        <is>
          <t>A 56556-2022</t>
        </is>
      </c>
      <c r="B346" s="1" t="n">
        <v>44893.48930555556</v>
      </c>
      <c r="C346" s="1" t="n">
        <v>45880</v>
      </c>
      <c r="D346" t="inlineStr">
        <is>
          <t>JÄMTLANDS LÄN</t>
        </is>
      </c>
      <c r="E346" t="inlineStr">
        <is>
          <t>ÅRE</t>
        </is>
      </c>
      <c r="F346" t="inlineStr">
        <is>
          <t>Övriga Aktiebolag</t>
        </is>
      </c>
      <c r="G346" t="n">
        <v>4.9</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45880</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38268-2024</t>
        </is>
      </c>
      <c r="B348" s="1" t="n">
        <v>45545.59842592593</v>
      </c>
      <c r="C348" s="1" t="n">
        <v>45880</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21181-2025</t>
        </is>
      </c>
      <c r="B349" s="1" t="n">
        <v>45779.43696759259</v>
      </c>
      <c r="C349" s="1" t="n">
        <v>45880</v>
      </c>
      <c r="D349" t="inlineStr">
        <is>
          <t>JÄMTLANDS LÄN</t>
        </is>
      </c>
      <c r="E349" t="inlineStr">
        <is>
          <t>ÅRE</t>
        </is>
      </c>
      <c r="G349" t="n">
        <v>2.9</v>
      </c>
      <c r="H349" t="n">
        <v>0</v>
      </c>
      <c r="I349" t="n">
        <v>0</v>
      </c>
      <c r="J349" t="n">
        <v>0</v>
      </c>
      <c r="K349" t="n">
        <v>0</v>
      </c>
      <c r="L349" t="n">
        <v>0</v>
      </c>
      <c r="M349" t="n">
        <v>0</v>
      </c>
      <c r="N349" t="n">
        <v>0</v>
      </c>
      <c r="O349" t="n">
        <v>0</v>
      </c>
      <c r="P349" t="n">
        <v>0</v>
      </c>
      <c r="Q349" t="n">
        <v>0</v>
      </c>
      <c r="R349" s="2" t="inlineStr"/>
    </row>
    <row r="350" ht="15" customHeight="1">
      <c r="A350" t="inlineStr">
        <is>
          <t>A 21167-2025</t>
        </is>
      </c>
      <c r="B350" s="1" t="n">
        <v>45779.41253472222</v>
      </c>
      <c r="C350" s="1" t="n">
        <v>45880</v>
      </c>
      <c r="D350" t="inlineStr">
        <is>
          <t>JÄMTLANDS LÄN</t>
        </is>
      </c>
      <c r="E350" t="inlineStr">
        <is>
          <t>ÅRE</t>
        </is>
      </c>
      <c r="G350" t="n">
        <v>0.4</v>
      </c>
      <c r="H350" t="n">
        <v>0</v>
      </c>
      <c r="I350" t="n">
        <v>0</v>
      </c>
      <c r="J350" t="n">
        <v>0</v>
      </c>
      <c r="K350" t="n">
        <v>0</v>
      </c>
      <c r="L350" t="n">
        <v>0</v>
      </c>
      <c r="M350" t="n">
        <v>0</v>
      </c>
      <c r="N350" t="n">
        <v>0</v>
      </c>
      <c r="O350" t="n">
        <v>0</v>
      </c>
      <c r="P350" t="n">
        <v>0</v>
      </c>
      <c r="Q350" t="n">
        <v>0</v>
      </c>
      <c r="R350" s="2" t="inlineStr"/>
    </row>
    <row r="351" ht="15" customHeight="1">
      <c r="A351" t="inlineStr">
        <is>
          <t>A 20480-2024</t>
        </is>
      </c>
      <c r="B351" s="1" t="n">
        <v>45435.71126157408</v>
      </c>
      <c r="C351" s="1" t="n">
        <v>45880</v>
      </c>
      <c r="D351" t="inlineStr">
        <is>
          <t>JÄMTLANDS LÄN</t>
        </is>
      </c>
      <c r="E351" t="inlineStr">
        <is>
          <t>ÅRE</t>
        </is>
      </c>
      <c r="G351" t="n">
        <v>2.7</v>
      </c>
      <c r="H351" t="n">
        <v>0</v>
      </c>
      <c r="I351" t="n">
        <v>0</v>
      </c>
      <c r="J351" t="n">
        <v>0</v>
      </c>
      <c r="K351" t="n">
        <v>0</v>
      </c>
      <c r="L351" t="n">
        <v>0</v>
      </c>
      <c r="M351" t="n">
        <v>0</v>
      </c>
      <c r="N351" t="n">
        <v>0</v>
      </c>
      <c r="O351" t="n">
        <v>0</v>
      </c>
      <c r="P351" t="n">
        <v>0</v>
      </c>
      <c r="Q351" t="n">
        <v>0</v>
      </c>
      <c r="R351" s="2" t="inlineStr"/>
    </row>
    <row r="352" ht="15" customHeight="1">
      <c r="A352" t="inlineStr">
        <is>
          <t>A 57102-2024</t>
        </is>
      </c>
      <c r="B352" s="1" t="n">
        <v>45629.35856481481</v>
      </c>
      <c r="C352" s="1" t="n">
        <v>45880</v>
      </c>
      <c r="D352" t="inlineStr">
        <is>
          <t>JÄMTLANDS LÄN</t>
        </is>
      </c>
      <c r="E352" t="inlineStr">
        <is>
          <t>ÅRE</t>
        </is>
      </c>
      <c r="G352" t="n">
        <v>3.3</v>
      </c>
      <c r="H352" t="n">
        <v>0</v>
      </c>
      <c r="I352" t="n">
        <v>0</v>
      </c>
      <c r="J352" t="n">
        <v>0</v>
      </c>
      <c r="K352" t="n">
        <v>0</v>
      </c>
      <c r="L352" t="n">
        <v>0</v>
      </c>
      <c r="M352" t="n">
        <v>0</v>
      </c>
      <c r="N352" t="n">
        <v>0</v>
      </c>
      <c r="O352" t="n">
        <v>0</v>
      </c>
      <c r="P352" t="n">
        <v>0</v>
      </c>
      <c r="Q352" t="n">
        <v>0</v>
      </c>
      <c r="R352" s="2" t="inlineStr"/>
    </row>
    <row r="353" ht="15" customHeight="1">
      <c r="A353" t="inlineStr">
        <is>
          <t>A 59666-2023</t>
        </is>
      </c>
      <c r="B353" s="1" t="n">
        <v>45254.96476851852</v>
      </c>
      <c r="C353" s="1" t="n">
        <v>45880</v>
      </c>
      <c r="D353" t="inlineStr">
        <is>
          <t>JÄMTLANDS LÄN</t>
        </is>
      </c>
      <c r="E353" t="inlineStr">
        <is>
          <t>ÅRE</t>
        </is>
      </c>
      <c r="G353" t="n">
        <v>6.6</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45880</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36048-2023</t>
        </is>
      </c>
      <c r="B355" s="1" t="n">
        <v>45149.42868055555</v>
      </c>
      <c r="C355" s="1" t="n">
        <v>45880</v>
      </c>
      <c r="D355" t="inlineStr">
        <is>
          <t>JÄMTLANDS LÄN</t>
        </is>
      </c>
      <c r="E355" t="inlineStr">
        <is>
          <t>ÅRE</t>
        </is>
      </c>
      <c r="G355" t="n">
        <v>11.4</v>
      </c>
      <c r="H355" t="n">
        <v>0</v>
      </c>
      <c r="I355" t="n">
        <v>0</v>
      </c>
      <c r="J355" t="n">
        <v>0</v>
      </c>
      <c r="K355" t="n">
        <v>0</v>
      </c>
      <c r="L355" t="n">
        <v>0</v>
      </c>
      <c r="M355" t="n">
        <v>0</v>
      </c>
      <c r="N355" t="n">
        <v>0</v>
      </c>
      <c r="O355" t="n">
        <v>0</v>
      </c>
      <c r="P355" t="n">
        <v>0</v>
      </c>
      <c r="Q355" t="n">
        <v>0</v>
      </c>
      <c r="R355" s="2" t="inlineStr"/>
    </row>
    <row r="356" ht="15" customHeight="1">
      <c r="A356" t="inlineStr">
        <is>
          <t>A 61331-2021</t>
        </is>
      </c>
      <c r="B356" s="1" t="n">
        <v>44498</v>
      </c>
      <c r="C356" s="1" t="n">
        <v>45880</v>
      </c>
      <c r="D356" t="inlineStr">
        <is>
          <t>JÄMTLANDS LÄN</t>
        </is>
      </c>
      <c r="E356" t="inlineStr">
        <is>
          <t>ÅRE</t>
        </is>
      </c>
      <c r="G356" t="n">
        <v>8.4</v>
      </c>
      <c r="H356" t="n">
        <v>0</v>
      </c>
      <c r="I356" t="n">
        <v>0</v>
      </c>
      <c r="J356" t="n">
        <v>0</v>
      </c>
      <c r="K356" t="n">
        <v>0</v>
      </c>
      <c r="L356" t="n">
        <v>0</v>
      </c>
      <c r="M356" t="n">
        <v>0</v>
      </c>
      <c r="N356" t="n">
        <v>0</v>
      </c>
      <c r="O356" t="n">
        <v>0</v>
      </c>
      <c r="P356" t="n">
        <v>0</v>
      </c>
      <c r="Q356" t="n">
        <v>0</v>
      </c>
      <c r="R356" s="2" t="inlineStr"/>
    </row>
    <row r="357" ht="15" customHeight="1">
      <c r="A357" t="inlineStr">
        <is>
          <t>A 49748-2020</t>
        </is>
      </c>
      <c r="B357" s="1" t="n">
        <v>44106</v>
      </c>
      <c r="C357" s="1" t="n">
        <v>45880</v>
      </c>
      <c r="D357" t="inlineStr">
        <is>
          <t>JÄMTLANDS LÄN</t>
        </is>
      </c>
      <c r="E357" t="inlineStr">
        <is>
          <t>ÅRE</t>
        </is>
      </c>
      <c r="G357" t="n">
        <v>13.4</v>
      </c>
      <c r="H357" t="n">
        <v>0</v>
      </c>
      <c r="I357" t="n">
        <v>0</v>
      </c>
      <c r="J357" t="n">
        <v>0</v>
      </c>
      <c r="K357" t="n">
        <v>0</v>
      </c>
      <c r="L357" t="n">
        <v>0</v>
      </c>
      <c r="M357" t="n">
        <v>0</v>
      </c>
      <c r="N357" t="n">
        <v>0</v>
      </c>
      <c r="O357" t="n">
        <v>0</v>
      </c>
      <c r="P357" t="n">
        <v>0</v>
      </c>
      <c r="Q357" t="n">
        <v>0</v>
      </c>
      <c r="R357" s="2" t="inlineStr"/>
    </row>
    <row r="358" ht="15" customHeight="1">
      <c r="A358" t="inlineStr">
        <is>
          <t>A 45279-2024</t>
        </is>
      </c>
      <c r="B358" s="1" t="n">
        <v>45576.37496527778</v>
      </c>
      <c r="C358" s="1" t="n">
        <v>45880</v>
      </c>
      <c r="D358" t="inlineStr">
        <is>
          <t>JÄMTLANDS LÄN</t>
        </is>
      </c>
      <c r="E358" t="inlineStr">
        <is>
          <t>ÅRE</t>
        </is>
      </c>
      <c r="G358" t="n">
        <v>17.2</v>
      </c>
      <c r="H358" t="n">
        <v>0</v>
      </c>
      <c r="I358" t="n">
        <v>0</v>
      </c>
      <c r="J358" t="n">
        <v>0</v>
      </c>
      <c r="K358" t="n">
        <v>0</v>
      </c>
      <c r="L358" t="n">
        <v>0</v>
      </c>
      <c r="M358" t="n">
        <v>0</v>
      </c>
      <c r="N358" t="n">
        <v>0</v>
      </c>
      <c r="O358" t="n">
        <v>0</v>
      </c>
      <c r="P358" t="n">
        <v>0</v>
      </c>
      <c r="Q358" t="n">
        <v>0</v>
      </c>
      <c r="R358" s="2" t="inlineStr"/>
    </row>
    <row r="359" ht="15" customHeight="1">
      <c r="A359" t="inlineStr">
        <is>
          <t>A 40339-2021</t>
        </is>
      </c>
      <c r="B359" s="1" t="n">
        <v>44419</v>
      </c>
      <c r="C359" s="1" t="n">
        <v>45880</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3154-2023</t>
        </is>
      </c>
      <c r="B360" s="1" t="n">
        <v>44946.56012731481</v>
      </c>
      <c r="C360" s="1" t="n">
        <v>45880</v>
      </c>
      <c r="D360" t="inlineStr">
        <is>
          <t>JÄMTLANDS LÄN</t>
        </is>
      </c>
      <c r="E360" t="inlineStr">
        <is>
          <t>ÅRE</t>
        </is>
      </c>
      <c r="G360" t="n">
        <v>5.1</v>
      </c>
      <c r="H360" t="n">
        <v>0</v>
      </c>
      <c r="I360" t="n">
        <v>0</v>
      </c>
      <c r="J360" t="n">
        <v>0</v>
      </c>
      <c r="K360" t="n">
        <v>0</v>
      </c>
      <c r="L360" t="n">
        <v>0</v>
      </c>
      <c r="M360" t="n">
        <v>0</v>
      </c>
      <c r="N360" t="n">
        <v>0</v>
      </c>
      <c r="O360" t="n">
        <v>0</v>
      </c>
      <c r="P360" t="n">
        <v>0</v>
      </c>
      <c r="Q360" t="n">
        <v>0</v>
      </c>
      <c r="R360" s="2" t="inlineStr"/>
    </row>
    <row r="361" ht="15" customHeight="1">
      <c r="A361" t="inlineStr">
        <is>
          <t>A 3204-2023</t>
        </is>
      </c>
      <c r="B361" s="1" t="n">
        <v>44946</v>
      </c>
      <c r="C361" s="1" t="n">
        <v>45880</v>
      </c>
      <c r="D361" t="inlineStr">
        <is>
          <t>JÄMTLANDS LÄN</t>
        </is>
      </c>
      <c r="E361" t="inlineStr">
        <is>
          <t>ÅRE</t>
        </is>
      </c>
      <c r="G361" t="n">
        <v>1.9</v>
      </c>
      <c r="H361" t="n">
        <v>0</v>
      </c>
      <c r="I361" t="n">
        <v>0</v>
      </c>
      <c r="J361" t="n">
        <v>0</v>
      </c>
      <c r="K361" t="n">
        <v>0</v>
      </c>
      <c r="L361" t="n">
        <v>0</v>
      </c>
      <c r="M361" t="n">
        <v>0</v>
      </c>
      <c r="N361" t="n">
        <v>0</v>
      </c>
      <c r="O361" t="n">
        <v>0</v>
      </c>
      <c r="P361" t="n">
        <v>0</v>
      </c>
      <c r="Q361" t="n">
        <v>0</v>
      </c>
      <c r="R361" s="2" t="inlineStr"/>
    </row>
    <row r="362" ht="15" customHeight="1">
      <c r="A362" t="inlineStr">
        <is>
          <t>A 52677-2024</t>
        </is>
      </c>
      <c r="B362" s="1" t="n">
        <v>45610.38560185185</v>
      </c>
      <c r="C362" s="1" t="n">
        <v>45880</v>
      </c>
      <c r="D362" t="inlineStr">
        <is>
          <t>JÄMTLANDS LÄN</t>
        </is>
      </c>
      <c r="E362" t="inlineStr">
        <is>
          <t>ÅRE</t>
        </is>
      </c>
      <c r="F362" t="inlineStr">
        <is>
          <t>Övriga Aktiebolag</t>
        </is>
      </c>
      <c r="G362" t="n">
        <v>3</v>
      </c>
      <c r="H362" t="n">
        <v>0</v>
      </c>
      <c r="I362" t="n">
        <v>0</v>
      </c>
      <c r="J362" t="n">
        <v>0</v>
      </c>
      <c r="K362" t="n">
        <v>0</v>
      </c>
      <c r="L362" t="n">
        <v>0</v>
      </c>
      <c r="M362" t="n">
        <v>0</v>
      </c>
      <c r="N362" t="n">
        <v>0</v>
      </c>
      <c r="O362" t="n">
        <v>0</v>
      </c>
      <c r="P362" t="n">
        <v>0</v>
      </c>
      <c r="Q362" t="n">
        <v>0</v>
      </c>
      <c r="R362" s="2" t="inlineStr"/>
    </row>
    <row r="363" ht="15" customHeight="1">
      <c r="A363" t="inlineStr">
        <is>
          <t>A 33230-2024</t>
        </is>
      </c>
      <c r="B363" s="1" t="n">
        <v>45518.57418981481</v>
      </c>
      <c r="C363" s="1" t="n">
        <v>45880</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43446-2023</t>
        </is>
      </c>
      <c r="B364" s="1" t="n">
        <v>45184.35760416667</v>
      </c>
      <c r="C364" s="1" t="n">
        <v>45880</v>
      </c>
      <c r="D364" t="inlineStr">
        <is>
          <t>JÄMTLANDS LÄN</t>
        </is>
      </c>
      <c r="E364" t="inlineStr">
        <is>
          <t>ÅRE</t>
        </is>
      </c>
      <c r="F364" t="inlineStr">
        <is>
          <t>Övriga Aktiebolag</t>
        </is>
      </c>
      <c r="G364" t="n">
        <v>6.4</v>
      </c>
      <c r="H364" t="n">
        <v>0</v>
      </c>
      <c r="I364" t="n">
        <v>0</v>
      </c>
      <c r="J364" t="n">
        <v>0</v>
      </c>
      <c r="K364" t="n">
        <v>0</v>
      </c>
      <c r="L364" t="n">
        <v>0</v>
      </c>
      <c r="M364" t="n">
        <v>0</v>
      </c>
      <c r="N364" t="n">
        <v>0</v>
      </c>
      <c r="O364" t="n">
        <v>0</v>
      </c>
      <c r="P364" t="n">
        <v>0</v>
      </c>
      <c r="Q364" t="n">
        <v>0</v>
      </c>
      <c r="R364" s="2" t="inlineStr"/>
    </row>
    <row r="365" ht="15" customHeight="1">
      <c r="A365" t="inlineStr">
        <is>
          <t>A 43449-2023</t>
        </is>
      </c>
      <c r="B365" s="1" t="n">
        <v>45184.36697916667</v>
      </c>
      <c r="C365" s="1" t="n">
        <v>45880</v>
      </c>
      <c r="D365" t="inlineStr">
        <is>
          <t>JÄMTLANDS LÄN</t>
        </is>
      </c>
      <c r="E365" t="inlineStr">
        <is>
          <t>ÅRE</t>
        </is>
      </c>
      <c r="F365" t="inlineStr">
        <is>
          <t>Övriga Aktiebolag</t>
        </is>
      </c>
      <c r="G365" t="n">
        <v>3.1</v>
      </c>
      <c r="H365" t="n">
        <v>0</v>
      </c>
      <c r="I365" t="n">
        <v>0</v>
      </c>
      <c r="J365" t="n">
        <v>0</v>
      </c>
      <c r="K365" t="n">
        <v>0</v>
      </c>
      <c r="L365" t="n">
        <v>0</v>
      </c>
      <c r="M365" t="n">
        <v>0</v>
      </c>
      <c r="N365" t="n">
        <v>0</v>
      </c>
      <c r="O365" t="n">
        <v>0</v>
      </c>
      <c r="P365" t="n">
        <v>0</v>
      </c>
      <c r="Q365" t="n">
        <v>0</v>
      </c>
      <c r="R365" s="2" t="inlineStr"/>
    </row>
    <row r="366" ht="15" customHeight="1">
      <c r="A366" t="inlineStr">
        <is>
          <t>A 49313-2024</t>
        </is>
      </c>
      <c r="B366" s="1" t="n">
        <v>45595</v>
      </c>
      <c r="C366" s="1" t="n">
        <v>45880</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42244-2024</t>
        </is>
      </c>
      <c r="B367" s="1" t="n">
        <v>45562.56747685185</v>
      </c>
      <c r="C367" s="1" t="n">
        <v>45880</v>
      </c>
      <c r="D367" t="inlineStr">
        <is>
          <t>JÄMTLANDS LÄN</t>
        </is>
      </c>
      <c r="E367" t="inlineStr">
        <is>
          <t>ÅRE</t>
        </is>
      </c>
      <c r="F367" t="inlineStr">
        <is>
          <t>Övriga Aktiebolag</t>
        </is>
      </c>
      <c r="G367" t="n">
        <v>6</v>
      </c>
      <c r="H367" t="n">
        <v>0</v>
      </c>
      <c r="I367" t="n">
        <v>0</v>
      </c>
      <c r="J367" t="n">
        <v>0</v>
      </c>
      <c r="K367" t="n">
        <v>0</v>
      </c>
      <c r="L367" t="n">
        <v>0</v>
      </c>
      <c r="M367" t="n">
        <v>0</v>
      </c>
      <c r="N367" t="n">
        <v>0</v>
      </c>
      <c r="O367" t="n">
        <v>0</v>
      </c>
      <c r="P367" t="n">
        <v>0</v>
      </c>
      <c r="Q367" t="n">
        <v>0</v>
      </c>
      <c r="R367" s="2" t="inlineStr"/>
    </row>
    <row r="368" ht="15" customHeight="1">
      <c r="A368" t="inlineStr">
        <is>
          <t>A 51444-2024</t>
        </is>
      </c>
      <c r="B368" s="1" t="n">
        <v>45604.48304398148</v>
      </c>
      <c r="C368" s="1" t="n">
        <v>45880</v>
      </c>
      <c r="D368" t="inlineStr">
        <is>
          <t>JÄMTLANDS LÄN</t>
        </is>
      </c>
      <c r="E368" t="inlineStr">
        <is>
          <t>ÅRE</t>
        </is>
      </c>
      <c r="G368" t="n">
        <v>2.2</v>
      </c>
      <c r="H368" t="n">
        <v>0</v>
      </c>
      <c r="I368" t="n">
        <v>0</v>
      </c>
      <c r="J368" t="n">
        <v>0</v>
      </c>
      <c r="K368" t="n">
        <v>0</v>
      </c>
      <c r="L368" t="n">
        <v>0</v>
      </c>
      <c r="M368" t="n">
        <v>0</v>
      </c>
      <c r="N368" t="n">
        <v>0</v>
      </c>
      <c r="O368" t="n">
        <v>0</v>
      </c>
      <c r="P368" t="n">
        <v>0</v>
      </c>
      <c r="Q368" t="n">
        <v>0</v>
      </c>
      <c r="R368" s="2" t="inlineStr"/>
    </row>
    <row r="369" ht="15" customHeight="1">
      <c r="A369" t="inlineStr">
        <is>
          <t>A 54247-2024</t>
        </is>
      </c>
      <c r="B369" s="1" t="n">
        <v>45616</v>
      </c>
      <c r="C369" s="1" t="n">
        <v>45880</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278-2023</t>
        </is>
      </c>
      <c r="B370" s="1" t="n">
        <v>44928</v>
      </c>
      <c r="C370" s="1" t="n">
        <v>45880</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45880</v>
      </c>
      <c r="D371" t="inlineStr">
        <is>
          <t>JÄMTLANDS LÄN</t>
        </is>
      </c>
      <c r="E371" t="inlineStr">
        <is>
          <t>ÅRE</t>
        </is>
      </c>
      <c r="G371" t="n">
        <v>4.8</v>
      </c>
      <c r="H371" t="n">
        <v>0</v>
      </c>
      <c r="I371" t="n">
        <v>0</v>
      </c>
      <c r="J371" t="n">
        <v>0</v>
      </c>
      <c r="K371" t="n">
        <v>0</v>
      </c>
      <c r="L371" t="n">
        <v>0</v>
      </c>
      <c r="M371" t="n">
        <v>0</v>
      </c>
      <c r="N371" t="n">
        <v>0</v>
      </c>
      <c r="O371" t="n">
        <v>0</v>
      </c>
      <c r="P371" t="n">
        <v>0</v>
      </c>
      <c r="Q371" t="n">
        <v>0</v>
      </c>
      <c r="R371" s="2" t="inlineStr"/>
    </row>
    <row r="372" ht="15" customHeight="1">
      <c r="A372" t="inlineStr">
        <is>
          <t>A 56352-2020</t>
        </is>
      </c>
      <c r="B372" s="1" t="n">
        <v>44135</v>
      </c>
      <c r="C372" s="1" t="n">
        <v>45880</v>
      </c>
      <c r="D372" t="inlineStr">
        <is>
          <t>JÄMTLANDS LÄN</t>
        </is>
      </c>
      <c r="E372" t="inlineStr">
        <is>
          <t>ÅRE</t>
        </is>
      </c>
      <c r="G372" t="n">
        <v>95.09999999999999</v>
      </c>
      <c r="H372" t="n">
        <v>0</v>
      </c>
      <c r="I372" t="n">
        <v>0</v>
      </c>
      <c r="J372" t="n">
        <v>0</v>
      </c>
      <c r="K372" t="n">
        <v>0</v>
      </c>
      <c r="L372" t="n">
        <v>0</v>
      </c>
      <c r="M372" t="n">
        <v>0</v>
      </c>
      <c r="N372" t="n">
        <v>0</v>
      </c>
      <c r="O372" t="n">
        <v>0</v>
      </c>
      <c r="P372" t="n">
        <v>0</v>
      </c>
      <c r="Q372" t="n">
        <v>0</v>
      </c>
      <c r="R372" s="2" t="inlineStr"/>
    </row>
    <row r="373" ht="15" customHeight="1">
      <c r="A373" t="inlineStr">
        <is>
          <t>A 14283-2025</t>
        </is>
      </c>
      <c r="B373" s="1" t="n">
        <v>45740.65851851852</v>
      </c>
      <c r="C373" s="1" t="n">
        <v>45880</v>
      </c>
      <c r="D373" t="inlineStr">
        <is>
          <t>JÄMTLANDS LÄN</t>
        </is>
      </c>
      <c r="E373" t="inlineStr">
        <is>
          <t>ÅRE</t>
        </is>
      </c>
      <c r="G373" t="n">
        <v>4.6</v>
      </c>
      <c r="H373" t="n">
        <v>0</v>
      </c>
      <c r="I373" t="n">
        <v>0</v>
      </c>
      <c r="J373" t="n">
        <v>0</v>
      </c>
      <c r="K373" t="n">
        <v>0</v>
      </c>
      <c r="L373" t="n">
        <v>0</v>
      </c>
      <c r="M373" t="n">
        <v>0</v>
      </c>
      <c r="N373" t="n">
        <v>0</v>
      </c>
      <c r="O373" t="n">
        <v>0</v>
      </c>
      <c r="P373" t="n">
        <v>0</v>
      </c>
      <c r="Q373" t="n">
        <v>0</v>
      </c>
      <c r="R373" s="2" t="inlineStr"/>
    </row>
    <row r="374" ht="15" customHeight="1">
      <c r="A374" t="inlineStr">
        <is>
          <t>A 13301-2024</t>
        </is>
      </c>
      <c r="B374" s="1" t="n">
        <v>45386</v>
      </c>
      <c r="C374" s="1" t="n">
        <v>45880</v>
      </c>
      <c r="D374" t="inlineStr">
        <is>
          <t>JÄMTLANDS LÄN</t>
        </is>
      </c>
      <c r="E374" t="inlineStr">
        <is>
          <t>ÅRE</t>
        </is>
      </c>
      <c r="G374" t="n">
        <v>9</v>
      </c>
      <c r="H374" t="n">
        <v>0</v>
      </c>
      <c r="I374" t="n">
        <v>0</v>
      </c>
      <c r="J374" t="n">
        <v>0</v>
      </c>
      <c r="K374" t="n">
        <v>0</v>
      </c>
      <c r="L374" t="n">
        <v>0</v>
      </c>
      <c r="M374" t="n">
        <v>0</v>
      </c>
      <c r="N374" t="n">
        <v>0</v>
      </c>
      <c r="O374" t="n">
        <v>0</v>
      </c>
      <c r="P374" t="n">
        <v>0</v>
      </c>
      <c r="Q374" t="n">
        <v>0</v>
      </c>
      <c r="R374" s="2" t="inlineStr"/>
    </row>
    <row r="375" ht="15" customHeight="1">
      <c r="A375" t="inlineStr">
        <is>
          <t>A 15884-2023</t>
        </is>
      </c>
      <c r="B375" s="1" t="n">
        <v>45022</v>
      </c>
      <c r="C375" s="1" t="n">
        <v>45880</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47076-2024</t>
        </is>
      </c>
      <c r="B376" s="1" t="n">
        <v>45586.50180555556</v>
      </c>
      <c r="C376" s="1" t="n">
        <v>45880</v>
      </c>
      <c r="D376" t="inlineStr">
        <is>
          <t>JÄMTLANDS LÄN</t>
        </is>
      </c>
      <c r="E376" t="inlineStr">
        <is>
          <t>ÅRE</t>
        </is>
      </c>
      <c r="G376" t="n">
        <v>6.5</v>
      </c>
      <c r="H376" t="n">
        <v>0</v>
      </c>
      <c r="I376" t="n">
        <v>0</v>
      </c>
      <c r="J376" t="n">
        <v>0</v>
      </c>
      <c r="K376" t="n">
        <v>0</v>
      </c>
      <c r="L376" t="n">
        <v>0</v>
      </c>
      <c r="M376" t="n">
        <v>0</v>
      </c>
      <c r="N376" t="n">
        <v>0</v>
      </c>
      <c r="O376" t="n">
        <v>0</v>
      </c>
      <c r="P376" t="n">
        <v>0</v>
      </c>
      <c r="Q376" t="n">
        <v>0</v>
      </c>
      <c r="R376" s="2" t="inlineStr"/>
    </row>
    <row r="377" ht="15" customHeight="1">
      <c r="A377" t="inlineStr">
        <is>
          <t>A 13370-2024</t>
        </is>
      </c>
      <c r="B377" s="1" t="n">
        <v>45387</v>
      </c>
      <c r="C377" s="1" t="n">
        <v>45880</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45453-2024</t>
        </is>
      </c>
      <c r="B378" s="1" t="n">
        <v>45576.66674768519</v>
      </c>
      <c r="C378" s="1" t="n">
        <v>45880</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6358-2025</t>
        </is>
      </c>
      <c r="B379" s="1" t="n">
        <v>45699.36491898148</v>
      </c>
      <c r="C379" s="1" t="n">
        <v>45880</v>
      </c>
      <c r="D379" t="inlineStr">
        <is>
          <t>JÄMTLANDS LÄN</t>
        </is>
      </c>
      <c r="E379" t="inlineStr">
        <is>
          <t>ÅRE</t>
        </is>
      </c>
      <c r="G379" t="n">
        <v>5.6</v>
      </c>
      <c r="H379" t="n">
        <v>0</v>
      </c>
      <c r="I379" t="n">
        <v>0</v>
      </c>
      <c r="J379" t="n">
        <v>0</v>
      </c>
      <c r="K379" t="n">
        <v>0</v>
      </c>
      <c r="L379" t="n">
        <v>0</v>
      </c>
      <c r="M379" t="n">
        <v>0</v>
      </c>
      <c r="N379" t="n">
        <v>0</v>
      </c>
      <c r="O379" t="n">
        <v>0</v>
      </c>
      <c r="P379" t="n">
        <v>0</v>
      </c>
      <c r="Q379" t="n">
        <v>0</v>
      </c>
      <c r="R379" s="2" t="inlineStr"/>
    </row>
    <row r="380" ht="15" customHeight="1">
      <c r="A380" t="inlineStr">
        <is>
          <t>A 54116-2023</t>
        </is>
      </c>
      <c r="B380" s="1" t="n">
        <v>45232</v>
      </c>
      <c r="C380" s="1" t="n">
        <v>45880</v>
      </c>
      <c r="D380" t="inlineStr">
        <is>
          <t>JÄMTLANDS LÄN</t>
        </is>
      </c>
      <c r="E380" t="inlineStr">
        <is>
          <t>ÅRE</t>
        </is>
      </c>
      <c r="G380" t="n">
        <v>3.8</v>
      </c>
      <c r="H380" t="n">
        <v>0</v>
      </c>
      <c r="I380" t="n">
        <v>0</v>
      </c>
      <c r="J380" t="n">
        <v>0</v>
      </c>
      <c r="K380" t="n">
        <v>0</v>
      </c>
      <c r="L380" t="n">
        <v>0</v>
      </c>
      <c r="M380" t="n">
        <v>0</v>
      </c>
      <c r="N380" t="n">
        <v>0</v>
      </c>
      <c r="O380" t="n">
        <v>0</v>
      </c>
      <c r="P380" t="n">
        <v>0</v>
      </c>
      <c r="Q380" t="n">
        <v>0</v>
      </c>
      <c r="R380" s="2" t="inlineStr"/>
    </row>
    <row r="381" ht="15" customHeight="1">
      <c r="A381" t="inlineStr">
        <is>
          <t>A 18253-2023</t>
        </is>
      </c>
      <c r="B381" s="1" t="n">
        <v>45041.48034722222</v>
      </c>
      <c r="C381" s="1" t="n">
        <v>45880</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17751-2025</t>
        </is>
      </c>
      <c r="B382" s="1" t="n">
        <v>45758</v>
      </c>
      <c r="C382" s="1" t="n">
        <v>45880</v>
      </c>
      <c r="D382" t="inlineStr">
        <is>
          <t>JÄMTLANDS LÄN</t>
        </is>
      </c>
      <c r="E382" t="inlineStr">
        <is>
          <t>ÅRE</t>
        </is>
      </c>
      <c r="G382" t="n">
        <v>1.8</v>
      </c>
      <c r="H382" t="n">
        <v>0</v>
      </c>
      <c r="I382" t="n">
        <v>0</v>
      </c>
      <c r="J382" t="n">
        <v>0</v>
      </c>
      <c r="K382" t="n">
        <v>0</v>
      </c>
      <c r="L382" t="n">
        <v>0</v>
      </c>
      <c r="M382" t="n">
        <v>0</v>
      </c>
      <c r="N382" t="n">
        <v>0</v>
      </c>
      <c r="O382" t="n">
        <v>0</v>
      </c>
      <c r="P382" t="n">
        <v>0</v>
      </c>
      <c r="Q382" t="n">
        <v>0</v>
      </c>
      <c r="R382" s="2" t="inlineStr"/>
    </row>
    <row r="383" ht="15" customHeight="1">
      <c r="A383" t="inlineStr">
        <is>
          <t>A 71043-2021</t>
        </is>
      </c>
      <c r="B383" s="1" t="n">
        <v>44538</v>
      </c>
      <c r="C383" s="1" t="n">
        <v>45880</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66755-2020</t>
        </is>
      </c>
      <c r="B384" s="1" t="n">
        <v>44179</v>
      </c>
      <c r="C384" s="1" t="n">
        <v>45880</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46559-2024</t>
        </is>
      </c>
      <c r="B385" s="1" t="n">
        <v>45582</v>
      </c>
      <c r="C385" s="1" t="n">
        <v>45880</v>
      </c>
      <c r="D385" t="inlineStr">
        <is>
          <t>JÄMTLANDS LÄN</t>
        </is>
      </c>
      <c r="E385" t="inlineStr">
        <is>
          <t>ÅRE</t>
        </is>
      </c>
      <c r="G385" t="n">
        <v>6.2</v>
      </c>
      <c r="H385" t="n">
        <v>0</v>
      </c>
      <c r="I385" t="n">
        <v>0</v>
      </c>
      <c r="J385" t="n">
        <v>0</v>
      </c>
      <c r="K385" t="n">
        <v>0</v>
      </c>
      <c r="L385" t="n">
        <v>0</v>
      </c>
      <c r="M385" t="n">
        <v>0</v>
      </c>
      <c r="N385" t="n">
        <v>0</v>
      </c>
      <c r="O385" t="n">
        <v>0</v>
      </c>
      <c r="P385" t="n">
        <v>0</v>
      </c>
      <c r="Q385" t="n">
        <v>0</v>
      </c>
      <c r="R385" s="2" t="inlineStr"/>
    </row>
    <row r="386" ht="15" customHeight="1">
      <c r="A386" t="inlineStr">
        <is>
          <t>A 33625-2022</t>
        </is>
      </c>
      <c r="B386" s="1" t="n">
        <v>44789</v>
      </c>
      <c r="C386" s="1" t="n">
        <v>45880</v>
      </c>
      <c r="D386" t="inlineStr">
        <is>
          <t>JÄMTLANDS LÄN</t>
        </is>
      </c>
      <c r="E386" t="inlineStr">
        <is>
          <t>ÅRE</t>
        </is>
      </c>
      <c r="G386" t="n">
        <v>20.7</v>
      </c>
      <c r="H386" t="n">
        <v>0</v>
      </c>
      <c r="I386" t="n">
        <v>0</v>
      </c>
      <c r="J386" t="n">
        <v>0</v>
      </c>
      <c r="K386" t="n">
        <v>0</v>
      </c>
      <c r="L386" t="n">
        <v>0</v>
      </c>
      <c r="M386" t="n">
        <v>0</v>
      </c>
      <c r="N386" t="n">
        <v>0</v>
      </c>
      <c r="O386" t="n">
        <v>0</v>
      </c>
      <c r="P386" t="n">
        <v>0</v>
      </c>
      <c r="Q386" t="n">
        <v>0</v>
      </c>
      <c r="R386" s="2" t="inlineStr"/>
    </row>
    <row r="387" ht="15" customHeight="1">
      <c r="A387" t="inlineStr">
        <is>
          <t>A 12286-2023</t>
        </is>
      </c>
      <c r="B387" s="1" t="n">
        <v>44998.72263888889</v>
      </c>
      <c r="C387" s="1" t="n">
        <v>45880</v>
      </c>
      <c r="D387" t="inlineStr">
        <is>
          <t>JÄMTLANDS LÄN</t>
        </is>
      </c>
      <c r="E387" t="inlineStr">
        <is>
          <t>ÅRE</t>
        </is>
      </c>
      <c r="G387" t="n">
        <v>7.3</v>
      </c>
      <c r="H387" t="n">
        <v>0</v>
      </c>
      <c r="I387" t="n">
        <v>0</v>
      </c>
      <c r="J387" t="n">
        <v>0</v>
      </c>
      <c r="K387" t="n">
        <v>0</v>
      </c>
      <c r="L387" t="n">
        <v>0</v>
      </c>
      <c r="M387" t="n">
        <v>0</v>
      </c>
      <c r="N387" t="n">
        <v>0</v>
      </c>
      <c r="O387" t="n">
        <v>0</v>
      </c>
      <c r="P387" t="n">
        <v>0</v>
      </c>
      <c r="Q387" t="n">
        <v>0</v>
      </c>
      <c r="R387" s="2" t="inlineStr"/>
    </row>
    <row r="388" ht="15" customHeight="1">
      <c r="A388" t="inlineStr">
        <is>
          <t>A 51500-2024</t>
        </is>
      </c>
      <c r="B388" s="1" t="n">
        <v>45604.54693287037</v>
      </c>
      <c r="C388" s="1" t="n">
        <v>45880</v>
      </c>
      <c r="D388" t="inlineStr">
        <is>
          <t>JÄMTLANDS LÄN</t>
        </is>
      </c>
      <c r="E388" t="inlineStr">
        <is>
          <t>ÅRE</t>
        </is>
      </c>
      <c r="G388" t="n">
        <v>1.7</v>
      </c>
      <c r="H388" t="n">
        <v>0</v>
      </c>
      <c r="I388" t="n">
        <v>0</v>
      </c>
      <c r="J388" t="n">
        <v>0</v>
      </c>
      <c r="K388" t="n">
        <v>0</v>
      </c>
      <c r="L388" t="n">
        <v>0</v>
      </c>
      <c r="M388" t="n">
        <v>0</v>
      </c>
      <c r="N388" t="n">
        <v>0</v>
      </c>
      <c r="O388" t="n">
        <v>0</v>
      </c>
      <c r="P388" t="n">
        <v>0</v>
      </c>
      <c r="Q388" t="n">
        <v>0</v>
      </c>
      <c r="R388" s="2" t="inlineStr"/>
    </row>
    <row r="389" ht="15" customHeight="1">
      <c r="A389" t="inlineStr">
        <is>
          <t>A 45105-2024</t>
        </is>
      </c>
      <c r="B389" s="1" t="n">
        <v>45575.5909837963</v>
      </c>
      <c r="C389" s="1" t="n">
        <v>45880</v>
      </c>
      <c r="D389" t="inlineStr">
        <is>
          <t>JÄMTLANDS LÄN</t>
        </is>
      </c>
      <c r="E389" t="inlineStr">
        <is>
          <t>ÅRE</t>
        </is>
      </c>
      <c r="F389" t="inlineStr">
        <is>
          <t>Övriga Aktiebolag</t>
        </is>
      </c>
      <c r="G389" t="n">
        <v>5</v>
      </c>
      <c r="H389" t="n">
        <v>0</v>
      </c>
      <c r="I389" t="n">
        <v>0</v>
      </c>
      <c r="J389" t="n">
        <v>0</v>
      </c>
      <c r="K389" t="n">
        <v>0</v>
      </c>
      <c r="L389" t="n">
        <v>0</v>
      </c>
      <c r="M389" t="n">
        <v>0</v>
      </c>
      <c r="N389" t="n">
        <v>0</v>
      </c>
      <c r="O389" t="n">
        <v>0</v>
      </c>
      <c r="P389" t="n">
        <v>0</v>
      </c>
      <c r="Q389" t="n">
        <v>0</v>
      </c>
      <c r="R389" s="2" t="inlineStr"/>
    </row>
    <row r="390" ht="15" customHeight="1">
      <c r="A390" t="inlineStr">
        <is>
          <t>A 47075-2024</t>
        </is>
      </c>
      <c r="B390" s="1" t="n">
        <v>45586.5008912037</v>
      </c>
      <c r="C390" s="1" t="n">
        <v>45880</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49296-2024</t>
        </is>
      </c>
      <c r="B391" s="1" t="n">
        <v>45595</v>
      </c>
      <c r="C391" s="1" t="n">
        <v>45880</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11112-2022</t>
        </is>
      </c>
      <c r="B392" s="1" t="n">
        <v>44628</v>
      </c>
      <c r="C392" s="1" t="n">
        <v>45880</v>
      </c>
      <c r="D392" t="inlineStr">
        <is>
          <t>JÄMTLANDS LÄN</t>
        </is>
      </c>
      <c r="E392" t="inlineStr">
        <is>
          <t>ÅRE</t>
        </is>
      </c>
      <c r="G392" t="n">
        <v>6.6</v>
      </c>
      <c r="H392" t="n">
        <v>0</v>
      </c>
      <c r="I392" t="n">
        <v>0</v>
      </c>
      <c r="J392" t="n">
        <v>0</v>
      </c>
      <c r="K392" t="n">
        <v>0</v>
      </c>
      <c r="L392" t="n">
        <v>0</v>
      </c>
      <c r="M392" t="n">
        <v>0</v>
      </c>
      <c r="N392" t="n">
        <v>0</v>
      </c>
      <c r="O392" t="n">
        <v>0</v>
      </c>
      <c r="P392" t="n">
        <v>0</v>
      </c>
      <c r="Q392" t="n">
        <v>0</v>
      </c>
      <c r="R392" s="2" t="inlineStr"/>
    </row>
    <row r="393" ht="15" customHeight="1">
      <c r="A393" t="inlineStr">
        <is>
          <t>A 39195-2024</t>
        </is>
      </c>
      <c r="B393" s="1" t="n">
        <v>45548.6934837963</v>
      </c>
      <c r="C393" s="1" t="n">
        <v>45880</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66083-2020</t>
        </is>
      </c>
      <c r="B394" s="1" t="n">
        <v>44172</v>
      </c>
      <c r="C394" s="1" t="n">
        <v>45880</v>
      </c>
      <c r="D394" t="inlineStr">
        <is>
          <t>JÄMTLANDS LÄN</t>
        </is>
      </c>
      <c r="E394" t="inlineStr">
        <is>
          <t>ÅRE</t>
        </is>
      </c>
      <c r="G394" t="n">
        <v>213.4</v>
      </c>
      <c r="H394" t="n">
        <v>0</v>
      </c>
      <c r="I394" t="n">
        <v>0</v>
      </c>
      <c r="J394" t="n">
        <v>0</v>
      </c>
      <c r="K394" t="n">
        <v>0</v>
      </c>
      <c r="L394" t="n">
        <v>0</v>
      </c>
      <c r="M394" t="n">
        <v>0</v>
      </c>
      <c r="N394" t="n">
        <v>0</v>
      </c>
      <c r="O394" t="n">
        <v>0</v>
      </c>
      <c r="P394" t="n">
        <v>0</v>
      </c>
      <c r="Q394" t="n">
        <v>0</v>
      </c>
      <c r="R394" s="2" t="inlineStr"/>
    </row>
    <row r="395" ht="15" customHeight="1">
      <c r="A395" t="inlineStr">
        <is>
          <t>A 17703-2023</t>
        </is>
      </c>
      <c r="B395" s="1" t="n">
        <v>45037.35443287037</v>
      </c>
      <c r="C395" s="1" t="n">
        <v>45880</v>
      </c>
      <c r="D395" t="inlineStr">
        <is>
          <t>JÄMTLANDS LÄN</t>
        </is>
      </c>
      <c r="E395" t="inlineStr">
        <is>
          <t>ÅRE</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45161-2024</t>
        </is>
      </c>
      <c r="B396" s="1" t="n">
        <v>45575.64982638889</v>
      </c>
      <c r="C396" s="1" t="n">
        <v>45880</v>
      </c>
      <c r="D396" t="inlineStr">
        <is>
          <t>JÄMTLANDS LÄN</t>
        </is>
      </c>
      <c r="E396" t="inlineStr">
        <is>
          <t>ÅRE</t>
        </is>
      </c>
      <c r="G396" t="n">
        <v>6.9</v>
      </c>
      <c r="H396" t="n">
        <v>0</v>
      </c>
      <c r="I396" t="n">
        <v>0</v>
      </c>
      <c r="J396" t="n">
        <v>0</v>
      </c>
      <c r="K396" t="n">
        <v>0</v>
      </c>
      <c r="L396" t="n">
        <v>0</v>
      </c>
      <c r="M396" t="n">
        <v>0</v>
      </c>
      <c r="N396" t="n">
        <v>0</v>
      </c>
      <c r="O396" t="n">
        <v>0</v>
      </c>
      <c r="P396" t="n">
        <v>0</v>
      </c>
      <c r="Q396" t="n">
        <v>0</v>
      </c>
      <c r="R396" s="2" t="inlineStr"/>
    </row>
    <row r="397" ht="15" customHeight="1">
      <c r="A397" t="inlineStr">
        <is>
          <t>A 15480-2024</t>
        </is>
      </c>
      <c r="B397" s="1" t="n">
        <v>45401.49065972222</v>
      </c>
      <c r="C397" s="1" t="n">
        <v>45880</v>
      </c>
      <c r="D397" t="inlineStr">
        <is>
          <t>JÄMTLANDS LÄN</t>
        </is>
      </c>
      <c r="E397" t="inlineStr">
        <is>
          <t>ÅRE</t>
        </is>
      </c>
      <c r="G397" t="n">
        <v>11.8</v>
      </c>
      <c r="H397" t="n">
        <v>0</v>
      </c>
      <c r="I397" t="n">
        <v>0</v>
      </c>
      <c r="J397" t="n">
        <v>0</v>
      </c>
      <c r="K397" t="n">
        <v>0</v>
      </c>
      <c r="L397" t="n">
        <v>0</v>
      </c>
      <c r="M397" t="n">
        <v>0</v>
      </c>
      <c r="N397" t="n">
        <v>0</v>
      </c>
      <c r="O397" t="n">
        <v>0</v>
      </c>
      <c r="P397" t="n">
        <v>0</v>
      </c>
      <c r="Q397" t="n">
        <v>0</v>
      </c>
      <c r="R397" s="2" t="inlineStr"/>
    </row>
    <row r="398" ht="15" customHeight="1">
      <c r="A398" t="inlineStr">
        <is>
          <t>A 54186-2024</t>
        </is>
      </c>
      <c r="B398" s="1" t="n">
        <v>45616</v>
      </c>
      <c r="C398" s="1" t="n">
        <v>45880</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45880</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45880</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43342-2024</t>
        </is>
      </c>
      <c r="B401" s="1" t="n">
        <v>45568.55114583333</v>
      </c>
      <c r="C401" s="1" t="n">
        <v>45880</v>
      </c>
      <c r="D401" t="inlineStr">
        <is>
          <t>JÄMTLANDS LÄN</t>
        </is>
      </c>
      <c r="E401" t="inlineStr">
        <is>
          <t>ÅRE</t>
        </is>
      </c>
      <c r="F401" t="inlineStr">
        <is>
          <t>Övriga Aktiebolag</t>
        </is>
      </c>
      <c r="G401" t="n">
        <v>4.8</v>
      </c>
      <c r="H401" t="n">
        <v>0</v>
      </c>
      <c r="I401" t="n">
        <v>0</v>
      </c>
      <c r="J401" t="n">
        <v>0</v>
      </c>
      <c r="K401" t="n">
        <v>0</v>
      </c>
      <c r="L401" t="n">
        <v>0</v>
      </c>
      <c r="M401" t="n">
        <v>0</v>
      </c>
      <c r="N401" t="n">
        <v>0</v>
      </c>
      <c r="O401" t="n">
        <v>0</v>
      </c>
      <c r="P401" t="n">
        <v>0</v>
      </c>
      <c r="Q401" t="n">
        <v>0</v>
      </c>
      <c r="R401" s="2" t="inlineStr"/>
    </row>
    <row r="402" ht="15" customHeight="1">
      <c r="A402" t="inlineStr">
        <is>
          <t>A 50951-2023</t>
        </is>
      </c>
      <c r="B402" s="1" t="n">
        <v>45218</v>
      </c>
      <c r="C402" s="1" t="n">
        <v>45880</v>
      </c>
      <c r="D402" t="inlineStr">
        <is>
          <t>JÄMTLANDS LÄN</t>
        </is>
      </c>
      <c r="E402" t="inlineStr">
        <is>
          <t>ÅRE</t>
        </is>
      </c>
      <c r="G402" t="n">
        <v>1</v>
      </c>
      <c r="H402" t="n">
        <v>0</v>
      </c>
      <c r="I402" t="n">
        <v>0</v>
      </c>
      <c r="J402" t="n">
        <v>0</v>
      </c>
      <c r="K402" t="n">
        <v>0</v>
      </c>
      <c r="L402" t="n">
        <v>0</v>
      </c>
      <c r="M402" t="n">
        <v>0</v>
      </c>
      <c r="N402" t="n">
        <v>0</v>
      </c>
      <c r="O402" t="n">
        <v>0</v>
      </c>
      <c r="P402" t="n">
        <v>0</v>
      </c>
      <c r="Q402" t="n">
        <v>0</v>
      </c>
      <c r="R402" s="2" t="inlineStr"/>
    </row>
    <row r="403" ht="15" customHeight="1">
      <c r="A403" t="inlineStr">
        <is>
          <t>A 61183-2023</t>
        </is>
      </c>
      <c r="B403" s="1" t="n">
        <v>45263</v>
      </c>
      <c r="C403" s="1" t="n">
        <v>45880</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60122-2021</t>
        </is>
      </c>
      <c r="B404" s="1" t="n">
        <v>44495</v>
      </c>
      <c r="C404" s="1" t="n">
        <v>45880</v>
      </c>
      <c r="D404" t="inlineStr">
        <is>
          <t>JÄMTLANDS LÄN</t>
        </is>
      </c>
      <c r="E404" t="inlineStr">
        <is>
          <t>ÅRE</t>
        </is>
      </c>
      <c r="G404" t="n">
        <v>46.7</v>
      </c>
      <c r="H404" t="n">
        <v>0</v>
      </c>
      <c r="I404" t="n">
        <v>0</v>
      </c>
      <c r="J404" t="n">
        <v>0</v>
      </c>
      <c r="K404" t="n">
        <v>0</v>
      </c>
      <c r="L404" t="n">
        <v>0</v>
      </c>
      <c r="M404" t="n">
        <v>0</v>
      </c>
      <c r="N404" t="n">
        <v>0</v>
      </c>
      <c r="O404" t="n">
        <v>0</v>
      </c>
      <c r="P404" t="n">
        <v>0</v>
      </c>
      <c r="Q404" t="n">
        <v>0</v>
      </c>
      <c r="R404" s="2" t="inlineStr"/>
    </row>
    <row r="405" ht="15" customHeight="1">
      <c r="A405" t="inlineStr">
        <is>
          <t>A 73798-2021</t>
        </is>
      </c>
      <c r="B405" s="1" t="n">
        <v>44552</v>
      </c>
      <c r="C405" s="1" t="n">
        <v>45880</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61481-2022</t>
        </is>
      </c>
      <c r="B406" s="1" t="n">
        <v>44910</v>
      </c>
      <c r="C406" s="1" t="n">
        <v>45880</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43307-2024</t>
        </is>
      </c>
      <c r="B407" s="1" t="n">
        <v>45568.44303240741</v>
      </c>
      <c r="C407" s="1" t="n">
        <v>45880</v>
      </c>
      <c r="D407" t="inlineStr">
        <is>
          <t>JÄMTLANDS LÄN</t>
        </is>
      </c>
      <c r="E407" t="inlineStr">
        <is>
          <t>ÅRE</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12857-2021</t>
        </is>
      </c>
      <c r="B408" s="1" t="n">
        <v>44270</v>
      </c>
      <c r="C408" s="1" t="n">
        <v>45880</v>
      </c>
      <c r="D408" t="inlineStr">
        <is>
          <t>JÄMTLANDS LÄN</t>
        </is>
      </c>
      <c r="E408" t="inlineStr">
        <is>
          <t>ÅRE</t>
        </is>
      </c>
      <c r="F408" t="inlineStr">
        <is>
          <t>Kommuner</t>
        </is>
      </c>
      <c r="G408" t="n">
        <v>17.2</v>
      </c>
      <c r="H408" t="n">
        <v>0</v>
      </c>
      <c r="I408" t="n">
        <v>0</v>
      </c>
      <c r="J408" t="n">
        <v>0</v>
      </c>
      <c r="K408" t="n">
        <v>0</v>
      </c>
      <c r="L408" t="n">
        <v>0</v>
      </c>
      <c r="M408" t="n">
        <v>0</v>
      </c>
      <c r="N408" t="n">
        <v>0</v>
      </c>
      <c r="O408" t="n">
        <v>0</v>
      </c>
      <c r="P408" t="n">
        <v>0</v>
      </c>
      <c r="Q408" t="n">
        <v>0</v>
      </c>
      <c r="R408" s="2" t="inlineStr"/>
    </row>
    <row r="409" ht="15" customHeight="1">
      <c r="A409" t="inlineStr">
        <is>
          <t>A 13383-2022</t>
        </is>
      </c>
      <c r="B409" s="1" t="n">
        <v>44637</v>
      </c>
      <c r="C409" s="1" t="n">
        <v>45880</v>
      </c>
      <c r="D409" t="inlineStr">
        <is>
          <t>JÄMTLANDS LÄN</t>
        </is>
      </c>
      <c r="E409" t="inlineStr">
        <is>
          <t>ÅRE</t>
        </is>
      </c>
      <c r="G409" t="n">
        <v>2.2</v>
      </c>
      <c r="H409" t="n">
        <v>0</v>
      </c>
      <c r="I409" t="n">
        <v>0</v>
      </c>
      <c r="J409" t="n">
        <v>0</v>
      </c>
      <c r="K409" t="n">
        <v>0</v>
      </c>
      <c r="L409" t="n">
        <v>0</v>
      </c>
      <c r="M409" t="n">
        <v>0</v>
      </c>
      <c r="N409" t="n">
        <v>0</v>
      </c>
      <c r="O409" t="n">
        <v>0</v>
      </c>
      <c r="P409" t="n">
        <v>0</v>
      </c>
      <c r="Q409" t="n">
        <v>0</v>
      </c>
      <c r="R409" s="2" t="inlineStr"/>
    </row>
    <row r="410" ht="15" customHeight="1">
      <c r="A410" t="inlineStr">
        <is>
          <t>A 49702-2024</t>
        </is>
      </c>
      <c r="B410" s="1" t="n">
        <v>45596</v>
      </c>
      <c r="C410" s="1" t="n">
        <v>45880</v>
      </c>
      <c r="D410" t="inlineStr">
        <is>
          <t>JÄMTLANDS LÄN</t>
        </is>
      </c>
      <c r="E410" t="inlineStr">
        <is>
          <t>ÅRE</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9777-2021</t>
        </is>
      </c>
      <c r="B411" s="1" t="n">
        <v>44252</v>
      </c>
      <c r="C411" s="1" t="n">
        <v>45880</v>
      </c>
      <c r="D411" t="inlineStr">
        <is>
          <t>JÄMTLANDS LÄN</t>
        </is>
      </c>
      <c r="E411" t="inlineStr">
        <is>
          <t>ÅRE</t>
        </is>
      </c>
      <c r="G411" t="n">
        <v>4.2</v>
      </c>
      <c r="H411" t="n">
        <v>0</v>
      </c>
      <c r="I411" t="n">
        <v>0</v>
      </c>
      <c r="J411" t="n">
        <v>0</v>
      </c>
      <c r="K411" t="n">
        <v>0</v>
      </c>
      <c r="L411" t="n">
        <v>0</v>
      </c>
      <c r="M411" t="n">
        <v>0</v>
      </c>
      <c r="N411" t="n">
        <v>0</v>
      </c>
      <c r="O411" t="n">
        <v>0</v>
      </c>
      <c r="P411" t="n">
        <v>0</v>
      </c>
      <c r="Q411" t="n">
        <v>0</v>
      </c>
      <c r="R411" s="2" t="inlineStr"/>
    </row>
    <row r="412" ht="15" customHeight="1">
      <c r="A412" t="inlineStr">
        <is>
          <t>A 52676-2023</t>
        </is>
      </c>
      <c r="B412" s="1" t="n">
        <v>45225.6890625</v>
      </c>
      <c r="C412" s="1" t="n">
        <v>45880</v>
      </c>
      <c r="D412" t="inlineStr">
        <is>
          <t>JÄMTLANDS LÄN</t>
        </is>
      </c>
      <c r="E412" t="inlineStr">
        <is>
          <t>ÅRE</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12216-2023</t>
        </is>
      </c>
      <c r="B413" s="1" t="n">
        <v>44998</v>
      </c>
      <c r="C413" s="1" t="n">
        <v>45880</v>
      </c>
      <c r="D413" t="inlineStr">
        <is>
          <t>JÄMTLANDS LÄN</t>
        </is>
      </c>
      <c r="E413" t="inlineStr">
        <is>
          <t>ÅRE</t>
        </is>
      </c>
      <c r="G413" t="n">
        <v>11.8</v>
      </c>
      <c r="H413" t="n">
        <v>0</v>
      </c>
      <c r="I413" t="n">
        <v>0</v>
      </c>
      <c r="J413" t="n">
        <v>0</v>
      </c>
      <c r="K413" t="n">
        <v>0</v>
      </c>
      <c r="L413" t="n">
        <v>0</v>
      </c>
      <c r="M413" t="n">
        <v>0</v>
      </c>
      <c r="N413" t="n">
        <v>0</v>
      </c>
      <c r="O413" t="n">
        <v>0</v>
      </c>
      <c r="P413" t="n">
        <v>0</v>
      </c>
      <c r="Q413" t="n">
        <v>0</v>
      </c>
      <c r="R413" s="2" t="inlineStr"/>
    </row>
    <row r="414" ht="15" customHeight="1">
      <c r="A414" t="inlineStr">
        <is>
          <t>A 12224-2023</t>
        </is>
      </c>
      <c r="B414" s="1" t="n">
        <v>44998.59913194444</v>
      </c>
      <c r="C414" s="1" t="n">
        <v>45880</v>
      </c>
      <c r="D414" t="inlineStr">
        <is>
          <t>JÄMTLANDS LÄN</t>
        </is>
      </c>
      <c r="E414" t="inlineStr">
        <is>
          <t>ÅRE</t>
        </is>
      </c>
      <c r="G414" t="n">
        <v>3.2</v>
      </c>
      <c r="H414" t="n">
        <v>0</v>
      </c>
      <c r="I414" t="n">
        <v>0</v>
      </c>
      <c r="J414" t="n">
        <v>0</v>
      </c>
      <c r="K414" t="n">
        <v>0</v>
      </c>
      <c r="L414" t="n">
        <v>0</v>
      </c>
      <c r="M414" t="n">
        <v>0</v>
      </c>
      <c r="N414" t="n">
        <v>0</v>
      </c>
      <c r="O414" t="n">
        <v>0</v>
      </c>
      <c r="P414" t="n">
        <v>0</v>
      </c>
      <c r="Q414" t="n">
        <v>0</v>
      </c>
      <c r="R414" s="2" t="inlineStr"/>
    </row>
    <row r="415" ht="15" customHeight="1">
      <c r="A415" t="inlineStr">
        <is>
          <t>A 3196-2023</t>
        </is>
      </c>
      <c r="B415" s="1" t="n">
        <v>44946</v>
      </c>
      <c r="C415" s="1" t="n">
        <v>45880</v>
      </c>
      <c r="D415" t="inlineStr">
        <is>
          <t>JÄMTLANDS LÄN</t>
        </is>
      </c>
      <c r="E415" t="inlineStr">
        <is>
          <t>ÅRE</t>
        </is>
      </c>
      <c r="G415" t="n">
        <v>5.1</v>
      </c>
      <c r="H415" t="n">
        <v>0</v>
      </c>
      <c r="I415" t="n">
        <v>0</v>
      </c>
      <c r="J415" t="n">
        <v>0</v>
      </c>
      <c r="K415" t="n">
        <v>0</v>
      </c>
      <c r="L415" t="n">
        <v>0</v>
      </c>
      <c r="M415" t="n">
        <v>0</v>
      </c>
      <c r="N415" t="n">
        <v>0</v>
      </c>
      <c r="O415" t="n">
        <v>0</v>
      </c>
      <c r="P415" t="n">
        <v>0</v>
      </c>
      <c r="Q415" t="n">
        <v>0</v>
      </c>
      <c r="R415" s="2" t="inlineStr"/>
    </row>
    <row r="416" ht="15" customHeight="1">
      <c r="A416" t="inlineStr">
        <is>
          <t>A 55033-2024</t>
        </is>
      </c>
      <c r="B416" s="1" t="n">
        <v>45621.38193287037</v>
      </c>
      <c r="C416" s="1" t="n">
        <v>45880</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69568-2021</t>
        </is>
      </c>
      <c r="B417" s="1" t="n">
        <v>44531</v>
      </c>
      <c r="C417" s="1" t="n">
        <v>45880</v>
      </c>
      <c r="D417" t="inlineStr">
        <is>
          <t>JÄMTLANDS LÄN</t>
        </is>
      </c>
      <c r="E417" t="inlineStr">
        <is>
          <t>ÅRE</t>
        </is>
      </c>
      <c r="G417" t="n">
        <v>2.9</v>
      </c>
      <c r="H417" t="n">
        <v>0</v>
      </c>
      <c r="I417" t="n">
        <v>0</v>
      </c>
      <c r="J417" t="n">
        <v>0</v>
      </c>
      <c r="K417" t="n">
        <v>0</v>
      </c>
      <c r="L417" t="n">
        <v>0</v>
      </c>
      <c r="M417" t="n">
        <v>0</v>
      </c>
      <c r="N417" t="n">
        <v>0</v>
      </c>
      <c r="O417" t="n">
        <v>0</v>
      </c>
      <c r="P417" t="n">
        <v>0</v>
      </c>
      <c r="Q417" t="n">
        <v>0</v>
      </c>
      <c r="R417" s="2" t="inlineStr"/>
    </row>
    <row r="418" ht="15" customHeight="1">
      <c r="A418" t="inlineStr">
        <is>
          <t>A 2374-2023</t>
        </is>
      </c>
      <c r="B418" s="1" t="n">
        <v>44942.69005787037</v>
      </c>
      <c r="C418" s="1" t="n">
        <v>45880</v>
      </c>
      <c r="D418" t="inlineStr">
        <is>
          <t>JÄMTLANDS LÄN</t>
        </is>
      </c>
      <c r="E418" t="inlineStr">
        <is>
          <t>ÅRE</t>
        </is>
      </c>
      <c r="G418" t="n">
        <v>0.6</v>
      </c>
      <c r="H418" t="n">
        <v>0</v>
      </c>
      <c r="I418" t="n">
        <v>0</v>
      </c>
      <c r="J418" t="n">
        <v>0</v>
      </c>
      <c r="K418" t="n">
        <v>0</v>
      </c>
      <c r="L418" t="n">
        <v>0</v>
      </c>
      <c r="M418" t="n">
        <v>0</v>
      </c>
      <c r="N418" t="n">
        <v>0</v>
      </c>
      <c r="O418" t="n">
        <v>0</v>
      </c>
      <c r="P418" t="n">
        <v>0</v>
      </c>
      <c r="Q418" t="n">
        <v>0</v>
      </c>
      <c r="R418" s="2" t="inlineStr"/>
    </row>
    <row r="419" ht="15" customHeight="1">
      <c r="A419" t="inlineStr">
        <is>
          <t>A 11914-2024</t>
        </is>
      </c>
      <c r="B419" s="1" t="n">
        <v>45376.58467592593</v>
      </c>
      <c r="C419" s="1" t="n">
        <v>45880</v>
      </c>
      <c r="D419" t="inlineStr">
        <is>
          <t>JÄMTLANDS LÄN</t>
        </is>
      </c>
      <c r="E419" t="inlineStr">
        <is>
          <t>ÅRE</t>
        </is>
      </c>
      <c r="G419" t="n">
        <v>2.5</v>
      </c>
      <c r="H419" t="n">
        <v>0</v>
      </c>
      <c r="I419" t="n">
        <v>0</v>
      </c>
      <c r="J419" t="n">
        <v>0</v>
      </c>
      <c r="K419" t="n">
        <v>0</v>
      </c>
      <c r="L419" t="n">
        <v>0</v>
      </c>
      <c r="M419" t="n">
        <v>0</v>
      </c>
      <c r="N419" t="n">
        <v>0</v>
      </c>
      <c r="O419" t="n">
        <v>0</v>
      </c>
      <c r="P419" t="n">
        <v>0</v>
      </c>
      <c r="Q419" t="n">
        <v>0</v>
      </c>
      <c r="R419" s="2" t="inlineStr"/>
    </row>
    <row r="420" ht="15" customHeight="1">
      <c r="A420" t="inlineStr">
        <is>
          <t>A 25200-2025</t>
        </is>
      </c>
      <c r="B420" s="1" t="n">
        <v>45800.4615625</v>
      </c>
      <c r="C420" s="1" t="n">
        <v>45880</v>
      </c>
      <c r="D420" t="inlineStr">
        <is>
          <t>JÄMTLANDS LÄN</t>
        </is>
      </c>
      <c r="E420" t="inlineStr">
        <is>
          <t>ÅRE</t>
        </is>
      </c>
      <c r="G420" t="n">
        <v>3.3</v>
      </c>
      <c r="H420" t="n">
        <v>0</v>
      </c>
      <c r="I420" t="n">
        <v>0</v>
      </c>
      <c r="J420" t="n">
        <v>0</v>
      </c>
      <c r="K420" t="n">
        <v>0</v>
      </c>
      <c r="L420" t="n">
        <v>0</v>
      </c>
      <c r="M420" t="n">
        <v>0</v>
      </c>
      <c r="N420" t="n">
        <v>0</v>
      </c>
      <c r="O420" t="n">
        <v>0</v>
      </c>
      <c r="P420" t="n">
        <v>0</v>
      </c>
      <c r="Q420" t="n">
        <v>0</v>
      </c>
      <c r="R420" s="2" t="inlineStr"/>
    </row>
    <row r="421" ht="15" customHeight="1">
      <c r="A421" t="inlineStr">
        <is>
          <t>A 25208-2025</t>
        </is>
      </c>
      <c r="B421" s="1" t="n">
        <v>45800.46927083333</v>
      </c>
      <c r="C421" s="1" t="n">
        <v>45880</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41653-2024</t>
        </is>
      </c>
      <c r="B422" s="1" t="n">
        <v>45560.64059027778</v>
      </c>
      <c r="C422" s="1" t="n">
        <v>45880</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41686-2024</t>
        </is>
      </c>
      <c r="B423" s="1" t="n">
        <v>45560.67016203704</v>
      </c>
      <c r="C423" s="1" t="n">
        <v>45880</v>
      </c>
      <c r="D423" t="inlineStr">
        <is>
          <t>JÄMTLANDS LÄN</t>
        </is>
      </c>
      <c r="E423" t="inlineStr">
        <is>
          <t>ÅRE</t>
        </is>
      </c>
      <c r="G423" t="n">
        <v>0.6</v>
      </c>
      <c r="H423" t="n">
        <v>0</v>
      </c>
      <c r="I423" t="n">
        <v>0</v>
      </c>
      <c r="J423" t="n">
        <v>0</v>
      </c>
      <c r="K423" t="n">
        <v>0</v>
      </c>
      <c r="L423" t="n">
        <v>0</v>
      </c>
      <c r="M423" t="n">
        <v>0</v>
      </c>
      <c r="N423" t="n">
        <v>0</v>
      </c>
      <c r="O423" t="n">
        <v>0</v>
      </c>
      <c r="P423" t="n">
        <v>0</v>
      </c>
      <c r="Q423" t="n">
        <v>0</v>
      </c>
      <c r="R423" s="2" t="inlineStr"/>
    </row>
    <row r="424" ht="15" customHeight="1">
      <c r="A424" t="inlineStr">
        <is>
          <t>A 50344-2024</t>
        </is>
      </c>
      <c r="B424" s="1" t="n">
        <v>45600</v>
      </c>
      <c r="C424" s="1" t="n">
        <v>45880</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27946-2021</t>
        </is>
      </c>
      <c r="B425" s="1" t="n">
        <v>44354</v>
      </c>
      <c r="C425" s="1" t="n">
        <v>45880</v>
      </c>
      <c r="D425" t="inlineStr">
        <is>
          <t>JÄMTLANDS LÄN</t>
        </is>
      </c>
      <c r="E425" t="inlineStr">
        <is>
          <t>ÅRE</t>
        </is>
      </c>
      <c r="G425" t="n">
        <v>0.3</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45880</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59325-2024</t>
        </is>
      </c>
      <c r="B427" s="1" t="n">
        <v>45636</v>
      </c>
      <c r="C427" s="1" t="n">
        <v>45880</v>
      </c>
      <c r="D427" t="inlineStr">
        <is>
          <t>JÄMTLANDS LÄN</t>
        </is>
      </c>
      <c r="E427" t="inlineStr">
        <is>
          <t>ÅRE</t>
        </is>
      </c>
      <c r="G427" t="n">
        <v>0.6</v>
      </c>
      <c r="H427" t="n">
        <v>0</v>
      </c>
      <c r="I427" t="n">
        <v>0</v>
      </c>
      <c r="J427" t="n">
        <v>0</v>
      </c>
      <c r="K427" t="n">
        <v>0</v>
      </c>
      <c r="L427" t="n">
        <v>0</v>
      </c>
      <c r="M427" t="n">
        <v>0</v>
      </c>
      <c r="N427" t="n">
        <v>0</v>
      </c>
      <c r="O427" t="n">
        <v>0</v>
      </c>
      <c r="P427" t="n">
        <v>0</v>
      </c>
      <c r="Q427" t="n">
        <v>0</v>
      </c>
      <c r="R427" s="2" t="inlineStr"/>
    </row>
    <row r="428" ht="15" customHeight="1">
      <c r="A428" t="inlineStr">
        <is>
          <t>A 25224-2025</t>
        </is>
      </c>
      <c r="B428" s="1" t="n">
        <v>45800.48087962963</v>
      </c>
      <c r="C428" s="1" t="n">
        <v>45880</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4272-2025</t>
        </is>
      </c>
      <c r="B429" s="1" t="n">
        <v>45685</v>
      </c>
      <c r="C429" s="1" t="n">
        <v>45880</v>
      </c>
      <c r="D429" t="inlineStr">
        <is>
          <t>JÄMTLANDS LÄN</t>
        </is>
      </c>
      <c r="E429" t="inlineStr">
        <is>
          <t>ÅRE</t>
        </is>
      </c>
      <c r="F429" t="inlineStr">
        <is>
          <t>Övriga Aktiebolag</t>
        </is>
      </c>
      <c r="G429" t="n">
        <v>16.6</v>
      </c>
      <c r="H429" t="n">
        <v>0</v>
      </c>
      <c r="I429" t="n">
        <v>0</v>
      </c>
      <c r="J429" t="n">
        <v>0</v>
      </c>
      <c r="K429" t="n">
        <v>0</v>
      </c>
      <c r="L429" t="n">
        <v>0</v>
      </c>
      <c r="M429" t="n">
        <v>0</v>
      </c>
      <c r="N429" t="n">
        <v>0</v>
      </c>
      <c r="O429" t="n">
        <v>0</v>
      </c>
      <c r="P429" t="n">
        <v>0</v>
      </c>
      <c r="Q429" t="n">
        <v>0</v>
      </c>
      <c r="R429" s="2" t="inlineStr"/>
    </row>
    <row r="430" ht="15" customHeight="1">
      <c r="A430" t="inlineStr">
        <is>
          <t>A 18531-2021</t>
        </is>
      </c>
      <c r="B430" s="1" t="n">
        <v>44306</v>
      </c>
      <c r="C430" s="1" t="n">
        <v>45880</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46789-2024</t>
        </is>
      </c>
      <c r="B431" s="1" t="n">
        <v>45583.53219907408</v>
      </c>
      <c r="C431" s="1" t="n">
        <v>45880</v>
      </c>
      <c r="D431" t="inlineStr">
        <is>
          <t>JÄMTLANDS LÄN</t>
        </is>
      </c>
      <c r="E431" t="inlineStr">
        <is>
          <t>ÅRE</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21464-2022</t>
        </is>
      </c>
      <c r="B432" s="1" t="n">
        <v>44706</v>
      </c>
      <c r="C432" s="1" t="n">
        <v>45880</v>
      </c>
      <c r="D432" t="inlineStr">
        <is>
          <t>JÄMTLANDS LÄN</t>
        </is>
      </c>
      <c r="E432" t="inlineStr">
        <is>
          <t>ÅRE</t>
        </is>
      </c>
      <c r="G432" t="n">
        <v>10.9</v>
      </c>
      <c r="H432" t="n">
        <v>0</v>
      </c>
      <c r="I432" t="n">
        <v>0</v>
      </c>
      <c r="J432" t="n">
        <v>0</v>
      </c>
      <c r="K432" t="n">
        <v>0</v>
      </c>
      <c r="L432" t="n">
        <v>0</v>
      </c>
      <c r="M432" t="n">
        <v>0</v>
      </c>
      <c r="N432" t="n">
        <v>0</v>
      </c>
      <c r="O432" t="n">
        <v>0</v>
      </c>
      <c r="P432" t="n">
        <v>0</v>
      </c>
      <c r="Q432" t="n">
        <v>0</v>
      </c>
      <c r="R432" s="2" t="inlineStr"/>
    </row>
    <row r="433" ht="15" customHeight="1">
      <c r="A433" t="inlineStr">
        <is>
          <t>A 44889-2023</t>
        </is>
      </c>
      <c r="B433" s="1" t="n">
        <v>45190</v>
      </c>
      <c r="C433" s="1" t="n">
        <v>45880</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4181-2025</t>
        </is>
      </c>
      <c r="B434" s="1" t="n">
        <v>45685.44300925926</v>
      </c>
      <c r="C434" s="1" t="n">
        <v>45880</v>
      </c>
      <c r="D434" t="inlineStr">
        <is>
          <t>JÄMTLANDS LÄN</t>
        </is>
      </c>
      <c r="E434" t="inlineStr">
        <is>
          <t>ÅRE</t>
        </is>
      </c>
      <c r="F434" t="inlineStr">
        <is>
          <t>Övriga Aktiebolag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3521-2025</t>
        </is>
      </c>
      <c r="B435" s="1" t="n">
        <v>45680</v>
      </c>
      <c r="C435" s="1" t="n">
        <v>45880</v>
      </c>
      <c r="D435" t="inlineStr">
        <is>
          <t>JÄMTLANDS LÄN</t>
        </is>
      </c>
      <c r="E435" t="inlineStr">
        <is>
          <t>ÅRE</t>
        </is>
      </c>
      <c r="G435" t="n">
        <v>19.9</v>
      </c>
      <c r="H435" t="n">
        <v>0</v>
      </c>
      <c r="I435" t="n">
        <v>0</v>
      </c>
      <c r="J435" t="n">
        <v>0</v>
      </c>
      <c r="K435" t="n">
        <v>0</v>
      </c>
      <c r="L435" t="n">
        <v>0</v>
      </c>
      <c r="M435" t="n">
        <v>0</v>
      </c>
      <c r="N435" t="n">
        <v>0</v>
      </c>
      <c r="O435" t="n">
        <v>0</v>
      </c>
      <c r="P435" t="n">
        <v>0</v>
      </c>
      <c r="Q435" t="n">
        <v>0</v>
      </c>
      <c r="R435" s="2" t="inlineStr"/>
    </row>
    <row r="436" ht="15" customHeight="1">
      <c r="A436" t="inlineStr">
        <is>
          <t>A 32241-2021</t>
        </is>
      </c>
      <c r="B436" s="1" t="n">
        <v>44371</v>
      </c>
      <c r="C436" s="1" t="n">
        <v>45880</v>
      </c>
      <c r="D436" t="inlineStr">
        <is>
          <t>JÄMTLANDS LÄN</t>
        </is>
      </c>
      <c r="E436" t="inlineStr">
        <is>
          <t>ÅRE</t>
        </is>
      </c>
      <c r="G436" t="n">
        <v>2.3</v>
      </c>
      <c r="H436" t="n">
        <v>0</v>
      </c>
      <c r="I436" t="n">
        <v>0</v>
      </c>
      <c r="J436" t="n">
        <v>0</v>
      </c>
      <c r="K436" t="n">
        <v>0</v>
      </c>
      <c r="L436" t="n">
        <v>0</v>
      </c>
      <c r="M436" t="n">
        <v>0</v>
      </c>
      <c r="N436" t="n">
        <v>0</v>
      </c>
      <c r="O436" t="n">
        <v>0</v>
      </c>
      <c r="P436" t="n">
        <v>0</v>
      </c>
      <c r="Q436" t="n">
        <v>0</v>
      </c>
      <c r="R436" s="2" t="inlineStr"/>
    </row>
    <row r="437" ht="15" customHeight="1">
      <c r="A437" t="inlineStr">
        <is>
          <t>A 13221-2022</t>
        </is>
      </c>
      <c r="B437" s="1" t="n">
        <v>44644</v>
      </c>
      <c r="C437" s="1" t="n">
        <v>45880</v>
      </c>
      <c r="D437" t="inlineStr">
        <is>
          <t>JÄMTLANDS LÄN</t>
        </is>
      </c>
      <c r="E437" t="inlineStr">
        <is>
          <t>ÅRE</t>
        </is>
      </c>
      <c r="F437" t="inlineStr">
        <is>
          <t>Övriga Aktiebolag</t>
        </is>
      </c>
      <c r="G437" t="n">
        <v>6.6</v>
      </c>
      <c r="H437" t="n">
        <v>0</v>
      </c>
      <c r="I437" t="n">
        <v>0</v>
      </c>
      <c r="J437" t="n">
        <v>0</v>
      </c>
      <c r="K437" t="n">
        <v>0</v>
      </c>
      <c r="L437" t="n">
        <v>0</v>
      </c>
      <c r="M437" t="n">
        <v>0</v>
      </c>
      <c r="N437" t="n">
        <v>0</v>
      </c>
      <c r="O437" t="n">
        <v>0</v>
      </c>
      <c r="P437" t="n">
        <v>0</v>
      </c>
      <c r="Q437" t="n">
        <v>0</v>
      </c>
      <c r="R437" s="2" t="inlineStr"/>
    </row>
    <row r="438" ht="15" customHeight="1">
      <c r="A438" t="inlineStr">
        <is>
          <t>A 43456-2023</t>
        </is>
      </c>
      <c r="B438" s="1" t="n">
        <v>45184.37474537037</v>
      </c>
      <c r="C438" s="1" t="n">
        <v>45880</v>
      </c>
      <c r="D438" t="inlineStr">
        <is>
          <t>JÄMTLANDS LÄN</t>
        </is>
      </c>
      <c r="E438" t="inlineStr">
        <is>
          <t>ÅRE</t>
        </is>
      </c>
      <c r="F438" t="inlineStr">
        <is>
          <t>Övriga Aktiebolag</t>
        </is>
      </c>
      <c r="G438" t="n">
        <v>8.9</v>
      </c>
      <c r="H438" t="n">
        <v>0</v>
      </c>
      <c r="I438" t="n">
        <v>0</v>
      </c>
      <c r="J438" t="n">
        <v>0</v>
      </c>
      <c r="K438" t="n">
        <v>0</v>
      </c>
      <c r="L438" t="n">
        <v>0</v>
      </c>
      <c r="M438" t="n">
        <v>0</v>
      </c>
      <c r="N438" t="n">
        <v>0</v>
      </c>
      <c r="O438" t="n">
        <v>0</v>
      </c>
      <c r="P438" t="n">
        <v>0</v>
      </c>
      <c r="Q438" t="n">
        <v>0</v>
      </c>
      <c r="R438" s="2" t="inlineStr"/>
    </row>
    <row r="439" ht="15" customHeight="1">
      <c r="A439" t="inlineStr">
        <is>
          <t>A 5923-2022</t>
        </is>
      </c>
      <c r="B439" s="1" t="n">
        <v>44598.64403935185</v>
      </c>
      <c r="C439" s="1" t="n">
        <v>45880</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27390-2021</t>
        </is>
      </c>
      <c r="B440" s="1" t="n">
        <v>44351</v>
      </c>
      <c r="C440" s="1" t="n">
        <v>45880</v>
      </c>
      <c r="D440" t="inlineStr">
        <is>
          <t>JÄMTLANDS LÄN</t>
        </is>
      </c>
      <c r="E440" t="inlineStr">
        <is>
          <t>ÅRE</t>
        </is>
      </c>
      <c r="G440" t="n">
        <v>14.9</v>
      </c>
      <c r="H440" t="n">
        <v>0</v>
      </c>
      <c r="I440" t="n">
        <v>0</v>
      </c>
      <c r="J440" t="n">
        <v>0</v>
      </c>
      <c r="K440" t="n">
        <v>0</v>
      </c>
      <c r="L440" t="n">
        <v>0</v>
      </c>
      <c r="M440" t="n">
        <v>0</v>
      </c>
      <c r="N440" t="n">
        <v>0</v>
      </c>
      <c r="O440" t="n">
        <v>0</v>
      </c>
      <c r="P440" t="n">
        <v>0</v>
      </c>
      <c r="Q440" t="n">
        <v>0</v>
      </c>
      <c r="R440" s="2" t="inlineStr"/>
    </row>
    <row r="441" ht="15" customHeight="1">
      <c r="A441" t="inlineStr">
        <is>
          <t>A 46788-2024</t>
        </is>
      </c>
      <c r="B441" s="1" t="n">
        <v>45583.53219907408</v>
      </c>
      <c r="C441" s="1" t="n">
        <v>45880</v>
      </c>
      <c r="D441" t="inlineStr">
        <is>
          <t>JÄMTLANDS LÄN</t>
        </is>
      </c>
      <c r="E441" t="inlineStr">
        <is>
          <t>ÅRE</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1112-2025</t>
        </is>
      </c>
      <c r="B442" s="1" t="n">
        <v>45666</v>
      </c>
      <c r="C442" s="1" t="n">
        <v>45880</v>
      </c>
      <c r="D442" t="inlineStr">
        <is>
          <t>JÄMTLANDS LÄN</t>
        </is>
      </c>
      <c r="E442" t="inlineStr">
        <is>
          <t>ÅRE</t>
        </is>
      </c>
      <c r="F442" t="inlineStr">
        <is>
          <t>Övriga Aktiebolag</t>
        </is>
      </c>
      <c r="G442" t="n">
        <v>17.7</v>
      </c>
      <c r="H442" t="n">
        <v>0</v>
      </c>
      <c r="I442" t="n">
        <v>0</v>
      </c>
      <c r="J442" t="n">
        <v>0</v>
      </c>
      <c r="K442" t="n">
        <v>0</v>
      </c>
      <c r="L442" t="n">
        <v>0</v>
      </c>
      <c r="M442" t="n">
        <v>0</v>
      </c>
      <c r="N442" t="n">
        <v>0</v>
      </c>
      <c r="O442" t="n">
        <v>0</v>
      </c>
      <c r="P442" t="n">
        <v>0</v>
      </c>
      <c r="Q442" t="n">
        <v>0</v>
      </c>
      <c r="R442" s="2" t="inlineStr"/>
    </row>
    <row r="443" ht="15" customHeight="1">
      <c r="A443" t="inlineStr">
        <is>
          <t>A 68518-2020</t>
        </is>
      </c>
      <c r="B443" s="1" t="n">
        <v>44186</v>
      </c>
      <c r="C443" s="1" t="n">
        <v>45880</v>
      </c>
      <c r="D443" t="inlineStr">
        <is>
          <t>JÄMTLANDS LÄN</t>
        </is>
      </c>
      <c r="E443" t="inlineStr">
        <is>
          <t>ÅRE</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60962-2023</t>
        </is>
      </c>
      <c r="B444" s="1" t="n">
        <v>45261.46787037037</v>
      </c>
      <c r="C444" s="1" t="n">
        <v>45880</v>
      </c>
      <c r="D444" t="inlineStr">
        <is>
          <t>JÄMTLANDS LÄN</t>
        </is>
      </c>
      <c r="E444" t="inlineStr">
        <is>
          <t>ÅRE</t>
        </is>
      </c>
      <c r="G444" t="n">
        <v>3.2</v>
      </c>
      <c r="H444" t="n">
        <v>0</v>
      </c>
      <c r="I444" t="n">
        <v>0</v>
      </c>
      <c r="J444" t="n">
        <v>0</v>
      </c>
      <c r="K444" t="n">
        <v>0</v>
      </c>
      <c r="L444" t="n">
        <v>0</v>
      </c>
      <c r="M444" t="n">
        <v>0</v>
      </c>
      <c r="N444" t="n">
        <v>0</v>
      </c>
      <c r="O444" t="n">
        <v>0</v>
      </c>
      <c r="P444" t="n">
        <v>0</v>
      </c>
      <c r="Q444" t="n">
        <v>0</v>
      </c>
      <c r="R444" s="2" t="inlineStr"/>
    </row>
    <row r="445" ht="15" customHeight="1">
      <c r="A445" t="inlineStr">
        <is>
          <t>A 60973-2023</t>
        </is>
      </c>
      <c r="B445" s="1" t="n">
        <v>45261.47321759259</v>
      </c>
      <c r="C445" s="1" t="n">
        <v>45880</v>
      </c>
      <c r="D445" t="inlineStr">
        <is>
          <t>JÄMTLANDS LÄN</t>
        </is>
      </c>
      <c r="E445" t="inlineStr">
        <is>
          <t>ÅRE</t>
        </is>
      </c>
      <c r="G445" t="n">
        <v>3.1</v>
      </c>
      <c r="H445" t="n">
        <v>0</v>
      </c>
      <c r="I445" t="n">
        <v>0</v>
      </c>
      <c r="J445" t="n">
        <v>0</v>
      </c>
      <c r="K445" t="n">
        <v>0</v>
      </c>
      <c r="L445" t="n">
        <v>0</v>
      </c>
      <c r="M445" t="n">
        <v>0</v>
      </c>
      <c r="N445" t="n">
        <v>0</v>
      </c>
      <c r="O445" t="n">
        <v>0</v>
      </c>
      <c r="P445" t="n">
        <v>0</v>
      </c>
      <c r="Q445" t="n">
        <v>0</v>
      </c>
      <c r="R445" s="2" t="inlineStr"/>
    </row>
    <row r="446" ht="15" customHeight="1">
      <c r="A446" t="inlineStr">
        <is>
          <t>A 12193-2023</t>
        </is>
      </c>
      <c r="B446" s="1" t="n">
        <v>44998</v>
      </c>
      <c r="C446" s="1" t="n">
        <v>45880</v>
      </c>
      <c r="D446" t="inlineStr">
        <is>
          <t>JÄMTLANDS LÄN</t>
        </is>
      </c>
      <c r="E446" t="inlineStr">
        <is>
          <t>ÅRE</t>
        </is>
      </c>
      <c r="G446" t="n">
        <v>14.7</v>
      </c>
      <c r="H446" t="n">
        <v>0</v>
      </c>
      <c r="I446" t="n">
        <v>0</v>
      </c>
      <c r="J446" t="n">
        <v>0</v>
      </c>
      <c r="K446" t="n">
        <v>0</v>
      </c>
      <c r="L446" t="n">
        <v>0</v>
      </c>
      <c r="M446" t="n">
        <v>0</v>
      </c>
      <c r="N446" t="n">
        <v>0</v>
      </c>
      <c r="O446" t="n">
        <v>0</v>
      </c>
      <c r="P446" t="n">
        <v>0</v>
      </c>
      <c r="Q446" t="n">
        <v>0</v>
      </c>
      <c r="R446" s="2" t="inlineStr"/>
    </row>
    <row r="447" ht="15" customHeight="1">
      <c r="A447" t="inlineStr">
        <is>
          <t>A 34897-2025</t>
        </is>
      </c>
      <c r="B447" s="1" t="n">
        <v>45849</v>
      </c>
      <c r="C447" s="1" t="n">
        <v>45880</v>
      </c>
      <c r="D447" t="inlineStr">
        <is>
          <t>JÄMTLANDS LÄN</t>
        </is>
      </c>
      <c r="E447" t="inlineStr">
        <is>
          <t>ÅRE</t>
        </is>
      </c>
      <c r="G447" t="n">
        <v>1.6</v>
      </c>
      <c r="H447" t="n">
        <v>0</v>
      </c>
      <c r="I447" t="n">
        <v>0</v>
      </c>
      <c r="J447" t="n">
        <v>0</v>
      </c>
      <c r="K447" t="n">
        <v>0</v>
      </c>
      <c r="L447" t="n">
        <v>0</v>
      </c>
      <c r="M447" t="n">
        <v>0</v>
      </c>
      <c r="N447" t="n">
        <v>0</v>
      </c>
      <c r="O447" t="n">
        <v>0</v>
      </c>
      <c r="P447" t="n">
        <v>0</v>
      </c>
      <c r="Q447" t="n">
        <v>0</v>
      </c>
      <c r="R447" s="2" t="inlineStr"/>
    </row>
    <row r="448" ht="15" customHeight="1">
      <c r="A448" t="inlineStr">
        <is>
          <t>A 34805-2025</t>
        </is>
      </c>
      <c r="B448" s="1" t="n">
        <v>45849.33071759259</v>
      </c>
      <c r="C448" s="1" t="n">
        <v>45880</v>
      </c>
      <c r="D448" t="inlineStr">
        <is>
          <t>JÄMTLANDS LÄN</t>
        </is>
      </c>
      <c r="E448" t="inlineStr">
        <is>
          <t>ÅRE</t>
        </is>
      </c>
      <c r="G448" t="n">
        <v>2.2</v>
      </c>
      <c r="H448" t="n">
        <v>0</v>
      </c>
      <c r="I448" t="n">
        <v>0</v>
      </c>
      <c r="J448" t="n">
        <v>0</v>
      </c>
      <c r="K448" t="n">
        <v>0</v>
      </c>
      <c r="L448" t="n">
        <v>0</v>
      </c>
      <c r="M448" t="n">
        <v>0</v>
      </c>
      <c r="N448" t="n">
        <v>0</v>
      </c>
      <c r="O448" t="n">
        <v>0</v>
      </c>
      <c r="P448" t="n">
        <v>0</v>
      </c>
      <c r="Q448" t="n">
        <v>0</v>
      </c>
      <c r="R448" s="2" t="inlineStr"/>
    </row>
    <row r="449" ht="15" customHeight="1">
      <c r="A449" t="inlineStr">
        <is>
          <t>A 17566-2023</t>
        </is>
      </c>
      <c r="B449" s="1" t="n">
        <v>45034</v>
      </c>
      <c r="C449" s="1" t="n">
        <v>45880</v>
      </c>
      <c r="D449" t="inlineStr">
        <is>
          <t>JÄMTLANDS LÄN</t>
        </is>
      </c>
      <c r="E449" t="inlineStr">
        <is>
          <t>ÅRE</t>
        </is>
      </c>
      <c r="G449" t="n">
        <v>4.8</v>
      </c>
      <c r="H449" t="n">
        <v>0</v>
      </c>
      <c r="I449" t="n">
        <v>0</v>
      </c>
      <c r="J449" t="n">
        <v>0</v>
      </c>
      <c r="K449" t="n">
        <v>0</v>
      </c>
      <c r="L449" t="n">
        <v>0</v>
      </c>
      <c r="M449" t="n">
        <v>0</v>
      </c>
      <c r="N449" t="n">
        <v>0</v>
      </c>
      <c r="O449" t="n">
        <v>0</v>
      </c>
      <c r="P449" t="n">
        <v>0</v>
      </c>
      <c r="Q449" t="n">
        <v>0</v>
      </c>
      <c r="R449" s="2" t="inlineStr"/>
    </row>
    <row r="450" ht="15" customHeight="1">
      <c r="A450" t="inlineStr">
        <is>
          <t>A 67972-2020</t>
        </is>
      </c>
      <c r="B450" s="1" t="n">
        <v>44182</v>
      </c>
      <c r="C450" s="1" t="n">
        <v>45880</v>
      </c>
      <c r="D450" t="inlineStr">
        <is>
          <t>JÄMTLANDS LÄN</t>
        </is>
      </c>
      <c r="E450" t="inlineStr">
        <is>
          <t>ÅRE</t>
        </is>
      </c>
      <c r="G450" t="n">
        <v>6</v>
      </c>
      <c r="H450" t="n">
        <v>0</v>
      </c>
      <c r="I450" t="n">
        <v>0</v>
      </c>
      <c r="J450" t="n">
        <v>0</v>
      </c>
      <c r="K450" t="n">
        <v>0</v>
      </c>
      <c r="L450" t="n">
        <v>0</v>
      </c>
      <c r="M450" t="n">
        <v>0</v>
      </c>
      <c r="N450" t="n">
        <v>0</v>
      </c>
      <c r="O450" t="n">
        <v>0</v>
      </c>
      <c r="P450" t="n">
        <v>0</v>
      </c>
      <c r="Q450" t="n">
        <v>0</v>
      </c>
      <c r="R450" s="2" t="inlineStr"/>
    </row>
    <row r="451" ht="15" customHeight="1">
      <c r="A451" t="inlineStr">
        <is>
          <t>A 61014-2024</t>
        </is>
      </c>
      <c r="B451" s="1" t="n">
        <v>45645.449375</v>
      </c>
      <c r="C451" s="1" t="n">
        <v>45880</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20485-2024</t>
        </is>
      </c>
      <c r="B452" s="1" t="n">
        <v>45435.7403125</v>
      </c>
      <c r="C452" s="1" t="n">
        <v>45880</v>
      </c>
      <c r="D452" t="inlineStr">
        <is>
          <t>JÄMTLANDS LÄN</t>
        </is>
      </c>
      <c r="E452" t="inlineStr">
        <is>
          <t>ÅRE</t>
        </is>
      </c>
      <c r="G452" t="n">
        <v>1</v>
      </c>
      <c r="H452" t="n">
        <v>0</v>
      </c>
      <c r="I452" t="n">
        <v>0</v>
      </c>
      <c r="J452" t="n">
        <v>0</v>
      </c>
      <c r="K452" t="n">
        <v>0</v>
      </c>
      <c r="L452" t="n">
        <v>0</v>
      </c>
      <c r="M452" t="n">
        <v>0</v>
      </c>
      <c r="N452" t="n">
        <v>0</v>
      </c>
      <c r="O452" t="n">
        <v>0</v>
      </c>
      <c r="P452" t="n">
        <v>0</v>
      </c>
      <c r="Q452" t="n">
        <v>0</v>
      </c>
      <c r="R452" s="2" t="inlineStr"/>
    </row>
    <row r="453" ht="15" customHeight="1">
      <c r="A453" t="inlineStr">
        <is>
          <t>A 34925-2025</t>
        </is>
      </c>
      <c r="B453" s="1" t="n">
        <v>45849</v>
      </c>
      <c r="C453" s="1" t="n">
        <v>45880</v>
      </c>
      <c r="D453" t="inlineStr">
        <is>
          <t>JÄMTLANDS LÄN</t>
        </is>
      </c>
      <c r="E453" t="inlineStr">
        <is>
          <t>ÅRE</t>
        </is>
      </c>
      <c r="G453" t="n">
        <v>1.9</v>
      </c>
      <c r="H453" t="n">
        <v>0</v>
      </c>
      <c r="I453" t="n">
        <v>0</v>
      </c>
      <c r="J453" t="n">
        <v>0</v>
      </c>
      <c r="K453" t="n">
        <v>0</v>
      </c>
      <c r="L453" t="n">
        <v>0</v>
      </c>
      <c r="M453" t="n">
        <v>0</v>
      </c>
      <c r="N453" t="n">
        <v>0</v>
      </c>
      <c r="O453" t="n">
        <v>0</v>
      </c>
      <c r="P453" t="n">
        <v>0</v>
      </c>
      <c r="Q453" t="n">
        <v>0</v>
      </c>
      <c r="R453" s="2" t="inlineStr"/>
    </row>
    <row r="454" ht="15" customHeight="1">
      <c r="A454" t="inlineStr">
        <is>
          <t>A 45834-2024</t>
        </is>
      </c>
      <c r="B454" s="1" t="n">
        <v>45579.91509259259</v>
      </c>
      <c r="C454" s="1" t="n">
        <v>45880</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18849-2022</t>
        </is>
      </c>
      <c r="B455" s="1" t="n">
        <v>44690</v>
      </c>
      <c r="C455" s="1" t="n">
        <v>45880</v>
      </c>
      <c r="D455" t="inlineStr">
        <is>
          <t>JÄMTLANDS LÄN</t>
        </is>
      </c>
      <c r="E455" t="inlineStr">
        <is>
          <t>ÅRE</t>
        </is>
      </c>
      <c r="G455" t="n">
        <v>12.8</v>
      </c>
      <c r="H455" t="n">
        <v>0</v>
      </c>
      <c r="I455" t="n">
        <v>0</v>
      </c>
      <c r="J455" t="n">
        <v>0</v>
      </c>
      <c r="K455" t="n">
        <v>0</v>
      </c>
      <c r="L455" t="n">
        <v>0</v>
      </c>
      <c r="M455" t="n">
        <v>0</v>
      </c>
      <c r="N455" t="n">
        <v>0</v>
      </c>
      <c r="O455" t="n">
        <v>0</v>
      </c>
      <c r="P455" t="n">
        <v>0</v>
      </c>
      <c r="Q455" t="n">
        <v>0</v>
      </c>
      <c r="R455" s="2" t="inlineStr"/>
    </row>
    <row r="456" ht="15" customHeight="1">
      <c r="A456" t="inlineStr">
        <is>
          <t>A 25275-2025</t>
        </is>
      </c>
      <c r="B456" s="1" t="n">
        <v>45800.55372685185</v>
      </c>
      <c r="C456" s="1" t="n">
        <v>45880</v>
      </c>
      <c r="D456" t="inlineStr">
        <is>
          <t>JÄMTLANDS LÄN</t>
        </is>
      </c>
      <c r="E456" t="inlineStr">
        <is>
          <t>ÅRE</t>
        </is>
      </c>
      <c r="G456" t="n">
        <v>1.1</v>
      </c>
      <c r="H456" t="n">
        <v>0</v>
      </c>
      <c r="I456" t="n">
        <v>0</v>
      </c>
      <c r="J456" t="n">
        <v>0</v>
      </c>
      <c r="K456" t="n">
        <v>0</v>
      </c>
      <c r="L456" t="n">
        <v>0</v>
      </c>
      <c r="M456" t="n">
        <v>0</v>
      </c>
      <c r="N456" t="n">
        <v>0</v>
      </c>
      <c r="O456" t="n">
        <v>0</v>
      </c>
      <c r="P456" t="n">
        <v>0</v>
      </c>
      <c r="Q456" t="n">
        <v>0</v>
      </c>
      <c r="R456" s="2" t="inlineStr"/>
    </row>
    <row r="457" ht="15" customHeight="1">
      <c r="A457" t="inlineStr">
        <is>
          <t>A 12940-2024</t>
        </is>
      </c>
      <c r="B457" s="1" t="n">
        <v>45385.46263888889</v>
      </c>
      <c r="C457" s="1" t="n">
        <v>45880</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37739-2023</t>
        </is>
      </c>
      <c r="B458" s="1" t="n">
        <v>45159</v>
      </c>
      <c r="C458" s="1" t="n">
        <v>45880</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37758-2023</t>
        </is>
      </c>
      <c r="B459" s="1" t="n">
        <v>45159</v>
      </c>
      <c r="C459" s="1" t="n">
        <v>45880</v>
      </c>
      <c r="D459" t="inlineStr">
        <is>
          <t>JÄMTLANDS LÄN</t>
        </is>
      </c>
      <c r="E459" t="inlineStr">
        <is>
          <t>ÅRE</t>
        </is>
      </c>
      <c r="G459" t="n">
        <v>20.1</v>
      </c>
      <c r="H459" t="n">
        <v>0</v>
      </c>
      <c r="I459" t="n">
        <v>0</v>
      </c>
      <c r="J459" t="n">
        <v>0</v>
      </c>
      <c r="K459" t="n">
        <v>0</v>
      </c>
      <c r="L459" t="n">
        <v>0</v>
      </c>
      <c r="M459" t="n">
        <v>0</v>
      </c>
      <c r="N459" t="n">
        <v>0</v>
      </c>
      <c r="O459" t="n">
        <v>0</v>
      </c>
      <c r="P459" t="n">
        <v>0</v>
      </c>
      <c r="Q459" t="n">
        <v>0</v>
      </c>
      <c r="R459" s="2" t="inlineStr"/>
    </row>
    <row r="460" ht="15" customHeight="1">
      <c r="A460" t="inlineStr">
        <is>
          <t>A 23561-2021</t>
        </is>
      </c>
      <c r="B460" s="1" t="n">
        <v>44334</v>
      </c>
      <c r="C460" s="1" t="n">
        <v>45880</v>
      </c>
      <c r="D460" t="inlineStr">
        <is>
          <t>JÄMTLANDS LÄN</t>
        </is>
      </c>
      <c r="E460" t="inlineStr">
        <is>
          <t>ÅRE</t>
        </is>
      </c>
      <c r="G460" t="n">
        <v>8.5</v>
      </c>
      <c r="H460" t="n">
        <v>0</v>
      </c>
      <c r="I460" t="n">
        <v>0</v>
      </c>
      <c r="J460" t="n">
        <v>0</v>
      </c>
      <c r="K460" t="n">
        <v>0</v>
      </c>
      <c r="L460" t="n">
        <v>0</v>
      </c>
      <c r="M460" t="n">
        <v>0</v>
      </c>
      <c r="N460" t="n">
        <v>0</v>
      </c>
      <c r="O460" t="n">
        <v>0</v>
      </c>
      <c r="P460" t="n">
        <v>0</v>
      </c>
      <c r="Q460" t="n">
        <v>0</v>
      </c>
      <c r="R460" s="2" t="inlineStr"/>
    </row>
    <row r="461" ht="15" customHeight="1">
      <c r="A461" t="inlineStr">
        <is>
          <t>A 6049-2025</t>
        </is>
      </c>
      <c r="B461" s="1" t="n">
        <v>45695</v>
      </c>
      <c r="C461" s="1" t="n">
        <v>45880</v>
      </c>
      <c r="D461" t="inlineStr">
        <is>
          <t>JÄMTLANDS LÄN</t>
        </is>
      </c>
      <c r="E461" t="inlineStr">
        <is>
          <t>ÅRE</t>
        </is>
      </c>
      <c r="G461" t="n">
        <v>58.3</v>
      </c>
      <c r="H461" t="n">
        <v>0</v>
      </c>
      <c r="I461" t="n">
        <v>0</v>
      </c>
      <c r="J461" t="n">
        <v>0</v>
      </c>
      <c r="K461" t="n">
        <v>0</v>
      </c>
      <c r="L461" t="n">
        <v>0</v>
      </c>
      <c r="M461" t="n">
        <v>0</v>
      </c>
      <c r="N461" t="n">
        <v>0</v>
      </c>
      <c r="O461" t="n">
        <v>0</v>
      </c>
      <c r="P461" t="n">
        <v>0</v>
      </c>
      <c r="Q461" t="n">
        <v>0</v>
      </c>
      <c r="R461" s="2" t="inlineStr"/>
    </row>
    <row r="462" ht="15" customHeight="1">
      <c r="A462" t="inlineStr">
        <is>
          <t>A 35058-2025</t>
        </is>
      </c>
      <c r="B462" s="1" t="n">
        <v>45849</v>
      </c>
      <c r="C462" s="1" t="n">
        <v>45880</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23118-2022</t>
        </is>
      </c>
      <c r="B463" s="1" t="n">
        <v>44719.5662037037</v>
      </c>
      <c r="C463" s="1" t="n">
        <v>45880</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12168-2023</t>
        </is>
      </c>
      <c r="B464" s="1" t="n">
        <v>44998</v>
      </c>
      <c r="C464" s="1" t="n">
        <v>45880</v>
      </c>
      <c r="D464" t="inlineStr">
        <is>
          <t>JÄMTLANDS LÄN</t>
        </is>
      </c>
      <c r="E464" t="inlineStr">
        <is>
          <t>ÅRE</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12173-2023</t>
        </is>
      </c>
      <c r="B465" s="1" t="n">
        <v>44998</v>
      </c>
      <c r="C465" s="1" t="n">
        <v>45880</v>
      </c>
      <c r="D465" t="inlineStr">
        <is>
          <t>JÄMTLANDS LÄN</t>
        </is>
      </c>
      <c r="E465" t="inlineStr">
        <is>
          <t>ÅRE</t>
        </is>
      </c>
      <c r="G465" t="n">
        <v>2.5</v>
      </c>
      <c r="H465" t="n">
        <v>0</v>
      </c>
      <c r="I465" t="n">
        <v>0</v>
      </c>
      <c r="J465" t="n">
        <v>0</v>
      </c>
      <c r="K465" t="n">
        <v>0</v>
      </c>
      <c r="L465" t="n">
        <v>0</v>
      </c>
      <c r="M465" t="n">
        <v>0</v>
      </c>
      <c r="N465" t="n">
        <v>0</v>
      </c>
      <c r="O465" t="n">
        <v>0</v>
      </c>
      <c r="P465" t="n">
        <v>0</v>
      </c>
      <c r="Q465" t="n">
        <v>0</v>
      </c>
      <c r="R465" s="2" t="inlineStr"/>
    </row>
    <row r="466" ht="15" customHeight="1">
      <c r="A466" t="inlineStr">
        <is>
          <t>A 33379-2024</t>
        </is>
      </c>
      <c r="B466" s="1" t="n">
        <v>45519.4495949074</v>
      </c>
      <c r="C466" s="1" t="n">
        <v>45880</v>
      </c>
      <c r="D466" t="inlineStr">
        <is>
          <t>JÄMTLANDS LÄN</t>
        </is>
      </c>
      <c r="E466" t="inlineStr">
        <is>
          <t>ÅRE</t>
        </is>
      </c>
      <c r="G466" t="n">
        <v>1.5</v>
      </c>
      <c r="H466" t="n">
        <v>0</v>
      </c>
      <c r="I466" t="n">
        <v>0</v>
      </c>
      <c r="J466" t="n">
        <v>0</v>
      </c>
      <c r="K466" t="n">
        <v>0</v>
      </c>
      <c r="L466" t="n">
        <v>0</v>
      </c>
      <c r="M466" t="n">
        <v>0</v>
      </c>
      <c r="N466" t="n">
        <v>0</v>
      </c>
      <c r="O466" t="n">
        <v>0</v>
      </c>
      <c r="P466" t="n">
        <v>0</v>
      </c>
      <c r="Q466" t="n">
        <v>0</v>
      </c>
      <c r="R466" s="2" t="inlineStr"/>
    </row>
    <row r="467" ht="15" customHeight="1">
      <c r="A467" t="inlineStr">
        <is>
          <t>A 35054-2025</t>
        </is>
      </c>
      <c r="B467" s="1" t="n">
        <v>45849</v>
      </c>
      <c r="C467" s="1" t="n">
        <v>45880</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27375-2021</t>
        </is>
      </c>
      <c r="B468" s="1" t="n">
        <v>44351</v>
      </c>
      <c r="C468" s="1" t="n">
        <v>45880</v>
      </c>
      <c r="D468" t="inlineStr">
        <is>
          <t>JÄMTLANDS LÄN</t>
        </is>
      </c>
      <c r="E468" t="inlineStr">
        <is>
          <t>ÅRE</t>
        </is>
      </c>
      <c r="G468" t="n">
        <v>7.4</v>
      </c>
      <c r="H468" t="n">
        <v>0</v>
      </c>
      <c r="I468" t="n">
        <v>0</v>
      </c>
      <c r="J468" t="n">
        <v>0</v>
      </c>
      <c r="K468" t="n">
        <v>0</v>
      </c>
      <c r="L468" t="n">
        <v>0</v>
      </c>
      <c r="M468" t="n">
        <v>0</v>
      </c>
      <c r="N468" t="n">
        <v>0</v>
      </c>
      <c r="O468" t="n">
        <v>0</v>
      </c>
      <c r="P468" t="n">
        <v>0</v>
      </c>
      <c r="Q468" t="n">
        <v>0</v>
      </c>
      <c r="R468" s="2" t="inlineStr"/>
    </row>
    <row r="469" ht="15" customHeight="1">
      <c r="A469" t="inlineStr">
        <is>
          <t>A 51277-2023</t>
        </is>
      </c>
      <c r="B469" s="1" t="n">
        <v>45219</v>
      </c>
      <c r="C469" s="1" t="n">
        <v>45880</v>
      </c>
      <c r="D469" t="inlineStr">
        <is>
          <t>JÄMTLANDS LÄN</t>
        </is>
      </c>
      <c r="E469" t="inlineStr">
        <is>
          <t>ÅRE</t>
        </is>
      </c>
      <c r="G469" t="n">
        <v>0.9</v>
      </c>
      <c r="H469" t="n">
        <v>0</v>
      </c>
      <c r="I469" t="n">
        <v>0</v>
      </c>
      <c r="J469" t="n">
        <v>0</v>
      </c>
      <c r="K469" t="n">
        <v>0</v>
      </c>
      <c r="L469" t="n">
        <v>0</v>
      </c>
      <c r="M469" t="n">
        <v>0</v>
      </c>
      <c r="N469" t="n">
        <v>0</v>
      </c>
      <c r="O469" t="n">
        <v>0</v>
      </c>
      <c r="P469" t="n">
        <v>0</v>
      </c>
      <c r="Q469" t="n">
        <v>0</v>
      </c>
      <c r="R469" s="2" t="inlineStr"/>
    </row>
    <row r="470" ht="15" customHeight="1">
      <c r="A470" t="inlineStr">
        <is>
          <t>A 51282-2023</t>
        </is>
      </c>
      <c r="B470" s="1" t="n">
        <v>45219</v>
      </c>
      <c r="C470" s="1" t="n">
        <v>45880</v>
      </c>
      <c r="D470" t="inlineStr">
        <is>
          <t>JÄMTLANDS LÄN</t>
        </is>
      </c>
      <c r="E470" t="inlineStr">
        <is>
          <t>ÅRE</t>
        </is>
      </c>
      <c r="G470" t="n">
        <v>2.3</v>
      </c>
      <c r="H470" t="n">
        <v>0</v>
      </c>
      <c r="I470" t="n">
        <v>0</v>
      </c>
      <c r="J470" t="n">
        <v>0</v>
      </c>
      <c r="K470" t="n">
        <v>0</v>
      </c>
      <c r="L470" t="n">
        <v>0</v>
      </c>
      <c r="M470" t="n">
        <v>0</v>
      </c>
      <c r="N470" t="n">
        <v>0</v>
      </c>
      <c r="O470" t="n">
        <v>0</v>
      </c>
      <c r="P470" t="n">
        <v>0</v>
      </c>
      <c r="Q470" t="n">
        <v>0</v>
      </c>
      <c r="R470" s="2" t="inlineStr"/>
    </row>
    <row r="471" ht="15" customHeight="1">
      <c r="A471" t="inlineStr">
        <is>
          <t>A 17095-2025</t>
        </is>
      </c>
      <c r="B471" s="1" t="n">
        <v>45755</v>
      </c>
      <c r="C471" s="1" t="n">
        <v>45880</v>
      </c>
      <c r="D471" t="inlineStr">
        <is>
          <t>JÄMTLANDS LÄN</t>
        </is>
      </c>
      <c r="E471" t="inlineStr">
        <is>
          <t>ÅRE</t>
        </is>
      </c>
      <c r="G471" t="n">
        <v>6.3</v>
      </c>
      <c r="H471" t="n">
        <v>0</v>
      </c>
      <c r="I471" t="n">
        <v>0</v>
      </c>
      <c r="J471" t="n">
        <v>0</v>
      </c>
      <c r="K471" t="n">
        <v>0</v>
      </c>
      <c r="L471" t="n">
        <v>0</v>
      </c>
      <c r="M471" t="n">
        <v>0</v>
      </c>
      <c r="N471" t="n">
        <v>0</v>
      </c>
      <c r="O471" t="n">
        <v>0</v>
      </c>
      <c r="P471" t="n">
        <v>0</v>
      </c>
      <c r="Q471" t="n">
        <v>0</v>
      </c>
      <c r="R471" s="2" t="inlineStr"/>
    </row>
    <row r="472" ht="15" customHeight="1">
      <c r="A472" t="inlineStr">
        <is>
          <t>A 54385-2023</t>
        </is>
      </c>
      <c r="B472" s="1" t="n">
        <v>45233.35863425926</v>
      </c>
      <c r="C472" s="1" t="n">
        <v>45880</v>
      </c>
      <c r="D472" t="inlineStr">
        <is>
          <t>JÄMTLANDS LÄN</t>
        </is>
      </c>
      <c r="E472" t="inlineStr">
        <is>
          <t>ÅRE</t>
        </is>
      </c>
      <c r="G472" t="n">
        <v>3.7</v>
      </c>
      <c r="H472" t="n">
        <v>0</v>
      </c>
      <c r="I472" t="n">
        <v>0</v>
      </c>
      <c r="J472" t="n">
        <v>0</v>
      </c>
      <c r="K472" t="n">
        <v>0</v>
      </c>
      <c r="L472" t="n">
        <v>0</v>
      </c>
      <c r="M472" t="n">
        <v>0</v>
      </c>
      <c r="N472" t="n">
        <v>0</v>
      </c>
      <c r="O472" t="n">
        <v>0</v>
      </c>
      <c r="P472" t="n">
        <v>0</v>
      </c>
      <c r="Q472" t="n">
        <v>0</v>
      </c>
      <c r="R472" s="2" t="inlineStr"/>
    </row>
    <row r="473" ht="15" customHeight="1">
      <c r="A473" t="inlineStr">
        <is>
          <t>A 16681-2025</t>
        </is>
      </c>
      <c r="B473" s="1" t="n">
        <v>45754</v>
      </c>
      <c r="C473" s="1" t="n">
        <v>45880</v>
      </c>
      <c r="D473" t="inlineStr">
        <is>
          <t>JÄMTLANDS LÄN</t>
        </is>
      </c>
      <c r="E473" t="inlineStr">
        <is>
          <t>ÅRE</t>
        </is>
      </c>
      <c r="G473" t="n">
        <v>9.9</v>
      </c>
      <c r="H473" t="n">
        <v>0</v>
      </c>
      <c r="I473" t="n">
        <v>0</v>
      </c>
      <c r="J473" t="n">
        <v>0</v>
      </c>
      <c r="K473" t="n">
        <v>0</v>
      </c>
      <c r="L473" t="n">
        <v>0</v>
      </c>
      <c r="M473" t="n">
        <v>0</v>
      </c>
      <c r="N473" t="n">
        <v>0</v>
      </c>
      <c r="O473" t="n">
        <v>0</v>
      </c>
      <c r="P473" t="n">
        <v>0</v>
      </c>
      <c r="Q473" t="n">
        <v>0</v>
      </c>
      <c r="R473" s="2" t="inlineStr"/>
    </row>
    <row r="474" ht="15" customHeight="1">
      <c r="A474" t="inlineStr">
        <is>
          <t>A 40653-2022</t>
        </is>
      </c>
      <c r="B474" s="1" t="n">
        <v>44818</v>
      </c>
      <c r="C474" s="1" t="n">
        <v>45880</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36234-2023</t>
        </is>
      </c>
      <c r="B475" s="1" t="n">
        <v>45150</v>
      </c>
      <c r="C475" s="1" t="n">
        <v>45880</v>
      </c>
      <c r="D475" t="inlineStr">
        <is>
          <t>JÄMTLANDS LÄN</t>
        </is>
      </c>
      <c r="E475" t="inlineStr">
        <is>
          <t>ÅRE</t>
        </is>
      </c>
      <c r="G475" t="n">
        <v>0.9</v>
      </c>
      <c r="H475" t="n">
        <v>0</v>
      </c>
      <c r="I475" t="n">
        <v>0</v>
      </c>
      <c r="J475" t="n">
        <v>0</v>
      </c>
      <c r="K475" t="n">
        <v>0</v>
      </c>
      <c r="L475" t="n">
        <v>0</v>
      </c>
      <c r="M475" t="n">
        <v>0</v>
      </c>
      <c r="N475" t="n">
        <v>0</v>
      </c>
      <c r="O475" t="n">
        <v>0</v>
      </c>
      <c r="P475" t="n">
        <v>0</v>
      </c>
      <c r="Q475" t="n">
        <v>0</v>
      </c>
      <c r="R475" s="2" t="inlineStr"/>
    </row>
    <row r="476" ht="15" customHeight="1">
      <c r="A476" t="inlineStr">
        <is>
          <t>A 5651-2023</t>
        </is>
      </c>
      <c r="B476" s="1" t="n">
        <v>44958</v>
      </c>
      <c r="C476" s="1" t="n">
        <v>45880</v>
      </c>
      <c r="D476" t="inlineStr">
        <is>
          <t>JÄMTLANDS LÄN</t>
        </is>
      </c>
      <c r="E476" t="inlineStr">
        <is>
          <t>ÅRE</t>
        </is>
      </c>
      <c r="G476" t="n">
        <v>5.7</v>
      </c>
      <c r="H476" t="n">
        <v>0</v>
      </c>
      <c r="I476" t="n">
        <v>0</v>
      </c>
      <c r="J476" t="n">
        <v>0</v>
      </c>
      <c r="K476" t="n">
        <v>0</v>
      </c>
      <c r="L476" t="n">
        <v>0</v>
      </c>
      <c r="M476" t="n">
        <v>0</v>
      </c>
      <c r="N476" t="n">
        <v>0</v>
      </c>
      <c r="O476" t="n">
        <v>0</v>
      </c>
      <c r="P476" t="n">
        <v>0</v>
      </c>
      <c r="Q476" t="n">
        <v>0</v>
      </c>
      <c r="R476" s="2" t="inlineStr"/>
    </row>
    <row r="477" ht="15" customHeight="1">
      <c r="A477" t="inlineStr">
        <is>
          <t>A 1529-2025</t>
        </is>
      </c>
      <c r="B477" s="1" t="n">
        <v>45670</v>
      </c>
      <c r="C477" s="1" t="n">
        <v>45880</v>
      </c>
      <c r="D477" t="inlineStr">
        <is>
          <t>JÄMTLANDS LÄN</t>
        </is>
      </c>
      <c r="E477" t="inlineStr">
        <is>
          <t>ÅRE</t>
        </is>
      </c>
      <c r="G477" t="n">
        <v>13.3</v>
      </c>
      <c r="H477" t="n">
        <v>0</v>
      </c>
      <c r="I477" t="n">
        <v>0</v>
      </c>
      <c r="J477" t="n">
        <v>0</v>
      </c>
      <c r="K477" t="n">
        <v>0</v>
      </c>
      <c r="L477" t="n">
        <v>0</v>
      </c>
      <c r="M477" t="n">
        <v>0</v>
      </c>
      <c r="N477" t="n">
        <v>0</v>
      </c>
      <c r="O477" t="n">
        <v>0</v>
      </c>
      <c r="P477" t="n">
        <v>0</v>
      </c>
      <c r="Q477" t="n">
        <v>0</v>
      </c>
      <c r="R477" s="2" t="inlineStr"/>
    </row>
    <row r="478" ht="15" customHeight="1">
      <c r="A478" t="inlineStr">
        <is>
          <t>A 1541-2025</t>
        </is>
      </c>
      <c r="B478" s="1" t="n">
        <v>45670</v>
      </c>
      <c r="C478" s="1" t="n">
        <v>45880</v>
      </c>
      <c r="D478" t="inlineStr">
        <is>
          <t>JÄMTLANDS LÄN</t>
        </is>
      </c>
      <c r="E478" t="inlineStr">
        <is>
          <t>ÅRE</t>
        </is>
      </c>
      <c r="G478" t="n">
        <v>16.4</v>
      </c>
      <c r="H478" t="n">
        <v>0</v>
      </c>
      <c r="I478" t="n">
        <v>0</v>
      </c>
      <c r="J478" t="n">
        <v>0</v>
      </c>
      <c r="K478" t="n">
        <v>0</v>
      </c>
      <c r="L478" t="n">
        <v>0</v>
      </c>
      <c r="M478" t="n">
        <v>0</v>
      </c>
      <c r="N478" t="n">
        <v>0</v>
      </c>
      <c r="O478" t="n">
        <v>0</v>
      </c>
      <c r="P478" t="n">
        <v>0</v>
      </c>
      <c r="Q478" t="n">
        <v>0</v>
      </c>
      <c r="R478" s="2" t="inlineStr"/>
    </row>
    <row r="479" ht="15" customHeight="1">
      <c r="A479" t="inlineStr">
        <is>
          <t>A 49303-2024</t>
        </is>
      </c>
      <c r="B479" s="1" t="n">
        <v>45595</v>
      </c>
      <c r="C479" s="1" t="n">
        <v>45880</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24655-2023</t>
        </is>
      </c>
      <c r="B480" s="1" t="n">
        <v>45084.47790509259</v>
      </c>
      <c r="C480" s="1" t="n">
        <v>45880</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16667-2025</t>
        </is>
      </c>
      <c r="B481" s="1" t="n">
        <v>45754</v>
      </c>
      <c r="C481" s="1" t="n">
        <v>45880</v>
      </c>
      <c r="D481" t="inlineStr">
        <is>
          <t>JÄMTLANDS LÄN</t>
        </is>
      </c>
      <c r="E481" t="inlineStr">
        <is>
          <t>ÅRE</t>
        </is>
      </c>
      <c r="G481" t="n">
        <v>9.5</v>
      </c>
      <c r="H481" t="n">
        <v>0</v>
      </c>
      <c r="I481" t="n">
        <v>0</v>
      </c>
      <c r="J481" t="n">
        <v>0</v>
      </c>
      <c r="K481" t="n">
        <v>0</v>
      </c>
      <c r="L481" t="n">
        <v>0</v>
      </c>
      <c r="M481" t="n">
        <v>0</v>
      </c>
      <c r="N481" t="n">
        <v>0</v>
      </c>
      <c r="O481" t="n">
        <v>0</v>
      </c>
      <c r="P481" t="n">
        <v>0</v>
      </c>
      <c r="Q481" t="n">
        <v>0</v>
      </c>
      <c r="R481" s="2" t="inlineStr"/>
    </row>
    <row r="482" ht="15" customHeight="1">
      <c r="A482" t="inlineStr">
        <is>
          <t>A 66790-2020</t>
        </is>
      </c>
      <c r="B482" s="1" t="n">
        <v>44179</v>
      </c>
      <c r="C482" s="1" t="n">
        <v>45880</v>
      </c>
      <c r="D482" t="inlineStr">
        <is>
          <t>JÄMTLANDS LÄN</t>
        </is>
      </c>
      <c r="E482" t="inlineStr">
        <is>
          <t>ÅRE</t>
        </is>
      </c>
      <c r="G482" t="n">
        <v>2.3</v>
      </c>
      <c r="H482" t="n">
        <v>0</v>
      </c>
      <c r="I482" t="n">
        <v>0</v>
      </c>
      <c r="J482" t="n">
        <v>0</v>
      </c>
      <c r="K482" t="n">
        <v>0</v>
      </c>
      <c r="L482" t="n">
        <v>0</v>
      </c>
      <c r="M482" t="n">
        <v>0</v>
      </c>
      <c r="N482" t="n">
        <v>0</v>
      </c>
      <c r="O482" t="n">
        <v>0</v>
      </c>
      <c r="P482" t="n">
        <v>0</v>
      </c>
      <c r="Q482" t="n">
        <v>0</v>
      </c>
      <c r="R482" s="2" t="inlineStr"/>
    </row>
    <row r="483" ht="15" customHeight="1">
      <c r="A483" t="inlineStr">
        <is>
          <t>A 12669-2023</t>
        </is>
      </c>
      <c r="B483" s="1" t="n">
        <v>45000</v>
      </c>
      <c r="C483" s="1" t="n">
        <v>45880</v>
      </c>
      <c r="D483" t="inlineStr">
        <is>
          <t>JÄMTLANDS LÄN</t>
        </is>
      </c>
      <c r="E483" t="inlineStr">
        <is>
          <t>ÅRE</t>
        </is>
      </c>
      <c r="F483" t="inlineStr">
        <is>
          <t>Övriga Aktiebolag</t>
        </is>
      </c>
      <c r="G483" t="n">
        <v>2.8</v>
      </c>
      <c r="H483" t="n">
        <v>0</v>
      </c>
      <c r="I483" t="n">
        <v>0</v>
      </c>
      <c r="J483" t="n">
        <v>0</v>
      </c>
      <c r="K483" t="n">
        <v>0</v>
      </c>
      <c r="L483" t="n">
        <v>0</v>
      </c>
      <c r="M483" t="n">
        <v>0</v>
      </c>
      <c r="N483" t="n">
        <v>0</v>
      </c>
      <c r="O483" t="n">
        <v>0</v>
      </c>
      <c r="P483" t="n">
        <v>0</v>
      </c>
      <c r="Q483" t="n">
        <v>0</v>
      </c>
      <c r="R483" s="2" t="inlineStr"/>
    </row>
    <row r="484" ht="15" customHeight="1">
      <c r="A484" t="inlineStr">
        <is>
          <t>A 8788-2025</t>
        </is>
      </c>
      <c r="B484" s="1" t="n">
        <v>45712</v>
      </c>
      <c r="C484" s="1" t="n">
        <v>45880</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59916-2023</t>
        </is>
      </c>
      <c r="B485" s="1" t="n">
        <v>45257.64270833333</v>
      </c>
      <c r="C485" s="1" t="n">
        <v>45880</v>
      </c>
      <c r="D485" t="inlineStr">
        <is>
          <t>JÄMTLANDS LÄN</t>
        </is>
      </c>
      <c r="E485" t="inlineStr">
        <is>
          <t>ÅRE</t>
        </is>
      </c>
      <c r="G485" t="n">
        <v>0.7</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44854.46388888889</v>
      </c>
      <c r="C486" s="1" t="n">
        <v>45880</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13561-2025</t>
        </is>
      </c>
      <c r="B487" s="1" t="n">
        <v>45736.5587037037</v>
      </c>
      <c r="C487" s="1" t="n">
        <v>45880</v>
      </c>
      <c r="D487" t="inlineStr">
        <is>
          <t>JÄMTLANDS LÄN</t>
        </is>
      </c>
      <c r="E487" t="inlineStr">
        <is>
          <t>ÅRE</t>
        </is>
      </c>
      <c r="F487" t="inlineStr">
        <is>
          <t>Övriga statliga verk och myndigheter</t>
        </is>
      </c>
      <c r="G487" t="n">
        <v>3.8</v>
      </c>
      <c r="H487" t="n">
        <v>0</v>
      </c>
      <c r="I487" t="n">
        <v>0</v>
      </c>
      <c r="J487" t="n">
        <v>0</v>
      </c>
      <c r="K487" t="n">
        <v>0</v>
      </c>
      <c r="L487" t="n">
        <v>0</v>
      </c>
      <c r="M487" t="n">
        <v>0</v>
      </c>
      <c r="N487" t="n">
        <v>0</v>
      </c>
      <c r="O487" t="n">
        <v>0</v>
      </c>
      <c r="P487" t="n">
        <v>0</v>
      </c>
      <c r="Q487" t="n">
        <v>0</v>
      </c>
      <c r="R487" s="2" t="inlineStr"/>
    </row>
    <row r="488" ht="15" customHeight="1">
      <c r="A488" t="inlineStr">
        <is>
          <t>A 31388-2021</t>
        </is>
      </c>
      <c r="B488" s="1" t="n">
        <v>44369</v>
      </c>
      <c r="C488" s="1" t="n">
        <v>45880</v>
      </c>
      <c r="D488" t="inlineStr">
        <is>
          <t>JÄMTLANDS LÄN</t>
        </is>
      </c>
      <c r="E488" t="inlineStr">
        <is>
          <t>ÅRE</t>
        </is>
      </c>
      <c r="G488" t="n">
        <v>2</v>
      </c>
      <c r="H488" t="n">
        <v>0</v>
      </c>
      <c r="I488" t="n">
        <v>0</v>
      </c>
      <c r="J488" t="n">
        <v>0</v>
      </c>
      <c r="K488" t="n">
        <v>0</v>
      </c>
      <c r="L488" t="n">
        <v>0</v>
      </c>
      <c r="M488" t="n">
        <v>0</v>
      </c>
      <c r="N488" t="n">
        <v>0</v>
      </c>
      <c r="O488" t="n">
        <v>0</v>
      </c>
      <c r="P488" t="n">
        <v>0</v>
      </c>
      <c r="Q488" t="n">
        <v>0</v>
      </c>
      <c r="R488" s="2" t="inlineStr"/>
    </row>
    <row r="489" ht="15" customHeight="1">
      <c r="A489" t="inlineStr">
        <is>
          <t>A 57448-2023</t>
        </is>
      </c>
      <c r="B489" s="1" t="n">
        <v>45246.34405092592</v>
      </c>
      <c r="C489" s="1" t="n">
        <v>45880</v>
      </c>
      <c r="D489" t="inlineStr">
        <is>
          <t>JÄMTLANDS LÄN</t>
        </is>
      </c>
      <c r="E489" t="inlineStr">
        <is>
          <t>ÅRE</t>
        </is>
      </c>
      <c r="G489" t="n">
        <v>11.9</v>
      </c>
      <c r="H489" t="n">
        <v>0</v>
      </c>
      <c r="I489" t="n">
        <v>0</v>
      </c>
      <c r="J489" t="n">
        <v>0</v>
      </c>
      <c r="K489" t="n">
        <v>0</v>
      </c>
      <c r="L489" t="n">
        <v>0</v>
      </c>
      <c r="M489" t="n">
        <v>0</v>
      </c>
      <c r="N489" t="n">
        <v>0</v>
      </c>
      <c r="O489" t="n">
        <v>0</v>
      </c>
      <c r="P489" t="n">
        <v>0</v>
      </c>
      <c r="Q489" t="n">
        <v>0</v>
      </c>
      <c r="R489" s="2" t="inlineStr"/>
    </row>
    <row r="490" ht="15" customHeight="1">
      <c r="A490" t="inlineStr">
        <is>
          <t>A 23805-2024</t>
        </is>
      </c>
      <c r="B490" s="1" t="n">
        <v>45455.44194444444</v>
      </c>
      <c r="C490" s="1" t="n">
        <v>45880</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27630-2025</t>
        </is>
      </c>
      <c r="B491" s="1" t="n">
        <v>45813</v>
      </c>
      <c r="C491" s="1" t="n">
        <v>45880</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42136-2022</t>
        </is>
      </c>
      <c r="B492" s="1" t="n">
        <v>44830</v>
      </c>
      <c r="C492" s="1" t="n">
        <v>45880</v>
      </c>
      <c r="D492" t="inlineStr">
        <is>
          <t>JÄMTLANDS LÄN</t>
        </is>
      </c>
      <c r="E492" t="inlineStr">
        <is>
          <t>ÅRE</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1159-2023</t>
        </is>
      </c>
      <c r="B493" s="1" t="n">
        <v>44935.66199074074</v>
      </c>
      <c r="C493" s="1" t="n">
        <v>45880</v>
      </c>
      <c r="D493" t="inlineStr">
        <is>
          <t>JÄMTLANDS LÄN</t>
        </is>
      </c>
      <c r="E493" t="inlineStr">
        <is>
          <t>ÅRE</t>
        </is>
      </c>
      <c r="G493" t="n">
        <v>6.4</v>
      </c>
      <c r="H493" t="n">
        <v>0</v>
      </c>
      <c r="I493" t="n">
        <v>0</v>
      </c>
      <c r="J493" t="n">
        <v>0</v>
      </c>
      <c r="K493" t="n">
        <v>0</v>
      </c>
      <c r="L493" t="n">
        <v>0</v>
      </c>
      <c r="M493" t="n">
        <v>0</v>
      </c>
      <c r="N493" t="n">
        <v>0</v>
      </c>
      <c r="O493" t="n">
        <v>0</v>
      </c>
      <c r="P493" t="n">
        <v>0</v>
      </c>
      <c r="Q493" t="n">
        <v>0</v>
      </c>
      <c r="R493" s="2" t="inlineStr"/>
    </row>
    <row r="494" ht="15" customHeight="1">
      <c r="A494" t="inlineStr">
        <is>
          <t>A 19275-2021</t>
        </is>
      </c>
      <c r="B494" s="1" t="n">
        <v>44309</v>
      </c>
      <c r="C494" s="1" t="n">
        <v>45880</v>
      </c>
      <c r="D494" t="inlineStr">
        <is>
          <t>JÄMTLANDS LÄN</t>
        </is>
      </c>
      <c r="E494" t="inlineStr">
        <is>
          <t>ÅRE</t>
        </is>
      </c>
      <c r="G494" t="n">
        <v>16.4</v>
      </c>
      <c r="H494" t="n">
        <v>0</v>
      </c>
      <c r="I494" t="n">
        <v>0</v>
      </c>
      <c r="J494" t="n">
        <v>0</v>
      </c>
      <c r="K494" t="n">
        <v>0</v>
      </c>
      <c r="L494" t="n">
        <v>0</v>
      </c>
      <c r="M494" t="n">
        <v>0</v>
      </c>
      <c r="N494" t="n">
        <v>0</v>
      </c>
      <c r="O494" t="n">
        <v>0</v>
      </c>
      <c r="P494" t="n">
        <v>0</v>
      </c>
      <c r="Q494" t="n">
        <v>0</v>
      </c>
      <c r="R494" s="2" t="inlineStr"/>
    </row>
    <row r="495" ht="15" customHeight="1">
      <c r="A495" t="inlineStr">
        <is>
          <t>A 57864-2024</t>
        </is>
      </c>
      <c r="B495" s="1" t="n">
        <v>45631.43578703704</v>
      </c>
      <c r="C495" s="1" t="n">
        <v>45880</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60016-2020</t>
        </is>
      </c>
      <c r="B496" s="1" t="n">
        <v>44151</v>
      </c>
      <c r="C496" s="1" t="n">
        <v>45880</v>
      </c>
      <c r="D496" t="inlineStr">
        <is>
          <t>JÄMTLANDS LÄN</t>
        </is>
      </c>
      <c r="E496" t="inlineStr">
        <is>
          <t>ÅRE</t>
        </is>
      </c>
      <c r="G496" t="n">
        <v>14.7</v>
      </c>
      <c r="H496" t="n">
        <v>0</v>
      </c>
      <c r="I496" t="n">
        <v>0</v>
      </c>
      <c r="J496" t="n">
        <v>0</v>
      </c>
      <c r="K496" t="n">
        <v>0</v>
      </c>
      <c r="L496" t="n">
        <v>0</v>
      </c>
      <c r="M496" t="n">
        <v>0</v>
      </c>
      <c r="N496" t="n">
        <v>0</v>
      </c>
      <c r="O496" t="n">
        <v>0</v>
      </c>
      <c r="P496" t="n">
        <v>0</v>
      </c>
      <c r="Q496" t="n">
        <v>0</v>
      </c>
      <c r="R496" s="2" t="inlineStr"/>
    </row>
    <row r="497" ht="15" customHeight="1">
      <c r="A497" t="inlineStr">
        <is>
          <t>A 25267-2025</t>
        </is>
      </c>
      <c r="B497" s="1" t="n">
        <v>45800.54049768519</v>
      </c>
      <c r="C497" s="1" t="n">
        <v>45880</v>
      </c>
      <c r="D497" t="inlineStr">
        <is>
          <t>JÄMTLANDS LÄN</t>
        </is>
      </c>
      <c r="E497" t="inlineStr">
        <is>
          <t>ÅRE</t>
        </is>
      </c>
      <c r="G497" t="n">
        <v>8.1</v>
      </c>
      <c r="H497" t="n">
        <v>0</v>
      </c>
      <c r="I497" t="n">
        <v>0</v>
      </c>
      <c r="J497" t="n">
        <v>0</v>
      </c>
      <c r="K497" t="n">
        <v>0</v>
      </c>
      <c r="L497" t="n">
        <v>0</v>
      </c>
      <c r="M497" t="n">
        <v>0</v>
      </c>
      <c r="N497" t="n">
        <v>0</v>
      </c>
      <c r="O497" t="n">
        <v>0</v>
      </c>
      <c r="P497" t="n">
        <v>0</v>
      </c>
      <c r="Q497" t="n">
        <v>0</v>
      </c>
      <c r="R497" s="2" t="inlineStr"/>
    </row>
    <row r="498" ht="15" customHeight="1">
      <c r="A498" t="inlineStr">
        <is>
          <t>A 58508-2023</t>
        </is>
      </c>
      <c r="B498" s="1" t="n">
        <v>45246</v>
      </c>
      <c r="C498" s="1" t="n">
        <v>45880</v>
      </c>
      <c r="D498" t="inlineStr">
        <is>
          <t>JÄMTLANDS LÄN</t>
        </is>
      </c>
      <c r="E498" t="inlineStr">
        <is>
          <t>ÅRE</t>
        </is>
      </c>
      <c r="G498" t="n">
        <v>21.8</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45880</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36013-2025</t>
        </is>
      </c>
      <c r="B500" s="1" t="n">
        <v>45863.60643518518</v>
      </c>
      <c r="C500" s="1" t="n">
        <v>45880</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36015-2025</t>
        </is>
      </c>
      <c r="B501" s="1" t="n">
        <v>45863.61373842593</v>
      </c>
      <c r="C501" s="1" t="n">
        <v>45880</v>
      </c>
      <c r="D501" t="inlineStr">
        <is>
          <t>JÄMTLANDS LÄN</t>
        </is>
      </c>
      <c r="E501" t="inlineStr">
        <is>
          <t>ÅRE</t>
        </is>
      </c>
      <c r="G501" t="n">
        <v>0.7</v>
      </c>
      <c r="H501" t="n">
        <v>0</v>
      </c>
      <c r="I501" t="n">
        <v>0</v>
      </c>
      <c r="J501" t="n">
        <v>0</v>
      </c>
      <c r="K501" t="n">
        <v>0</v>
      </c>
      <c r="L501" t="n">
        <v>0</v>
      </c>
      <c r="M501" t="n">
        <v>0</v>
      </c>
      <c r="N501" t="n">
        <v>0</v>
      </c>
      <c r="O501" t="n">
        <v>0</v>
      </c>
      <c r="P501" t="n">
        <v>0</v>
      </c>
      <c r="Q501" t="n">
        <v>0</v>
      </c>
      <c r="R501" s="2" t="inlineStr"/>
    </row>
    <row r="502" ht="15" customHeight="1">
      <c r="A502" t="inlineStr">
        <is>
          <t>A 61803-2021</t>
        </is>
      </c>
      <c r="B502" s="1" t="n">
        <v>44498</v>
      </c>
      <c r="C502" s="1" t="n">
        <v>45880</v>
      </c>
      <c r="D502" t="inlineStr">
        <is>
          <t>JÄMTLANDS LÄN</t>
        </is>
      </c>
      <c r="E502" t="inlineStr">
        <is>
          <t>ÅRE</t>
        </is>
      </c>
      <c r="G502" t="n">
        <v>0.9</v>
      </c>
      <c r="H502" t="n">
        <v>0</v>
      </c>
      <c r="I502" t="n">
        <v>0</v>
      </c>
      <c r="J502" t="n">
        <v>0</v>
      </c>
      <c r="K502" t="n">
        <v>0</v>
      </c>
      <c r="L502" t="n">
        <v>0</v>
      </c>
      <c r="M502" t="n">
        <v>0</v>
      </c>
      <c r="N502" t="n">
        <v>0</v>
      </c>
      <c r="O502" t="n">
        <v>0</v>
      </c>
      <c r="P502" t="n">
        <v>0</v>
      </c>
      <c r="Q502" t="n">
        <v>0</v>
      </c>
      <c r="R502" s="2" t="inlineStr"/>
    </row>
    <row r="503" ht="15" customHeight="1">
      <c r="A503" t="inlineStr">
        <is>
          <t>A 12292-2023</t>
        </is>
      </c>
      <c r="B503" s="1" t="n">
        <v>44998</v>
      </c>
      <c r="C503" s="1" t="n">
        <v>45880</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12294-2023</t>
        </is>
      </c>
      <c r="B504" s="1" t="n">
        <v>44998.75266203703</v>
      </c>
      <c r="C504" s="1" t="n">
        <v>45880</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15889-2025</t>
        </is>
      </c>
      <c r="B505" s="1" t="n">
        <v>45749.4075</v>
      </c>
      <c r="C505" s="1" t="n">
        <v>45880</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18264-2023</t>
        </is>
      </c>
      <c r="B506" s="1" t="n">
        <v>45041</v>
      </c>
      <c r="C506" s="1" t="n">
        <v>45880</v>
      </c>
      <c r="D506" t="inlineStr">
        <is>
          <t>JÄMTLANDS LÄN</t>
        </is>
      </c>
      <c r="E506" t="inlineStr">
        <is>
          <t>ÅRE</t>
        </is>
      </c>
      <c r="G506" t="n">
        <v>0.2</v>
      </c>
      <c r="H506" t="n">
        <v>0</v>
      </c>
      <c r="I506" t="n">
        <v>0</v>
      </c>
      <c r="J506" t="n">
        <v>0</v>
      </c>
      <c r="K506" t="n">
        <v>0</v>
      </c>
      <c r="L506" t="n">
        <v>0</v>
      </c>
      <c r="M506" t="n">
        <v>0</v>
      </c>
      <c r="N506" t="n">
        <v>0</v>
      </c>
      <c r="O506" t="n">
        <v>0</v>
      </c>
      <c r="P506" t="n">
        <v>0</v>
      </c>
      <c r="Q506" t="n">
        <v>0</v>
      </c>
      <c r="R506" s="2" t="inlineStr"/>
    </row>
    <row r="507" ht="15" customHeight="1">
      <c r="A507" t="inlineStr">
        <is>
          <t>A 30080-2024</t>
        </is>
      </c>
      <c r="B507" s="1" t="n">
        <v>45485</v>
      </c>
      <c r="C507" s="1" t="n">
        <v>45880</v>
      </c>
      <c r="D507" t="inlineStr">
        <is>
          <t>JÄMTLANDS LÄN</t>
        </is>
      </c>
      <c r="E507" t="inlineStr">
        <is>
          <t>ÅRE</t>
        </is>
      </c>
      <c r="G507" t="n">
        <v>24.6</v>
      </c>
      <c r="H507" t="n">
        <v>0</v>
      </c>
      <c r="I507" t="n">
        <v>0</v>
      </c>
      <c r="J507" t="n">
        <v>0</v>
      </c>
      <c r="K507" t="n">
        <v>0</v>
      </c>
      <c r="L507" t="n">
        <v>0</v>
      </c>
      <c r="M507" t="n">
        <v>0</v>
      </c>
      <c r="N507" t="n">
        <v>0</v>
      </c>
      <c r="O507" t="n">
        <v>0</v>
      </c>
      <c r="P507" t="n">
        <v>0</v>
      </c>
      <c r="Q507" t="n">
        <v>0</v>
      </c>
      <c r="R507" s="2" t="inlineStr"/>
    </row>
    <row r="508" ht="15" customHeight="1">
      <c r="A508" t="inlineStr">
        <is>
          <t>A 30081-2024</t>
        </is>
      </c>
      <c r="B508" s="1" t="n">
        <v>45485</v>
      </c>
      <c r="C508" s="1" t="n">
        <v>45880</v>
      </c>
      <c r="D508" t="inlineStr">
        <is>
          <t>JÄMTLANDS LÄN</t>
        </is>
      </c>
      <c r="E508" t="inlineStr">
        <is>
          <t>ÅRE</t>
        </is>
      </c>
      <c r="G508" t="n">
        <v>17.8</v>
      </c>
      <c r="H508" t="n">
        <v>0</v>
      </c>
      <c r="I508" t="n">
        <v>0</v>
      </c>
      <c r="J508" t="n">
        <v>0</v>
      </c>
      <c r="K508" t="n">
        <v>0</v>
      </c>
      <c r="L508" t="n">
        <v>0</v>
      </c>
      <c r="M508" t="n">
        <v>0</v>
      </c>
      <c r="N508" t="n">
        <v>0</v>
      </c>
      <c r="O508" t="n">
        <v>0</v>
      </c>
      <c r="P508" t="n">
        <v>0</v>
      </c>
      <c r="Q508" t="n">
        <v>0</v>
      </c>
      <c r="R508" s="2" t="inlineStr"/>
    </row>
    <row r="509" ht="15" customHeight="1">
      <c r="A509" t="inlineStr">
        <is>
          <t>A 32210-2022</t>
        </is>
      </c>
      <c r="B509" s="1" t="n">
        <v>44781</v>
      </c>
      <c r="C509" s="1" t="n">
        <v>45880</v>
      </c>
      <c r="D509" t="inlineStr">
        <is>
          <t>JÄMTLANDS LÄN</t>
        </is>
      </c>
      <c r="E509" t="inlineStr">
        <is>
          <t>ÅRE</t>
        </is>
      </c>
      <c r="G509" t="n">
        <v>17.3</v>
      </c>
      <c r="H509" t="n">
        <v>0</v>
      </c>
      <c r="I509" t="n">
        <v>0</v>
      </c>
      <c r="J509" t="n">
        <v>0</v>
      </c>
      <c r="K509" t="n">
        <v>0</v>
      </c>
      <c r="L509" t="n">
        <v>0</v>
      </c>
      <c r="M509" t="n">
        <v>0</v>
      </c>
      <c r="N509" t="n">
        <v>0</v>
      </c>
      <c r="O509" t="n">
        <v>0</v>
      </c>
      <c r="P509" t="n">
        <v>0</v>
      </c>
      <c r="Q509" t="n">
        <v>0</v>
      </c>
      <c r="R509" s="2" t="inlineStr"/>
    </row>
    <row r="510" ht="15" customHeight="1">
      <c r="A510" t="inlineStr">
        <is>
          <t>A 71968-2021</t>
        </is>
      </c>
      <c r="B510" s="1" t="n">
        <v>44540</v>
      </c>
      <c r="C510" s="1" t="n">
        <v>45880</v>
      </c>
      <c r="D510" t="inlineStr">
        <is>
          <t>JÄMTLANDS LÄN</t>
        </is>
      </c>
      <c r="E510" t="inlineStr">
        <is>
          <t>ÅRE</t>
        </is>
      </c>
      <c r="G510" t="n">
        <v>7</v>
      </c>
      <c r="H510" t="n">
        <v>0</v>
      </c>
      <c r="I510" t="n">
        <v>0</v>
      </c>
      <c r="J510" t="n">
        <v>0</v>
      </c>
      <c r="K510" t="n">
        <v>0</v>
      </c>
      <c r="L510" t="n">
        <v>0</v>
      </c>
      <c r="M510" t="n">
        <v>0</v>
      </c>
      <c r="N510" t="n">
        <v>0</v>
      </c>
      <c r="O510" t="n">
        <v>0</v>
      </c>
      <c r="P510" t="n">
        <v>0</v>
      </c>
      <c r="Q510" t="n">
        <v>0</v>
      </c>
      <c r="R510" s="2" t="inlineStr"/>
    </row>
    <row r="511" ht="15" customHeight="1">
      <c r="A511" t="inlineStr">
        <is>
          <t>A 34931-2025</t>
        </is>
      </c>
      <c r="B511" s="1" t="n">
        <v>45849</v>
      </c>
      <c r="C511" s="1" t="n">
        <v>45880</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5610-2025</t>
        </is>
      </c>
      <c r="B512" s="1" t="n">
        <v>45693.60425925926</v>
      </c>
      <c r="C512" s="1" t="n">
        <v>45880</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911-2022</t>
        </is>
      </c>
      <c r="B513" s="1" t="n">
        <v>44570</v>
      </c>
      <c r="C513" s="1" t="n">
        <v>45880</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22602-2025</t>
        </is>
      </c>
      <c r="B514" s="1" t="n">
        <v>45786</v>
      </c>
      <c r="C514" s="1" t="n">
        <v>45880</v>
      </c>
      <c r="D514" t="inlineStr">
        <is>
          <t>JÄMTLANDS LÄN</t>
        </is>
      </c>
      <c r="E514" t="inlineStr">
        <is>
          <t>ÅRE</t>
        </is>
      </c>
      <c r="G514" t="n">
        <v>13.1</v>
      </c>
      <c r="H514" t="n">
        <v>0</v>
      </c>
      <c r="I514" t="n">
        <v>0</v>
      </c>
      <c r="J514" t="n">
        <v>0</v>
      </c>
      <c r="K514" t="n">
        <v>0</v>
      </c>
      <c r="L514" t="n">
        <v>0</v>
      </c>
      <c r="M514" t="n">
        <v>0</v>
      </c>
      <c r="N514" t="n">
        <v>0</v>
      </c>
      <c r="O514" t="n">
        <v>0</v>
      </c>
      <c r="P514" t="n">
        <v>0</v>
      </c>
      <c r="Q514" t="n">
        <v>0</v>
      </c>
      <c r="R514" s="2" t="inlineStr"/>
    </row>
    <row r="515" ht="15" customHeight="1">
      <c r="A515" t="inlineStr">
        <is>
          <t>A 44512-2023</t>
        </is>
      </c>
      <c r="B515" s="1" t="n">
        <v>45184</v>
      </c>
      <c r="C515" s="1" t="n">
        <v>45880</v>
      </c>
      <c r="D515" t="inlineStr">
        <is>
          <t>JÄMTLANDS LÄN</t>
        </is>
      </c>
      <c r="E515" t="inlineStr">
        <is>
          <t>ÅRE</t>
        </is>
      </c>
      <c r="G515" t="n">
        <v>12.5</v>
      </c>
      <c r="H515" t="n">
        <v>0</v>
      </c>
      <c r="I515" t="n">
        <v>0</v>
      </c>
      <c r="J515" t="n">
        <v>0</v>
      </c>
      <c r="K515" t="n">
        <v>0</v>
      </c>
      <c r="L515" t="n">
        <v>0</v>
      </c>
      <c r="M515" t="n">
        <v>0</v>
      </c>
      <c r="N515" t="n">
        <v>0</v>
      </c>
      <c r="O515" t="n">
        <v>0</v>
      </c>
      <c r="P515" t="n">
        <v>0</v>
      </c>
      <c r="Q515" t="n">
        <v>0</v>
      </c>
      <c r="R515" s="2" t="inlineStr"/>
    </row>
    <row r="516" ht="15" customHeight="1">
      <c r="A516" t="inlineStr">
        <is>
          <t>A 33003-2022</t>
        </is>
      </c>
      <c r="B516" s="1" t="n">
        <v>44784</v>
      </c>
      <c r="C516" s="1" t="n">
        <v>45880</v>
      </c>
      <c r="D516" t="inlineStr">
        <is>
          <t>JÄMTLANDS LÄN</t>
        </is>
      </c>
      <c r="E516" t="inlineStr">
        <is>
          <t>ÅRE</t>
        </is>
      </c>
      <c r="G516" t="n">
        <v>6.1</v>
      </c>
      <c r="H516" t="n">
        <v>0</v>
      </c>
      <c r="I516" t="n">
        <v>0</v>
      </c>
      <c r="J516" t="n">
        <v>0</v>
      </c>
      <c r="K516" t="n">
        <v>0</v>
      </c>
      <c r="L516" t="n">
        <v>0</v>
      </c>
      <c r="M516" t="n">
        <v>0</v>
      </c>
      <c r="N516" t="n">
        <v>0</v>
      </c>
      <c r="O516" t="n">
        <v>0</v>
      </c>
      <c r="P516" t="n">
        <v>0</v>
      </c>
      <c r="Q516" t="n">
        <v>0</v>
      </c>
      <c r="R516" s="2" t="inlineStr"/>
    </row>
    <row r="517" ht="15" customHeight="1">
      <c r="A517" t="inlineStr">
        <is>
          <t>A 5611-2025</t>
        </is>
      </c>
      <c r="B517" s="1" t="n">
        <v>45693.60480324074</v>
      </c>
      <c r="C517" s="1" t="n">
        <v>45880</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4777-2025</t>
        </is>
      </c>
      <c r="B518" s="1" t="n">
        <v>45688</v>
      </c>
      <c r="C518" s="1" t="n">
        <v>45880</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40341-2021</t>
        </is>
      </c>
      <c r="B519" s="1" t="n">
        <v>44419</v>
      </c>
      <c r="C519" s="1" t="n">
        <v>45880</v>
      </c>
      <c r="D519" t="inlineStr">
        <is>
          <t>JÄMTLANDS LÄN</t>
        </is>
      </c>
      <c r="E519" t="inlineStr">
        <is>
          <t>ÅRE</t>
        </is>
      </c>
      <c r="G519" t="n">
        <v>3</v>
      </c>
      <c r="H519" t="n">
        <v>0</v>
      </c>
      <c r="I519" t="n">
        <v>0</v>
      </c>
      <c r="J519" t="n">
        <v>0</v>
      </c>
      <c r="K519" t="n">
        <v>0</v>
      </c>
      <c r="L519" t="n">
        <v>0</v>
      </c>
      <c r="M519" t="n">
        <v>0</v>
      </c>
      <c r="N519" t="n">
        <v>0</v>
      </c>
      <c r="O519" t="n">
        <v>0</v>
      </c>
      <c r="P519" t="n">
        <v>0</v>
      </c>
      <c r="Q519" t="n">
        <v>0</v>
      </c>
      <c r="R519" s="2" t="inlineStr"/>
    </row>
    <row r="520" ht="15" customHeight="1">
      <c r="A520" t="inlineStr">
        <is>
          <t>A 36975-2025</t>
        </is>
      </c>
      <c r="B520" s="1" t="n">
        <v>45874.63773148148</v>
      </c>
      <c r="C520" s="1" t="n">
        <v>45880</v>
      </c>
      <c r="D520" t="inlineStr">
        <is>
          <t>JÄMTLANDS LÄN</t>
        </is>
      </c>
      <c r="E520" t="inlineStr">
        <is>
          <t>ÅRE</t>
        </is>
      </c>
      <c r="F520" t="inlineStr">
        <is>
          <t>Övriga Aktiebolag</t>
        </is>
      </c>
      <c r="G520" t="n">
        <v>3.2</v>
      </c>
      <c r="H520" t="n">
        <v>0</v>
      </c>
      <c r="I520" t="n">
        <v>0</v>
      </c>
      <c r="J520" t="n">
        <v>0</v>
      </c>
      <c r="K520" t="n">
        <v>0</v>
      </c>
      <c r="L520" t="n">
        <v>0</v>
      </c>
      <c r="M520" t="n">
        <v>0</v>
      </c>
      <c r="N520" t="n">
        <v>0</v>
      </c>
      <c r="O520" t="n">
        <v>0</v>
      </c>
      <c r="P520" t="n">
        <v>0</v>
      </c>
      <c r="Q520" t="n">
        <v>0</v>
      </c>
      <c r="R520" s="2" t="inlineStr"/>
    </row>
    <row r="521" ht="15" customHeight="1">
      <c r="A521" t="inlineStr">
        <is>
          <t>A 4937-2025</t>
        </is>
      </c>
      <c r="B521" s="1" t="n">
        <v>45688</v>
      </c>
      <c r="C521" s="1" t="n">
        <v>45880</v>
      </c>
      <c r="D521" t="inlineStr">
        <is>
          <t>JÄMTLANDS LÄN</t>
        </is>
      </c>
      <c r="E521" t="inlineStr">
        <is>
          <t>ÅRE</t>
        </is>
      </c>
      <c r="G521" t="n">
        <v>1.8</v>
      </c>
      <c r="H521" t="n">
        <v>0</v>
      </c>
      <c r="I521" t="n">
        <v>0</v>
      </c>
      <c r="J521" t="n">
        <v>0</v>
      </c>
      <c r="K521" t="n">
        <v>0</v>
      </c>
      <c r="L521" t="n">
        <v>0</v>
      </c>
      <c r="M521" t="n">
        <v>0</v>
      </c>
      <c r="N521" t="n">
        <v>0</v>
      </c>
      <c r="O521" t="n">
        <v>0</v>
      </c>
      <c r="P521" t="n">
        <v>0</v>
      </c>
      <c r="Q521" t="n">
        <v>0</v>
      </c>
      <c r="R521" s="2" t="inlineStr"/>
    </row>
    <row r="522" ht="15" customHeight="1">
      <c r="A522" t="inlineStr">
        <is>
          <t>A 4870-2021</t>
        </is>
      </c>
      <c r="B522" s="1" t="n">
        <v>44225</v>
      </c>
      <c r="C522" s="1" t="n">
        <v>45880</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36974-2025</t>
        </is>
      </c>
      <c r="B523" s="1" t="n">
        <v>45874.63766203704</v>
      </c>
      <c r="C523" s="1" t="n">
        <v>45880</v>
      </c>
      <c r="D523" t="inlineStr">
        <is>
          <t>JÄMTLANDS LÄN</t>
        </is>
      </c>
      <c r="E523" t="inlineStr">
        <is>
          <t>ÅRE</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48599-2023</t>
        </is>
      </c>
      <c r="B524" s="1" t="n">
        <v>45208</v>
      </c>
      <c r="C524" s="1" t="n">
        <v>45880</v>
      </c>
      <c r="D524" t="inlineStr">
        <is>
          <t>JÄMTLANDS LÄN</t>
        </is>
      </c>
      <c r="E524" t="inlineStr">
        <is>
          <t>ÅRE</t>
        </is>
      </c>
      <c r="G524" t="n">
        <v>1.1</v>
      </c>
      <c r="H524" t="n">
        <v>0</v>
      </c>
      <c r="I524" t="n">
        <v>0</v>
      </c>
      <c r="J524" t="n">
        <v>0</v>
      </c>
      <c r="K524" t="n">
        <v>0</v>
      </c>
      <c r="L524" t="n">
        <v>0</v>
      </c>
      <c r="M524" t="n">
        <v>0</v>
      </c>
      <c r="N524" t="n">
        <v>0</v>
      </c>
      <c r="O524" t="n">
        <v>0</v>
      </c>
      <c r="P524" t="n">
        <v>0</v>
      </c>
      <c r="Q524" t="n">
        <v>0</v>
      </c>
      <c r="R524" s="2" t="inlineStr"/>
    </row>
    <row r="525" ht="15" customHeight="1">
      <c r="A525" t="inlineStr">
        <is>
          <t>A 4938-2025</t>
        </is>
      </c>
      <c r="B525" s="1" t="n">
        <v>45688</v>
      </c>
      <c r="C525" s="1" t="n">
        <v>45880</v>
      </c>
      <c r="D525" t="inlineStr">
        <is>
          <t>JÄMTLANDS LÄN</t>
        </is>
      </c>
      <c r="E525" t="inlineStr">
        <is>
          <t>ÅRE</t>
        </is>
      </c>
      <c r="G525" t="n">
        <v>0.9</v>
      </c>
      <c r="H525" t="n">
        <v>0</v>
      </c>
      <c r="I525" t="n">
        <v>0</v>
      </c>
      <c r="J525" t="n">
        <v>0</v>
      </c>
      <c r="K525" t="n">
        <v>0</v>
      </c>
      <c r="L525" t="n">
        <v>0</v>
      </c>
      <c r="M525" t="n">
        <v>0</v>
      </c>
      <c r="N525" t="n">
        <v>0</v>
      </c>
      <c r="O525" t="n">
        <v>0</v>
      </c>
      <c r="P525" t="n">
        <v>0</v>
      </c>
      <c r="Q525" t="n">
        <v>0</v>
      </c>
      <c r="R525" s="2" t="inlineStr"/>
    </row>
    <row r="526" ht="15" customHeight="1">
      <c r="A526" t="inlineStr">
        <is>
          <t>A 42592-2024</t>
        </is>
      </c>
      <c r="B526" s="1" t="n">
        <v>45565</v>
      </c>
      <c r="C526" s="1" t="n">
        <v>45880</v>
      </c>
      <c r="D526" t="inlineStr">
        <is>
          <t>JÄMTLANDS LÄN</t>
        </is>
      </c>
      <c r="E526" t="inlineStr">
        <is>
          <t>ÅRE</t>
        </is>
      </c>
      <c r="F526" t="inlineStr">
        <is>
          <t>Övriga Aktiebolag</t>
        </is>
      </c>
      <c r="G526" t="n">
        <v>4.4</v>
      </c>
      <c r="H526" t="n">
        <v>0</v>
      </c>
      <c r="I526" t="n">
        <v>0</v>
      </c>
      <c r="J526" t="n">
        <v>0</v>
      </c>
      <c r="K526" t="n">
        <v>0</v>
      </c>
      <c r="L526" t="n">
        <v>0</v>
      </c>
      <c r="M526" t="n">
        <v>0</v>
      </c>
      <c r="N526" t="n">
        <v>0</v>
      </c>
      <c r="O526" t="n">
        <v>0</v>
      </c>
      <c r="P526" t="n">
        <v>0</v>
      </c>
      <c r="Q526" t="n">
        <v>0</v>
      </c>
      <c r="R526" s="2" t="inlineStr"/>
    </row>
    <row r="527" ht="15" customHeight="1">
      <c r="A527" t="inlineStr">
        <is>
          <t>A 46444-2024</t>
        </is>
      </c>
      <c r="B527" s="1" t="n">
        <v>45582</v>
      </c>
      <c r="C527" s="1" t="n">
        <v>45880</v>
      </c>
      <c r="D527" t="inlineStr">
        <is>
          <t>JÄMTLANDS LÄN</t>
        </is>
      </c>
      <c r="E527" t="inlineStr">
        <is>
          <t>ÅRE</t>
        </is>
      </c>
      <c r="G527" t="n">
        <v>19.6</v>
      </c>
      <c r="H527" t="n">
        <v>0</v>
      </c>
      <c r="I527" t="n">
        <v>0</v>
      </c>
      <c r="J527" t="n">
        <v>0</v>
      </c>
      <c r="K527" t="n">
        <v>0</v>
      </c>
      <c r="L527" t="n">
        <v>0</v>
      </c>
      <c r="M527" t="n">
        <v>0</v>
      </c>
      <c r="N527" t="n">
        <v>0</v>
      </c>
      <c r="O527" t="n">
        <v>0</v>
      </c>
      <c r="P527" t="n">
        <v>0</v>
      </c>
      <c r="Q527" t="n">
        <v>0</v>
      </c>
      <c r="R527" s="2" t="inlineStr"/>
    </row>
    <row r="528" ht="15" customHeight="1">
      <c r="A528" t="inlineStr">
        <is>
          <t>A 46259-2024</t>
        </is>
      </c>
      <c r="B528" s="1" t="n">
        <v>45581</v>
      </c>
      <c r="C528" s="1" t="n">
        <v>45880</v>
      </c>
      <c r="D528" t="inlineStr">
        <is>
          <t>JÄMTLANDS LÄN</t>
        </is>
      </c>
      <c r="E528" t="inlineStr">
        <is>
          <t>ÅRE</t>
        </is>
      </c>
      <c r="G528" t="n">
        <v>4.7</v>
      </c>
      <c r="H528" t="n">
        <v>0</v>
      </c>
      <c r="I528" t="n">
        <v>0</v>
      </c>
      <c r="J528" t="n">
        <v>0</v>
      </c>
      <c r="K528" t="n">
        <v>0</v>
      </c>
      <c r="L528" t="n">
        <v>0</v>
      </c>
      <c r="M528" t="n">
        <v>0</v>
      </c>
      <c r="N528" t="n">
        <v>0</v>
      </c>
      <c r="O528" t="n">
        <v>0</v>
      </c>
      <c r="P528" t="n">
        <v>0</v>
      </c>
      <c r="Q528" t="n">
        <v>0</v>
      </c>
      <c r="R528" s="2" t="inlineStr"/>
    </row>
    <row r="529" ht="15" customHeight="1">
      <c r="A529" t="inlineStr">
        <is>
          <t>A 20160-2025</t>
        </is>
      </c>
      <c r="B529" s="1" t="n">
        <v>45772.56753472222</v>
      </c>
      <c r="C529" s="1" t="n">
        <v>45880</v>
      </c>
      <c r="D529" t="inlineStr">
        <is>
          <t>JÄMTLANDS LÄN</t>
        </is>
      </c>
      <c r="E529" t="inlineStr">
        <is>
          <t>ÅRE</t>
        </is>
      </c>
      <c r="G529" t="n">
        <v>0.8</v>
      </c>
      <c r="H529" t="n">
        <v>0</v>
      </c>
      <c r="I529" t="n">
        <v>0</v>
      </c>
      <c r="J529" t="n">
        <v>0</v>
      </c>
      <c r="K529" t="n">
        <v>0</v>
      </c>
      <c r="L529" t="n">
        <v>0</v>
      </c>
      <c r="M529" t="n">
        <v>0</v>
      </c>
      <c r="N529" t="n">
        <v>0</v>
      </c>
      <c r="O529" t="n">
        <v>0</v>
      </c>
      <c r="P529" t="n">
        <v>0</v>
      </c>
      <c r="Q529" t="n">
        <v>0</v>
      </c>
      <c r="R529" s="2" t="inlineStr"/>
    </row>
    <row r="530" ht="15" customHeight="1">
      <c r="A530" t="inlineStr">
        <is>
          <t>A 59215-2024</t>
        </is>
      </c>
      <c r="B530" s="1" t="n">
        <v>45636</v>
      </c>
      <c r="C530" s="1" t="n">
        <v>45880</v>
      </c>
      <c r="D530" t="inlineStr">
        <is>
          <t>JÄMTLANDS LÄN</t>
        </is>
      </c>
      <c r="E530" t="inlineStr">
        <is>
          <t>ÅRE</t>
        </is>
      </c>
      <c r="G530" t="n">
        <v>0.8</v>
      </c>
      <c r="H530" t="n">
        <v>0</v>
      </c>
      <c r="I530" t="n">
        <v>0</v>
      </c>
      <c r="J530" t="n">
        <v>0</v>
      </c>
      <c r="K530" t="n">
        <v>0</v>
      </c>
      <c r="L530" t="n">
        <v>0</v>
      </c>
      <c r="M530" t="n">
        <v>0</v>
      </c>
      <c r="N530" t="n">
        <v>0</v>
      </c>
      <c r="O530" t="n">
        <v>0</v>
      </c>
      <c r="P530" t="n">
        <v>0</v>
      </c>
      <c r="Q530" t="n">
        <v>0</v>
      </c>
      <c r="R530" s="2" t="inlineStr"/>
    </row>
    <row r="531" ht="15" customHeight="1">
      <c r="A531" t="inlineStr">
        <is>
          <t>A 37178-2025</t>
        </is>
      </c>
      <c r="B531" s="1" t="n">
        <v>45875.61548611111</v>
      </c>
      <c r="C531" s="1" t="n">
        <v>45880</v>
      </c>
      <c r="D531" t="inlineStr">
        <is>
          <t>JÄMTLANDS LÄN</t>
        </is>
      </c>
      <c r="E531" t="inlineStr">
        <is>
          <t>ÅRE</t>
        </is>
      </c>
      <c r="G531" t="n">
        <v>5</v>
      </c>
      <c r="H531" t="n">
        <v>0</v>
      </c>
      <c r="I531" t="n">
        <v>0</v>
      </c>
      <c r="J531" t="n">
        <v>0</v>
      </c>
      <c r="K531" t="n">
        <v>0</v>
      </c>
      <c r="L531" t="n">
        <v>0</v>
      </c>
      <c r="M531" t="n">
        <v>0</v>
      </c>
      <c r="N531" t="n">
        <v>0</v>
      </c>
      <c r="O531" t="n">
        <v>0</v>
      </c>
      <c r="P531" t="n">
        <v>0</v>
      </c>
      <c r="Q531" t="n">
        <v>0</v>
      </c>
      <c r="R531" s="2" t="inlineStr"/>
    </row>
    <row r="532" ht="15" customHeight="1">
      <c r="A532" t="inlineStr">
        <is>
          <t>A 58940-2021</t>
        </is>
      </c>
      <c r="B532" s="1" t="n">
        <v>44489</v>
      </c>
      <c r="C532" s="1" t="n">
        <v>45880</v>
      </c>
      <c r="D532" t="inlineStr">
        <is>
          <t>JÄMTLANDS LÄN</t>
        </is>
      </c>
      <c r="E532" t="inlineStr">
        <is>
          <t>ÅRE</t>
        </is>
      </c>
      <c r="G532" t="n">
        <v>5.8</v>
      </c>
      <c r="H532" t="n">
        <v>0</v>
      </c>
      <c r="I532" t="n">
        <v>0</v>
      </c>
      <c r="J532" t="n">
        <v>0</v>
      </c>
      <c r="K532" t="n">
        <v>0</v>
      </c>
      <c r="L532" t="n">
        <v>0</v>
      </c>
      <c r="M532" t="n">
        <v>0</v>
      </c>
      <c r="N532" t="n">
        <v>0</v>
      </c>
      <c r="O532" t="n">
        <v>0</v>
      </c>
      <c r="P532" t="n">
        <v>0</v>
      </c>
      <c r="Q532" t="n">
        <v>0</v>
      </c>
      <c r="R532" s="2" t="inlineStr"/>
    </row>
    <row r="533" ht="15" customHeight="1">
      <c r="A533" t="inlineStr">
        <is>
          <t>A 37118-2025</t>
        </is>
      </c>
      <c r="B533" s="1" t="n">
        <v>45875.51172453703</v>
      </c>
      <c r="C533" s="1" t="n">
        <v>45880</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37159-2025</t>
        </is>
      </c>
      <c r="B534" s="1" t="n">
        <v>45875.59408564815</v>
      </c>
      <c r="C534" s="1" t="n">
        <v>45880</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15305-2021</t>
        </is>
      </c>
      <c r="B535" s="1" t="n">
        <v>44284</v>
      </c>
      <c r="C535" s="1" t="n">
        <v>45880</v>
      </c>
      <c r="D535" t="inlineStr">
        <is>
          <t>JÄMTLANDS LÄN</t>
        </is>
      </c>
      <c r="E535" t="inlineStr">
        <is>
          <t>ÅRE</t>
        </is>
      </c>
      <c r="G535" t="n">
        <v>1.2</v>
      </c>
      <c r="H535" t="n">
        <v>0</v>
      </c>
      <c r="I535" t="n">
        <v>0</v>
      </c>
      <c r="J535" t="n">
        <v>0</v>
      </c>
      <c r="K535" t="n">
        <v>0</v>
      </c>
      <c r="L535" t="n">
        <v>0</v>
      </c>
      <c r="M535" t="n">
        <v>0</v>
      </c>
      <c r="N535" t="n">
        <v>0</v>
      </c>
      <c r="O535" t="n">
        <v>0</v>
      </c>
      <c r="P535" t="n">
        <v>0</v>
      </c>
      <c r="Q535" t="n">
        <v>0</v>
      </c>
      <c r="R535" s="2" t="inlineStr"/>
    </row>
    <row r="536" ht="15" customHeight="1">
      <c r="A536" t="inlineStr">
        <is>
          <t>A 37249-2025</t>
        </is>
      </c>
      <c r="B536" s="1" t="n">
        <v>45876.40699074074</v>
      </c>
      <c r="C536" s="1" t="n">
        <v>45880</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37158-2025</t>
        </is>
      </c>
      <c r="B537" s="1" t="n">
        <v>45875.5940625</v>
      </c>
      <c r="C537" s="1" t="n">
        <v>45880</v>
      </c>
      <c r="D537" t="inlineStr">
        <is>
          <t>JÄMTLANDS LÄN</t>
        </is>
      </c>
      <c r="E537" t="inlineStr">
        <is>
          <t>ÅRE</t>
        </is>
      </c>
      <c r="G537" t="n">
        <v>4.7</v>
      </c>
      <c r="H537" t="n">
        <v>0</v>
      </c>
      <c r="I537" t="n">
        <v>0</v>
      </c>
      <c r="J537" t="n">
        <v>0</v>
      </c>
      <c r="K537" t="n">
        <v>0</v>
      </c>
      <c r="L537" t="n">
        <v>0</v>
      </c>
      <c r="M537" t="n">
        <v>0</v>
      </c>
      <c r="N537" t="n">
        <v>0</v>
      </c>
      <c r="O537" t="n">
        <v>0</v>
      </c>
      <c r="P537" t="n">
        <v>0</v>
      </c>
      <c r="Q537" t="n">
        <v>0</v>
      </c>
      <c r="R537" s="2" t="inlineStr"/>
    </row>
    <row r="538" ht="15" customHeight="1">
      <c r="A538" t="inlineStr">
        <is>
          <t>A 12179-2023</t>
        </is>
      </c>
      <c r="B538" s="1" t="n">
        <v>44998</v>
      </c>
      <c r="C538" s="1" t="n">
        <v>45880</v>
      </c>
      <c r="D538" t="inlineStr">
        <is>
          <t>JÄMTLANDS LÄN</t>
        </is>
      </c>
      <c r="E538" t="inlineStr">
        <is>
          <t>ÅRE</t>
        </is>
      </c>
      <c r="G538" t="n">
        <v>8.5</v>
      </c>
      <c r="H538" t="n">
        <v>0</v>
      </c>
      <c r="I538" t="n">
        <v>0</v>
      </c>
      <c r="J538" t="n">
        <v>0</v>
      </c>
      <c r="K538" t="n">
        <v>0</v>
      </c>
      <c r="L538" t="n">
        <v>0</v>
      </c>
      <c r="M538" t="n">
        <v>0</v>
      </c>
      <c r="N538" t="n">
        <v>0</v>
      </c>
      <c r="O538" t="n">
        <v>0</v>
      </c>
      <c r="P538" t="n">
        <v>0</v>
      </c>
      <c r="Q538" t="n">
        <v>0</v>
      </c>
      <c r="R538" s="2" t="inlineStr"/>
    </row>
    <row r="539" ht="15" customHeight="1">
      <c r="A539" t="inlineStr">
        <is>
          <t>A 61566-2021</t>
        </is>
      </c>
      <c r="B539" s="1" t="n">
        <v>44496</v>
      </c>
      <c r="C539" s="1" t="n">
        <v>45880</v>
      </c>
      <c r="D539" t="inlineStr">
        <is>
          <t>JÄMTLANDS LÄN</t>
        </is>
      </c>
      <c r="E539" t="inlineStr">
        <is>
          <t>ÅRE</t>
        </is>
      </c>
      <c r="F539" t="inlineStr">
        <is>
          <t>Övriga statliga verk och myndigheter</t>
        </is>
      </c>
      <c r="G539" t="n">
        <v>10.9</v>
      </c>
      <c r="H539" t="n">
        <v>0</v>
      </c>
      <c r="I539" t="n">
        <v>0</v>
      </c>
      <c r="J539" t="n">
        <v>0</v>
      </c>
      <c r="K539" t="n">
        <v>0</v>
      </c>
      <c r="L539" t="n">
        <v>0</v>
      </c>
      <c r="M539" t="n">
        <v>0</v>
      </c>
      <c r="N539" t="n">
        <v>0</v>
      </c>
      <c r="O539" t="n">
        <v>0</v>
      </c>
      <c r="P539" t="n">
        <v>0</v>
      </c>
      <c r="Q539" t="n">
        <v>0</v>
      </c>
      <c r="R539" s="2" t="inlineStr"/>
    </row>
    <row r="540" ht="15" customHeight="1">
      <c r="A540" t="inlineStr">
        <is>
          <t>A 61340-2022</t>
        </is>
      </c>
      <c r="B540" s="1" t="n">
        <v>44909</v>
      </c>
      <c r="C540" s="1" t="n">
        <v>45880</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61347-2020</t>
        </is>
      </c>
      <c r="B541" s="1" t="n">
        <v>44155</v>
      </c>
      <c r="C541" s="1" t="n">
        <v>45880</v>
      </c>
      <c r="D541" t="inlineStr">
        <is>
          <t>JÄMTLANDS LÄN</t>
        </is>
      </c>
      <c r="E541" t="inlineStr">
        <is>
          <t>ÅRE</t>
        </is>
      </c>
      <c r="G541" t="n">
        <v>3.1</v>
      </c>
      <c r="H541" t="n">
        <v>0</v>
      </c>
      <c r="I541" t="n">
        <v>0</v>
      </c>
      <c r="J541" t="n">
        <v>0</v>
      </c>
      <c r="K541" t="n">
        <v>0</v>
      </c>
      <c r="L541" t="n">
        <v>0</v>
      </c>
      <c r="M541" t="n">
        <v>0</v>
      </c>
      <c r="N541" t="n">
        <v>0</v>
      </c>
      <c r="O541" t="n">
        <v>0</v>
      </c>
      <c r="P541" t="n">
        <v>0</v>
      </c>
      <c r="Q541" t="n">
        <v>0</v>
      </c>
      <c r="R541" s="2" t="inlineStr"/>
    </row>
    <row r="542" ht="15" customHeight="1">
      <c r="A542" t="inlineStr">
        <is>
          <t>A 21897-2021</t>
        </is>
      </c>
      <c r="B542" s="1" t="n">
        <v>44322</v>
      </c>
      <c r="C542" s="1" t="n">
        <v>45880</v>
      </c>
      <c r="D542" t="inlineStr">
        <is>
          <t>JÄMTLANDS LÄN</t>
        </is>
      </c>
      <c r="E542" t="inlineStr">
        <is>
          <t>ÅRE</t>
        </is>
      </c>
      <c r="G542" t="n">
        <v>41.4</v>
      </c>
      <c r="H542" t="n">
        <v>0</v>
      </c>
      <c r="I542" t="n">
        <v>0</v>
      </c>
      <c r="J542" t="n">
        <v>0</v>
      </c>
      <c r="K542" t="n">
        <v>0</v>
      </c>
      <c r="L542" t="n">
        <v>0</v>
      </c>
      <c r="M542" t="n">
        <v>0</v>
      </c>
      <c r="N542" t="n">
        <v>0</v>
      </c>
      <c r="O542" t="n">
        <v>0</v>
      </c>
      <c r="P542" t="n">
        <v>0</v>
      </c>
      <c r="Q542" t="n">
        <v>0</v>
      </c>
      <c r="R542" s="2" t="inlineStr"/>
    </row>
    <row r="543" ht="15" customHeight="1">
      <c r="A543" t="inlineStr">
        <is>
          <t>A 5460-2023</t>
        </is>
      </c>
      <c r="B543" s="1" t="n">
        <v>44960</v>
      </c>
      <c r="C543" s="1" t="n">
        <v>45880</v>
      </c>
      <c r="D543" t="inlineStr">
        <is>
          <t>JÄMTLANDS LÄN</t>
        </is>
      </c>
      <c r="E543" t="inlineStr">
        <is>
          <t>ÅRE</t>
        </is>
      </c>
      <c r="G543" t="n">
        <v>9.4</v>
      </c>
      <c r="H543" t="n">
        <v>0</v>
      </c>
      <c r="I543" t="n">
        <v>0</v>
      </c>
      <c r="J543" t="n">
        <v>0</v>
      </c>
      <c r="K543" t="n">
        <v>0</v>
      </c>
      <c r="L543" t="n">
        <v>0</v>
      </c>
      <c r="M543" t="n">
        <v>0</v>
      </c>
      <c r="N543" t="n">
        <v>0</v>
      </c>
      <c r="O543" t="n">
        <v>0</v>
      </c>
      <c r="P543" t="n">
        <v>0</v>
      </c>
      <c r="Q543" t="n">
        <v>0</v>
      </c>
      <c r="R543" s="2" t="inlineStr"/>
    </row>
    <row r="544" ht="15" customHeight="1">
      <c r="A544" t="inlineStr">
        <is>
          <t>A 61926-2022</t>
        </is>
      </c>
      <c r="B544" s="1" t="n">
        <v>44917</v>
      </c>
      <c r="C544" s="1" t="n">
        <v>45880</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26722-2021</t>
        </is>
      </c>
      <c r="B545" s="1" t="n">
        <v>44349</v>
      </c>
      <c r="C545" s="1" t="n">
        <v>45880</v>
      </c>
      <c r="D545" t="inlineStr">
        <is>
          <t>JÄMTLANDS LÄN</t>
        </is>
      </c>
      <c r="E545" t="inlineStr">
        <is>
          <t>ÅRE</t>
        </is>
      </c>
      <c r="G545" t="n">
        <v>11.4</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45880</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54907-2023</t>
        </is>
      </c>
      <c r="B547" s="1" t="n">
        <v>45236.65784722222</v>
      </c>
      <c r="C547" s="1" t="n">
        <v>45880</v>
      </c>
      <c r="D547" t="inlineStr">
        <is>
          <t>JÄMTLANDS LÄN</t>
        </is>
      </c>
      <c r="E547" t="inlineStr">
        <is>
          <t>ÅRE</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21905-2021</t>
        </is>
      </c>
      <c r="B548" s="1" t="n">
        <v>44322</v>
      </c>
      <c r="C548" s="1" t="n">
        <v>45880</v>
      </c>
      <c r="D548" t="inlineStr">
        <is>
          <t>JÄMTLANDS LÄN</t>
        </is>
      </c>
      <c r="E548" t="inlineStr">
        <is>
          <t>ÅRE</t>
        </is>
      </c>
      <c r="G548" t="n">
        <v>14.3</v>
      </c>
      <c r="H548" t="n">
        <v>0</v>
      </c>
      <c r="I548" t="n">
        <v>0</v>
      </c>
      <c r="J548" t="n">
        <v>0</v>
      </c>
      <c r="K548" t="n">
        <v>0</v>
      </c>
      <c r="L548" t="n">
        <v>0</v>
      </c>
      <c r="M548" t="n">
        <v>0</v>
      </c>
      <c r="N548" t="n">
        <v>0</v>
      </c>
      <c r="O548" t="n">
        <v>0</v>
      </c>
      <c r="P548" t="n">
        <v>0</v>
      </c>
      <c r="Q548" t="n">
        <v>0</v>
      </c>
      <c r="R548" s="2" t="inlineStr"/>
    </row>
    <row r="549" ht="15" customHeight="1">
      <c r="A549" t="inlineStr">
        <is>
          <t>A 3147-2023</t>
        </is>
      </c>
      <c r="B549" s="1" t="n">
        <v>44946</v>
      </c>
      <c r="C549" s="1" t="n">
        <v>45880</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3263-2023</t>
        </is>
      </c>
      <c r="B550" s="1" t="n">
        <v>44948.98751157407</v>
      </c>
      <c r="C550" s="1" t="n">
        <v>45880</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57150-2021</t>
        </is>
      </c>
      <c r="B551" s="1" t="n">
        <v>44482</v>
      </c>
      <c r="C551" s="1" t="n">
        <v>45880</v>
      </c>
      <c r="D551" t="inlineStr">
        <is>
          <t>JÄMTLANDS LÄN</t>
        </is>
      </c>
      <c r="E551" t="inlineStr">
        <is>
          <t>ÅRE</t>
        </is>
      </c>
      <c r="G551" t="n">
        <v>1.3</v>
      </c>
      <c r="H551" t="n">
        <v>0</v>
      </c>
      <c r="I551" t="n">
        <v>0</v>
      </c>
      <c r="J551" t="n">
        <v>0</v>
      </c>
      <c r="K551" t="n">
        <v>0</v>
      </c>
      <c r="L551" t="n">
        <v>0</v>
      </c>
      <c r="M551" t="n">
        <v>0</v>
      </c>
      <c r="N551" t="n">
        <v>0</v>
      </c>
      <c r="O551" t="n">
        <v>0</v>
      </c>
      <c r="P551" t="n">
        <v>0</v>
      </c>
      <c r="Q551" t="n">
        <v>0</v>
      </c>
      <c r="R551" s="2" t="inlineStr"/>
    </row>
    <row r="552" ht="15" customHeight="1">
      <c r="A552" t="inlineStr">
        <is>
          <t>A 26032-2023</t>
        </is>
      </c>
      <c r="B552" s="1" t="n">
        <v>45091.31304398148</v>
      </c>
      <c r="C552" s="1" t="n">
        <v>45880</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26033-2023</t>
        </is>
      </c>
      <c r="B553" s="1" t="n">
        <v>45091.31530092593</v>
      </c>
      <c r="C553" s="1" t="n">
        <v>45880</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14202-2021</t>
        </is>
      </c>
      <c r="B554" s="1" t="n">
        <v>44278</v>
      </c>
      <c r="C554" s="1" t="n">
        <v>45880</v>
      </c>
      <c r="D554" t="inlineStr">
        <is>
          <t>JÄMTLANDS LÄN</t>
        </is>
      </c>
      <c r="E554" t="inlineStr">
        <is>
          <t>ÅRE</t>
        </is>
      </c>
      <c r="G554" t="n">
        <v>17.8</v>
      </c>
      <c r="H554" t="n">
        <v>0</v>
      </c>
      <c r="I554" t="n">
        <v>0</v>
      </c>
      <c r="J554" t="n">
        <v>0</v>
      </c>
      <c r="K554" t="n">
        <v>0</v>
      </c>
      <c r="L554" t="n">
        <v>0</v>
      </c>
      <c r="M554" t="n">
        <v>0</v>
      </c>
      <c r="N554" t="n">
        <v>0</v>
      </c>
      <c r="O554" t="n">
        <v>0</v>
      </c>
      <c r="P554" t="n">
        <v>0</v>
      </c>
      <c r="Q554" t="n">
        <v>0</v>
      </c>
      <c r="R554" s="2" t="inlineStr"/>
    </row>
    <row r="555" ht="15" customHeight="1">
      <c r="A555" t="inlineStr">
        <is>
          <t>A 19705-2023</t>
        </is>
      </c>
      <c r="B555" s="1" t="n">
        <v>45051</v>
      </c>
      <c r="C555" s="1" t="n">
        <v>45880</v>
      </c>
      <c r="D555" t="inlineStr">
        <is>
          <t>JÄMTLANDS LÄN</t>
        </is>
      </c>
      <c r="E555" t="inlineStr">
        <is>
          <t>ÅRE</t>
        </is>
      </c>
      <c r="G555" t="n">
        <v>4.7</v>
      </c>
      <c r="H555" t="n">
        <v>0</v>
      </c>
      <c r="I555" t="n">
        <v>0</v>
      </c>
      <c r="J555" t="n">
        <v>0</v>
      </c>
      <c r="K555" t="n">
        <v>0</v>
      </c>
      <c r="L555" t="n">
        <v>0</v>
      </c>
      <c r="M555" t="n">
        <v>0</v>
      </c>
      <c r="N555" t="n">
        <v>0</v>
      </c>
      <c r="O555" t="n">
        <v>0</v>
      </c>
      <c r="P555" t="n">
        <v>0</v>
      </c>
      <c r="Q555" t="n">
        <v>0</v>
      </c>
      <c r="R555" s="2" t="inlineStr"/>
    </row>
    <row r="556" ht="15" customHeight="1">
      <c r="A556" t="inlineStr">
        <is>
          <t>A 61524-2021</t>
        </is>
      </c>
      <c r="B556" s="1" t="n">
        <v>44496</v>
      </c>
      <c r="C556" s="1" t="n">
        <v>45880</v>
      </c>
      <c r="D556" t="inlineStr">
        <is>
          <t>JÄMTLANDS LÄN</t>
        </is>
      </c>
      <c r="E556" t="inlineStr">
        <is>
          <t>ÅRE</t>
        </is>
      </c>
      <c r="F556" t="inlineStr">
        <is>
          <t>Övriga statliga verk och myndigheter</t>
        </is>
      </c>
      <c r="G556" t="n">
        <v>15</v>
      </c>
      <c r="H556" t="n">
        <v>0</v>
      </c>
      <c r="I556" t="n">
        <v>0</v>
      </c>
      <c r="J556" t="n">
        <v>0</v>
      </c>
      <c r="K556" t="n">
        <v>0</v>
      </c>
      <c r="L556" t="n">
        <v>0</v>
      </c>
      <c r="M556" t="n">
        <v>0</v>
      </c>
      <c r="N556" t="n">
        <v>0</v>
      </c>
      <c r="O556" t="n">
        <v>0</v>
      </c>
      <c r="P556" t="n">
        <v>0</v>
      </c>
      <c r="Q556" t="n">
        <v>0</v>
      </c>
      <c r="R556" s="2" t="inlineStr"/>
    </row>
    <row r="557" ht="15" customHeight="1">
      <c r="A557" t="inlineStr">
        <is>
          <t>A 73086-2021</t>
        </is>
      </c>
      <c r="B557" s="1" t="n">
        <v>44550</v>
      </c>
      <c r="C557" s="1" t="n">
        <v>45880</v>
      </c>
      <c r="D557" t="inlineStr">
        <is>
          <t>JÄMTLANDS LÄN</t>
        </is>
      </c>
      <c r="E557" t="inlineStr">
        <is>
          <t>ÅRE</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61806-2021</t>
        </is>
      </c>
      <c r="B558" s="1" t="n">
        <v>44498</v>
      </c>
      <c r="C558" s="1" t="n">
        <v>45880</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54324-2023</t>
        </is>
      </c>
      <c r="B559" s="1" t="n">
        <v>45225</v>
      </c>
      <c r="C559" s="1" t="n">
        <v>45880</v>
      </c>
      <c r="D559" t="inlineStr">
        <is>
          <t>JÄMTLANDS LÄN</t>
        </is>
      </c>
      <c r="E559" t="inlineStr">
        <is>
          <t>ÅRE</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10285-2021</t>
        </is>
      </c>
      <c r="B560" s="1" t="n">
        <v>44257</v>
      </c>
      <c r="C560" s="1" t="n">
        <v>45880</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53500-2024</t>
        </is>
      </c>
      <c r="B561" s="1" t="n">
        <v>45614</v>
      </c>
      <c r="C561" s="1" t="n">
        <v>45880</v>
      </c>
      <c r="D561" t="inlineStr">
        <is>
          <t>JÄMTLANDS LÄN</t>
        </is>
      </c>
      <c r="E561" t="inlineStr">
        <is>
          <t>ÅRE</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60935-2022</t>
        </is>
      </c>
      <c r="B562" s="1" t="n">
        <v>44908</v>
      </c>
      <c r="C562" s="1" t="n">
        <v>45880</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14204-2021</t>
        </is>
      </c>
      <c r="B563" s="1" t="n">
        <v>44278</v>
      </c>
      <c r="C563" s="1" t="n">
        <v>45880</v>
      </c>
      <c r="D563" t="inlineStr">
        <is>
          <t>JÄMTLANDS LÄN</t>
        </is>
      </c>
      <c r="E563" t="inlineStr">
        <is>
          <t>ÅRE</t>
        </is>
      </c>
      <c r="G563" t="n">
        <v>24.6</v>
      </c>
      <c r="H563" t="n">
        <v>0</v>
      </c>
      <c r="I563" t="n">
        <v>0</v>
      </c>
      <c r="J563" t="n">
        <v>0</v>
      </c>
      <c r="K563" t="n">
        <v>0</v>
      </c>
      <c r="L563" t="n">
        <v>0</v>
      </c>
      <c r="M563" t="n">
        <v>0</v>
      </c>
      <c r="N563" t="n">
        <v>0</v>
      </c>
      <c r="O563" t="n">
        <v>0</v>
      </c>
      <c r="P563" t="n">
        <v>0</v>
      </c>
      <c r="Q563" t="n">
        <v>0</v>
      </c>
      <c r="R563" s="2" t="inlineStr"/>
    </row>
    <row r="564" ht="15" customHeight="1">
      <c r="A564" t="inlineStr">
        <is>
          <t>A 60899-2022</t>
        </is>
      </c>
      <c r="B564" s="1" t="n">
        <v>44908</v>
      </c>
      <c r="C564" s="1" t="n">
        <v>45880</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59784-2024</t>
        </is>
      </c>
      <c r="B565" s="1" t="n">
        <v>45639.57988425926</v>
      </c>
      <c r="C565" s="1" t="n">
        <v>45880</v>
      </c>
      <c r="D565" t="inlineStr">
        <is>
          <t>JÄMTLANDS LÄN</t>
        </is>
      </c>
      <c r="E565" t="inlineStr">
        <is>
          <t>ÅRE</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22603-2025</t>
        </is>
      </c>
      <c r="B566" s="1" t="n">
        <v>45786</v>
      </c>
      <c r="C566" s="1" t="n">
        <v>45880</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53611-2024</t>
        </is>
      </c>
      <c r="B567" s="1" t="n">
        <v>45614.70510416666</v>
      </c>
      <c r="C567" s="1" t="n">
        <v>45880</v>
      </c>
      <c r="D567" t="inlineStr">
        <is>
          <t>JÄMTLANDS LÄN</t>
        </is>
      </c>
      <c r="E567" t="inlineStr">
        <is>
          <t>ÅRE</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13841-2024</t>
        </is>
      </c>
      <c r="B568" s="1" t="n">
        <v>45391</v>
      </c>
      <c r="C568" s="1" t="n">
        <v>45880</v>
      </c>
      <c r="D568" t="inlineStr">
        <is>
          <t>JÄMTLANDS LÄN</t>
        </is>
      </c>
      <c r="E568" t="inlineStr">
        <is>
          <t>ÅRE</t>
        </is>
      </c>
      <c r="G568" t="n">
        <v>6.7</v>
      </c>
      <c r="H568" t="n">
        <v>0</v>
      </c>
      <c r="I568" t="n">
        <v>0</v>
      </c>
      <c r="J568" t="n">
        <v>0</v>
      </c>
      <c r="K568" t="n">
        <v>0</v>
      </c>
      <c r="L568" t="n">
        <v>0</v>
      </c>
      <c r="M568" t="n">
        <v>0</v>
      </c>
      <c r="N568" t="n">
        <v>0</v>
      </c>
      <c r="O568" t="n">
        <v>0</v>
      </c>
      <c r="P568" t="n">
        <v>0</v>
      </c>
      <c r="Q568" t="n">
        <v>0</v>
      </c>
      <c r="R568" s="2" t="inlineStr"/>
    </row>
    <row r="569" ht="15" customHeight="1">
      <c r="A569" t="inlineStr">
        <is>
          <t>A 17883-2021</t>
        </is>
      </c>
      <c r="B569" s="1" t="n">
        <v>44301</v>
      </c>
      <c r="C569" s="1" t="n">
        <v>45880</v>
      </c>
      <c r="D569" t="inlineStr">
        <is>
          <t>JÄMTLANDS LÄN</t>
        </is>
      </c>
      <c r="E569" t="inlineStr">
        <is>
          <t>ÅRE</t>
        </is>
      </c>
      <c r="F569" t="inlineStr">
        <is>
          <t>Övriga Aktiebolag</t>
        </is>
      </c>
      <c r="G569" t="n">
        <v>6.7</v>
      </c>
      <c r="H569" t="n">
        <v>0</v>
      </c>
      <c r="I569" t="n">
        <v>0</v>
      </c>
      <c r="J569" t="n">
        <v>0</v>
      </c>
      <c r="K569" t="n">
        <v>0</v>
      </c>
      <c r="L569" t="n">
        <v>0</v>
      </c>
      <c r="M569" t="n">
        <v>0</v>
      </c>
      <c r="N569" t="n">
        <v>0</v>
      </c>
      <c r="O569" t="n">
        <v>0</v>
      </c>
      <c r="P569" t="n">
        <v>0</v>
      </c>
      <c r="Q569" t="n">
        <v>0</v>
      </c>
      <c r="R569" s="2" t="inlineStr"/>
    </row>
    <row r="570" ht="15" customHeight="1">
      <c r="A570" t="inlineStr">
        <is>
          <t>A 51317-2023</t>
        </is>
      </c>
      <c r="B570" s="1" t="n">
        <v>45219.57061342592</v>
      </c>
      <c r="C570" s="1" t="n">
        <v>45880</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56609-2023</t>
        </is>
      </c>
      <c r="B571" s="1" t="n">
        <v>45243.66828703704</v>
      </c>
      <c r="C571" s="1" t="n">
        <v>45880</v>
      </c>
      <c r="D571" t="inlineStr">
        <is>
          <t>JÄMTLANDS LÄN</t>
        </is>
      </c>
      <c r="E571" t="inlineStr">
        <is>
          <t>ÅRE</t>
        </is>
      </c>
      <c r="G571" t="n">
        <v>17.9</v>
      </c>
      <c r="H571" t="n">
        <v>0</v>
      </c>
      <c r="I571" t="n">
        <v>0</v>
      </c>
      <c r="J571" t="n">
        <v>0</v>
      </c>
      <c r="K571" t="n">
        <v>0</v>
      </c>
      <c r="L571" t="n">
        <v>0</v>
      </c>
      <c r="M571" t="n">
        <v>0</v>
      </c>
      <c r="N571" t="n">
        <v>0</v>
      </c>
      <c r="O571" t="n">
        <v>0</v>
      </c>
      <c r="P571" t="n">
        <v>0</v>
      </c>
      <c r="Q571" t="n">
        <v>0</v>
      </c>
      <c r="R571" s="2" t="inlineStr"/>
    </row>
    <row r="572" ht="15" customHeight="1">
      <c r="A572" t="inlineStr">
        <is>
          <t>A 28817-2021</t>
        </is>
      </c>
      <c r="B572" s="1" t="n">
        <v>44357</v>
      </c>
      <c r="C572" s="1" t="n">
        <v>45880</v>
      </c>
      <c r="D572" t="inlineStr">
        <is>
          <t>JÄMTLANDS LÄN</t>
        </is>
      </c>
      <c r="E572" t="inlineStr">
        <is>
          <t>ÅRE</t>
        </is>
      </c>
      <c r="G572" t="n">
        <v>21.4</v>
      </c>
      <c r="H572" t="n">
        <v>0</v>
      </c>
      <c r="I572" t="n">
        <v>0</v>
      </c>
      <c r="J572" t="n">
        <v>0</v>
      </c>
      <c r="K572" t="n">
        <v>0</v>
      </c>
      <c r="L572" t="n">
        <v>0</v>
      </c>
      <c r="M572" t="n">
        <v>0</v>
      </c>
      <c r="N572" t="n">
        <v>0</v>
      </c>
      <c r="O572" t="n">
        <v>0</v>
      </c>
      <c r="P572" t="n">
        <v>0</v>
      </c>
      <c r="Q572" t="n">
        <v>0</v>
      </c>
      <c r="R572" s="2" t="inlineStr"/>
    </row>
    <row r="573" ht="15" customHeight="1">
      <c r="A573" t="inlineStr">
        <is>
          <t>A 13082-2025</t>
        </is>
      </c>
      <c r="B573" s="1" t="n">
        <v>45734.62666666666</v>
      </c>
      <c r="C573" s="1" t="n">
        <v>45880</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17576-2024</t>
        </is>
      </c>
      <c r="B574" s="1" t="n">
        <v>45415</v>
      </c>
      <c r="C574" s="1" t="n">
        <v>45880</v>
      </c>
      <c r="D574" t="inlineStr">
        <is>
          <t>JÄMTLANDS LÄN</t>
        </is>
      </c>
      <c r="E574" t="inlineStr">
        <is>
          <t>ÅRE</t>
        </is>
      </c>
      <c r="G574" t="n">
        <v>0.1</v>
      </c>
      <c r="H574" t="n">
        <v>0</v>
      </c>
      <c r="I574" t="n">
        <v>0</v>
      </c>
      <c r="J574" t="n">
        <v>0</v>
      </c>
      <c r="K574" t="n">
        <v>0</v>
      </c>
      <c r="L574" t="n">
        <v>0</v>
      </c>
      <c r="M574" t="n">
        <v>0</v>
      </c>
      <c r="N574" t="n">
        <v>0</v>
      </c>
      <c r="O574" t="n">
        <v>0</v>
      </c>
      <c r="P574" t="n">
        <v>0</v>
      </c>
      <c r="Q574" t="n">
        <v>0</v>
      </c>
      <c r="R574" s="2" t="inlineStr"/>
    </row>
    <row r="575" ht="15" customHeight="1">
      <c r="A575" t="inlineStr">
        <is>
          <t>A 8443-2023</t>
        </is>
      </c>
      <c r="B575" s="1" t="n">
        <v>44977</v>
      </c>
      <c r="C575" s="1" t="n">
        <v>45880</v>
      </c>
      <c r="D575" t="inlineStr">
        <is>
          <t>JÄMTLANDS LÄN</t>
        </is>
      </c>
      <c r="E575" t="inlineStr">
        <is>
          <t>ÅRE</t>
        </is>
      </c>
      <c r="F575" t="inlineStr">
        <is>
          <t>Övriga Aktiebolag</t>
        </is>
      </c>
      <c r="G575" t="n">
        <v>1.1</v>
      </c>
      <c r="H575" t="n">
        <v>0</v>
      </c>
      <c r="I575" t="n">
        <v>0</v>
      </c>
      <c r="J575" t="n">
        <v>0</v>
      </c>
      <c r="K575" t="n">
        <v>0</v>
      </c>
      <c r="L575" t="n">
        <v>0</v>
      </c>
      <c r="M575" t="n">
        <v>0</v>
      </c>
      <c r="N575" t="n">
        <v>0</v>
      </c>
      <c r="O575" t="n">
        <v>0</v>
      </c>
      <c r="P575" t="n">
        <v>0</v>
      </c>
      <c r="Q575" t="n">
        <v>0</v>
      </c>
      <c r="R575" s="2" t="inlineStr"/>
    </row>
    <row r="576">
      <c r="A576" t="inlineStr">
        <is>
          <t>A 30379-2024</t>
        </is>
      </c>
      <c r="B576" s="1" t="n">
        <v>45491.43815972222</v>
      </c>
      <c r="C576" s="1" t="n">
        <v>45880</v>
      </c>
      <c r="D576" t="inlineStr">
        <is>
          <t>JÄMTLANDS LÄN</t>
        </is>
      </c>
      <c r="E576" t="inlineStr">
        <is>
          <t>ÅRE</t>
        </is>
      </c>
      <c r="G576" t="n">
        <v>2.4</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2025-08-11T08:29:48Z</dcterms:created>
  <dcterms:modified xmlns:dcterms="http://purl.org/dc/terms/" xmlns:xsi="http://www.w3.org/2001/XMLSchema-instance" xsi:type="dcterms:W3CDTF">2025-08-11T08:29:48Z</dcterms:modified>
</cp:coreProperties>
</file>