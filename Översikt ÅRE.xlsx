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46086</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46086</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46086</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46086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46086</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46086</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46086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46086</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46086</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65292-2021</t>
        </is>
      </c>
      <c r="B18" s="1" t="n">
        <v>44515</v>
      </c>
      <c r="C18" s="1" t="n">
        <v>46086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13097-2024</t>
        </is>
      </c>
      <c r="B19" s="1" t="n">
        <v>45385</v>
      </c>
      <c r="C19" s="1" t="n">
        <v>46086</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54693-2022</t>
        </is>
      </c>
      <c r="B20" s="1" t="n">
        <v>44883.49158564815</v>
      </c>
      <c r="C20" s="1" t="n">
        <v>46086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46086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46086</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46086</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46086</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46086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46086</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46086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46086</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46086</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46086</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46086</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46086</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46086</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46086</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46086</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46086</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46086</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46086</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46086</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46086</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46086</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63463-2025</t>
        </is>
      </c>
      <c r="B42" s="1" t="n">
        <v>46013.42751157407</v>
      </c>
      <c r="C42" s="1" t="n">
        <v>46086</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27805-2022</t>
        </is>
      </c>
      <c r="B43" s="1" t="n">
        <v>44743</v>
      </c>
      <c r="C43" s="1" t="n">
        <v>46086</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46086</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53500-2024</t>
        </is>
      </c>
      <c r="B45" s="1" t="n">
        <v>45614</v>
      </c>
      <c r="C45" s="1" t="n">
        <v>46086</v>
      </c>
      <c r="D45" t="inlineStr">
        <is>
          <t>JÄMTLANDS LÄN</t>
        </is>
      </c>
      <c r="E45" t="inlineStr">
        <is>
          <t>ÅRE</t>
        </is>
      </c>
      <c r="G45" t="n">
        <v>9.199999999999999</v>
      </c>
      <c r="H45" t="n">
        <v>5</v>
      </c>
      <c r="I45" t="n">
        <v>0</v>
      </c>
      <c r="J45" t="n">
        <v>5</v>
      </c>
      <c r="K45" t="n">
        <v>0</v>
      </c>
      <c r="L45" t="n">
        <v>0</v>
      </c>
      <c r="M45" t="n">
        <v>0</v>
      </c>
      <c r="N45" t="n">
        <v>0</v>
      </c>
      <c r="O45" t="n">
        <v>5</v>
      </c>
      <c r="P45" t="n">
        <v>0</v>
      </c>
      <c r="Q45" t="n">
        <v>8</v>
      </c>
      <c r="R45" s="2" t="inlineStr">
        <is>
          <t>Garnlav
Granticka
Harticka
Talltita
Tretåig hackspett
Lavskrika
Pärluggla
Tjäder</t>
        </is>
      </c>
      <c r="S45">
        <f>HYPERLINK("https://klasma.github.io/Logging_2321/artfynd/A 53500-2024 artfynd.xlsx", "A 53500-2024")</f>
        <v/>
      </c>
      <c r="T45">
        <f>HYPERLINK("https://klasma.github.io/Logging_2321/kartor/A 53500-2024 karta.png", "A 53500-2024")</f>
        <v/>
      </c>
      <c r="V45">
        <f>HYPERLINK("https://klasma.github.io/Logging_2321/klagomål/A 53500-2024 FSC-klagomål.docx", "A 53500-2024")</f>
        <v/>
      </c>
      <c r="W45">
        <f>HYPERLINK("https://klasma.github.io/Logging_2321/klagomålsmail/A 53500-2024 FSC-klagomål mail.docx", "A 53500-2024")</f>
        <v/>
      </c>
      <c r="X45">
        <f>HYPERLINK("https://klasma.github.io/Logging_2321/tillsyn/A 53500-2024 tillsynsbegäran.docx", "A 53500-2024")</f>
        <v/>
      </c>
      <c r="Y45">
        <f>HYPERLINK("https://klasma.github.io/Logging_2321/tillsynsmail/A 53500-2024 tillsynsbegäran mail.docx", "A 53500-2024")</f>
        <v/>
      </c>
      <c r="Z45">
        <f>HYPERLINK("https://klasma.github.io/Logging_2321/fåglar/A 53500-2024 prioriterade fågelarter.docx", "A 53500-2024")</f>
        <v/>
      </c>
    </row>
    <row r="46" ht="15" customHeight="1">
      <c r="A46" t="inlineStr">
        <is>
          <t>A 64239-2021</t>
        </is>
      </c>
      <c r="B46" s="1" t="n">
        <v>44510</v>
      </c>
      <c r="C46" s="1" t="n">
        <v>46086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46086</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46976-2024</t>
        </is>
      </c>
      <c r="B48" s="1" t="n">
        <v>45586</v>
      </c>
      <c r="C48" s="1" t="n">
        <v>46086</v>
      </c>
      <c r="D48" t="inlineStr">
        <is>
          <t>JÄMTLANDS LÄN</t>
        </is>
      </c>
      <c r="E48" t="inlineStr">
        <is>
          <t>ÅRE</t>
        </is>
      </c>
      <c r="G48" t="n">
        <v>9.199999999999999</v>
      </c>
      <c r="H48" t="n">
        <v>5</v>
      </c>
      <c r="I48" t="n">
        <v>0</v>
      </c>
      <c r="J48" t="n">
        <v>5</v>
      </c>
      <c r="K48" t="n">
        <v>0</v>
      </c>
      <c r="L48" t="n">
        <v>0</v>
      </c>
      <c r="M48" t="n">
        <v>0</v>
      </c>
      <c r="N48" t="n">
        <v>0</v>
      </c>
      <c r="O48" t="n">
        <v>5</v>
      </c>
      <c r="P48" t="n">
        <v>0</v>
      </c>
      <c r="Q48" t="n">
        <v>8</v>
      </c>
      <c r="R48" s="2" t="inlineStr">
        <is>
          <t>Garnlav
Granticka
Harticka
Talltita
Tretåig hackspett
Lavskrika
Pärluggla
Tjäder</t>
        </is>
      </c>
      <c r="S48">
        <f>HYPERLINK("https://klasma.github.io/Logging_2321/artfynd/A 46976-2024 artfynd.xlsx", "A 46976-2024")</f>
        <v/>
      </c>
      <c r="T48">
        <f>HYPERLINK("https://klasma.github.io/Logging_2321/kartor/A 46976-2024 karta.png", "A 46976-2024")</f>
        <v/>
      </c>
      <c r="V48">
        <f>HYPERLINK("https://klasma.github.io/Logging_2321/klagomål/A 46976-2024 FSC-klagomål.docx", "A 46976-2024")</f>
        <v/>
      </c>
      <c r="W48">
        <f>HYPERLINK("https://klasma.github.io/Logging_2321/klagomålsmail/A 46976-2024 FSC-klagomål mail.docx", "A 46976-2024")</f>
        <v/>
      </c>
      <c r="X48">
        <f>HYPERLINK("https://klasma.github.io/Logging_2321/tillsyn/A 46976-2024 tillsynsbegäran.docx", "A 46976-2024")</f>
        <v/>
      </c>
      <c r="Y48">
        <f>HYPERLINK("https://klasma.github.io/Logging_2321/tillsynsmail/A 46976-2024 tillsynsbegäran mail.docx", "A 46976-2024")</f>
        <v/>
      </c>
      <c r="Z48">
        <f>HYPERLINK("https://klasma.github.io/Logging_2321/fåglar/A 46976-2024 prioriterade fågelarter.docx", "A 46976-2024")</f>
        <v/>
      </c>
    </row>
    <row r="49" ht="15" customHeight="1">
      <c r="A49" t="inlineStr">
        <is>
          <t>A 10605-2026</t>
        </is>
      </c>
      <c r="B49" s="1" t="n">
        <v>46077.77418981482</v>
      </c>
      <c r="C49" s="1" t="n">
        <v>46086</v>
      </c>
      <c r="D49" t="inlineStr">
        <is>
          <t>JÄMTLANDS LÄN</t>
        </is>
      </c>
      <c r="E49" t="inlineStr">
        <is>
          <t>ÅRE</t>
        </is>
      </c>
      <c r="G49" t="n">
        <v>29.9</v>
      </c>
      <c r="H49" t="n">
        <v>1</v>
      </c>
      <c r="I49" t="n">
        <v>3</v>
      </c>
      <c r="J49" t="n">
        <v>5</v>
      </c>
      <c r="K49" t="n">
        <v>0</v>
      </c>
      <c r="L49" t="n">
        <v>0</v>
      </c>
      <c r="M49" t="n">
        <v>0</v>
      </c>
      <c r="N49" t="n">
        <v>0</v>
      </c>
      <c r="O49" t="n">
        <v>5</v>
      </c>
      <c r="P49" t="n">
        <v>0</v>
      </c>
      <c r="Q49" t="n">
        <v>8</v>
      </c>
      <c r="R49" s="2" t="inlineStr">
        <is>
          <t>Garnlav
Granticka
Skrovellav
Ullticka
Violmussling
Luddlav
Spindelblomster
Trådticka</t>
        </is>
      </c>
      <c r="S49">
        <f>HYPERLINK("https://klasma.github.io/Logging_2321/artfynd/A 10605-2026 artfynd.xlsx", "A 10605-2026")</f>
        <v/>
      </c>
      <c r="T49">
        <f>HYPERLINK("https://klasma.github.io/Logging_2321/kartor/A 10605-2026 karta.png", "A 10605-2026")</f>
        <v/>
      </c>
      <c r="V49">
        <f>HYPERLINK("https://klasma.github.io/Logging_2321/klagomål/A 10605-2026 FSC-klagomål.docx", "A 10605-2026")</f>
        <v/>
      </c>
      <c r="W49">
        <f>HYPERLINK("https://klasma.github.io/Logging_2321/klagomålsmail/A 10605-2026 FSC-klagomål mail.docx", "A 10605-2026")</f>
        <v/>
      </c>
      <c r="X49">
        <f>HYPERLINK("https://klasma.github.io/Logging_2321/tillsyn/A 10605-2026 tillsynsbegäran.docx", "A 10605-2026")</f>
        <v/>
      </c>
      <c r="Y49">
        <f>HYPERLINK("https://klasma.github.io/Logging_2321/tillsynsmail/A 10605-2026 tillsynsbegäran mail.docx", "A 10605-2026")</f>
        <v/>
      </c>
    </row>
    <row r="50" ht="15" customHeight="1">
      <c r="A50" t="inlineStr">
        <is>
          <t>A 16681-2025</t>
        </is>
      </c>
      <c r="B50" s="1" t="n">
        <v>45754</v>
      </c>
      <c r="C50" s="1" t="n">
        <v>46086</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63179-2025</t>
        </is>
      </c>
      <c r="B51" s="1" t="n">
        <v>46010.42215277778</v>
      </c>
      <c r="C51" s="1" t="n">
        <v>46086</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23822-2024</t>
        </is>
      </c>
      <c r="B52" s="1" t="n">
        <v>45455.46412037037</v>
      </c>
      <c r="C52" s="1" t="n">
        <v>46086</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7034-2026</t>
        </is>
      </c>
      <c r="B53" s="1" t="n">
        <v>46057</v>
      </c>
      <c r="C53" s="1" t="n">
        <v>46086</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43910-2024</t>
        </is>
      </c>
      <c r="B54" s="1" t="n">
        <v>45572</v>
      </c>
      <c r="C54" s="1" t="n">
        <v>46086</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47944-2025</t>
        </is>
      </c>
      <c r="B55" s="1" t="n">
        <v>45931</v>
      </c>
      <c r="C55" s="1" t="n">
        <v>46086</v>
      </c>
      <c r="D55" t="inlineStr">
        <is>
          <t>JÄMTLANDS LÄN</t>
        </is>
      </c>
      <c r="E55" t="inlineStr">
        <is>
          <t>ÅRE</t>
        </is>
      </c>
      <c r="G55" t="n">
        <v>2.1</v>
      </c>
      <c r="H55" t="n">
        <v>0</v>
      </c>
      <c r="I55" t="n">
        <v>4</v>
      </c>
      <c r="J55" t="n">
        <v>3</v>
      </c>
      <c r="K55" t="n">
        <v>1</v>
      </c>
      <c r="L55" t="n">
        <v>0</v>
      </c>
      <c r="M55" t="n">
        <v>0</v>
      </c>
      <c r="N55" t="n">
        <v>0</v>
      </c>
      <c r="O55" t="n">
        <v>4</v>
      </c>
      <c r="P55" t="n">
        <v>1</v>
      </c>
      <c r="Q55" t="n">
        <v>8</v>
      </c>
      <c r="R55" s="2" t="inlineStr">
        <is>
          <t>Ostticka
Granticka
Ullticka
Vitgrynig nållav
Diskvaxskivling
Fjällig taggsvamp s.str.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10619-2023</t>
        </is>
      </c>
      <c r="B56" s="1" t="n">
        <v>44984</v>
      </c>
      <c r="C56" s="1" t="n">
        <v>46086</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46086</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54988-2025</t>
        </is>
      </c>
      <c r="B58" s="1" t="n">
        <v>45967.57096064815</v>
      </c>
      <c r="C58" s="1" t="n">
        <v>46086</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16667-2025</t>
        </is>
      </c>
      <c r="B59" s="1" t="n">
        <v>45754</v>
      </c>
      <c r="C59" s="1" t="n">
        <v>46086</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1541-2025</t>
        </is>
      </c>
      <c r="B60" s="1" t="n">
        <v>45670</v>
      </c>
      <c r="C60" s="1" t="n">
        <v>46086</v>
      </c>
      <c r="D60" t="inlineStr">
        <is>
          <t>JÄMTLANDS LÄN</t>
        </is>
      </c>
      <c r="E60" t="inlineStr">
        <is>
          <t>ÅRE</t>
        </is>
      </c>
      <c r="G60" t="n">
        <v>16.4</v>
      </c>
      <c r="H60" t="n">
        <v>0</v>
      </c>
      <c r="I60" t="n">
        <v>0</v>
      </c>
      <c r="J60" t="n">
        <v>6</v>
      </c>
      <c r="K60" t="n">
        <v>1</v>
      </c>
      <c r="L60" t="n">
        <v>0</v>
      </c>
      <c r="M60" t="n">
        <v>0</v>
      </c>
      <c r="N60" t="n">
        <v>0</v>
      </c>
      <c r="O60" t="n">
        <v>7</v>
      </c>
      <c r="P60" t="n">
        <v>1</v>
      </c>
      <c r="Q60" t="n">
        <v>7</v>
      </c>
      <c r="R60" s="2" t="inlineStr">
        <is>
          <t>Norsk näverlav
Brunpudrad nållav
Gammelgransskål
Garnlav
Granticka
Rödbrun blekspik
Vitgrynig nållav</t>
        </is>
      </c>
      <c r="S60">
        <f>HYPERLINK("https://klasma.github.io/Logging_2321/artfynd/A 1541-2025 artfynd.xlsx", "A 1541-2025")</f>
        <v/>
      </c>
      <c r="T60">
        <f>HYPERLINK("https://klasma.github.io/Logging_2321/kartor/A 1541-2025 karta.png", "A 1541-2025")</f>
        <v/>
      </c>
      <c r="V60">
        <f>HYPERLINK("https://klasma.github.io/Logging_2321/klagomål/A 1541-2025 FSC-klagomål.docx", "A 1541-2025")</f>
        <v/>
      </c>
      <c r="W60">
        <f>HYPERLINK("https://klasma.github.io/Logging_2321/klagomålsmail/A 1541-2025 FSC-klagomål mail.docx", "A 1541-2025")</f>
        <v/>
      </c>
      <c r="X60">
        <f>HYPERLINK("https://klasma.github.io/Logging_2321/tillsyn/A 1541-2025 tillsynsbegäran.docx", "A 1541-2025")</f>
        <v/>
      </c>
      <c r="Y60">
        <f>HYPERLINK("https://klasma.github.io/Logging_2321/tillsynsmail/A 1541-2025 tillsynsbegäran mail.docx", "A 1541-2025")</f>
        <v/>
      </c>
    </row>
    <row r="61" ht="15" customHeight="1">
      <c r="A61" t="inlineStr">
        <is>
          <t>A 10604-2026</t>
        </is>
      </c>
      <c r="B61" s="1" t="n">
        <v>46077.76832175926</v>
      </c>
      <c r="C61" s="1" t="n">
        <v>46086</v>
      </c>
      <c r="D61" t="inlineStr">
        <is>
          <t>JÄMTLANDS LÄN</t>
        </is>
      </c>
      <c r="E61" t="inlineStr">
        <is>
          <t>ÅRE</t>
        </is>
      </c>
      <c r="G61" t="n">
        <v>60.2</v>
      </c>
      <c r="H61" t="n">
        <v>1</v>
      </c>
      <c r="I61" t="n">
        <v>0</v>
      </c>
      <c r="J61" t="n">
        <v>7</v>
      </c>
      <c r="K61" t="n">
        <v>0</v>
      </c>
      <c r="L61" t="n">
        <v>0</v>
      </c>
      <c r="M61" t="n">
        <v>0</v>
      </c>
      <c r="N61" t="n">
        <v>0</v>
      </c>
      <c r="O61" t="n">
        <v>7</v>
      </c>
      <c r="P61" t="n">
        <v>0</v>
      </c>
      <c r="Q61" t="n">
        <v>7</v>
      </c>
      <c r="R61" s="2" t="inlineStr">
        <is>
          <t>Garnlav
Gränsticka
Lunglav
Rosenticka
Skrovellav
Tretåig hackspett
Ullticka</t>
        </is>
      </c>
      <c r="S61">
        <f>HYPERLINK("https://klasma.github.io/Logging_2321/artfynd/A 10604-2026 artfynd.xlsx", "A 10604-2026")</f>
        <v/>
      </c>
      <c r="T61">
        <f>HYPERLINK("https://klasma.github.io/Logging_2321/kartor/A 10604-2026 karta.png", "A 10604-2026")</f>
        <v/>
      </c>
      <c r="V61">
        <f>HYPERLINK("https://klasma.github.io/Logging_2321/klagomål/A 10604-2026 FSC-klagomål.docx", "A 10604-2026")</f>
        <v/>
      </c>
      <c r="W61">
        <f>HYPERLINK("https://klasma.github.io/Logging_2321/klagomålsmail/A 10604-2026 FSC-klagomål mail.docx", "A 10604-2026")</f>
        <v/>
      </c>
      <c r="X61">
        <f>HYPERLINK("https://klasma.github.io/Logging_2321/tillsyn/A 10604-2026 tillsynsbegäran.docx", "A 10604-2026")</f>
        <v/>
      </c>
      <c r="Y61">
        <f>HYPERLINK("https://klasma.github.io/Logging_2321/tillsynsmail/A 10604-2026 tillsynsbegäran mail.docx", "A 10604-2026")</f>
        <v/>
      </c>
      <c r="Z61">
        <f>HYPERLINK("https://klasma.github.io/Logging_2321/fåglar/A 10604-2026 prioriterade fågelarter.docx", "A 10604-2026")</f>
        <v/>
      </c>
    </row>
    <row r="62" ht="15" customHeight="1">
      <c r="A62" t="inlineStr">
        <is>
          <t>A 49858-2025</t>
        </is>
      </c>
      <c r="B62" s="1" t="n">
        <v>45940.5108912037</v>
      </c>
      <c r="C62" s="1" t="n">
        <v>46086</v>
      </c>
      <c r="D62" t="inlineStr">
        <is>
          <t>JÄMTLANDS LÄN</t>
        </is>
      </c>
      <c r="E62" t="inlineStr">
        <is>
          <t>ÅRE</t>
        </is>
      </c>
      <c r="G62" t="n">
        <v>15.9</v>
      </c>
      <c r="H62" t="n">
        <v>1</v>
      </c>
      <c r="I62" t="n">
        <v>1</v>
      </c>
      <c r="J62" t="n">
        <v>6</v>
      </c>
      <c r="K62" t="n">
        <v>0</v>
      </c>
      <c r="L62" t="n">
        <v>0</v>
      </c>
      <c r="M62" t="n">
        <v>0</v>
      </c>
      <c r="N62" t="n">
        <v>0</v>
      </c>
      <c r="O62" t="n">
        <v>6</v>
      </c>
      <c r="P62" t="n">
        <v>0</v>
      </c>
      <c r="Q62" t="n">
        <v>7</v>
      </c>
      <c r="R62" s="2" t="inlineStr">
        <is>
          <t>Gammelgransskål
Garnlav
Granticka
Harticka
Järpe
Rödbrun blekspik
Mörk husmossa</t>
        </is>
      </c>
      <c r="S62">
        <f>HYPERLINK("https://klasma.github.io/Logging_2321/artfynd/A 49858-2025 artfynd.xlsx", "A 49858-2025")</f>
        <v/>
      </c>
      <c r="T62">
        <f>HYPERLINK("https://klasma.github.io/Logging_2321/kartor/A 49858-2025 karta.png", "A 49858-2025")</f>
        <v/>
      </c>
      <c r="V62">
        <f>HYPERLINK("https://klasma.github.io/Logging_2321/klagomål/A 49858-2025 FSC-klagomål.docx", "A 49858-2025")</f>
        <v/>
      </c>
      <c r="W62">
        <f>HYPERLINK("https://klasma.github.io/Logging_2321/klagomålsmail/A 49858-2025 FSC-klagomål mail.docx", "A 49858-2025")</f>
        <v/>
      </c>
      <c r="X62">
        <f>HYPERLINK("https://klasma.github.io/Logging_2321/tillsyn/A 49858-2025 tillsynsbegäran.docx", "A 49858-2025")</f>
        <v/>
      </c>
      <c r="Y62">
        <f>HYPERLINK("https://klasma.github.io/Logging_2321/tillsynsmail/A 49858-2025 tillsynsbegäran mail.docx", "A 49858-2025")</f>
        <v/>
      </c>
      <c r="Z62">
        <f>HYPERLINK("https://klasma.github.io/Logging_2321/fåglar/A 49858-2025 prioriterade fågelarter.docx", "A 49858-2025")</f>
        <v/>
      </c>
    </row>
    <row r="63" ht="15" customHeight="1">
      <c r="A63" t="inlineStr">
        <is>
          <t>A 52119-2025</t>
        </is>
      </c>
      <c r="B63" s="1" t="n">
        <v>45952.71653935185</v>
      </c>
      <c r="C63" s="1" t="n">
        <v>46086</v>
      </c>
      <c r="D63" t="inlineStr">
        <is>
          <t>JÄMTLANDS LÄN</t>
        </is>
      </c>
      <c r="E63" t="inlineStr">
        <is>
          <t>ÅRE</t>
        </is>
      </c>
      <c r="G63" t="n">
        <v>4.4</v>
      </c>
      <c r="H63" t="n">
        <v>2</v>
      </c>
      <c r="I63" t="n">
        <v>4</v>
      </c>
      <c r="J63" t="n">
        <v>1</v>
      </c>
      <c r="K63" t="n">
        <v>0</v>
      </c>
      <c r="L63" t="n">
        <v>0</v>
      </c>
      <c r="M63" t="n">
        <v>0</v>
      </c>
      <c r="N63" t="n">
        <v>0</v>
      </c>
      <c r="O63" t="n">
        <v>1</v>
      </c>
      <c r="P63" t="n">
        <v>0</v>
      </c>
      <c r="Q63" t="n">
        <v>7</v>
      </c>
      <c r="R63" s="2" t="inlineStr">
        <is>
          <t>Skrovellav
Bårdlav
Korallblylav
Kransrams
Skinnlav
Fläcknycklar
Revlummer</t>
        </is>
      </c>
      <c r="S63">
        <f>HYPERLINK("https://klasma.github.io/Logging_2321/artfynd/A 52119-2025 artfynd.xlsx", "A 52119-2025")</f>
        <v/>
      </c>
      <c r="T63">
        <f>HYPERLINK("https://klasma.github.io/Logging_2321/kartor/A 52119-2025 karta.png", "A 52119-2025")</f>
        <v/>
      </c>
      <c r="V63">
        <f>HYPERLINK("https://klasma.github.io/Logging_2321/klagomål/A 52119-2025 FSC-klagomål.docx", "A 52119-2025")</f>
        <v/>
      </c>
      <c r="W63">
        <f>HYPERLINK("https://klasma.github.io/Logging_2321/klagomålsmail/A 52119-2025 FSC-klagomål mail.docx", "A 52119-2025")</f>
        <v/>
      </c>
      <c r="X63">
        <f>HYPERLINK("https://klasma.github.io/Logging_2321/tillsyn/A 52119-2025 tillsynsbegäran.docx", "A 52119-2025")</f>
        <v/>
      </c>
      <c r="Y63">
        <f>HYPERLINK("https://klasma.github.io/Logging_2321/tillsynsmail/A 52119-2025 tillsynsbegäran mail.docx", "A 52119-2025")</f>
        <v/>
      </c>
    </row>
    <row r="64" ht="15" customHeight="1">
      <c r="A64" t="inlineStr">
        <is>
          <t>A 32065-2022</t>
        </is>
      </c>
      <c r="B64" s="1" t="n">
        <v>44778.55710648148</v>
      </c>
      <c r="C64" s="1" t="n">
        <v>46086</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46086</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14205-2021</t>
        </is>
      </c>
      <c r="B66" s="1" t="n">
        <v>44278</v>
      </c>
      <c r="C66" s="1" t="n">
        <v>46086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4938-2025</t>
        </is>
      </c>
      <c r="B67" s="1" t="n">
        <v>45688</v>
      </c>
      <c r="C67" s="1" t="n">
        <v>46086</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30035-2024</t>
        </is>
      </c>
      <c r="B68" s="1" t="n">
        <v>45485</v>
      </c>
      <c r="C68" s="1" t="n">
        <v>46086</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Kötticka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37891-2025</t>
        </is>
      </c>
      <c r="B69" s="1" t="n">
        <v>45881.54024305556</v>
      </c>
      <c r="C69" s="1" t="n">
        <v>46086</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57417-2025</t>
        </is>
      </c>
      <c r="B70" s="1" t="n">
        <v>45980.45195601852</v>
      </c>
      <c r="C70" s="1" t="n">
        <v>46086</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46259-2024</t>
        </is>
      </c>
      <c r="B71" s="1" t="n">
        <v>45581</v>
      </c>
      <c r="C71" s="1" t="n">
        <v>46086</v>
      </c>
      <c r="D71" t="inlineStr">
        <is>
          <t>JÄMTLANDS LÄN</t>
        </is>
      </c>
      <c r="E71" t="inlineStr">
        <is>
          <t>ÅRE</t>
        </is>
      </c>
      <c r="G71" t="n">
        <v>4.7</v>
      </c>
      <c r="H71" t="n">
        <v>0</v>
      </c>
      <c r="I71" t="n">
        <v>3</v>
      </c>
      <c r="J71" t="n">
        <v>3</v>
      </c>
      <c r="K71" t="n">
        <v>0</v>
      </c>
      <c r="L71" t="n">
        <v>0</v>
      </c>
      <c r="M71" t="n">
        <v>0</v>
      </c>
      <c r="N71" t="n">
        <v>0</v>
      </c>
      <c r="O71" t="n">
        <v>3</v>
      </c>
      <c r="P71" t="n">
        <v>0</v>
      </c>
      <c r="Q71" t="n">
        <v>6</v>
      </c>
      <c r="R71" s="2" t="inlineStr">
        <is>
          <t>Garnlav
Granticka
Vitgrynig nållav
Diskvaxskivling
Svavelriska
Trådticka</t>
        </is>
      </c>
      <c r="S71">
        <f>HYPERLINK("https://klasma.github.io/Logging_2321/artfynd/A 46259-2024 artfynd.xlsx", "A 46259-2024")</f>
        <v/>
      </c>
      <c r="T71">
        <f>HYPERLINK("https://klasma.github.io/Logging_2321/kartor/A 46259-2024 karta.png", "A 46259-2024")</f>
        <v/>
      </c>
      <c r="V71">
        <f>HYPERLINK("https://klasma.github.io/Logging_2321/klagomål/A 46259-2024 FSC-klagomål.docx", "A 46259-2024")</f>
        <v/>
      </c>
      <c r="W71">
        <f>HYPERLINK("https://klasma.github.io/Logging_2321/klagomålsmail/A 46259-2024 FSC-klagomål mail.docx", "A 46259-2024")</f>
        <v/>
      </c>
      <c r="X71">
        <f>HYPERLINK("https://klasma.github.io/Logging_2321/tillsyn/A 46259-2024 tillsynsbegäran.docx", "A 46259-2024")</f>
        <v/>
      </c>
      <c r="Y71">
        <f>HYPERLINK("https://klasma.github.io/Logging_2321/tillsynsmail/A 46259-2024 tillsynsbegäran mail.docx", "A 46259-2024")</f>
        <v/>
      </c>
    </row>
    <row r="72" ht="15" customHeight="1">
      <c r="A72" t="inlineStr">
        <is>
          <t>A 43942-2024</t>
        </is>
      </c>
      <c r="B72" s="1" t="n">
        <v>45572</v>
      </c>
      <c r="C72" s="1" t="n">
        <v>46086</v>
      </c>
      <c r="D72" t="inlineStr">
        <is>
          <t>JÄMTLANDS LÄN</t>
        </is>
      </c>
      <c r="E72" t="inlineStr">
        <is>
          <t>ÅRE</t>
        </is>
      </c>
      <c r="G72" t="n">
        <v>20.8</v>
      </c>
      <c r="H72" t="n">
        <v>0</v>
      </c>
      <c r="I72" t="n">
        <v>3</v>
      </c>
      <c r="J72" t="n">
        <v>3</v>
      </c>
      <c r="K72" t="n">
        <v>0</v>
      </c>
      <c r="L72" t="n">
        <v>0</v>
      </c>
      <c r="M72" t="n">
        <v>0</v>
      </c>
      <c r="N72" t="n">
        <v>0</v>
      </c>
      <c r="O72" t="n">
        <v>3</v>
      </c>
      <c r="P72" t="n">
        <v>0</v>
      </c>
      <c r="Q72" t="n">
        <v>6</v>
      </c>
      <c r="R72" s="2" t="inlineStr">
        <is>
          <t>Doftskinn
Granticka
Vedflikmossa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58238-2021</t>
        </is>
      </c>
      <c r="B73" s="1" t="n">
        <v>44487</v>
      </c>
      <c r="C73" s="1" t="n">
        <v>46086</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46086</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46086</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32097-2025</t>
        </is>
      </c>
      <c r="B76" s="1" t="n">
        <v>45835.4641087963</v>
      </c>
      <c r="C76" s="1" t="n">
        <v>46086</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30034-2024</t>
        </is>
      </c>
      <c r="B77" s="1" t="n">
        <v>45485</v>
      </c>
      <c r="C77" s="1" t="n">
        <v>46086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4775-2025</t>
        </is>
      </c>
      <c r="B78" s="1" t="n">
        <v>45688</v>
      </c>
      <c r="C78" s="1" t="n">
        <v>46086</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42565-2024</t>
        </is>
      </c>
      <c r="B79" s="1" t="n">
        <v>45565</v>
      </c>
      <c r="C79" s="1" t="n">
        <v>46086</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46086</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12988-2021</t>
        </is>
      </c>
      <c r="B81" s="1" t="n">
        <v>44271</v>
      </c>
      <c r="C81" s="1" t="n">
        <v>46086</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48189-2025</t>
        </is>
      </c>
      <c r="B82" s="1" t="n">
        <v>45931</v>
      </c>
      <c r="C82" s="1" t="n">
        <v>46086</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46086</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14195-2021</t>
        </is>
      </c>
      <c r="B84" s="1" t="n">
        <v>44278</v>
      </c>
      <c r="C84" s="1" t="n">
        <v>46086</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63363-2025</t>
        </is>
      </c>
      <c r="B85" s="1" t="n">
        <v>46010.68505787037</v>
      </c>
      <c r="C85" s="1" t="n">
        <v>46086</v>
      </c>
      <c r="D85" t="inlineStr">
        <is>
          <t>JÄMTLANDS LÄN</t>
        </is>
      </c>
      <c r="E85" t="inlineStr">
        <is>
          <t>ÅRE</t>
        </is>
      </c>
      <c r="F85" t="inlineStr">
        <is>
          <t>Övriga Aktiebolag</t>
        </is>
      </c>
      <c r="G85" t="n">
        <v>28.4</v>
      </c>
      <c r="H85" t="n">
        <v>1</v>
      </c>
      <c r="I85" t="n">
        <v>0</v>
      </c>
      <c r="J85" t="n">
        <v>4</v>
      </c>
      <c r="K85" t="n">
        <v>1</v>
      </c>
      <c r="L85" t="n">
        <v>0</v>
      </c>
      <c r="M85" t="n">
        <v>0</v>
      </c>
      <c r="N85" t="n">
        <v>0</v>
      </c>
      <c r="O85" t="n">
        <v>5</v>
      </c>
      <c r="P85" t="n">
        <v>1</v>
      </c>
      <c r="Q85" t="n">
        <v>5</v>
      </c>
      <c r="R85" s="2" t="inlineStr">
        <is>
          <t>Tallbit
Garnlav
Granticka
Lunglav
Mjölig dropplav</t>
        </is>
      </c>
      <c r="S85">
        <f>HYPERLINK("https://klasma.github.io/Logging_2321/artfynd/A 63363-2025 artfynd.xlsx", "A 63363-2025")</f>
        <v/>
      </c>
      <c r="T85">
        <f>HYPERLINK("https://klasma.github.io/Logging_2321/kartor/A 63363-2025 karta.png", "A 63363-2025")</f>
        <v/>
      </c>
      <c r="V85">
        <f>HYPERLINK("https://klasma.github.io/Logging_2321/klagomål/A 63363-2025 FSC-klagomål.docx", "A 63363-2025")</f>
        <v/>
      </c>
      <c r="W85">
        <f>HYPERLINK("https://klasma.github.io/Logging_2321/klagomålsmail/A 63363-2025 FSC-klagomål mail.docx", "A 63363-2025")</f>
        <v/>
      </c>
      <c r="X85">
        <f>HYPERLINK("https://klasma.github.io/Logging_2321/tillsyn/A 63363-2025 tillsynsbegäran.docx", "A 63363-2025")</f>
        <v/>
      </c>
      <c r="Y85">
        <f>HYPERLINK("https://klasma.github.io/Logging_2321/tillsynsmail/A 63363-2025 tillsynsbegäran mail.docx", "A 63363-2025")</f>
        <v/>
      </c>
      <c r="Z85">
        <f>HYPERLINK("https://klasma.github.io/Logging_2321/fåglar/A 63363-2025 prioriterade fågelarter.docx", "A 63363-2025")</f>
        <v/>
      </c>
    </row>
    <row r="86" ht="15" customHeight="1">
      <c r="A86" t="inlineStr">
        <is>
          <t>A 53436-2025</t>
        </is>
      </c>
      <c r="B86" s="1" t="n">
        <v>45959</v>
      </c>
      <c r="C86" s="1" t="n">
        <v>46086</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54374-2025</t>
        </is>
      </c>
      <c r="B87" s="1" t="n">
        <v>45965</v>
      </c>
      <c r="C87" s="1" t="n">
        <v>46086</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19925-2025</t>
        </is>
      </c>
      <c r="B88" s="1" t="n">
        <v>45771.634375</v>
      </c>
      <c r="C88" s="1" t="n">
        <v>46086</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62621-2025</t>
        </is>
      </c>
      <c r="B89" s="1" t="n">
        <v>46008.34428240741</v>
      </c>
      <c r="C89" s="1" t="n">
        <v>46086</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12271-2022</t>
        </is>
      </c>
      <c r="B90" s="1" t="n">
        <v>44637</v>
      </c>
      <c r="C90" s="1" t="n">
        <v>46086</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59163-2025</t>
        </is>
      </c>
      <c r="B91" s="1" t="n">
        <v>45988.55412037037</v>
      </c>
      <c r="C91" s="1" t="n">
        <v>46086</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19277-2021</t>
        </is>
      </c>
      <c r="B92" s="1" t="n">
        <v>44309</v>
      </c>
      <c r="C92" s="1" t="n">
        <v>46086</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62273-2025</t>
        </is>
      </c>
      <c r="B93" s="1" t="n">
        <v>46006.62581018519</v>
      </c>
      <c r="C93" s="1" t="n">
        <v>46086</v>
      </c>
      <c r="D93" t="inlineStr">
        <is>
          <t>JÄMTLANDS LÄN</t>
        </is>
      </c>
      <c r="E93" t="inlineStr">
        <is>
          <t>ÅRE</t>
        </is>
      </c>
      <c r="G93" t="n">
        <v>11</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HYPERLINK("https://klasma.github.io/Logging_2321/artfynd/A 62273-2025 artfynd.xlsx", "A 62273-2025")</f>
        <v/>
      </c>
      <c r="T93">
        <f>HYPERLINK("https://klasma.github.io/Logging_2321/kartor/A 62273-2025 karta.png", "A 62273-2025")</f>
        <v/>
      </c>
      <c r="V93">
        <f>HYPERLINK("https://klasma.github.io/Logging_2321/klagomål/A 62273-2025 FSC-klagomål.docx", "A 62273-2025")</f>
        <v/>
      </c>
      <c r="W93">
        <f>HYPERLINK("https://klasma.github.io/Logging_2321/klagomålsmail/A 62273-2025 FSC-klagomål mail.docx", "A 62273-2025")</f>
        <v/>
      </c>
      <c r="X93">
        <f>HYPERLINK("https://klasma.github.io/Logging_2321/tillsyn/A 62273-2025 tillsynsbegäran.docx", "A 62273-2025")</f>
        <v/>
      </c>
      <c r="Y93">
        <f>HYPERLINK("https://klasma.github.io/Logging_2321/tillsynsmail/A 62273-2025 tillsynsbegäran mail.docx", "A 62273-2025")</f>
        <v/>
      </c>
      <c r="Z93">
        <f>HYPERLINK("https://klasma.github.io/Logging_2321/fåglar/A 62273-2025 prioriterade fågelarter.docx", "A 62273-2025")</f>
        <v/>
      </c>
    </row>
    <row r="94" ht="15" customHeight="1">
      <c r="A94" t="inlineStr">
        <is>
          <t>A 57537-2024</t>
        </is>
      </c>
      <c r="B94" s="1" t="n">
        <v>45630</v>
      </c>
      <c r="C94" s="1" t="n">
        <v>46086</v>
      </c>
      <c r="D94" t="inlineStr">
        <is>
          <t>JÄMTLANDS LÄN</t>
        </is>
      </c>
      <c r="E94" t="inlineStr">
        <is>
          <t>ÅRE</t>
        </is>
      </c>
      <c r="G94" t="n">
        <v>19.1</v>
      </c>
      <c r="H94" t="n">
        <v>1</v>
      </c>
      <c r="I94" t="n">
        <v>0</v>
      </c>
      <c r="J94" t="n">
        <v>4</v>
      </c>
      <c r="K94" t="n">
        <v>0</v>
      </c>
      <c r="L94" t="n">
        <v>0</v>
      </c>
      <c r="M94" t="n">
        <v>0</v>
      </c>
      <c r="N94" t="n">
        <v>0</v>
      </c>
      <c r="O94" t="n">
        <v>4</v>
      </c>
      <c r="P94" t="n">
        <v>0</v>
      </c>
      <c r="Q94" t="n">
        <v>4</v>
      </c>
      <c r="R94" s="2" t="inlineStr">
        <is>
          <t>Garnlav
Granticka
Tretåig hackspett
Ullticka</t>
        </is>
      </c>
      <c r="S94">
        <f>HYPERLINK("https://klasma.github.io/Logging_2321/artfynd/A 57537-2024 artfynd.xlsx", "A 57537-2024")</f>
        <v/>
      </c>
      <c r="T94">
        <f>HYPERLINK("https://klasma.github.io/Logging_2321/kartor/A 57537-2024 karta.png", "A 57537-2024")</f>
        <v/>
      </c>
      <c r="V94">
        <f>HYPERLINK("https://klasma.github.io/Logging_2321/klagomål/A 57537-2024 FSC-klagomål.docx", "A 57537-2024")</f>
        <v/>
      </c>
      <c r="W94">
        <f>HYPERLINK("https://klasma.github.io/Logging_2321/klagomålsmail/A 57537-2024 FSC-klagomål mail.docx", "A 57537-2024")</f>
        <v/>
      </c>
      <c r="X94">
        <f>HYPERLINK("https://klasma.github.io/Logging_2321/tillsyn/A 57537-2024 tillsynsbegäran.docx", "A 57537-2024")</f>
        <v/>
      </c>
      <c r="Y94">
        <f>HYPERLINK("https://klasma.github.io/Logging_2321/tillsynsmail/A 57537-2024 tillsynsbegäran mail.docx", "A 57537-2024")</f>
        <v/>
      </c>
      <c r="Z94">
        <f>HYPERLINK("https://klasma.github.io/Logging_2321/fåglar/A 57537-2024 prioriterade fågelarter.docx", "A 57537-2024")</f>
        <v/>
      </c>
    </row>
    <row r="95" ht="15" customHeight="1">
      <c r="A95" t="inlineStr">
        <is>
          <t>A 56183-2022</t>
        </is>
      </c>
      <c r="B95" s="1" t="n">
        <v>44889</v>
      </c>
      <c r="C95" s="1" t="n">
        <v>46086</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23638-2023</t>
        </is>
      </c>
      <c r="B96" s="1" t="n">
        <v>45072</v>
      </c>
      <c r="C96" s="1" t="n">
        <v>46086</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46086</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20124-2023</t>
        </is>
      </c>
      <c r="B98" s="1" t="n">
        <v>45055</v>
      </c>
      <c r="C98" s="1" t="n">
        <v>46086</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61875-2024</t>
        </is>
      </c>
      <c r="B99" s="1" t="n">
        <v>45651</v>
      </c>
      <c r="C99" s="1" t="n">
        <v>46086</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14198-2021</t>
        </is>
      </c>
      <c r="B100" s="1" t="n">
        <v>44278</v>
      </c>
      <c r="C100" s="1" t="n">
        <v>46086</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23729-2023</t>
        </is>
      </c>
      <c r="B101" s="1" t="n">
        <v>45072</v>
      </c>
      <c r="C101" s="1" t="n">
        <v>46086</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36260-2023</t>
        </is>
      </c>
      <c r="B102" s="1" t="n">
        <v>45151</v>
      </c>
      <c r="C102" s="1" t="n">
        <v>46086</v>
      </c>
      <c r="D102" t="inlineStr">
        <is>
          <t>JÄMTLANDS LÄN</t>
        </is>
      </c>
      <c r="E102" t="inlineStr">
        <is>
          <t>ÅRE</t>
        </is>
      </c>
      <c r="G102" t="n">
        <v>2.6</v>
      </c>
      <c r="H102" t="n">
        <v>0</v>
      </c>
      <c r="I102" t="n">
        <v>3</v>
      </c>
      <c r="J102" t="n">
        <v>0</v>
      </c>
      <c r="K102" t="n">
        <v>0</v>
      </c>
      <c r="L102" t="n">
        <v>0</v>
      </c>
      <c r="M102" t="n">
        <v>0</v>
      </c>
      <c r="N102" t="n">
        <v>0</v>
      </c>
      <c r="O102" t="n">
        <v>0</v>
      </c>
      <c r="P102" t="n">
        <v>0</v>
      </c>
      <c r="Q102" t="n">
        <v>3</v>
      </c>
      <c r="R102" s="2" t="inlineStr">
        <is>
          <t>Svavelriska
Underviol
Vedticka</t>
        </is>
      </c>
      <c r="S102">
        <f>HYPERLINK("https://klasma.github.io/Logging_2321/artfynd/A 36260-2023 artfynd.xlsx", "A 36260-2023")</f>
        <v/>
      </c>
      <c r="T102">
        <f>HYPERLINK("https://klasma.github.io/Logging_2321/kartor/A 36260-2023 karta.png", "A 36260-2023")</f>
        <v/>
      </c>
      <c r="V102">
        <f>HYPERLINK("https://klasma.github.io/Logging_2321/klagomål/A 36260-2023 FSC-klagomål.docx", "A 36260-2023")</f>
        <v/>
      </c>
      <c r="W102">
        <f>HYPERLINK("https://klasma.github.io/Logging_2321/klagomålsmail/A 36260-2023 FSC-klagomål mail.docx", "A 36260-2023")</f>
        <v/>
      </c>
      <c r="X102">
        <f>HYPERLINK("https://klasma.github.io/Logging_2321/tillsyn/A 36260-2023 tillsynsbegäran.docx", "A 36260-2023")</f>
        <v/>
      </c>
      <c r="Y102">
        <f>HYPERLINK("https://klasma.github.io/Logging_2321/tillsynsmail/A 36260-2023 tillsynsbegäran mail.docx", "A 36260-2023")</f>
        <v/>
      </c>
    </row>
    <row r="103" ht="15" customHeight="1">
      <c r="A103" t="inlineStr">
        <is>
          <t>A 21006-2022</t>
        </is>
      </c>
      <c r="B103" s="1" t="n">
        <v>44701</v>
      </c>
      <c r="C103" s="1" t="n">
        <v>46086</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12269-2022</t>
        </is>
      </c>
      <c r="B104" s="1" t="n">
        <v>44637</v>
      </c>
      <c r="C104" s="1" t="n">
        <v>46086</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40386-2025</t>
        </is>
      </c>
      <c r="B105" s="1" t="n">
        <v>45895</v>
      </c>
      <c r="C105" s="1" t="n">
        <v>46086</v>
      </c>
      <c r="D105" t="inlineStr">
        <is>
          <t>JÄMTLANDS LÄN</t>
        </is>
      </c>
      <c r="E105" t="inlineStr">
        <is>
          <t>ÅRE</t>
        </is>
      </c>
      <c r="F105" t="inlineStr">
        <is>
          <t>Övriga Aktiebolag</t>
        </is>
      </c>
      <c r="G105" t="n">
        <v>7.5</v>
      </c>
      <c r="H105" t="n">
        <v>3</v>
      </c>
      <c r="I105" t="n">
        <v>0</v>
      </c>
      <c r="J105" t="n">
        <v>1</v>
      </c>
      <c r="K105" t="n">
        <v>0</v>
      </c>
      <c r="L105" t="n">
        <v>0</v>
      </c>
      <c r="M105" t="n">
        <v>0</v>
      </c>
      <c r="N105" t="n">
        <v>0</v>
      </c>
      <c r="O105" t="n">
        <v>1</v>
      </c>
      <c r="P105" t="n">
        <v>0</v>
      </c>
      <c r="Q105" t="n">
        <v>3</v>
      </c>
      <c r="R105" s="2" t="inlineStr">
        <is>
          <t>Tretåig hackspett
Lavskrika
Tjäder</t>
        </is>
      </c>
      <c r="S105">
        <f>HYPERLINK("https://klasma.github.io/Logging_2321/artfynd/A 40386-2025 artfynd.xlsx", "A 40386-2025")</f>
        <v/>
      </c>
      <c r="T105">
        <f>HYPERLINK("https://klasma.github.io/Logging_2321/kartor/A 40386-2025 karta.png", "A 40386-2025")</f>
        <v/>
      </c>
      <c r="V105">
        <f>HYPERLINK("https://klasma.github.io/Logging_2321/klagomål/A 40386-2025 FSC-klagomål.docx", "A 40386-2025")</f>
        <v/>
      </c>
      <c r="W105">
        <f>HYPERLINK("https://klasma.github.io/Logging_2321/klagomålsmail/A 40386-2025 FSC-klagomål mail.docx", "A 40386-2025")</f>
        <v/>
      </c>
      <c r="X105">
        <f>HYPERLINK("https://klasma.github.io/Logging_2321/tillsyn/A 40386-2025 tillsynsbegäran.docx", "A 40386-2025")</f>
        <v/>
      </c>
      <c r="Y105">
        <f>HYPERLINK("https://klasma.github.io/Logging_2321/tillsynsmail/A 40386-2025 tillsynsbegäran mail.docx", "A 40386-2025")</f>
        <v/>
      </c>
      <c r="Z105">
        <f>HYPERLINK("https://klasma.github.io/Logging_2321/fåglar/A 40386-2025 prioriterade fågelarter.docx", "A 40386-2025")</f>
        <v/>
      </c>
    </row>
    <row r="106" ht="15" customHeight="1">
      <c r="A106" t="inlineStr">
        <is>
          <t>A 10627-2023</t>
        </is>
      </c>
      <c r="B106" s="1" t="n">
        <v>44984</v>
      </c>
      <c r="C106" s="1" t="n">
        <v>46086</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22601-2024</t>
        </is>
      </c>
      <c r="B107" s="1" t="n">
        <v>45447</v>
      </c>
      <c r="C107" s="1" t="n">
        <v>46086</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10501-2024</t>
        </is>
      </c>
      <c r="B108" s="1" t="n">
        <v>45366</v>
      </c>
      <c r="C108" s="1" t="n">
        <v>46086</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40245-2023</t>
        </is>
      </c>
      <c r="B109" s="1" t="n">
        <v>45167</v>
      </c>
      <c r="C109" s="1" t="n">
        <v>46086</v>
      </c>
      <c r="D109" t="inlineStr">
        <is>
          <t>JÄMTLANDS LÄN</t>
        </is>
      </c>
      <c r="E109" t="inlineStr">
        <is>
          <t>ÅRE</t>
        </is>
      </c>
      <c r="G109" t="n">
        <v>18.8</v>
      </c>
      <c r="H109" t="n">
        <v>1</v>
      </c>
      <c r="I109" t="n">
        <v>0</v>
      </c>
      <c r="J109" t="n">
        <v>3</v>
      </c>
      <c r="K109" t="n">
        <v>0</v>
      </c>
      <c r="L109" t="n">
        <v>0</v>
      </c>
      <c r="M109" t="n">
        <v>0</v>
      </c>
      <c r="N109" t="n">
        <v>0</v>
      </c>
      <c r="O109" t="n">
        <v>3</v>
      </c>
      <c r="P109" t="n">
        <v>0</v>
      </c>
      <c r="Q109" t="n">
        <v>3</v>
      </c>
      <c r="R109" s="2" t="inlineStr">
        <is>
          <t>Lunglav
Skrovellav
Tretåig hackspett</t>
        </is>
      </c>
      <c r="S109">
        <f>HYPERLINK("https://klasma.github.io/Logging_2321/artfynd/A 40245-2023 artfynd.xlsx", "A 40245-2023")</f>
        <v/>
      </c>
      <c r="T109">
        <f>HYPERLINK("https://klasma.github.io/Logging_2321/kartor/A 40245-2023 karta.png", "A 40245-2023")</f>
        <v/>
      </c>
      <c r="V109">
        <f>HYPERLINK("https://klasma.github.io/Logging_2321/klagomål/A 40245-2023 FSC-klagomål.docx", "A 40245-2023")</f>
        <v/>
      </c>
      <c r="W109">
        <f>HYPERLINK("https://klasma.github.io/Logging_2321/klagomålsmail/A 40245-2023 FSC-klagomål mail.docx", "A 40245-2023")</f>
        <v/>
      </c>
      <c r="X109">
        <f>HYPERLINK("https://klasma.github.io/Logging_2321/tillsyn/A 40245-2023 tillsynsbegäran.docx", "A 40245-2023")</f>
        <v/>
      </c>
      <c r="Y109">
        <f>HYPERLINK("https://klasma.github.io/Logging_2321/tillsynsmail/A 40245-2023 tillsynsbegäran mail.docx", "A 40245-2023")</f>
        <v/>
      </c>
      <c r="Z109">
        <f>HYPERLINK("https://klasma.github.io/Logging_2321/fåglar/A 40245-2023 prioriterade fågelarter.docx", "A 40245-2023")</f>
        <v/>
      </c>
    </row>
    <row r="110" ht="15" customHeight="1">
      <c r="A110" t="inlineStr">
        <is>
          <t>A 56549-2025</t>
        </is>
      </c>
      <c r="B110" s="1" t="n">
        <v>45975.48099537037</v>
      </c>
      <c r="C110" s="1" t="n">
        <v>46086</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58082-2022</t>
        </is>
      </c>
      <c r="B111" s="1" t="n">
        <v>44900</v>
      </c>
      <c r="C111" s="1" t="n">
        <v>46086</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47988-2025</t>
        </is>
      </c>
      <c r="B112" s="1" t="n">
        <v>45931</v>
      </c>
      <c r="C112" s="1" t="n">
        <v>46086</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46086</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54376-2025</t>
        </is>
      </c>
      <c r="B114" s="1" t="n">
        <v>45965</v>
      </c>
      <c r="C114" s="1" t="n">
        <v>46086</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52588-2024</t>
        </is>
      </c>
      <c r="B115" s="1" t="n">
        <v>45609.69825231482</v>
      </c>
      <c r="C115" s="1" t="n">
        <v>46086</v>
      </c>
      <c r="D115" t="inlineStr">
        <is>
          <t>JÄMTLANDS LÄN</t>
        </is>
      </c>
      <c r="E115" t="inlineStr">
        <is>
          <t>ÅRE</t>
        </is>
      </c>
      <c r="G115" t="n">
        <v>6.5</v>
      </c>
      <c r="H115" t="n">
        <v>0</v>
      </c>
      <c r="I115" t="n">
        <v>1</v>
      </c>
      <c r="J115" t="n">
        <v>2</v>
      </c>
      <c r="K115" t="n">
        <v>0</v>
      </c>
      <c r="L115" t="n">
        <v>0</v>
      </c>
      <c r="M115" t="n">
        <v>0</v>
      </c>
      <c r="N115" t="n">
        <v>0</v>
      </c>
      <c r="O115" t="n">
        <v>2</v>
      </c>
      <c r="P115" t="n">
        <v>0</v>
      </c>
      <c r="Q115" t="n">
        <v>3</v>
      </c>
      <c r="R115" s="2" t="inlineStr">
        <is>
          <t>Garnlav
Liten svartspik
Vedticka</t>
        </is>
      </c>
      <c r="S115">
        <f>HYPERLINK("https://klasma.github.io/Logging_2321/artfynd/A 52588-2024 artfynd.xlsx", "A 52588-2024")</f>
        <v/>
      </c>
      <c r="T115">
        <f>HYPERLINK("https://klasma.github.io/Logging_2321/kartor/A 52588-2024 karta.png", "A 52588-2024")</f>
        <v/>
      </c>
      <c r="V115">
        <f>HYPERLINK("https://klasma.github.io/Logging_2321/klagomål/A 52588-2024 FSC-klagomål.docx", "A 52588-2024")</f>
        <v/>
      </c>
      <c r="W115">
        <f>HYPERLINK("https://klasma.github.io/Logging_2321/klagomålsmail/A 52588-2024 FSC-klagomål mail.docx", "A 52588-2024")</f>
        <v/>
      </c>
      <c r="X115">
        <f>HYPERLINK("https://klasma.github.io/Logging_2321/tillsyn/A 52588-2024 tillsynsbegäran.docx", "A 52588-2024")</f>
        <v/>
      </c>
      <c r="Y115">
        <f>HYPERLINK("https://klasma.github.io/Logging_2321/tillsynsmail/A 52588-2024 tillsynsbegäran mail.docx", "A 52588-2024")</f>
        <v/>
      </c>
    </row>
    <row r="116" ht="15" customHeight="1">
      <c r="A116" t="inlineStr">
        <is>
          <t>A 23572-2021</t>
        </is>
      </c>
      <c r="B116" s="1" t="n">
        <v>44334</v>
      </c>
      <c r="C116" s="1" t="n">
        <v>46086</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46086</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72934-2021</t>
        </is>
      </c>
      <c r="B118" s="1" t="n">
        <v>44547</v>
      </c>
      <c r="C118" s="1" t="n">
        <v>46086</v>
      </c>
      <c r="D118" t="inlineStr">
        <is>
          <t>JÄMTLANDS LÄN</t>
        </is>
      </c>
      <c r="E118" t="inlineStr">
        <is>
          <t>ÅRE</t>
        </is>
      </c>
      <c r="G118" t="n">
        <v>31.9</v>
      </c>
      <c r="H118" t="n">
        <v>0</v>
      </c>
      <c r="I118" t="n">
        <v>0</v>
      </c>
      <c r="J118" t="n">
        <v>3</v>
      </c>
      <c r="K118" t="n">
        <v>0</v>
      </c>
      <c r="L118" t="n">
        <v>0</v>
      </c>
      <c r="M118" t="n">
        <v>0</v>
      </c>
      <c r="N118" t="n">
        <v>0</v>
      </c>
      <c r="O118" t="n">
        <v>3</v>
      </c>
      <c r="P118" t="n">
        <v>0</v>
      </c>
      <c r="Q118" t="n">
        <v>3</v>
      </c>
      <c r="R118" s="2" t="inlineStr">
        <is>
          <t>Gränsticka
Skrovellav
Stjärntagging</t>
        </is>
      </c>
      <c r="S118">
        <f>HYPERLINK("https://klasma.github.io/Logging_2321/artfynd/A 72934-2021 artfynd.xlsx", "A 72934-2021")</f>
        <v/>
      </c>
      <c r="T118">
        <f>HYPERLINK("https://klasma.github.io/Logging_2321/kartor/A 72934-2021 karta.png", "A 72934-2021")</f>
        <v/>
      </c>
      <c r="V118">
        <f>HYPERLINK("https://klasma.github.io/Logging_2321/klagomål/A 72934-2021 FSC-klagomål.docx", "A 72934-2021")</f>
        <v/>
      </c>
      <c r="W118">
        <f>HYPERLINK("https://klasma.github.io/Logging_2321/klagomålsmail/A 72934-2021 FSC-klagomål mail.docx", "A 72934-2021")</f>
        <v/>
      </c>
      <c r="X118">
        <f>HYPERLINK("https://klasma.github.io/Logging_2321/tillsyn/A 72934-2021 tillsynsbegäran.docx", "A 72934-2021")</f>
        <v/>
      </c>
      <c r="Y118">
        <f>HYPERLINK("https://klasma.github.io/Logging_2321/tillsynsmail/A 72934-2021 tillsynsbegäran mail.docx", "A 72934-2021")</f>
        <v/>
      </c>
    </row>
    <row r="119" ht="15" customHeight="1">
      <c r="A119" t="inlineStr">
        <is>
          <t>A 22692-2025</t>
        </is>
      </c>
      <c r="B119" s="1" t="n">
        <v>45789.53834490741</v>
      </c>
      <c r="C119" s="1" t="n">
        <v>46086</v>
      </c>
      <c r="D119" t="inlineStr">
        <is>
          <t>JÄMTLANDS LÄN</t>
        </is>
      </c>
      <c r="E119" t="inlineStr">
        <is>
          <t>ÅRE</t>
        </is>
      </c>
      <c r="G119" t="n">
        <v>10.6</v>
      </c>
      <c r="H119" t="n">
        <v>0</v>
      </c>
      <c r="I119" t="n">
        <v>0</v>
      </c>
      <c r="J119" t="n">
        <v>3</v>
      </c>
      <c r="K119" t="n">
        <v>0</v>
      </c>
      <c r="L119" t="n">
        <v>0</v>
      </c>
      <c r="M119" t="n">
        <v>0</v>
      </c>
      <c r="N119" t="n">
        <v>0</v>
      </c>
      <c r="O119" t="n">
        <v>3</v>
      </c>
      <c r="P119" t="n">
        <v>0</v>
      </c>
      <c r="Q119" t="n">
        <v>3</v>
      </c>
      <c r="R119" s="2" t="inlineStr">
        <is>
          <t>Gammelgransskål
Garnlav
Skrovellav</t>
        </is>
      </c>
      <c r="S119">
        <f>HYPERLINK("https://klasma.github.io/Logging_2321/artfynd/A 22692-2025 artfynd.xlsx", "A 22692-2025")</f>
        <v/>
      </c>
      <c r="T119">
        <f>HYPERLINK("https://klasma.github.io/Logging_2321/kartor/A 22692-2025 karta.png", "A 22692-2025")</f>
        <v/>
      </c>
      <c r="V119">
        <f>HYPERLINK("https://klasma.github.io/Logging_2321/klagomål/A 22692-2025 FSC-klagomål.docx", "A 22692-2025")</f>
        <v/>
      </c>
      <c r="W119">
        <f>HYPERLINK("https://klasma.github.io/Logging_2321/klagomålsmail/A 22692-2025 FSC-klagomål mail.docx", "A 22692-2025")</f>
        <v/>
      </c>
      <c r="X119">
        <f>HYPERLINK("https://klasma.github.io/Logging_2321/tillsyn/A 22692-2025 tillsynsbegäran.docx", "A 22692-2025")</f>
        <v/>
      </c>
      <c r="Y119">
        <f>HYPERLINK("https://klasma.github.io/Logging_2321/tillsynsmail/A 22692-2025 tillsynsbegäran mail.docx", "A 22692-2025")</f>
        <v/>
      </c>
    </row>
    <row r="120" ht="15" customHeight="1">
      <c r="A120" t="inlineStr">
        <is>
          <t>A 58387-2023</t>
        </is>
      </c>
      <c r="B120" s="1" t="n">
        <v>45250</v>
      </c>
      <c r="C120" s="1" t="n">
        <v>46086</v>
      </c>
      <c r="D120" t="inlineStr">
        <is>
          <t>JÄMTLANDS LÄN</t>
        </is>
      </c>
      <c r="E120" t="inlineStr">
        <is>
          <t>ÅRE</t>
        </is>
      </c>
      <c r="G120" t="n">
        <v>24.7</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HYPERLINK("https://klasma.github.io/Logging_2321/artfynd/A 58387-2023 artfynd.xlsx", "A 58387-2023")</f>
        <v/>
      </c>
      <c r="T120">
        <f>HYPERLINK("https://klasma.github.io/Logging_2321/kartor/A 58387-2023 karta.png", "A 58387-2023")</f>
        <v/>
      </c>
      <c r="V120">
        <f>HYPERLINK("https://klasma.github.io/Logging_2321/klagomål/A 58387-2023 FSC-klagomål.docx", "A 58387-2023")</f>
        <v/>
      </c>
      <c r="W120">
        <f>HYPERLINK("https://klasma.github.io/Logging_2321/klagomålsmail/A 58387-2023 FSC-klagomål mail.docx", "A 58387-2023")</f>
        <v/>
      </c>
      <c r="X120">
        <f>HYPERLINK("https://klasma.github.io/Logging_2321/tillsyn/A 58387-2023 tillsynsbegäran.docx", "A 58387-2023")</f>
        <v/>
      </c>
      <c r="Y120">
        <f>HYPERLINK("https://klasma.github.io/Logging_2321/tillsynsmail/A 58387-2023 tillsynsbegäran mail.docx", "A 58387-2023")</f>
        <v/>
      </c>
      <c r="Z120">
        <f>HYPERLINK("https://klasma.github.io/Logging_2321/fåglar/A 58387-2023 prioriterade fågelarter.docx", "A 58387-2023")</f>
        <v/>
      </c>
    </row>
    <row r="121" ht="15" customHeight="1">
      <c r="A121" t="inlineStr">
        <is>
          <t>A 22231-2022</t>
        </is>
      </c>
      <c r="B121" s="1" t="n">
        <v>44712</v>
      </c>
      <c r="C121" s="1" t="n">
        <v>46086</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23706-2023</t>
        </is>
      </c>
      <c r="B122" s="1" t="n">
        <v>45072</v>
      </c>
      <c r="C122" s="1" t="n">
        <v>46086</v>
      </c>
      <c r="D122" t="inlineStr">
        <is>
          <t>JÄMTLANDS LÄN</t>
        </is>
      </c>
      <c r="E122" t="inlineStr">
        <is>
          <t>ÅRE</t>
        </is>
      </c>
      <c r="G122" t="n">
        <v>8.1</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23706-2023 artfynd.xlsx", "A 23706-2023")</f>
        <v/>
      </c>
      <c r="T122">
        <f>HYPERLINK("https://klasma.github.io/Logging_2321/kartor/A 23706-2023 karta.png", "A 23706-2023")</f>
        <v/>
      </c>
      <c r="V122">
        <f>HYPERLINK("https://klasma.github.io/Logging_2321/klagomål/A 23706-2023 FSC-klagomål.docx", "A 23706-2023")</f>
        <v/>
      </c>
      <c r="W122">
        <f>HYPERLINK("https://klasma.github.io/Logging_2321/klagomålsmail/A 23706-2023 FSC-klagomål mail.docx", "A 23706-2023")</f>
        <v/>
      </c>
      <c r="X122">
        <f>HYPERLINK("https://klasma.github.io/Logging_2321/tillsyn/A 23706-2023 tillsynsbegäran.docx", "A 23706-2023")</f>
        <v/>
      </c>
      <c r="Y122">
        <f>HYPERLINK("https://klasma.github.io/Logging_2321/tillsynsmail/A 23706-2023 tillsynsbegäran mail.docx", "A 23706-2023")</f>
        <v/>
      </c>
      <c r="Z122">
        <f>HYPERLINK("https://klasma.github.io/Logging_2321/fåglar/A 23706-2023 prioriterade fågelarter.docx", "A 23706-2023")</f>
        <v/>
      </c>
    </row>
    <row r="123" ht="15" customHeight="1">
      <c r="A123" t="inlineStr">
        <is>
          <t>A 6113-2024</t>
        </is>
      </c>
      <c r="B123" s="1" t="n">
        <v>45337</v>
      </c>
      <c r="C123" s="1" t="n">
        <v>46086</v>
      </c>
      <c r="D123" t="inlineStr">
        <is>
          <t>JÄMTLANDS LÄN</t>
        </is>
      </c>
      <c r="E123" t="inlineStr">
        <is>
          <t>ÅRE</t>
        </is>
      </c>
      <c r="G123" t="n">
        <v>1.3</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6113-2024 artfynd.xlsx", "A 6113-2024")</f>
        <v/>
      </c>
      <c r="T123">
        <f>HYPERLINK("https://klasma.github.io/Logging_2321/kartor/A 6113-2024 karta.png", "A 6113-2024")</f>
        <v/>
      </c>
      <c r="V123">
        <f>HYPERLINK("https://klasma.github.io/Logging_2321/klagomål/A 6113-2024 FSC-klagomål.docx", "A 6113-2024")</f>
        <v/>
      </c>
      <c r="W123">
        <f>HYPERLINK("https://klasma.github.io/Logging_2321/klagomålsmail/A 6113-2024 FSC-klagomål mail.docx", "A 6113-2024")</f>
        <v/>
      </c>
      <c r="X123">
        <f>HYPERLINK("https://klasma.github.io/Logging_2321/tillsyn/A 6113-2024 tillsynsbegäran.docx", "A 6113-2024")</f>
        <v/>
      </c>
      <c r="Y123">
        <f>HYPERLINK("https://klasma.github.io/Logging_2321/tillsynsmail/A 6113-2024 tillsynsbegäran mail.docx", "A 6113-2024")</f>
        <v/>
      </c>
      <c r="Z123">
        <f>HYPERLINK("https://klasma.github.io/Logging_2321/fåglar/A 6113-2024 prioriterade fågelarter.docx", "A 6113-2024")</f>
        <v/>
      </c>
    </row>
    <row r="124" ht="15" customHeight="1">
      <c r="A124" t="inlineStr">
        <is>
          <t>A 18851-2022</t>
        </is>
      </c>
      <c r="B124" s="1" t="n">
        <v>44690</v>
      </c>
      <c r="C124" s="1" t="n">
        <v>46086</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23566-2021</t>
        </is>
      </c>
      <c r="B125" s="1" t="n">
        <v>44334</v>
      </c>
      <c r="C125" s="1" t="n">
        <v>46086</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32114-2025</t>
        </is>
      </c>
      <c r="B126" s="1" t="n">
        <v>45835.48488425926</v>
      </c>
      <c r="C126" s="1" t="n">
        <v>46086</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60533-2022</t>
        </is>
      </c>
      <c r="B127" s="1" t="n">
        <v>44904</v>
      </c>
      <c r="C127" s="1" t="n">
        <v>46086</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36395-2025</t>
        </is>
      </c>
      <c r="B128" s="1" t="n">
        <v>45868.6211574074</v>
      </c>
      <c r="C128" s="1" t="n">
        <v>46086</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37204-2025</t>
        </is>
      </c>
      <c r="B129" s="1" t="n">
        <v>45875.69826388889</v>
      </c>
      <c r="C129" s="1" t="n">
        <v>46086</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46086</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5418-2023</t>
        </is>
      </c>
      <c r="B131" s="1" t="n">
        <v>44957</v>
      </c>
      <c r="C131" s="1" t="n">
        <v>46086</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54055-2023</t>
        </is>
      </c>
      <c r="B132" s="1" t="n">
        <v>45231</v>
      </c>
      <c r="C132" s="1" t="n">
        <v>46086</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22974-2022</t>
        </is>
      </c>
      <c r="B133" s="1" t="n">
        <v>44716</v>
      </c>
      <c r="C133" s="1" t="n">
        <v>46086</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47993-2025</t>
        </is>
      </c>
      <c r="B134" s="1" t="n">
        <v>45931</v>
      </c>
      <c r="C134" s="1" t="n">
        <v>46086</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54128-2023</t>
        </is>
      </c>
      <c r="B135" s="1" t="n">
        <v>45232</v>
      </c>
      <c r="C135" s="1" t="n">
        <v>46086</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46086</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46086</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46086</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46086</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46086</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46086</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46086</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46086</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46086</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46086</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46086</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46086</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46086</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46086</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46086</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46086</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55194-2022</t>
        </is>
      </c>
      <c r="B152" s="1" t="n">
        <v>44886</v>
      </c>
      <c r="C152" s="1" t="n">
        <v>46086</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46086</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12970-2021</t>
        </is>
      </c>
      <c r="B154" s="1" t="n">
        <v>44271</v>
      </c>
      <c r="C154" s="1" t="n">
        <v>46086</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30032-2024</t>
        </is>
      </c>
      <c r="B155" s="1" t="n">
        <v>45485</v>
      </c>
      <c r="C155" s="1" t="n">
        <v>46086</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30032-2024 artfynd.xlsx", "A 30032-2024")</f>
        <v/>
      </c>
      <c r="T155">
        <f>HYPERLINK("https://klasma.github.io/Logging_2321/kartor/A 30032-2024 karta.png", "A 30032-2024")</f>
        <v/>
      </c>
      <c r="V155">
        <f>HYPERLINK("https://klasma.github.io/Logging_2321/klagomål/A 30032-2024 FSC-klagomål.docx", "A 30032-2024")</f>
        <v/>
      </c>
      <c r="W155">
        <f>HYPERLINK("https://klasma.github.io/Logging_2321/klagomålsmail/A 30032-2024 FSC-klagomål mail.docx", "A 30032-2024")</f>
        <v/>
      </c>
      <c r="X155">
        <f>HYPERLINK("https://klasma.github.io/Logging_2321/tillsyn/A 30032-2024 tillsynsbegäran.docx", "A 30032-2024")</f>
        <v/>
      </c>
      <c r="Y155">
        <f>HYPERLINK("https://klasma.github.io/Logging_2321/tillsynsmail/A 30032-2024 tillsynsbegäran mail.docx", "A 30032-2024")</f>
        <v/>
      </c>
    </row>
    <row r="156" ht="15" customHeight="1">
      <c r="A156" t="inlineStr">
        <is>
          <t>A 4937-2025</t>
        </is>
      </c>
      <c r="B156" s="1" t="n">
        <v>45688</v>
      </c>
      <c r="C156" s="1" t="n">
        <v>46086</v>
      </c>
      <c r="D156" t="inlineStr">
        <is>
          <t>JÄMTLANDS LÄN</t>
        </is>
      </c>
      <c r="E156" t="inlineStr">
        <is>
          <t>ÅRE</t>
        </is>
      </c>
      <c r="G156" t="n">
        <v>1.8</v>
      </c>
      <c r="H156" t="n">
        <v>0</v>
      </c>
      <c r="I156" t="n">
        <v>0</v>
      </c>
      <c r="J156" t="n">
        <v>1</v>
      </c>
      <c r="K156" t="n">
        <v>0</v>
      </c>
      <c r="L156" t="n">
        <v>0</v>
      </c>
      <c r="M156" t="n">
        <v>0</v>
      </c>
      <c r="N156" t="n">
        <v>0</v>
      </c>
      <c r="O156" t="n">
        <v>1</v>
      </c>
      <c r="P156" t="n">
        <v>0</v>
      </c>
      <c r="Q156" t="n">
        <v>1</v>
      </c>
      <c r="R156" s="2" t="inlineStr">
        <is>
          <t>Granticka</t>
        </is>
      </c>
      <c r="S156">
        <f>HYPERLINK("https://klasma.github.io/Logging_2321/artfynd/A 4937-2025 artfynd.xlsx", "A 4937-2025")</f>
        <v/>
      </c>
      <c r="T156">
        <f>HYPERLINK("https://klasma.github.io/Logging_2321/kartor/A 4937-2025 karta.png", "A 4937-2025")</f>
        <v/>
      </c>
      <c r="V156">
        <f>HYPERLINK("https://klasma.github.io/Logging_2321/klagomål/A 4937-2025 FSC-klagomål.docx", "A 4937-2025")</f>
        <v/>
      </c>
      <c r="W156">
        <f>HYPERLINK("https://klasma.github.io/Logging_2321/klagomålsmail/A 4937-2025 FSC-klagomål mail.docx", "A 4937-2025")</f>
        <v/>
      </c>
      <c r="X156">
        <f>HYPERLINK("https://klasma.github.io/Logging_2321/tillsyn/A 4937-2025 tillsynsbegäran.docx", "A 4937-2025")</f>
        <v/>
      </c>
      <c r="Y156">
        <f>HYPERLINK("https://klasma.github.io/Logging_2321/tillsynsmail/A 4937-2025 tillsynsbegäran mail.docx", "A 4937-2025")</f>
        <v/>
      </c>
    </row>
    <row r="157" ht="15" customHeight="1">
      <c r="A157" t="inlineStr">
        <is>
          <t>A 11380-2026</t>
        </is>
      </c>
      <c r="B157" s="1" t="n">
        <v>46083.41158564815</v>
      </c>
      <c r="C157" s="1" t="n">
        <v>46086</v>
      </c>
      <c r="D157" t="inlineStr">
        <is>
          <t>JÄMTLANDS LÄN</t>
        </is>
      </c>
      <c r="E157" t="inlineStr">
        <is>
          <t>ÅRE</t>
        </is>
      </c>
      <c r="G157" t="n">
        <v>50.2</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11380-2026 artfynd.xlsx", "A 11380-2026")</f>
        <v/>
      </c>
      <c r="T157">
        <f>HYPERLINK("https://klasma.github.io/Logging_2321/kartor/A 11380-2026 karta.png", "A 11380-2026")</f>
        <v/>
      </c>
      <c r="V157">
        <f>HYPERLINK("https://klasma.github.io/Logging_2321/klagomål/A 11380-2026 FSC-klagomål.docx", "A 11380-2026")</f>
        <v/>
      </c>
      <c r="W157">
        <f>HYPERLINK("https://klasma.github.io/Logging_2321/klagomålsmail/A 11380-2026 FSC-klagomål mail.docx", "A 11380-2026")</f>
        <v/>
      </c>
      <c r="X157">
        <f>HYPERLINK("https://klasma.github.io/Logging_2321/tillsyn/A 11380-2026 tillsynsbegäran.docx", "A 11380-2026")</f>
        <v/>
      </c>
      <c r="Y157">
        <f>HYPERLINK("https://klasma.github.io/Logging_2321/tillsynsmail/A 11380-2026 tillsynsbegäran mail.docx", "A 11380-2026")</f>
        <v/>
      </c>
      <c r="Z157">
        <f>HYPERLINK("https://klasma.github.io/Logging_2321/fåglar/A 11380-2026 prioriterade fågelarter.docx", "A 11380-2026")</f>
        <v/>
      </c>
    </row>
    <row r="158" ht="15" customHeight="1">
      <c r="A158" t="inlineStr">
        <is>
          <t>A 21939-2025</t>
        </is>
      </c>
      <c r="B158" s="1" t="n">
        <v>45784.58445601852</v>
      </c>
      <c r="C158" s="1" t="n">
        <v>46086</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12242-2022</t>
        </is>
      </c>
      <c r="B159" s="1" t="n">
        <v>44637</v>
      </c>
      <c r="C159" s="1" t="n">
        <v>46086</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53462-2024</t>
        </is>
      </c>
      <c r="B160" s="1" t="n">
        <v>45614.55241898148</v>
      </c>
      <c r="C160" s="1" t="n">
        <v>46086</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45144-2024</t>
        </is>
      </c>
      <c r="B161" s="1" t="n">
        <v>45575.63767361111</v>
      </c>
      <c r="C161" s="1" t="n">
        <v>46086</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52746-2024</t>
        </is>
      </c>
      <c r="B162" s="1" t="n">
        <v>45610.4809375</v>
      </c>
      <c r="C162" s="1" t="n">
        <v>46086</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37082-2021</t>
        </is>
      </c>
      <c r="B163" s="1" t="n">
        <v>44395</v>
      </c>
      <c r="C163" s="1" t="n">
        <v>46086</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11781-2021</t>
        </is>
      </c>
      <c r="B164" s="1" t="n">
        <v>44265</v>
      </c>
      <c r="C164" s="1" t="n">
        <v>46086</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55718-2025</t>
        </is>
      </c>
      <c r="B165" s="1" t="n">
        <v>45972.49988425926</v>
      </c>
      <c r="C165" s="1" t="n">
        <v>46086</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15909-2025</t>
        </is>
      </c>
      <c r="B166" s="1" t="n">
        <v>45749</v>
      </c>
      <c r="C166" s="1" t="n">
        <v>46086</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12857-2021</t>
        </is>
      </c>
      <c r="B167" s="1" t="n">
        <v>44270</v>
      </c>
      <c r="C167" s="1" t="n">
        <v>46086</v>
      </c>
      <c r="D167" t="inlineStr">
        <is>
          <t>JÄMTLANDS LÄN</t>
        </is>
      </c>
      <c r="E167" t="inlineStr">
        <is>
          <t>ÅRE</t>
        </is>
      </c>
      <c r="F167" t="inlineStr">
        <is>
          <t>Kommuner</t>
        </is>
      </c>
      <c r="G167" t="n">
        <v>17.2</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12857-2021 artfynd.xlsx", "A 12857-2021")</f>
        <v/>
      </c>
      <c r="T167">
        <f>HYPERLINK("https://klasma.github.io/Logging_2321/kartor/A 12857-2021 karta.png", "A 12857-2021")</f>
        <v/>
      </c>
      <c r="V167">
        <f>HYPERLINK("https://klasma.github.io/Logging_2321/klagomål/A 12857-2021 FSC-klagomål.docx", "A 12857-2021")</f>
        <v/>
      </c>
      <c r="W167">
        <f>HYPERLINK("https://klasma.github.io/Logging_2321/klagomålsmail/A 12857-2021 FSC-klagomål mail.docx", "A 12857-2021")</f>
        <v/>
      </c>
      <c r="X167">
        <f>HYPERLINK("https://klasma.github.io/Logging_2321/tillsyn/A 12857-2021 tillsynsbegäran.docx", "A 12857-2021")</f>
        <v/>
      </c>
      <c r="Y167">
        <f>HYPERLINK("https://klasma.github.io/Logging_2321/tillsynsmail/A 12857-2021 tillsynsbegäran mail.docx", "A 12857-2021")</f>
        <v/>
      </c>
      <c r="Z167">
        <f>HYPERLINK("https://klasma.github.io/Logging_2321/fåglar/A 12857-2021 prioriterade fågelarter.docx", "A 12857-2021")</f>
        <v/>
      </c>
    </row>
    <row r="168" ht="15" customHeight="1">
      <c r="A168" t="inlineStr">
        <is>
          <t>A 4754-2026</t>
        </is>
      </c>
      <c r="B168" s="1" t="n">
        <v>46048.52958333334</v>
      </c>
      <c r="C168" s="1" t="n">
        <v>46086</v>
      </c>
      <c r="D168" t="inlineStr">
        <is>
          <t>JÄMTLANDS LÄN</t>
        </is>
      </c>
      <c r="E168" t="inlineStr">
        <is>
          <t>ÅRE</t>
        </is>
      </c>
      <c r="G168" t="n">
        <v>8.9</v>
      </c>
      <c r="H168" t="n">
        <v>1</v>
      </c>
      <c r="I168" t="n">
        <v>0</v>
      </c>
      <c r="J168" t="n">
        <v>0</v>
      </c>
      <c r="K168" t="n">
        <v>0</v>
      </c>
      <c r="L168" t="n">
        <v>0</v>
      </c>
      <c r="M168" t="n">
        <v>0</v>
      </c>
      <c r="N168" t="n">
        <v>0</v>
      </c>
      <c r="O168" t="n">
        <v>0</v>
      </c>
      <c r="P168" t="n">
        <v>0</v>
      </c>
      <c r="Q168" t="n">
        <v>1</v>
      </c>
      <c r="R168" s="2" t="inlineStr">
        <is>
          <t>Lavskrika</t>
        </is>
      </c>
      <c r="S168">
        <f>HYPERLINK("https://klasma.github.io/Logging_2321/artfynd/A 4754-2026 artfynd.xlsx", "A 4754-2026")</f>
        <v/>
      </c>
      <c r="T168">
        <f>HYPERLINK("https://klasma.github.io/Logging_2321/kartor/A 4754-2026 karta.png", "A 4754-2026")</f>
        <v/>
      </c>
      <c r="V168">
        <f>HYPERLINK("https://klasma.github.io/Logging_2321/klagomål/A 4754-2026 FSC-klagomål.docx", "A 4754-2026")</f>
        <v/>
      </c>
      <c r="W168">
        <f>HYPERLINK("https://klasma.github.io/Logging_2321/klagomålsmail/A 4754-2026 FSC-klagomål mail.docx", "A 4754-2026")</f>
        <v/>
      </c>
      <c r="X168">
        <f>HYPERLINK("https://klasma.github.io/Logging_2321/tillsyn/A 4754-2026 tillsynsbegäran.docx", "A 4754-2026")</f>
        <v/>
      </c>
      <c r="Y168">
        <f>HYPERLINK("https://klasma.github.io/Logging_2321/tillsynsmail/A 4754-2026 tillsynsbegäran mail.docx", "A 4754-2026")</f>
        <v/>
      </c>
      <c r="Z168">
        <f>HYPERLINK("https://klasma.github.io/Logging_2321/fåglar/A 4754-2026 prioriterade fågelarter.docx", "A 4754-2026")</f>
        <v/>
      </c>
    </row>
    <row r="169" ht="15" customHeight="1">
      <c r="A169" t="inlineStr">
        <is>
          <t>A 57493-2025</t>
        </is>
      </c>
      <c r="B169" s="1" t="n">
        <v>45980</v>
      </c>
      <c r="C169" s="1" t="n">
        <v>46086</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17692-2022</t>
        </is>
      </c>
      <c r="B170" s="1" t="n">
        <v>44680</v>
      </c>
      <c r="C170" s="1" t="n">
        <v>46086</v>
      </c>
      <c r="D170" t="inlineStr">
        <is>
          <t>JÄMTLANDS LÄN</t>
        </is>
      </c>
      <c r="E170" t="inlineStr">
        <is>
          <t>ÅRE</t>
        </is>
      </c>
      <c r="G170" t="n">
        <v>3.1</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17692-2022 artfynd.xlsx", "A 17692-2022")</f>
        <v/>
      </c>
      <c r="T170">
        <f>HYPERLINK("https://klasma.github.io/Logging_2321/kartor/A 17692-2022 karta.png", "A 17692-2022")</f>
        <v/>
      </c>
      <c r="V170">
        <f>HYPERLINK("https://klasma.github.io/Logging_2321/klagomål/A 17692-2022 FSC-klagomål.docx", "A 17692-2022")</f>
        <v/>
      </c>
      <c r="W170">
        <f>HYPERLINK("https://klasma.github.io/Logging_2321/klagomålsmail/A 17692-2022 FSC-klagomål mail.docx", "A 17692-2022")</f>
        <v/>
      </c>
      <c r="X170">
        <f>HYPERLINK("https://klasma.github.io/Logging_2321/tillsyn/A 17692-2022 tillsynsbegäran.docx", "A 17692-2022")</f>
        <v/>
      </c>
      <c r="Y170">
        <f>HYPERLINK("https://klasma.github.io/Logging_2321/tillsynsmail/A 17692-2022 tillsynsbegäran mail.docx", "A 17692-2022")</f>
        <v/>
      </c>
      <c r="Z170">
        <f>HYPERLINK("https://klasma.github.io/Logging_2321/fåglar/A 17692-2022 prioriterade fågelarter.docx", "A 17692-2022")</f>
        <v/>
      </c>
    </row>
    <row r="171" ht="15" customHeight="1">
      <c r="A171" t="inlineStr">
        <is>
          <t>A 7854-2026</t>
        </is>
      </c>
      <c r="B171" s="1" t="n">
        <v>46062.67063657408</v>
      </c>
      <c r="C171" s="1" t="n">
        <v>46086</v>
      </c>
      <c r="D171" t="inlineStr">
        <is>
          <t>JÄMTLANDS LÄN</t>
        </is>
      </c>
      <c r="E171" t="inlineStr">
        <is>
          <t>ÅRE</t>
        </is>
      </c>
      <c r="G171" t="n">
        <v>6.5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7854-2026 artfynd.xlsx", "A 7854-2026")</f>
        <v/>
      </c>
      <c r="T171">
        <f>HYPERLINK("https://klasma.github.io/Logging_2321/kartor/A 7854-2026 karta.png", "A 7854-2026")</f>
        <v/>
      </c>
      <c r="V171">
        <f>HYPERLINK("https://klasma.github.io/Logging_2321/klagomål/A 7854-2026 FSC-klagomål.docx", "A 7854-2026")</f>
        <v/>
      </c>
      <c r="W171">
        <f>HYPERLINK("https://klasma.github.io/Logging_2321/klagomålsmail/A 7854-2026 FSC-klagomål mail.docx", "A 7854-2026")</f>
        <v/>
      </c>
      <c r="X171">
        <f>HYPERLINK("https://klasma.github.io/Logging_2321/tillsyn/A 7854-2026 tillsynsbegäran.docx", "A 7854-2026")</f>
        <v/>
      </c>
      <c r="Y171">
        <f>HYPERLINK("https://klasma.github.io/Logging_2321/tillsynsmail/A 7854-2026 tillsynsbegäran mail.docx", "A 7854-2026")</f>
        <v/>
      </c>
      <c r="Z171">
        <f>HYPERLINK("https://klasma.github.io/Logging_2321/fåglar/A 7854-2026 prioriterade fågelarter.docx", "A 7854-2026")</f>
        <v/>
      </c>
    </row>
    <row r="172" ht="15" customHeight="1">
      <c r="A172" t="inlineStr">
        <is>
          <t>A 6628-2026</t>
        </is>
      </c>
      <c r="B172" s="1" t="n">
        <v>46056.51855324074</v>
      </c>
      <c r="C172" s="1" t="n">
        <v>46086</v>
      </c>
      <c r="D172" t="inlineStr">
        <is>
          <t>JÄMTLANDS LÄN</t>
        </is>
      </c>
      <c r="E172" t="inlineStr">
        <is>
          <t>ÅRE</t>
        </is>
      </c>
      <c r="G172" t="n">
        <v>33.1</v>
      </c>
      <c r="H172" t="n">
        <v>0</v>
      </c>
      <c r="I172" t="n">
        <v>1</v>
      </c>
      <c r="J172" t="n">
        <v>0</v>
      </c>
      <c r="K172" t="n">
        <v>0</v>
      </c>
      <c r="L172" t="n">
        <v>0</v>
      </c>
      <c r="M172" t="n">
        <v>0</v>
      </c>
      <c r="N172" t="n">
        <v>0</v>
      </c>
      <c r="O172" t="n">
        <v>0</v>
      </c>
      <c r="P172" t="n">
        <v>0</v>
      </c>
      <c r="Q172" t="n">
        <v>1</v>
      </c>
      <c r="R172" s="2" t="inlineStr">
        <is>
          <t>Kransrams</t>
        </is>
      </c>
      <c r="S172">
        <f>HYPERLINK("https://klasma.github.io/Logging_2321/artfynd/A 6628-2026 artfynd.xlsx", "A 6628-2026")</f>
        <v/>
      </c>
      <c r="T172">
        <f>HYPERLINK("https://klasma.github.io/Logging_2321/kartor/A 6628-2026 karta.png", "A 6628-2026")</f>
        <v/>
      </c>
      <c r="V172">
        <f>HYPERLINK("https://klasma.github.io/Logging_2321/klagomål/A 6628-2026 FSC-klagomål.docx", "A 6628-2026")</f>
        <v/>
      </c>
      <c r="W172">
        <f>HYPERLINK("https://klasma.github.io/Logging_2321/klagomålsmail/A 6628-2026 FSC-klagomål mail.docx", "A 6628-2026")</f>
        <v/>
      </c>
      <c r="X172">
        <f>HYPERLINK("https://klasma.github.io/Logging_2321/tillsyn/A 6628-2026 tillsynsbegäran.docx", "A 6628-2026")</f>
        <v/>
      </c>
      <c r="Y172">
        <f>HYPERLINK("https://klasma.github.io/Logging_2321/tillsynsmail/A 6628-2026 tillsynsbegäran mail.docx", "A 6628-2026")</f>
        <v/>
      </c>
    </row>
    <row r="173" ht="15" customHeight="1">
      <c r="A173" t="inlineStr">
        <is>
          <t>A 58226-2021</t>
        </is>
      </c>
      <c r="B173" s="1" t="n">
        <v>44487</v>
      </c>
      <c r="C173" s="1" t="n">
        <v>46086</v>
      </c>
      <c r="D173" t="inlineStr">
        <is>
          <t>JÄMTLANDS LÄN</t>
        </is>
      </c>
      <c r="E173" t="inlineStr">
        <is>
          <t>ÅRE</t>
        </is>
      </c>
      <c r="G173" t="n">
        <v>62.3</v>
      </c>
      <c r="H173" t="n">
        <v>0</v>
      </c>
      <c r="I173" t="n">
        <v>1</v>
      </c>
      <c r="J173" t="n">
        <v>0</v>
      </c>
      <c r="K173" t="n">
        <v>0</v>
      </c>
      <c r="L173" t="n">
        <v>0</v>
      </c>
      <c r="M173" t="n">
        <v>0</v>
      </c>
      <c r="N173" t="n">
        <v>0</v>
      </c>
      <c r="O173" t="n">
        <v>0</v>
      </c>
      <c r="P173" t="n">
        <v>0</v>
      </c>
      <c r="Q173" t="n">
        <v>1</v>
      </c>
      <c r="R173" s="2" t="inlineStr">
        <is>
          <t>Kambräken</t>
        </is>
      </c>
      <c r="S173">
        <f>HYPERLINK("https://klasma.github.io/Logging_2321/artfynd/A 58226-2021 artfynd.xlsx", "A 58226-2021")</f>
        <v/>
      </c>
      <c r="T173">
        <f>HYPERLINK("https://klasma.github.io/Logging_2321/kartor/A 58226-2021 karta.png", "A 58226-2021")</f>
        <v/>
      </c>
      <c r="V173">
        <f>HYPERLINK("https://klasma.github.io/Logging_2321/klagomål/A 58226-2021 FSC-klagomål.docx", "A 58226-2021")</f>
        <v/>
      </c>
      <c r="W173">
        <f>HYPERLINK("https://klasma.github.io/Logging_2321/klagomålsmail/A 58226-2021 FSC-klagomål mail.docx", "A 58226-2021")</f>
        <v/>
      </c>
      <c r="X173">
        <f>HYPERLINK("https://klasma.github.io/Logging_2321/tillsyn/A 58226-2021 tillsynsbegäran.docx", "A 58226-2021")</f>
        <v/>
      </c>
      <c r="Y173">
        <f>HYPERLINK("https://klasma.github.io/Logging_2321/tillsynsmail/A 58226-2021 tillsynsbegäran mail.docx", "A 58226-2021")</f>
        <v/>
      </c>
    </row>
    <row r="174" ht="15" customHeight="1">
      <c r="A174" t="inlineStr">
        <is>
          <t>A 6934-2026</t>
        </is>
      </c>
      <c r="B174" s="1" t="n">
        <v>46057.55797453703</v>
      </c>
      <c r="C174" s="1" t="n">
        <v>46086</v>
      </c>
      <c r="D174" t="inlineStr">
        <is>
          <t>JÄMTLANDS LÄN</t>
        </is>
      </c>
      <c r="E174" t="inlineStr">
        <is>
          <t>ÅRE</t>
        </is>
      </c>
      <c r="G174" t="n">
        <v>3.4</v>
      </c>
      <c r="H174" t="n">
        <v>0</v>
      </c>
      <c r="I174" t="n">
        <v>0</v>
      </c>
      <c r="J174" t="n">
        <v>1</v>
      </c>
      <c r="K174" t="n">
        <v>0</v>
      </c>
      <c r="L174" t="n">
        <v>0</v>
      </c>
      <c r="M174" t="n">
        <v>0</v>
      </c>
      <c r="N174" t="n">
        <v>0</v>
      </c>
      <c r="O174" t="n">
        <v>1</v>
      </c>
      <c r="P174" t="n">
        <v>0</v>
      </c>
      <c r="Q174" t="n">
        <v>1</v>
      </c>
      <c r="R174" s="2" t="inlineStr">
        <is>
          <t>Granticka</t>
        </is>
      </c>
      <c r="S174">
        <f>HYPERLINK("https://klasma.github.io/Logging_2321/artfynd/A 6934-2026 artfynd.xlsx", "A 6934-2026")</f>
        <v/>
      </c>
      <c r="T174">
        <f>HYPERLINK("https://klasma.github.io/Logging_2321/kartor/A 6934-2026 karta.png", "A 6934-2026")</f>
        <v/>
      </c>
      <c r="V174">
        <f>HYPERLINK("https://klasma.github.io/Logging_2321/klagomål/A 6934-2026 FSC-klagomål.docx", "A 6934-2026")</f>
        <v/>
      </c>
      <c r="W174">
        <f>HYPERLINK("https://klasma.github.io/Logging_2321/klagomålsmail/A 6934-2026 FSC-klagomål mail.docx", "A 6934-2026")</f>
        <v/>
      </c>
      <c r="X174">
        <f>HYPERLINK("https://klasma.github.io/Logging_2321/tillsyn/A 6934-2026 tillsynsbegäran.docx", "A 6934-2026")</f>
        <v/>
      </c>
      <c r="Y174">
        <f>HYPERLINK("https://klasma.github.io/Logging_2321/tillsynsmail/A 6934-2026 tillsynsbegäran mail.docx", "A 6934-2026")</f>
        <v/>
      </c>
    </row>
    <row r="175" ht="15" customHeight="1">
      <c r="A175" t="inlineStr">
        <is>
          <t>A 32216-2022</t>
        </is>
      </c>
      <c r="B175" s="1" t="n">
        <v>44781</v>
      </c>
      <c r="C175" s="1" t="n">
        <v>46086</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46086</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23556-2021</t>
        </is>
      </c>
      <c r="B177" s="1" t="n">
        <v>44334</v>
      </c>
      <c r="C177" s="1" t="n">
        <v>46086</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74392-2021</t>
        </is>
      </c>
      <c r="B178" s="1" t="n">
        <v>44559</v>
      </c>
      <c r="C178" s="1" t="n">
        <v>46086</v>
      </c>
      <c r="D178" t="inlineStr">
        <is>
          <t>JÄMTLANDS LÄN</t>
        </is>
      </c>
      <c r="E178" t="inlineStr">
        <is>
          <t>ÅRE</t>
        </is>
      </c>
      <c r="G178" t="n">
        <v>11.6</v>
      </c>
      <c r="H178" t="n">
        <v>0</v>
      </c>
      <c r="I178" t="n">
        <v>0</v>
      </c>
      <c r="J178" t="n">
        <v>1</v>
      </c>
      <c r="K178" t="n">
        <v>0</v>
      </c>
      <c r="L178" t="n">
        <v>0</v>
      </c>
      <c r="M178" t="n">
        <v>0</v>
      </c>
      <c r="N178" t="n">
        <v>0</v>
      </c>
      <c r="O178" t="n">
        <v>1</v>
      </c>
      <c r="P178" t="n">
        <v>0</v>
      </c>
      <c r="Q178" t="n">
        <v>1</v>
      </c>
      <c r="R178" s="2" t="inlineStr">
        <is>
          <t>Skrovellav</t>
        </is>
      </c>
      <c r="S178">
        <f>HYPERLINK("https://klasma.github.io/Logging_2321/artfynd/A 74392-2021 artfynd.xlsx", "A 74392-2021")</f>
        <v/>
      </c>
      <c r="T178">
        <f>HYPERLINK("https://klasma.github.io/Logging_2321/kartor/A 74392-2021 karta.png", "A 74392-2021")</f>
        <v/>
      </c>
      <c r="V178">
        <f>HYPERLINK("https://klasma.github.io/Logging_2321/klagomål/A 74392-2021 FSC-klagomål.docx", "A 74392-2021")</f>
        <v/>
      </c>
      <c r="W178">
        <f>HYPERLINK("https://klasma.github.io/Logging_2321/klagomålsmail/A 74392-2021 FSC-klagomål mail.docx", "A 74392-2021")</f>
        <v/>
      </c>
      <c r="X178">
        <f>HYPERLINK("https://klasma.github.io/Logging_2321/tillsyn/A 74392-2021 tillsynsbegäran.docx", "A 74392-2021")</f>
        <v/>
      </c>
      <c r="Y178">
        <f>HYPERLINK("https://klasma.github.io/Logging_2321/tillsynsmail/A 74392-2021 tillsynsbegäran mail.docx", "A 74392-2021")</f>
        <v/>
      </c>
    </row>
    <row r="179" ht="15" customHeight="1">
      <c r="A179" t="inlineStr">
        <is>
          <t>A 10632-2023</t>
        </is>
      </c>
      <c r="B179" s="1" t="n">
        <v>44984</v>
      </c>
      <c r="C179" s="1" t="n">
        <v>46086</v>
      </c>
      <c r="D179" t="inlineStr">
        <is>
          <t>JÄMTLANDS LÄN</t>
        </is>
      </c>
      <c r="E179" t="inlineStr">
        <is>
          <t>ÅRE</t>
        </is>
      </c>
      <c r="G179" t="n">
        <v>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10632-2023 artfynd.xlsx", "A 10632-2023")</f>
        <v/>
      </c>
      <c r="T179">
        <f>HYPERLINK("https://klasma.github.io/Logging_2321/kartor/A 10632-2023 karta.png", "A 10632-2023")</f>
        <v/>
      </c>
      <c r="V179">
        <f>HYPERLINK("https://klasma.github.io/Logging_2321/klagomål/A 10632-2023 FSC-klagomål.docx", "A 10632-2023")</f>
        <v/>
      </c>
      <c r="W179">
        <f>HYPERLINK("https://klasma.github.io/Logging_2321/klagomålsmail/A 10632-2023 FSC-klagomål mail.docx", "A 10632-2023")</f>
        <v/>
      </c>
      <c r="X179">
        <f>HYPERLINK("https://klasma.github.io/Logging_2321/tillsyn/A 10632-2023 tillsynsbegäran.docx", "A 10632-2023")</f>
        <v/>
      </c>
      <c r="Y179">
        <f>HYPERLINK("https://klasma.github.io/Logging_2321/tillsynsmail/A 10632-2023 tillsynsbegäran mail.docx", "A 10632-2023")</f>
        <v/>
      </c>
      <c r="Z179">
        <f>HYPERLINK("https://klasma.github.io/Logging_2321/fåglar/A 10632-2023 prioriterade fågelarter.docx", "A 10632-2023")</f>
        <v/>
      </c>
    </row>
    <row r="180" ht="15" customHeight="1">
      <c r="A180" t="inlineStr">
        <is>
          <t>A 23818-2025</t>
        </is>
      </c>
      <c r="B180" s="1" t="n">
        <v>45793.58469907408</v>
      </c>
      <c r="C180" s="1" t="n">
        <v>46086</v>
      </c>
      <c r="D180" t="inlineStr">
        <is>
          <t>JÄMTLANDS LÄN</t>
        </is>
      </c>
      <c r="E180" t="inlineStr">
        <is>
          <t>ÅRE</t>
        </is>
      </c>
      <c r="G180" t="n">
        <v>7.5</v>
      </c>
      <c r="H180" t="n">
        <v>1</v>
      </c>
      <c r="I180" t="n">
        <v>0</v>
      </c>
      <c r="J180" t="n">
        <v>0</v>
      </c>
      <c r="K180" t="n">
        <v>0</v>
      </c>
      <c r="L180" t="n">
        <v>0</v>
      </c>
      <c r="M180" t="n">
        <v>0</v>
      </c>
      <c r="N180" t="n">
        <v>0</v>
      </c>
      <c r="O180" t="n">
        <v>0</v>
      </c>
      <c r="P180" t="n">
        <v>0</v>
      </c>
      <c r="Q180" t="n">
        <v>1</v>
      </c>
      <c r="R180" s="2" t="inlineStr">
        <is>
          <t>Tjäder</t>
        </is>
      </c>
      <c r="S180">
        <f>HYPERLINK("https://klasma.github.io/Logging_2321/artfynd/A 23818-2025 artfynd.xlsx", "A 23818-2025")</f>
        <v/>
      </c>
      <c r="T180">
        <f>HYPERLINK("https://klasma.github.io/Logging_2321/kartor/A 23818-2025 karta.png", "A 23818-2025")</f>
        <v/>
      </c>
      <c r="V180">
        <f>HYPERLINK("https://klasma.github.io/Logging_2321/klagomål/A 23818-2025 FSC-klagomål.docx", "A 23818-2025")</f>
        <v/>
      </c>
      <c r="W180">
        <f>HYPERLINK("https://klasma.github.io/Logging_2321/klagomålsmail/A 23818-2025 FSC-klagomål mail.docx", "A 23818-2025")</f>
        <v/>
      </c>
      <c r="X180">
        <f>HYPERLINK("https://klasma.github.io/Logging_2321/tillsyn/A 23818-2025 tillsynsbegäran.docx", "A 23818-2025")</f>
        <v/>
      </c>
      <c r="Y180">
        <f>HYPERLINK("https://klasma.github.io/Logging_2321/tillsynsmail/A 23818-2025 tillsynsbegäran mail.docx", "A 23818-2025")</f>
        <v/>
      </c>
      <c r="Z180">
        <f>HYPERLINK("https://klasma.github.io/Logging_2321/fåglar/A 23818-2025 prioriterade fågelarter.docx", "A 23818-2025")</f>
        <v/>
      </c>
    </row>
    <row r="181" ht="15" customHeight="1">
      <c r="A181" t="inlineStr">
        <is>
          <t>A 14826-2021</t>
        </is>
      </c>
      <c r="B181" s="1" t="n">
        <v>44280</v>
      </c>
      <c r="C181" s="1" t="n">
        <v>46086</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46086</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46086</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46086</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46086</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46086</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46086</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46086</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46086</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46086</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46086</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46086</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46086</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46086</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46086</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46086</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46086</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46086</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46086</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46086</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46086</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46086</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46086</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46086</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46086</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46086</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46086</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46086</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46086</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46086</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46086</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46086</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46086</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46086</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46086</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46086</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46086</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46086</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46086</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46086</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61340-2022</t>
        </is>
      </c>
      <c r="B221" s="1" t="n">
        <v>44909</v>
      </c>
      <c r="C221" s="1" t="n">
        <v>46086</v>
      </c>
      <c r="D221" t="inlineStr">
        <is>
          <t>JÄMTLANDS LÄN</t>
        </is>
      </c>
      <c r="E221" t="inlineStr">
        <is>
          <t>ÅRE</t>
        </is>
      </c>
      <c r="G221" t="n">
        <v>4.4</v>
      </c>
      <c r="H221" t="n">
        <v>0</v>
      </c>
      <c r="I221" t="n">
        <v>0</v>
      </c>
      <c r="J221" t="n">
        <v>0</v>
      </c>
      <c r="K221" t="n">
        <v>0</v>
      </c>
      <c r="L221" t="n">
        <v>0</v>
      </c>
      <c r="M221" t="n">
        <v>0</v>
      </c>
      <c r="N221" t="n">
        <v>0</v>
      </c>
      <c r="O221" t="n">
        <v>0</v>
      </c>
      <c r="P221" t="n">
        <v>0</v>
      </c>
      <c r="Q221" t="n">
        <v>0</v>
      </c>
      <c r="R221" s="2" t="inlineStr"/>
    </row>
    <row r="222" ht="15" customHeight="1">
      <c r="A222" t="inlineStr">
        <is>
          <t>A 31388-2021</t>
        </is>
      </c>
      <c r="B222" s="1" t="n">
        <v>44369</v>
      </c>
      <c r="C222" s="1" t="n">
        <v>46086</v>
      </c>
      <c r="D222" t="inlineStr">
        <is>
          <t>JÄMTLANDS LÄN</t>
        </is>
      </c>
      <c r="E222" t="inlineStr">
        <is>
          <t>ÅRE</t>
        </is>
      </c>
      <c r="G222" t="n">
        <v>2</v>
      </c>
      <c r="H222" t="n">
        <v>0</v>
      </c>
      <c r="I222" t="n">
        <v>0</v>
      </c>
      <c r="J222" t="n">
        <v>0</v>
      </c>
      <c r="K222" t="n">
        <v>0</v>
      </c>
      <c r="L222" t="n">
        <v>0</v>
      </c>
      <c r="M222" t="n">
        <v>0</v>
      </c>
      <c r="N222" t="n">
        <v>0</v>
      </c>
      <c r="O222" t="n">
        <v>0</v>
      </c>
      <c r="P222" t="n">
        <v>0</v>
      </c>
      <c r="Q222" t="n">
        <v>0</v>
      </c>
      <c r="R222" s="2" t="inlineStr"/>
    </row>
    <row r="223" ht="15" customHeight="1">
      <c r="A223" t="inlineStr">
        <is>
          <t>A 41653-2024</t>
        </is>
      </c>
      <c r="B223" s="1" t="n">
        <v>45560.64059027778</v>
      </c>
      <c r="C223" s="1" t="n">
        <v>46086</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18253-2023</t>
        </is>
      </c>
      <c r="B224" s="1" t="n">
        <v>45041.48034722222</v>
      </c>
      <c r="C224" s="1" t="n">
        <v>46086</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40341-2021</t>
        </is>
      </c>
      <c r="B225" s="1" t="n">
        <v>44419</v>
      </c>
      <c r="C225" s="1" t="n">
        <v>46086</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73086-2021</t>
        </is>
      </c>
      <c r="B226" s="1" t="n">
        <v>44550</v>
      </c>
      <c r="C226" s="1" t="n">
        <v>46086</v>
      </c>
      <c r="D226" t="inlineStr">
        <is>
          <t>JÄMTLANDS LÄN</t>
        </is>
      </c>
      <c r="E226" t="inlineStr">
        <is>
          <t>ÅRE</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69568-2021</t>
        </is>
      </c>
      <c r="B227" s="1" t="n">
        <v>44531</v>
      </c>
      <c r="C227" s="1" t="n">
        <v>46086</v>
      </c>
      <c r="D227" t="inlineStr">
        <is>
          <t>JÄMTLANDS LÄN</t>
        </is>
      </c>
      <c r="E227" t="inlineStr">
        <is>
          <t>ÅRE</t>
        </is>
      </c>
      <c r="G227" t="n">
        <v>2.9</v>
      </c>
      <c r="H227" t="n">
        <v>0</v>
      </c>
      <c r="I227" t="n">
        <v>0</v>
      </c>
      <c r="J227" t="n">
        <v>0</v>
      </c>
      <c r="K227" t="n">
        <v>0</v>
      </c>
      <c r="L227" t="n">
        <v>0</v>
      </c>
      <c r="M227" t="n">
        <v>0</v>
      </c>
      <c r="N227" t="n">
        <v>0</v>
      </c>
      <c r="O227" t="n">
        <v>0</v>
      </c>
      <c r="P227" t="n">
        <v>0</v>
      </c>
      <c r="Q227" t="n">
        <v>0</v>
      </c>
      <c r="R227" s="2" t="inlineStr"/>
    </row>
    <row r="228" ht="15" customHeight="1">
      <c r="A228" t="inlineStr">
        <is>
          <t>A 9775-2023</t>
        </is>
      </c>
      <c r="B228" s="1" t="n">
        <v>44984.60255787037</v>
      </c>
      <c r="C228" s="1" t="n">
        <v>46086</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23117-2022</t>
        </is>
      </c>
      <c r="B229" s="1" t="n">
        <v>44719.56572916666</v>
      </c>
      <c r="C229" s="1" t="n">
        <v>46086</v>
      </c>
      <c r="D229" t="inlineStr">
        <is>
          <t>JÄMTLANDS LÄN</t>
        </is>
      </c>
      <c r="E229" t="inlineStr">
        <is>
          <t>ÅRE</t>
        </is>
      </c>
      <c r="G229" t="n">
        <v>3.5</v>
      </c>
      <c r="H229" t="n">
        <v>0</v>
      </c>
      <c r="I229" t="n">
        <v>0</v>
      </c>
      <c r="J229" t="n">
        <v>0</v>
      </c>
      <c r="K229" t="n">
        <v>0</v>
      </c>
      <c r="L229" t="n">
        <v>0</v>
      </c>
      <c r="M229" t="n">
        <v>0</v>
      </c>
      <c r="N229" t="n">
        <v>0</v>
      </c>
      <c r="O229" t="n">
        <v>0</v>
      </c>
      <c r="P229" t="n">
        <v>0</v>
      </c>
      <c r="Q229" t="n">
        <v>0</v>
      </c>
      <c r="R229" s="2" t="inlineStr"/>
    </row>
    <row r="230" ht="15" customHeight="1">
      <c r="A230" t="inlineStr">
        <is>
          <t>A 19705-2023</t>
        </is>
      </c>
      <c r="B230" s="1" t="n">
        <v>45051</v>
      </c>
      <c r="C230" s="1" t="n">
        <v>46086</v>
      </c>
      <c r="D230" t="inlineStr">
        <is>
          <t>JÄMTLANDS LÄN</t>
        </is>
      </c>
      <c r="E230" t="inlineStr">
        <is>
          <t>ÅRE</t>
        </is>
      </c>
      <c r="G230" t="n">
        <v>4.7</v>
      </c>
      <c r="H230" t="n">
        <v>0</v>
      </c>
      <c r="I230" t="n">
        <v>0</v>
      </c>
      <c r="J230" t="n">
        <v>0</v>
      </c>
      <c r="K230" t="n">
        <v>0</v>
      </c>
      <c r="L230" t="n">
        <v>0</v>
      </c>
      <c r="M230" t="n">
        <v>0</v>
      </c>
      <c r="N230" t="n">
        <v>0</v>
      </c>
      <c r="O230" t="n">
        <v>0</v>
      </c>
      <c r="P230" t="n">
        <v>0</v>
      </c>
      <c r="Q230" t="n">
        <v>0</v>
      </c>
      <c r="R230" s="2" t="inlineStr"/>
    </row>
    <row r="231" ht="15" customHeight="1">
      <c r="A231" t="inlineStr">
        <is>
          <t>A 23118-2022</t>
        </is>
      </c>
      <c r="B231" s="1" t="n">
        <v>44719.5662037037</v>
      </c>
      <c r="C231" s="1" t="n">
        <v>46086</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65239-2021</t>
        </is>
      </c>
      <c r="B232" s="1" t="n">
        <v>44515</v>
      </c>
      <c r="C232" s="1" t="n">
        <v>46086</v>
      </c>
      <c r="D232" t="inlineStr">
        <is>
          <t>JÄMTLANDS LÄN</t>
        </is>
      </c>
      <c r="E232" t="inlineStr">
        <is>
          <t>ÅRE</t>
        </is>
      </c>
      <c r="G232" t="n">
        <v>0</v>
      </c>
      <c r="H232" t="n">
        <v>0</v>
      </c>
      <c r="I232" t="n">
        <v>0</v>
      </c>
      <c r="J232" t="n">
        <v>0</v>
      </c>
      <c r="K232" t="n">
        <v>0</v>
      </c>
      <c r="L232" t="n">
        <v>0</v>
      </c>
      <c r="M232" t="n">
        <v>0</v>
      </c>
      <c r="N232" t="n">
        <v>0</v>
      </c>
      <c r="O232" t="n">
        <v>0</v>
      </c>
      <c r="P232" t="n">
        <v>0</v>
      </c>
      <c r="Q232" t="n">
        <v>0</v>
      </c>
      <c r="R232" s="2" t="inlineStr"/>
    </row>
    <row r="233" ht="15" customHeight="1">
      <c r="A233" t="inlineStr">
        <is>
          <t>A 69170-2021</t>
        </is>
      </c>
      <c r="B233" s="1" t="n">
        <v>44529</v>
      </c>
      <c r="C233" s="1" t="n">
        <v>46086</v>
      </c>
      <c r="D233" t="inlineStr">
        <is>
          <t>JÄMTLANDS LÄN</t>
        </is>
      </c>
      <c r="E233" t="inlineStr">
        <is>
          <t>ÅRE</t>
        </is>
      </c>
      <c r="G233" t="n">
        <v>114.4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46086</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55056-2024</t>
        </is>
      </c>
      <c r="B235" s="1" t="n">
        <v>45621.40034722222</v>
      </c>
      <c r="C235" s="1" t="n">
        <v>46086</v>
      </c>
      <c r="D235" t="inlineStr">
        <is>
          <t>JÄMTLANDS LÄN</t>
        </is>
      </c>
      <c r="E235" t="inlineStr">
        <is>
          <t>ÅRE</t>
        </is>
      </c>
      <c r="G235" t="n">
        <v>0.8</v>
      </c>
      <c r="H235" t="n">
        <v>0</v>
      </c>
      <c r="I235" t="n">
        <v>0</v>
      </c>
      <c r="J235" t="n">
        <v>0</v>
      </c>
      <c r="K235" t="n">
        <v>0</v>
      </c>
      <c r="L235" t="n">
        <v>0</v>
      </c>
      <c r="M235" t="n">
        <v>0</v>
      </c>
      <c r="N235" t="n">
        <v>0</v>
      </c>
      <c r="O235" t="n">
        <v>0</v>
      </c>
      <c r="P235" t="n">
        <v>0</v>
      </c>
      <c r="Q235" t="n">
        <v>0</v>
      </c>
      <c r="R235" s="2" t="inlineStr"/>
    </row>
    <row r="236" ht="15" customHeight="1">
      <c r="A236" t="inlineStr">
        <is>
          <t>A 45453-2024</t>
        </is>
      </c>
      <c r="B236" s="1" t="n">
        <v>45576.66674768519</v>
      </c>
      <c r="C236" s="1" t="n">
        <v>46086</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46086</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46086</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56842-2022</t>
        </is>
      </c>
      <c r="B239" s="1" t="n">
        <v>44894.47856481482</v>
      </c>
      <c r="C239" s="1" t="n">
        <v>46086</v>
      </c>
      <c r="D239" t="inlineStr">
        <is>
          <t>JÄMTLANDS LÄN</t>
        </is>
      </c>
      <c r="E239" t="inlineStr">
        <is>
          <t>ÅRE</t>
        </is>
      </c>
      <c r="F239" t="inlineStr">
        <is>
          <t>Övriga Aktiebolag</t>
        </is>
      </c>
      <c r="G239" t="n">
        <v>7.9</v>
      </c>
      <c r="H239" t="n">
        <v>0</v>
      </c>
      <c r="I239" t="n">
        <v>0</v>
      </c>
      <c r="J239" t="n">
        <v>0</v>
      </c>
      <c r="K239" t="n">
        <v>0</v>
      </c>
      <c r="L239" t="n">
        <v>0</v>
      </c>
      <c r="M239" t="n">
        <v>0</v>
      </c>
      <c r="N239" t="n">
        <v>0</v>
      </c>
      <c r="O239" t="n">
        <v>0</v>
      </c>
      <c r="P239" t="n">
        <v>0</v>
      </c>
      <c r="Q239" t="n">
        <v>0</v>
      </c>
      <c r="R239" s="2" t="inlineStr"/>
    </row>
    <row r="240" ht="15" customHeight="1">
      <c r="A240" t="inlineStr">
        <is>
          <t>A 57710-2021</t>
        </is>
      </c>
      <c r="B240" s="1" t="n">
        <v>44484</v>
      </c>
      <c r="C240" s="1" t="n">
        <v>46086</v>
      </c>
      <c r="D240" t="inlineStr">
        <is>
          <t>JÄMTLANDS LÄN</t>
        </is>
      </c>
      <c r="E240" t="inlineStr">
        <is>
          <t>ÅRE</t>
        </is>
      </c>
      <c r="G240" t="n">
        <v>12</v>
      </c>
      <c r="H240" t="n">
        <v>0</v>
      </c>
      <c r="I240" t="n">
        <v>0</v>
      </c>
      <c r="J240" t="n">
        <v>0</v>
      </c>
      <c r="K240" t="n">
        <v>0</v>
      </c>
      <c r="L240" t="n">
        <v>0</v>
      </c>
      <c r="M240" t="n">
        <v>0</v>
      </c>
      <c r="N240" t="n">
        <v>0</v>
      </c>
      <c r="O240" t="n">
        <v>0</v>
      </c>
      <c r="P240" t="n">
        <v>0</v>
      </c>
      <c r="Q240" t="n">
        <v>0</v>
      </c>
      <c r="R240" s="2" t="inlineStr"/>
    </row>
    <row r="241" ht="15" customHeight="1">
      <c r="A241" t="inlineStr">
        <is>
          <t>A 44889-2023</t>
        </is>
      </c>
      <c r="B241" s="1" t="n">
        <v>45190</v>
      </c>
      <c r="C241" s="1" t="n">
        <v>46086</v>
      </c>
      <c r="D241" t="inlineStr">
        <is>
          <t>JÄMTLANDS LÄN</t>
        </is>
      </c>
      <c r="E241" t="inlineStr">
        <is>
          <t>ÅRE</t>
        </is>
      </c>
      <c r="G241" t="n">
        <v>1.3</v>
      </c>
      <c r="H241" t="n">
        <v>0</v>
      </c>
      <c r="I241" t="n">
        <v>0</v>
      </c>
      <c r="J241" t="n">
        <v>0</v>
      </c>
      <c r="K241" t="n">
        <v>0</v>
      </c>
      <c r="L241" t="n">
        <v>0</v>
      </c>
      <c r="M241" t="n">
        <v>0</v>
      </c>
      <c r="N241" t="n">
        <v>0</v>
      </c>
      <c r="O241" t="n">
        <v>0</v>
      </c>
      <c r="P241" t="n">
        <v>0</v>
      </c>
      <c r="Q241" t="n">
        <v>0</v>
      </c>
      <c r="R241" s="2" t="inlineStr"/>
    </row>
    <row r="242" ht="15" customHeight="1">
      <c r="A242" t="inlineStr">
        <is>
          <t>A 14202-2021</t>
        </is>
      </c>
      <c r="B242" s="1" t="n">
        <v>44278</v>
      </c>
      <c r="C242" s="1" t="n">
        <v>46086</v>
      </c>
      <c r="D242" t="inlineStr">
        <is>
          <t>JÄMTLANDS LÄN</t>
        </is>
      </c>
      <c r="E242" t="inlineStr">
        <is>
          <t>ÅRE</t>
        </is>
      </c>
      <c r="G242" t="n">
        <v>17.8</v>
      </c>
      <c r="H242" t="n">
        <v>0</v>
      </c>
      <c r="I242" t="n">
        <v>0</v>
      </c>
      <c r="J242" t="n">
        <v>0</v>
      </c>
      <c r="K242" t="n">
        <v>0</v>
      </c>
      <c r="L242" t="n">
        <v>0</v>
      </c>
      <c r="M242" t="n">
        <v>0</v>
      </c>
      <c r="N242" t="n">
        <v>0</v>
      </c>
      <c r="O242" t="n">
        <v>0</v>
      </c>
      <c r="P242" t="n">
        <v>0</v>
      </c>
      <c r="Q242" t="n">
        <v>0</v>
      </c>
      <c r="R242" s="2" t="inlineStr"/>
    </row>
    <row r="243" ht="15" customHeight="1">
      <c r="A243" t="inlineStr">
        <is>
          <t>A 2376-2023</t>
        </is>
      </c>
      <c r="B243" s="1" t="n">
        <v>44942</v>
      </c>
      <c r="C243" s="1" t="n">
        <v>46086</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33230-2024</t>
        </is>
      </c>
      <c r="B244" s="1" t="n">
        <v>45518.57418981481</v>
      </c>
      <c r="C244" s="1" t="n">
        <v>46086</v>
      </c>
      <c r="D244" t="inlineStr">
        <is>
          <t>JÄMTLANDS LÄN</t>
        </is>
      </c>
      <c r="E244" t="inlineStr">
        <is>
          <t>ÅRE</t>
        </is>
      </c>
      <c r="G244" t="n">
        <v>2.4</v>
      </c>
      <c r="H244" t="n">
        <v>0</v>
      </c>
      <c r="I244" t="n">
        <v>0</v>
      </c>
      <c r="J244" t="n">
        <v>0</v>
      </c>
      <c r="K244" t="n">
        <v>0</v>
      </c>
      <c r="L244" t="n">
        <v>0</v>
      </c>
      <c r="M244" t="n">
        <v>0</v>
      </c>
      <c r="N244" t="n">
        <v>0</v>
      </c>
      <c r="O244" t="n">
        <v>0</v>
      </c>
      <c r="P244" t="n">
        <v>0</v>
      </c>
      <c r="Q244" t="n">
        <v>0</v>
      </c>
      <c r="R244" s="2" t="inlineStr"/>
    </row>
    <row r="245" ht="15" customHeight="1">
      <c r="A245" t="inlineStr">
        <is>
          <t>A 12193-2023</t>
        </is>
      </c>
      <c r="B245" s="1" t="n">
        <v>44998</v>
      </c>
      <c r="C245" s="1" t="n">
        <v>46086</v>
      </c>
      <c r="D245" t="inlineStr">
        <is>
          <t>JÄMTLANDS LÄN</t>
        </is>
      </c>
      <c r="E245" t="inlineStr">
        <is>
          <t>ÅRE</t>
        </is>
      </c>
      <c r="G245" t="n">
        <v>14.7</v>
      </c>
      <c r="H245" t="n">
        <v>0</v>
      </c>
      <c r="I245" t="n">
        <v>0</v>
      </c>
      <c r="J245" t="n">
        <v>0</v>
      </c>
      <c r="K245" t="n">
        <v>0</v>
      </c>
      <c r="L245" t="n">
        <v>0</v>
      </c>
      <c r="M245" t="n">
        <v>0</v>
      </c>
      <c r="N245" t="n">
        <v>0</v>
      </c>
      <c r="O245" t="n">
        <v>0</v>
      </c>
      <c r="P245" t="n">
        <v>0</v>
      </c>
      <c r="Q245" t="n">
        <v>0</v>
      </c>
      <c r="R245" s="2" t="inlineStr"/>
    </row>
    <row r="246" ht="15" customHeight="1">
      <c r="A246" t="inlineStr">
        <is>
          <t>A 17703-2023</t>
        </is>
      </c>
      <c r="B246" s="1" t="n">
        <v>45037.35443287037</v>
      </c>
      <c r="C246" s="1" t="n">
        <v>46086</v>
      </c>
      <c r="D246" t="inlineStr">
        <is>
          <t>JÄMTLANDS LÄN</t>
        </is>
      </c>
      <c r="E246" t="inlineStr">
        <is>
          <t>ÅRE</t>
        </is>
      </c>
      <c r="F246" t="inlineStr">
        <is>
          <t>Övriga Aktiebolag</t>
        </is>
      </c>
      <c r="G246" t="n">
        <v>4</v>
      </c>
      <c r="H246" t="n">
        <v>0</v>
      </c>
      <c r="I246" t="n">
        <v>0</v>
      </c>
      <c r="J246" t="n">
        <v>0</v>
      </c>
      <c r="K246" t="n">
        <v>0</v>
      </c>
      <c r="L246" t="n">
        <v>0</v>
      </c>
      <c r="M246" t="n">
        <v>0</v>
      </c>
      <c r="N246" t="n">
        <v>0</v>
      </c>
      <c r="O246" t="n">
        <v>0</v>
      </c>
      <c r="P246" t="n">
        <v>0</v>
      </c>
      <c r="Q246" t="n">
        <v>0</v>
      </c>
      <c r="R246" s="2" t="inlineStr"/>
    </row>
    <row r="247" ht="15" customHeight="1">
      <c r="A247" t="inlineStr">
        <is>
          <t>A 11914-2024</t>
        </is>
      </c>
      <c r="B247" s="1" t="n">
        <v>45376.58467592593</v>
      </c>
      <c r="C247" s="1" t="n">
        <v>46086</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48599-2023</t>
        </is>
      </c>
      <c r="B248" s="1" t="n">
        <v>45208</v>
      </c>
      <c r="C248" s="1" t="n">
        <v>46086</v>
      </c>
      <c r="D248" t="inlineStr">
        <is>
          <t>JÄMTLANDS LÄN</t>
        </is>
      </c>
      <c r="E248" t="inlineStr">
        <is>
          <t>ÅRE</t>
        </is>
      </c>
      <c r="G248" t="n">
        <v>1.1</v>
      </c>
      <c r="H248" t="n">
        <v>0</v>
      </c>
      <c r="I248" t="n">
        <v>0</v>
      </c>
      <c r="J248" t="n">
        <v>0</v>
      </c>
      <c r="K248" t="n">
        <v>0</v>
      </c>
      <c r="L248" t="n">
        <v>0</v>
      </c>
      <c r="M248" t="n">
        <v>0</v>
      </c>
      <c r="N248" t="n">
        <v>0</v>
      </c>
      <c r="O248" t="n">
        <v>0</v>
      </c>
      <c r="P248" t="n">
        <v>0</v>
      </c>
      <c r="Q248" t="n">
        <v>0</v>
      </c>
      <c r="R248" s="2" t="inlineStr"/>
    </row>
    <row r="249" ht="15" customHeight="1">
      <c r="A249" t="inlineStr">
        <is>
          <t>A 57770-2023</t>
        </is>
      </c>
      <c r="B249" s="1" t="n">
        <v>45246.92542824074</v>
      </c>
      <c r="C249" s="1" t="n">
        <v>46086</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9126-2025</t>
        </is>
      </c>
      <c r="B250" s="1" t="n">
        <v>45713</v>
      </c>
      <c r="C250" s="1" t="n">
        <v>46086</v>
      </c>
      <c r="D250" t="inlineStr">
        <is>
          <t>JÄMTLANDS LÄN</t>
        </is>
      </c>
      <c r="E250" t="inlineStr">
        <is>
          <t>ÅRE</t>
        </is>
      </c>
      <c r="G250" t="n">
        <v>2</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46086</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59784-2024</t>
        </is>
      </c>
      <c r="B252" s="1" t="n">
        <v>45639.57988425926</v>
      </c>
      <c r="C252" s="1" t="n">
        <v>46086</v>
      </c>
      <c r="D252" t="inlineStr">
        <is>
          <t>JÄMTLANDS LÄN</t>
        </is>
      </c>
      <c r="E252" t="inlineStr">
        <is>
          <t>ÅRE</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46789-2024</t>
        </is>
      </c>
      <c r="B253" s="1" t="n">
        <v>45583.53219907408</v>
      </c>
      <c r="C253" s="1" t="n">
        <v>46086</v>
      </c>
      <c r="D253" t="inlineStr">
        <is>
          <t>JÄMTLANDS LÄN</t>
        </is>
      </c>
      <c r="E253" t="inlineStr">
        <is>
          <t>ÅRE</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393-2024</t>
        </is>
      </c>
      <c r="B254" s="1" t="n">
        <v>45296.43614583334</v>
      </c>
      <c r="C254" s="1" t="n">
        <v>46086</v>
      </c>
      <c r="D254" t="inlineStr">
        <is>
          <t>JÄMTLANDS LÄN</t>
        </is>
      </c>
      <c r="E254" t="inlineStr">
        <is>
          <t>ÅRE</t>
        </is>
      </c>
      <c r="G254" t="n">
        <v>6.5</v>
      </c>
      <c r="H254" t="n">
        <v>0</v>
      </c>
      <c r="I254" t="n">
        <v>0</v>
      </c>
      <c r="J254" t="n">
        <v>0</v>
      </c>
      <c r="K254" t="n">
        <v>0</v>
      </c>
      <c r="L254" t="n">
        <v>0</v>
      </c>
      <c r="M254" t="n">
        <v>0</v>
      </c>
      <c r="N254" t="n">
        <v>0</v>
      </c>
      <c r="O254" t="n">
        <v>0</v>
      </c>
      <c r="P254" t="n">
        <v>0</v>
      </c>
      <c r="Q254" t="n">
        <v>0</v>
      </c>
      <c r="R254" s="2" t="inlineStr"/>
    </row>
    <row r="255" ht="15" customHeight="1">
      <c r="A255" t="inlineStr">
        <is>
          <t>A 33625-2022</t>
        </is>
      </c>
      <c r="B255" s="1" t="n">
        <v>44789</v>
      </c>
      <c r="C255" s="1" t="n">
        <v>46086</v>
      </c>
      <c r="D255" t="inlineStr">
        <is>
          <t>JÄMTLANDS LÄN</t>
        </is>
      </c>
      <c r="E255" t="inlineStr">
        <is>
          <t>ÅRE</t>
        </is>
      </c>
      <c r="G255" t="n">
        <v>20.7</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46086</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51452-2024</t>
        </is>
      </c>
      <c r="B257" s="1" t="n">
        <v>45604.49045138889</v>
      </c>
      <c r="C257" s="1" t="n">
        <v>46086</v>
      </c>
      <c r="D257" t="inlineStr">
        <is>
          <t>JÄMTLANDS LÄN</t>
        </is>
      </c>
      <c r="E257" t="inlineStr">
        <is>
          <t>ÅRE</t>
        </is>
      </c>
      <c r="G257" t="n">
        <v>8</v>
      </c>
      <c r="H257" t="n">
        <v>0</v>
      </c>
      <c r="I257" t="n">
        <v>0</v>
      </c>
      <c r="J257" t="n">
        <v>0</v>
      </c>
      <c r="K257" t="n">
        <v>0</v>
      </c>
      <c r="L257" t="n">
        <v>0</v>
      </c>
      <c r="M257" t="n">
        <v>0</v>
      </c>
      <c r="N257" t="n">
        <v>0</v>
      </c>
      <c r="O257" t="n">
        <v>0</v>
      </c>
      <c r="P257" t="n">
        <v>0</v>
      </c>
      <c r="Q257" t="n">
        <v>0</v>
      </c>
      <c r="R257" s="2" t="inlineStr"/>
    </row>
    <row r="258" ht="15" customHeight="1">
      <c r="A258" t="inlineStr">
        <is>
          <t>A 58232-2021</t>
        </is>
      </c>
      <c r="B258" s="1" t="n">
        <v>44487</v>
      </c>
      <c r="C258" s="1" t="n">
        <v>46086</v>
      </c>
      <c r="D258" t="inlineStr">
        <is>
          <t>JÄMTLANDS LÄN</t>
        </is>
      </c>
      <c r="E258" t="inlineStr">
        <is>
          <t>ÅRE</t>
        </is>
      </c>
      <c r="G258" t="n">
        <v>43.7</v>
      </c>
      <c r="H258" t="n">
        <v>0</v>
      </c>
      <c r="I258" t="n">
        <v>0</v>
      </c>
      <c r="J258" t="n">
        <v>0</v>
      </c>
      <c r="K258" t="n">
        <v>0</v>
      </c>
      <c r="L258" t="n">
        <v>0</v>
      </c>
      <c r="M258" t="n">
        <v>0</v>
      </c>
      <c r="N258" t="n">
        <v>0</v>
      </c>
      <c r="O258" t="n">
        <v>0</v>
      </c>
      <c r="P258" t="n">
        <v>0</v>
      </c>
      <c r="Q258" t="n">
        <v>0</v>
      </c>
      <c r="R258" s="2" t="inlineStr"/>
    </row>
    <row r="259" ht="15" customHeight="1">
      <c r="A259" t="inlineStr">
        <is>
          <t>A 58758-2022</t>
        </is>
      </c>
      <c r="B259" s="1" t="n">
        <v>44903</v>
      </c>
      <c r="C259" s="1" t="n">
        <v>46086</v>
      </c>
      <c r="D259" t="inlineStr">
        <is>
          <t>JÄMTLANDS LÄN</t>
        </is>
      </c>
      <c r="E259" t="inlineStr">
        <is>
          <t>ÅRE</t>
        </is>
      </c>
      <c r="F259" t="inlineStr">
        <is>
          <t>Övriga Aktiebolag</t>
        </is>
      </c>
      <c r="G259" t="n">
        <v>42.9</v>
      </c>
      <c r="H259" t="n">
        <v>0</v>
      </c>
      <c r="I259" t="n">
        <v>0</v>
      </c>
      <c r="J259" t="n">
        <v>0</v>
      </c>
      <c r="K259" t="n">
        <v>0</v>
      </c>
      <c r="L259" t="n">
        <v>0</v>
      </c>
      <c r="M259" t="n">
        <v>0</v>
      </c>
      <c r="N259" t="n">
        <v>0</v>
      </c>
      <c r="O259" t="n">
        <v>0</v>
      </c>
      <c r="P259" t="n">
        <v>0</v>
      </c>
      <c r="Q259" t="n">
        <v>0</v>
      </c>
      <c r="R259" s="2" t="inlineStr"/>
    </row>
    <row r="260" ht="15" customHeight="1">
      <c r="A260" t="inlineStr">
        <is>
          <t>A 15305-2021</t>
        </is>
      </c>
      <c r="B260" s="1" t="n">
        <v>44284</v>
      </c>
      <c r="C260" s="1" t="n">
        <v>46086</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20485-2024</t>
        </is>
      </c>
      <c r="B261" s="1" t="n">
        <v>45435.7403125</v>
      </c>
      <c r="C261" s="1" t="n">
        <v>46086</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47075-2024</t>
        </is>
      </c>
      <c r="B262" s="1" t="n">
        <v>45586.5008912037</v>
      </c>
      <c r="C262" s="1" t="n">
        <v>46086</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40653-2022</t>
        </is>
      </c>
      <c r="B263" s="1" t="n">
        <v>44818</v>
      </c>
      <c r="C263" s="1" t="n">
        <v>46086</v>
      </c>
      <c r="D263" t="inlineStr">
        <is>
          <t>JÄMTLANDS LÄN</t>
        </is>
      </c>
      <c r="E263" t="inlineStr">
        <is>
          <t>ÅRE</t>
        </is>
      </c>
      <c r="G263" t="n">
        <v>1.4</v>
      </c>
      <c r="H263" t="n">
        <v>0</v>
      </c>
      <c r="I263" t="n">
        <v>0</v>
      </c>
      <c r="J263" t="n">
        <v>0</v>
      </c>
      <c r="K263" t="n">
        <v>0</v>
      </c>
      <c r="L263" t="n">
        <v>0</v>
      </c>
      <c r="M263" t="n">
        <v>0</v>
      </c>
      <c r="N263" t="n">
        <v>0</v>
      </c>
      <c r="O263" t="n">
        <v>0</v>
      </c>
      <c r="P263" t="n">
        <v>0</v>
      </c>
      <c r="Q263" t="n">
        <v>0</v>
      </c>
      <c r="R263" s="2" t="inlineStr"/>
    </row>
    <row r="264" ht="15" customHeight="1">
      <c r="A264" t="inlineStr">
        <is>
          <t>A 52677-2024</t>
        </is>
      </c>
      <c r="B264" s="1" t="n">
        <v>45610.38560185185</v>
      </c>
      <c r="C264" s="1" t="n">
        <v>46086</v>
      </c>
      <c r="D264" t="inlineStr">
        <is>
          <t>JÄMTLANDS LÄN</t>
        </is>
      </c>
      <c r="E264" t="inlineStr">
        <is>
          <t>ÅRE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37758-2023</t>
        </is>
      </c>
      <c r="B265" s="1" t="n">
        <v>45159</v>
      </c>
      <c r="C265" s="1" t="n">
        <v>46086</v>
      </c>
      <c r="D265" t="inlineStr">
        <is>
          <t>JÄMTLANDS LÄN</t>
        </is>
      </c>
      <c r="E265" t="inlineStr">
        <is>
          <t>ÅRE</t>
        </is>
      </c>
      <c r="G265" t="n">
        <v>20.1</v>
      </c>
      <c r="H265" t="n">
        <v>0</v>
      </c>
      <c r="I265" t="n">
        <v>0</v>
      </c>
      <c r="J265" t="n">
        <v>0</v>
      </c>
      <c r="K265" t="n">
        <v>0</v>
      </c>
      <c r="L265" t="n">
        <v>0</v>
      </c>
      <c r="M265" t="n">
        <v>0</v>
      </c>
      <c r="N265" t="n">
        <v>0</v>
      </c>
      <c r="O265" t="n">
        <v>0</v>
      </c>
      <c r="P265" t="n">
        <v>0</v>
      </c>
      <c r="Q265" t="n">
        <v>0</v>
      </c>
      <c r="R265" s="2" t="inlineStr"/>
    </row>
    <row r="266" ht="15" customHeight="1">
      <c r="A266" t="inlineStr">
        <is>
          <t>A 56910-2022</t>
        </is>
      </c>
      <c r="B266" s="1" t="n">
        <v>44894.59936342593</v>
      </c>
      <c r="C266" s="1" t="n">
        <v>46086</v>
      </c>
      <c r="D266" t="inlineStr">
        <is>
          <t>JÄMTLANDS LÄN</t>
        </is>
      </c>
      <c r="E266" t="inlineStr">
        <is>
          <t>ÅRE</t>
        </is>
      </c>
      <c r="F266" t="inlineStr">
        <is>
          <t>Övriga Aktiebolag</t>
        </is>
      </c>
      <c r="G266" t="n">
        <v>4.9</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46086</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43307-2024</t>
        </is>
      </c>
      <c r="B268" s="1" t="n">
        <v>45568.44303240741</v>
      </c>
      <c r="C268" s="1" t="n">
        <v>46086</v>
      </c>
      <c r="D268" t="inlineStr">
        <is>
          <t>JÄMTLANDS LÄN</t>
        </is>
      </c>
      <c r="E268" t="inlineStr">
        <is>
          <t>ÅRE</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18264-2023</t>
        </is>
      </c>
      <c r="B269" s="1" t="n">
        <v>45041</v>
      </c>
      <c r="C269" s="1" t="n">
        <v>46086</v>
      </c>
      <c r="D269" t="inlineStr">
        <is>
          <t>JÄMTLANDS LÄN</t>
        </is>
      </c>
      <c r="E269" t="inlineStr">
        <is>
          <t>ÅRE</t>
        </is>
      </c>
      <c r="G269" t="n">
        <v>0.2</v>
      </c>
      <c r="H269" t="n">
        <v>0</v>
      </c>
      <c r="I269" t="n">
        <v>0</v>
      </c>
      <c r="J269" t="n">
        <v>0</v>
      </c>
      <c r="K269" t="n">
        <v>0</v>
      </c>
      <c r="L269" t="n">
        <v>0</v>
      </c>
      <c r="M269" t="n">
        <v>0</v>
      </c>
      <c r="N269" t="n">
        <v>0</v>
      </c>
      <c r="O269" t="n">
        <v>0</v>
      </c>
      <c r="P269" t="n">
        <v>0</v>
      </c>
      <c r="Q269" t="n">
        <v>0</v>
      </c>
      <c r="R269" s="2" t="inlineStr"/>
    </row>
    <row r="270" ht="15" customHeight="1">
      <c r="A270" t="inlineStr">
        <is>
          <t>A 54116-2023</t>
        </is>
      </c>
      <c r="B270" s="1" t="n">
        <v>45232</v>
      </c>
      <c r="C270" s="1" t="n">
        <v>46086</v>
      </c>
      <c r="D270" t="inlineStr">
        <is>
          <t>JÄMTLANDS LÄN</t>
        </is>
      </c>
      <c r="E270" t="inlineStr">
        <is>
          <t>ÅRE</t>
        </is>
      </c>
      <c r="G270" t="n">
        <v>3.8</v>
      </c>
      <c r="H270" t="n">
        <v>0</v>
      </c>
      <c r="I270" t="n">
        <v>0</v>
      </c>
      <c r="J270" t="n">
        <v>0</v>
      </c>
      <c r="K270" t="n">
        <v>0</v>
      </c>
      <c r="L270" t="n">
        <v>0</v>
      </c>
      <c r="M270" t="n">
        <v>0</v>
      </c>
      <c r="N270" t="n">
        <v>0</v>
      </c>
      <c r="O270" t="n">
        <v>0</v>
      </c>
      <c r="P270" t="n">
        <v>0</v>
      </c>
      <c r="Q270" t="n">
        <v>0</v>
      </c>
      <c r="R270" s="2" t="inlineStr"/>
    </row>
    <row r="271" ht="15" customHeight="1">
      <c r="A271" t="inlineStr">
        <is>
          <t>A 12292-2023</t>
        </is>
      </c>
      <c r="B271" s="1" t="n">
        <v>44998</v>
      </c>
      <c r="C271" s="1" t="n">
        <v>46086</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12294-2023</t>
        </is>
      </c>
      <c r="B272" s="1" t="n">
        <v>44998.75266203703</v>
      </c>
      <c r="C272" s="1" t="n">
        <v>46086</v>
      </c>
      <c r="D272" t="inlineStr">
        <is>
          <t>JÄMTLANDS LÄN</t>
        </is>
      </c>
      <c r="E272" t="inlineStr">
        <is>
          <t>ÅRE</t>
        </is>
      </c>
      <c r="G272" t="n">
        <v>1.4</v>
      </c>
      <c r="H272" t="n">
        <v>0</v>
      </c>
      <c r="I272" t="n">
        <v>0</v>
      </c>
      <c r="J272" t="n">
        <v>0</v>
      </c>
      <c r="K272" t="n">
        <v>0</v>
      </c>
      <c r="L272" t="n">
        <v>0</v>
      </c>
      <c r="M272" t="n">
        <v>0</v>
      </c>
      <c r="N272" t="n">
        <v>0</v>
      </c>
      <c r="O272" t="n">
        <v>0</v>
      </c>
      <c r="P272" t="n">
        <v>0</v>
      </c>
      <c r="Q272" t="n">
        <v>0</v>
      </c>
      <c r="R272" s="2" t="inlineStr"/>
    </row>
    <row r="273" ht="15" customHeight="1">
      <c r="A273" t="inlineStr">
        <is>
          <t>A 55944-2022</t>
        </is>
      </c>
      <c r="B273" s="1" t="n">
        <v>44889</v>
      </c>
      <c r="C273" s="1" t="n">
        <v>46086</v>
      </c>
      <c r="D273" t="inlineStr">
        <is>
          <t>JÄMTLANDS LÄN</t>
        </is>
      </c>
      <c r="E273" t="inlineStr">
        <is>
          <t>ÅRE</t>
        </is>
      </c>
      <c r="G273" t="n">
        <v>11.1</v>
      </c>
      <c r="H273" t="n">
        <v>0</v>
      </c>
      <c r="I273" t="n">
        <v>0</v>
      </c>
      <c r="J273" t="n">
        <v>0</v>
      </c>
      <c r="K273" t="n">
        <v>0</v>
      </c>
      <c r="L273" t="n">
        <v>0</v>
      </c>
      <c r="M273" t="n">
        <v>0</v>
      </c>
      <c r="N273" t="n">
        <v>0</v>
      </c>
      <c r="O273" t="n">
        <v>0</v>
      </c>
      <c r="P273" t="n">
        <v>0</v>
      </c>
      <c r="Q273" t="n">
        <v>0</v>
      </c>
      <c r="R273" s="2" t="inlineStr"/>
    </row>
    <row r="274" ht="15" customHeight="1">
      <c r="A274" t="inlineStr">
        <is>
          <t>A 18531-2021</t>
        </is>
      </c>
      <c r="B274" s="1" t="n">
        <v>44306</v>
      </c>
      <c r="C274" s="1" t="n">
        <v>46086</v>
      </c>
      <c r="D274" t="inlineStr">
        <is>
          <t>JÄMTLANDS LÄN</t>
        </is>
      </c>
      <c r="E274" t="inlineStr">
        <is>
          <t>ÅRE</t>
        </is>
      </c>
      <c r="G274" t="n">
        <v>4</v>
      </c>
      <c r="H274" t="n">
        <v>0</v>
      </c>
      <c r="I274" t="n">
        <v>0</v>
      </c>
      <c r="J274" t="n">
        <v>0</v>
      </c>
      <c r="K274" t="n">
        <v>0</v>
      </c>
      <c r="L274" t="n">
        <v>0</v>
      </c>
      <c r="M274" t="n">
        <v>0</v>
      </c>
      <c r="N274" t="n">
        <v>0</v>
      </c>
      <c r="O274" t="n">
        <v>0</v>
      </c>
      <c r="P274" t="n">
        <v>0</v>
      </c>
      <c r="Q274" t="n">
        <v>0</v>
      </c>
      <c r="R274" s="2" t="inlineStr"/>
    </row>
    <row r="275" ht="15" customHeight="1">
      <c r="A275" t="inlineStr">
        <is>
          <t>A 45834-2024</t>
        </is>
      </c>
      <c r="B275" s="1" t="n">
        <v>45579.91509259259</v>
      </c>
      <c r="C275" s="1" t="n">
        <v>46086</v>
      </c>
      <c r="D275" t="inlineStr">
        <is>
          <t>JÄMTLANDS LÄN</t>
        </is>
      </c>
      <c r="E275" t="inlineStr">
        <is>
          <t>ÅRE</t>
        </is>
      </c>
      <c r="G275" t="n">
        <v>3.9</v>
      </c>
      <c r="H275" t="n">
        <v>0</v>
      </c>
      <c r="I275" t="n">
        <v>0</v>
      </c>
      <c r="J275" t="n">
        <v>0</v>
      </c>
      <c r="K275" t="n">
        <v>0</v>
      </c>
      <c r="L275" t="n">
        <v>0</v>
      </c>
      <c r="M275" t="n">
        <v>0</v>
      </c>
      <c r="N275" t="n">
        <v>0</v>
      </c>
      <c r="O275" t="n">
        <v>0</v>
      </c>
      <c r="P275" t="n">
        <v>0</v>
      </c>
      <c r="Q275" t="n">
        <v>0</v>
      </c>
      <c r="R275" s="2" t="inlineStr"/>
    </row>
    <row r="276" ht="15" customHeight="1">
      <c r="A276" t="inlineStr">
        <is>
          <t>A 2105-2026</t>
        </is>
      </c>
      <c r="B276" s="1" t="n">
        <v>46036.3758912037</v>
      </c>
      <c r="C276" s="1" t="n">
        <v>46086</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5651-2023</t>
        </is>
      </c>
      <c r="B277" s="1" t="n">
        <v>44958</v>
      </c>
      <c r="C277" s="1" t="n">
        <v>46086</v>
      </c>
      <c r="D277" t="inlineStr">
        <is>
          <t>JÄMTLANDS LÄN</t>
        </is>
      </c>
      <c r="E277" t="inlineStr">
        <is>
          <t>ÅRE</t>
        </is>
      </c>
      <c r="G277" t="n">
        <v>5.7</v>
      </c>
      <c r="H277" t="n">
        <v>0</v>
      </c>
      <c r="I277" t="n">
        <v>0</v>
      </c>
      <c r="J277" t="n">
        <v>0</v>
      </c>
      <c r="K277" t="n">
        <v>0</v>
      </c>
      <c r="L277" t="n">
        <v>0</v>
      </c>
      <c r="M277" t="n">
        <v>0</v>
      </c>
      <c r="N277" t="n">
        <v>0</v>
      </c>
      <c r="O277" t="n">
        <v>0</v>
      </c>
      <c r="P277" t="n">
        <v>0</v>
      </c>
      <c r="Q277" t="n">
        <v>0</v>
      </c>
      <c r="R277" s="2" t="inlineStr"/>
    </row>
    <row r="278" ht="15" customHeight="1">
      <c r="A278" t="inlineStr">
        <is>
          <t>A 49303-2024</t>
        </is>
      </c>
      <c r="B278" s="1" t="n">
        <v>45595</v>
      </c>
      <c r="C278" s="1" t="n">
        <v>46086</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64758-2023</t>
        </is>
      </c>
      <c r="B279" s="1" t="n">
        <v>45281</v>
      </c>
      <c r="C279" s="1" t="n">
        <v>46086</v>
      </c>
      <c r="D279" t="inlineStr">
        <is>
          <t>JÄMTLANDS LÄN</t>
        </is>
      </c>
      <c r="E279" t="inlineStr">
        <is>
          <t>ÅRE</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61978-2023</t>
        </is>
      </c>
      <c r="B280" s="1" t="n">
        <v>45266.59711805556</v>
      </c>
      <c r="C280" s="1" t="n">
        <v>46086</v>
      </c>
      <c r="D280" t="inlineStr">
        <is>
          <t>JÄMTLANDS LÄN</t>
        </is>
      </c>
      <c r="E280" t="inlineStr">
        <is>
          <t>ÅRE</t>
        </is>
      </c>
      <c r="G280" t="n">
        <v>5.5</v>
      </c>
      <c r="H280" t="n">
        <v>0</v>
      </c>
      <c r="I280" t="n">
        <v>0</v>
      </c>
      <c r="J280" t="n">
        <v>0</v>
      </c>
      <c r="K280" t="n">
        <v>0</v>
      </c>
      <c r="L280" t="n">
        <v>0</v>
      </c>
      <c r="M280" t="n">
        <v>0</v>
      </c>
      <c r="N280" t="n">
        <v>0</v>
      </c>
      <c r="O280" t="n">
        <v>0</v>
      </c>
      <c r="P280" t="n">
        <v>0</v>
      </c>
      <c r="Q280" t="n">
        <v>0</v>
      </c>
      <c r="R280" s="2" t="inlineStr"/>
    </row>
    <row r="281" ht="15" customHeight="1">
      <c r="A281" t="inlineStr">
        <is>
          <t>A 12940-2024</t>
        </is>
      </c>
      <c r="B281" s="1" t="n">
        <v>45385.46263888889</v>
      </c>
      <c r="C281" s="1" t="n">
        <v>46086</v>
      </c>
      <c r="D281" t="inlineStr">
        <is>
          <t>JÄMTLANDS LÄN</t>
        </is>
      </c>
      <c r="E281" t="inlineStr">
        <is>
          <t>ÅRE</t>
        </is>
      </c>
      <c r="G281" t="n">
        <v>2.5</v>
      </c>
      <c r="H281" t="n">
        <v>0</v>
      </c>
      <c r="I281" t="n">
        <v>0</v>
      </c>
      <c r="J281" t="n">
        <v>0</v>
      </c>
      <c r="K281" t="n">
        <v>0</v>
      </c>
      <c r="L281" t="n">
        <v>0</v>
      </c>
      <c r="M281" t="n">
        <v>0</v>
      </c>
      <c r="N281" t="n">
        <v>0</v>
      </c>
      <c r="O281" t="n">
        <v>0</v>
      </c>
      <c r="P281" t="n">
        <v>0</v>
      </c>
      <c r="Q281" t="n">
        <v>0</v>
      </c>
      <c r="R281" s="2" t="inlineStr"/>
    </row>
    <row r="282" ht="15" customHeight="1">
      <c r="A282" t="inlineStr">
        <is>
          <t>A 58508-2023</t>
        </is>
      </c>
      <c r="B282" s="1" t="n">
        <v>45246</v>
      </c>
      <c r="C282" s="1" t="n">
        <v>46086</v>
      </c>
      <c r="D282" t="inlineStr">
        <is>
          <t>JÄMTLANDS LÄN</t>
        </is>
      </c>
      <c r="E282" t="inlineStr">
        <is>
          <t>ÅRE</t>
        </is>
      </c>
      <c r="G282" t="n">
        <v>21.8</v>
      </c>
      <c r="H282" t="n">
        <v>0</v>
      </c>
      <c r="I282" t="n">
        <v>0</v>
      </c>
      <c r="J282" t="n">
        <v>0</v>
      </c>
      <c r="K282" t="n">
        <v>0</v>
      </c>
      <c r="L282" t="n">
        <v>0</v>
      </c>
      <c r="M282" t="n">
        <v>0</v>
      </c>
      <c r="N282" t="n">
        <v>0</v>
      </c>
      <c r="O282" t="n">
        <v>0</v>
      </c>
      <c r="P282" t="n">
        <v>0</v>
      </c>
      <c r="Q282" t="n">
        <v>0</v>
      </c>
      <c r="R282" s="2" t="inlineStr"/>
    </row>
    <row r="283" ht="15" customHeight="1">
      <c r="A283" t="inlineStr">
        <is>
          <t>A 39069-2024</t>
        </is>
      </c>
      <c r="B283" s="1" t="n">
        <v>45548.53166666667</v>
      </c>
      <c r="C283" s="1" t="n">
        <v>46086</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12944-2024</t>
        </is>
      </c>
      <c r="B284" s="1" t="n">
        <v>45385</v>
      </c>
      <c r="C284" s="1" t="n">
        <v>46086</v>
      </c>
      <c r="D284" t="inlineStr">
        <is>
          <t>JÄMTLANDS LÄN</t>
        </is>
      </c>
      <c r="E284" t="inlineStr">
        <is>
          <t>ÅRE</t>
        </is>
      </c>
      <c r="G284" t="n">
        <v>1.9</v>
      </c>
      <c r="H284" t="n">
        <v>0</v>
      </c>
      <c r="I284" t="n">
        <v>0</v>
      </c>
      <c r="J284" t="n">
        <v>0</v>
      </c>
      <c r="K284" t="n">
        <v>0</v>
      </c>
      <c r="L284" t="n">
        <v>0</v>
      </c>
      <c r="M284" t="n">
        <v>0</v>
      </c>
      <c r="N284" t="n">
        <v>0</v>
      </c>
      <c r="O284" t="n">
        <v>0</v>
      </c>
      <c r="P284" t="n">
        <v>0</v>
      </c>
      <c r="Q284" t="n">
        <v>0</v>
      </c>
      <c r="R284" s="2" t="inlineStr"/>
    </row>
    <row r="285" ht="15" customHeight="1">
      <c r="A285" t="inlineStr">
        <is>
          <t>A 64237-2021</t>
        </is>
      </c>
      <c r="B285" s="1" t="n">
        <v>44510</v>
      </c>
      <c r="C285" s="1" t="n">
        <v>46086</v>
      </c>
      <c r="D285" t="inlineStr">
        <is>
          <t>JÄMTLANDS LÄN</t>
        </is>
      </c>
      <c r="E285" t="inlineStr">
        <is>
          <t>ÅRE</t>
        </is>
      </c>
      <c r="G285" t="n">
        <v>2.7</v>
      </c>
      <c r="H285" t="n">
        <v>0</v>
      </c>
      <c r="I285" t="n">
        <v>0</v>
      </c>
      <c r="J285" t="n">
        <v>0</v>
      </c>
      <c r="K285" t="n">
        <v>0</v>
      </c>
      <c r="L285" t="n">
        <v>0</v>
      </c>
      <c r="M285" t="n">
        <v>0</v>
      </c>
      <c r="N285" t="n">
        <v>0</v>
      </c>
      <c r="O285" t="n">
        <v>0</v>
      </c>
      <c r="P285" t="n">
        <v>0</v>
      </c>
      <c r="Q285" t="n">
        <v>0</v>
      </c>
      <c r="R285" s="2" t="inlineStr"/>
    </row>
    <row r="286" ht="15" customHeight="1">
      <c r="A286" t="inlineStr">
        <is>
          <t>A 30263-2023</t>
        </is>
      </c>
      <c r="B286" s="1" t="n">
        <v>45099</v>
      </c>
      <c r="C286" s="1" t="n">
        <v>46086</v>
      </c>
      <c r="D286" t="inlineStr">
        <is>
          <t>JÄMTLANDS LÄN</t>
        </is>
      </c>
      <c r="E286" t="inlineStr">
        <is>
          <t>ÅRE</t>
        </is>
      </c>
      <c r="G286" t="n">
        <v>15.9</v>
      </c>
      <c r="H286" t="n">
        <v>0</v>
      </c>
      <c r="I286" t="n">
        <v>0</v>
      </c>
      <c r="J286" t="n">
        <v>0</v>
      </c>
      <c r="K286" t="n">
        <v>0</v>
      </c>
      <c r="L286" t="n">
        <v>0</v>
      </c>
      <c r="M286" t="n">
        <v>0</v>
      </c>
      <c r="N286" t="n">
        <v>0</v>
      </c>
      <c r="O286" t="n">
        <v>0</v>
      </c>
      <c r="P286" t="n">
        <v>0</v>
      </c>
      <c r="Q286" t="n">
        <v>0</v>
      </c>
      <c r="R286" s="2" t="inlineStr"/>
    </row>
    <row r="287" ht="15" customHeight="1">
      <c r="A287" t="inlineStr">
        <is>
          <t>A 61183-2023</t>
        </is>
      </c>
      <c r="B287" s="1" t="n">
        <v>45263</v>
      </c>
      <c r="C287" s="1" t="n">
        <v>46086</v>
      </c>
      <c r="D287" t="inlineStr">
        <is>
          <t>JÄMTLANDS LÄN</t>
        </is>
      </c>
      <c r="E287" t="inlineStr">
        <is>
          <t>ÅRE</t>
        </is>
      </c>
      <c r="G287" t="n">
        <v>8.4</v>
      </c>
      <c r="H287" t="n">
        <v>0</v>
      </c>
      <c r="I287" t="n">
        <v>0</v>
      </c>
      <c r="J287" t="n">
        <v>0</v>
      </c>
      <c r="K287" t="n">
        <v>0</v>
      </c>
      <c r="L287" t="n">
        <v>0</v>
      </c>
      <c r="M287" t="n">
        <v>0</v>
      </c>
      <c r="N287" t="n">
        <v>0</v>
      </c>
      <c r="O287" t="n">
        <v>0</v>
      </c>
      <c r="P287" t="n">
        <v>0</v>
      </c>
      <c r="Q287" t="n">
        <v>0</v>
      </c>
      <c r="R287" s="2" t="inlineStr"/>
    </row>
    <row r="288" ht="15" customHeight="1">
      <c r="A288" t="inlineStr">
        <is>
          <t>A 18849-2022</t>
        </is>
      </c>
      <c r="B288" s="1" t="n">
        <v>44690</v>
      </c>
      <c r="C288" s="1" t="n">
        <v>46086</v>
      </c>
      <c r="D288" t="inlineStr">
        <is>
          <t>JÄMTLANDS LÄN</t>
        </is>
      </c>
      <c r="E288" t="inlineStr">
        <is>
          <t>ÅRE</t>
        </is>
      </c>
      <c r="G288" t="n">
        <v>12.8</v>
      </c>
      <c r="H288" t="n">
        <v>0</v>
      </c>
      <c r="I288" t="n">
        <v>0</v>
      </c>
      <c r="J288" t="n">
        <v>0</v>
      </c>
      <c r="K288" t="n">
        <v>0</v>
      </c>
      <c r="L288" t="n">
        <v>0</v>
      </c>
      <c r="M288" t="n">
        <v>0</v>
      </c>
      <c r="N288" t="n">
        <v>0</v>
      </c>
      <c r="O288" t="n">
        <v>0</v>
      </c>
      <c r="P288" t="n">
        <v>0</v>
      </c>
      <c r="Q288" t="n">
        <v>0</v>
      </c>
      <c r="R288" s="2" t="inlineStr"/>
    </row>
    <row r="289" ht="15" customHeight="1">
      <c r="A289" t="inlineStr">
        <is>
          <t>A 52676-2023</t>
        </is>
      </c>
      <c r="B289" s="1" t="n">
        <v>45225.6890625</v>
      </c>
      <c r="C289" s="1" t="n">
        <v>46086</v>
      </c>
      <c r="D289" t="inlineStr">
        <is>
          <t>JÄMTLANDS LÄN</t>
        </is>
      </c>
      <c r="E289" t="inlineStr">
        <is>
          <t>ÅRE</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50344-2024</t>
        </is>
      </c>
      <c r="B290" s="1" t="n">
        <v>45600</v>
      </c>
      <c r="C290" s="1" t="n">
        <v>46086</v>
      </c>
      <c r="D290" t="inlineStr">
        <is>
          <t>JÄMTLANDS LÄN</t>
        </is>
      </c>
      <c r="E290" t="inlineStr">
        <is>
          <t>ÅRE</t>
        </is>
      </c>
      <c r="G290" t="n">
        <v>4</v>
      </c>
      <c r="H290" t="n">
        <v>0</v>
      </c>
      <c r="I290" t="n">
        <v>0</v>
      </c>
      <c r="J290" t="n">
        <v>0</v>
      </c>
      <c r="K290" t="n">
        <v>0</v>
      </c>
      <c r="L290" t="n">
        <v>0</v>
      </c>
      <c r="M290" t="n">
        <v>0</v>
      </c>
      <c r="N290" t="n">
        <v>0</v>
      </c>
      <c r="O290" t="n">
        <v>0</v>
      </c>
      <c r="P290" t="n">
        <v>0</v>
      </c>
      <c r="Q290" t="n">
        <v>0</v>
      </c>
      <c r="R290" s="2" t="inlineStr"/>
    </row>
    <row r="291" ht="15" customHeight="1">
      <c r="A291" t="inlineStr">
        <is>
          <t>A 12290-2023</t>
        </is>
      </c>
      <c r="B291" s="1" t="n">
        <v>44998.73545138889</v>
      </c>
      <c r="C291" s="1" t="n">
        <v>46086</v>
      </c>
      <c r="D291" t="inlineStr">
        <is>
          <t>JÄMTLANDS LÄN</t>
        </is>
      </c>
      <c r="E291" t="inlineStr">
        <is>
          <t>ÅRE</t>
        </is>
      </c>
      <c r="G291" t="n">
        <v>2.8</v>
      </c>
      <c r="H291" t="n">
        <v>0</v>
      </c>
      <c r="I291" t="n">
        <v>0</v>
      </c>
      <c r="J291" t="n">
        <v>0</v>
      </c>
      <c r="K291" t="n">
        <v>0</v>
      </c>
      <c r="L291" t="n">
        <v>0</v>
      </c>
      <c r="M291" t="n">
        <v>0</v>
      </c>
      <c r="N291" t="n">
        <v>0</v>
      </c>
      <c r="O291" t="n">
        <v>0</v>
      </c>
      <c r="P291" t="n">
        <v>0</v>
      </c>
      <c r="Q291" t="n">
        <v>0</v>
      </c>
      <c r="R291" s="2" t="inlineStr"/>
    </row>
    <row r="292" ht="15" customHeight="1">
      <c r="A292" t="inlineStr">
        <is>
          <t>A 12291-2023</t>
        </is>
      </c>
      <c r="B292" s="1" t="n">
        <v>44998.74140046296</v>
      </c>
      <c r="C292" s="1" t="n">
        <v>46086</v>
      </c>
      <c r="D292" t="inlineStr">
        <is>
          <t>JÄMTLANDS LÄN</t>
        </is>
      </c>
      <c r="E292" t="inlineStr">
        <is>
          <t>ÅRE</t>
        </is>
      </c>
      <c r="G292" t="n">
        <v>6</v>
      </c>
      <c r="H292" t="n">
        <v>0</v>
      </c>
      <c r="I292" t="n">
        <v>0</v>
      </c>
      <c r="J292" t="n">
        <v>0</v>
      </c>
      <c r="K292" t="n">
        <v>0</v>
      </c>
      <c r="L292" t="n">
        <v>0</v>
      </c>
      <c r="M292" t="n">
        <v>0</v>
      </c>
      <c r="N292" t="n">
        <v>0</v>
      </c>
      <c r="O292" t="n">
        <v>0</v>
      </c>
      <c r="P292" t="n">
        <v>0</v>
      </c>
      <c r="Q292" t="n">
        <v>0</v>
      </c>
      <c r="R292" s="2" t="inlineStr"/>
    </row>
    <row r="293" ht="15" customHeight="1">
      <c r="A293" t="inlineStr">
        <is>
          <t>A 45796-2024</t>
        </is>
      </c>
      <c r="B293" s="1" t="n">
        <v>45579.67354166666</v>
      </c>
      <c r="C293" s="1" t="n">
        <v>46086</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21905-2021</t>
        </is>
      </c>
      <c r="B294" s="1" t="n">
        <v>44322</v>
      </c>
      <c r="C294" s="1" t="n">
        <v>46086</v>
      </c>
      <c r="D294" t="inlineStr">
        <is>
          <t>JÄMTLANDS LÄN</t>
        </is>
      </c>
      <c r="E294" t="inlineStr">
        <is>
          <t>ÅRE</t>
        </is>
      </c>
      <c r="G294" t="n">
        <v>14.3</v>
      </c>
      <c r="H294" t="n">
        <v>0</v>
      </c>
      <c r="I294" t="n">
        <v>0</v>
      </c>
      <c r="J294" t="n">
        <v>0</v>
      </c>
      <c r="K294" t="n">
        <v>0</v>
      </c>
      <c r="L294" t="n">
        <v>0</v>
      </c>
      <c r="M294" t="n">
        <v>0</v>
      </c>
      <c r="N294" t="n">
        <v>0</v>
      </c>
      <c r="O294" t="n">
        <v>0</v>
      </c>
      <c r="P294" t="n">
        <v>0</v>
      </c>
      <c r="Q294" t="n">
        <v>0</v>
      </c>
      <c r="R294" s="2" t="inlineStr"/>
    </row>
    <row r="295" ht="15" customHeight="1">
      <c r="A295" t="inlineStr">
        <is>
          <t>A 2520-2026</t>
        </is>
      </c>
      <c r="B295" s="1" t="n">
        <v>46037.42578703703</v>
      </c>
      <c r="C295" s="1" t="n">
        <v>46086</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59916-2023</t>
        </is>
      </c>
      <c r="B296" s="1" t="n">
        <v>45257.64270833333</v>
      </c>
      <c r="C296" s="1" t="n">
        <v>46086</v>
      </c>
      <c r="D296" t="inlineStr">
        <is>
          <t>JÄMTLANDS LÄN</t>
        </is>
      </c>
      <c r="E296" t="inlineStr">
        <is>
          <t>ÅRE</t>
        </is>
      </c>
      <c r="G296" t="n">
        <v>0.7</v>
      </c>
      <c r="H296" t="n">
        <v>0</v>
      </c>
      <c r="I296" t="n">
        <v>0</v>
      </c>
      <c r="J296" t="n">
        <v>0</v>
      </c>
      <c r="K296" t="n">
        <v>0</v>
      </c>
      <c r="L296" t="n">
        <v>0</v>
      </c>
      <c r="M296" t="n">
        <v>0</v>
      </c>
      <c r="N296" t="n">
        <v>0</v>
      </c>
      <c r="O296" t="n">
        <v>0</v>
      </c>
      <c r="P296" t="n">
        <v>0</v>
      </c>
      <c r="Q296" t="n">
        <v>0</v>
      </c>
      <c r="R296" s="2" t="inlineStr"/>
    </row>
    <row r="297" ht="15" customHeight="1">
      <c r="A297" t="inlineStr">
        <is>
          <t>A 12288-2023</t>
        </is>
      </c>
      <c r="B297" s="1" t="n">
        <v>44998.73143518518</v>
      </c>
      <c r="C297" s="1" t="n">
        <v>46086</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58917-2022</t>
        </is>
      </c>
      <c r="B298" s="1" t="n">
        <v>44903</v>
      </c>
      <c r="C298" s="1" t="n">
        <v>46086</v>
      </c>
      <c r="D298" t="inlineStr">
        <is>
          <t>JÄMTLANDS LÄN</t>
        </is>
      </c>
      <c r="E298" t="inlineStr">
        <is>
          <t>ÅRE</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10957-2026</t>
        </is>
      </c>
      <c r="B299" s="1" t="n">
        <v>46079.40486111111</v>
      </c>
      <c r="C299" s="1" t="n">
        <v>46086</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11436-2026</t>
        </is>
      </c>
      <c r="B300" s="1" t="n">
        <v>46083.50047453704</v>
      </c>
      <c r="C300" s="1" t="n">
        <v>46086</v>
      </c>
      <c r="D300" t="inlineStr">
        <is>
          <t>JÄMTLANDS LÄN</t>
        </is>
      </c>
      <c r="E300" t="inlineStr">
        <is>
          <t>ÅRE</t>
        </is>
      </c>
      <c r="G300" t="n">
        <v>4.3</v>
      </c>
      <c r="H300" t="n">
        <v>0</v>
      </c>
      <c r="I300" t="n">
        <v>0</v>
      </c>
      <c r="J300" t="n">
        <v>0</v>
      </c>
      <c r="K300" t="n">
        <v>0</v>
      </c>
      <c r="L300" t="n">
        <v>0</v>
      </c>
      <c r="M300" t="n">
        <v>0</v>
      </c>
      <c r="N300" t="n">
        <v>0</v>
      </c>
      <c r="O300" t="n">
        <v>0</v>
      </c>
      <c r="P300" t="n">
        <v>0</v>
      </c>
      <c r="Q300" t="n">
        <v>0</v>
      </c>
      <c r="R300" s="2" t="inlineStr"/>
    </row>
    <row r="301" ht="15" customHeight="1">
      <c r="A301" t="inlineStr">
        <is>
          <t>A 36048-2023</t>
        </is>
      </c>
      <c r="B301" s="1" t="n">
        <v>45149.42868055555</v>
      </c>
      <c r="C301" s="1" t="n">
        <v>46086</v>
      </c>
      <c r="D301" t="inlineStr">
        <is>
          <t>JÄMTLANDS LÄN</t>
        </is>
      </c>
      <c r="E301" t="inlineStr">
        <is>
          <t>ÅRE</t>
        </is>
      </c>
      <c r="G301" t="n">
        <v>11.4</v>
      </c>
      <c r="H301" t="n">
        <v>0</v>
      </c>
      <c r="I301" t="n">
        <v>0</v>
      </c>
      <c r="J301" t="n">
        <v>0</v>
      </c>
      <c r="K301" t="n">
        <v>0</v>
      </c>
      <c r="L301" t="n">
        <v>0</v>
      </c>
      <c r="M301" t="n">
        <v>0</v>
      </c>
      <c r="N301" t="n">
        <v>0</v>
      </c>
      <c r="O301" t="n">
        <v>0</v>
      </c>
      <c r="P301" t="n">
        <v>0</v>
      </c>
      <c r="Q301" t="n">
        <v>0</v>
      </c>
      <c r="R301" s="2" t="inlineStr"/>
    </row>
    <row r="302" ht="15" customHeight="1">
      <c r="A302" t="inlineStr">
        <is>
          <t>A 51183-2025</t>
        </is>
      </c>
      <c r="B302" s="1" t="n">
        <v>45947.62087962963</v>
      </c>
      <c r="C302" s="1" t="n">
        <v>46086</v>
      </c>
      <c r="D302" t="inlineStr">
        <is>
          <t>JÄMTLANDS LÄN</t>
        </is>
      </c>
      <c r="E302" t="inlineStr">
        <is>
          <t>ÅRE</t>
        </is>
      </c>
      <c r="F302" t="inlineStr">
        <is>
          <t>Övriga statliga verk och myndigheter</t>
        </is>
      </c>
      <c r="G302" t="n">
        <v>2</v>
      </c>
      <c r="H302" t="n">
        <v>0</v>
      </c>
      <c r="I302" t="n">
        <v>0</v>
      </c>
      <c r="J302" t="n">
        <v>0</v>
      </c>
      <c r="K302" t="n">
        <v>0</v>
      </c>
      <c r="L302" t="n">
        <v>0</v>
      </c>
      <c r="M302" t="n">
        <v>0</v>
      </c>
      <c r="N302" t="n">
        <v>0</v>
      </c>
      <c r="O302" t="n">
        <v>0</v>
      </c>
      <c r="P302" t="n">
        <v>0</v>
      </c>
      <c r="Q302" t="n">
        <v>0</v>
      </c>
      <c r="R302" s="2" t="inlineStr"/>
    </row>
    <row r="303" ht="15" customHeight="1">
      <c r="A303" t="inlineStr">
        <is>
          <t>A 3018-2026</t>
        </is>
      </c>
      <c r="B303" s="1" t="n">
        <v>46038.66943287037</v>
      </c>
      <c r="C303" s="1" t="n">
        <v>46086</v>
      </c>
      <c r="D303" t="inlineStr">
        <is>
          <t>JÄMTLANDS LÄN</t>
        </is>
      </c>
      <c r="E303" t="inlineStr">
        <is>
          <t>ÅRE</t>
        </is>
      </c>
      <c r="G303" t="n">
        <v>4.8</v>
      </c>
      <c r="H303" t="n">
        <v>0</v>
      </c>
      <c r="I303" t="n">
        <v>0</v>
      </c>
      <c r="J303" t="n">
        <v>0</v>
      </c>
      <c r="K303" t="n">
        <v>0</v>
      </c>
      <c r="L303" t="n">
        <v>0</v>
      </c>
      <c r="M303" t="n">
        <v>0</v>
      </c>
      <c r="N303" t="n">
        <v>0</v>
      </c>
      <c r="O303" t="n">
        <v>0</v>
      </c>
      <c r="P303" t="n">
        <v>0</v>
      </c>
      <c r="Q303" t="n">
        <v>0</v>
      </c>
      <c r="R303" s="2" t="inlineStr"/>
    </row>
    <row r="304" ht="15" customHeight="1">
      <c r="A304" t="inlineStr">
        <is>
          <t>A 34538-2023</t>
        </is>
      </c>
      <c r="B304" s="1" t="n">
        <v>45134</v>
      </c>
      <c r="C304" s="1" t="n">
        <v>46086</v>
      </c>
      <c r="D304" t="inlineStr">
        <is>
          <t>JÄMTLANDS LÄN</t>
        </is>
      </c>
      <c r="E304" t="inlineStr">
        <is>
          <t>ÅRE</t>
        </is>
      </c>
      <c r="G304" t="n">
        <v>1.3</v>
      </c>
      <c r="H304" t="n">
        <v>0</v>
      </c>
      <c r="I304" t="n">
        <v>0</v>
      </c>
      <c r="J304" t="n">
        <v>0</v>
      </c>
      <c r="K304" t="n">
        <v>0</v>
      </c>
      <c r="L304" t="n">
        <v>0</v>
      </c>
      <c r="M304" t="n">
        <v>0</v>
      </c>
      <c r="N304" t="n">
        <v>0</v>
      </c>
      <c r="O304" t="n">
        <v>0</v>
      </c>
      <c r="P304" t="n">
        <v>0</v>
      </c>
      <c r="Q304" t="n">
        <v>0</v>
      </c>
      <c r="R304" s="2" t="inlineStr"/>
    </row>
    <row r="305" ht="15" customHeight="1">
      <c r="A305" t="inlineStr">
        <is>
          <t>A 54904-2022</t>
        </is>
      </c>
      <c r="B305" s="1" t="n">
        <v>44886</v>
      </c>
      <c r="C305" s="1" t="n">
        <v>46086</v>
      </c>
      <c r="D305" t="inlineStr">
        <is>
          <t>JÄMTLANDS LÄN</t>
        </is>
      </c>
      <c r="E305" t="inlineStr">
        <is>
          <t>ÅRE</t>
        </is>
      </c>
      <c r="F305" t="inlineStr">
        <is>
          <t>Övriga Aktiebolag</t>
        </is>
      </c>
      <c r="G305" t="n">
        <v>12.2</v>
      </c>
      <c r="H305" t="n">
        <v>0</v>
      </c>
      <c r="I305" t="n">
        <v>0</v>
      </c>
      <c r="J305" t="n">
        <v>0</v>
      </c>
      <c r="K305" t="n">
        <v>0</v>
      </c>
      <c r="L305" t="n">
        <v>0</v>
      </c>
      <c r="M305" t="n">
        <v>0</v>
      </c>
      <c r="N305" t="n">
        <v>0</v>
      </c>
      <c r="O305" t="n">
        <v>0</v>
      </c>
      <c r="P305" t="n">
        <v>0</v>
      </c>
      <c r="Q305" t="n">
        <v>0</v>
      </c>
      <c r="R305" s="2" t="inlineStr"/>
    </row>
    <row r="306" ht="15" customHeight="1">
      <c r="A306" t="inlineStr">
        <is>
          <t>A 5460-2023</t>
        </is>
      </c>
      <c r="B306" s="1" t="n">
        <v>44960</v>
      </c>
      <c r="C306" s="1" t="n">
        <v>46086</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11439-2026</t>
        </is>
      </c>
      <c r="B307" s="1" t="n">
        <v>46083.51054398148</v>
      </c>
      <c r="C307" s="1" t="n">
        <v>46086</v>
      </c>
      <c r="D307" t="inlineStr">
        <is>
          <t>JÄMTLANDS LÄN</t>
        </is>
      </c>
      <c r="E307" t="inlineStr">
        <is>
          <t>ÅRE</t>
        </is>
      </c>
      <c r="G307" t="n">
        <v>2.7</v>
      </c>
      <c r="H307" t="n">
        <v>0</v>
      </c>
      <c r="I307" t="n">
        <v>0</v>
      </c>
      <c r="J307" t="n">
        <v>0</v>
      </c>
      <c r="K307" t="n">
        <v>0</v>
      </c>
      <c r="L307" t="n">
        <v>0</v>
      </c>
      <c r="M307" t="n">
        <v>0</v>
      </c>
      <c r="N307" t="n">
        <v>0</v>
      </c>
      <c r="O307" t="n">
        <v>0</v>
      </c>
      <c r="P307" t="n">
        <v>0</v>
      </c>
      <c r="Q307" t="n">
        <v>0</v>
      </c>
      <c r="R307" s="2" t="inlineStr"/>
    </row>
    <row r="308" ht="15" customHeight="1">
      <c r="A308" t="inlineStr">
        <is>
          <t>A 3263-2023</t>
        </is>
      </c>
      <c r="B308" s="1" t="n">
        <v>44948.98751157407</v>
      </c>
      <c r="C308" s="1" t="n">
        <v>46086</v>
      </c>
      <c r="D308" t="inlineStr">
        <is>
          <t>JÄMTLANDS LÄN</t>
        </is>
      </c>
      <c r="E308" t="inlineStr">
        <is>
          <t>ÅRE</t>
        </is>
      </c>
      <c r="G308" t="n">
        <v>1.7</v>
      </c>
      <c r="H308" t="n">
        <v>0</v>
      </c>
      <c r="I308" t="n">
        <v>0</v>
      </c>
      <c r="J308" t="n">
        <v>0</v>
      </c>
      <c r="K308" t="n">
        <v>0</v>
      </c>
      <c r="L308" t="n">
        <v>0</v>
      </c>
      <c r="M308" t="n">
        <v>0</v>
      </c>
      <c r="N308" t="n">
        <v>0</v>
      </c>
      <c r="O308" t="n">
        <v>0</v>
      </c>
      <c r="P308" t="n">
        <v>0</v>
      </c>
      <c r="Q308" t="n">
        <v>0</v>
      </c>
      <c r="R308" s="2" t="inlineStr"/>
    </row>
    <row r="309" ht="15" customHeight="1">
      <c r="A309" t="inlineStr">
        <is>
          <t>A 43446-2023</t>
        </is>
      </c>
      <c r="B309" s="1" t="n">
        <v>45184.35760416667</v>
      </c>
      <c r="C309" s="1" t="n">
        <v>46086</v>
      </c>
      <c r="D309" t="inlineStr">
        <is>
          <t>JÄMTLANDS LÄN</t>
        </is>
      </c>
      <c r="E309" t="inlineStr">
        <is>
          <t>ÅRE</t>
        </is>
      </c>
      <c r="F309" t="inlineStr">
        <is>
          <t>Övriga Aktiebolag</t>
        </is>
      </c>
      <c r="G309" t="n">
        <v>6.4</v>
      </c>
      <c r="H309" t="n">
        <v>0</v>
      </c>
      <c r="I309" t="n">
        <v>0</v>
      </c>
      <c r="J309" t="n">
        <v>0</v>
      </c>
      <c r="K309" t="n">
        <v>0</v>
      </c>
      <c r="L309" t="n">
        <v>0</v>
      </c>
      <c r="M309" t="n">
        <v>0</v>
      </c>
      <c r="N309" t="n">
        <v>0</v>
      </c>
      <c r="O309" t="n">
        <v>0</v>
      </c>
      <c r="P309" t="n">
        <v>0</v>
      </c>
      <c r="Q309" t="n">
        <v>0</v>
      </c>
      <c r="R309" s="2" t="inlineStr"/>
    </row>
    <row r="310" ht="15" customHeight="1">
      <c r="A310" t="inlineStr">
        <is>
          <t>A 26722-2021</t>
        </is>
      </c>
      <c r="B310" s="1" t="n">
        <v>44349</v>
      </c>
      <c r="C310" s="1" t="n">
        <v>46086</v>
      </c>
      <c r="D310" t="inlineStr">
        <is>
          <t>JÄMTLANDS LÄN</t>
        </is>
      </c>
      <c r="E310" t="inlineStr">
        <is>
          <t>ÅRE</t>
        </is>
      </c>
      <c r="G310" t="n">
        <v>11.4</v>
      </c>
      <c r="H310" t="n">
        <v>0</v>
      </c>
      <c r="I310" t="n">
        <v>0</v>
      </c>
      <c r="J310" t="n">
        <v>0</v>
      </c>
      <c r="K310" t="n">
        <v>0</v>
      </c>
      <c r="L310" t="n">
        <v>0</v>
      </c>
      <c r="M310" t="n">
        <v>0</v>
      </c>
      <c r="N310" t="n">
        <v>0</v>
      </c>
      <c r="O310" t="n">
        <v>0</v>
      </c>
      <c r="P310" t="n">
        <v>0</v>
      </c>
      <c r="Q310" t="n">
        <v>0</v>
      </c>
      <c r="R310" s="2" t="inlineStr"/>
    </row>
    <row r="311" ht="15" customHeight="1">
      <c r="A311" t="inlineStr">
        <is>
          <t>A 44251-2025</t>
        </is>
      </c>
      <c r="B311" s="1" t="n">
        <v>45915.69837962963</v>
      </c>
      <c r="C311" s="1" t="n">
        <v>46086</v>
      </c>
      <c r="D311" t="inlineStr">
        <is>
          <t>JÄMTLANDS LÄN</t>
        </is>
      </c>
      <c r="E311" t="inlineStr">
        <is>
          <t>ÅRE</t>
        </is>
      </c>
      <c r="G311" t="n">
        <v>0.2</v>
      </c>
      <c r="H311" t="n">
        <v>0</v>
      </c>
      <c r="I311" t="n">
        <v>0</v>
      </c>
      <c r="J311" t="n">
        <v>0</v>
      </c>
      <c r="K311" t="n">
        <v>0</v>
      </c>
      <c r="L311" t="n">
        <v>0</v>
      </c>
      <c r="M311" t="n">
        <v>0</v>
      </c>
      <c r="N311" t="n">
        <v>0</v>
      </c>
      <c r="O311" t="n">
        <v>0</v>
      </c>
      <c r="P311" t="n">
        <v>0</v>
      </c>
      <c r="Q311" t="n">
        <v>0</v>
      </c>
      <c r="R311" s="2" t="inlineStr"/>
    </row>
    <row r="312" ht="15" customHeight="1">
      <c r="A312" t="inlineStr">
        <is>
          <t>A 45161-2024</t>
        </is>
      </c>
      <c r="B312" s="1" t="n">
        <v>45575.64982638889</v>
      </c>
      <c r="C312" s="1" t="n">
        <v>46086</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43767-2025</t>
        </is>
      </c>
      <c r="B313" s="1" t="n">
        <v>45912.49256944445</v>
      </c>
      <c r="C313" s="1" t="n">
        <v>46086</v>
      </c>
      <c r="D313" t="inlineStr">
        <is>
          <t>JÄMTLANDS LÄN</t>
        </is>
      </c>
      <c r="E313" t="inlineStr">
        <is>
          <t>ÅRE</t>
        </is>
      </c>
      <c r="G313" t="n">
        <v>7.1</v>
      </c>
      <c r="H313" t="n">
        <v>0</v>
      </c>
      <c r="I313" t="n">
        <v>0</v>
      </c>
      <c r="J313" t="n">
        <v>0</v>
      </c>
      <c r="K313" t="n">
        <v>0</v>
      </c>
      <c r="L313" t="n">
        <v>0</v>
      </c>
      <c r="M313" t="n">
        <v>0</v>
      </c>
      <c r="N313" t="n">
        <v>0</v>
      </c>
      <c r="O313" t="n">
        <v>0</v>
      </c>
      <c r="P313" t="n">
        <v>0</v>
      </c>
      <c r="Q313" t="n">
        <v>0</v>
      </c>
      <c r="R313" s="2" t="inlineStr"/>
    </row>
    <row r="314" ht="15" customHeight="1">
      <c r="A314" t="inlineStr">
        <is>
          <t>A 43768-2025</t>
        </is>
      </c>
      <c r="B314" s="1" t="n">
        <v>45912.49289351852</v>
      </c>
      <c r="C314" s="1" t="n">
        <v>46086</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43769-2025</t>
        </is>
      </c>
      <c r="B315" s="1" t="n">
        <v>45912.49420138889</v>
      </c>
      <c r="C315" s="1" t="n">
        <v>46086</v>
      </c>
      <c r="D315" t="inlineStr">
        <is>
          <t>JÄMTLANDS LÄN</t>
        </is>
      </c>
      <c r="E315" t="inlineStr">
        <is>
          <t>ÅRE</t>
        </is>
      </c>
      <c r="G315" t="n">
        <v>6.1</v>
      </c>
      <c r="H315" t="n">
        <v>0</v>
      </c>
      <c r="I315" t="n">
        <v>0</v>
      </c>
      <c r="J315" t="n">
        <v>0</v>
      </c>
      <c r="K315" t="n">
        <v>0</v>
      </c>
      <c r="L315" t="n">
        <v>0</v>
      </c>
      <c r="M315" t="n">
        <v>0</v>
      </c>
      <c r="N315" t="n">
        <v>0</v>
      </c>
      <c r="O315" t="n">
        <v>0</v>
      </c>
      <c r="P315" t="n">
        <v>0</v>
      </c>
      <c r="Q315" t="n">
        <v>0</v>
      </c>
      <c r="R315" s="2" t="inlineStr"/>
    </row>
    <row r="316" ht="15" customHeight="1">
      <c r="A316" t="inlineStr">
        <is>
          <t>A 39202-2025</t>
        </is>
      </c>
      <c r="B316" s="1" t="n">
        <v>45888.72116898148</v>
      </c>
      <c r="C316" s="1" t="n">
        <v>46086</v>
      </c>
      <c r="D316" t="inlineStr">
        <is>
          <t>JÄMTLANDS LÄN</t>
        </is>
      </c>
      <c r="E316" t="inlineStr">
        <is>
          <t>ÅRE</t>
        </is>
      </c>
      <c r="G316" t="n">
        <v>4.4</v>
      </c>
      <c r="H316" t="n">
        <v>0</v>
      </c>
      <c r="I316" t="n">
        <v>0</v>
      </c>
      <c r="J316" t="n">
        <v>0</v>
      </c>
      <c r="K316" t="n">
        <v>0</v>
      </c>
      <c r="L316" t="n">
        <v>0</v>
      </c>
      <c r="M316" t="n">
        <v>0</v>
      </c>
      <c r="N316" t="n">
        <v>0</v>
      </c>
      <c r="O316" t="n">
        <v>0</v>
      </c>
      <c r="P316" t="n">
        <v>0</v>
      </c>
      <c r="Q316" t="n">
        <v>0</v>
      </c>
      <c r="R316" s="2" t="inlineStr"/>
    </row>
    <row r="317" ht="15" customHeight="1">
      <c r="A317" t="inlineStr">
        <is>
          <t>A 1112-2025</t>
        </is>
      </c>
      <c r="B317" s="1" t="n">
        <v>45666</v>
      </c>
      <c r="C317" s="1" t="n">
        <v>46086</v>
      </c>
      <c r="D317" t="inlineStr">
        <is>
          <t>JÄMTLANDS LÄN</t>
        </is>
      </c>
      <c r="E317" t="inlineStr">
        <is>
          <t>ÅRE</t>
        </is>
      </c>
      <c r="F317" t="inlineStr">
        <is>
          <t>Övriga Aktiebolag</t>
        </is>
      </c>
      <c r="G317" t="n">
        <v>17.7</v>
      </c>
      <c r="H317" t="n">
        <v>0</v>
      </c>
      <c r="I317" t="n">
        <v>0</v>
      </c>
      <c r="J317" t="n">
        <v>0</v>
      </c>
      <c r="K317" t="n">
        <v>0</v>
      </c>
      <c r="L317" t="n">
        <v>0</v>
      </c>
      <c r="M317" t="n">
        <v>0</v>
      </c>
      <c r="N317" t="n">
        <v>0</v>
      </c>
      <c r="O317" t="n">
        <v>0</v>
      </c>
      <c r="P317" t="n">
        <v>0</v>
      </c>
      <c r="Q317" t="n">
        <v>0</v>
      </c>
      <c r="R317" s="2" t="inlineStr"/>
    </row>
    <row r="318" ht="15" customHeight="1">
      <c r="A318" t="inlineStr">
        <is>
          <t>A 4777-2025</t>
        </is>
      </c>
      <c r="B318" s="1" t="n">
        <v>45688</v>
      </c>
      <c r="C318" s="1" t="n">
        <v>46086</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35058-2025</t>
        </is>
      </c>
      <c r="B319" s="1" t="n">
        <v>45849</v>
      </c>
      <c r="C319" s="1" t="n">
        <v>46086</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34897-2025</t>
        </is>
      </c>
      <c r="B320" s="1" t="n">
        <v>45849</v>
      </c>
      <c r="C320" s="1" t="n">
        <v>46086</v>
      </c>
      <c r="D320" t="inlineStr">
        <is>
          <t>JÄMTLANDS LÄN</t>
        </is>
      </c>
      <c r="E320" t="inlineStr">
        <is>
          <t>ÅRE</t>
        </is>
      </c>
      <c r="G320" t="n">
        <v>1.6</v>
      </c>
      <c r="H320" t="n">
        <v>0</v>
      </c>
      <c r="I320" t="n">
        <v>0</v>
      </c>
      <c r="J320" t="n">
        <v>0</v>
      </c>
      <c r="K320" t="n">
        <v>0</v>
      </c>
      <c r="L320" t="n">
        <v>0</v>
      </c>
      <c r="M320" t="n">
        <v>0</v>
      </c>
      <c r="N320" t="n">
        <v>0</v>
      </c>
      <c r="O320" t="n">
        <v>0</v>
      </c>
      <c r="P320" t="n">
        <v>0</v>
      </c>
      <c r="Q320" t="n">
        <v>0</v>
      </c>
      <c r="R320" s="2" t="inlineStr"/>
    </row>
    <row r="321" ht="15" customHeight="1">
      <c r="A321" t="inlineStr">
        <is>
          <t>A 34925-2025</t>
        </is>
      </c>
      <c r="B321" s="1" t="n">
        <v>45849</v>
      </c>
      <c r="C321" s="1" t="n">
        <v>46086</v>
      </c>
      <c r="D321" t="inlineStr">
        <is>
          <t>JÄMTLANDS LÄN</t>
        </is>
      </c>
      <c r="E321" t="inlineStr">
        <is>
          <t>ÅRE</t>
        </is>
      </c>
      <c r="G321" t="n">
        <v>1.9</v>
      </c>
      <c r="H321" t="n">
        <v>0</v>
      </c>
      <c r="I321" t="n">
        <v>0</v>
      </c>
      <c r="J321" t="n">
        <v>0</v>
      </c>
      <c r="K321" t="n">
        <v>0</v>
      </c>
      <c r="L321" t="n">
        <v>0</v>
      </c>
      <c r="M321" t="n">
        <v>0</v>
      </c>
      <c r="N321" t="n">
        <v>0</v>
      </c>
      <c r="O321" t="n">
        <v>0</v>
      </c>
      <c r="P321" t="n">
        <v>0</v>
      </c>
      <c r="Q321" t="n">
        <v>0</v>
      </c>
      <c r="R321" s="2" t="inlineStr"/>
    </row>
    <row r="322" ht="15" customHeight="1">
      <c r="A322" t="inlineStr">
        <is>
          <t>A 34805-2025</t>
        </is>
      </c>
      <c r="B322" s="1" t="n">
        <v>45849.33071759259</v>
      </c>
      <c r="C322" s="1" t="n">
        <v>46086</v>
      </c>
      <c r="D322" t="inlineStr">
        <is>
          <t>JÄMTLANDS LÄN</t>
        </is>
      </c>
      <c r="E322" t="inlineStr">
        <is>
          <t>ÅRE</t>
        </is>
      </c>
      <c r="G322" t="n">
        <v>2.2</v>
      </c>
      <c r="H322" t="n">
        <v>0</v>
      </c>
      <c r="I322" t="n">
        <v>0</v>
      </c>
      <c r="J322" t="n">
        <v>0</v>
      </c>
      <c r="K322" t="n">
        <v>0</v>
      </c>
      <c r="L322" t="n">
        <v>0</v>
      </c>
      <c r="M322" t="n">
        <v>0</v>
      </c>
      <c r="N322" t="n">
        <v>0</v>
      </c>
      <c r="O322" t="n">
        <v>0</v>
      </c>
      <c r="P322" t="n">
        <v>0</v>
      </c>
      <c r="Q322" t="n">
        <v>0</v>
      </c>
      <c r="R322" s="2" t="inlineStr"/>
    </row>
    <row r="323" ht="15" customHeight="1">
      <c r="A323" t="inlineStr">
        <is>
          <t>A 44418-2025</t>
        </is>
      </c>
      <c r="B323" s="1" t="n">
        <v>45916.54578703704</v>
      </c>
      <c r="C323" s="1" t="n">
        <v>46086</v>
      </c>
      <c r="D323" t="inlineStr">
        <is>
          <t>JÄMTLANDS LÄN</t>
        </is>
      </c>
      <c r="E323" t="inlineStr">
        <is>
          <t>ÅRE</t>
        </is>
      </c>
      <c r="G323" t="n">
        <v>3.3</v>
      </c>
      <c r="H323" t="n">
        <v>0</v>
      </c>
      <c r="I323" t="n">
        <v>0</v>
      </c>
      <c r="J323" t="n">
        <v>0</v>
      </c>
      <c r="K323" t="n">
        <v>0</v>
      </c>
      <c r="L323" t="n">
        <v>0</v>
      </c>
      <c r="M323" t="n">
        <v>0</v>
      </c>
      <c r="N323" t="n">
        <v>0</v>
      </c>
      <c r="O323" t="n">
        <v>0</v>
      </c>
      <c r="P323" t="n">
        <v>0</v>
      </c>
      <c r="Q323" t="n">
        <v>0</v>
      </c>
      <c r="R323" s="2" t="inlineStr"/>
    </row>
    <row r="324" ht="15" customHeight="1">
      <c r="A324" t="inlineStr">
        <is>
          <t>A 44644-2025</t>
        </is>
      </c>
      <c r="B324" s="1" t="n">
        <v>45917.53284722222</v>
      </c>
      <c r="C324" s="1" t="n">
        <v>46086</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35054-2025</t>
        </is>
      </c>
      <c r="B325" s="1" t="n">
        <v>45849</v>
      </c>
      <c r="C325" s="1" t="n">
        <v>46086</v>
      </c>
      <c r="D325" t="inlineStr">
        <is>
          <t>JÄMTLANDS LÄN</t>
        </is>
      </c>
      <c r="E325" t="inlineStr">
        <is>
          <t>ÅRE</t>
        </is>
      </c>
      <c r="G325" t="n">
        <v>5.3</v>
      </c>
      <c r="H325" t="n">
        <v>0</v>
      </c>
      <c r="I325" t="n">
        <v>0</v>
      </c>
      <c r="J325" t="n">
        <v>0</v>
      </c>
      <c r="K325" t="n">
        <v>0</v>
      </c>
      <c r="L325" t="n">
        <v>0</v>
      </c>
      <c r="M325" t="n">
        <v>0</v>
      </c>
      <c r="N325" t="n">
        <v>0</v>
      </c>
      <c r="O325" t="n">
        <v>0</v>
      </c>
      <c r="P325" t="n">
        <v>0</v>
      </c>
      <c r="Q325" t="n">
        <v>0</v>
      </c>
      <c r="R325" s="2" t="inlineStr"/>
    </row>
    <row r="326" ht="15" customHeight="1">
      <c r="A326" t="inlineStr">
        <is>
          <t>A 49702-2024</t>
        </is>
      </c>
      <c r="B326" s="1" t="n">
        <v>45596</v>
      </c>
      <c r="C326" s="1" t="n">
        <v>46086</v>
      </c>
      <c r="D326" t="inlineStr">
        <is>
          <t>JÄMTLANDS LÄN</t>
        </is>
      </c>
      <c r="E326" t="inlineStr">
        <is>
          <t>ÅRE</t>
        </is>
      </c>
      <c r="F326" t="inlineStr">
        <is>
          <t>Övriga Aktiebolag</t>
        </is>
      </c>
      <c r="G326" t="n">
        <v>1.6</v>
      </c>
      <c r="H326" t="n">
        <v>0</v>
      </c>
      <c r="I326" t="n">
        <v>0</v>
      </c>
      <c r="J326" t="n">
        <v>0</v>
      </c>
      <c r="K326" t="n">
        <v>0</v>
      </c>
      <c r="L326" t="n">
        <v>0</v>
      </c>
      <c r="M326" t="n">
        <v>0</v>
      </c>
      <c r="N326" t="n">
        <v>0</v>
      </c>
      <c r="O326" t="n">
        <v>0</v>
      </c>
      <c r="P326" t="n">
        <v>0</v>
      </c>
      <c r="Q326" t="n">
        <v>0</v>
      </c>
      <c r="R326" s="2" t="inlineStr"/>
    </row>
    <row r="327" ht="15" customHeight="1">
      <c r="A327" t="inlineStr">
        <is>
          <t>A 44668-2025</t>
        </is>
      </c>
      <c r="B327" s="1" t="n">
        <v>45917.56306712963</v>
      </c>
      <c r="C327" s="1" t="n">
        <v>46086</v>
      </c>
      <c r="D327" t="inlineStr">
        <is>
          <t>JÄMTLANDS LÄN</t>
        </is>
      </c>
      <c r="E327" t="inlineStr">
        <is>
          <t>ÅRE</t>
        </is>
      </c>
      <c r="G327" t="n">
        <v>3.6</v>
      </c>
      <c r="H327" t="n">
        <v>0</v>
      </c>
      <c r="I327" t="n">
        <v>0</v>
      </c>
      <c r="J327" t="n">
        <v>0</v>
      </c>
      <c r="K327" t="n">
        <v>0</v>
      </c>
      <c r="L327" t="n">
        <v>0</v>
      </c>
      <c r="M327" t="n">
        <v>0</v>
      </c>
      <c r="N327" t="n">
        <v>0</v>
      </c>
      <c r="O327" t="n">
        <v>0</v>
      </c>
      <c r="P327" t="n">
        <v>0</v>
      </c>
      <c r="Q327" t="n">
        <v>0</v>
      </c>
      <c r="R327" s="2" t="inlineStr"/>
    </row>
    <row r="328" ht="15" customHeight="1">
      <c r="A328" t="inlineStr">
        <is>
          <t>A 44685-2025</t>
        </is>
      </c>
      <c r="B328" s="1" t="n">
        <v>45917.58569444445</v>
      </c>
      <c r="C328" s="1" t="n">
        <v>46086</v>
      </c>
      <c r="D328" t="inlineStr">
        <is>
          <t>JÄMTLANDS LÄN</t>
        </is>
      </c>
      <c r="E328" t="inlineStr">
        <is>
          <t>ÅRE</t>
        </is>
      </c>
      <c r="G328" t="n">
        <v>2.2</v>
      </c>
      <c r="H328" t="n">
        <v>0</v>
      </c>
      <c r="I328" t="n">
        <v>0</v>
      </c>
      <c r="J328" t="n">
        <v>0</v>
      </c>
      <c r="K328" t="n">
        <v>0</v>
      </c>
      <c r="L328" t="n">
        <v>0</v>
      </c>
      <c r="M328" t="n">
        <v>0</v>
      </c>
      <c r="N328" t="n">
        <v>0</v>
      </c>
      <c r="O328" t="n">
        <v>0</v>
      </c>
      <c r="P328" t="n">
        <v>0</v>
      </c>
      <c r="Q328" t="n">
        <v>0</v>
      </c>
      <c r="R328" s="2" t="inlineStr"/>
    </row>
    <row r="329" ht="15" customHeight="1">
      <c r="A329" t="inlineStr">
        <is>
          <t>A 47076-2024</t>
        </is>
      </c>
      <c r="B329" s="1" t="n">
        <v>45586.50180555556</v>
      </c>
      <c r="C329" s="1" t="n">
        <v>46086</v>
      </c>
      <c r="D329" t="inlineStr">
        <is>
          <t>JÄMTLANDS LÄN</t>
        </is>
      </c>
      <c r="E329" t="inlineStr">
        <is>
          <t>ÅRE</t>
        </is>
      </c>
      <c r="G329" t="n">
        <v>6.5</v>
      </c>
      <c r="H329" t="n">
        <v>0</v>
      </c>
      <c r="I329" t="n">
        <v>0</v>
      </c>
      <c r="J329" t="n">
        <v>0</v>
      </c>
      <c r="K329" t="n">
        <v>0</v>
      </c>
      <c r="L329" t="n">
        <v>0</v>
      </c>
      <c r="M329" t="n">
        <v>0</v>
      </c>
      <c r="N329" t="n">
        <v>0</v>
      </c>
      <c r="O329" t="n">
        <v>0</v>
      </c>
      <c r="P329" t="n">
        <v>0</v>
      </c>
      <c r="Q329" t="n">
        <v>0</v>
      </c>
      <c r="R329" s="2" t="inlineStr"/>
    </row>
    <row r="330" ht="15" customHeight="1">
      <c r="A330" t="inlineStr">
        <is>
          <t>A 14204-2021</t>
        </is>
      </c>
      <c r="B330" s="1" t="n">
        <v>44278</v>
      </c>
      <c r="C330" s="1" t="n">
        <v>46086</v>
      </c>
      <c r="D330" t="inlineStr">
        <is>
          <t>JÄMTLANDS LÄN</t>
        </is>
      </c>
      <c r="E330" t="inlineStr">
        <is>
          <t>ÅRE</t>
        </is>
      </c>
      <c r="G330" t="n">
        <v>24.6</v>
      </c>
      <c r="H330" t="n">
        <v>0</v>
      </c>
      <c r="I330" t="n">
        <v>0</v>
      </c>
      <c r="J330" t="n">
        <v>0</v>
      </c>
      <c r="K330" t="n">
        <v>0</v>
      </c>
      <c r="L330" t="n">
        <v>0</v>
      </c>
      <c r="M330" t="n">
        <v>0</v>
      </c>
      <c r="N330" t="n">
        <v>0</v>
      </c>
      <c r="O330" t="n">
        <v>0</v>
      </c>
      <c r="P330" t="n">
        <v>0</v>
      </c>
      <c r="Q330" t="n">
        <v>0</v>
      </c>
      <c r="R330" s="2" t="inlineStr"/>
    </row>
    <row r="331" ht="15" customHeight="1">
      <c r="A331" t="inlineStr">
        <is>
          <t>A 3394-2026</t>
        </is>
      </c>
      <c r="B331" s="1" t="n">
        <v>46042.37641203704</v>
      </c>
      <c r="C331" s="1" t="n">
        <v>46086</v>
      </c>
      <c r="D331" t="inlineStr">
        <is>
          <t>JÄMTLANDS LÄN</t>
        </is>
      </c>
      <c r="E331" t="inlineStr">
        <is>
          <t>ÅRE</t>
        </is>
      </c>
      <c r="F331" t="inlineStr">
        <is>
          <t>Övriga Aktiebolag</t>
        </is>
      </c>
      <c r="G331" t="n">
        <v>11.2</v>
      </c>
      <c r="H331" t="n">
        <v>0</v>
      </c>
      <c r="I331" t="n">
        <v>0</v>
      </c>
      <c r="J331" t="n">
        <v>0</v>
      </c>
      <c r="K331" t="n">
        <v>0</v>
      </c>
      <c r="L331" t="n">
        <v>0</v>
      </c>
      <c r="M331" t="n">
        <v>0</v>
      </c>
      <c r="N331" t="n">
        <v>0</v>
      </c>
      <c r="O331" t="n">
        <v>0</v>
      </c>
      <c r="P331" t="n">
        <v>0</v>
      </c>
      <c r="Q331" t="n">
        <v>0</v>
      </c>
      <c r="R331" s="2" t="inlineStr"/>
    </row>
    <row r="332" ht="15" customHeight="1">
      <c r="A332" t="inlineStr">
        <is>
          <t>A 44512-2023</t>
        </is>
      </c>
      <c r="B332" s="1" t="n">
        <v>45184</v>
      </c>
      <c r="C332" s="1" t="n">
        <v>46086</v>
      </c>
      <c r="D332" t="inlineStr">
        <is>
          <t>JÄMTLANDS LÄN</t>
        </is>
      </c>
      <c r="E332" t="inlineStr">
        <is>
          <t>ÅRE</t>
        </is>
      </c>
      <c r="G332" t="n">
        <v>12.5</v>
      </c>
      <c r="H332" t="n">
        <v>0</v>
      </c>
      <c r="I332" t="n">
        <v>0</v>
      </c>
      <c r="J332" t="n">
        <v>0</v>
      </c>
      <c r="K332" t="n">
        <v>0</v>
      </c>
      <c r="L332" t="n">
        <v>0</v>
      </c>
      <c r="M332" t="n">
        <v>0</v>
      </c>
      <c r="N332" t="n">
        <v>0</v>
      </c>
      <c r="O332" t="n">
        <v>0</v>
      </c>
      <c r="P332" t="n">
        <v>0</v>
      </c>
      <c r="Q332" t="n">
        <v>0</v>
      </c>
      <c r="R332" s="2" t="inlineStr"/>
    </row>
    <row r="333" ht="15" customHeight="1">
      <c r="A333" t="inlineStr">
        <is>
          <t>A 23651-2025</t>
        </is>
      </c>
      <c r="B333" s="1" t="n">
        <v>45792</v>
      </c>
      <c r="C333" s="1" t="n">
        <v>46086</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45605-2025</t>
        </is>
      </c>
      <c r="B334" s="1" t="n">
        <v>45922.69826388889</v>
      </c>
      <c r="C334" s="1" t="n">
        <v>46086</v>
      </c>
      <c r="D334" t="inlineStr">
        <is>
          <t>JÄMTLANDS LÄN</t>
        </is>
      </c>
      <c r="E334" t="inlineStr">
        <is>
          <t>ÅRE</t>
        </is>
      </c>
      <c r="G334" t="n">
        <v>1.9</v>
      </c>
      <c r="H334" t="n">
        <v>0</v>
      </c>
      <c r="I334" t="n">
        <v>0</v>
      </c>
      <c r="J334" t="n">
        <v>0</v>
      </c>
      <c r="K334" t="n">
        <v>0</v>
      </c>
      <c r="L334" t="n">
        <v>0</v>
      </c>
      <c r="M334" t="n">
        <v>0</v>
      </c>
      <c r="N334" t="n">
        <v>0</v>
      </c>
      <c r="O334" t="n">
        <v>0</v>
      </c>
      <c r="P334" t="n">
        <v>0</v>
      </c>
      <c r="Q334" t="n">
        <v>0</v>
      </c>
      <c r="R334" s="2" t="inlineStr"/>
    </row>
    <row r="335" ht="15" customHeight="1">
      <c r="A335" t="inlineStr">
        <is>
          <t>A 30081-2024</t>
        </is>
      </c>
      <c r="B335" s="1" t="n">
        <v>45485</v>
      </c>
      <c r="C335" s="1" t="n">
        <v>46086</v>
      </c>
      <c r="D335" t="inlineStr">
        <is>
          <t>JÄMTLANDS LÄN</t>
        </is>
      </c>
      <c r="E335" t="inlineStr">
        <is>
          <t>ÅRE</t>
        </is>
      </c>
      <c r="G335" t="n">
        <v>17.8</v>
      </c>
      <c r="H335" t="n">
        <v>0</v>
      </c>
      <c r="I335" t="n">
        <v>0</v>
      </c>
      <c r="J335" t="n">
        <v>0</v>
      </c>
      <c r="K335" t="n">
        <v>0</v>
      </c>
      <c r="L335" t="n">
        <v>0</v>
      </c>
      <c r="M335" t="n">
        <v>0</v>
      </c>
      <c r="N335" t="n">
        <v>0</v>
      </c>
      <c r="O335" t="n">
        <v>0</v>
      </c>
      <c r="P335" t="n">
        <v>0</v>
      </c>
      <c r="Q335" t="n">
        <v>0</v>
      </c>
      <c r="R335" s="2" t="inlineStr"/>
    </row>
    <row r="336" ht="15" customHeight="1">
      <c r="A336" t="inlineStr">
        <is>
          <t>A 54225-2025</t>
        </is>
      </c>
      <c r="B336" s="1" t="n">
        <v>45964.60839120371</v>
      </c>
      <c r="C336" s="1" t="n">
        <v>46086</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11377-2025</t>
        </is>
      </c>
      <c r="B337" s="1" t="n">
        <v>45726</v>
      </c>
      <c r="C337" s="1" t="n">
        <v>46086</v>
      </c>
      <c r="D337" t="inlineStr">
        <is>
          <t>JÄMTLANDS LÄN</t>
        </is>
      </c>
      <c r="E337" t="inlineStr">
        <is>
          <t>ÅRE</t>
        </is>
      </c>
      <c r="G337" t="n">
        <v>7.1</v>
      </c>
      <c r="H337" t="n">
        <v>0</v>
      </c>
      <c r="I337" t="n">
        <v>0</v>
      </c>
      <c r="J337" t="n">
        <v>0</v>
      </c>
      <c r="K337" t="n">
        <v>0</v>
      </c>
      <c r="L337" t="n">
        <v>0</v>
      </c>
      <c r="M337" t="n">
        <v>0</v>
      </c>
      <c r="N337" t="n">
        <v>0</v>
      </c>
      <c r="O337" t="n">
        <v>0</v>
      </c>
      <c r="P337" t="n">
        <v>0</v>
      </c>
      <c r="Q337" t="n">
        <v>0</v>
      </c>
      <c r="R337" s="2" t="inlineStr"/>
    </row>
    <row r="338" ht="15" customHeight="1">
      <c r="A338" t="inlineStr">
        <is>
          <t>A 30080-2024</t>
        </is>
      </c>
      <c r="B338" s="1" t="n">
        <v>45485</v>
      </c>
      <c r="C338" s="1" t="n">
        <v>46086</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45796-2025</t>
        </is>
      </c>
      <c r="B339" s="1" t="n">
        <v>45923.57418981481</v>
      </c>
      <c r="C339" s="1" t="n">
        <v>46086</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45614-2025</t>
        </is>
      </c>
      <c r="B340" s="1" t="n">
        <v>45922.719375</v>
      </c>
      <c r="C340" s="1" t="n">
        <v>46086</v>
      </c>
      <c r="D340" t="inlineStr">
        <is>
          <t>JÄMTLANDS LÄN</t>
        </is>
      </c>
      <c r="E340" t="inlineStr">
        <is>
          <t>ÅRE</t>
        </is>
      </c>
      <c r="G340" t="n">
        <v>2.4</v>
      </c>
      <c r="H340" t="n">
        <v>0</v>
      </c>
      <c r="I340" t="n">
        <v>0</v>
      </c>
      <c r="J340" t="n">
        <v>0</v>
      </c>
      <c r="K340" t="n">
        <v>0</v>
      </c>
      <c r="L340" t="n">
        <v>0</v>
      </c>
      <c r="M340" t="n">
        <v>0</v>
      </c>
      <c r="N340" t="n">
        <v>0</v>
      </c>
      <c r="O340" t="n">
        <v>0</v>
      </c>
      <c r="P340" t="n">
        <v>0</v>
      </c>
      <c r="Q340" t="n">
        <v>0</v>
      </c>
      <c r="R340" s="2" t="inlineStr"/>
    </row>
    <row r="341" ht="15" customHeight="1">
      <c r="A341" t="inlineStr">
        <is>
          <t>A 51277-2023</t>
        </is>
      </c>
      <c r="B341" s="1" t="n">
        <v>45219</v>
      </c>
      <c r="C341" s="1" t="n">
        <v>46086</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51282-2023</t>
        </is>
      </c>
      <c r="B342" s="1" t="n">
        <v>45219</v>
      </c>
      <c r="C342" s="1" t="n">
        <v>46086</v>
      </c>
      <c r="D342" t="inlineStr">
        <is>
          <t>JÄMTLANDS LÄN</t>
        </is>
      </c>
      <c r="E342" t="inlineStr">
        <is>
          <t>ÅRE</t>
        </is>
      </c>
      <c r="G342" t="n">
        <v>2.3</v>
      </c>
      <c r="H342" t="n">
        <v>0</v>
      </c>
      <c r="I342" t="n">
        <v>0</v>
      </c>
      <c r="J342" t="n">
        <v>0</v>
      </c>
      <c r="K342" t="n">
        <v>0</v>
      </c>
      <c r="L342" t="n">
        <v>0</v>
      </c>
      <c r="M342" t="n">
        <v>0</v>
      </c>
      <c r="N342" t="n">
        <v>0</v>
      </c>
      <c r="O342" t="n">
        <v>0</v>
      </c>
      <c r="P342" t="n">
        <v>0</v>
      </c>
      <c r="Q342" t="n">
        <v>0</v>
      </c>
      <c r="R342" s="2" t="inlineStr"/>
    </row>
    <row r="343" ht="15" customHeight="1">
      <c r="A343" t="inlineStr">
        <is>
          <t>A 46041-2025</t>
        </is>
      </c>
      <c r="B343" s="1" t="n">
        <v>45924</v>
      </c>
      <c r="C343" s="1" t="n">
        <v>46086</v>
      </c>
      <c r="D343" t="inlineStr">
        <is>
          <t>JÄMTLANDS LÄN</t>
        </is>
      </c>
      <c r="E343" t="inlineStr">
        <is>
          <t>ÅRE</t>
        </is>
      </c>
      <c r="G343" t="n">
        <v>3.5</v>
      </c>
      <c r="H343" t="n">
        <v>0</v>
      </c>
      <c r="I343" t="n">
        <v>0</v>
      </c>
      <c r="J343" t="n">
        <v>0</v>
      </c>
      <c r="K343" t="n">
        <v>0</v>
      </c>
      <c r="L343" t="n">
        <v>0</v>
      </c>
      <c r="M343" t="n">
        <v>0</v>
      </c>
      <c r="N343" t="n">
        <v>0</v>
      </c>
      <c r="O343" t="n">
        <v>0</v>
      </c>
      <c r="P343" t="n">
        <v>0</v>
      </c>
      <c r="Q343" t="n">
        <v>0</v>
      </c>
      <c r="R343" s="2" t="inlineStr"/>
    </row>
    <row r="344" ht="15" customHeight="1">
      <c r="A344" t="inlineStr">
        <is>
          <t>A 1159-2023</t>
        </is>
      </c>
      <c r="B344" s="1" t="n">
        <v>44935.66199074074</v>
      </c>
      <c r="C344" s="1" t="n">
        <v>46086</v>
      </c>
      <c r="D344" t="inlineStr">
        <is>
          <t>JÄMTLANDS LÄN</t>
        </is>
      </c>
      <c r="E344" t="inlineStr">
        <is>
          <t>ÅRE</t>
        </is>
      </c>
      <c r="G344" t="n">
        <v>6.4</v>
      </c>
      <c r="H344" t="n">
        <v>0</v>
      </c>
      <c r="I344" t="n">
        <v>0</v>
      </c>
      <c r="J344" t="n">
        <v>0</v>
      </c>
      <c r="K344" t="n">
        <v>0</v>
      </c>
      <c r="L344" t="n">
        <v>0</v>
      </c>
      <c r="M344" t="n">
        <v>0</v>
      </c>
      <c r="N344" t="n">
        <v>0</v>
      </c>
      <c r="O344" t="n">
        <v>0</v>
      </c>
      <c r="P344" t="n">
        <v>0</v>
      </c>
      <c r="Q344" t="n">
        <v>0</v>
      </c>
      <c r="R344" s="2" t="inlineStr"/>
    </row>
    <row r="345" ht="15" customHeight="1">
      <c r="A345" t="inlineStr">
        <is>
          <t>A 39509-2025</t>
        </is>
      </c>
      <c r="B345" s="1" t="n">
        <v>45890.40737268519</v>
      </c>
      <c r="C345" s="1" t="n">
        <v>46086</v>
      </c>
      <c r="D345" t="inlineStr">
        <is>
          <t>JÄMTLANDS LÄN</t>
        </is>
      </c>
      <c r="E345" t="inlineStr">
        <is>
          <t>ÅRE</t>
        </is>
      </c>
      <c r="G345" t="n">
        <v>5.6</v>
      </c>
      <c r="H345" t="n">
        <v>0</v>
      </c>
      <c r="I345" t="n">
        <v>0</v>
      </c>
      <c r="J345" t="n">
        <v>0</v>
      </c>
      <c r="K345" t="n">
        <v>0</v>
      </c>
      <c r="L345" t="n">
        <v>0</v>
      </c>
      <c r="M345" t="n">
        <v>0</v>
      </c>
      <c r="N345" t="n">
        <v>0</v>
      </c>
      <c r="O345" t="n">
        <v>0</v>
      </c>
      <c r="P345" t="n">
        <v>0</v>
      </c>
      <c r="Q345" t="n">
        <v>0</v>
      </c>
      <c r="R345" s="2" t="inlineStr"/>
    </row>
    <row r="346" ht="15" customHeight="1">
      <c r="A346" t="inlineStr">
        <is>
          <t>A 36013-2025</t>
        </is>
      </c>
      <c r="B346" s="1" t="n">
        <v>45863.60643518518</v>
      </c>
      <c r="C346" s="1" t="n">
        <v>46086</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36015-2025</t>
        </is>
      </c>
      <c r="B347" s="1" t="n">
        <v>45863.61373842593</v>
      </c>
      <c r="C347" s="1" t="n">
        <v>46086</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47664-2022</t>
        </is>
      </c>
      <c r="B348" s="1" t="n">
        <v>44854.46388888889</v>
      </c>
      <c r="C348" s="1" t="n">
        <v>46086</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34931-2025</t>
        </is>
      </c>
      <c r="B349" s="1" t="n">
        <v>45849</v>
      </c>
      <c r="C349" s="1" t="n">
        <v>46086</v>
      </c>
      <c r="D349" t="inlineStr">
        <is>
          <t>JÄMTLANDS LÄN</t>
        </is>
      </c>
      <c r="E349" t="inlineStr">
        <is>
          <t>ÅRE</t>
        </is>
      </c>
      <c r="G349" t="n">
        <v>1.4</v>
      </c>
      <c r="H349" t="n">
        <v>0</v>
      </c>
      <c r="I349" t="n">
        <v>0</v>
      </c>
      <c r="J349" t="n">
        <v>0</v>
      </c>
      <c r="K349" t="n">
        <v>0</v>
      </c>
      <c r="L349" t="n">
        <v>0</v>
      </c>
      <c r="M349" t="n">
        <v>0</v>
      </c>
      <c r="N349" t="n">
        <v>0</v>
      </c>
      <c r="O349" t="n">
        <v>0</v>
      </c>
      <c r="P349" t="n">
        <v>0</v>
      </c>
      <c r="Q349" t="n">
        <v>0</v>
      </c>
      <c r="R349" s="2" t="inlineStr"/>
    </row>
    <row r="350" ht="15" customHeight="1">
      <c r="A350" t="inlineStr">
        <is>
          <t>A 27375-2021</t>
        </is>
      </c>
      <c r="B350" s="1" t="n">
        <v>44351</v>
      </c>
      <c r="C350" s="1" t="n">
        <v>46086</v>
      </c>
      <c r="D350" t="inlineStr">
        <is>
          <t>JÄMTLANDS LÄN</t>
        </is>
      </c>
      <c r="E350" t="inlineStr">
        <is>
          <t>ÅRE</t>
        </is>
      </c>
      <c r="G350" t="n">
        <v>7.4</v>
      </c>
      <c r="H350" t="n">
        <v>0</v>
      </c>
      <c r="I350" t="n">
        <v>0</v>
      </c>
      <c r="J350" t="n">
        <v>0</v>
      </c>
      <c r="K350" t="n">
        <v>0</v>
      </c>
      <c r="L350" t="n">
        <v>0</v>
      </c>
      <c r="M350" t="n">
        <v>0</v>
      </c>
      <c r="N350" t="n">
        <v>0</v>
      </c>
      <c r="O350" t="n">
        <v>0</v>
      </c>
      <c r="P350" t="n">
        <v>0</v>
      </c>
      <c r="Q350" t="n">
        <v>0</v>
      </c>
      <c r="R350" s="2" t="inlineStr"/>
    </row>
    <row r="351" ht="15" customHeight="1">
      <c r="A351" t="inlineStr">
        <is>
          <t>A 48211-2025</t>
        </is>
      </c>
      <c r="B351" s="1" t="n">
        <v>45931</v>
      </c>
      <c r="C351" s="1" t="n">
        <v>46086</v>
      </c>
      <c r="D351" t="inlineStr">
        <is>
          <t>JÄMTLANDS LÄN</t>
        </is>
      </c>
      <c r="E351" t="inlineStr">
        <is>
          <t>ÅRE</t>
        </is>
      </c>
      <c r="G351" t="n">
        <v>6.6</v>
      </c>
      <c r="H351" t="n">
        <v>0</v>
      </c>
      <c r="I351" t="n">
        <v>0</v>
      </c>
      <c r="J351" t="n">
        <v>0</v>
      </c>
      <c r="K351" t="n">
        <v>0</v>
      </c>
      <c r="L351" t="n">
        <v>0</v>
      </c>
      <c r="M351" t="n">
        <v>0</v>
      </c>
      <c r="N351" t="n">
        <v>0</v>
      </c>
      <c r="O351" t="n">
        <v>0</v>
      </c>
      <c r="P351" t="n">
        <v>0</v>
      </c>
      <c r="Q351" t="n">
        <v>0</v>
      </c>
      <c r="R351" s="2" t="inlineStr"/>
    </row>
    <row r="352" ht="15" customHeight="1">
      <c r="A352" t="inlineStr">
        <is>
          <t>A 43456-2023</t>
        </is>
      </c>
      <c r="B352" s="1" t="n">
        <v>45184.37474537037</v>
      </c>
      <c r="C352" s="1" t="n">
        <v>46086</v>
      </c>
      <c r="D352" t="inlineStr">
        <is>
          <t>JÄMTLANDS LÄN</t>
        </is>
      </c>
      <c r="E352" t="inlineStr">
        <is>
          <t>ÅRE</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54164-2023</t>
        </is>
      </c>
      <c r="B353" s="1" t="n">
        <v>45232.47815972222</v>
      </c>
      <c r="C353" s="1" t="n">
        <v>46086</v>
      </c>
      <c r="D353" t="inlineStr">
        <is>
          <t>JÄMTLANDS LÄN</t>
        </is>
      </c>
      <c r="E353" t="inlineStr">
        <is>
          <t>ÅRE</t>
        </is>
      </c>
      <c r="G353" t="n">
        <v>2.6</v>
      </c>
      <c r="H353" t="n">
        <v>0</v>
      </c>
      <c r="I353" t="n">
        <v>0</v>
      </c>
      <c r="J353" t="n">
        <v>0</v>
      </c>
      <c r="K353" t="n">
        <v>0</v>
      </c>
      <c r="L353" t="n">
        <v>0</v>
      </c>
      <c r="M353" t="n">
        <v>0</v>
      </c>
      <c r="N353" t="n">
        <v>0</v>
      </c>
      <c r="O353" t="n">
        <v>0</v>
      </c>
      <c r="P353" t="n">
        <v>0</v>
      </c>
      <c r="Q353" t="n">
        <v>0</v>
      </c>
      <c r="R353" s="2" t="inlineStr"/>
    </row>
    <row r="354" ht="15" customHeight="1">
      <c r="A354" t="inlineStr">
        <is>
          <t>A 48178-2025</t>
        </is>
      </c>
      <c r="B354" s="1" t="n">
        <v>45933.44865740741</v>
      </c>
      <c r="C354" s="1" t="n">
        <v>46086</v>
      </c>
      <c r="D354" t="inlineStr">
        <is>
          <t>JÄMTLANDS LÄN</t>
        </is>
      </c>
      <c r="E354" t="inlineStr">
        <is>
          <t>ÅRE</t>
        </is>
      </c>
      <c r="F354" t="inlineStr">
        <is>
          <t>Övriga Aktiebolag</t>
        </is>
      </c>
      <c r="G354" t="n">
        <v>1.8</v>
      </c>
      <c r="H354" t="n">
        <v>0</v>
      </c>
      <c r="I354" t="n">
        <v>0</v>
      </c>
      <c r="J354" t="n">
        <v>0</v>
      </c>
      <c r="K354" t="n">
        <v>0</v>
      </c>
      <c r="L354" t="n">
        <v>0</v>
      </c>
      <c r="M354" t="n">
        <v>0</v>
      </c>
      <c r="N354" t="n">
        <v>0</v>
      </c>
      <c r="O354" t="n">
        <v>0</v>
      </c>
      <c r="P354" t="n">
        <v>0</v>
      </c>
      <c r="Q354" t="n">
        <v>0</v>
      </c>
      <c r="R354" s="2" t="inlineStr"/>
    </row>
    <row r="355" ht="15" customHeight="1">
      <c r="A355" t="inlineStr">
        <is>
          <t>A 2374-2023</t>
        </is>
      </c>
      <c r="B355" s="1" t="n">
        <v>44942.69005787037</v>
      </c>
      <c r="C355" s="1" t="n">
        <v>46086</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36975-2025</t>
        </is>
      </c>
      <c r="B356" s="1" t="n">
        <v>45874.63773148148</v>
      </c>
      <c r="C356" s="1" t="n">
        <v>46086</v>
      </c>
      <c r="D356" t="inlineStr">
        <is>
          <t>JÄMTLANDS LÄN</t>
        </is>
      </c>
      <c r="E356" t="inlineStr">
        <is>
          <t>ÅRE</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25379-2024</t>
        </is>
      </c>
      <c r="B357" s="1" t="n">
        <v>45462</v>
      </c>
      <c r="C357" s="1" t="n">
        <v>46086</v>
      </c>
      <c r="D357" t="inlineStr">
        <is>
          <t>JÄMTLANDS LÄN</t>
        </is>
      </c>
      <c r="E357" t="inlineStr">
        <is>
          <t>ÅRE</t>
        </is>
      </c>
      <c r="G357" t="n">
        <v>4.5</v>
      </c>
      <c r="H357" t="n">
        <v>0</v>
      </c>
      <c r="I357" t="n">
        <v>0</v>
      </c>
      <c r="J357" t="n">
        <v>0</v>
      </c>
      <c r="K357" t="n">
        <v>0</v>
      </c>
      <c r="L357" t="n">
        <v>0</v>
      </c>
      <c r="M357" t="n">
        <v>0</v>
      </c>
      <c r="N357" t="n">
        <v>0</v>
      </c>
      <c r="O357" t="n">
        <v>0</v>
      </c>
      <c r="P357" t="n">
        <v>0</v>
      </c>
      <c r="Q357" t="n">
        <v>0</v>
      </c>
      <c r="R357" s="2" t="inlineStr"/>
    </row>
    <row r="358" ht="15" customHeight="1">
      <c r="A358" t="inlineStr">
        <is>
          <t>A 46452-2025</t>
        </is>
      </c>
      <c r="B358" s="1" t="n">
        <v>45925.65625</v>
      </c>
      <c r="C358" s="1" t="n">
        <v>46086</v>
      </c>
      <c r="D358" t="inlineStr">
        <is>
          <t>JÄMTLANDS LÄN</t>
        </is>
      </c>
      <c r="E358" t="inlineStr">
        <is>
          <t>ÅRE</t>
        </is>
      </c>
      <c r="G358" t="n">
        <v>7.2</v>
      </c>
      <c r="H358" t="n">
        <v>0</v>
      </c>
      <c r="I358" t="n">
        <v>0</v>
      </c>
      <c r="J358" t="n">
        <v>0</v>
      </c>
      <c r="K358" t="n">
        <v>0</v>
      </c>
      <c r="L358" t="n">
        <v>0</v>
      </c>
      <c r="M358" t="n">
        <v>0</v>
      </c>
      <c r="N358" t="n">
        <v>0</v>
      </c>
      <c r="O358" t="n">
        <v>0</v>
      </c>
      <c r="P358" t="n">
        <v>0</v>
      </c>
      <c r="Q358" t="n">
        <v>0</v>
      </c>
      <c r="R358" s="2" t="inlineStr"/>
    </row>
    <row r="359" ht="15" customHeight="1">
      <c r="A359" t="inlineStr">
        <is>
          <t>A 46457-2025</t>
        </is>
      </c>
      <c r="B359" s="1" t="n">
        <v>45925.66126157407</v>
      </c>
      <c r="C359" s="1" t="n">
        <v>46086</v>
      </c>
      <c r="D359" t="inlineStr">
        <is>
          <t>JÄMTLANDS LÄN</t>
        </is>
      </c>
      <c r="E359" t="inlineStr">
        <is>
          <t>ÅRE</t>
        </is>
      </c>
      <c r="G359" t="n">
        <v>1.7</v>
      </c>
      <c r="H359" t="n">
        <v>0</v>
      </c>
      <c r="I359" t="n">
        <v>0</v>
      </c>
      <c r="J359" t="n">
        <v>0</v>
      </c>
      <c r="K359" t="n">
        <v>0</v>
      </c>
      <c r="L359" t="n">
        <v>0</v>
      </c>
      <c r="M359" t="n">
        <v>0</v>
      </c>
      <c r="N359" t="n">
        <v>0</v>
      </c>
      <c r="O359" t="n">
        <v>0</v>
      </c>
      <c r="P359" t="n">
        <v>0</v>
      </c>
      <c r="Q359" t="n">
        <v>0</v>
      </c>
      <c r="R359" s="2" t="inlineStr"/>
    </row>
    <row r="360" ht="15" customHeight="1">
      <c r="A360" t="inlineStr">
        <is>
          <t>A 37118-2025</t>
        </is>
      </c>
      <c r="B360" s="1" t="n">
        <v>45875</v>
      </c>
      <c r="C360" s="1" t="n">
        <v>46086</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25710-2024</t>
        </is>
      </c>
      <c r="B361" s="1" t="n">
        <v>45463</v>
      </c>
      <c r="C361" s="1" t="n">
        <v>46086</v>
      </c>
      <c r="D361" t="inlineStr">
        <is>
          <t>JÄMTLANDS LÄN</t>
        </is>
      </c>
      <c r="E361" t="inlineStr">
        <is>
          <t>ÅRE</t>
        </is>
      </c>
      <c r="G361" t="n">
        <v>4.5</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46086</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22603-2025</t>
        </is>
      </c>
      <c r="B363" s="1" t="n">
        <v>45786</v>
      </c>
      <c r="C363" s="1" t="n">
        <v>46086</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27630-2025</t>
        </is>
      </c>
      <c r="B364" s="1" t="n">
        <v>45813</v>
      </c>
      <c r="C364" s="1" t="n">
        <v>46086</v>
      </c>
      <c r="D364" t="inlineStr">
        <is>
          <t>JÄMTLANDS LÄN</t>
        </is>
      </c>
      <c r="E364" t="inlineStr">
        <is>
          <t>ÅRE</t>
        </is>
      </c>
      <c r="G364" t="n">
        <v>8.4</v>
      </c>
      <c r="H364" t="n">
        <v>0</v>
      </c>
      <c r="I364" t="n">
        <v>0</v>
      </c>
      <c r="J364" t="n">
        <v>0</v>
      </c>
      <c r="K364" t="n">
        <v>0</v>
      </c>
      <c r="L364" t="n">
        <v>0</v>
      </c>
      <c r="M364" t="n">
        <v>0</v>
      </c>
      <c r="N364" t="n">
        <v>0</v>
      </c>
      <c r="O364" t="n">
        <v>0</v>
      </c>
      <c r="P364" t="n">
        <v>0</v>
      </c>
      <c r="Q364" t="n">
        <v>0</v>
      </c>
      <c r="R364" s="2" t="inlineStr"/>
    </row>
    <row r="365" ht="15" customHeight="1">
      <c r="A365" t="inlineStr">
        <is>
          <t>A 37178-2025</t>
        </is>
      </c>
      <c r="B365" s="1" t="n">
        <v>45875</v>
      </c>
      <c r="C365" s="1" t="n">
        <v>46086</v>
      </c>
      <c r="D365" t="inlineStr">
        <is>
          <t>JÄMTLANDS LÄN</t>
        </is>
      </c>
      <c r="E365" t="inlineStr">
        <is>
          <t>ÅRE</t>
        </is>
      </c>
      <c r="G365" t="n">
        <v>5</v>
      </c>
      <c r="H365" t="n">
        <v>0</v>
      </c>
      <c r="I365" t="n">
        <v>0</v>
      </c>
      <c r="J365" t="n">
        <v>0</v>
      </c>
      <c r="K365" t="n">
        <v>0</v>
      </c>
      <c r="L365" t="n">
        <v>0</v>
      </c>
      <c r="M365" t="n">
        <v>0</v>
      </c>
      <c r="N365" t="n">
        <v>0</v>
      </c>
      <c r="O365" t="n">
        <v>0</v>
      </c>
      <c r="P365" t="n">
        <v>0</v>
      </c>
      <c r="Q365" t="n">
        <v>0</v>
      </c>
      <c r="R365" s="2" t="inlineStr"/>
    </row>
    <row r="366" ht="15" customHeight="1">
      <c r="A366" t="inlineStr">
        <is>
          <t>A 49571-2025</t>
        </is>
      </c>
      <c r="B366" s="1" t="n">
        <v>45939.48998842593</v>
      </c>
      <c r="C366" s="1" t="n">
        <v>46086</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22602-2025</t>
        </is>
      </c>
      <c r="B367" s="1" t="n">
        <v>45786</v>
      </c>
      <c r="C367" s="1" t="n">
        <v>46086</v>
      </c>
      <c r="D367" t="inlineStr">
        <is>
          <t>JÄMTLANDS LÄN</t>
        </is>
      </c>
      <c r="E367" t="inlineStr">
        <is>
          <t>ÅRE</t>
        </is>
      </c>
      <c r="G367" t="n">
        <v>13.1</v>
      </c>
      <c r="H367" t="n">
        <v>0</v>
      </c>
      <c r="I367" t="n">
        <v>0</v>
      </c>
      <c r="J367" t="n">
        <v>0</v>
      </c>
      <c r="K367" t="n">
        <v>0</v>
      </c>
      <c r="L367" t="n">
        <v>0</v>
      </c>
      <c r="M367" t="n">
        <v>0</v>
      </c>
      <c r="N367" t="n">
        <v>0</v>
      </c>
      <c r="O367" t="n">
        <v>0</v>
      </c>
      <c r="P367" t="n">
        <v>0</v>
      </c>
      <c r="Q367" t="n">
        <v>0</v>
      </c>
      <c r="R367" s="2" t="inlineStr"/>
    </row>
    <row r="368" ht="15" customHeight="1">
      <c r="A368" t="inlineStr">
        <is>
          <t>A 3154-2023</t>
        </is>
      </c>
      <c r="B368" s="1" t="n">
        <v>44946.56012731481</v>
      </c>
      <c r="C368" s="1" t="n">
        <v>46086</v>
      </c>
      <c r="D368" t="inlineStr">
        <is>
          <t>JÄMTLANDS LÄN</t>
        </is>
      </c>
      <c r="E368" t="inlineStr">
        <is>
          <t>ÅRE</t>
        </is>
      </c>
      <c r="G368" t="n">
        <v>5.1</v>
      </c>
      <c r="H368" t="n">
        <v>0</v>
      </c>
      <c r="I368" t="n">
        <v>0</v>
      </c>
      <c r="J368" t="n">
        <v>0</v>
      </c>
      <c r="K368" t="n">
        <v>0</v>
      </c>
      <c r="L368" t="n">
        <v>0</v>
      </c>
      <c r="M368" t="n">
        <v>0</v>
      </c>
      <c r="N368" t="n">
        <v>0</v>
      </c>
      <c r="O368" t="n">
        <v>0</v>
      </c>
      <c r="P368" t="n">
        <v>0</v>
      </c>
      <c r="Q368" t="n">
        <v>0</v>
      </c>
      <c r="R368" s="2" t="inlineStr"/>
    </row>
    <row r="369" ht="15" customHeight="1">
      <c r="A369" t="inlineStr">
        <is>
          <t>A 37159-2025</t>
        </is>
      </c>
      <c r="B369" s="1" t="n">
        <v>45875</v>
      </c>
      <c r="C369" s="1" t="n">
        <v>46086</v>
      </c>
      <c r="D369" t="inlineStr">
        <is>
          <t>JÄMTLANDS LÄN</t>
        </is>
      </c>
      <c r="E369" t="inlineStr">
        <is>
          <t>ÅRE</t>
        </is>
      </c>
      <c r="G369" t="n">
        <v>0.3</v>
      </c>
      <c r="H369" t="n">
        <v>0</v>
      </c>
      <c r="I369" t="n">
        <v>0</v>
      </c>
      <c r="J369" t="n">
        <v>0</v>
      </c>
      <c r="K369" t="n">
        <v>0</v>
      </c>
      <c r="L369" t="n">
        <v>0</v>
      </c>
      <c r="M369" t="n">
        <v>0</v>
      </c>
      <c r="N369" t="n">
        <v>0</v>
      </c>
      <c r="O369" t="n">
        <v>0</v>
      </c>
      <c r="P369" t="n">
        <v>0</v>
      </c>
      <c r="Q369" t="n">
        <v>0</v>
      </c>
      <c r="R369" s="2" t="inlineStr"/>
    </row>
    <row r="370" ht="15" customHeight="1">
      <c r="A370" t="inlineStr">
        <is>
          <t>A 41273-2025</t>
        </is>
      </c>
      <c r="B370" s="1" t="n">
        <v>45898</v>
      </c>
      <c r="C370" s="1" t="n">
        <v>46086</v>
      </c>
      <c r="D370" t="inlineStr">
        <is>
          <t>JÄMTLANDS LÄN</t>
        </is>
      </c>
      <c r="E370" t="inlineStr">
        <is>
          <t>ÅRE</t>
        </is>
      </c>
      <c r="F370" t="inlineStr">
        <is>
          <t>Övriga Aktiebolag</t>
        </is>
      </c>
      <c r="G370" t="n">
        <v>3.1</v>
      </c>
      <c r="H370" t="n">
        <v>0</v>
      </c>
      <c r="I370" t="n">
        <v>0</v>
      </c>
      <c r="J370" t="n">
        <v>0</v>
      </c>
      <c r="K370" t="n">
        <v>0</v>
      </c>
      <c r="L370" t="n">
        <v>0</v>
      </c>
      <c r="M370" t="n">
        <v>0</v>
      </c>
      <c r="N370" t="n">
        <v>0</v>
      </c>
      <c r="O370" t="n">
        <v>0</v>
      </c>
      <c r="P370" t="n">
        <v>0</v>
      </c>
      <c r="Q370" t="n">
        <v>0</v>
      </c>
      <c r="R370" s="2" t="inlineStr"/>
    </row>
    <row r="371" ht="15" customHeight="1">
      <c r="A371" t="inlineStr">
        <is>
          <t>A 37158-2025</t>
        </is>
      </c>
      <c r="B371" s="1" t="n">
        <v>45875</v>
      </c>
      <c r="C371" s="1" t="n">
        <v>46086</v>
      </c>
      <c r="D371" t="inlineStr">
        <is>
          <t>JÄMTLANDS LÄN</t>
        </is>
      </c>
      <c r="E371" t="inlineStr">
        <is>
          <t>ÅRE</t>
        </is>
      </c>
      <c r="G371" t="n">
        <v>4.7</v>
      </c>
      <c r="H371" t="n">
        <v>0</v>
      </c>
      <c r="I371" t="n">
        <v>0</v>
      </c>
      <c r="J371" t="n">
        <v>0</v>
      </c>
      <c r="K371" t="n">
        <v>0</v>
      </c>
      <c r="L371" t="n">
        <v>0</v>
      </c>
      <c r="M371" t="n">
        <v>0</v>
      </c>
      <c r="N371" t="n">
        <v>0</v>
      </c>
      <c r="O371" t="n">
        <v>0</v>
      </c>
      <c r="P371" t="n">
        <v>0</v>
      </c>
      <c r="Q371" t="n">
        <v>0</v>
      </c>
      <c r="R371" s="2" t="inlineStr"/>
    </row>
    <row r="372" ht="15" customHeight="1">
      <c r="A372" t="inlineStr">
        <is>
          <t>A 37249-2025</t>
        </is>
      </c>
      <c r="B372" s="1" t="n">
        <v>45876.40699074074</v>
      </c>
      <c r="C372" s="1" t="n">
        <v>46086</v>
      </c>
      <c r="D372" t="inlineStr">
        <is>
          <t>JÄMTLANDS LÄN</t>
        </is>
      </c>
      <c r="E372" t="inlineStr">
        <is>
          <t>ÅRE</t>
        </is>
      </c>
      <c r="G372" t="n">
        <v>1.9</v>
      </c>
      <c r="H372" t="n">
        <v>0</v>
      </c>
      <c r="I372" t="n">
        <v>0</v>
      </c>
      <c r="J372" t="n">
        <v>0</v>
      </c>
      <c r="K372" t="n">
        <v>0</v>
      </c>
      <c r="L372" t="n">
        <v>0</v>
      </c>
      <c r="M372" t="n">
        <v>0</v>
      </c>
      <c r="N372" t="n">
        <v>0</v>
      </c>
      <c r="O372" t="n">
        <v>0</v>
      </c>
      <c r="P372" t="n">
        <v>0</v>
      </c>
      <c r="Q372" t="n">
        <v>0</v>
      </c>
      <c r="R372" s="2" t="inlineStr"/>
    </row>
    <row r="373" ht="15" customHeight="1">
      <c r="A373" t="inlineStr">
        <is>
          <t>A 49593-2025</t>
        </is>
      </c>
      <c r="B373" s="1" t="n">
        <v>45939.53186342592</v>
      </c>
      <c r="C373" s="1" t="n">
        <v>46086</v>
      </c>
      <c r="D373" t="inlineStr">
        <is>
          <t>JÄMTLANDS LÄN</t>
        </is>
      </c>
      <c r="E373" t="inlineStr">
        <is>
          <t>ÅRE</t>
        </is>
      </c>
      <c r="G373" t="n">
        <v>7.9</v>
      </c>
      <c r="H373" t="n">
        <v>0</v>
      </c>
      <c r="I373" t="n">
        <v>0</v>
      </c>
      <c r="J373" t="n">
        <v>0</v>
      </c>
      <c r="K373" t="n">
        <v>0</v>
      </c>
      <c r="L373" t="n">
        <v>0</v>
      </c>
      <c r="M373" t="n">
        <v>0</v>
      </c>
      <c r="N373" t="n">
        <v>0</v>
      </c>
      <c r="O373" t="n">
        <v>0</v>
      </c>
      <c r="P373" t="n">
        <v>0</v>
      </c>
      <c r="Q373" t="n">
        <v>0</v>
      </c>
      <c r="R373" s="2" t="inlineStr"/>
    </row>
    <row r="374" ht="15" customHeight="1">
      <c r="A374" t="inlineStr">
        <is>
          <t>A 49493-2025</t>
        </is>
      </c>
      <c r="B374" s="1" t="n">
        <v>45939.36626157408</v>
      </c>
      <c r="C374" s="1" t="n">
        <v>46086</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38285-2025</t>
        </is>
      </c>
      <c r="B375" s="1" t="n">
        <v>45883.43145833333</v>
      </c>
      <c r="C375" s="1" t="n">
        <v>46086</v>
      </c>
      <c r="D375" t="inlineStr">
        <is>
          <t>JÄMTLANDS LÄN</t>
        </is>
      </c>
      <c r="E375" t="inlineStr">
        <is>
          <t>ÅRE</t>
        </is>
      </c>
      <c r="G375" t="n">
        <v>2.6</v>
      </c>
      <c r="H375" t="n">
        <v>0</v>
      </c>
      <c r="I375" t="n">
        <v>0</v>
      </c>
      <c r="J375" t="n">
        <v>0</v>
      </c>
      <c r="K375" t="n">
        <v>0</v>
      </c>
      <c r="L375" t="n">
        <v>0</v>
      </c>
      <c r="M375" t="n">
        <v>0</v>
      </c>
      <c r="N375" t="n">
        <v>0</v>
      </c>
      <c r="O375" t="n">
        <v>0</v>
      </c>
      <c r="P375" t="n">
        <v>0</v>
      </c>
      <c r="Q375" t="n">
        <v>0</v>
      </c>
      <c r="R375" s="2" t="inlineStr"/>
    </row>
    <row r="376" ht="15" customHeight="1">
      <c r="A376" t="inlineStr">
        <is>
          <t>A 53899-2023</t>
        </is>
      </c>
      <c r="B376" s="1" t="n">
        <v>45231.54160879629</v>
      </c>
      <c r="C376" s="1" t="n">
        <v>46086</v>
      </c>
      <c r="D376" t="inlineStr">
        <is>
          <t>JÄMTLANDS LÄN</t>
        </is>
      </c>
      <c r="E376" t="inlineStr">
        <is>
          <t>ÅRE</t>
        </is>
      </c>
      <c r="G376" t="n">
        <v>20.4</v>
      </c>
      <c r="H376" t="n">
        <v>0</v>
      </c>
      <c r="I376" t="n">
        <v>0</v>
      </c>
      <c r="J376" t="n">
        <v>0</v>
      </c>
      <c r="K376" t="n">
        <v>0</v>
      </c>
      <c r="L376" t="n">
        <v>0</v>
      </c>
      <c r="M376" t="n">
        <v>0</v>
      </c>
      <c r="N376" t="n">
        <v>0</v>
      </c>
      <c r="O376" t="n">
        <v>0</v>
      </c>
      <c r="P376" t="n">
        <v>0</v>
      </c>
      <c r="Q376" t="n">
        <v>0</v>
      </c>
      <c r="R376" s="2" t="inlineStr"/>
    </row>
    <row r="377" ht="15" customHeight="1">
      <c r="A377" t="inlineStr">
        <is>
          <t>A 4181-2025</t>
        </is>
      </c>
      <c r="B377" s="1" t="n">
        <v>45685.44300925926</v>
      </c>
      <c r="C377" s="1" t="n">
        <v>46086</v>
      </c>
      <c r="D377" t="inlineStr">
        <is>
          <t>JÄMTLANDS LÄN</t>
        </is>
      </c>
      <c r="E377" t="inlineStr">
        <is>
          <t>ÅRE</t>
        </is>
      </c>
      <c r="F377" t="inlineStr">
        <is>
          <t>Övriga Aktiebolag</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25926-2023</t>
        </is>
      </c>
      <c r="B378" s="1" t="n">
        <v>45085</v>
      </c>
      <c r="C378" s="1" t="n">
        <v>46086</v>
      </c>
      <c r="D378" t="inlineStr">
        <is>
          <t>JÄMTLANDS LÄN</t>
        </is>
      </c>
      <c r="E378" t="inlineStr">
        <is>
          <t>ÅRE</t>
        </is>
      </c>
      <c r="G378" t="n">
        <v>1.7</v>
      </c>
      <c r="H378" t="n">
        <v>0</v>
      </c>
      <c r="I378" t="n">
        <v>0</v>
      </c>
      <c r="J378" t="n">
        <v>0</v>
      </c>
      <c r="K378" t="n">
        <v>0</v>
      </c>
      <c r="L378" t="n">
        <v>0</v>
      </c>
      <c r="M378" t="n">
        <v>0</v>
      </c>
      <c r="N378" t="n">
        <v>0</v>
      </c>
      <c r="O378" t="n">
        <v>0</v>
      </c>
      <c r="P378" t="n">
        <v>0</v>
      </c>
      <c r="Q378" t="n">
        <v>0</v>
      </c>
      <c r="R378" s="2" t="inlineStr"/>
    </row>
    <row r="379" ht="15" customHeight="1">
      <c r="A379" t="inlineStr">
        <is>
          <t>A 50203-2025</t>
        </is>
      </c>
      <c r="B379" s="1" t="n">
        <v>45943.65641203704</v>
      </c>
      <c r="C379" s="1" t="n">
        <v>46086</v>
      </c>
      <c r="D379" t="inlineStr">
        <is>
          <t>JÄMTLANDS LÄN</t>
        </is>
      </c>
      <c r="E379" t="inlineStr">
        <is>
          <t>ÅRE</t>
        </is>
      </c>
      <c r="G379" t="n">
        <v>7.2</v>
      </c>
      <c r="H379" t="n">
        <v>0</v>
      </c>
      <c r="I379" t="n">
        <v>0</v>
      </c>
      <c r="J379" t="n">
        <v>0</v>
      </c>
      <c r="K379" t="n">
        <v>0</v>
      </c>
      <c r="L379" t="n">
        <v>0</v>
      </c>
      <c r="M379" t="n">
        <v>0</v>
      </c>
      <c r="N379" t="n">
        <v>0</v>
      </c>
      <c r="O379" t="n">
        <v>0</v>
      </c>
      <c r="P379" t="n">
        <v>0</v>
      </c>
      <c r="Q379" t="n">
        <v>0</v>
      </c>
      <c r="R379" s="2" t="inlineStr"/>
    </row>
    <row r="380" ht="15" customHeight="1">
      <c r="A380" t="inlineStr">
        <is>
          <t>A 50488-2025</t>
        </is>
      </c>
      <c r="B380" s="1" t="n">
        <v>45945.39144675926</v>
      </c>
      <c r="C380" s="1" t="n">
        <v>46086</v>
      </c>
      <c r="D380" t="inlineStr">
        <is>
          <t>JÄMTLANDS LÄN</t>
        </is>
      </c>
      <c r="E380" t="inlineStr">
        <is>
          <t>ÅRE</t>
        </is>
      </c>
      <c r="G380" t="n">
        <v>3.8</v>
      </c>
      <c r="H380" t="n">
        <v>0</v>
      </c>
      <c r="I380" t="n">
        <v>0</v>
      </c>
      <c r="J380" t="n">
        <v>0</v>
      </c>
      <c r="K380" t="n">
        <v>0</v>
      </c>
      <c r="L380" t="n">
        <v>0</v>
      </c>
      <c r="M380" t="n">
        <v>0</v>
      </c>
      <c r="N380" t="n">
        <v>0</v>
      </c>
      <c r="O380" t="n">
        <v>0</v>
      </c>
      <c r="P380" t="n">
        <v>0</v>
      </c>
      <c r="Q380" t="n">
        <v>0</v>
      </c>
      <c r="R380" s="2" t="inlineStr"/>
    </row>
    <row r="381" ht="15" customHeight="1">
      <c r="A381" t="inlineStr">
        <is>
          <t>A 13301-2024</t>
        </is>
      </c>
      <c r="B381" s="1" t="n">
        <v>45386</v>
      </c>
      <c r="C381" s="1" t="n">
        <v>46086</v>
      </c>
      <c r="D381" t="inlineStr">
        <is>
          <t>JÄMTLANDS LÄN</t>
        </is>
      </c>
      <c r="E381" t="inlineStr">
        <is>
          <t>ÅRE</t>
        </is>
      </c>
      <c r="G381" t="n">
        <v>9</v>
      </c>
      <c r="H381" t="n">
        <v>0</v>
      </c>
      <c r="I381" t="n">
        <v>0</v>
      </c>
      <c r="J381" t="n">
        <v>0</v>
      </c>
      <c r="K381" t="n">
        <v>0</v>
      </c>
      <c r="L381" t="n">
        <v>0</v>
      </c>
      <c r="M381" t="n">
        <v>0</v>
      </c>
      <c r="N381" t="n">
        <v>0</v>
      </c>
      <c r="O381" t="n">
        <v>0</v>
      </c>
      <c r="P381" t="n">
        <v>0</v>
      </c>
      <c r="Q381" t="n">
        <v>0</v>
      </c>
      <c r="R381" s="2" t="inlineStr"/>
    </row>
    <row r="382" ht="15" customHeight="1">
      <c r="A382" t="inlineStr">
        <is>
          <t>A 12168-2023</t>
        </is>
      </c>
      <c r="B382" s="1" t="n">
        <v>44998</v>
      </c>
      <c r="C382" s="1" t="n">
        <v>46086</v>
      </c>
      <c r="D382" t="inlineStr">
        <is>
          <t>JÄMTLANDS LÄN</t>
        </is>
      </c>
      <c r="E382" t="inlineStr">
        <is>
          <t>ÅRE</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12173-2023</t>
        </is>
      </c>
      <c r="B383" s="1" t="n">
        <v>44998</v>
      </c>
      <c r="C383" s="1" t="n">
        <v>46086</v>
      </c>
      <c r="D383" t="inlineStr">
        <is>
          <t>JÄMTLANDS LÄN</t>
        </is>
      </c>
      <c r="E383" t="inlineStr">
        <is>
          <t>ÅRE</t>
        </is>
      </c>
      <c r="G383" t="n">
        <v>2.5</v>
      </c>
      <c r="H383" t="n">
        <v>0</v>
      </c>
      <c r="I383" t="n">
        <v>0</v>
      </c>
      <c r="J383" t="n">
        <v>0</v>
      </c>
      <c r="K383" t="n">
        <v>0</v>
      </c>
      <c r="L383" t="n">
        <v>0</v>
      </c>
      <c r="M383" t="n">
        <v>0</v>
      </c>
      <c r="N383" t="n">
        <v>0</v>
      </c>
      <c r="O383" t="n">
        <v>0</v>
      </c>
      <c r="P383" t="n">
        <v>0</v>
      </c>
      <c r="Q383" t="n">
        <v>0</v>
      </c>
      <c r="R383" s="2" t="inlineStr"/>
    </row>
    <row r="384" ht="15" customHeight="1">
      <c r="A384" t="inlineStr">
        <is>
          <t>A 12179-2023</t>
        </is>
      </c>
      <c r="B384" s="1" t="n">
        <v>44998</v>
      </c>
      <c r="C384" s="1" t="n">
        <v>46086</v>
      </c>
      <c r="D384" t="inlineStr">
        <is>
          <t>JÄMTLANDS LÄN</t>
        </is>
      </c>
      <c r="E384" t="inlineStr">
        <is>
          <t>ÅRE</t>
        </is>
      </c>
      <c r="G384" t="n">
        <v>8.5</v>
      </c>
      <c r="H384" t="n">
        <v>0</v>
      </c>
      <c r="I384" t="n">
        <v>0</v>
      </c>
      <c r="J384" t="n">
        <v>0</v>
      </c>
      <c r="K384" t="n">
        <v>0</v>
      </c>
      <c r="L384" t="n">
        <v>0</v>
      </c>
      <c r="M384" t="n">
        <v>0</v>
      </c>
      <c r="N384" t="n">
        <v>0</v>
      </c>
      <c r="O384" t="n">
        <v>0</v>
      </c>
      <c r="P384" t="n">
        <v>0</v>
      </c>
      <c r="Q384" t="n">
        <v>0</v>
      </c>
      <c r="R384" s="2" t="inlineStr"/>
    </row>
    <row r="385" ht="15" customHeight="1">
      <c r="A385" t="inlineStr">
        <is>
          <t>A 6049-2025</t>
        </is>
      </c>
      <c r="B385" s="1" t="n">
        <v>45695</v>
      </c>
      <c r="C385" s="1" t="n">
        <v>46086</v>
      </c>
      <c r="D385" t="inlineStr">
        <is>
          <t>JÄMTLANDS LÄN</t>
        </is>
      </c>
      <c r="E385" t="inlineStr">
        <is>
          <t>ÅRE</t>
        </is>
      </c>
      <c r="G385" t="n">
        <v>58.3</v>
      </c>
      <c r="H385" t="n">
        <v>0</v>
      </c>
      <c r="I385" t="n">
        <v>0</v>
      </c>
      <c r="J385" t="n">
        <v>0</v>
      </c>
      <c r="K385" t="n">
        <v>0</v>
      </c>
      <c r="L385" t="n">
        <v>0</v>
      </c>
      <c r="M385" t="n">
        <v>0</v>
      </c>
      <c r="N385" t="n">
        <v>0</v>
      </c>
      <c r="O385" t="n">
        <v>0</v>
      </c>
      <c r="P385" t="n">
        <v>0</v>
      </c>
      <c r="Q385" t="n">
        <v>0</v>
      </c>
      <c r="R385" s="2" t="inlineStr"/>
    </row>
    <row r="386" ht="15" customHeight="1">
      <c r="A386" t="inlineStr">
        <is>
          <t>A 12287-2023</t>
        </is>
      </c>
      <c r="B386" s="1" t="n">
        <v>44998.72736111111</v>
      </c>
      <c r="C386" s="1" t="n">
        <v>46086</v>
      </c>
      <c r="D386" t="inlineStr">
        <is>
          <t>JÄMTLANDS LÄN</t>
        </is>
      </c>
      <c r="E386" t="inlineStr">
        <is>
          <t>ÅRE</t>
        </is>
      </c>
      <c r="G386" t="n">
        <v>3.1</v>
      </c>
      <c r="H386" t="n">
        <v>0</v>
      </c>
      <c r="I386" t="n">
        <v>0</v>
      </c>
      <c r="J386" t="n">
        <v>0</v>
      </c>
      <c r="K386" t="n">
        <v>0</v>
      </c>
      <c r="L386" t="n">
        <v>0</v>
      </c>
      <c r="M386" t="n">
        <v>0</v>
      </c>
      <c r="N386" t="n">
        <v>0</v>
      </c>
      <c r="O386" t="n">
        <v>0</v>
      </c>
      <c r="P386" t="n">
        <v>0</v>
      </c>
      <c r="Q386" t="n">
        <v>0</v>
      </c>
      <c r="R386" s="2" t="inlineStr"/>
    </row>
    <row r="387" ht="15" customHeight="1">
      <c r="A387" t="inlineStr">
        <is>
          <t>A 51876-2025</t>
        </is>
      </c>
      <c r="B387" s="1" t="n">
        <v>45952.39850694445</v>
      </c>
      <c r="C387" s="1" t="n">
        <v>46086</v>
      </c>
      <c r="D387" t="inlineStr">
        <is>
          <t>JÄMTLANDS LÄN</t>
        </is>
      </c>
      <c r="E387" t="inlineStr">
        <is>
          <t>ÅRE</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52946-2025</t>
        </is>
      </c>
      <c r="B388" s="1" t="n">
        <v>45957.64819444445</v>
      </c>
      <c r="C388" s="1" t="n">
        <v>46086</v>
      </c>
      <c r="D388" t="inlineStr">
        <is>
          <t>JÄMTLANDS LÄN</t>
        </is>
      </c>
      <c r="E388" t="inlineStr">
        <is>
          <t>ÅRE</t>
        </is>
      </c>
      <c r="G388" t="n">
        <v>2.6</v>
      </c>
      <c r="H388" t="n">
        <v>0</v>
      </c>
      <c r="I388" t="n">
        <v>0</v>
      </c>
      <c r="J388" t="n">
        <v>0</v>
      </c>
      <c r="K388" t="n">
        <v>0</v>
      </c>
      <c r="L388" t="n">
        <v>0</v>
      </c>
      <c r="M388" t="n">
        <v>0</v>
      </c>
      <c r="N388" t="n">
        <v>0</v>
      </c>
      <c r="O388" t="n">
        <v>0</v>
      </c>
      <c r="P388" t="n">
        <v>0</v>
      </c>
      <c r="Q388" t="n">
        <v>0</v>
      </c>
      <c r="R388" s="2" t="inlineStr"/>
    </row>
    <row r="389" ht="15" customHeight="1">
      <c r="A389" t="inlineStr">
        <is>
          <t>A 5611-2025</t>
        </is>
      </c>
      <c r="B389" s="1" t="n">
        <v>45693.60480324074</v>
      </c>
      <c r="C389" s="1" t="n">
        <v>46086</v>
      </c>
      <c r="D389" t="inlineStr">
        <is>
          <t>JÄMTLANDS LÄN</t>
        </is>
      </c>
      <c r="E389" t="inlineStr">
        <is>
          <t>ÅRE</t>
        </is>
      </c>
      <c r="G389" t="n">
        <v>2.9</v>
      </c>
      <c r="H389" t="n">
        <v>0</v>
      </c>
      <c r="I389" t="n">
        <v>0</v>
      </c>
      <c r="J389" t="n">
        <v>0</v>
      </c>
      <c r="K389" t="n">
        <v>0</v>
      </c>
      <c r="L389" t="n">
        <v>0</v>
      </c>
      <c r="M389" t="n">
        <v>0</v>
      </c>
      <c r="N389" t="n">
        <v>0</v>
      </c>
      <c r="O389" t="n">
        <v>0</v>
      </c>
      <c r="P389" t="n">
        <v>0</v>
      </c>
      <c r="Q389" t="n">
        <v>0</v>
      </c>
      <c r="R389" s="2" t="inlineStr"/>
    </row>
    <row r="390" ht="15" customHeight="1">
      <c r="A390" t="inlineStr">
        <is>
          <t>A 52607-2025</t>
        </is>
      </c>
      <c r="B390" s="1" t="n">
        <v>45954.66291666667</v>
      </c>
      <c r="C390" s="1" t="n">
        <v>46086</v>
      </c>
      <c r="D390" t="inlineStr">
        <is>
          <t>JÄMTLANDS LÄN</t>
        </is>
      </c>
      <c r="E390" t="inlineStr">
        <is>
          <t>ÅRE</t>
        </is>
      </c>
      <c r="G390" t="n">
        <v>1</v>
      </c>
      <c r="H390" t="n">
        <v>0</v>
      </c>
      <c r="I390" t="n">
        <v>0</v>
      </c>
      <c r="J390" t="n">
        <v>0</v>
      </c>
      <c r="K390" t="n">
        <v>0</v>
      </c>
      <c r="L390" t="n">
        <v>0</v>
      </c>
      <c r="M390" t="n">
        <v>0</v>
      </c>
      <c r="N390" t="n">
        <v>0</v>
      </c>
      <c r="O390" t="n">
        <v>0</v>
      </c>
      <c r="P390" t="n">
        <v>0</v>
      </c>
      <c r="Q390" t="n">
        <v>0</v>
      </c>
      <c r="R390" s="2" t="inlineStr"/>
    </row>
    <row r="391" ht="15" customHeight="1">
      <c r="A391" t="inlineStr">
        <is>
          <t>A 56976-2023</t>
        </is>
      </c>
      <c r="B391" s="1" t="n">
        <v>45244.64202546296</v>
      </c>
      <c r="C391" s="1" t="n">
        <v>46086</v>
      </c>
      <c r="D391" t="inlineStr">
        <is>
          <t>JÄMTLANDS LÄN</t>
        </is>
      </c>
      <c r="E391" t="inlineStr">
        <is>
          <t>ÅRE</t>
        </is>
      </c>
      <c r="F391" t="inlineStr">
        <is>
          <t>Övriga Aktiebolag</t>
        </is>
      </c>
      <c r="G391" t="n">
        <v>4.9</v>
      </c>
      <c r="H391" t="n">
        <v>0</v>
      </c>
      <c r="I391" t="n">
        <v>0</v>
      </c>
      <c r="J391" t="n">
        <v>0</v>
      </c>
      <c r="K391" t="n">
        <v>0</v>
      </c>
      <c r="L391" t="n">
        <v>0</v>
      </c>
      <c r="M391" t="n">
        <v>0</v>
      </c>
      <c r="N391" t="n">
        <v>0</v>
      </c>
      <c r="O391" t="n">
        <v>0</v>
      </c>
      <c r="P391" t="n">
        <v>0</v>
      </c>
      <c r="Q391" t="n">
        <v>0</v>
      </c>
      <c r="R391" s="2" t="inlineStr"/>
    </row>
    <row r="392" ht="15" customHeight="1">
      <c r="A392" t="inlineStr">
        <is>
          <t>A 52944-2025</t>
        </is>
      </c>
      <c r="B392" s="1" t="n">
        <v>45957.6437037037</v>
      </c>
      <c r="C392" s="1" t="n">
        <v>46086</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20170-2025</t>
        </is>
      </c>
      <c r="B393" s="1" t="n">
        <v>45772.57789351852</v>
      </c>
      <c r="C393" s="1" t="n">
        <v>46086</v>
      </c>
      <c r="D393" t="inlineStr">
        <is>
          <t>JÄMTLANDS LÄN</t>
        </is>
      </c>
      <c r="E393" t="inlineStr">
        <is>
          <t>ÅRE</t>
        </is>
      </c>
      <c r="G393" t="n">
        <v>0.1</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46086</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52604-2025</t>
        </is>
      </c>
      <c r="B395" s="1" t="n">
        <v>45954.65774305556</v>
      </c>
      <c r="C395" s="1" t="n">
        <v>46086</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52597-2025</t>
        </is>
      </c>
      <c r="B396" s="1" t="n">
        <v>45954.65364583334</v>
      </c>
      <c r="C396" s="1" t="n">
        <v>46086</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52606-2025</t>
        </is>
      </c>
      <c r="B397" s="1" t="n">
        <v>45954.66020833333</v>
      </c>
      <c r="C397" s="1" t="n">
        <v>46086</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53156-2025</t>
        </is>
      </c>
      <c r="B398" s="1" t="n">
        <v>45958.49030092593</v>
      </c>
      <c r="C398" s="1" t="n">
        <v>46086</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55033-2024</t>
        </is>
      </c>
      <c r="B399" s="1" t="n">
        <v>45621.38193287037</v>
      </c>
      <c r="C399" s="1" t="n">
        <v>46086</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53134-2025</t>
        </is>
      </c>
      <c r="B400" s="1" t="n">
        <v>45958.46826388889</v>
      </c>
      <c r="C400" s="1" t="n">
        <v>46086</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61109-2025</t>
        </is>
      </c>
      <c r="B401" s="1" t="n">
        <v>46000.45017361111</v>
      </c>
      <c r="C401" s="1" t="n">
        <v>46086</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53133-2025</t>
        </is>
      </c>
      <c r="B402" s="1" t="n">
        <v>45958.46806712963</v>
      </c>
      <c r="C402" s="1" t="n">
        <v>46086</v>
      </c>
      <c r="D402" t="inlineStr">
        <is>
          <t>JÄMTLANDS LÄN</t>
        </is>
      </c>
      <c r="E402" t="inlineStr">
        <is>
          <t>ÅRE</t>
        </is>
      </c>
      <c r="G402" t="n">
        <v>13.8</v>
      </c>
      <c r="H402" t="n">
        <v>0</v>
      </c>
      <c r="I402" t="n">
        <v>0</v>
      </c>
      <c r="J402" t="n">
        <v>0</v>
      </c>
      <c r="K402" t="n">
        <v>0</v>
      </c>
      <c r="L402" t="n">
        <v>0</v>
      </c>
      <c r="M402" t="n">
        <v>0</v>
      </c>
      <c r="N402" t="n">
        <v>0</v>
      </c>
      <c r="O402" t="n">
        <v>0</v>
      </c>
      <c r="P402" t="n">
        <v>0</v>
      </c>
      <c r="Q402" t="n">
        <v>0</v>
      </c>
      <c r="R402" s="2" t="inlineStr"/>
    </row>
    <row r="403" ht="15" customHeight="1">
      <c r="A403" t="inlineStr">
        <is>
          <t>A 53862-2025</t>
        </is>
      </c>
      <c r="B403" s="1" t="n">
        <v>45961.38105324074</v>
      </c>
      <c r="C403" s="1" t="n">
        <v>46086</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46086</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50951-2023</t>
        </is>
      </c>
      <c r="B405" s="1" t="n">
        <v>45218</v>
      </c>
      <c r="C405" s="1" t="n">
        <v>46086</v>
      </c>
      <c r="D405" t="inlineStr">
        <is>
          <t>JÄMTLANDS LÄN</t>
        </is>
      </c>
      <c r="E405" t="inlineStr">
        <is>
          <t>ÅRE</t>
        </is>
      </c>
      <c r="G405" t="n">
        <v>1</v>
      </c>
      <c r="H405" t="n">
        <v>0</v>
      </c>
      <c r="I405" t="n">
        <v>0</v>
      </c>
      <c r="J405" t="n">
        <v>0</v>
      </c>
      <c r="K405" t="n">
        <v>0</v>
      </c>
      <c r="L405" t="n">
        <v>0</v>
      </c>
      <c r="M405" t="n">
        <v>0</v>
      </c>
      <c r="N405" t="n">
        <v>0</v>
      </c>
      <c r="O405" t="n">
        <v>0</v>
      </c>
      <c r="P405" t="n">
        <v>0</v>
      </c>
      <c r="Q405" t="n">
        <v>0</v>
      </c>
      <c r="R405" s="2" t="inlineStr"/>
    </row>
    <row r="406" ht="15" customHeight="1">
      <c r="A406" t="inlineStr">
        <is>
          <t>A 53873-2025</t>
        </is>
      </c>
      <c r="B406" s="1" t="n">
        <v>45961.39340277778</v>
      </c>
      <c r="C406" s="1" t="n">
        <v>46086</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59397-2021</t>
        </is>
      </c>
      <c r="B407" s="1" t="n">
        <v>44491</v>
      </c>
      <c r="C407" s="1" t="n">
        <v>46086</v>
      </c>
      <c r="D407" t="inlineStr">
        <is>
          <t>JÄMTLANDS LÄN</t>
        </is>
      </c>
      <c r="E407" t="inlineStr">
        <is>
          <t>ÅRE</t>
        </is>
      </c>
      <c r="F407" t="inlineStr">
        <is>
          <t>Övriga Aktiebolag</t>
        </is>
      </c>
      <c r="G407" t="n">
        <v>7.6</v>
      </c>
      <c r="H407" t="n">
        <v>0</v>
      </c>
      <c r="I407" t="n">
        <v>0</v>
      </c>
      <c r="J407" t="n">
        <v>0</v>
      </c>
      <c r="K407" t="n">
        <v>0</v>
      </c>
      <c r="L407" t="n">
        <v>0</v>
      </c>
      <c r="M407" t="n">
        <v>0</v>
      </c>
      <c r="N407" t="n">
        <v>0</v>
      </c>
      <c r="O407" t="n">
        <v>0</v>
      </c>
      <c r="P407" t="n">
        <v>0</v>
      </c>
      <c r="Q407" t="n">
        <v>0</v>
      </c>
      <c r="R407" s="2" t="inlineStr"/>
    </row>
    <row r="408" ht="15" customHeight="1">
      <c r="A408" t="inlineStr">
        <is>
          <t>A 911-2022</t>
        </is>
      </c>
      <c r="B408" s="1" t="n">
        <v>44570</v>
      </c>
      <c r="C408" s="1" t="n">
        <v>46086</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54137-2025</t>
        </is>
      </c>
      <c r="B409" s="1" t="n">
        <v>45964.47275462963</v>
      </c>
      <c r="C409" s="1" t="n">
        <v>46086</v>
      </c>
      <c r="D409" t="inlineStr">
        <is>
          <t>JÄMTLANDS LÄN</t>
        </is>
      </c>
      <c r="E409" t="inlineStr">
        <is>
          <t>ÅRE</t>
        </is>
      </c>
      <c r="G409" t="n">
        <v>0.7</v>
      </c>
      <c r="H409" t="n">
        <v>0</v>
      </c>
      <c r="I409" t="n">
        <v>0</v>
      </c>
      <c r="J409" t="n">
        <v>0</v>
      </c>
      <c r="K409" t="n">
        <v>0</v>
      </c>
      <c r="L409" t="n">
        <v>0</v>
      </c>
      <c r="M409" t="n">
        <v>0</v>
      </c>
      <c r="N409" t="n">
        <v>0</v>
      </c>
      <c r="O409" t="n">
        <v>0</v>
      </c>
      <c r="P409" t="n">
        <v>0</v>
      </c>
      <c r="Q409" t="n">
        <v>0</v>
      </c>
      <c r="R409" s="2" t="inlineStr"/>
    </row>
    <row r="410" ht="15" customHeight="1">
      <c r="A410" t="inlineStr">
        <is>
          <t>A 54131-2025</t>
        </is>
      </c>
      <c r="B410" s="1" t="n">
        <v>45964.46167824074</v>
      </c>
      <c r="C410" s="1" t="n">
        <v>46086</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54136-2025</t>
        </is>
      </c>
      <c r="B411" s="1" t="n">
        <v>45964.47177083333</v>
      </c>
      <c r="C411" s="1" t="n">
        <v>46086</v>
      </c>
      <c r="D411" t="inlineStr">
        <is>
          <t>JÄMTLANDS LÄN</t>
        </is>
      </c>
      <c r="E411" t="inlineStr">
        <is>
          <t>ÅRE</t>
        </is>
      </c>
      <c r="G411" t="n">
        <v>7.2</v>
      </c>
      <c r="H411" t="n">
        <v>0</v>
      </c>
      <c r="I411" t="n">
        <v>0</v>
      </c>
      <c r="J411" t="n">
        <v>0</v>
      </c>
      <c r="K411" t="n">
        <v>0</v>
      </c>
      <c r="L411" t="n">
        <v>0</v>
      </c>
      <c r="M411" t="n">
        <v>0</v>
      </c>
      <c r="N411" t="n">
        <v>0</v>
      </c>
      <c r="O411" t="n">
        <v>0</v>
      </c>
      <c r="P411" t="n">
        <v>0</v>
      </c>
      <c r="Q411" t="n">
        <v>0</v>
      </c>
      <c r="R411" s="2" t="inlineStr"/>
    </row>
    <row r="412" ht="15" customHeight="1">
      <c r="A412" t="inlineStr">
        <is>
          <t>A 54139-2025</t>
        </is>
      </c>
      <c r="B412" s="1" t="n">
        <v>45964.47564814815</v>
      </c>
      <c r="C412" s="1" t="n">
        <v>46086</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17576-2024</t>
        </is>
      </c>
      <c r="B413" s="1" t="n">
        <v>45415</v>
      </c>
      <c r="C413" s="1" t="n">
        <v>46086</v>
      </c>
      <c r="D413" t="inlineStr">
        <is>
          <t>JÄMTLANDS LÄN</t>
        </is>
      </c>
      <c r="E413" t="inlineStr">
        <is>
          <t>ÅRE</t>
        </is>
      </c>
      <c r="G413" t="n">
        <v>0.1</v>
      </c>
      <c r="H413" t="n">
        <v>0</v>
      </c>
      <c r="I413" t="n">
        <v>0</v>
      </c>
      <c r="J413" t="n">
        <v>0</v>
      </c>
      <c r="K413" t="n">
        <v>0</v>
      </c>
      <c r="L413" t="n">
        <v>0</v>
      </c>
      <c r="M413" t="n">
        <v>0</v>
      </c>
      <c r="N413" t="n">
        <v>0</v>
      </c>
      <c r="O413" t="n">
        <v>0</v>
      </c>
      <c r="P413" t="n">
        <v>0</v>
      </c>
      <c r="Q413" t="n">
        <v>0</v>
      </c>
      <c r="R413" s="2" t="inlineStr"/>
    </row>
    <row r="414" ht="15" customHeight="1">
      <c r="A414" t="inlineStr">
        <is>
          <t>A 54213-2025</t>
        </is>
      </c>
      <c r="B414" s="1" t="n">
        <v>45964.59420138889</v>
      </c>
      <c r="C414" s="1" t="n">
        <v>46086</v>
      </c>
      <c r="D414" t="inlineStr">
        <is>
          <t>JÄMTLANDS LÄN</t>
        </is>
      </c>
      <c r="E414" t="inlineStr">
        <is>
          <t>ÅRE</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54444-2025</t>
        </is>
      </c>
      <c r="B415" s="1" t="n">
        <v>45965.51078703703</v>
      </c>
      <c r="C415" s="1" t="n">
        <v>46086</v>
      </c>
      <c r="D415" t="inlineStr">
        <is>
          <t>JÄMTLANDS LÄN</t>
        </is>
      </c>
      <c r="E415" t="inlineStr">
        <is>
          <t>ÅRE</t>
        </is>
      </c>
      <c r="G415" t="n">
        <v>5.2</v>
      </c>
      <c r="H415" t="n">
        <v>0</v>
      </c>
      <c r="I415" t="n">
        <v>0</v>
      </c>
      <c r="J415" t="n">
        <v>0</v>
      </c>
      <c r="K415" t="n">
        <v>0</v>
      </c>
      <c r="L415" t="n">
        <v>0</v>
      </c>
      <c r="M415" t="n">
        <v>0</v>
      </c>
      <c r="N415" t="n">
        <v>0</v>
      </c>
      <c r="O415" t="n">
        <v>0</v>
      </c>
      <c r="P415" t="n">
        <v>0</v>
      </c>
      <c r="Q415" t="n">
        <v>0</v>
      </c>
      <c r="R415" s="2" t="inlineStr"/>
    </row>
    <row r="416" ht="15" customHeight="1">
      <c r="A416" t="inlineStr">
        <is>
          <t>A 54445-2025</t>
        </is>
      </c>
      <c r="B416" s="1" t="n">
        <v>45965.51081018519</v>
      </c>
      <c r="C416" s="1" t="n">
        <v>46086</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54580-2025</t>
        </is>
      </c>
      <c r="B417" s="1" t="n">
        <v>45965.70755787037</v>
      </c>
      <c r="C417" s="1" t="n">
        <v>46086</v>
      </c>
      <c r="D417" t="inlineStr">
        <is>
          <t>JÄMTLANDS LÄN</t>
        </is>
      </c>
      <c r="E417" t="inlineStr">
        <is>
          <t>ÅRE</t>
        </is>
      </c>
      <c r="G417" t="n">
        <v>5</v>
      </c>
      <c r="H417" t="n">
        <v>0</v>
      </c>
      <c r="I417" t="n">
        <v>0</v>
      </c>
      <c r="J417" t="n">
        <v>0</v>
      </c>
      <c r="K417" t="n">
        <v>0</v>
      </c>
      <c r="L417" t="n">
        <v>0</v>
      </c>
      <c r="M417" t="n">
        <v>0</v>
      </c>
      <c r="N417" t="n">
        <v>0</v>
      </c>
      <c r="O417" t="n">
        <v>0</v>
      </c>
      <c r="P417" t="n">
        <v>0</v>
      </c>
      <c r="Q417" t="n">
        <v>0</v>
      </c>
      <c r="R417" s="2" t="inlineStr"/>
    </row>
    <row r="418" ht="15" customHeight="1">
      <c r="A418" t="inlineStr">
        <is>
          <t>A 45105-2024</t>
        </is>
      </c>
      <c r="B418" s="1" t="n">
        <v>45575.5909837963</v>
      </c>
      <c r="C418" s="1" t="n">
        <v>46086</v>
      </c>
      <c r="D418" t="inlineStr">
        <is>
          <t>JÄMTLANDS LÄN</t>
        </is>
      </c>
      <c r="E418" t="inlineStr">
        <is>
          <t>ÅRE</t>
        </is>
      </c>
      <c r="F418" t="inlineStr">
        <is>
          <t>Övriga Aktiebolag</t>
        </is>
      </c>
      <c r="G418" t="n">
        <v>5</v>
      </c>
      <c r="H418" t="n">
        <v>0</v>
      </c>
      <c r="I418" t="n">
        <v>0</v>
      </c>
      <c r="J418" t="n">
        <v>0</v>
      </c>
      <c r="K418" t="n">
        <v>0</v>
      </c>
      <c r="L418" t="n">
        <v>0</v>
      </c>
      <c r="M418" t="n">
        <v>0</v>
      </c>
      <c r="N418" t="n">
        <v>0</v>
      </c>
      <c r="O418" t="n">
        <v>0</v>
      </c>
      <c r="P418" t="n">
        <v>0</v>
      </c>
      <c r="Q418" t="n">
        <v>0</v>
      </c>
      <c r="R418" s="2" t="inlineStr"/>
    </row>
    <row r="419" ht="15" customHeight="1">
      <c r="A419" t="inlineStr">
        <is>
          <t>A 54211-2025</t>
        </is>
      </c>
      <c r="B419" s="1" t="n">
        <v>45964.59214120371</v>
      </c>
      <c r="C419" s="1" t="n">
        <v>46086</v>
      </c>
      <c r="D419" t="inlineStr">
        <is>
          <t>JÄMTLANDS LÄN</t>
        </is>
      </c>
      <c r="E419" t="inlineStr">
        <is>
          <t>ÅRE</t>
        </is>
      </c>
      <c r="G419" t="n">
        <v>4.3</v>
      </c>
      <c r="H419" t="n">
        <v>0</v>
      </c>
      <c r="I419" t="n">
        <v>0</v>
      </c>
      <c r="J419" t="n">
        <v>0</v>
      </c>
      <c r="K419" t="n">
        <v>0</v>
      </c>
      <c r="L419" t="n">
        <v>0</v>
      </c>
      <c r="M419" t="n">
        <v>0</v>
      </c>
      <c r="N419" t="n">
        <v>0</v>
      </c>
      <c r="O419" t="n">
        <v>0</v>
      </c>
      <c r="P419" t="n">
        <v>0</v>
      </c>
      <c r="Q419" t="n">
        <v>0</v>
      </c>
      <c r="R419" s="2" t="inlineStr"/>
    </row>
    <row r="420" ht="15" customHeight="1">
      <c r="A420" t="inlineStr">
        <is>
          <t>A 34231-2023</t>
        </is>
      </c>
      <c r="B420" s="1" t="n">
        <v>45127</v>
      </c>
      <c r="C420" s="1" t="n">
        <v>46086</v>
      </c>
      <c r="D420" t="inlineStr">
        <is>
          <t>JÄMTLANDS LÄN</t>
        </is>
      </c>
      <c r="E420" t="inlineStr">
        <is>
          <t>ÅRE</t>
        </is>
      </c>
      <c r="G420" t="n">
        <v>18.3</v>
      </c>
      <c r="H420" t="n">
        <v>0</v>
      </c>
      <c r="I420" t="n">
        <v>0</v>
      </c>
      <c r="J420" t="n">
        <v>0</v>
      </c>
      <c r="K420" t="n">
        <v>0</v>
      </c>
      <c r="L420" t="n">
        <v>0</v>
      </c>
      <c r="M420" t="n">
        <v>0</v>
      </c>
      <c r="N420" t="n">
        <v>0</v>
      </c>
      <c r="O420" t="n">
        <v>0</v>
      </c>
      <c r="P420" t="n">
        <v>0</v>
      </c>
      <c r="Q420" t="n">
        <v>0</v>
      </c>
      <c r="R420" s="2" t="inlineStr"/>
    </row>
    <row r="421" ht="15" customHeight="1">
      <c r="A421" t="inlineStr">
        <is>
          <t>A 54823-2025</t>
        </is>
      </c>
      <c r="B421" s="1" t="n">
        <v>45966.66451388889</v>
      </c>
      <c r="C421" s="1" t="n">
        <v>46086</v>
      </c>
      <c r="D421" t="inlineStr">
        <is>
          <t>JÄMTLANDS LÄN</t>
        </is>
      </c>
      <c r="E421" t="inlineStr">
        <is>
          <t>ÅRE</t>
        </is>
      </c>
      <c r="G421" t="n">
        <v>5.2</v>
      </c>
      <c r="H421" t="n">
        <v>0</v>
      </c>
      <c r="I421" t="n">
        <v>0</v>
      </c>
      <c r="J421" t="n">
        <v>0</v>
      </c>
      <c r="K421" t="n">
        <v>0</v>
      </c>
      <c r="L421" t="n">
        <v>0</v>
      </c>
      <c r="M421" t="n">
        <v>0</v>
      </c>
      <c r="N421" t="n">
        <v>0</v>
      </c>
      <c r="O421" t="n">
        <v>0</v>
      </c>
      <c r="P421" t="n">
        <v>0</v>
      </c>
      <c r="Q421" t="n">
        <v>0</v>
      </c>
      <c r="R421" s="2" t="inlineStr"/>
    </row>
    <row r="422" ht="15" customHeight="1">
      <c r="A422" t="inlineStr">
        <is>
          <t>A 10567-2025</t>
        </is>
      </c>
      <c r="B422" s="1" t="n">
        <v>45714</v>
      </c>
      <c r="C422" s="1" t="n">
        <v>46086</v>
      </c>
      <c r="D422" t="inlineStr">
        <is>
          <t>JÄMTLANDS LÄN</t>
        </is>
      </c>
      <c r="E422" t="inlineStr">
        <is>
          <t>ÅRE</t>
        </is>
      </c>
      <c r="G422" t="n">
        <v>3.6</v>
      </c>
      <c r="H422" t="n">
        <v>0</v>
      </c>
      <c r="I422" t="n">
        <v>0</v>
      </c>
      <c r="J422" t="n">
        <v>0</v>
      </c>
      <c r="K422" t="n">
        <v>0</v>
      </c>
      <c r="L422" t="n">
        <v>0</v>
      </c>
      <c r="M422" t="n">
        <v>0</v>
      </c>
      <c r="N422" t="n">
        <v>0</v>
      </c>
      <c r="O422" t="n">
        <v>0</v>
      </c>
      <c r="P422" t="n">
        <v>0</v>
      </c>
      <c r="Q422" t="n">
        <v>0</v>
      </c>
      <c r="R422" s="2" t="inlineStr"/>
    </row>
    <row r="423" ht="15" customHeight="1">
      <c r="A423" t="inlineStr">
        <is>
          <t>A 59968-2023</t>
        </is>
      </c>
      <c r="B423" s="1" t="n">
        <v>45254</v>
      </c>
      <c r="C423" s="1" t="n">
        <v>46086</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41266-2024</t>
        </is>
      </c>
      <c r="B424" s="1" t="n">
        <v>45559</v>
      </c>
      <c r="C424" s="1" t="n">
        <v>46086</v>
      </c>
      <c r="D424" t="inlineStr">
        <is>
          <t>JÄMTLANDS LÄN</t>
        </is>
      </c>
      <c r="E424" t="inlineStr">
        <is>
          <t>ÅRE</t>
        </is>
      </c>
      <c r="G424" t="n">
        <v>1</v>
      </c>
      <c r="H424" t="n">
        <v>0</v>
      </c>
      <c r="I424" t="n">
        <v>0</v>
      </c>
      <c r="J424" t="n">
        <v>0</v>
      </c>
      <c r="K424" t="n">
        <v>0</v>
      </c>
      <c r="L424" t="n">
        <v>0</v>
      </c>
      <c r="M424" t="n">
        <v>0</v>
      </c>
      <c r="N424" t="n">
        <v>0</v>
      </c>
      <c r="O424" t="n">
        <v>0</v>
      </c>
      <c r="P424" t="n">
        <v>0</v>
      </c>
      <c r="Q424" t="n">
        <v>0</v>
      </c>
      <c r="R424" s="2" t="inlineStr"/>
    </row>
    <row r="425" ht="15" customHeight="1">
      <c r="A425" t="inlineStr">
        <is>
          <t>A 54937-2025</t>
        </is>
      </c>
      <c r="B425" s="1" t="n">
        <v>45967.43244212963</v>
      </c>
      <c r="C425" s="1" t="n">
        <v>46086</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12227-2023</t>
        </is>
      </c>
      <c r="B426" s="1" t="n">
        <v>44998.60261574074</v>
      </c>
      <c r="C426" s="1" t="n">
        <v>46086</v>
      </c>
      <c r="D426" t="inlineStr">
        <is>
          <t>JÄMTLANDS LÄN</t>
        </is>
      </c>
      <c r="E426" t="inlineStr">
        <is>
          <t>ÅRE</t>
        </is>
      </c>
      <c r="G426" t="n">
        <v>2.9</v>
      </c>
      <c r="H426" t="n">
        <v>0</v>
      </c>
      <c r="I426" t="n">
        <v>0</v>
      </c>
      <c r="J426" t="n">
        <v>0</v>
      </c>
      <c r="K426" t="n">
        <v>0</v>
      </c>
      <c r="L426" t="n">
        <v>0</v>
      </c>
      <c r="M426" t="n">
        <v>0</v>
      </c>
      <c r="N426" t="n">
        <v>0</v>
      </c>
      <c r="O426" t="n">
        <v>0</v>
      </c>
      <c r="P426" t="n">
        <v>0</v>
      </c>
      <c r="Q426" t="n">
        <v>0</v>
      </c>
      <c r="R426" s="2" t="inlineStr"/>
    </row>
    <row r="427" ht="15" customHeight="1">
      <c r="A427" t="inlineStr">
        <is>
          <t>A 54838-2025</t>
        </is>
      </c>
      <c r="B427" s="1" t="n">
        <v>45966.68252314815</v>
      </c>
      <c r="C427" s="1" t="n">
        <v>46086</v>
      </c>
      <c r="D427" t="inlineStr">
        <is>
          <t>JÄMTLANDS LÄN</t>
        </is>
      </c>
      <c r="E427" t="inlineStr">
        <is>
          <t>ÅRE</t>
        </is>
      </c>
      <c r="G427" t="n">
        <v>2.4</v>
      </c>
      <c r="H427" t="n">
        <v>0</v>
      </c>
      <c r="I427" t="n">
        <v>0</v>
      </c>
      <c r="J427" t="n">
        <v>0</v>
      </c>
      <c r="K427" t="n">
        <v>0</v>
      </c>
      <c r="L427" t="n">
        <v>0</v>
      </c>
      <c r="M427" t="n">
        <v>0</v>
      </c>
      <c r="N427" t="n">
        <v>0</v>
      </c>
      <c r="O427" t="n">
        <v>0</v>
      </c>
      <c r="P427" t="n">
        <v>0</v>
      </c>
      <c r="Q427" t="n">
        <v>0</v>
      </c>
      <c r="R427" s="2" t="inlineStr"/>
    </row>
    <row r="428" ht="15" customHeight="1">
      <c r="A428" t="inlineStr">
        <is>
          <t>A 55413-2025</t>
        </is>
      </c>
      <c r="B428" s="1" t="n">
        <v>45971.46915509259</v>
      </c>
      <c r="C428" s="1" t="n">
        <v>46086</v>
      </c>
      <c r="D428" t="inlineStr">
        <is>
          <t>JÄMTLANDS LÄN</t>
        </is>
      </c>
      <c r="E428" t="inlineStr">
        <is>
          <t>ÅRE</t>
        </is>
      </c>
      <c r="G428" t="n">
        <v>7.2</v>
      </c>
      <c r="H428" t="n">
        <v>0</v>
      </c>
      <c r="I428" t="n">
        <v>0</v>
      </c>
      <c r="J428" t="n">
        <v>0</v>
      </c>
      <c r="K428" t="n">
        <v>0</v>
      </c>
      <c r="L428" t="n">
        <v>0</v>
      </c>
      <c r="M428" t="n">
        <v>0</v>
      </c>
      <c r="N428" t="n">
        <v>0</v>
      </c>
      <c r="O428" t="n">
        <v>0</v>
      </c>
      <c r="P428" t="n">
        <v>0</v>
      </c>
      <c r="Q428" t="n">
        <v>0</v>
      </c>
      <c r="R428" s="2" t="inlineStr"/>
    </row>
    <row r="429" ht="15" customHeight="1">
      <c r="A429" t="inlineStr">
        <is>
          <t>A 55379-2025</t>
        </is>
      </c>
      <c r="B429" s="1" t="n">
        <v>45971.42776620371</v>
      </c>
      <c r="C429" s="1" t="n">
        <v>46086</v>
      </c>
      <c r="D429" t="inlineStr">
        <is>
          <t>JÄMTLANDS LÄN</t>
        </is>
      </c>
      <c r="E429" t="inlineStr">
        <is>
          <t>ÅRE</t>
        </is>
      </c>
      <c r="G429" t="n">
        <v>4.6</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46086</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55389-2025</t>
        </is>
      </c>
      <c r="B431" s="1" t="n">
        <v>45971.4482175926</v>
      </c>
      <c r="C431" s="1" t="n">
        <v>46086</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55411-2025</t>
        </is>
      </c>
      <c r="B432" s="1" t="n">
        <v>45971.46741898148</v>
      </c>
      <c r="C432" s="1" t="n">
        <v>46086</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55416-2025</t>
        </is>
      </c>
      <c r="B433" s="1" t="n">
        <v>45971.46951388889</v>
      </c>
      <c r="C433" s="1" t="n">
        <v>46086</v>
      </c>
      <c r="D433" t="inlineStr">
        <is>
          <t>JÄMTLANDS LÄN</t>
        </is>
      </c>
      <c r="E433" t="inlineStr">
        <is>
          <t>ÅRE</t>
        </is>
      </c>
      <c r="G433" t="n">
        <v>6.3</v>
      </c>
      <c r="H433" t="n">
        <v>0</v>
      </c>
      <c r="I433" t="n">
        <v>0</v>
      </c>
      <c r="J433" t="n">
        <v>0</v>
      </c>
      <c r="K433" t="n">
        <v>0</v>
      </c>
      <c r="L433" t="n">
        <v>0</v>
      </c>
      <c r="M433" t="n">
        <v>0</v>
      </c>
      <c r="N433" t="n">
        <v>0</v>
      </c>
      <c r="O433" t="n">
        <v>0</v>
      </c>
      <c r="P433" t="n">
        <v>0</v>
      </c>
      <c r="Q433" t="n">
        <v>0</v>
      </c>
      <c r="R433" s="2" t="inlineStr"/>
    </row>
    <row r="434" ht="15" customHeight="1">
      <c r="A434" t="inlineStr">
        <is>
          <t>A 54247-2024</t>
        </is>
      </c>
      <c r="B434" s="1" t="n">
        <v>45616</v>
      </c>
      <c r="C434" s="1" t="n">
        <v>46086</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58889-2022</t>
        </is>
      </c>
      <c r="B435" s="1" t="n">
        <v>44896</v>
      </c>
      <c r="C435" s="1" t="n">
        <v>46086</v>
      </c>
      <c r="D435" t="inlineStr">
        <is>
          <t>JÄMTLANDS LÄN</t>
        </is>
      </c>
      <c r="E435" t="inlineStr">
        <is>
          <t>ÅRE</t>
        </is>
      </c>
      <c r="G435" t="n">
        <v>6.9</v>
      </c>
      <c r="H435" t="n">
        <v>0</v>
      </c>
      <c r="I435" t="n">
        <v>0</v>
      </c>
      <c r="J435" t="n">
        <v>0</v>
      </c>
      <c r="K435" t="n">
        <v>0</v>
      </c>
      <c r="L435" t="n">
        <v>0</v>
      </c>
      <c r="M435" t="n">
        <v>0</v>
      </c>
      <c r="N435" t="n">
        <v>0</v>
      </c>
      <c r="O435" t="n">
        <v>0</v>
      </c>
      <c r="P435" t="n">
        <v>0</v>
      </c>
      <c r="Q435" t="n">
        <v>0</v>
      </c>
      <c r="R435" s="2" t="inlineStr"/>
    </row>
    <row r="436" ht="15" customHeight="1">
      <c r="A436" t="inlineStr">
        <is>
          <t>A 56091-2025</t>
        </is>
      </c>
      <c r="B436" s="1" t="n">
        <v>45973.67434027778</v>
      </c>
      <c r="C436" s="1" t="n">
        <v>46086</v>
      </c>
      <c r="D436" t="inlineStr">
        <is>
          <t>JÄMTLANDS LÄN</t>
        </is>
      </c>
      <c r="E436" t="inlineStr">
        <is>
          <t>ÅRE</t>
        </is>
      </c>
      <c r="G436" t="n">
        <v>8</v>
      </c>
      <c r="H436" t="n">
        <v>0</v>
      </c>
      <c r="I436" t="n">
        <v>0</v>
      </c>
      <c r="J436" t="n">
        <v>0</v>
      </c>
      <c r="K436" t="n">
        <v>0</v>
      </c>
      <c r="L436" t="n">
        <v>0</v>
      </c>
      <c r="M436" t="n">
        <v>0</v>
      </c>
      <c r="N436" t="n">
        <v>0</v>
      </c>
      <c r="O436" t="n">
        <v>0</v>
      </c>
      <c r="P436" t="n">
        <v>0</v>
      </c>
      <c r="Q436" t="n">
        <v>0</v>
      </c>
      <c r="R436" s="2" t="inlineStr"/>
    </row>
    <row r="437" ht="15" customHeight="1">
      <c r="A437" t="inlineStr">
        <is>
          <t>A 56495-2025</t>
        </is>
      </c>
      <c r="B437" s="1" t="n">
        <v>45975.42577546297</v>
      </c>
      <c r="C437" s="1" t="n">
        <v>46086</v>
      </c>
      <c r="D437" t="inlineStr">
        <is>
          <t>JÄMTLANDS LÄN</t>
        </is>
      </c>
      <c r="E437" t="inlineStr">
        <is>
          <t>ÅRE</t>
        </is>
      </c>
      <c r="G437" t="n">
        <v>6.3</v>
      </c>
      <c r="H437" t="n">
        <v>0</v>
      </c>
      <c r="I437" t="n">
        <v>0</v>
      </c>
      <c r="J437" t="n">
        <v>0</v>
      </c>
      <c r="K437" t="n">
        <v>0</v>
      </c>
      <c r="L437" t="n">
        <v>0</v>
      </c>
      <c r="M437" t="n">
        <v>0</v>
      </c>
      <c r="N437" t="n">
        <v>0</v>
      </c>
      <c r="O437" t="n">
        <v>0</v>
      </c>
      <c r="P437" t="n">
        <v>0</v>
      </c>
      <c r="Q437" t="n">
        <v>0</v>
      </c>
      <c r="R437" s="2" t="inlineStr"/>
    </row>
    <row r="438" ht="15" customHeight="1">
      <c r="A438" t="inlineStr">
        <is>
          <t>A 15692-2025</t>
        </is>
      </c>
      <c r="B438" s="1" t="n">
        <v>45748</v>
      </c>
      <c r="C438" s="1" t="n">
        <v>46086</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56601-2025</t>
        </is>
      </c>
      <c r="B439" s="1" t="n">
        <v>45975.57423611111</v>
      </c>
      <c r="C439" s="1" t="n">
        <v>46086</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56204-2025</t>
        </is>
      </c>
      <c r="B440" s="1" t="n">
        <v>45974.46935185185</v>
      </c>
      <c r="C440" s="1" t="n">
        <v>46086</v>
      </c>
      <c r="D440" t="inlineStr">
        <is>
          <t>JÄMTLANDS LÄN</t>
        </is>
      </c>
      <c r="E440" t="inlineStr">
        <is>
          <t>ÅRE</t>
        </is>
      </c>
      <c r="G440" t="n">
        <v>3.2</v>
      </c>
      <c r="H440" t="n">
        <v>0</v>
      </c>
      <c r="I440" t="n">
        <v>0</v>
      </c>
      <c r="J440" t="n">
        <v>0</v>
      </c>
      <c r="K440" t="n">
        <v>0</v>
      </c>
      <c r="L440" t="n">
        <v>0</v>
      </c>
      <c r="M440" t="n">
        <v>0</v>
      </c>
      <c r="N440" t="n">
        <v>0</v>
      </c>
      <c r="O440" t="n">
        <v>0</v>
      </c>
      <c r="P440" t="n">
        <v>0</v>
      </c>
      <c r="Q440" t="n">
        <v>0</v>
      </c>
      <c r="R440" s="2" t="inlineStr"/>
    </row>
    <row r="441" ht="15" customHeight="1">
      <c r="A441" t="inlineStr">
        <is>
          <t>A 45113-2024</t>
        </is>
      </c>
      <c r="B441" s="1" t="n">
        <v>45575.59709490741</v>
      </c>
      <c r="C441" s="1" t="n">
        <v>46086</v>
      </c>
      <c r="D441" t="inlineStr">
        <is>
          <t>JÄMTLANDS LÄN</t>
        </is>
      </c>
      <c r="E441" t="inlineStr">
        <is>
          <t>ÅRE</t>
        </is>
      </c>
      <c r="G441" t="n">
        <v>3.7</v>
      </c>
      <c r="H441" t="n">
        <v>0</v>
      </c>
      <c r="I441" t="n">
        <v>0</v>
      </c>
      <c r="J441" t="n">
        <v>0</v>
      </c>
      <c r="K441" t="n">
        <v>0</v>
      </c>
      <c r="L441" t="n">
        <v>0</v>
      </c>
      <c r="M441" t="n">
        <v>0</v>
      </c>
      <c r="N441" t="n">
        <v>0</v>
      </c>
      <c r="O441" t="n">
        <v>0</v>
      </c>
      <c r="P441" t="n">
        <v>0</v>
      </c>
      <c r="Q441" t="n">
        <v>0</v>
      </c>
      <c r="R441" s="2" t="inlineStr"/>
    </row>
    <row r="442" ht="15" customHeight="1">
      <c r="A442" t="inlineStr">
        <is>
          <t>A 20480-2024</t>
        </is>
      </c>
      <c r="B442" s="1" t="n">
        <v>45435.71126157408</v>
      </c>
      <c r="C442" s="1" t="n">
        <v>46086</v>
      </c>
      <c r="D442" t="inlineStr">
        <is>
          <t>JÄMTLANDS LÄN</t>
        </is>
      </c>
      <c r="E442" t="inlineStr">
        <is>
          <t>ÅRE</t>
        </is>
      </c>
      <c r="G442" t="n">
        <v>2.7</v>
      </c>
      <c r="H442" t="n">
        <v>0</v>
      </c>
      <c r="I442" t="n">
        <v>0</v>
      </c>
      <c r="J442" t="n">
        <v>0</v>
      </c>
      <c r="K442" t="n">
        <v>0</v>
      </c>
      <c r="L442" t="n">
        <v>0</v>
      </c>
      <c r="M442" t="n">
        <v>0</v>
      </c>
      <c r="N442" t="n">
        <v>0</v>
      </c>
      <c r="O442" t="n">
        <v>0</v>
      </c>
      <c r="P442" t="n">
        <v>0</v>
      </c>
      <c r="Q442" t="n">
        <v>0</v>
      </c>
      <c r="R442" s="2" t="inlineStr"/>
    </row>
    <row r="443" ht="15" customHeight="1">
      <c r="A443" t="inlineStr">
        <is>
          <t>A 56563-2025</t>
        </is>
      </c>
      <c r="B443" s="1" t="n">
        <v>45975.49930555555</v>
      </c>
      <c r="C443" s="1" t="n">
        <v>46086</v>
      </c>
      <c r="D443" t="inlineStr">
        <is>
          <t>JÄMTLANDS LÄN</t>
        </is>
      </c>
      <c r="E443" t="inlineStr">
        <is>
          <t>ÅRE</t>
        </is>
      </c>
      <c r="G443" t="n">
        <v>1.5</v>
      </c>
      <c r="H443" t="n">
        <v>0</v>
      </c>
      <c r="I443" t="n">
        <v>0</v>
      </c>
      <c r="J443" t="n">
        <v>0</v>
      </c>
      <c r="K443" t="n">
        <v>0</v>
      </c>
      <c r="L443" t="n">
        <v>0</v>
      </c>
      <c r="M443" t="n">
        <v>0</v>
      </c>
      <c r="N443" t="n">
        <v>0</v>
      </c>
      <c r="O443" t="n">
        <v>0</v>
      </c>
      <c r="P443" t="n">
        <v>0</v>
      </c>
      <c r="Q443" t="n">
        <v>0</v>
      </c>
      <c r="R443" s="2" t="inlineStr"/>
    </row>
    <row r="444" ht="15" customHeight="1">
      <c r="A444" t="inlineStr">
        <is>
          <t>A 56205-2025</t>
        </is>
      </c>
      <c r="B444" s="1" t="n">
        <v>45974.469375</v>
      </c>
      <c r="C444" s="1" t="n">
        <v>46086</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56576-2025</t>
        </is>
      </c>
      <c r="B445" s="1" t="n">
        <v>45975.52893518518</v>
      </c>
      <c r="C445" s="1" t="n">
        <v>46086</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57285-2025</t>
        </is>
      </c>
      <c r="B446" s="1" t="n">
        <v>45979.73390046296</v>
      </c>
      <c r="C446" s="1" t="n">
        <v>46086</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6358-2025</t>
        </is>
      </c>
      <c r="B447" s="1" t="n">
        <v>45699.36491898148</v>
      </c>
      <c r="C447" s="1" t="n">
        <v>46086</v>
      </c>
      <c r="D447" t="inlineStr">
        <is>
          <t>JÄMTLANDS LÄN</t>
        </is>
      </c>
      <c r="E447" t="inlineStr">
        <is>
          <t>ÅRE</t>
        </is>
      </c>
      <c r="G447" t="n">
        <v>5.6</v>
      </c>
      <c r="H447" t="n">
        <v>0</v>
      </c>
      <c r="I447" t="n">
        <v>0</v>
      </c>
      <c r="J447" t="n">
        <v>0</v>
      </c>
      <c r="K447" t="n">
        <v>0</v>
      </c>
      <c r="L447" t="n">
        <v>0</v>
      </c>
      <c r="M447" t="n">
        <v>0</v>
      </c>
      <c r="N447" t="n">
        <v>0</v>
      </c>
      <c r="O447" t="n">
        <v>0</v>
      </c>
      <c r="P447" t="n">
        <v>0</v>
      </c>
      <c r="Q447" t="n">
        <v>0</v>
      </c>
      <c r="R447" s="2" t="inlineStr"/>
    </row>
    <row r="448" ht="15" customHeight="1">
      <c r="A448" t="inlineStr">
        <is>
          <t>A 56873-2025</t>
        </is>
      </c>
      <c r="B448" s="1" t="n">
        <v>45978.53459490741</v>
      </c>
      <c r="C448" s="1" t="n">
        <v>46086</v>
      </c>
      <c r="D448" t="inlineStr">
        <is>
          <t>JÄMTLANDS LÄN</t>
        </is>
      </c>
      <c r="E448" t="inlineStr">
        <is>
          <t>ÅRE</t>
        </is>
      </c>
      <c r="F448" t="inlineStr">
        <is>
          <t>Övriga Aktiebolag</t>
        </is>
      </c>
      <c r="G448" t="n">
        <v>6.1</v>
      </c>
      <c r="H448" t="n">
        <v>0</v>
      </c>
      <c r="I448" t="n">
        <v>0</v>
      </c>
      <c r="J448" t="n">
        <v>0</v>
      </c>
      <c r="K448" t="n">
        <v>0</v>
      </c>
      <c r="L448" t="n">
        <v>0</v>
      </c>
      <c r="M448" t="n">
        <v>0</v>
      </c>
      <c r="N448" t="n">
        <v>0</v>
      </c>
      <c r="O448" t="n">
        <v>0</v>
      </c>
      <c r="P448" t="n">
        <v>0</v>
      </c>
      <c r="Q448" t="n">
        <v>0</v>
      </c>
      <c r="R448" s="2" t="inlineStr"/>
    </row>
    <row r="449" ht="15" customHeight="1">
      <c r="A449" t="inlineStr">
        <is>
          <t>A 27946-2021</t>
        </is>
      </c>
      <c r="B449" s="1" t="n">
        <v>44354</v>
      </c>
      <c r="C449" s="1" t="n">
        <v>46086</v>
      </c>
      <c r="D449" t="inlineStr">
        <is>
          <t>JÄMTLANDS LÄN</t>
        </is>
      </c>
      <c r="E449" t="inlineStr">
        <is>
          <t>ÅRE</t>
        </is>
      </c>
      <c r="G449" t="n">
        <v>0.3</v>
      </c>
      <c r="H449" t="n">
        <v>0</v>
      </c>
      <c r="I449" t="n">
        <v>0</v>
      </c>
      <c r="J449" t="n">
        <v>0</v>
      </c>
      <c r="K449" t="n">
        <v>0</v>
      </c>
      <c r="L449" t="n">
        <v>0</v>
      </c>
      <c r="M449" t="n">
        <v>0</v>
      </c>
      <c r="N449" t="n">
        <v>0</v>
      </c>
      <c r="O449" t="n">
        <v>0</v>
      </c>
      <c r="P449" t="n">
        <v>0</v>
      </c>
      <c r="Q449" t="n">
        <v>0</v>
      </c>
      <c r="R449" s="2" t="inlineStr"/>
    </row>
    <row r="450" ht="15" customHeight="1">
      <c r="A450" t="inlineStr">
        <is>
          <t>A 57286-2025</t>
        </is>
      </c>
      <c r="B450" s="1" t="n">
        <v>45979.74055555555</v>
      </c>
      <c r="C450" s="1" t="n">
        <v>46086</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57622-2025</t>
        </is>
      </c>
      <c r="B451" s="1" t="n">
        <v>45981.34545138889</v>
      </c>
      <c r="C451" s="1" t="n">
        <v>46086</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37734-2023</t>
        </is>
      </c>
      <c r="B452" s="1" t="n">
        <v>45159.61971064815</v>
      </c>
      <c r="C452" s="1" t="n">
        <v>46086</v>
      </c>
      <c r="D452" t="inlineStr">
        <is>
          <t>JÄMTLANDS LÄN</t>
        </is>
      </c>
      <c r="E452" t="inlineStr">
        <is>
          <t>ÅRE</t>
        </is>
      </c>
      <c r="G452" t="n">
        <v>3.4</v>
      </c>
      <c r="H452" t="n">
        <v>0</v>
      </c>
      <c r="I452" t="n">
        <v>0</v>
      </c>
      <c r="J452" t="n">
        <v>0</v>
      </c>
      <c r="K452" t="n">
        <v>0</v>
      </c>
      <c r="L452" t="n">
        <v>0</v>
      </c>
      <c r="M452" t="n">
        <v>0</v>
      </c>
      <c r="N452" t="n">
        <v>0</v>
      </c>
      <c r="O452" t="n">
        <v>0</v>
      </c>
      <c r="P452" t="n">
        <v>0</v>
      </c>
      <c r="Q452" t="n">
        <v>0</v>
      </c>
      <c r="R452" s="2" t="inlineStr"/>
    </row>
    <row r="453" ht="15" customHeight="1">
      <c r="A453" t="inlineStr">
        <is>
          <t>A 57745-2025</t>
        </is>
      </c>
      <c r="B453" s="1" t="n">
        <v>45981.53217592592</v>
      </c>
      <c r="C453" s="1" t="n">
        <v>46086</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57627-2025</t>
        </is>
      </c>
      <c r="B454" s="1" t="n">
        <v>45981.34583333333</v>
      </c>
      <c r="C454" s="1" t="n">
        <v>46086</v>
      </c>
      <c r="D454" t="inlineStr">
        <is>
          <t>JÄMTLANDS LÄN</t>
        </is>
      </c>
      <c r="E454" t="inlineStr">
        <is>
          <t>ÅRE</t>
        </is>
      </c>
      <c r="G454" t="n">
        <v>3.3</v>
      </c>
      <c r="H454" t="n">
        <v>0</v>
      </c>
      <c r="I454" t="n">
        <v>0</v>
      </c>
      <c r="J454" t="n">
        <v>0</v>
      </c>
      <c r="K454" t="n">
        <v>0</v>
      </c>
      <c r="L454" t="n">
        <v>0</v>
      </c>
      <c r="M454" t="n">
        <v>0</v>
      </c>
      <c r="N454" t="n">
        <v>0</v>
      </c>
      <c r="O454" t="n">
        <v>0</v>
      </c>
      <c r="P454" t="n">
        <v>0</v>
      </c>
      <c r="Q454" t="n">
        <v>0</v>
      </c>
      <c r="R454" s="2" t="inlineStr"/>
    </row>
    <row r="455" ht="15" customHeight="1">
      <c r="A455" t="inlineStr">
        <is>
          <t>A 57464-2025</t>
        </is>
      </c>
      <c r="B455" s="1" t="n">
        <v>45980</v>
      </c>
      <c r="C455" s="1" t="n">
        <v>46086</v>
      </c>
      <c r="D455" t="inlineStr">
        <is>
          <t>JÄMTLANDS LÄN</t>
        </is>
      </c>
      <c r="E455" t="inlineStr">
        <is>
          <t>ÅRE</t>
        </is>
      </c>
      <c r="G455" t="n">
        <v>8.1</v>
      </c>
      <c r="H455" t="n">
        <v>0</v>
      </c>
      <c r="I455" t="n">
        <v>0</v>
      </c>
      <c r="J455" t="n">
        <v>0</v>
      </c>
      <c r="K455" t="n">
        <v>0</v>
      </c>
      <c r="L455" t="n">
        <v>0</v>
      </c>
      <c r="M455" t="n">
        <v>0</v>
      </c>
      <c r="N455" t="n">
        <v>0</v>
      </c>
      <c r="O455" t="n">
        <v>0</v>
      </c>
      <c r="P455" t="n">
        <v>0</v>
      </c>
      <c r="Q455" t="n">
        <v>0</v>
      </c>
      <c r="R455" s="2" t="inlineStr"/>
    </row>
    <row r="456" ht="15" customHeight="1">
      <c r="A456" t="inlineStr">
        <is>
          <t>A 37739-2023</t>
        </is>
      </c>
      <c r="B456" s="1" t="n">
        <v>45159</v>
      </c>
      <c r="C456" s="1" t="n">
        <v>46086</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58432-2025</t>
        </is>
      </c>
      <c r="B457" s="1" t="n">
        <v>45985.60774305555</v>
      </c>
      <c r="C457" s="1" t="n">
        <v>46086</v>
      </c>
      <c r="D457" t="inlineStr">
        <is>
          <t>JÄMTLANDS LÄN</t>
        </is>
      </c>
      <c r="E457" t="inlineStr">
        <is>
          <t>ÅRE</t>
        </is>
      </c>
      <c r="G457" t="n">
        <v>1.7</v>
      </c>
      <c r="H457" t="n">
        <v>0</v>
      </c>
      <c r="I457" t="n">
        <v>0</v>
      </c>
      <c r="J457" t="n">
        <v>0</v>
      </c>
      <c r="K457" t="n">
        <v>0</v>
      </c>
      <c r="L457" t="n">
        <v>0</v>
      </c>
      <c r="M457" t="n">
        <v>0</v>
      </c>
      <c r="N457" t="n">
        <v>0</v>
      </c>
      <c r="O457" t="n">
        <v>0</v>
      </c>
      <c r="P457" t="n">
        <v>0</v>
      </c>
      <c r="Q457" t="n">
        <v>0</v>
      </c>
      <c r="R457" s="2" t="inlineStr"/>
    </row>
    <row r="458" ht="15" customHeight="1">
      <c r="A458" t="inlineStr">
        <is>
          <t>A 58469-2025</t>
        </is>
      </c>
      <c r="B458" s="1" t="n">
        <v>45985.63699074074</v>
      </c>
      <c r="C458" s="1" t="n">
        <v>46086</v>
      </c>
      <c r="D458" t="inlineStr">
        <is>
          <t>JÄMTLANDS LÄN</t>
        </is>
      </c>
      <c r="E458" t="inlineStr">
        <is>
          <t>ÅRE</t>
        </is>
      </c>
      <c r="F458" t="inlineStr">
        <is>
          <t>Övriga Aktiebolag</t>
        </is>
      </c>
      <c r="G458" t="n">
        <v>3.7</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46086</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58006-2025</t>
        </is>
      </c>
      <c r="B460" s="1" t="n">
        <v>45982.44869212963</v>
      </c>
      <c r="C460" s="1" t="n">
        <v>46086</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57928-2025</t>
        </is>
      </c>
      <c r="B461" s="1" t="n">
        <v>45981.88722222222</v>
      </c>
      <c r="C461" s="1" t="n">
        <v>46086</v>
      </c>
      <c r="D461" t="inlineStr">
        <is>
          <t>JÄMTLANDS LÄN</t>
        </is>
      </c>
      <c r="E461" t="inlineStr">
        <is>
          <t>ÅRE</t>
        </is>
      </c>
      <c r="G461" t="n">
        <v>2.4</v>
      </c>
      <c r="H461" t="n">
        <v>0</v>
      </c>
      <c r="I461" t="n">
        <v>0</v>
      </c>
      <c r="J461" t="n">
        <v>0</v>
      </c>
      <c r="K461" t="n">
        <v>0</v>
      </c>
      <c r="L461" t="n">
        <v>0</v>
      </c>
      <c r="M461" t="n">
        <v>0</v>
      </c>
      <c r="N461" t="n">
        <v>0</v>
      </c>
      <c r="O461" t="n">
        <v>0</v>
      </c>
      <c r="P461" t="n">
        <v>0</v>
      </c>
      <c r="Q461" t="n">
        <v>0</v>
      </c>
      <c r="R461" s="2" t="inlineStr"/>
    </row>
    <row r="462" ht="15" customHeight="1">
      <c r="A462" t="inlineStr">
        <is>
          <t>A 58983-2025</t>
        </is>
      </c>
      <c r="B462" s="1" t="n">
        <v>45987.63885416667</v>
      </c>
      <c r="C462" s="1" t="n">
        <v>46086</v>
      </c>
      <c r="D462" t="inlineStr">
        <is>
          <t>JÄMTLANDS LÄN</t>
        </is>
      </c>
      <c r="E462" t="inlineStr">
        <is>
          <t>ÅRE</t>
        </is>
      </c>
      <c r="G462" t="n">
        <v>9.9</v>
      </c>
      <c r="H462" t="n">
        <v>0</v>
      </c>
      <c r="I462" t="n">
        <v>0</v>
      </c>
      <c r="J462" t="n">
        <v>0</v>
      </c>
      <c r="K462" t="n">
        <v>0</v>
      </c>
      <c r="L462" t="n">
        <v>0</v>
      </c>
      <c r="M462" t="n">
        <v>0</v>
      </c>
      <c r="N462" t="n">
        <v>0</v>
      </c>
      <c r="O462" t="n">
        <v>0</v>
      </c>
      <c r="P462" t="n">
        <v>0</v>
      </c>
      <c r="Q462" t="n">
        <v>0</v>
      </c>
      <c r="R462" s="2" t="inlineStr"/>
    </row>
    <row r="463" ht="15" customHeight="1">
      <c r="A463" t="inlineStr">
        <is>
          <t>A 8798-2025</t>
        </is>
      </c>
      <c r="B463" s="1" t="n">
        <v>45712</v>
      </c>
      <c r="C463" s="1" t="n">
        <v>46086</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4218-2025</t>
        </is>
      </c>
      <c r="B464" s="1" t="n">
        <v>45685</v>
      </c>
      <c r="C464" s="1" t="n">
        <v>46086</v>
      </c>
      <c r="D464" t="inlineStr">
        <is>
          <t>JÄMTLANDS LÄN</t>
        </is>
      </c>
      <c r="E464" t="inlineStr">
        <is>
          <t>ÅRE</t>
        </is>
      </c>
      <c r="F464" t="inlineStr">
        <is>
          <t>Övriga Aktiebolag</t>
        </is>
      </c>
      <c r="G464" t="n">
        <v>10.1</v>
      </c>
      <c r="H464" t="n">
        <v>0</v>
      </c>
      <c r="I464" t="n">
        <v>0</v>
      </c>
      <c r="J464" t="n">
        <v>0</v>
      </c>
      <c r="K464" t="n">
        <v>0</v>
      </c>
      <c r="L464" t="n">
        <v>0</v>
      </c>
      <c r="M464" t="n">
        <v>0</v>
      </c>
      <c r="N464" t="n">
        <v>0</v>
      </c>
      <c r="O464" t="n">
        <v>0</v>
      </c>
      <c r="P464" t="n">
        <v>0</v>
      </c>
      <c r="Q464" t="n">
        <v>0</v>
      </c>
      <c r="R464" s="2" t="inlineStr"/>
    </row>
    <row r="465" ht="15" customHeight="1">
      <c r="A465" t="inlineStr">
        <is>
          <t>A 58872-2025</t>
        </is>
      </c>
      <c r="B465" s="1" t="n">
        <v>45987.46554398148</v>
      </c>
      <c r="C465" s="1" t="n">
        <v>46086</v>
      </c>
      <c r="D465" t="inlineStr">
        <is>
          <t>JÄMTLANDS LÄN</t>
        </is>
      </c>
      <c r="E465" t="inlineStr">
        <is>
          <t>ÅRE</t>
        </is>
      </c>
      <c r="G465" t="n">
        <v>8</v>
      </c>
      <c r="H465" t="n">
        <v>0</v>
      </c>
      <c r="I465" t="n">
        <v>0</v>
      </c>
      <c r="J465" t="n">
        <v>0</v>
      </c>
      <c r="K465" t="n">
        <v>0</v>
      </c>
      <c r="L465" t="n">
        <v>0</v>
      </c>
      <c r="M465" t="n">
        <v>0</v>
      </c>
      <c r="N465" t="n">
        <v>0</v>
      </c>
      <c r="O465" t="n">
        <v>0</v>
      </c>
      <c r="P465" t="n">
        <v>0</v>
      </c>
      <c r="Q465" t="n">
        <v>0</v>
      </c>
      <c r="R465" s="2" t="inlineStr"/>
    </row>
    <row r="466" ht="15" customHeight="1">
      <c r="A466" t="inlineStr">
        <is>
          <t>A 58891-2025</t>
        </is>
      </c>
      <c r="B466" s="1" t="n">
        <v>45987.49034722222</v>
      </c>
      <c r="C466" s="1" t="n">
        <v>46086</v>
      </c>
      <c r="D466" t="inlineStr">
        <is>
          <t>JÄMTLANDS LÄN</t>
        </is>
      </c>
      <c r="E466" t="inlineStr">
        <is>
          <t>ÅRE</t>
        </is>
      </c>
      <c r="G466" t="n">
        <v>4.1</v>
      </c>
      <c r="H466" t="n">
        <v>0</v>
      </c>
      <c r="I466" t="n">
        <v>0</v>
      </c>
      <c r="J466" t="n">
        <v>0</v>
      </c>
      <c r="K466" t="n">
        <v>0</v>
      </c>
      <c r="L466" t="n">
        <v>0</v>
      </c>
      <c r="M466" t="n">
        <v>0</v>
      </c>
      <c r="N466" t="n">
        <v>0</v>
      </c>
      <c r="O466" t="n">
        <v>0</v>
      </c>
      <c r="P466" t="n">
        <v>0</v>
      </c>
      <c r="Q466" t="n">
        <v>0</v>
      </c>
      <c r="R466" s="2" t="inlineStr"/>
    </row>
    <row r="467" ht="15" customHeight="1">
      <c r="A467" t="inlineStr">
        <is>
          <t>A 59367-2025</t>
        </is>
      </c>
      <c r="B467" s="1" t="n">
        <v>45989.44711805556</v>
      </c>
      <c r="C467" s="1" t="n">
        <v>46086</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278-2023</t>
        </is>
      </c>
      <c r="B468" s="1" t="n">
        <v>44928</v>
      </c>
      <c r="C468" s="1" t="n">
        <v>46086</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59014-2025</t>
        </is>
      </c>
      <c r="B469" s="1" t="n">
        <v>45987.81232638889</v>
      </c>
      <c r="C469" s="1" t="n">
        <v>46086</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3066-2023</t>
        </is>
      </c>
      <c r="B470" s="1" t="n">
        <v>44946</v>
      </c>
      <c r="C470" s="1" t="n">
        <v>46086</v>
      </c>
      <c r="D470" t="inlineStr">
        <is>
          <t>JÄMTLANDS LÄN</t>
        </is>
      </c>
      <c r="E470" t="inlineStr">
        <is>
          <t>ÅRE</t>
        </is>
      </c>
      <c r="G470" t="n">
        <v>1.3</v>
      </c>
      <c r="H470" t="n">
        <v>0</v>
      </c>
      <c r="I470" t="n">
        <v>0</v>
      </c>
      <c r="J470" t="n">
        <v>0</v>
      </c>
      <c r="K470" t="n">
        <v>0</v>
      </c>
      <c r="L470" t="n">
        <v>0</v>
      </c>
      <c r="M470" t="n">
        <v>0</v>
      </c>
      <c r="N470" t="n">
        <v>0</v>
      </c>
      <c r="O470" t="n">
        <v>0</v>
      </c>
      <c r="P470" t="n">
        <v>0</v>
      </c>
      <c r="Q470" t="n">
        <v>0</v>
      </c>
      <c r="R470" s="2" t="inlineStr"/>
    </row>
    <row r="471" ht="15" customHeight="1">
      <c r="A471" t="inlineStr">
        <is>
          <t>A 59161-2025</t>
        </is>
      </c>
      <c r="B471" s="1" t="n">
        <v>45988.55300925926</v>
      </c>
      <c r="C471" s="1" t="n">
        <v>46086</v>
      </c>
      <c r="D471" t="inlineStr">
        <is>
          <t>JÄMTLANDS LÄN</t>
        </is>
      </c>
      <c r="E471" t="inlineStr">
        <is>
          <t>ÅRE</t>
        </is>
      </c>
      <c r="G471" t="n">
        <v>3.8</v>
      </c>
      <c r="H471" t="n">
        <v>0</v>
      </c>
      <c r="I471" t="n">
        <v>0</v>
      </c>
      <c r="J471" t="n">
        <v>0</v>
      </c>
      <c r="K471" t="n">
        <v>0</v>
      </c>
      <c r="L471" t="n">
        <v>0</v>
      </c>
      <c r="M471" t="n">
        <v>0</v>
      </c>
      <c r="N471" t="n">
        <v>0</v>
      </c>
      <c r="O471" t="n">
        <v>0</v>
      </c>
      <c r="P471" t="n">
        <v>0</v>
      </c>
      <c r="Q471" t="n">
        <v>0</v>
      </c>
      <c r="R471" s="2" t="inlineStr"/>
    </row>
    <row r="472" ht="15" customHeight="1">
      <c r="A472" t="inlineStr">
        <is>
          <t>A 54907-2023</t>
        </is>
      </c>
      <c r="B472" s="1" t="n">
        <v>45236.65784722222</v>
      </c>
      <c r="C472" s="1" t="n">
        <v>46086</v>
      </c>
      <c r="D472" t="inlineStr">
        <is>
          <t>JÄMTLANDS LÄN</t>
        </is>
      </c>
      <c r="E472" t="inlineStr">
        <is>
          <t>ÅRE</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41688-2024</t>
        </is>
      </c>
      <c r="B473" s="1" t="n">
        <v>45560.67542824074</v>
      </c>
      <c r="C473" s="1" t="n">
        <v>46086</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61815-2021</t>
        </is>
      </c>
      <c r="B474" s="1" t="n">
        <v>44498</v>
      </c>
      <c r="C474" s="1" t="n">
        <v>46086</v>
      </c>
      <c r="D474" t="inlineStr">
        <is>
          <t>JÄMTLANDS LÄN</t>
        </is>
      </c>
      <c r="E474" t="inlineStr">
        <is>
          <t>ÅRE</t>
        </is>
      </c>
      <c r="G474" t="n">
        <v>7.4</v>
      </c>
      <c r="H474" t="n">
        <v>0</v>
      </c>
      <c r="I474" t="n">
        <v>0</v>
      </c>
      <c r="J474" t="n">
        <v>0</v>
      </c>
      <c r="K474" t="n">
        <v>0</v>
      </c>
      <c r="L474" t="n">
        <v>0</v>
      </c>
      <c r="M474" t="n">
        <v>0</v>
      </c>
      <c r="N474" t="n">
        <v>0</v>
      </c>
      <c r="O474" t="n">
        <v>0</v>
      </c>
      <c r="P474" t="n">
        <v>0</v>
      </c>
      <c r="Q474" t="n">
        <v>0</v>
      </c>
      <c r="R474" s="2" t="inlineStr"/>
    </row>
    <row r="475" ht="15" customHeight="1">
      <c r="A475" t="inlineStr">
        <is>
          <t>A 59823-2025</t>
        </is>
      </c>
      <c r="B475" s="1" t="n">
        <v>45992.64878472222</v>
      </c>
      <c r="C475" s="1" t="n">
        <v>46086</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59690-2025</t>
        </is>
      </c>
      <c r="B476" s="1" t="n">
        <v>45992.48541666667</v>
      </c>
      <c r="C476" s="1" t="n">
        <v>46086</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59653-2025</t>
        </is>
      </c>
      <c r="B477" s="1" t="n">
        <v>45992.43616898148</v>
      </c>
      <c r="C477" s="1" t="n">
        <v>46086</v>
      </c>
      <c r="D477" t="inlineStr">
        <is>
          <t>JÄMTLANDS LÄN</t>
        </is>
      </c>
      <c r="E477" t="inlineStr">
        <is>
          <t>ÅRE</t>
        </is>
      </c>
      <c r="G477" t="n">
        <v>3.6</v>
      </c>
      <c r="H477" t="n">
        <v>0</v>
      </c>
      <c r="I477" t="n">
        <v>0</v>
      </c>
      <c r="J477" t="n">
        <v>0</v>
      </c>
      <c r="K477" t="n">
        <v>0</v>
      </c>
      <c r="L477" t="n">
        <v>0</v>
      </c>
      <c r="M477" t="n">
        <v>0</v>
      </c>
      <c r="N477" t="n">
        <v>0</v>
      </c>
      <c r="O477" t="n">
        <v>0</v>
      </c>
      <c r="P477" t="n">
        <v>0</v>
      </c>
      <c r="Q477" t="n">
        <v>0</v>
      </c>
      <c r="R477" s="2" t="inlineStr"/>
    </row>
    <row r="478" ht="15" customHeight="1">
      <c r="A478" t="inlineStr">
        <is>
          <t>A 59659-2025</t>
        </is>
      </c>
      <c r="B478" s="1" t="n">
        <v>45992.44748842593</v>
      </c>
      <c r="C478" s="1" t="n">
        <v>46086</v>
      </c>
      <c r="D478" t="inlineStr">
        <is>
          <t>JÄMTLANDS LÄN</t>
        </is>
      </c>
      <c r="E478" t="inlineStr">
        <is>
          <t>ÅRE</t>
        </is>
      </c>
      <c r="G478" t="n">
        <v>2.8</v>
      </c>
      <c r="H478" t="n">
        <v>0</v>
      </c>
      <c r="I478" t="n">
        <v>0</v>
      </c>
      <c r="J478" t="n">
        <v>0</v>
      </c>
      <c r="K478" t="n">
        <v>0</v>
      </c>
      <c r="L478" t="n">
        <v>0</v>
      </c>
      <c r="M478" t="n">
        <v>0</v>
      </c>
      <c r="N478" t="n">
        <v>0</v>
      </c>
      <c r="O478" t="n">
        <v>0</v>
      </c>
      <c r="P478" t="n">
        <v>0</v>
      </c>
      <c r="Q478" t="n">
        <v>0</v>
      </c>
      <c r="R478" s="2" t="inlineStr"/>
    </row>
    <row r="479" ht="15" customHeight="1">
      <c r="A479" t="inlineStr">
        <is>
          <t>A 60398-2025</t>
        </is>
      </c>
      <c r="B479" s="1" t="n">
        <v>45995.3990162037</v>
      </c>
      <c r="C479" s="1" t="n">
        <v>46086</v>
      </c>
      <c r="D479" t="inlineStr">
        <is>
          <t>JÄMTLANDS LÄN</t>
        </is>
      </c>
      <c r="E479" t="inlineStr">
        <is>
          <t>ÅRE</t>
        </is>
      </c>
      <c r="G479" t="n">
        <v>3.7</v>
      </c>
      <c r="H479" t="n">
        <v>0</v>
      </c>
      <c r="I479" t="n">
        <v>0</v>
      </c>
      <c r="J479" t="n">
        <v>0</v>
      </c>
      <c r="K479" t="n">
        <v>0</v>
      </c>
      <c r="L479" t="n">
        <v>0</v>
      </c>
      <c r="M479" t="n">
        <v>0</v>
      </c>
      <c r="N479" t="n">
        <v>0</v>
      </c>
      <c r="O479" t="n">
        <v>0</v>
      </c>
      <c r="P479" t="n">
        <v>0</v>
      </c>
      <c r="Q479" t="n">
        <v>0</v>
      </c>
      <c r="R479" s="2" t="inlineStr"/>
    </row>
    <row r="480" ht="15" customHeight="1">
      <c r="A480" t="inlineStr">
        <is>
          <t>A 12177-2025</t>
        </is>
      </c>
      <c r="B480" s="1" t="n">
        <v>45729.45119212963</v>
      </c>
      <c r="C480" s="1" t="n">
        <v>46086</v>
      </c>
      <c r="D480" t="inlineStr">
        <is>
          <t>JÄMTLANDS LÄN</t>
        </is>
      </c>
      <c r="E480" t="inlineStr">
        <is>
          <t>ÅRE</t>
        </is>
      </c>
      <c r="F480" t="inlineStr">
        <is>
          <t>Övriga Aktiebolag</t>
        </is>
      </c>
      <c r="G480" t="n">
        <v>13.2</v>
      </c>
      <c r="H480" t="n">
        <v>0</v>
      </c>
      <c r="I480" t="n">
        <v>0</v>
      </c>
      <c r="J480" t="n">
        <v>0</v>
      </c>
      <c r="K480" t="n">
        <v>0</v>
      </c>
      <c r="L480" t="n">
        <v>0</v>
      </c>
      <c r="M480" t="n">
        <v>0</v>
      </c>
      <c r="N480" t="n">
        <v>0</v>
      </c>
      <c r="O480" t="n">
        <v>0</v>
      </c>
      <c r="P480" t="n">
        <v>0</v>
      </c>
      <c r="Q480" t="n">
        <v>0</v>
      </c>
      <c r="R480" s="2" t="inlineStr"/>
    </row>
    <row r="481" ht="15" customHeight="1">
      <c r="A481" t="inlineStr">
        <is>
          <t>A 60473-2025</t>
        </is>
      </c>
      <c r="B481" s="1" t="n">
        <v>45995.57738425926</v>
      </c>
      <c r="C481" s="1" t="n">
        <v>46086</v>
      </c>
      <c r="D481" t="inlineStr">
        <is>
          <t>JÄMTLANDS LÄN</t>
        </is>
      </c>
      <c r="E481" t="inlineStr">
        <is>
          <t>ÅRE</t>
        </is>
      </c>
      <c r="G481" t="n">
        <v>7.7</v>
      </c>
      <c r="H481" t="n">
        <v>0</v>
      </c>
      <c r="I481" t="n">
        <v>0</v>
      </c>
      <c r="J481" t="n">
        <v>0</v>
      </c>
      <c r="K481" t="n">
        <v>0</v>
      </c>
      <c r="L481" t="n">
        <v>0</v>
      </c>
      <c r="M481" t="n">
        <v>0</v>
      </c>
      <c r="N481" t="n">
        <v>0</v>
      </c>
      <c r="O481" t="n">
        <v>0</v>
      </c>
      <c r="P481" t="n">
        <v>0</v>
      </c>
      <c r="Q481" t="n">
        <v>0</v>
      </c>
      <c r="R481" s="2" t="inlineStr"/>
    </row>
    <row r="482" ht="15" customHeight="1">
      <c r="A482" t="inlineStr">
        <is>
          <t>A 60585-2025</t>
        </is>
      </c>
      <c r="B482" s="1" t="n">
        <v>45996.33314814815</v>
      </c>
      <c r="C482" s="1" t="n">
        <v>46086</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61009-2025</t>
        </is>
      </c>
      <c r="B483" s="1" t="n">
        <v>45999</v>
      </c>
      <c r="C483" s="1" t="n">
        <v>46086</v>
      </c>
      <c r="D483" t="inlineStr">
        <is>
          <t>JÄMTLANDS LÄN</t>
        </is>
      </c>
      <c r="E483" t="inlineStr">
        <is>
          <t>ÅRE</t>
        </is>
      </c>
      <c r="G483" t="n">
        <v>1.9</v>
      </c>
      <c r="H483" t="n">
        <v>0</v>
      </c>
      <c r="I483" t="n">
        <v>0</v>
      </c>
      <c r="J483" t="n">
        <v>0</v>
      </c>
      <c r="K483" t="n">
        <v>0</v>
      </c>
      <c r="L483" t="n">
        <v>0</v>
      </c>
      <c r="M483" t="n">
        <v>0</v>
      </c>
      <c r="N483" t="n">
        <v>0</v>
      </c>
      <c r="O483" t="n">
        <v>0</v>
      </c>
      <c r="P483" t="n">
        <v>0</v>
      </c>
      <c r="Q483" t="n">
        <v>0</v>
      </c>
      <c r="R483" s="2" t="inlineStr"/>
    </row>
    <row r="484" ht="15" customHeight="1">
      <c r="A484" t="inlineStr">
        <is>
          <t>A 60783-2025</t>
        </is>
      </c>
      <c r="B484" s="1" t="n">
        <v>45999.39971064815</v>
      </c>
      <c r="C484" s="1" t="n">
        <v>46086</v>
      </c>
      <c r="D484" t="inlineStr">
        <is>
          <t>JÄMTLANDS LÄN</t>
        </is>
      </c>
      <c r="E484" t="inlineStr">
        <is>
          <t>ÅRE</t>
        </is>
      </c>
      <c r="G484" t="n">
        <v>10.6</v>
      </c>
      <c r="H484" t="n">
        <v>0</v>
      </c>
      <c r="I484" t="n">
        <v>0</v>
      </c>
      <c r="J484" t="n">
        <v>0</v>
      </c>
      <c r="K484" t="n">
        <v>0</v>
      </c>
      <c r="L484" t="n">
        <v>0</v>
      </c>
      <c r="M484" t="n">
        <v>0</v>
      </c>
      <c r="N484" t="n">
        <v>0</v>
      </c>
      <c r="O484" t="n">
        <v>0</v>
      </c>
      <c r="P484" t="n">
        <v>0</v>
      </c>
      <c r="Q484" t="n">
        <v>0</v>
      </c>
      <c r="R484" s="2" t="inlineStr"/>
    </row>
    <row r="485" ht="15" customHeight="1">
      <c r="A485" t="inlineStr">
        <is>
          <t>A 13033-2024</t>
        </is>
      </c>
      <c r="B485" s="1" t="n">
        <v>45385</v>
      </c>
      <c r="C485" s="1" t="n">
        <v>46086</v>
      </c>
      <c r="D485" t="inlineStr">
        <is>
          <t>JÄMTLANDS LÄN</t>
        </is>
      </c>
      <c r="E485" t="inlineStr">
        <is>
          <t>ÅRE</t>
        </is>
      </c>
      <c r="G485" t="n">
        <v>7.3</v>
      </c>
      <c r="H485" t="n">
        <v>0</v>
      </c>
      <c r="I485" t="n">
        <v>0</v>
      </c>
      <c r="J485" t="n">
        <v>0</v>
      </c>
      <c r="K485" t="n">
        <v>0</v>
      </c>
      <c r="L485" t="n">
        <v>0</v>
      </c>
      <c r="M485" t="n">
        <v>0</v>
      </c>
      <c r="N485" t="n">
        <v>0</v>
      </c>
      <c r="O485" t="n">
        <v>0</v>
      </c>
      <c r="P485" t="n">
        <v>0</v>
      </c>
      <c r="Q485" t="n">
        <v>0</v>
      </c>
      <c r="R485" s="2" t="inlineStr"/>
    </row>
    <row r="486" ht="15" customHeight="1">
      <c r="A486" t="inlineStr">
        <is>
          <t>A 48223-2025</t>
        </is>
      </c>
      <c r="B486" s="1" t="n">
        <v>45931</v>
      </c>
      <c r="C486" s="1" t="n">
        <v>46086</v>
      </c>
      <c r="D486" t="inlineStr">
        <is>
          <t>JÄMTLANDS LÄN</t>
        </is>
      </c>
      <c r="E486" t="inlineStr">
        <is>
          <t>ÅRE</t>
        </is>
      </c>
      <c r="G486" t="n">
        <v>2.1</v>
      </c>
      <c r="H486" t="n">
        <v>0</v>
      </c>
      <c r="I486" t="n">
        <v>0</v>
      </c>
      <c r="J486" t="n">
        <v>0</v>
      </c>
      <c r="K486" t="n">
        <v>0</v>
      </c>
      <c r="L486" t="n">
        <v>0</v>
      </c>
      <c r="M486" t="n">
        <v>0</v>
      </c>
      <c r="N486" t="n">
        <v>0</v>
      </c>
      <c r="O486" t="n">
        <v>0</v>
      </c>
      <c r="P486" t="n">
        <v>0</v>
      </c>
      <c r="Q486" t="n">
        <v>0</v>
      </c>
      <c r="R486" s="2" t="inlineStr"/>
      <c r="U486">
        <f>HYPERLINK("https://klasma.github.io/Logging_2321/knärot/A 48223-2025 karta knärot.png", "A 48223-2025")</f>
        <v/>
      </c>
      <c r="V486">
        <f>HYPERLINK("https://klasma.github.io/Logging_2321/klagomål/A 48223-2025 FSC-klagomål.docx", "A 48223-2025")</f>
        <v/>
      </c>
      <c r="W486">
        <f>HYPERLINK("https://klasma.github.io/Logging_2321/klagomålsmail/A 48223-2025 FSC-klagomål mail.docx", "A 48223-2025")</f>
        <v/>
      </c>
      <c r="X486">
        <f>HYPERLINK("https://klasma.github.io/Logging_2321/tillsyn/A 48223-2025 tillsynsbegäran.docx", "A 48223-2025")</f>
        <v/>
      </c>
      <c r="Y486">
        <f>HYPERLINK("https://klasma.github.io/Logging_2321/tillsynsmail/A 48223-2025 tillsynsbegäran mail.docx", "A 48223-2025")</f>
        <v/>
      </c>
    </row>
    <row r="487" ht="15" customHeight="1">
      <c r="A487" t="inlineStr">
        <is>
          <t>A 47963-2025</t>
        </is>
      </c>
      <c r="B487" s="1" t="n">
        <v>45931</v>
      </c>
      <c r="C487" s="1" t="n">
        <v>46086</v>
      </c>
      <c r="D487" t="inlineStr">
        <is>
          <t>JÄMTLANDS LÄN</t>
        </is>
      </c>
      <c r="E487" t="inlineStr">
        <is>
          <t>ÅRE</t>
        </is>
      </c>
      <c r="G487" t="n">
        <v>0.3</v>
      </c>
      <c r="H487" t="n">
        <v>0</v>
      </c>
      <c r="I487" t="n">
        <v>0</v>
      </c>
      <c r="J487" t="n">
        <v>0</v>
      </c>
      <c r="K487" t="n">
        <v>0</v>
      </c>
      <c r="L487" t="n">
        <v>0</v>
      </c>
      <c r="M487" t="n">
        <v>0</v>
      </c>
      <c r="N487" t="n">
        <v>0</v>
      </c>
      <c r="O487" t="n">
        <v>0</v>
      </c>
      <c r="P487" t="n">
        <v>0</v>
      </c>
      <c r="Q487" t="n">
        <v>0</v>
      </c>
      <c r="R487" s="2" t="inlineStr"/>
    </row>
    <row r="488" ht="15" customHeight="1">
      <c r="A488" t="inlineStr">
        <is>
          <t>A 61032-2025</t>
        </is>
      </c>
      <c r="B488" s="1" t="n">
        <v>45999.89533564815</v>
      </c>
      <c r="C488" s="1" t="n">
        <v>46086</v>
      </c>
      <c r="D488" t="inlineStr">
        <is>
          <t>JÄMTLANDS LÄN</t>
        </is>
      </c>
      <c r="E488" t="inlineStr">
        <is>
          <t>ÅRE</t>
        </is>
      </c>
      <c r="G488" t="n">
        <v>1.4</v>
      </c>
      <c r="H488" t="n">
        <v>0</v>
      </c>
      <c r="I488" t="n">
        <v>0</v>
      </c>
      <c r="J488" t="n">
        <v>0</v>
      </c>
      <c r="K488" t="n">
        <v>0</v>
      </c>
      <c r="L488" t="n">
        <v>0</v>
      </c>
      <c r="M488" t="n">
        <v>0</v>
      </c>
      <c r="N488" t="n">
        <v>0</v>
      </c>
      <c r="O488" t="n">
        <v>0</v>
      </c>
      <c r="P488" t="n">
        <v>0</v>
      </c>
      <c r="Q488" t="n">
        <v>0</v>
      </c>
      <c r="R488" s="2" t="inlineStr"/>
    </row>
    <row r="489" ht="15" customHeight="1">
      <c r="A489" t="inlineStr">
        <is>
          <t>A 51500-2024</t>
        </is>
      </c>
      <c r="B489" s="1" t="n">
        <v>45604.54693287037</v>
      </c>
      <c r="C489" s="1" t="n">
        <v>46086</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61014-2024</t>
        </is>
      </c>
      <c r="B490" s="1" t="n">
        <v>45645.449375</v>
      </c>
      <c r="C490" s="1" t="n">
        <v>46086</v>
      </c>
      <c r="D490" t="inlineStr">
        <is>
          <t>JÄMTLANDS LÄN</t>
        </is>
      </c>
      <c r="E490" t="inlineStr">
        <is>
          <t>ÅRE</t>
        </is>
      </c>
      <c r="F490" t="inlineStr">
        <is>
          <t>Övriga Aktiebolag</t>
        </is>
      </c>
      <c r="G490" t="n">
        <v>4.9</v>
      </c>
      <c r="H490" t="n">
        <v>0</v>
      </c>
      <c r="I490" t="n">
        <v>0</v>
      </c>
      <c r="J490" t="n">
        <v>0</v>
      </c>
      <c r="K490" t="n">
        <v>0</v>
      </c>
      <c r="L490" t="n">
        <v>0</v>
      </c>
      <c r="M490" t="n">
        <v>0</v>
      </c>
      <c r="N490" t="n">
        <v>0</v>
      </c>
      <c r="O490" t="n">
        <v>0</v>
      </c>
      <c r="P490" t="n">
        <v>0</v>
      </c>
      <c r="Q490" t="n">
        <v>0</v>
      </c>
      <c r="R490" s="2" t="inlineStr"/>
    </row>
    <row r="491" ht="15" customHeight="1">
      <c r="A491" t="inlineStr">
        <is>
          <t>A 11112-2022</t>
        </is>
      </c>
      <c r="B491" s="1" t="n">
        <v>44628</v>
      </c>
      <c r="C491" s="1" t="n">
        <v>46086</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61355-2025</t>
        </is>
      </c>
      <c r="B492" s="1" t="n">
        <v>46001.39805555555</v>
      </c>
      <c r="C492" s="1" t="n">
        <v>46086</v>
      </c>
      <c r="D492" t="inlineStr">
        <is>
          <t>JÄMTLANDS LÄN</t>
        </is>
      </c>
      <c r="E492" t="inlineStr">
        <is>
          <t>ÅRE</t>
        </is>
      </c>
      <c r="G492" t="n">
        <v>6.7</v>
      </c>
      <c r="H492" t="n">
        <v>0</v>
      </c>
      <c r="I492" t="n">
        <v>0</v>
      </c>
      <c r="J492" t="n">
        <v>0</v>
      </c>
      <c r="K492" t="n">
        <v>0</v>
      </c>
      <c r="L492" t="n">
        <v>0</v>
      </c>
      <c r="M492" t="n">
        <v>0</v>
      </c>
      <c r="N492" t="n">
        <v>0</v>
      </c>
      <c r="O492" t="n">
        <v>0</v>
      </c>
      <c r="P492" t="n">
        <v>0</v>
      </c>
      <c r="Q492" t="n">
        <v>0</v>
      </c>
      <c r="R492" s="2" t="inlineStr"/>
    </row>
    <row r="493" ht="15" customHeight="1">
      <c r="A493" t="inlineStr">
        <is>
          <t>A 44925-2024</t>
        </is>
      </c>
      <c r="B493" s="1" t="n">
        <v>45575.40700231482</v>
      </c>
      <c r="C493" s="1" t="n">
        <v>46086</v>
      </c>
      <c r="D493" t="inlineStr">
        <is>
          <t>JÄMTLANDS LÄN</t>
        </is>
      </c>
      <c r="E493" t="inlineStr">
        <is>
          <t>ÅRE</t>
        </is>
      </c>
      <c r="F493" t="inlineStr">
        <is>
          <t>Övriga Aktiebolag</t>
        </is>
      </c>
      <c r="G493" t="n">
        <v>22.3</v>
      </c>
      <c r="H493" t="n">
        <v>0</v>
      </c>
      <c r="I493" t="n">
        <v>0</v>
      </c>
      <c r="J493" t="n">
        <v>0</v>
      </c>
      <c r="K493" t="n">
        <v>0</v>
      </c>
      <c r="L493" t="n">
        <v>0</v>
      </c>
      <c r="M493" t="n">
        <v>0</v>
      </c>
      <c r="N493" t="n">
        <v>0</v>
      </c>
      <c r="O493" t="n">
        <v>0</v>
      </c>
      <c r="P493" t="n">
        <v>0</v>
      </c>
      <c r="Q493" t="n">
        <v>0</v>
      </c>
      <c r="R493" s="2" t="inlineStr"/>
    </row>
    <row r="494" ht="15" customHeight="1">
      <c r="A494" t="inlineStr">
        <is>
          <t>A 61024-2025</t>
        </is>
      </c>
      <c r="B494" s="1" t="n">
        <v>45999.87188657407</v>
      </c>
      <c r="C494" s="1" t="n">
        <v>46086</v>
      </c>
      <c r="D494" t="inlineStr">
        <is>
          <t>JÄMTLANDS LÄN</t>
        </is>
      </c>
      <c r="E494" t="inlineStr">
        <is>
          <t>ÅRE</t>
        </is>
      </c>
      <c r="G494" t="n">
        <v>5.6</v>
      </c>
      <c r="H494" t="n">
        <v>0</v>
      </c>
      <c r="I494" t="n">
        <v>0</v>
      </c>
      <c r="J494" t="n">
        <v>0</v>
      </c>
      <c r="K494" t="n">
        <v>0</v>
      </c>
      <c r="L494" t="n">
        <v>0</v>
      </c>
      <c r="M494" t="n">
        <v>0</v>
      </c>
      <c r="N494" t="n">
        <v>0</v>
      </c>
      <c r="O494" t="n">
        <v>0</v>
      </c>
      <c r="P494" t="n">
        <v>0</v>
      </c>
      <c r="Q494" t="n">
        <v>0</v>
      </c>
      <c r="R494" s="2" t="inlineStr"/>
    </row>
    <row r="495" ht="15" customHeight="1">
      <c r="A495" t="inlineStr">
        <is>
          <t>A 20160-2025</t>
        </is>
      </c>
      <c r="B495" s="1" t="n">
        <v>45772.56753472222</v>
      </c>
      <c r="C495" s="1" t="n">
        <v>46086</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61926-2022</t>
        </is>
      </c>
      <c r="B496" s="1" t="n">
        <v>44917</v>
      </c>
      <c r="C496" s="1" t="n">
        <v>46086</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50099-2021</t>
        </is>
      </c>
      <c r="B497" s="1" t="n">
        <v>44456</v>
      </c>
      <c r="C497" s="1" t="n">
        <v>46086</v>
      </c>
      <c r="D497" t="inlineStr">
        <is>
          <t>JÄMTLANDS LÄN</t>
        </is>
      </c>
      <c r="E497" t="inlineStr">
        <is>
          <t>ÅRE</t>
        </is>
      </c>
      <c r="G497" t="n">
        <v>6.2</v>
      </c>
      <c r="H497" t="n">
        <v>0</v>
      </c>
      <c r="I497" t="n">
        <v>0</v>
      </c>
      <c r="J497" t="n">
        <v>0</v>
      </c>
      <c r="K497" t="n">
        <v>0</v>
      </c>
      <c r="L497" t="n">
        <v>0</v>
      </c>
      <c r="M497" t="n">
        <v>0</v>
      </c>
      <c r="N497" t="n">
        <v>0</v>
      </c>
      <c r="O497" t="n">
        <v>0</v>
      </c>
      <c r="P497" t="n">
        <v>0</v>
      </c>
      <c r="Q497" t="n">
        <v>0</v>
      </c>
      <c r="R497" s="2" t="inlineStr"/>
    </row>
    <row r="498" ht="15" customHeight="1">
      <c r="A498" t="inlineStr">
        <is>
          <t>A 41677-2024</t>
        </is>
      </c>
      <c r="B498" s="1" t="n">
        <v>45560.66037037037</v>
      </c>
      <c r="C498" s="1" t="n">
        <v>46086</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51444-2024</t>
        </is>
      </c>
      <c r="B499" s="1" t="n">
        <v>45604.48304398148</v>
      </c>
      <c r="C499" s="1" t="n">
        <v>46086</v>
      </c>
      <c r="D499" t="inlineStr">
        <is>
          <t>JÄMTLANDS LÄN</t>
        </is>
      </c>
      <c r="E499" t="inlineStr">
        <is>
          <t>ÅRE</t>
        </is>
      </c>
      <c r="G499" t="n">
        <v>2.2</v>
      </c>
      <c r="H499" t="n">
        <v>0</v>
      </c>
      <c r="I499" t="n">
        <v>0</v>
      </c>
      <c r="J499" t="n">
        <v>0</v>
      </c>
      <c r="K499" t="n">
        <v>0</v>
      </c>
      <c r="L499" t="n">
        <v>0</v>
      </c>
      <c r="M499" t="n">
        <v>0</v>
      </c>
      <c r="N499" t="n">
        <v>0</v>
      </c>
      <c r="O499" t="n">
        <v>0</v>
      </c>
      <c r="P499" t="n">
        <v>0</v>
      </c>
      <c r="Q499" t="n">
        <v>0</v>
      </c>
      <c r="R499" s="2" t="inlineStr"/>
    </row>
    <row r="500" ht="15" customHeight="1">
      <c r="A500" t="inlineStr">
        <is>
          <t>A 15480-2024</t>
        </is>
      </c>
      <c r="B500" s="1" t="n">
        <v>45401.49065972222</v>
      </c>
      <c r="C500" s="1" t="n">
        <v>46086</v>
      </c>
      <c r="D500" t="inlineStr">
        <is>
          <t>JÄMTLANDS LÄN</t>
        </is>
      </c>
      <c r="E500" t="inlineStr">
        <is>
          <t>ÅRE</t>
        </is>
      </c>
      <c r="G500" t="n">
        <v>11.8</v>
      </c>
      <c r="H500" t="n">
        <v>0</v>
      </c>
      <c r="I500" t="n">
        <v>0</v>
      </c>
      <c r="J500" t="n">
        <v>0</v>
      </c>
      <c r="K500" t="n">
        <v>0</v>
      </c>
      <c r="L500" t="n">
        <v>0</v>
      </c>
      <c r="M500" t="n">
        <v>0</v>
      </c>
      <c r="N500" t="n">
        <v>0</v>
      </c>
      <c r="O500" t="n">
        <v>0</v>
      </c>
      <c r="P500" t="n">
        <v>0</v>
      </c>
      <c r="Q500" t="n">
        <v>0</v>
      </c>
      <c r="R500" s="2" t="inlineStr"/>
    </row>
    <row r="501" ht="15" customHeight="1">
      <c r="A501" t="inlineStr">
        <is>
          <t>A 13082-2025</t>
        </is>
      </c>
      <c r="B501" s="1" t="n">
        <v>45734.62666666666</v>
      </c>
      <c r="C501" s="1" t="n">
        <v>46086</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53611-2024</t>
        </is>
      </c>
      <c r="B502" s="1" t="n">
        <v>45614.70510416666</v>
      </c>
      <c r="C502" s="1" t="n">
        <v>46086</v>
      </c>
      <c r="D502" t="inlineStr">
        <is>
          <t>JÄMTLANDS LÄN</t>
        </is>
      </c>
      <c r="E502" t="inlineStr">
        <is>
          <t>ÅRE</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61996-2025</t>
        </is>
      </c>
      <c r="B503" s="1" t="n">
        <v>46003.64273148148</v>
      </c>
      <c r="C503" s="1" t="n">
        <v>46086</v>
      </c>
      <c r="D503" t="inlineStr">
        <is>
          <t>JÄMTLANDS LÄN</t>
        </is>
      </c>
      <c r="E503" t="inlineStr">
        <is>
          <t>ÅRE</t>
        </is>
      </c>
      <c r="G503" t="n">
        <v>4.5</v>
      </c>
      <c r="H503" t="n">
        <v>0</v>
      </c>
      <c r="I503" t="n">
        <v>0</v>
      </c>
      <c r="J503" t="n">
        <v>0</v>
      </c>
      <c r="K503" t="n">
        <v>0</v>
      </c>
      <c r="L503" t="n">
        <v>0</v>
      </c>
      <c r="M503" t="n">
        <v>0</v>
      </c>
      <c r="N503" t="n">
        <v>0</v>
      </c>
      <c r="O503" t="n">
        <v>0</v>
      </c>
      <c r="P503" t="n">
        <v>0</v>
      </c>
      <c r="Q503" t="n">
        <v>0</v>
      </c>
      <c r="R503" s="2" t="inlineStr"/>
    </row>
    <row r="504" ht="15" customHeight="1">
      <c r="A504" t="inlineStr">
        <is>
          <t>A 62532-2025</t>
        </is>
      </c>
      <c r="B504" s="1" t="n">
        <v>46007.63630787037</v>
      </c>
      <c r="C504" s="1" t="n">
        <v>46086</v>
      </c>
      <c r="D504" t="inlineStr">
        <is>
          <t>JÄMTLANDS LÄN</t>
        </is>
      </c>
      <c r="E504" t="inlineStr">
        <is>
          <t>ÅRE</t>
        </is>
      </c>
      <c r="G504" t="n">
        <v>5</v>
      </c>
      <c r="H504" t="n">
        <v>0</v>
      </c>
      <c r="I504" t="n">
        <v>0</v>
      </c>
      <c r="J504" t="n">
        <v>0</v>
      </c>
      <c r="K504" t="n">
        <v>0</v>
      </c>
      <c r="L504" t="n">
        <v>0</v>
      </c>
      <c r="M504" t="n">
        <v>0</v>
      </c>
      <c r="N504" t="n">
        <v>0</v>
      </c>
      <c r="O504" t="n">
        <v>0</v>
      </c>
      <c r="P504" t="n">
        <v>0</v>
      </c>
      <c r="Q504" t="n">
        <v>0</v>
      </c>
      <c r="R504" s="2" t="inlineStr"/>
    </row>
    <row r="505" ht="15" customHeight="1">
      <c r="A505" t="inlineStr">
        <is>
          <t>A 62218-2025</t>
        </is>
      </c>
      <c r="B505" s="1" t="n">
        <v>46006.58048611111</v>
      </c>
      <c r="C505" s="1" t="n">
        <v>46086</v>
      </c>
      <c r="D505" t="inlineStr">
        <is>
          <t>JÄMTLANDS LÄN</t>
        </is>
      </c>
      <c r="E505" t="inlineStr">
        <is>
          <t>ÅRE</t>
        </is>
      </c>
      <c r="G505" t="n">
        <v>15.6</v>
      </c>
      <c r="H505" t="n">
        <v>0</v>
      </c>
      <c r="I505" t="n">
        <v>0</v>
      </c>
      <c r="J505" t="n">
        <v>0</v>
      </c>
      <c r="K505" t="n">
        <v>0</v>
      </c>
      <c r="L505" t="n">
        <v>0</v>
      </c>
      <c r="M505" t="n">
        <v>0</v>
      </c>
      <c r="N505" t="n">
        <v>0</v>
      </c>
      <c r="O505" t="n">
        <v>0</v>
      </c>
      <c r="P505" t="n">
        <v>0</v>
      </c>
      <c r="Q505" t="n">
        <v>0</v>
      </c>
      <c r="R505" s="2" t="inlineStr"/>
    </row>
    <row r="506" ht="15" customHeight="1">
      <c r="A506" t="inlineStr">
        <is>
          <t>A 62259-2025</t>
        </is>
      </c>
      <c r="B506" s="1" t="n">
        <v>46006.61553240741</v>
      </c>
      <c r="C506" s="1" t="n">
        <v>46086</v>
      </c>
      <c r="D506" t="inlineStr">
        <is>
          <t>JÄMTLANDS LÄN</t>
        </is>
      </c>
      <c r="E506" t="inlineStr">
        <is>
          <t>ÅRE</t>
        </is>
      </c>
      <c r="G506" t="n">
        <v>7.1</v>
      </c>
      <c r="H506" t="n">
        <v>0</v>
      </c>
      <c r="I506" t="n">
        <v>0</v>
      </c>
      <c r="J506" t="n">
        <v>0</v>
      </c>
      <c r="K506" t="n">
        <v>0</v>
      </c>
      <c r="L506" t="n">
        <v>0</v>
      </c>
      <c r="M506" t="n">
        <v>0</v>
      </c>
      <c r="N506" t="n">
        <v>0</v>
      </c>
      <c r="O506" t="n">
        <v>0</v>
      </c>
      <c r="P506" t="n">
        <v>0</v>
      </c>
      <c r="Q506" t="n">
        <v>0</v>
      </c>
      <c r="R506" s="2" t="inlineStr"/>
    </row>
    <row r="507" ht="15" customHeight="1">
      <c r="A507" t="inlineStr">
        <is>
          <t>A 62189-2025</t>
        </is>
      </c>
      <c r="B507" s="1" t="n">
        <v>46006.54729166667</v>
      </c>
      <c r="C507" s="1" t="n">
        <v>46086</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62520-2025</t>
        </is>
      </c>
      <c r="B508" s="1" t="n">
        <v>46007.61498842593</v>
      </c>
      <c r="C508" s="1" t="n">
        <v>46086</v>
      </c>
      <c r="D508" t="inlineStr">
        <is>
          <t>JÄMTLANDS LÄN</t>
        </is>
      </c>
      <c r="E508" t="inlineStr">
        <is>
          <t>ÅRE</t>
        </is>
      </c>
      <c r="G508" t="n">
        <v>0.9</v>
      </c>
      <c r="H508" t="n">
        <v>0</v>
      </c>
      <c r="I508" t="n">
        <v>0</v>
      </c>
      <c r="J508" t="n">
        <v>0</v>
      </c>
      <c r="K508" t="n">
        <v>0</v>
      </c>
      <c r="L508" t="n">
        <v>0</v>
      </c>
      <c r="M508" t="n">
        <v>0</v>
      </c>
      <c r="N508" t="n">
        <v>0</v>
      </c>
      <c r="O508" t="n">
        <v>0</v>
      </c>
      <c r="P508" t="n">
        <v>0</v>
      </c>
      <c r="Q508" t="n">
        <v>0</v>
      </c>
      <c r="R508" s="2" t="inlineStr"/>
    </row>
    <row r="509" ht="15" customHeight="1">
      <c r="A509" t="inlineStr">
        <is>
          <t>A 62521-2025</t>
        </is>
      </c>
      <c r="B509" s="1" t="n">
        <v>46007.61506944444</v>
      </c>
      <c r="C509" s="1" t="n">
        <v>46086</v>
      </c>
      <c r="D509" t="inlineStr">
        <is>
          <t>JÄMTLANDS LÄN</t>
        </is>
      </c>
      <c r="E509" t="inlineStr">
        <is>
          <t>ÅRE</t>
        </is>
      </c>
      <c r="F509" t="inlineStr">
        <is>
          <t>Övriga Aktiebolag</t>
        </is>
      </c>
      <c r="G509" t="n">
        <v>0.8</v>
      </c>
      <c r="H509" t="n">
        <v>0</v>
      </c>
      <c r="I509" t="n">
        <v>0</v>
      </c>
      <c r="J509" t="n">
        <v>0</v>
      </c>
      <c r="K509" t="n">
        <v>0</v>
      </c>
      <c r="L509" t="n">
        <v>0</v>
      </c>
      <c r="M509" t="n">
        <v>0</v>
      </c>
      <c r="N509" t="n">
        <v>0</v>
      </c>
      <c r="O509" t="n">
        <v>0</v>
      </c>
      <c r="P509" t="n">
        <v>0</v>
      </c>
      <c r="Q509" t="n">
        <v>0</v>
      </c>
      <c r="R509" s="2" t="inlineStr"/>
    </row>
    <row r="510" ht="15" customHeight="1">
      <c r="A510" t="inlineStr">
        <is>
          <t>A 62056-2025</t>
        </is>
      </c>
      <c r="B510" s="1" t="n">
        <v>46006</v>
      </c>
      <c r="C510" s="1" t="n">
        <v>46086</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62210-2025</t>
        </is>
      </c>
      <c r="B511" s="1" t="n">
        <v>46006.5666087963</v>
      </c>
      <c r="C511" s="1" t="n">
        <v>46086</v>
      </c>
      <c r="D511" t="inlineStr">
        <is>
          <t>JÄMTLANDS LÄN</t>
        </is>
      </c>
      <c r="E511" t="inlineStr">
        <is>
          <t>ÅRE</t>
        </is>
      </c>
      <c r="G511" t="n">
        <v>0.9</v>
      </c>
      <c r="H511" t="n">
        <v>0</v>
      </c>
      <c r="I511" t="n">
        <v>0</v>
      </c>
      <c r="J511" t="n">
        <v>0</v>
      </c>
      <c r="K511" t="n">
        <v>0</v>
      </c>
      <c r="L511" t="n">
        <v>0</v>
      </c>
      <c r="M511" t="n">
        <v>0</v>
      </c>
      <c r="N511" t="n">
        <v>0</v>
      </c>
      <c r="O511" t="n">
        <v>0</v>
      </c>
      <c r="P511" t="n">
        <v>0</v>
      </c>
      <c r="Q511" t="n">
        <v>0</v>
      </c>
      <c r="R511" s="2" t="inlineStr"/>
    </row>
    <row r="512" ht="15" customHeight="1">
      <c r="A512" t="inlineStr">
        <is>
          <t>A 62530-2025</t>
        </is>
      </c>
      <c r="B512" s="1" t="n">
        <v>46007.63618055556</v>
      </c>
      <c r="C512" s="1" t="n">
        <v>46086</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26032-2023</t>
        </is>
      </c>
      <c r="B513" s="1" t="n">
        <v>45091.31304398148</v>
      </c>
      <c r="C513" s="1" t="n">
        <v>46086</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26033-2023</t>
        </is>
      </c>
      <c r="B514" s="1" t="n">
        <v>45091.31530092593</v>
      </c>
      <c r="C514" s="1" t="n">
        <v>46086</v>
      </c>
      <c r="D514" t="inlineStr">
        <is>
          <t>JÄMTLANDS LÄN</t>
        </is>
      </c>
      <c r="E514" t="inlineStr">
        <is>
          <t>ÅRE</t>
        </is>
      </c>
      <c r="G514" t="n">
        <v>0.7</v>
      </c>
      <c r="H514" t="n">
        <v>0</v>
      </c>
      <c r="I514" t="n">
        <v>0</v>
      </c>
      <c r="J514" t="n">
        <v>0</v>
      </c>
      <c r="K514" t="n">
        <v>0</v>
      </c>
      <c r="L514" t="n">
        <v>0</v>
      </c>
      <c r="M514" t="n">
        <v>0</v>
      </c>
      <c r="N514" t="n">
        <v>0</v>
      </c>
      <c r="O514" t="n">
        <v>0</v>
      </c>
      <c r="P514" t="n">
        <v>0</v>
      </c>
      <c r="Q514" t="n">
        <v>0</v>
      </c>
      <c r="R514" s="2" t="inlineStr"/>
    </row>
    <row r="515" ht="15" customHeight="1">
      <c r="A515" t="inlineStr">
        <is>
          <t>A 13221-2022</t>
        </is>
      </c>
      <c r="B515" s="1" t="n">
        <v>44644</v>
      </c>
      <c r="C515" s="1" t="n">
        <v>46086</v>
      </c>
      <c r="D515" t="inlineStr">
        <is>
          <t>JÄMTLANDS LÄN</t>
        </is>
      </c>
      <c r="E515" t="inlineStr">
        <is>
          <t>ÅRE</t>
        </is>
      </c>
      <c r="F515" t="inlineStr">
        <is>
          <t>Övriga Aktiebolag</t>
        </is>
      </c>
      <c r="G515" t="n">
        <v>6.6</v>
      </c>
      <c r="H515" t="n">
        <v>0</v>
      </c>
      <c r="I515" t="n">
        <v>0</v>
      </c>
      <c r="J515" t="n">
        <v>0</v>
      </c>
      <c r="K515" t="n">
        <v>0</v>
      </c>
      <c r="L515" t="n">
        <v>0</v>
      </c>
      <c r="M515" t="n">
        <v>0</v>
      </c>
      <c r="N515" t="n">
        <v>0</v>
      </c>
      <c r="O515" t="n">
        <v>0</v>
      </c>
      <c r="P515" t="n">
        <v>0</v>
      </c>
      <c r="Q515" t="n">
        <v>0</v>
      </c>
      <c r="R515" s="2" t="inlineStr"/>
    </row>
    <row r="516" ht="15" customHeight="1">
      <c r="A516" t="inlineStr">
        <is>
          <t>A 39071-2024</t>
        </is>
      </c>
      <c r="B516" s="1" t="n">
        <v>45548.53193287037</v>
      </c>
      <c r="C516" s="1" t="n">
        <v>46086</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63020-2025</t>
        </is>
      </c>
      <c r="B517" s="1" t="n">
        <v>46009.59424768519</v>
      </c>
      <c r="C517" s="1" t="n">
        <v>46086</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59325-2024</t>
        </is>
      </c>
      <c r="B518" s="1" t="n">
        <v>45636</v>
      </c>
      <c r="C518" s="1" t="n">
        <v>46086</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5888-2026</t>
        </is>
      </c>
      <c r="B519" s="1" t="n">
        <v>46052.41568287037</v>
      </c>
      <c r="C519" s="1" t="n">
        <v>46086</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6141-2026</t>
        </is>
      </c>
      <c r="B520" s="1" t="n">
        <v>46054.81873842593</v>
      </c>
      <c r="C520" s="1" t="n">
        <v>46086</v>
      </c>
      <c r="D520" t="inlineStr">
        <is>
          <t>JÄMTLANDS LÄN</t>
        </is>
      </c>
      <c r="E520" t="inlineStr">
        <is>
          <t>ÅRE</t>
        </is>
      </c>
      <c r="G520" t="n">
        <v>3</v>
      </c>
      <c r="H520" t="n">
        <v>0</v>
      </c>
      <c r="I520" t="n">
        <v>0</v>
      </c>
      <c r="J520" t="n">
        <v>0</v>
      </c>
      <c r="K520" t="n">
        <v>0</v>
      </c>
      <c r="L520" t="n">
        <v>0</v>
      </c>
      <c r="M520" t="n">
        <v>0</v>
      </c>
      <c r="N520" t="n">
        <v>0</v>
      </c>
      <c r="O520" t="n">
        <v>0</v>
      </c>
      <c r="P520" t="n">
        <v>0</v>
      </c>
      <c r="Q520" t="n">
        <v>0</v>
      </c>
      <c r="R520" s="2" t="inlineStr"/>
    </row>
    <row r="521" ht="15" customHeight="1">
      <c r="A521" t="inlineStr">
        <is>
          <t>A 20804-2024</t>
        </is>
      </c>
      <c r="B521" s="1" t="n">
        <v>45439.30988425926</v>
      </c>
      <c r="C521" s="1" t="n">
        <v>46086</v>
      </c>
      <c r="D521" t="inlineStr">
        <is>
          <t>JÄMTLANDS LÄN</t>
        </is>
      </c>
      <c r="E521" t="inlineStr">
        <is>
          <t>ÅRE</t>
        </is>
      </c>
      <c r="G521" t="n">
        <v>6.4</v>
      </c>
      <c r="H521" t="n">
        <v>0</v>
      </c>
      <c r="I521" t="n">
        <v>0</v>
      </c>
      <c r="J521" t="n">
        <v>0</v>
      </c>
      <c r="K521" t="n">
        <v>0</v>
      </c>
      <c r="L521" t="n">
        <v>0</v>
      </c>
      <c r="M521" t="n">
        <v>0</v>
      </c>
      <c r="N521" t="n">
        <v>0</v>
      </c>
      <c r="O521" t="n">
        <v>0</v>
      </c>
      <c r="P521" t="n">
        <v>0</v>
      </c>
      <c r="Q521" t="n">
        <v>0</v>
      </c>
      <c r="R521" s="2" t="inlineStr"/>
    </row>
    <row r="522" ht="15" customHeight="1">
      <c r="A522" t="inlineStr">
        <is>
          <t>A 12669-2023</t>
        </is>
      </c>
      <c r="B522" s="1" t="n">
        <v>45000</v>
      </c>
      <c r="C522" s="1" t="n">
        <v>46086</v>
      </c>
      <c r="D522" t="inlineStr">
        <is>
          <t>JÄMTLANDS LÄN</t>
        </is>
      </c>
      <c r="E522" t="inlineStr">
        <is>
          <t>ÅRE</t>
        </is>
      </c>
      <c r="F522" t="inlineStr">
        <is>
          <t>Övriga Aktiebolag</t>
        </is>
      </c>
      <c r="G522" t="n">
        <v>2.8</v>
      </c>
      <c r="H522" t="n">
        <v>0</v>
      </c>
      <c r="I522" t="n">
        <v>0</v>
      </c>
      <c r="J522" t="n">
        <v>0</v>
      </c>
      <c r="K522" t="n">
        <v>0</v>
      </c>
      <c r="L522" t="n">
        <v>0</v>
      </c>
      <c r="M522" t="n">
        <v>0</v>
      </c>
      <c r="N522" t="n">
        <v>0</v>
      </c>
      <c r="O522" t="n">
        <v>0</v>
      </c>
      <c r="P522" t="n">
        <v>0</v>
      </c>
      <c r="Q522" t="n">
        <v>0</v>
      </c>
      <c r="R522" s="2" t="inlineStr"/>
    </row>
    <row r="523" ht="15" customHeight="1">
      <c r="A523" t="inlineStr">
        <is>
          <t>A 63225-2025</t>
        </is>
      </c>
      <c r="B523" s="1" t="n">
        <v>46010.49605324074</v>
      </c>
      <c r="C523" s="1" t="n">
        <v>46086</v>
      </c>
      <c r="D523" t="inlineStr">
        <is>
          <t>JÄMTLANDS LÄN</t>
        </is>
      </c>
      <c r="E523" t="inlineStr">
        <is>
          <t>ÅRE</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6219-2026</t>
        </is>
      </c>
      <c r="B524" s="1" t="n">
        <v>46055.43142361111</v>
      </c>
      <c r="C524" s="1" t="n">
        <v>46086</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21897-2021</t>
        </is>
      </c>
      <c r="B525" s="1" t="n">
        <v>44322</v>
      </c>
      <c r="C525" s="1" t="n">
        <v>46086</v>
      </c>
      <c r="D525" t="inlineStr">
        <is>
          <t>JÄMTLANDS LÄN</t>
        </is>
      </c>
      <c r="E525" t="inlineStr">
        <is>
          <t>ÅRE</t>
        </is>
      </c>
      <c r="G525" t="n">
        <v>41.4</v>
      </c>
      <c r="H525" t="n">
        <v>0</v>
      </c>
      <c r="I525" t="n">
        <v>0</v>
      </c>
      <c r="J525" t="n">
        <v>0</v>
      </c>
      <c r="K525" t="n">
        <v>0</v>
      </c>
      <c r="L525" t="n">
        <v>0</v>
      </c>
      <c r="M525" t="n">
        <v>0</v>
      </c>
      <c r="N525" t="n">
        <v>0</v>
      </c>
      <c r="O525" t="n">
        <v>0</v>
      </c>
      <c r="P525" t="n">
        <v>0</v>
      </c>
      <c r="Q525" t="n">
        <v>0</v>
      </c>
      <c r="R525" s="2" t="inlineStr"/>
    </row>
    <row r="526" ht="15" customHeight="1">
      <c r="A526" t="inlineStr">
        <is>
          <t>A 49267-2024</t>
        </is>
      </c>
      <c r="B526" s="1" t="n">
        <v>45595</v>
      </c>
      <c r="C526" s="1" t="n">
        <v>46086</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13383-2022</t>
        </is>
      </c>
      <c r="B527" s="1" t="n">
        <v>44637</v>
      </c>
      <c r="C527" s="1" t="n">
        <v>46086</v>
      </c>
      <c r="D527" t="inlineStr">
        <is>
          <t>JÄMTLANDS LÄN</t>
        </is>
      </c>
      <c r="E527" t="inlineStr">
        <is>
          <t>ÅRE</t>
        </is>
      </c>
      <c r="G527" t="n">
        <v>2.2</v>
      </c>
      <c r="H527" t="n">
        <v>0</v>
      </c>
      <c r="I527" t="n">
        <v>0</v>
      </c>
      <c r="J527" t="n">
        <v>0</v>
      </c>
      <c r="K527" t="n">
        <v>0</v>
      </c>
      <c r="L527" t="n">
        <v>0</v>
      </c>
      <c r="M527" t="n">
        <v>0</v>
      </c>
      <c r="N527" t="n">
        <v>0</v>
      </c>
      <c r="O527" t="n">
        <v>0</v>
      </c>
      <c r="P527" t="n">
        <v>0</v>
      </c>
      <c r="Q527" t="n">
        <v>0</v>
      </c>
      <c r="R527" s="2" t="inlineStr"/>
    </row>
    <row r="528" ht="15" customHeight="1">
      <c r="A528" t="inlineStr">
        <is>
          <t>A 50574-2025</t>
        </is>
      </c>
      <c r="B528" s="1" t="n">
        <v>45945</v>
      </c>
      <c r="C528" s="1" t="n">
        <v>46086</v>
      </c>
      <c r="D528" t="inlineStr">
        <is>
          <t>JÄMTLANDS LÄN</t>
        </is>
      </c>
      <c r="E528" t="inlineStr">
        <is>
          <t>ÅRE</t>
        </is>
      </c>
      <c r="G528" t="n">
        <v>16.1</v>
      </c>
      <c r="H528" t="n">
        <v>0</v>
      </c>
      <c r="I528" t="n">
        <v>0</v>
      </c>
      <c r="J528" t="n">
        <v>0</v>
      </c>
      <c r="K528" t="n">
        <v>0</v>
      </c>
      <c r="L528" t="n">
        <v>0</v>
      </c>
      <c r="M528" t="n">
        <v>0</v>
      </c>
      <c r="N528" t="n">
        <v>0</v>
      </c>
      <c r="O528" t="n">
        <v>0</v>
      </c>
      <c r="P528" t="n">
        <v>0</v>
      </c>
      <c r="Q528" t="n">
        <v>0</v>
      </c>
      <c r="R528" s="2" t="inlineStr"/>
    </row>
    <row r="529" ht="15" customHeight="1">
      <c r="A529" t="inlineStr">
        <is>
          <t>A 45378-2025</t>
        </is>
      </c>
      <c r="B529" s="1" t="n">
        <v>45922</v>
      </c>
      <c r="C529" s="1" t="n">
        <v>46086</v>
      </c>
      <c r="D529" t="inlineStr">
        <is>
          <t>JÄMTLANDS LÄN</t>
        </is>
      </c>
      <c r="E529" t="inlineStr">
        <is>
          <t>ÅRE</t>
        </is>
      </c>
      <c r="G529" t="n">
        <v>15.7</v>
      </c>
      <c r="H529" t="n">
        <v>0</v>
      </c>
      <c r="I529" t="n">
        <v>0</v>
      </c>
      <c r="J529" t="n">
        <v>0</v>
      </c>
      <c r="K529" t="n">
        <v>0</v>
      </c>
      <c r="L529" t="n">
        <v>0</v>
      </c>
      <c r="M529" t="n">
        <v>0</v>
      </c>
      <c r="N529" t="n">
        <v>0</v>
      </c>
      <c r="O529" t="n">
        <v>0</v>
      </c>
      <c r="P529" t="n">
        <v>0</v>
      </c>
      <c r="Q529" t="n">
        <v>0</v>
      </c>
      <c r="R529" s="2" t="inlineStr"/>
    </row>
    <row r="530" ht="15" customHeight="1">
      <c r="A530" t="inlineStr">
        <is>
          <t>A 23805-2024</t>
        </is>
      </c>
      <c r="B530" s="1" t="n">
        <v>45455.44194444444</v>
      </c>
      <c r="C530" s="1" t="n">
        <v>46086</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42876-2025</t>
        </is>
      </c>
      <c r="B531" s="1" t="n">
        <v>45908</v>
      </c>
      <c r="C531" s="1" t="n">
        <v>46086</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60913-2025</t>
        </is>
      </c>
      <c r="B532" s="1" t="n">
        <v>45999</v>
      </c>
      <c r="C532" s="1" t="n">
        <v>46086</v>
      </c>
      <c r="D532" t="inlineStr">
        <is>
          <t>JÄMTLANDS LÄN</t>
        </is>
      </c>
      <c r="E532" t="inlineStr">
        <is>
          <t>ÅRE</t>
        </is>
      </c>
      <c r="F532" t="inlineStr">
        <is>
          <t>Övriga Aktiebolag</t>
        </is>
      </c>
      <c r="G532" t="n">
        <v>19.9</v>
      </c>
      <c r="H532" t="n">
        <v>0</v>
      </c>
      <c r="I532" t="n">
        <v>0</v>
      </c>
      <c r="J532" t="n">
        <v>0</v>
      </c>
      <c r="K532" t="n">
        <v>0</v>
      </c>
      <c r="L532" t="n">
        <v>0</v>
      </c>
      <c r="M532" t="n">
        <v>0</v>
      </c>
      <c r="N532" t="n">
        <v>0</v>
      </c>
      <c r="O532" t="n">
        <v>0</v>
      </c>
      <c r="P532" t="n">
        <v>0</v>
      </c>
      <c r="Q532" t="n">
        <v>0</v>
      </c>
      <c r="R532" s="2" t="inlineStr"/>
    </row>
    <row r="533" ht="15" customHeight="1">
      <c r="A533" t="inlineStr">
        <is>
          <t>A 55129-2025</t>
        </is>
      </c>
      <c r="B533" s="1" t="n">
        <v>45968</v>
      </c>
      <c r="C533" s="1" t="n">
        <v>46086</v>
      </c>
      <c r="D533" t="inlineStr">
        <is>
          <t>JÄMTLANDS LÄN</t>
        </is>
      </c>
      <c r="E533" t="inlineStr">
        <is>
          <t>ÅRE</t>
        </is>
      </c>
      <c r="F533" t="inlineStr">
        <is>
          <t>Övriga Aktiebolag</t>
        </is>
      </c>
      <c r="G533" t="n">
        <v>103.3</v>
      </c>
      <c r="H533" t="n">
        <v>0</v>
      </c>
      <c r="I533" t="n">
        <v>0</v>
      </c>
      <c r="J533" t="n">
        <v>0</v>
      </c>
      <c r="K533" t="n">
        <v>0</v>
      </c>
      <c r="L533" t="n">
        <v>0</v>
      </c>
      <c r="M533" t="n">
        <v>0</v>
      </c>
      <c r="N533" t="n">
        <v>0</v>
      </c>
      <c r="O533" t="n">
        <v>0</v>
      </c>
      <c r="P533" t="n">
        <v>0</v>
      </c>
      <c r="Q533" t="n">
        <v>0</v>
      </c>
      <c r="R533" s="2" t="inlineStr"/>
    </row>
    <row r="534" ht="15" customHeight="1">
      <c r="A534" t="inlineStr">
        <is>
          <t>A 58395-2025</t>
        </is>
      </c>
      <c r="B534" s="1" t="n">
        <v>45985</v>
      </c>
      <c r="C534" s="1" t="n">
        <v>46086</v>
      </c>
      <c r="D534" t="inlineStr">
        <is>
          <t>JÄMTLANDS LÄN</t>
        </is>
      </c>
      <c r="E534" t="inlineStr">
        <is>
          <t>ÅRE</t>
        </is>
      </c>
      <c r="F534" t="inlineStr">
        <is>
          <t>Övriga Aktiebolag</t>
        </is>
      </c>
      <c r="G534" t="n">
        <v>4.1</v>
      </c>
      <c r="H534" t="n">
        <v>0</v>
      </c>
      <c r="I534" t="n">
        <v>0</v>
      </c>
      <c r="J534" t="n">
        <v>0</v>
      </c>
      <c r="K534" t="n">
        <v>0</v>
      </c>
      <c r="L534" t="n">
        <v>0</v>
      </c>
      <c r="M534" t="n">
        <v>0</v>
      </c>
      <c r="N534" t="n">
        <v>0</v>
      </c>
      <c r="O534" t="n">
        <v>0</v>
      </c>
      <c r="P534" t="n">
        <v>0</v>
      </c>
      <c r="Q534" t="n">
        <v>0</v>
      </c>
      <c r="R534" s="2" t="inlineStr"/>
    </row>
    <row r="535" ht="15" customHeight="1">
      <c r="A535" t="inlineStr">
        <is>
          <t>A 59698-2025</t>
        </is>
      </c>
      <c r="B535" s="1" t="n">
        <v>45992</v>
      </c>
      <c r="C535" s="1" t="n">
        <v>46086</v>
      </c>
      <c r="D535" t="inlineStr">
        <is>
          <t>JÄMTLANDS LÄN</t>
        </is>
      </c>
      <c r="E535" t="inlineStr">
        <is>
          <t>ÅRE</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71043-2021</t>
        </is>
      </c>
      <c r="B536" s="1" t="n">
        <v>44538</v>
      </c>
      <c r="C536" s="1" t="n">
        <v>46086</v>
      </c>
      <c r="D536" t="inlineStr">
        <is>
          <t>JÄMTLANDS LÄN</t>
        </is>
      </c>
      <c r="E536" t="inlineStr">
        <is>
          <t>ÅRE</t>
        </is>
      </c>
      <c r="G536" t="n">
        <v>0.4</v>
      </c>
      <c r="H536" t="n">
        <v>0</v>
      </c>
      <c r="I536" t="n">
        <v>0</v>
      </c>
      <c r="J536" t="n">
        <v>0</v>
      </c>
      <c r="K536" t="n">
        <v>0</v>
      </c>
      <c r="L536" t="n">
        <v>0</v>
      </c>
      <c r="M536" t="n">
        <v>0</v>
      </c>
      <c r="N536" t="n">
        <v>0</v>
      </c>
      <c r="O536" t="n">
        <v>0</v>
      </c>
      <c r="P536" t="n">
        <v>0</v>
      </c>
      <c r="Q536" t="n">
        <v>0</v>
      </c>
      <c r="R536" s="2" t="inlineStr"/>
    </row>
    <row r="537" ht="15" customHeight="1">
      <c r="A537" t="inlineStr">
        <is>
          <t>A 17566-2023</t>
        </is>
      </c>
      <c r="B537" s="1" t="n">
        <v>45034</v>
      </c>
      <c r="C537" s="1" t="n">
        <v>46086</v>
      </c>
      <c r="D537" t="inlineStr">
        <is>
          <t>JÄMTLANDS LÄN</t>
        </is>
      </c>
      <c r="E537" t="inlineStr">
        <is>
          <t>ÅRE</t>
        </is>
      </c>
      <c r="G537" t="n">
        <v>4.8</v>
      </c>
      <c r="H537" t="n">
        <v>0</v>
      </c>
      <c r="I537" t="n">
        <v>0</v>
      </c>
      <c r="J537" t="n">
        <v>0</v>
      </c>
      <c r="K537" t="n">
        <v>0</v>
      </c>
      <c r="L537" t="n">
        <v>0</v>
      </c>
      <c r="M537" t="n">
        <v>0</v>
      </c>
      <c r="N537" t="n">
        <v>0</v>
      </c>
      <c r="O537" t="n">
        <v>0</v>
      </c>
      <c r="P537" t="n">
        <v>0</v>
      </c>
      <c r="Q537" t="n">
        <v>0</v>
      </c>
      <c r="R537" s="2" t="inlineStr"/>
    </row>
    <row r="538" ht="15" customHeight="1">
      <c r="A538" t="inlineStr">
        <is>
          <t>A 54186-2024</t>
        </is>
      </c>
      <c r="B538" s="1" t="n">
        <v>45616</v>
      </c>
      <c r="C538" s="1" t="n">
        <v>46086</v>
      </c>
      <c r="D538" t="inlineStr">
        <is>
          <t>JÄMTLANDS LÄN</t>
        </is>
      </c>
      <c r="E538" t="inlineStr">
        <is>
          <t>ÅRE</t>
        </is>
      </c>
      <c r="G538" t="n">
        <v>2.9</v>
      </c>
      <c r="H538" t="n">
        <v>0</v>
      </c>
      <c r="I538" t="n">
        <v>0</v>
      </c>
      <c r="J538" t="n">
        <v>0</v>
      </c>
      <c r="K538" t="n">
        <v>0</v>
      </c>
      <c r="L538" t="n">
        <v>0</v>
      </c>
      <c r="M538" t="n">
        <v>0</v>
      </c>
      <c r="N538" t="n">
        <v>0</v>
      </c>
      <c r="O538" t="n">
        <v>0</v>
      </c>
      <c r="P538" t="n">
        <v>0</v>
      </c>
      <c r="Q538" t="n">
        <v>0</v>
      </c>
      <c r="R538" s="2" t="inlineStr"/>
    </row>
    <row r="539" ht="15" customHeight="1">
      <c r="A539" t="inlineStr">
        <is>
          <t>A 8443-2023</t>
        </is>
      </c>
      <c r="B539" s="1" t="n">
        <v>44977</v>
      </c>
      <c r="C539" s="1" t="n">
        <v>46086</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47069-2024</t>
        </is>
      </c>
      <c r="B540" s="1" t="n">
        <v>45586.48003472222</v>
      </c>
      <c r="C540" s="1" t="n">
        <v>46086</v>
      </c>
      <c r="D540" t="inlineStr">
        <is>
          <t>JÄMTLANDS LÄN</t>
        </is>
      </c>
      <c r="E540" t="inlineStr">
        <is>
          <t>ÅRE</t>
        </is>
      </c>
      <c r="G540" t="n">
        <v>7.1</v>
      </c>
      <c r="H540" t="n">
        <v>0</v>
      </c>
      <c r="I540" t="n">
        <v>0</v>
      </c>
      <c r="J540" t="n">
        <v>0</v>
      </c>
      <c r="K540" t="n">
        <v>0</v>
      </c>
      <c r="L540" t="n">
        <v>0</v>
      </c>
      <c r="M540" t="n">
        <v>0</v>
      </c>
      <c r="N540" t="n">
        <v>0</v>
      </c>
      <c r="O540" t="n">
        <v>0</v>
      </c>
      <c r="P540" t="n">
        <v>0</v>
      </c>
      <c r="Q540" t="n">
        <v>0</v>
      </c>
      <c r="R540" s="2" t="inlineStr"/>
    </row>
    <row r="541" ht="15" customHeight="1">
      <c r="A541" t="inlineStr">
        <is>
          <t>A 57816-2025</t>
        </is>
      </c>
      <c r="B541" s="1" t="n">
        <v>45981.59471064815</v>
      </c>
      <c r="C541" s="1" t="n">
        <v>46086</v>
      </c>
      <c r="D541" t="inlineStr">
        <is>
          <t>JÄMTLANDS LÄN</t>
        </is>
      </c>
      <c r="E541" t="inlineStr">
        <is>
          <t>ÅRE</t>
        </is>
      </c>
      <c r="G541" t="n">
        <v>5.8</v>
      </c>
      <c r="H541" t="n">
        <v>0</v>
      </c>
      <c r="I541" t="n">
        <v>0</v>
      </c>
      <c r="J541" t="n">
        <v>0</v>
      </c>
      <c r="K541" t="n">
        <v>0</v>
      </c>
      <c r="L541" t="n">
        <v>0</v>
      </c>
      <c r="M541" t="n">
        <v>0</v>
      </c>
      <c r="N541" t="n">
        <v>0</v>
      </c>
      <c r="O541" t="n">
        <v>0</v>
      </c>
      <c r="P541" t="n">
        <v>0</v>
      </c>
      <c r="Q541" t="n">
        <v>0</v>
      </c>
      <c r="R541" s="2" t="inlineStr"/>
    </row>
    <row r="542" ht="15" customHeight="1">
      <c r="A542" t="inlineStr">
        <is>
          <t>A 19275-2021</t>
        </is>
      </c>
      <c r="B542" s="1" t="n">
        <v>44309</v>
      </c>
      <c r="C542" s="1" t="n">
        <v>46086</v>
      </c>
      <c r="D542" t="inlineStr">
        <is>
          <t>JÄMTLANDS LÄN</t>
        </is>
      </c>
      <c r="E542" t="inlineStr">
        <is>
          <t>ÅRE</t>
        </is>
      </c>
      <c r="G542" t="n">
        <v>16.4</v>
      </c>
      <c r="H542" t="n">
        <v>0</v>
      </c>
      <c r="I542" t="n">
        <v>0</v>
      </c>
      <c r="J542" t="n">
        <v>0</v>
      </c>
      <c r="K542" t="n">
        <v>0</v>
      </c>
      <c r="L542" t="n">
        <v>0</v>
      </c>
      <c r="M542" t="n">
        <v>0</v>
      </c>
      <c r="N542" t="n">
        <v>0</v>
      </c>
      <c r="O542" t="n">
        <v>0</v>
      </c>
      <c r="P542" t="n">
        <v>0</v>
      </c>
      <c r="Q542" t="n">
        <v>0</v>
      </c>
      <c r="R542" s="2" t="inlineStr"/>
    </row>
    <row r="543" ht="15" customHeight="1">
      <c r="A543" t="inlineStr">
        <is>
          <t>A 7089-2026</t>
        </is>
      </c>
      <c r="B543" s="1" t="n">
        <v>46058.34428240741</v>
      </c>
      <c r="C543" s="1" t="n">
        <v>46086</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3196-2023</t>
        </is>
      </c>
      <c r="B544" s="1" t="n">
        <v>44946</v>
      </c>
      <c r="C544" s="1" t="n">
        <v>46086</v>
      </c>
      <c r="D544" t="inlineStr">
        <is>
          <t>JÄMTLANDS LÄN</t>
        </is>
      </c>
      <c r="E544" t="inlineStr">
        <is>
          <t>ÅRE</t>
        </is>
      </c>
      <c r="G544" t="n">
        <v>5.1</v>
      </c>
      <c r="H544" t="n">
        <v>0</v>
      </c>
      <c r="I544" t="n">
        <v>0</v>
      </c>
      <c r="J544" t="n">
        <v>0</v>
      </c>
      <c r="K544" t="n">
        <v>0</v>
      </c>
      <c r="L544" t="n">
        <v>0</v>
      </c>
      <c r="M544" t="n">
        <v>0</v>
      </c>
      <c r="N544" t="n">
        <v>0</v>
      </c>
      <c r="O544" t="n">
        <v>0</v>
      </c>
      <c r="P544" t="n">
        <v>0</v>
      </c>
      <c r="Q544" t="n">
        <v>0</v>
      </c>
      <c r="R544" s="2" t="inlineStr"/>
    </row>
    <row r="545" ht="15" customHeight="1">
      <c r="A545" t="inlineStr">
        <is>
          <t>A 7297-2026</t>
        </is>
      </c>
      <c r="B545" s="1" t="n">
        <v>46058.64458333333</v>
      </c>
      <c r="C545" s="1" t="n">
        <v>46086</v>
      </c>
      <c r="D545" t="inlineStr">
        <is>
          <t>JÄMTLANDS LÄN</t>
        </is>
      </c>
      <c r="E545" t="inlineStr">
        <is>
          <t>ÅRE</t>
        </is>
      </c>
      <c r="F545" t="inlineStr">
        <is>
          <t>Övriga Aktiebolag</t>
        </is>
      </c>
      <c r="G545" t="n">
        <v>19.1</v>
      </c>
      <c r="H545" t="n">
        <v>0</v>
      </c>
      <c r="I545" t="n">
        <v>0</v>
      </c>
      <c r="J545" t="n">
        <v>0</v>
      </c>
      <c r="K545" t="n">
        <v>0</v>
      </c>
      <c r="L545" t="n">
        <v>0</v>
      </c>
      <c r="M545" t="n">
        <v>0</v>
      </c>
      <c r="N545" t="n">
        <v>0</v>
      </c>
      <c r="O545" t="n">
        <v>0</v>
      </c>
      <c r="P545" t="n">
        <v>0</v>
      </c>
      <c r="Q545" t="n">
        <v>0</v>
      </c>
      <c r="R545" s="2" t="inlineStr"/>
    </row>
    <row r="546" ht="15" customHeight="1">
      <c r="A546" t="inlineStr">
        <is>
          <t>A 56736-2023</t>
        </is>
      </c>
      <c r="B546" s="1" t="n">
        <v>45244</v>
      </c>
      <c r="C546" s="1" t="n">
        <v>46086</v>
      </c>
      <c r="D546" t="inlineStr">
        <is>
          <t>JÄMTLANDS LÄN</t>
        </is>
      </c>
      <c r="E546" t="inlineStr">
        <is>
          <t>ÅRE</t>
        </is>
      </c>
      <c r="F546" t="inlineStr">
        <is>
          <t>Övriga Aktiebolag</t>
        </is>
      </c>
      <c r="G546" t="n">
        <v>10.7</v>
      </c>
      <c r="H546" t="n">
        <v>0</v>
      </c>
      <c r="I546" t="n">
        <v>0</v>
      </c>
      <c r="J546" t="n">
        <v>0</v>
      </c>
      <c r="K546" t="n">
        <v>0</v>
      </c>
      <c r="L546" t="n">
        <v>0</v>
      </c>
      <c r="M546" t="n">
        <v>0</v>
      </c>
      <c r="N546" t="n">
        <v>0</v>
      </c>
      <c r="O546" t="n">
        <v>0</v>
      </c>
      <c r="P546" t="n">
        <v>0</v>
      </c>
      <c r="Q546" t="n">
        <v>0</v>
      </c>
      <c r="R546" s="2" t="inlineStr"/>
    </row>
    <row r="547" ht="15" customHeight="1">
      <c r="A547" t="inlineStr">
        <is>
          <t>A 63838-2025</t>
        </is>
      </c>
      <c r="B547" s="1" t="n">
        <v>46020.4169212963</v>
      </c>
      <c r="C547" s="1" t="n">
        <v>46086</v>
      </c>
      <c r="D547" t="inlineStr">
        <is>
          <t>JÄMTLANDS LÄN</t>
        </is>
      </c>
      <c r="E547" t="inlineStr">
        <is>
          <t>ÅRE</t>
        </is>
      </c>
      <c r="G547" t="n">
        <v>3.7</v>
      </c>
      <c r="H547" t="n">
        <v>0</v>
      </c>
      <c r="I547" t="n">
        <v>0</v>
      </c>
      <c r="J547" t="n">
        <v>0</v>
      </c>
      <c r="K547" t="n">
        <v>0</v>
      </c>
      <c r="L547" t="n">
        <v>0</v>
      </c>
      <c r="M547" t="n">
        <v>0</v>
      </c>
      <c r="N547" t="n">
        <v>0</v>
      </c>
      <c r="O547" t="n">
        <v>0</v>
      </c>
      <c r="P547" t="n">
        <v>0</v>
      </c>
      <c r="Q547" t="n">
        <v>0</v>
      </c>
      <c r="R547" s="2" t="inlineStr"/>
    </row>
    <row r="548" ht="15" customHeight="1">
      <c r="A548" t="inlineStr">
        <is>
          <t>A 51317-2023</t>
        </is>
      </c>
      <c r="B548" s="1" t="n">
        <v>45219.57061342592</v>
      </c>
      <c r="C548" s="1" t="n">
        <v>46086</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15482-2024</t>
        </is>
      </c>
      <c r="B549" s="1" t="n">
        <v>45401.49361111111</v>
      </c>
      <c r="C549" s="1" t="n">
        <v>46086</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63860-2025</t>
        </is>
      </c>
      <c r="B550" s="1" t="n">
        <v>46020.48969907407</v>
      </c>
      <c r="C550" s="1" t="n">
        <v>46086</v>
      </c>
      <c r="D550" t="inlineStr">
        <is>
          <t>JÄMTLANDS LÄN</t>
        </is>
      </c>
      <c r="E550" t="inlineStr">
        <is>
          <t>ÅRE</t>
        </is>
      </c>
      <c r="G550" t="n">
        <v>4.1</v>
      </c>
      <c r="H550" t="n">
        <v>0</v>
      </c>
      <c r="I550" t="n">
        <v>0</v>
      </c>
      <c r="J550" t="n">
        <v>0</v>
      </c>
      <c r="K550" t="n">
        <v>0</v>
      </c>
      <c r="L550" t="n">
        <v>0</v>
      </c>
      <c r="M550" t="n">
        <v>0</v>
      </c>
      <c r="N550" t="n">
        <v>0</v>
      </c>
      <c r="O550" t="n">
        <v>0</v>
      </c>
      <c r="P550" t="n">
        <v>0</v>
      </c>
      <c r="Q550" t="n">
        <v>0</v>
      </c>
      <c r="R550" s="2" t="inlineStr"/>
    </row>
    <row r="551" ht="15" customHeight="1">
      <c r="A551" t="inlineStr">
        <is>
          <t>A 73800-2021</t>
        </is>
      </c>
      <c r="B551" s="1" t="n">
        <v>44552</v>
      </c>
      <c r="C551" s="1" t="n">
        <v>46086</v>
      </c>
      <c r="D551" t="inlineStr">
        <is>
          <t>JÄMTLANDS LÄN</t>
        </is>
      </c>
      <c r="E551" t="inlineStr">
        <is>
          <t>ÅRE</t>
        </is>
      </c>
      <c r="G551" t="n">
        <v>8.6</v>
      </c>
      <c r="H551" t="n">
        <v>0</v>
      </c>
      <c r="I551" t="n">
        <v>0</v>
      </c>
      <c r="J551" t="n">
        <v>0</v>
      </c>
      <c r="K551" t="n">
        <v>0</v>
      </c>
      <c r="L551" t="n">
        <v>0</v>
      </c>
      <c r="M551" t="n">
        <v>0</v>
      </c>
      <c r="N551" t="n">
        <v>0</v>
      </c>
      <c r="O551" t="n">
        <v>0</v>
      </c>
      <c r="P551" t="n">
        <v>0</v>
      </c>
      <c r="Q551" t="n">
        <v>0</v>
      </c>
      <c r="R551" s="2" t="inlineStr"/>
    </row>
    <row r="552" ht="15" customHeight="1">
      <c r="A552" t="inlineStr">
        <is>
          <t>A 63863-2025</t>
        </is>
      </c>
      <c r="B552" s="1" t="n">
        <v>46020.49924768518</v>
      </c>
      <c r="C552" s="1" t="n">
        <v>46086</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33003-2022</t>
        </is>
      </c>
      <c r="B553" s="1" t="n">
        <v>44784</v>
      </c>
      <c r="C553" s="1" t="n">
        <v>46086</v>
      </c>
      <c r="D553" t="inlineStr">
        <is>
          <t>JÄMTLANDS LÄN</t>
        </is>
      </c>
      <c r="E553" t="inlineStr">
        <is>
          <t>ÅRE</t>
        </is>
      </c>
      <c r="G553" t="n">
        <v>6.1</v>
      </c>
      <c r="H553" t="n">
        <v>0</v>
      </c>
      <c r="I553" t="n">
        <v>0</v>
      </c>
      <c r="J553" t="n">
        <v>0</v>
      </c>
      <c r="K553" t="n">
        <v>0</v>
      </c>
      <c r="L553" t="n">
        <v>0</v>
      </c>
      <c r="M553" t="n">
        <v>0</v>
      </c>
      <c r="N553" t="n">
        <v>0</v>
      </c>
      <c r="O553" t="n">
        <v>0</v>
      </c>
      <c r="P553" t="n">
        <v>0</v>
      </c>
      <c r="Q553" t="n">
        <v>0</v>
      </c>
      <c r="R553" s="2" t="inlineStr"/>
    </row>
    <row r="554" ht="15" customHeight="1">
      <c r="A554" t="inlineStr">
        <is>
          <t>A 9224-2026</t>
        </is>
      </c>
      <c r="B554" s="1" t="n">
        <v>46070.44868055556</v>
      </c>
      <c r="C554" s="1" t="n">
        <v>46086</v>
      </c>
      <c r="D554" t="inlineStr">
        <is>
          <t>JÄMTLANDS LÄN</t>
        </is>
      </c>
      <c r="E554" t="inlineStr">
        <is>
          <t>ÅRE</t>
        </is>
      </c>
      <c r="G554" t="n">
        <v>0.9</v>
      </c>
      <c r="H554" t="n">
        <v>0</v>
      </c>
      <c r="I554" t="n">
        <v>0</v>
      </c>
      <c r="J554" t="n">
        <v>0</v>
      </c>
      <c r="K554" t="n">
        <v>0</v>
      </c>
      <c r="L554" t="n">
        <v>0</v>
      </c>
      <c r="M554" t="n">
        <v>0</v>
      </c>
      <c r="N554" t="n">
        <v>0</v>
      </c>
      <c r="O554" t="n">
        <v>0</v>
      </c>
      <c r="P554" t="n">
        <v>0</v>
      </c>
      <c r="Q554" t="n">
        <v>0</v>
      </c>
      <c r="R554" s="2" t="inlineStr"/>
    </row>
    <row r="555" ht="15" customHeight="1">
      <c r="A555" t="inlineStr">
        <is>
          <t>A 25275-2025</t>
        </is>
      </c>
      <c r="B555" s="1" t="n">
        <v>45800</v>
      </c>
      <c r="C555" s="1" t="n">
        <v>46086</v>
      </c>
      <c r="D555" t="inlineStr">
        <is>
          <t>JÄMTLANDS LÄN</t>
        </is>
      </c>
      <c r="E555" t="inlineStr">
        <is>
          <t>ÅRE</t>
        </is>
      </c>
      <c r="G555" t="n">
        <v>1.1</v>
      </c>
      <c r="H555" t="n">
        <v>0</v>
      </c>
      <c r="I555" t="n">
        <v>0</v>
      </c>
      <c r="J555" t="n">
        <v>0</v>
      </c>
      <c r="K555" t="n">
        <v>0</v>
      </c>
      <c r="L555" t="n">
        <v>0</v>
      </c>
      <c r="M555" t="n">
        <v>0</v>
      </c>
      <c r="N555" t="n">
        <v>0</v>
      </c>
      <c r="O555" t="n">
        <v>0</v>
      </c>
      <c r="P555" t="n">
        <v>0</v>
      </c>
      <c r="Q555" t="n">
        <v>0</v>
      </c>
      <c r="R555" s="2" t="inlineStr"/>
    </row>
    <row r="556" ht="15" customHeight="1">
      <c r="A556" t="inlineStr">
        <is>
          <t>A 32758-2022</t>
        </is>
      </c>
      <c r="B556" s="1" t="n">
        <v>44783</v>
      </c>
      <c r="C556" s="1" t="n">
        <v>46086</v>
      </c>
      <c r="D556" t="inlineStr">
        <is>
          <t>JÄMTLANDS LÄN</t>
        </is>
      </c>
      <c r="E556" t="inlineStr">
        <is>
          <t>ÅRE</t>
        </is>
      </c>
      <c r="G556" t="n">
        <v>8.4</v>
      </c>
      <c r="H556" t="n">
        <v>0</v>
      </c>
      <c r="I556" t="n">
        <v>0</v>
      </c>
      <c r="J556" t="n">
        <v>0</v>
      </c>
      <c r="K556" t="n">
        <v>0</v>
      </c>
      <c r="L556" t="n">
        <v>0</v>
      </c>
      <c r="M556" t="n">
        <v>0</v>
      </c>
      <c r="N556" t="n">
        <v>0</v>
      </c>
      <c r="O556" t="n">
        <v>0</v>
      </c>
      <c r="P556" t="n">
        <v>0</v>
      </c>
      <c r="Q556" t="n">
        <v>0</v>
      </c>
      <c r="R556" s="2" t="inlineStr"/>
    </row>
    <row r="557" ht="15" customHeight="1">
      <c r="A557" t="inlineStr">
        <is>
          <t>A 8872-2026</t>
        </is>
      </c>
      <c r="B557" s="1" t="n">
        <v>46066</v>
      </c>
      <c r="C557" s="1" t="n">
        <v>46086</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500-2026</t>
        </is>
      </c>
      <c r="B558" s="1" t="n">
        <v>46029.43557870371</v>
      </c>
      <c r="C558" s="1" t="n">
        <v>46086</v>
      </c>
      <c r="D558" t="inlineStr">
        <is>
          <t>JÄMTLANDS LÄN</t>
        </is>
      </c>
      <c r="E558" t="inlineStr">
        <is>
          <t>ÅRE</t>
        </is>
      </c>
      <c r="F558" t="inlineStr">
        <is>
          <t>Övriga Aktiebolag</t>
        </is>
      </c>
      <c r="G558" t="n">
        <v>8.5</v>
      </c>
      <c r="H558" t="n">
        <v>0</v>
      </c>
      <c r="I558" t="n">
        <v>0</v>
      </c>
      <c r="J558" t="n">
        <v>0</v>
      </c>
      <c r="K558" t="n">
        <v>0</v>
      </c>
      <c r="L558" t="n">
        <v>0</v>
      </c>
      <c r="M558" t="n">
        <v>0</v>
      </c>
      <c r="N558" t="n">
        <v>0</v>
      </c>
      <c r="O558" t="n">
        <v>0</v>
      </c>
      <c r="P558" t="n">
        <v>0</v>
      </c>
      <c r="Q558" t="n">
        <v>0</v>
      </c>
      <c r="R558" s="2" t="inlineStr"/>
    </row>
    <row r="559" ht="15" customHeight="1">
      <c r="A559" t="inlineStr">
        <is>
          <t>A 39744-2025</t>
        </is>
      </c>
      <c r="B559" s="1" t="n">
        <v>45891</v>
      </c>
      <c r="C559" s="1" t="n">
        <v>46086</v>
      </c>
      <c r="D559" t="inlineStr">
        <is>
          <t>JÄMTLANDS LÄN</t>
        </is>
      </c>
      <c r="E559" t="inlineStr">
        <is>
          <t>ÅRE</t>
        </is>
      </c>
      <c r="F559" t="inlineStr">
        <is>
          <t>Övriga statliga verk och myndigheter</t>
        </is>
      </c>
      <c r="G559" t="n">
        <v>14.4</v>
      </c>
      <c r="H559" t="n">
        <v>0</v>
      </c>
      <c r="I559" t="n">
        <v>0</v>
      </c>
      <c r="J559" t="n">
        <v>0</v>
      </c>
      <c r="K559" t="n">
        <v>0</v>
      </c>
      <c r="L559" t="n">
        <v>0</v>
      </c>
      <c r="M559" t="n">
        <v>0</v>
      </c>
      <c r="N559" t="n">
        <v>0</v>
      </c>
      <c r="O559" t="n">
        <v>0</v>
      </c>
      <c r="P559" t="n">
        <v>0</v>
      </c>
      <c r="Q559" t="n">
        <v>0</v>
      </c>
      <c r="R559" s="2" t="inlineStr"/>
    </row>
    <row r="560" ht="15" customHeight="1">
      <c r="A560" t="inlineStr">
        <is>
          <t>A 9212-2026</t>
        </is>
      </c>
      <c r="B560" s="1" t="n">
        <v>46070.43201388889</v>
      </c>
      <c r="C560" s="1" t="n">
        <v>46086</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9326-2026</t>
        </is>
      </c>
      <c r="B561" s="1" t="n">
        <v>46070.6487037037</v>
      </c>
      <c r="C561" s="1" t="n">
        <v>46086</v>
      </c>
      <c r="D561" t="inlineStr">
        <is>
          <t>JÄMTLANDS LÄN</t>
        </is>
      </c>
      <c r="E561" t="inlineStr">
        <is>
          <t>ÅRE</t>
        </is>
      </c>
      <c r="F561" t="inlineStr">
        <is>
          <t>Övriga Aktiebolag</t>
        </is>
      </c>
      <c r="G561" t="n">
        <v>14.2</v>
      </c>
      <c r="H561" t="n">
        <v>0</v>
      </c>
      <c r="I561" t="n">
        <v>0</v>
      </c>
      <c r="J561" t="n">
        <v>0</v>
      </c>
      <c r="K561" t="n">
        <v>0</v>
      </c>
      <c r="L561" t="n">
        <v>0</v>
      </c>
      <c r="M561" t="n">
        <v>0</v>
      </c>
      <c r="N561" t="n">
        <v>0</v>
      </c>
      <c r="O561" t="n">
        <v>0</v>
      </c>
      <c r="P561" t="n">
        <v>0</v>
      </c>
      <c r="Q561" t="n">
        <v>0</v>
      </c>
      <c r="R561" s="2" t="inlineStr"/>
    </row>
    <row r="562" ht="15" customHeight="1">
      <c r="A562" t="inlineStr">
        <is>
          <t>A 39742-2025</t>
        </is>
      </c>
      <c r="B562" s="1" t="n">
        <v>45891</v>
      </c>
      <c r="C562" s="1" t="n">
        <v>46086</v>
      </c>
      <c r="D562" t="inlineStr">
        <is>
          <t>JÄMTLANDS LÄN</t>
        </is>
      </c>
      <c r="E562" t="inlineStr">
        <is>
          <t>ÅRE</t>
        </is>
      </c>
      <c r="F562" t="inlineStr">
        <is>
          <t>Övriga statliga verk och myndigheter</t>
        </is>
      </c>
      <c r="G562" t="n">
        <v>6.2</v>
      </c>
      <c r="H562" t="n">
        <v>0</v>
      </c>
      <c r="I562" t="n">
        <v>0</v>
      </c>
      <c r="J562" t="n">
        <v>0</v>
      </c>
      <c r="K562" t="n">
        <v>0</v>
      </c>
      <c r="L562" t="n">
        <v>0</v>
      </c>
      <c r="M562" t="n">
        <v>0</v>
      </c>
      <c r="N562" t="n">
        <v>0</v>
      </c>
      <c r="O562" t="n">
        <v>0</v>
      </c>
      <c r="P562" t="n">
        <v>0</v>
      </c>
      <c r="Q562" t="n">
        <v>0</v>
      </c>
      <c r="R562" s="2" t="inlineStr"/>
    </row>
    <row r="563" ht="15" customHeight="1">
      <c r="A563" t="inlineStr">
        <is>
          <t>A 33239-2024</t>
        </is>
      </c>
      <c r="B563" s="1" t="n">
        <v>45518.59618055556</v>
      </c>
      <c r="C563" s="1" t="n">
        <v>46086</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39195-2024</t>
        </is>
      </c>
      <c r="B564" s="1" t="n">
        <v>45548.6934837963</v>
      </c>
      <c r="C564" s="1" t="n">
        <v>46086</v>
      </c>
      <c r="D564" t="inlineStr">
        <is>
          <t>JÄMTLANDS LÄN</t>
        </is>
      </c>
      <c r="E564" t="inlineStr">
        <is>
          <t>ÅRE</t>
        </is>
      </c>
      <c r="G564" t="n">
        <v>0.5</v>
      </c>
      <c r="H564" t="n">
        <v>0</v>
      </c>
      <c r="I564" t="n">
        <v>0</v>
      </c>
      <c r="J564" t="n">
        <v>0</v>
      </c>
      <c r="K564" t="n">
        <v>0</v>
      </c>
      <c r="L564" t="n">
        <v>0</v>
      </c>
      <c r="M564" t="n">
        <v>0</v>
      </c>
      <c r="N564" t="n">
        <v>0</v>
      </c>
      <c r="O564" t="n">
        <v>0</v>
      </c>
      <c r="P564" t="n">
        <v>0</v>
      </c>
      <c r="Q564" t="n">
        <v>0</v>
      </c>
      <c r="R564" s="2" t="inlineStr"/>
    </row>
    <row r="565" ht="15" customHeight="1">
      <c r="A565" t="inlineStr">
        <is>
          <t>A 13370-2024</t>
        </is>
      </c>
      <c r="B565" s="1" t="n">
        <v>45387</v>
      </c>
      <c r="C565" s="1" t="n">
        <v>46086</v>
      </c>
      <c r="D565" t="inlineStr">
        <is>
          <t>JÄMTLANDS LÄN</t>
        </is>
      </c>
      <c r="E565" t="inlineStr">
        <is>
          <t>ÅRE</t>
        </is>
      </c>
      <c r="G565" t="n">
        <v>8.5</v>
      </c>
      <c r="H565" t="n">
        <v>0</v>
      </c>
      <c r="I565" t="n">
        <v>0</v>
      </c>
      <c r="J565" t="n">
        <v>0</v>
      </c>
      <c r="K565" t="n">
        <v>0</v>
      </c>
      <c r="L565" t="n">
        <v>0</v>
      </c>
      <c r="M565" t="n">
        <v>0</v>
      </c>
      <c r="N565" t="n">
        <v>0</v>
      </c>
      <c r="O565" t="n">
        <v>0</v>
      </c>
      <c r="P565" t="n">
        <v>0</v>
      </c>
      <c r="Q565" t="n">
        <v>0</v>
      </c>
      <c r="R565" s="2" t="inlineStr"/>
    </row>
    <row r="566" ht="15" customHeight="1">
      <c r="A566" t="inlineStr">
        <is>
          <t>A 9219-2026</t>
        </is>
      </c>
      <c r="B566" s="1" t="n">
        <v>46070.4453125</v>
      </c>
      <c r="C566" s="1" t="n">
        <v>46086</v>
      </c>
      <c r="D566" t="inlineStr">
        <is>
          <t>JÄMTLANDS LÄN</t>
        </is>
      </c>
      <c r="E566" t="inlineStr">
        <is>
          <t>ÅRE</t>
        </is>
      </c>
      <c r="G566" t="n">
        <v>12.4</v>
      </c>
      <c r="H566" t="n">
        <v>0</v>
      </c>
      <c r="I566" t="n">
        <v>0</v>
      </c>
      <c r="J566" t="n">
        <v>0</v>
      </c>
      <c r="K566" t="n">
        <v>0</v>
      </c>
      <c r="L566" t="n">
        <v>0</v>
      </c>
      <c r="M566" t="n">
        <v>0</v>
      </c>
      <c r="N566" t="n">
        <v>0</v>
      </c>
      <c r="O566" t="n">
        <v>0</v>
      </c>
      <c r="P566" t="n">
        <v>0</v>
      </c>
      <c r="Q566" t="n">
        <v>0</v>
      </c>
      <c r="R566" s="2" t="inlineStr"/>
    </row>
    <row r="567" ht="15" customHeight="1">
      <c r="A567" t="inlineStr">
        <is>
          <t>A 13559-2025</t>
        </is>
      </c>
      <c r="B567" s="1" t="n">
        <v>45736</v>
      </c>
      <c r="C567" s="1" t="n">
        <v>46086</v>
      </c>
      <c r="D567" t="inlineStr">
        <is>
          <t>JÄMTLANDS LÄN</t>
        </is>
      </c>
      <c r="E567" t="inlineStr">
        <is>
          <t>ÅRE</t>
        </is>
      </c>
      <c r="F567" t="inlineStr">
        <is>
          <t>Övriga statliga verk och myndigheter</t>
        </is>
      </c>
      <c r="G567" t="n">
        <v>0.4</v>
      </c>
      <c r="H567" t="n">
        <v>0</v>
      </c>
      <c r="I567" t="n">
        <v>0</v>
      </c>
      <c r="J567" t="n">
        <v>0</v>
      </c>
      <c r="K567" t="n">
        <v>0</v>
      </c>
      <c r="L567" t="n">
        <v>0</v>
      </c>
      <c r="M567" t="n">
        <v>0</v>
      </c>
      <c r="N567" t="n">
        <v>0</v>
      </c>
      <c r="O567" t="n">
        <v>0</v>
      </c>
      <c r="P567" t="n">
        <v>0</v>
      </c>
      <c r="Q567" t="n">
        <v>0</v>
      </c>
      <c r="R567" s="2" t="inlineStr"/>
    </row>
    <row r="568" ht="15" customHeight="1">
      <c r="A568" t="inlineStr">
        <is>
          <t>A 13561-2025</t>
        </is>
      </c>
      <c r="B568" s="1" t="n">
        <v>45736</v>
      </c>
      <c r="C568" s="1" t="n">
        <v>46086</v>
      </c>
      <c r="D568" t="inlineStr">
        <is>
          <t>JÄMTLANDS LÄN</t>
        </is>
      </c>
      <c r="E568" t="inlineStr">
        <is>
          <t>ÅRE</t>
        </is>
      </c>
      <c r="F568" t="inlineStr">
        <is>
          <t>Övriga statliga verk och myndigheter</t>
        </is>
      </c>
      <c r="G568" t="n">
        <v>3.8</v>
      </c>
      <c r="H568" t="n">
        <v>0</v>
      </c>
      <c r="I568" t="n">
        <v>0</v>
      </c>
      <c r="J568" t="n">
        <v>0</v>
      </c>
      <c r="K568" t="n">
        <v>0</v>
      </c>
      <c r="L568" t="n">
        <v>0</v>
      </c>
      <c r="M568" t="n">
        <v>0</v>
      </c>
      <c r="N568" t="n">
        <v>0</v>
      </c>
      <c r="O568" t="n">
        <v>0</v>
      </c>
      <c r="P568" t="n">
        <v>0</v>
      </c>
      <c r="Q568" t="n">
        <v>0</v>
      </c>
      <c r="R568" s="2" t="inlineStr"/>
    </row>
    <row r="569" ht="15" customHeight="1">
      <c r="A569" t="inlineStr">
        <is>
          <t>A 39115-2025</t>
        </is>
      </c>
      <c r="B569" s="1" t="n">
        <v>45888</v>
      </c>
      <c r="C569" s="1" t="n">
        <v>46086</v>
      </c>
      <c r="D569" t="inlineStr">
        <is>
          <t>JÄMTLANDS LÄN</t>
        </is>
      </c>
      <c r="E569" t="inlineStr">
        <is>
          <t>ÅRE</t>
        </is>
      </c>
      <c r="F569" t="inlineStr">
        <is>
          <t>Övriga statliga verk och myndigheter</t>
        </is>
      </c>
      <c r="G569" t="n">
        <v>11.4</v>
      </c>
      <c r="H569" t="n">
        <v>0</v>
      </c>
      <c r="I569" t="n">
        <v>0</v>
      </c>
      <c r="J569" t="n">
        <v>0</v>
      </c>
      <c r="K569" t="n">
        <v>0</v>
      </c>
      <c r="L569" t="n">
        <v>0</v>
      </c>
      <c r="M569" t="n">
        <v>0</v>
      </c>
      <c r="N569" t="n">
        <v>0</v>
      </c>
      <c r="O569" t="n">
        <v>0</v>
      </c>
      <c r="P569" t="n">
        <v>0</v>
      </c>
      <c r="Q569" t="n">
        <v>0</v>
      </c>
      <c r="R569" s="2" t="inlineStr"/>
    </row>
    <row r="570" ht="15" customHeight="1">
      <c r="A570" t="inlineStr">
        <is>
          <t>A 9766-2026</t>
        </is>
      </c>
      <c r="B570" s="1" t="n">
        <v>46072.56284722222</v>
      </c>
      <c r="C570" s="1" t="n">
        <v>46086</v>
      </c>
      <c r="D570" t="inlineStr">
        <is>
          <t>JÄMTLANDS LÄN</t>
        </is>
      </c>
      <c r="E570" t="inlineStr">
        <is>
          <t>ÅRE</t>
        </is>
      </c>
      <c r="F570" t="inlineStr">
        <is>
          <t>Övriga Aktiebolag</t>
        </is>
      </c>
      <c r="G570" t="n">
        <v>14.1</v>
      </c>
      <c r="H570" t="n">
        <v>0</v>
      </c>
      <c r="I570" t="n">
        <v>0</v>
      </c>
      <c r="J570" t="n">
        <v>0</v>
      </c>
      <c r="K570" t="n">
        <v>0</v>
      </c>
      <c r="L570" t="n">
        <v>0</v>
      </c>
      <c r="M570" t="n">
        <v>0</v>
      </c>
      <c r="N570" t="n">
        <v>0</v>
      </c>
      <c r="O570" t="n">
        <v>0</v>
      </c>
      <c r="P570" t="n">
        <v>0</v>
      </c>
      <c r="Q570" t="n">
        <v>0</v>
      </c>
      <c r="R570" s="2" t="inlineStr"/>
    </row>
    <row r="571" ht="15" customHeight="1">
      <c r="A571" t="inlineStr">
        <is>
          <t>A 5923-2022</t>
        </is>
      </c>
      <c r="B571" s="1" t="n">
        <v>44598.64403935185</v>
      </c>
      <c r="C571" s="1" t="n">
        <v>46086</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8576-2024</t>
        </is>
      </c>
      <c r="B572" s="1" t="n">
        <v>45355</v>
      </c>
      <c r="C572" s="1" t="n">
        <v>46086</v>
      </c>
      <c r="D572" t="inlineStr">
        <is>
          <t>JÄMTLANDS LÄN</t>
        </is>
      </c>
      <c r="E572" t="inlineStr">
        <is>
          <t>ÅRE</t>
        </is>
      </c>
      <c r="G572" t="n">
        <v>21.7</v>
      </c>
      <c r="H572" t="n">
        <v>0</v>
      </c>
      <c r="I572" t="n">
        <v>0</v>
      </c>
      <c r="J572" t="n">
        <v>0</v>
      </c>
      <c r="K572" t="n">
        <v>0</v>
      </c>
      <c r="L572" t="n">
        <v>0</v>
      </c>
      <c r="M572" t="n">
        <v>0</v>
      </c>
      <c r="N572" t="n">
        <v>0</v>
      </c>
      <c r="O572" t="n">
        <v>0</v>
      </c>
      <c r="P572" t="n">
        <v>0</v>
      </c>
      <c r="Q572" t="n">
        <v>0</v>
      </c>
      <c r="R572" s="2" t="inlineStr"/>
    </row>
    <row r="573" ht="15" customHeight="1">
      <c r="A573" t="inlineStr">
        <is>
          <t>A 21464-2022</t>
        </is>
      </c>
      <c r="B573" s="1" t="n">
        <v>44706</v>
      </c>
      <c r="C573" s="1" t="n">
        <v>46086</v>
      </c>
      <c r="D573" t="inlineStr">
        <is>
          <t>JÄMTLANDS LÄN</t>
        </is>
      </c>
      <c r="E573" t="inlineStr">
        <is>
          <t>ÅRE</t>
        </is>
      </c>
      <c r="G573" t="n">
        <v>10.9</v>
      </c>
      <c r="H573" t="n">
        <v>0</v>
      </c>
      <c r="I573" t="n">
        <v>0</v>
      </c>
      <c r="J573" t="n">
        <v>0</v>
      </c>
      <c r="K573" t="n">
        <v>0</v>
      </c>
      <c r="L573" t="n">
        <v>0</v>
      </c>
      <c r="M573" t="n">
        <v>0</v>
      </c>
      <c r="N573" t="n">
        <v>0</v>
      </c>
      <c r="O573" t="n">
        <v>0</v>
      </c>
      <c r="P573" t="n">
        <v>0</v>
      </c>
      <c r="Q573" t="n">
        <v>0</v>
      </c>
      <c r="R573" s="2" t="inlineStr"/>
    </row>
    <row r="574" ht="15" customHeight="1">
      <c r="A574" t="inlineStr">
        <is>
          <t>A 8788-2025</t>
        </is>
      </c>
      <c r="B574" s="1" t="n">
        <v>45712</v>
      </c>
      <c r="C574" s="1" t="n">
        <v>46086</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5410-2026</t>
        </is>
      </c>
      <c r="B575" s="1" t="n">
        <v>46050</v>
      </c>
      <c r="C575" s="1" t="n">
        <v>46086</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32210-2022</t>
        </is>
      </c>
      <c r="B576" s="1" t="n">
        <v>44781</v>
      </c>
      <c r="C576" s="1" t="n">
        <v>46086</v>
      </c>
      <c r="D576" t="inlineStr">
        <is>
          <t>JÄMTLANDS LÄN</t>
        </is>
      </c>
      <c r="E576" t="inlineStr">
        <is>
          <t>ÅRE</t>
        </is>
      </c>
      <c r="G576" t="n">
        <v>17.3</v>
      </c>
      <c r="H576" t="n">
        <v>0</v>
      </c>
      <c r="I576" t="n">
        <v>0</v>
      </c>
      <c r="J576" t="n">
        <v>0</v>
      </c>
      <c r="K576" t="n">
        <v>0</v>
      </c>
      <c r="L576" t="n">
        <v>0</v>
      </c>
      <c r="M576" t="n">
        <v>0</v>
      </c>
      <c r="N576" t="n">
        <v>0</v>
      </c>
      <c r="O576" t="n">
        <v>0</v>
      </c>
      <c r="P576" t="n">
        <v>0</v>
      </c>
      <c r="Q576" t="n">
        <v>0</v>
      </c>
      <c r="R576" s="2" t="inlineStr"/>
    </row>
    <row r="577" ht="15" customHeight="1">
      <c r="A577" t="inlineStr">
        <is>
          <t>A 1603-2026</t>
        </is>
      </c>
      <c r="B577" s="1" t="n">
        <v>46034.45974537037</v>
      </c>
      <c r="C577" s="1" t="n">
        <v>46086</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3147-2023</t>
        </is>
      </c>
      <c r="B578" s="1" t="n">
        <v>44946</v>
      </c>
      <c r="C578" s="1" t="n">
        <v>46086</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4905-2026</t>
        </is>
      </c>
      <c r="B579" s="1" t="n">
        <v>46048</v>
      </c>
      <c r="C579" s="1" t="n">
        <v>46086</v>
      </c>
      <c r="D579" t="inlineStr">
        <is>
          <t>JÄMTLANDS LÄN</t>
        </is>
      </c>
      <c r="E579" t="inlineStr">
        <is>
          <t>ÅRE</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56576-2022</t>
        </is>
      </c>
      <c r="B580" s="1" t="n">
        <v>44893</v>
      </c>
      <c r="C580" s="1" t="n">
        <v>46086</v>
      </c>
      <c r="D580" t="inlineStr">
        <is>
          <t>JÄMTLANDS LÄN</t>
        </is>
      </c>
      <c r="E580" t="inlineStr">
        <is>
          <t>ÅRE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46086</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13841-2024</t>
        </is>
      </c>
      <c r="B582" s="1" t="n">
        <v>45391</v>
      </c>
      <c r="C582" s="1" t="n">
        <v>46086</v>
      </c>
      <c r="D582" t="inlineStr">
        <is>
          <t>JÄMTLANDS LÄN</t>
        </is>
      </c>
      <c r="E582" t="inlineStr">
        <is>
          <t>ÅRE</t>
        </is>
      </c>
      <c r="G582" t="n">
        <v>6.7</v>
      </c>
      <c r="H582" t="n">
        <v>0</v>
      </c>
      <c r="I582" t="n">
        <v>0</v>
      </c>
      <c r="J582" t="n">
        <v>0</v>
      </c>
      <c r="K582" t="n">
        <v>0</v>
      </c>
      <c r="L582" t="n">
        <v>0</v>
      </c>
      <c r="M582" t="n">
        <v>0</v>
      </c>
      <c r="N582" t="n">
        <v>0</v>
      </c>
      <c r="O582" t="n">
        <v>0</v>
      </c>
      <c r="P582" t="n">
        <v>0</v>
      </c>
      <c r="Q582" t="n">
        <v>0</v>
      </c>
      <c r="R582" s="2" t="inlineStr"/>
    </row>
    <row r="583" ht="15" customHeight="1">
      <c r="A583" t="inlineStr">
        <is>
          <t>A 45242-2023</t>
        </is>
      </c>
      <c r="B583" s="1" t="n">
        <v>45187</v>
      </c>
      <c r="C583" s="1" t="n">
        <v>46086</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40336-2021</t>
        </is>
      </c>
      <c r="B584" s="1" t="n">
        <v>44419</v>
      </c>
      <c r="C584" s="1" t="n">
        <v>46086</v>
      </c>
      <c r="D584" t="inlineStr">
        <is>
          <t>JÄMTLANDS LÄN</t>
        </is>
      </c>
      <c r="E584" t="inlineStr">
        <is>
          <t>ÅRE</t>
        </is>
      </c>
      <c r="G584" t="n">
        <v>1.1</v>
      </c>
      <c r="H584" t="n">
        <v>0</v>
      </c>
      <c r="I584" t="n">
        <v>0</v>
      </c>
      <c r="J584" t="n">
        <v>0</v>
      </c>
      <c r="K584" t="n">
        <v>0</v>
      </c>
      <c r="L584" t="n">
        <v>0</v>
      </c>
      <c r="M584" t="n">
        <v>0</v>
      </c>
      <c r="N584" t="n">
        <v>0</v>
      </c>
      <c r="O584" t="n">
        <v>0</v>
      </c>
      <c r="P584" t="n">
        <v>0</v>
      </c>
      <c r="Q584" t="n">
        <v>0</v>
      </c>
      <c r="R584" s="2" t="inlineStr"/>
    </row>
    <row r="585" ht="15" customHeight="1">
      <c r="A585" t="inlineStr">
        <is>
          <t>A 7970-2023</t>
        </is>
      </c>
      <c r="B585" s="1" t="n">
        <v>44970</v>
      </c>
      <c r="C585" s="1" t="n">
        <v>46086</v>
      </c>
      <c r="D585" t="inlineStr">
        <is>
          <t>JÄMTLANDS LÄN</t>
        </is>
      </c>
      <c r="E585" t="inlineStr">
        <is>
          <t>ÅRE</t>
        </is>
      </c>
      <c r="G585" t="n">
        <v>3.5</v>
      </c>
      <c r="H585" t="n">
        <v>0</v>
      </c>
      <c r="I585" t="n">
        <v>0</v>
      </c>
      <c r="J585" t="n">
        <v>0</v>
      </c>
      <c r="K585" t="n">
        <v>0</v>
      </c>
      <c r="L585" t="n">
        <v>0</v>
      </c>
      <c r="M585" t="n">
        <v>0</v>
      </c>
      <c r="N585" t="n">
        <v>0</v>
      </c>
      <c r="O585" t="n">
        <v>0</v>
      </c>
      <c r="P585" t="n">
        <v>0</v>
      </c>
      <c r="Q585" t="n">
        <v>0</v>
      </c>
      <c r="R585" s="2" t="inlineStr"/>
    </row>
    <row r="586" ht="15" customHeight="1">
      <c r="A586" t="inlineStr">
        <is>
          <t>A 44609-2024</t>
        </is>
      </c>
      <c r="B586" s="1" t="n">
        <v>45574.51212962963</v>
      </c>
      <c r="C586" s="1" t="n">
        <v>46086</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43449-2023</t>
        </is>
      </c>
      <c r="B587" s="1" t="n">
        <v>45184.36697916667</v>
      </c>
      <c r="C587" s="1" t="n">
        <v>46086</v>
      </c>
      <c r="D587" t="inlineStr">
        <is>
          <t>JÄMTLANDS LÄN</t>
        </is>
      </c>
      <c r="E587" t="inlineStr">
        <is>
          <t>ÅRE</t>
        </is>
      </c>
      <c r="F587" t="inlineStr">
        <is>
          <t>Övriga Aktiebolag</t>
        </is>
      </c>
      <c r="G587" t="n">
        <v>3.1</v>
      </c>
      <c r="H587" t="n">
        <v>0</v>
      </c>
      <c r="I587" t="n">
        <v>0</v>
      </c>
      <c r="J587" t="n">
        <v>0</v>
      </c>
      <c r="K587" t="n">
        <v>0</v>
      </c>
      <c r="L587" t="n">
        <v>0</v>
      </c>
      <c r="M587" t="n">
        <v>0</v>
      </c>
      <c r="N587" t="n">
        <v>0</v>
      </c>
      <c r="O587" t="n">
        <v>0</v>
      </c>
      <c r="P587" t="n">
        <v>0</v>
      </c>
      <c r="Q587" t="n">
        <v>0</v>
      </c>
      <c r="R587" s="2" t="inlineStr"/>
    </row>
    <row r="588" ht="15" customHeight="1">
      <c r="A588" t="inlineStr">
        <is>
          <t>A 52707-2022</t>
        </is>
      </c>
      <c r="B588" s="1" t="n">
        <v>44874</v>
      </c>
      <c r="C588" s="1" t="n">
        <v>46086</v>
      </c>
      <c r="D588" t="inlineStr">
        <is>
          <t>JÄMTLANDS LÄN</t>
        </is>
      </c>
      <c r="E588" t="inlineStr">
        <is>
          <t>ÅRE</t>
        </is>
      </c>
      <c r="F588" t="inlineStr">
        <is>
          <t>Övriga Aktiebolag</t>
        </is>
      </c>
      <c r="G588" t="n">
        <v>2.3</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46086</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42136-2022</t>
        </is>
      </c>
      <c r="B590" s="1" t="n">
        <v>44830</v>
      </c>
      <c r="C590" s="1" t="n">
        <v>46086</v>
      </c>
      <c r="D590" t="inlineStr">
        <is>
          <t>JÄMTLANDS LÄN</t>
        </is>
      </c>
      <c r="E590" t="inlineStr">
        <is>
          <t>ÅRE</t>
        </is>
      </c>
      <c r="F590" t="inlineStr">
        <is>
          <t>Bergvik skog öst AB</t>
        </is>
      </c>
      <c r="G590" t="n">
        <v>3.1</v>
      </c>
      <c r="H590" t="n">
        <v>0</v>
      </c>
      <c r="I590" t="n">
        <v>0</v>
      </c>
      <c r="J590" t="n">
        <v>0</v>
      </c>
      <c r="K590" t="n">
        <v>0</v>
      </c>
      <c r="L590" t="n">
        <v>0</v>
      </c>
      <c r="M590" t="n">
        <v>0</v>
      </c>
      <c r="N590" t="n">
        <v>0</v>
      </c>
      <c r="O590" t="n">
        <v>0</v>
      </c>
      <c r="P590" t="n">
        <v>0</v>
      </c>
      <c r="Q590" t="n">
        <v>0</v>
      </c>
      <c r="R590" s="2" t="inlineStr"/>
    </row>
    <row r="591" ht="15" customHeight="1">
      <c r="A591" t="inlineStr">
        <is>
          <t>A 52470-2022</t>
        </is>
      </c>
      <c r="B591" s="1" t="n">
        <v>44874.48167824074</v>
      </c>
      <c r="C591" s="1" t="n">
        <v>46086</v>
      </c>
      <c r="D591" t="inlineStr">
        <is>
          <t>JÄMTLANDS LÄN</t>
        </is>
      </c>
      <c r="E591" t="inlineStr">
        <is>
          <t>ÅRE</t>
        </is>
      </c>
      <c r="G591" t="n">
        <v>1.7</v>
      </c>
      <c r="H591" t="n">
        <v>0</v>
      </c>
      <c r="I591" t="n">
        <v>0</v>
      </c>
      <c r="J591" t="n">
        <v>0</v>
      </c>
      <c r="K591" t="n">
        <v>0</v>
      </c>
      <c r="L591" t="n">
        <v>0</v>
      </c>
      <c r="M591" t="n">
        <v>0</v>
      </c>
      <c r="N591" t="n">
        <v>0</v>
      </c>
      <c r="O591" t="n">
        <v>0</v>
      </c>
      <c r="P591" t="n">
        <v>0</v>
      </c>
      <c r="Q591" t="n">
        <v>0</v>
      </c>
      <c r="R591" s="2" t="inlineStr"/>
    </row>
    <row r="592" ht="15" customHeight="1">
      <c r="A592" t="inlineStr">
        <is>
          <t>A 54615-2022</t>
        </is>
      </c>
      <c r="B592" s="1" t="n">
        <v>44883.36125</v>
      </c>
      <c r="C592" s="1" t="n">
        <v>46086</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23561-2021</t>
        </is>
      </c>
      <c r="B593" s="1" t="n">
        <v>44334</v>
      </c>
      <c r="C593" s="1" t="n">
        <v>46086</v>
      </c>
      <c r="D593" t="inlineStr">
        <is>
          <t>JÄMTLANDS LÄN</t>
        </is>
      </c>
      <c r="E593" t="inlineStr">
        <is>
          <t>ÅRE</t>
        </is>
      </c>
      <c r="G593" t="n">
        <v>8.5</v>
      </c>
      <c r="H593" t="n">
        <v>0</v>
      </c>
      <c r="I593" t="n">
        <v>0</v>
      </c>
      <c r="J593" t="n">
        <v>0</v>
      </c>
      <c r="K593" t="n">
        <v>0</v>
      </c>
      <c r="L593" t="n">
        <v>0</v>
      </c>
      <c r="M593" t="n">
        <v>0</v>
      </c>
      <c r="N593" t="n">
        <v>0</v>
      </c>
      <c r="O593" t="n">
        <v>0</v>
      </c>
      <c r="P593" t="n">
        <v>0</v>
      </c>
      <c r="Q593" t="n">
        <v>0</v>
      </c>
      <c r="R593" s="2" t="inlineStr"/>
    </row>
    <row r="594" ht="15" customHeight="1">
      <c r="A594" t="inlineStr">
        <is>
          <t>A 33117-2023</t>
        </is>
      </c>
      <c r="B594" s="1" t="n">
        <v>45126</v>
      </c>
      <c r="C594" s="1" t="n">
        <v>46086</v>
      </c>
      <c r="D594" t="inlineStr">
        <is>
          <t>JÄMTLANDS LÄN</t>
        </is>
      </c>
      <c r="E594" t="inlineStr">
        <is>
          <t>ÅRE</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61566-2021</t>
        </is>
      </c>
      <c r="B595" s="1" t="n">
        <v>44496</v>
      </c>
      <c r="C595" s="1" t="n">
        <v>46086</v>
      </c>
      <c r="D595" t="inlineStr">
        <is>
          <t>JÄMTLANDS LÄN</t>
        </is>
      </c>
      <c r="E595" t="inlineStr">
        <is>
          <t>ÅRE</t>
        </is>
      </c>
      <c r="F595" t="inlineStr">
        <is>
          <t>Övriga statliga verk och myndigheter</t>
        </is>
      </c>
      <c r="G595" t="n">
        <v>10.9</v>
      </c>
      <c r="H595" t="n">
        <v>0</v>
      </c>
      <c r="I595" t="n">
        <v>0</v>
      </c>
      <c r="J595" t="n">
        <v>0</v>
      </c>
      <c r="K595" t="n">
        <v>0</v>
      </c>
      <c r="L595" t="n">
        <v>0</v>
      </c>
      <c r="M595" t="n">
        <v>0</v>
      </c>
      <c r="N595" t="n">
        <v>0</v>
      </c>
      <c r="O595" t="n">
        <v>0</v>
      </c>
      <c r="P595" t="n">
        <v>0</v>
      </c>
      <c r="Q595" t="n">
        <v>0</v>
      </c>
      <c r="R595" s="2" t="inlineStr"/>
    </row>
    <row r="596" ht="15" customHeight="1">
      <c r="A596" t="inlineStr">
        <is>
          <t>A 29177-2024</t>
        </is>
      </c>
      <c r="B596" s="1" t="n">
        <v>45482.53859953704</v>
      </c>
      <c r="C596" s="1" t="n">
        <v>46086</v>
      </c>
      <c r="D596" t="inlineStr">
        <is>
          <t>JÄMTLANDS LÄN</t>
        </is>
      </c>
      <c r="E596" t="inlineStr">
        <is>
          <t>ÅRE</t>
        </is>
      </c>
      <c r="G596" t="n">
        <v>2.5</v>
      </c>
      <c r="H596" t="n">
        <v>0</v>
      </c>
      <c r="I596" t="n">
        <v>0</v>
      </c>
      <c r="J596" t="n">
        <v>0</v>
      </c>
      <c r="K596" t="n">
        <v>0</v>
      </c>
      <c r="L596" t="n">
        <v>0</v>
      </c>
      <c r="M596" t="n">
        <v>0</v>
      </c>
      <c r="N596" t="n">
        <v>0</v>
      </c>
      <c r="O596" t="n">
        <v>0</v>
      </c>
      <c r="P596" t="n">
        <v>0</v>
      </c>
      <c r="Q596" t="n">
        <v>0</v>
      </c>
      <c r="R596" s="2" t="inlineStr"/>
    </row>
    <row r="597" ht="15" customHeight="1">
      <c r="A597" t="inlineStr">
        <is>
          <t>A 4272-2025</t>
        </is>
      </c>
      <c r="B597" s="1" t="n">
        <v>45685</v>
      </c>
      <c r="C597" s="1" t="n">
        <v>46086</v>
      </c>
      <c r="D597" t="inlineStr">
        <is>
          <t>JÄMTLANDS LÄN</t>
        </is>
      </c>
      <c r="E597" t="inlineStr">
        <is>
          <t>ÅRE</t>
        </is>
      </c>
      <c r="F597" t="inlineStr">
        <is>
          <t>Övriga Aktiebolag</t>
        </is>
      </c>
      <c r="G597" t="n">
        <v>16.6</v>
      </c>
      <c r="H597" t="n">
        <v>0</v>
      </c>
      <c r="I597" t="n">
        <v>0</v>
      </c>
      <c r="J597" t="n">
        <v>0</v>
      </c>
      <c r="K597" t="n">
        <v>0</v>
      </c>
      <c r="L597" t="n">
        <v>0</v>
      </c>
      <c r="M597" t="n">
        <v>0</v>
      </c>
      <c r="N597" t="n">
        <v>0</v>
      </c>
      <c r="O597" t="n">
        <v>0</v>
      </c>
      <c r="P597" t="n">
        <v>0</v>
      </c>
      <c r="Q597" t="n">
        <v>0</v>
      </c>
      <c r="R597" s="2" t="inlineStr"/>
    </row>
    <row r="598" ht="15" customHeight="1">
      <c r="A598" t="inlineStr">
        <is>
          <t>A 7573-2023</t>
        </is>
      </c>
      <c r="B598" s="1" t="n">
        <v>44967</v>
      </c>
      <c r="C598" s="1" t="n">
        <v>46086</v>
      </c>
      <c r="D598" t="inlineStr">
        <is>
          <t>JÄMTLANDS LÄN</t>
        </is>
      </c>
      <c r="E598" t="inlineStr">
        <is>
          <t>ÅRE</t>
        </is>
      </c>
      <c r="G598" t="n">
        <v>7</v>
      </c>
      <c r="H598" t="n">
        <v>0</v>
      </c>
      <c r="I598" t="n">
        <v>0</v>
      </c>
      <c r="J598" t="n">
        <v>0</v>
      </c>
      <c r="K598" t="n">
        <v>0</v>
      </c>
      <c r="L598" t="n">
        <v>0</v>
      </c>
      <c r="M598" t="n">
        <v>0</v>
      </c>
      <c r="N598" t="n">
        <v>0</v>
      </c>
      <c r="O598" t="n">
        <v>0</v>
      </c>
      <c r="P598" t="n">
        <v>0</v>
      </c>
      <c r="Q598" t="n">
        <v>0</v>
      </c>
      <c r="R598" s="2" t="inlineStr"/>
    </row>
    <row r="599" ht="15" customHeight="1">
      <c r="A599" t="inlineStr">
        <is>
          <t>A 43342-2024</t>
        </is>
      </c>
      <c r="B599" s="1" t="n">
        <v>45568.55114583333</v>
      </c>
      <c r="C599" s="1" t="n">
        <v>46086</v>
      </c>
      <c r="D599" t="inlineStr">
        <is>
          <t>JÄMTLANDS LÄN</t>
        </is>
      </c>
      <c r="E599" t="inlineStr">
        <is>
          <t>ÅRE</t>
        </is>
      </c>
      <c r="F599" t="inlineStr">
        <is>
          <t>Övriga Aktiebolag</t>
        </is>
      </c>
      <c r="G599" t="n">
        <v>4.8</v>
      </c>
      <c r="H599" t="n">
        <v>0</v>
      </c>
      <c r="I599" t="n">
        <v>0</v>
      </c>
      <c r="J599" t="n">
        <v>0</v>
      </c>
      <c r="K599" t="n">
        <v>0</v>
      </c>
      <c r="L599" t="n">
        <v>0</v>
      </c>
      <c r="M599" t="n">
        <v>0</v>
      </c>
      <c r="N599" t="n">
        <v>0</v>
      </c>
      <c r="O599" t="n">
        <v>0</v>
      </c>
      <c r="P599" t="n">
        <v>0</v>
      </c>
      <c r="Q599" t="n">
        <v>0</v>
      </c>
      <c r="R599" s="2" t="inlineStr"/>
    </row>
    <row r="600" ht="15" customHeight="1">
      <c r="A600" t="inlineStr">
        <is>
          <t>A 13039-2024</t>
        </is>
      </c>
      <c r="B600" s="1" t="n">
        <v>45385</v>
      </c>
      <c r="C600" s="1" t="n">
        <v>46086</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36219-2022</t>
        </is>
      </c>
      <c r="B601" s="1" t="n">
        <v>44803</v>
      </c>
      <c r="C601" s="1" t="n">
        <v>46086</v>
      </c>
      <c r="D601" t="inlineStr">
        <is>
          <t>JÄMTLANDS LÄN</t>
        </is>
      </c>
      <c r="E601" t="inlineStr">
        <is>
          <t>ÅRE</t>
        </is>
      </c>
      <c r="G601" t="n">
        <v>0.4</v>
      </c>
      <c r="H601" t="n">
        <v>0</v>
      </c>
      <c r="I601" t="n">
        <v>0</v>
      </c>
      <c r="J601" t="n">
        <v>0</v>
      </c>
      <c r="K601" t="n">
        <v>0</v>
      </c>
      <c r="L601" t="n">
        <v>0</v>
      </c>
      <c r="M601" t="n">
        <v>0</v>
      </c>
      <c r="N601" t="n">
        <v>0</v>
      </c>
      <c r="O601" t="n">
        <v>0</v>
      </c>
      <c r="P601" t="n">
        <v>0</v>
      </c>
      <c r="Q601" t="n">
        <v>0</v>
      </c>
      <c r="R601" s="2" t="inlineStr"/>
    </row>
    <row r="602" ht="15" customHeight="1">
      <c r="A602" t="inlineStr">
        <is>
          <t>A 38268-2024</t>
        </is>
      </c>
      <c r="B602" s="1" t="n">
        <v>45545.59842592593</v>
      </c>
      <c r="C602" s="1" t="n">
        <v>46086</v>
      </c>
      <c r="D602" t="inlineStr">
        <is>
          <t>JÄMTLANDS LÄN</t>
        </is>
      </c>
      <c r="E602" t="inlineStr">
        <is>
          <t>ÅRE</t>
        </is>
      </c>
      <c r="G602" t="n">
        <v>1.2</v>
      </c>
      <c r="H602" t="n">
        <v>0</v>
      </c>
      <c r="I602" t="n">
        <v>0</v>
      </c>
      <c r="J602" t="n">
        <v>0</v>
      </c>
      <c r="K602" t="n">
        <v>0</v>
      </c>
      <c r="L602" t="n">
        <v>0</v>
      </c>
      <c r="M602" t="n">
        <v>0</v>
      </c>
      <c r="N602" t="n">
        <v>0</v>
      </c>
      <c r="O602" t="n">
        <v>0</v>
      </c>
      <c r="P602" t="n">
        <v>0</v>
      </c>
      <c r="Q602" t="n">
        <v>0</v>
      </c>
      <c r="R602" s="2" t="inlineStr"/>
    </row>
    <row r="603" ht="15" customHeight="1">
      <c r="A603" t="inlineStr">
        <is>
          <t>A 60962-2023</t>
        </is>
      </c>
      <c r="B603" s="1" t="n">
        <v>45261.46787037037</v>
      </c>
      <c r="C603" s="1" t="n">
        <v>46086</v>
      </c>
      <c r="D603" t="inlineStr">
        <is>
          <t>JÄMTLANDS LÄN</t>
        </is>
      </c>
      <c r="E603" t="inlineStr">
        <is>
          <t>ÅRE</t>
        </is>
      </c>
      <c r="G603" t="n">
        <v>3.2</v>
      </c>
      <c r="H603" t="n">
        <v>0</v>
      </c>
      <c r="I603" t="n">
        <v>0</v>
      </c>
      <c r="J603" t="n">
        <v>0</v>
      </c>
      <c r="K603" t="n">
        <v>0</v>
      </c>
      <c r="L603" t="n">
        <v>0</v>
      </c>
      <c r="M603" t="n">
        <v>0</v>
      </c>
      <c r="N603" t="n">
        <v>0</v>
      </c>
      <c r="O603" t="n">
        <v>0</v>
      </c>
      <c r="P603" t="n">
        <v>0</v>
      </c>
      <c r="Q603" t="n">
        <v>0</v>
      </c>
      <c r="R603" s="2" t="inlineStr"/>
    </row>
    <row r="604" ht="15" customHeight="1">
      <c r="A604" t="inlineStr">
        <is>
          <t>A 60973-2023</t>
        </is>
      </c>
      <c r="B604" s="1" t="n">
        <v>45261.47321759259</v>
      </c>
      <c r="C604" s="1" t="n">
        <v>46086</v>
      </c>
      <c r="D604" t="inlineStr">
        <is>
          <t>JÄMTLANDS LÄN</t>
        </is>
      </c>
      <c r="E604" t="inlineStr">
        <is>
          <t>ÅRE</t>
        </is>
      </c>
      <c r="G604" t="n">
        <v>3.1</v>
      </c>
      <c r="H604" t="n">
        <v>0</v>
      </c>
      <c r="I604" t="n">
        <v>0</v>
      </c>
      <c r="J604" t="n">
        <v>0</v>
      </c>
      <c r="K604" t="n">
        <v>0</v>
      </c>
      <c r="L604" t="n">
        <v>0</v>
      </c>
      <c r="M604" t="n">
        <v>0</v>
      </c>
      <c r="N604" t="n">
        <v>0</v>
      </c>
      <c r="O604" t="n">
        <v>0</v>
      </c>
      <c r="P604" t="n">
        <v>0</v>
      </c>
      <c r="Q604" t="n">
        <v>0</v>
      </c>
      <c r="R604" s="2" t="inlineStr"/>
    </row>
    <row r="605" ht="15" customHeight="1">
      <c r="A605" t="inlineStr">
        <is>
          <t>A 59352-2021</t>
        </is>
      </c>
      <c r="B605" s="1" t="n">
        <v>44490</v>
      </c>
      <c r="C605" s="1" t="n">
        <v>46086</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57158-2021</t>
        </is>
      </c>
      <c r="B606" s="1" t="n">
        <v>44482</v>
      </c>
      <c r="C606" s="1" t="n">
        <v>46086</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40339-2021</t>
        </is>
      </c>
      <c r="B607" s="1" t="n">
        <v>44419</v>
      </c>
      <c r="C607" s="1" t="n">
        <v>46086</v>
      </c>
      <c r="D607" t="inlineStr">
        <is>
          <t>JÄMTLANDS LÄN</t>
        </is>
      </c>
      <c r="E607" t="inlineStr">
        <is>
          <t>ÅRE</t>
        </is>
      </c>
      <c r="G607" t="n">
        <v>6.4</v>
      </c>
      <c r="H607" t="n">
        <v>0</v>
      </c>
      <c r="I607" t="n">
        <v>0</v>
      </c>
      <c r="J607" t="n">
        <v>0</v>
      </c>
      <c r="K607" t="n">
        <v>0</v>
      </c>
      <c r="L607" t="n">
        <v>0</v>
      </c>
      <c r="M607" t="n">
        <v>0</v>
      </c>
      <c r="N607" t="n">
        <v>0</v>
      </c>
      <c r="O607" t="n">
        <v>0</v>
      </c>
      <c r="P607" t="n">
        <v>0</v>
      </c>
      <c r="Q607" t="n">
        <v>0</v>
      </c>
      <c r="R607" s="2" t="inlineStr"/>
    </row>
    <row r="608" ht="15" customHeight="1">
      <c r="A608" t="inlineStr">
        <is>
          <t>A 376-2024</t>
        </is>
      </c>
      <c r="B608" s="1" t="n">
        <v>45296</v>
      </c>
      <c r="C608" s="1" t="n">
        <v>46086</v>
      </c>
      <c r="D608" t="inlineStr">
        <is>
          <t>JÄMTLANDS LÄN</t>
        </is>
      </c>
      <c r="E608" t="inlineStr">
        <is>
          <t>ÅRE</t>
        </is>
      </c>
      <c r="F608" t="inlineStr">
        <is>
          <t>Kyrkan</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61295-2023</t>
        </is>
      </c>
      <c r="B609" s="1" t="n">
        <v>45264</v>
      </c>
      <c r="C609" s="1" t="n">
        <v>46086</v>
      </c>
      <c r="D609" t="inlineStr">
        <is>
          <t>JÄMTLANDS LÄN</t>
        </is>
      </c>
      <c r="E609" t="inlineStr">
        <is>
          <t>ÅRE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46086</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61331-2021</t>
        </is>
      </c>
      <c r="B611" s="1" t="n">
        <v>44498</v>
      </c>
      <c r="C611" s="1" t="n">
        <v>46086</v>
      </c>
      <c r="D611" t="inlineStr">
        <is>
          <t>JÄMTLANDS LÄN</t>
        </is>
      </c>
      <c r="E611" t="inlineStr">
        <is>
          <t>ÅRE</t>
        </is>
      </c>
      <c r="G611" t="n">
        <v>8.4</v>
      </c>
      <c r="H611" t="n">
        <v>0</v>
      </c>
      <c r="I611" t="n">
        <v>0</v>
      </c>
      <c r="J611" t="n">
        <v>0</v>
      </c>
      <c r="K611" t="n">
        <v>0</v>
      </c>
      <c r="L611" t="n">
        <v>0</v>
      </c>
      <c r="M611" t="n">
        <v>0</v>
      </c>
      <c r="N611" t="n">
        <v>0</v>
      </c>
      <c r="O611" t="n">
        <v>0</v>
      </c>
      <c r="P611" t="n">
        <v>0</v>
      </c>
      <c r="Q611" t="n">
        <v>0</v>
      </c>
      <c r="R611" s="2" t="inlineStr"/>
    </row>
    <row r="612" ht="15" customHeight="1">
      <c r="A612" t="inlineStr">
        <is>
          <t>A 61806-2021</t>
        </is>
      </c>
      <c r="B612" s="1" t="n">
        <v>44498</v>
      </c>
      <c r="C612" s="1" t="n">
        <v>46086</v>
      </c>
      <c r="D612" t="inlineStr">
        <is>
          <t>JÄMTLANDS LÄN</t>
        </is>
      </c>
      <c r="E612" t="inlineStr">
        <is>
          <t>ÅRE</t>
        </is>
      </c>
      <c r="G612" t="n">
        <v>0.7</v>
      </c>
      <c r="H612" t="n">
        <v>0</v>
      </c>
      <c r="I612" t="n">
        <v>0</v>
      </c>
      <c r="J612" t="n">
        <v>0</v>
      </c>
      <c r="K612" t="n">
        <v>0</v>
      </c>
      <c r="L612" t="n">
        <v>0</v>
      </c>
      <c r="M612" t="n">
        <v>0</v>
      </c>
      <c r="N612" t="n">
        <v>0</v>
      </c>
      <c r="O612" t="n">
        <v>0</v>
      </c>
      <c r="P612" t="n">
        <v>0</v>
      </c>
      <c r="Q612" t="n">
        <v>0</v>
      </c>
      <c r="R612" s="2" t="inlineStr"/>
    </row>
    <row r="613" ht="15" customHeight="1">
      <c r="A613" t="inlineStr">
        <is>
          <t>A 46788-2024</t>
        </is>
      </c>
      <c r="B613" s="1" t="n">
        <v>45583.53219907408</v>
      </c>
      <c r="C613" s="1" t="n">
        <v>46086</v>
      </c>
      <c r="D613" t="inlineStr">
        <is>
          <t>JÄMTLANDS LÄN</t>
        </is>
      </c>
      <c r="E613" t="inlineStr">
        <is>
          <t>ÅRE</t>
        </is>
      </c>
      <c r="F613" t="inlineStr">
        <is>
          <t>Övriga Aktiebolag</t>
        </is>
      </c>
      <c r="G613" t="n">
        <v>0.3</v>
      </c>
      <c r="H613" t="n">
        <v>0</v>
      </c>
      <c r="I613" t="n">
        <v>0</v>
      </c>
      <c r="J613" t="n">
        <v>0</v>
      </c>
      <c r="K613" t="n">
        <v>0</v>
      </c>
      <c r="L613" t="n">
        <v>0</v>
      </c>
      <c r="M613" t="n">
        <v>0</v>
      </c>
      <c r="N613" t="n">
        <v>0</v>
      </c>
      <c r="O613" t="n">
        <v>0</v>
      </c>
      <c r="P613" t="n">
        <v>0</v>
      </c>
      <c r="Q613" t="n">
        <v>0</v>
      </c>
      <c r="R613" s="2" t="inlineStr"/>
    </row>
    <row r="614" ht="15" customHeight="1">
      <c r="A614" t="inlineStr">
        <is>
          <t>A 60899-2022</t>
        </is>
      </c>
      <c r="B614" s="1" t="n">
        <v>44908</v>
      </c>
      <c r="C614" s="1" t="n">
        <v>46086</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45324-2024</t>
        </is>
      </c>
      <c r="B615" s="1" t="n">
        <v>45576</v>
      </c>
      <c r="C615" s="1" t="n">
        <v>46086</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556-2023</t>
        </is>
      </c>
      <c r="B616" s="1" t="n">
        <v>44930</v>
      </c>
      <c r="C616" s="1" t="n">
        <v>46086</v>
      </c>
      <c r="D616" t="inlineStr">
        <is>
          <t>JÄMTLANDS LÄN</t>
        </is>
      </c>
      <c r="E616" t="inlineStr">
        <is>
          <t>ÅRE</t>
        </is>
      </c>
      <c r="G616" t="n">
        <v>14.9</v>
      </c>
      <c r="H616" t="n">
        <v>0</v>
      </c>
      <c r="I616" t="n">
        <v>0</v>
      </c>
      <c r="J616" t="n">
        <v>0</v>
      </c>
      <c r="K616" t="n">
        <v>0</v>
      </c>
      <c r="L616" t="n">
        <v>0</v>
      </c>
      <c r="M616" t="n">
        <v>0</v>
      </c>
      <c r="N616" t="n">
        <v>0</v>
      </c>
      <c r="O616" t="n">
        <v>0</v>
      </c>
      <c r="P616" t="n">
        <v>0</v>
      </c>
      <c r="Q616" t="n">
        <v>0</v>
      </c>
      <c r="R616" s="2" t="inlineStr"/>
    </row>
    <row r="617" ht="15" customHeight="1">
      <c r="A617" t="inlineStr">
        <is>
          <t>A 57864-2024</t>
        </is>
      </c>
      <c r="B617" s="1" t="n">
        <v>45631.43578703704</v>
      </c>
      <c r="C617" s="1" t="n">
        <v>46086</v>
      </c>
      <c r="D617" t="inlineStr">
        <is>
          <t>JÄMTLANDS LÄN</t>
        </is>
      </c>
      <c r="E617" t="inlineStr">
        <is>
          <t>ÅRE</t>
        </is>
      </c>
      <c r="G617" t="n">
        <v>1.5</v>
      </c>
      <c r="H617" t="n">
        <v>0</v>
      </c>
      <c r="I617" t="n">
        <v>0</v>
      </c>
      <c r="J617" t="n">
        <v>0</v>
      </c>
      <c r="K617" t="n">
        <v>0</v>
      </c>
      <c r="L617" t="n">
        <v>0</v>
      </c>
      <c r="M617" t="n">
        <v>0</v>
      </c>
      <c r="N617" t="n">
        <v>0</v>
      </c>
      <c r="O617" t="n">
        <v>0</v>
      </c>
      <c r="P617" t="n">
        <v>0</v>
      </c>
      <c r="Q617" t="n">
        <v>0</v>
      </c>
      <c r="R617" s="2" t="inlineStr"/>
    </row>
    <row r="618" ht="15" customHeight="1">
      <c r="A618" t="inlineStr">
        <is>
          <t>A 54250-2024</t>
        </is>
      </c>
      <c r="B618" s="1" t="n">
        <v>45616</v>
      </c>
      <c r="C618" s="1" t="n">
        <v>46086</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37729-2023</t>
        </is>
      </c>
      <c r="B619" s="1" t="n">
        <v>45159</v>
      </c>
      <c r="C619" s="1" t="n">
        <v>46086</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36234-2023</t>
        </is>
      </c>
      <c r="B620" s="1" t="n">
        <v>45150</v>
      </c>
      <c r="C620" s="1" t="n">
        <v>46086</v>
      </c>
      <c r="D620" t="inlineStr">
        <is>
          <t>JÄMTLANDS LÄN</t>
        </is>
      </c>
      <c r="E620" t="inlineStr">
        <is>
          <t>ÅRE</t>
        </is>
      </c>
      <c r="G620" t="n">
        <v>0.9</v>
      </c>
      <c r="H620" t="n">
        <v>0</v>
      </c>
      <c r="I620" t="n">
        <v>0</v>
      </c>
      <c r="J620" t="n">
        <v>0</v>
      </c>
      <c r="K620" t="n">
        <v>0</v>
      </c>
      <c r="L620" t="n">
        <v>0</v>
      </c>
      <c r="M620" t="n">
        <v>0</v>
      </c>
      <c r="N620" t="n">
        <v>0</v>
      </c>
      <c r="O620" t="n">
        <v>0</v>
      </c>
      <c r="P620" t="n">
        <v>0</v>
      </c>
      <c r="Q620" t="n">
        <v>0</v>
      </c>
      <c r="R620" s="2" t="inlineStr"/>
    </row>
    <row r="621" ht="15" customHeight="1">
      <c r="A621" t="inlineStr">
        <is>
          <t>A 38456-2021</t>
        </is>
      </c>
      <c r="B621" s="1" t="n">
        <v>44406</v>
      </c>
      <c r="C621" s="1" t="n">
        <v>46086</v>
      </c>
      <c r="D621" t="inlineStr">
        <is>
          <t>JÄMTLANDS LÄN</t>
        </is>
      </c>
      <c r="E621" t="inlineStr">
        <is>
          <t>ÅRE</t>
        </is>
      </c>
      <c r="G621" t="n">
        <v>19.8</v>
      </c>
      <c r="H621" t="n">
        <v>0</v>
      </c>
      <c r="I621" t="n">
        <v>0</v>
      </c>
      <c r="J621" t="n">
        <v>0</v>
      </c>
      <c r="K621" t="n">
        <v>0</v>
      </c>
      <c r="L621" t="n">
        <v>0</v>
      </c>
      <c r="M621" t="n">
        <v>0</v>
      </c>
      <c r="N621" t="n">
        <v>0</v>
      </c>
      <c r="O621" t="n">
        <v>0</v>
      </c>
      <c r="P621" t="n">
        <v>0</v>
      </c>
      <c r="Q621" t="n">
        <v>0</v>
      </c>
      <c r="R621" s="2" t="inlineStr"/>
    </row>
    <row r="622" ht="15" customHeight="1">
      <c r="A622" t="inlineStr">
        <is>
          <t>A 9312-2025</t>
        </is>
      </c>
      <c r="B622" s="1" t="n">
        <v>45714.68869212963</v>
      </c>
      <c r="C622" s="1" t="n">
        <v>46086</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45279-2024</t>
        </is>
      </c>
      <c r="B623" s="1" t="n">
        <v>45576.37496527778</v>
      </c>
      <c r="C623" s="1" t="n">
        <v>46086</v>
      </c>
      <c r="D623" t="inlineStr">
        <is>
          <t>JÄMTLANDS LÄN</t>
        </is>
      </c>
      <c r="E623" t="inlineStr">
        <is>
          <t>ÅRE</t>
        </is>
      </c>
      <c r="G623" t="n">
        <v>17.2</v>
      </c>
      <c r="H623" t="n">
        <v>0</v>
      </c>
      <c r="I623" t="n">
        <v>0</v>
      </c>
      <c r="J623" t="n">
        <v>0</v>
      </c>
      <c r="K623" t="n">
        <v>0</v>
      </c>
      <c r="L623" t="n">
        <v>0</v>
      </c>
      <c r="M623" t="n">
        <v>0</v>
      </c>
      <c r="N623" t="n">
        <v>0</v>
      </c>
      <c r="O623" t="n">
        <v>0</v>
      </c>
      <c r="P623" t="n">
        <v>0</v>
      </c>
      <c r="Q623" t="n">
        <v>0</v>
      </c>
      <c r="R623" s="2" t="inlineStr"/>
    </row>
    <row r="624" ht="15" customHeight="1">
      <c r="A624" t="inlineStr">
        <is>
          <t>A 22707-2021</t>
        </is>
      </c>
      <c r="B624" s="1" t="n">
        <v>44323</v>
      </c>
      <c r="C624" s="1" t="n">
        <v>46086</v>
      </c>
      <c r="D624" t="inlineStr">
        <is>
          <t>JÄMTLANDS LÄN</t>
        </is>
      </c>
      <c r="E624" t="inlineStr">
        <is>
          <t>ÅRE</t>
        </is>
      </c>
      <c r="G624" t="n">
        <v>6.3</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46086</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1460-2024</t>
        </is>
      </c>
      <c r="B626" s="1" t="n">
        <v>45303.93322916667</v>
      </c>
      <c r="C626" s="1" t="n">
        <v>46086</v>
      </c>
      <c r="D626" t="inlineStr">
        <is>
          <t>JÄMTLANDS LÄN</t>
        </is>
      </c>
      <c r="E626" t="inlineStr">
        <is>
          <t>ÅRE</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61524-2021</t>
        </is>
      </c>
      <c r="B627" s="1" t="n">
        <v>44496</v>
      </c>
      <c r="C627" s="1" t="n">
        <v>46086</v>
      </c>
      <c r="D627" t="inlineStr">
        <is>
          <t>JÄMTLANDS LÄN</t>
        </is>
      </c>
      <c r="E627" t="inlineStr">
        <is>
          <t>ÅRE</t>
        </is>
      </c>
      <c r="F627" t="inlineStr">
        <is>
          <t>Övriga statliga verk och myndigheter</t>
        </is>
      </c>
      <c r="G627" t="n">
        <v>15</v>
      </c>
      <c r="H627" t="n">
        <v>0</v>
      </c>
      <c r="I627" t="n">
        <v>0</v>
      </c>
      <c r="J627" t="n">
        <v>0</v>
      </c>
      <c r="K627" t="n">
        <v>0</v>
      </c>
      <c r="L627" t="n">
        <v>0</v>
      </c>
      <c r="M627" t="n">
        <v>0</v>
      </c>
      <c r="N627" t="n">
        <v>0</v>
      </c>
      <c r="O627" t="n">
        <v>0</v>
      </c>
      <c r="P627" t="n">
        <v>0</v>
      </c>
      <c r="Q627" t="n">
        <v>0</v>
      </c>
      <c r="R627" s="2" t="inlineStr"/>
    </row>
    <row r="628" ht="15" customHeight="1">
      <c r="A628" t="inlineStr">
        <is>
          <t>A 61481-2022</t>
        </is>
      </c>
      <c r="B628" s="1" t="n">
        <v>44910</v>
      </c>
      <c r="C628" s="1" t="n">
        <v>46086</v>
      </c>
      <c r="D628" t="inlineStr">
        <is>
          <t>JÄMTLANDS LÄN</t>
        </is>
      </c>
      <c r="E628" t="inlineStr">
        <is>
          <t>ÅRE</t>
        </is>
      </c>
      <c r="G628" t="n">
        <v>0.4</v>
      </c>
      <c r="H628" t="n">
        <v>0</v>
      </c>
      <c r="I628" t="n">
        <v>0</v>
      </c>
      <c r="J628" t="n">
        <v>0</v>
      </c>
      <c r="K628" t="n">
        <v>0</v>
      </c>
      <c r="L628" t="n">
        <v>0</v>
      </c>
      <c r="M628" t="n">
        <v>0</v>
      </c>
      <c r="N628" t="n">
        <v>0</v>
      </c>
      <c r="O628" t="n">
        <v>0</v>
      </c>
      <c r="P628" t="n">
        <v>0</v>
      </c>
      <c r="Q628" t="n">
        <v>0</v>
      </c>
      <c r="R628" s="2" t="inlineStr"/>
    </row>
    <row r="629" ht="15" customHeight="1">
      <c r="A629" t="inlineStr">
        <is>
          <t>A 58940-2021</t>
        </is>
      </c>
      <c r="B629" s="1" t="n">
        <v>44489</v>
      </c>
      <c r="C629" s="1" t="n">
        <v>46086</v>
      </c>
      <c r="D629" t="inlineStr">
        <is>
          <t>JÄMTLANDS LÄN</t>
        </is>
      </c>
      <c r="E629" t="inlineStr">
        <is>
          <t>ÅRE</t>
        </is>
      </c>
      <c r="G629" t="n">
        <v>5.8</v>
      </c>
      <c r="H629" t="n">
        <v>0</v>
      </c>
      <c r="I629" t="n">
        <v>0</v>
      </c>
      <c r="J629" t="n">
        <v>0</v>
      </c>
      <c r="K629" t="n">
        <v>0</v>
      </c>
      <c r="L629" t="n">
        <v>0</v>
      </c>
      <c r="M629" t="n">
        <v>0</v>
      </c>
      <c r="N629" t="n">
        <v>0</v>
      </c>
      <c r="O629" t="n">
        <v>0</v>
      </c>
      <c r="P629" t="n">
        <v>0</v>
      </c>
      <c r="Q629" t="n">
        <v>0</v>
      </c>
      <c r="R629" s="2" t="inlineStr"/>
    </row>
    <row r="630" ht="15" customHeight="1">
      <c r="A630" t="inlineStr">
        <is>
          <t>A 56556-2022</t>
        </is>
      </c>
      <c r="B630" s="1" t="n">
        <v>44893.48930555556</v>
      </c>
      <c r="C630" s="1" t="n">
        <v>46086</v>
      </c>
      <c r="D630" t="inlineStr">
        <is>
          <t>JÄMTLANDS LÄN</t>
        </is>
      </c>
      <c r="E630" t="inlineStr">
        <is>
          <t>ÅRE</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5610-2025</t>
        </is>
      </c>
      <c r="B631" s="1" t="n">
        <v>45693.60425925926</v>
      </c>
      <c r="C631" s="1" t="n">
        <v>46086</v>
      </c>
      <c r="D631" t="inlineStr">
        <is>
          <t>JÄMTLANDS LÄN</t>
        </is>
      </c>
      <c r="E631" t="inlineStr">
        <is>
          <t>ÅRE</t>
        </is>
      </c>
      <c r="G631" t="n">
        <v>1.6</v>
      </c>
      <c r="H631" t="n">
        <v>0</v>
      </c>
      <c r="I631" t="n">
        <v>0</v>
      </c>
      <c r="J631" t="n">
        <v>0</v>
      </c>
      <c r="K631" t="n">
        <v>0</v>
      </c>
      <c r="L631" t="n">
        <v>0</v>
      </c>
      <c r="M631" t="n">
        <v>0</v>
      </c>
      <c r="N631" t="n">
        <v>0</v>
      </c>
      <c r="O631" t="n">
        <v>0</v>
      </c>
      <c r="P631" t="n">
        <v>0</v>
      </c>
      <c r="Q631" t="n">
        <v>0</v>
      </c>
      <c r="R631" s="2" t="inlineStr"/>
    </row>
    <row r="632" ht="15" customHeight="1">
      <c r="A632" t="inlineStr">
        <is>
          <t>A 27390-2021</t>
        </is>
      </c>
      <c r="B632" s="1" t="n">
        <v>44351</v>
      </c>
      <c r="C632" s="1" t="n">
        <v>46086</v>
      </c>
      <c r="D632" t="inlineStr">
        <is>
          <t>JÄMTLANDS LÄN</t>
        </is>
      </c>
      <c r="E632" t="inlineStr">
        <is>
          <t>ÅRE</t>
        </is>
      </c>
      <c r="G632" t="n">
        <v>14.9</v>
      </c>
      <c r="H632" t="n">
        <v>0</v>
      </c>
      <c r="I632" t="n">
        <v>0</v>
      </c>
      <c r="J632" t="n">
        <v>0</v>
      </c>
      <c r="K632" t="n">
        <v>0</v>
      </c>
      <c r="L632" t="n">
        <v>0</v>
      </c>
      <c r="M632" t="n">
        <v>0</v>
      </c>
      <c r="N632" t="n">
        <v>0</v>
      </c>
      <c r="O632" t="n">
        <v>0</v>
      </c>
      <c r="P632" t="n">
        <v>0</v>
      </c>
      <c r="Q632" t="n">
        <v>0</v>
      </c>
      <c r="R632" s="2" t="inlineStr"/>
    </row>
    <row r="633" ht="15" customHeight="1">
      <c r="A633" t="inlineStr">
        <is>
          <t>A 14283-2025</t>
        </is>
      </c>
      <c r="B633" s="1" t="n">
        <v>45740.65851851852</v>
      </c>
      <c r="C633" s="1" t="n">
        <v>46086</v>
      </c>
      <c r="D633" t="inlineStr">
        <is>
          <t>JÄMTLANDS LÄN</t>
        </is>
      </c>
      <c r="E633" t="inlineStr">
        <is>
          <t>ÅRE</t>
        </is>
      </c>
      <c r="G633" t="n">
        <v>4.6</v>
      </c>
      <c r="H633" t="n">
        <v>0</v>
      </c>
      <c r="I633" t="n">
        <v>0</v>
      </c>
      <c r="J633" t="n">
        <v>0</v>
      </c>
      <c r="K633" t="n">
        <v>0</v>
      </c>
      <c r="L633" t="n">
        <v>0</v>
      </c>
      <c r="M633" t="n">
        <v>0</v>
      </c>
      <c r="N633" t="n">
        <v>0</v>
      </c>
      <c r="O633" t="n">
        <v>0</v>
      </c>
      <c r="P633" t="n">
        <v>0</v>
      </c>
      <c r="Q633" t="n">
        <v>0</v>
      </c>
      <c r="R633" s="2" t="inlineStr"/>
    </row>
    <row r="634" ht="15" customHeight="1">
      <c r="A634" t="inlineStr">
        <is>
          <t>A 33379-2024</t>
        </is>
      </c>
      <c r="B634" s="1" t="n">
        <v>45519.4495949074</v>
      </c>
      <c r="C634" s="1" t="n">
        <v>46086</v>
      </c>
      <c r="D634" t="inlineStr">
        <is>
          <t>JÄMTLANDS LÄN</t>
        </is>
      </c>
      <c r="E634" t="inlineStr">
        <is>
          <t>ÅRE</t>
        </is>
      </c>
      <c r="G634" t="n">
        <v>1.5</v>
      </c>
      <c r="H634" t="n">
        <v>0</v>
      </c>
      <c r="I634" t="n">
        <v>0</v>
      </c>
      <c r="J634" t="n">
        <v>0</v>
      </c>
      <c r="K634" t="n">
        <v>0</v>
      </c>
      <c r="L634" t="n">
        <v>0</v>
      </c>
      <c r="M634" t="n">
        <v>0</v>
      </c>
      <c r="N634" t="n">
        <v>0</v>
      </c>
      <c r="O634" t="n">
        <v>0</v>
      </c>
      <c r="P634" t="n">
        <v>0</v>
      </c>
      <c r="Q634" t="n">
        <v>0</v>
      </c>
      <c r="R634" s="2" t="inlineStr"/>
    </row>
    <row r="635" ht="15" customHeight="1">
      <c r="A635" t="inlineStr">
        <is>
          <t>A 12216-2023</t>
        </is>
      </c>
      <c r="B635" s="1" t="n">
        <v>44998</v>
      </c>
      <c r="C635" s="1" t="n">
        <v>46086</v>
      </c>
      <c r="D635" t="inlineStr">
        <is>
          <t>JÄMTLANDS LÄN</t>
        </is>
      </c>
      <c r="E635" t="inlineStr">
        <is>
          <t>ÅRE</t>
        </is>
      </c>
      <c r="G635" t="n">
        <v>11.8</v>
      </c>
      <c r="H635" t="n">
        <v>0</v>
      </c>
      <c r="I635" t="n">
        <v>0</v>
      </c>
      <c r="J635" t="n">
        <v>0</v>
      </c>
      <c r="K635" t="n">
        <v>0</v>
      </c>
      <c r="L635" t="n">
        <v>0</v>
      </c>
      <c r="M635" t="n">
        <v>0</v>
      </c>
      <c r="N635" t="n">
        <v>0</v>
      </c>
      <c r="O635" t="n">
        <v>0</v>
      </c>
      <c r="P635" t="n">
        <v>0</v>
      </c>
      <c r="Q635" t="n">
        <v>0</v>
      </c>
      <c r="R635" s="2" t="inlineStr"/>
    </row>
    <row r="636" ht="15" customHeight="1">
      <c r="A636" t="inlineStr">
        <is>
          <t>A 59215-2024</t>
        </is>
      </c>
      <c r="B636" s="1" t="n">
        <v>45636</v>
      </c>
      <c r="C636" s="1" t="n">
        <v>46086</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23159-2024</t>
        </is>
      </c>
      <c r="B637" s="1" t="n">
        <v>45450.7033912037</v>
      </c>
      <c r="C637" s="1" t="n">
        <v>46086</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57448-2023</t>
        </is>
      </c>
      <c r="B638" s="1" t="n">
        <v>45246.34405092592</v>
      </c>
      <c r="C638" s="1" t="n">
        <v>46086</v>
      </c>
      <c r="D638" t="inlineStr">
        <is>
          <t>JÄMTLANDS LÄN</t>
        </is>
      </c>
      <c r="E638" t="inlineStr">
        <is>
          <t>ÅRE</t>
        </is>
      </c>
      <c r="G638" t="n">
        <v>11.9</v>
      </c>
      <c r="H638" t="n">
        <v>0</v>
      </c>
      <c r="I638" t="n">
        <v>0</v>
      </c>
      <c r="J638" t="n">
        <v>0</v>
      </c>
      <c r="K638" t="n">
        <v>0</v>
      </c>
      <c r="L638" t="n">
        <v>0</v>
      </c>
      <c r="M638" t="n">
        <v>0</v>
      </c>
      <c r="N638" t="n">
        <v>0</v>
      </c>
      <c r="O638" t="n">
        <v>0</v>
      </c>
      <c r="P638" t="n">
        <v>0</v>
      </c>
      <c r="Q638" t="n">
        <v>0</v>
      </c>
      <c r="R638" s="2" t="inlineStr"/>
    </row>
    <row r="639" ht="15" customHeight="1">
      <c r="A639" t="inlineStr">
        <is>
          <t>A 49818-2022</t>
        </is>
      </c>
      <c r="B639" s="1" t="n">
        <v>44859</v>
      </c>
      <c r="C639" s="1" t="n">
        <v>46086</v>
      </c>
      <c r="D639" t="inlineStr">
        <is>
          <t>JÄMTLANDS LÄN</t>
        </is>
      </c>
      <c r="E639" t="inlineStr">
        <is>
          <t>ÅRE</t>
        </is>
      </c>
      <c r="G639" t="n">
        <v>63</v>
      </c>
      <c r="H639" t="n">
        <v>0</v>
      </c>
      <c r="I639" t="n">
        <v>0</v>
      </c>
      <c r="J639" t="n">
        <v>0</v>
      </c>
      <c r="K639" t="n">
        <v>0</v>
      </c>
      <c r="L639" t="n">
        <v>0</v>
      </c>
      <c r="M639" t="n">
        <v>0</v>
      </c>
      <c r="N639" t="n">
        <v>0</v>
      </c>
      <c r="O639" t="n">
        <v>0</v>
      </c>
      <c r="P639" t="n">
        <v>0</v>
      </c>
      <c r="Q639" t="n">
        <v>0</v>
      </c>
      <c r="R639" s="2" t="inlineStr"/>
    </row>
    <row r="640" ht="15" customHeight="1">
      <c r="A640" t="inlineStr">
        <is>
          <t>A 73798-2021</t>
        </is>
      </c>
      <c r="B640" s="1" t="n">
        <v>44552</v>
      </c>
      <c r="C640" s="1" t="n">
        <v>46086</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1414-2023</t>
        </is>
      </c>
      <c r="B641" s="1" t="n">
        <v>44936</v>
      </c>
      <c r="C641" s="1" t="n">
        <v>46086</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30379-2024</t>
        </is>
      </c>
      <c r="B642" s="1" t="n">
        <v>45491.43815972222</v>
      </c>
      <c r="C642" s="1" t="n">
        <v>46086</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17883-2021</t>
        </is>
      </c>
      <c r="B643" s="1" t="n">
        <v>44301</v>
      </c>
      <c r="C643" s="1" t="n">
        <v>46086</v>
      </c>
      <c r="D643" t="inlineStr">
        <is>
          <t>JÄMTLANDS LÄN</t>
        </is>
      </c>
      <c r="E643" t="inlineStr">
        <is>
          <t>ÅRE</t>
        </is>
      </c>
      <c r="F643" t="inlineStr">
        <is>
          <t>Övriga Aktiebolag</t>
        </is>
      </c>
      <c r="G643" t="n">
        <v>6.7</v>
      </c>
      <c r="H643" t="n">
        <v>0</v>
      </c>
      <c r="I643" t="n">
        <v>0</v>
      </c>
      <c r="J643" t="n">
        <v>0</v>
      </c>
      <c r="K643" t="n">
        <v>0</v>
      </c>
      <c r="L643" t="n">
        <v>0</v>
      </c>
      <c r="M643" t="n">
        <v>0</v>
      </c>
      <c r="N643" t="n">
        <v>0</v>
      </c>
      <c r="O643" t="n">
        <v>0</v>
      </c>
      <c r="P643" t="n">
        <v>0</v>
      </c>
      <c r="Q643" t="n">
        <v>0</v>
      </c>
      <c r="R643" s="2" t="inlineStr"/>
    </row>
    <row r="644" ht="15" customHeight="1">
      <c r="A644" t="inlineStr">
        <is>
          <t>A 33015-2022</t>
        </is>
      </c>
      <c r="B644" s="1" t="n">
        <v>44784</v>
      </c>
      <c r="C644" s="1" t="n">
        <v>46086</v>
      </c>
      <c r="D644" t="inlineStr">
        <is>
          <t>JÄMTLANDS LÄN</t>
        </is>
      </c>
      <c r="E644" t="inlineStr">
        <is>
          <t>ÅRE</t>
        </is>
      </c>
      <c r="G644" t="n">
        <v>5.1</v>
      </c>
      <c r="H644" t="n">
        <v>0</v>
      </c>
      <c r="I644" t="n">
        <v>0</v>
      </c>
      <c r="J644" t="n">
        <v>0</v>
      </c>
      <c r="K644" t="n">
        <v>0</v>
      </c>
      <c r="L644" t="n">
        <v>0</v>
      </c>
      <c r="M644" t="n">
        <v>0</v>
      </c>
      <c r="N644" t="n">
        <v>0</v>
      </c>
      <c r="O644" t="n">
        <v>0</v>
      </c>
      <c r="P644" t="n">
        <v>0</v>
      </c>
      <c r="Q644" t="n">
        <v>0</v>
      </c>
      <c r="R644" s="2" t="inlineStr"/>
    </row>
    <row r="645" ht="15" customHeight="1">
      <c r="A645" t="inlineStr">
        <is>
          <t>A 49313-2024</t>
        </is>
      </c>
      <c r="B645" s="1" t="n">
        <v>45595</v>
      </c>
      <c r="C645" s="1" t="n">
        <v>46086</v>
      </c>
      <c r="D645" t="inlineStr">
        <is>
          <t>JÄMTLANDS LÄN</t>
        </is>
      </c>
      <c r="E645" t="inlineStr">
        <is>
          <t>ÅRE</t>
        </is>
      </c>
      <c r="G645" t="n">
        <v>1.1</v>
      </c>
      <c r="H645" t="n">
        <v>0</v>
      </c>
      <c r="I645" t="n">
        <v>0</v>
      </c>
      <c r="J645" t="n">
        <v>0</v>
      </c>
      <c r="K645" t="n">
        <v>0</v>
      </c>
      <c r="L645" t="n">
        <v>0</v>
      </c>
      <c r="M645" t="n">
        <v>0</v>
      </c>
      <c r="N645" t="n">
        <v>0</v>
      </c>
      <c r="O645" t="n">
        <v>0</v>
      </c>
      <c r="P645" t="n">
        <v>0</v>
      </c>
      <c r="Q645" t="n">
        <v>0</v>
      </c>
      <c r="R645" s="2" t="inlineStr"/>
    </row>
    <row r="646" ht="15" customHeight="1">
      <c r="A646" t="inlineStr">
        <is>
          <t>A 29294-2023</t>
        </is>
      </c>
      <c r="B646" s="1" t="n">
        <v>45098</v>
      </c>
      <c r="C646" s="1" t="n">
        <v>46086</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43324-2022</t>
        </is>
      </c>
      <c r="B647" s="1" t="n">
        <v>44834</v>
      </c>
      <c r="C647" s="1" t="n">
        <v>46086</v>
      </c>
      <c r="D647" t="inlineStr">
        <is>
          <t>JÄMTLANDS LÄN</t>
        </is>
      </c>
      <c r="E647" t="inlineStr">
        <is>
          <t>ÅRE</t>
        </is>
      </c>
      <c r="F647" t="inlineStr">
        <is>
          <t>Bergvik skog öst AB</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47052-2022</t>
        </is>
      </c>
      <c r="B648" s="1" t="n">
        <v>44851</v>
      </c>
      <c r="C648" s="1" t="n">
        <v>46086</v>
      </c>
      <c r="D648" t="inlineStr">
        <is>
          <t>JÄMTLANDS LÄN</t>
        </is>
      </c>
      <c r="E648" t="inlineStr">
        <is>
          <t>ÅRE</t>
        </is>
      </c>
      <c r="G648" t="n">
        <v>90.8</v>
      </c>
      <c r="H648" t="n">
        <v>0</v>
      </c>
      <c r="I648" t="n">
        <v>0</v>
      </c>
      <c r="J648" t="n">
        <v>0</v>
      </c>
      <c r="K648" t="n">
        <v>0</v>
      </c>
      <c r="L648" t="n">
        <v>0</v>
      </c>
      <c r="M648" t="n">
        <v>0</v>
      </c>
      <c r="N648" t="n">
        <v>0</v>
      </c>
      <c r="O648" t="n">
        <v>0</v>
      </c>
      <c r="P648" t="n">
        <v>0</v>
      </c>
      <c r="Q648" t="n">
        <v>0</v>
      </c>
      <c r="R648" s="2" t="inlineStr"/>
    </row>
    <row r="649" ht="15" customHeight="1">
      <c r="A649" t="inlineStr">
        <is>
          <t>A 59666-2023</t>
        </is>
      </c>
      <c r="B649" s="1" t="n">
        <v>45254.96476851852</v>
      </c>
      <c r="C649" s="1" t="n">
        <v>46086</v>
      </c>
      <c r="D649" t="inlineStr">
        <is>
          <t>JÄMTLANDS LÄN</t>
        </is>
      </c>
      <c r="E649" t="inlineStr">
        <is>
          <t>ÅRE</t>
        </is>
      </c>
      <c r="G649" t="n">
        <v>6.6</v>
      </c>
      <c r="H649" t="n">
        <v>0</v>
      </c>
      <c r="I649" t="n">
        <v>0</v>
      </c>
      <c r="J649" t="n">
        <v>0</v>
      </c>
      <c r="K649" t="n">
        <v>0</v>
      </c>
      <c r="L649" t="n">
        <v>0</v>
      </c>
      <c r="M649" t="n">
        <v>0</v>
      </c>
      <c r="N649" t="n">
        <v>0</v>
      </c>
      <c r="O649" t="n">
        <v>0</v>
      </c>
      <c r="P649" t="n">
        <v>0</v>
      </c>
      <c r="Q649" t="n">
        <v>0</v>
      </c>
      <c r="R649" s="2" t="inlineStr"/>
    </row>
    <row r="650" ht="15" customHeight="1">
      <c r="A650" t="inlineStr">
        <is>
          <t>A 20999-2024</t>
        </is>
      </c>
      <c r="B650" s="1" t="n">
        <v>45439</v>
      </c>
      <c r="C650" s="1" t="n">
        <v>46086</v>
      </c>
      <c r="D650" t="inlineStr">
        <is>
          <t>JÄMTLANDS LÄN</t>
        </is>
      </c>
      <c r="E650" t="inlineStr">
        <is>
          <t>ÅRE</t>
        </is>
      </c>
      <c r="G650" t="n">
        <v>5.7</v>
      </c>
      <c r="H650" t="n">
        <v>0</v>
      </c>
      <c r="I650" t="n">
        <v>0</v>
      </c>
      <c r="J650" t="n">
        <v>0</v>
      </c>
      <c r="K650" t="n">
        <v>0</v>
      </c>
      <c r="L650" t="n">
        <v>0</v>
      </c>
      <c r="M650" t="n">
        <v>0</v>
      </c>
      <c r="N650" t="n">
        <v>0</v>
      </c>
      <c r="O650" t="n">
        <v>0</v>
      </c>
      <c r="P650" t="n">
        <v>0</v>
      </c>
      <c r="Q650" t="n">
        <v>0</v>
      </c>
      <c r="R650" s="2" t="inlineStr"/>
    </row>
    <row r="651" ht="15" customHeight="1">
      <c r="A651" t="inlineStr">
        <is>
          <t>A 41686-2024</t>
        </is>
      </c>
      <c r="B651" s="1" t="n">
        <v>45560.67016203704</v>
      </c>
      <c r="C651" s="1" t="n">
        <v>46086</v>
      </c>
      <c r="D651" t="inlineStr">
        <is>
          <t>JÄMTLANDS LÄN</t>
        </is>
      </c>
      <c r="E651" t="inlineStr">
        <is>
          <t>ÅRE</t>
        </is>
      </c>
      <c r="G651" t="n">
        <v>0.6</v>
      </c>
      <c r="H651" t="n">
        <v>0</v>
      </c>
      <c r="I651" t="n">
        <v>0</v>
      </c>
      <c r="J651" t="n">
        <v>0</v>
      </c>
      <c r="K651" t="n">
        <v>0</v>
      </c>
      <c r="L651" t="n">
        <v>0</v>
      </c>
      <c r="M651" t="n">
        <v>0</v>
      </c>
      <c r="N651" t="n">
        <v>0</v>
      </c>
      <c r="O651" t="n">
        <v>0</v>
      </c>
      <c r="P651" t="n">
        <v>0</v>
      </c>
      <c r="Q651" t="n">
        <v>0</v>
      </c>
      <c r="R651" s="2" t="inlineStr"/>
    </row>
    <row r="652" ht="15" customHeight="1">
      <c r="A652" t="inlineStr">
        <is>
          <t>A 56609-2023</t>
        </is>
      </c>
      <c r="B652" s="1" t="n">
        <v>45243.66828703704</v>
      </c>
      <c r="C652" s="1" t="n">
        <v>46086</v>
      </c>
      <c r="D652" t="inlineStr">
        <is>
          <t>JÄMTLANDS LÄN</t>
        </is>
      </c>
      <c r="E652" t="inlineStr">
        <is>
          <t>ÅRE</t>
        </is>
      </c>
      <c r="G652" t="n">
        <v>17.9</v>
      </c>
      <c r="H652" t="n">
        <v>0</v>
      </c>
      <c r="I652" t="n">
        <v>0</v>
      </c>
      <c r="J652" t="n">
        <v>0</v>
      </c>
      <c r="K652" t="n">
        <v>0</v>
      </c>
      <c r="L652" t="n">
        <v>0</v>
      </c>
      <c r="M652" t="n">
        <v>0</v>
      </c>
      <c r="N652" t="n">
        <v>0</v>
      </c>
      <c r="O652" t="n">
        <v>0</v>
      </c>
      <c r="P652" t="n">
        <v>0</v>
      </c>
      <c r="Q652" t="n">
        <v>0</v>
      </c>
      <c r="R652" s="2" t="inlineStr"/>
    </row>
    <row r="653" ht="15" customHeight="1">
      <c r="A653" t="inlineStr">
        <is>
          <t>A 12182-2023</t>
        </is>
      </c>
      <c r="B653" s="1" t="n">
        <v>44998</v>
      </c>
      <c r="C653" s="1" t="n">
        <v>46086</v>
      </c>
      <c r="D653" t="inlineStr">
        <is>
          <t>JÄMTLANDS LÄN</t>
        </is>
      </c>
      <c r="E653" t="inlineStr">
        <is>
          <t>ÅRE</t>
        </is>
      </c>
      <c r="G653" t="n">
        <v>11.7</v>
      </c>
      <c r="H653" t="n">
        <v>0</v>
      </c>
      <c r="I653" t="n">
        <v>0</v>
      </c>
      <c r="J653" t="n">
        <v>0</v>
      </c>
      <c r="K653" t="n">
        <v>0</v>
      </c>
      <c r="L653" t="n">
        <v>0</v>
      </c>
      <c r="M653" t="n">
        <v>0</v>
      </c>
      <c r="N653" t="n">
        <v>0</v>
      </c>
      <c r="O653" t="n">
        <v>0</v>
      </c>
      <c r="P653" t="n">
        <v>0</v>
      </c>
      <c r="Q653" t="n">
        <v>0</v>
      </c>
      <c r="R653" s="2" t="inlineStr"/>
    </row>
    <row r="654" ht="15" customHeight="1">
      <c r="A654" t="inlineStr">
        <is>
          <t>A 71968-2021</t>
        </is>
      </c>
      <c r="B654" s="1" t="n">
        <v>44540</v>
      </c>
      <c r="C654" s="1" t="n">
        <v>46086</v>
      </c>
      <c r="D654" t="inlineStr">
        <is>
          <t>JÄMTLANDS LÄN</t>
        </is>
      </c>
      <c r="E654" t="inlineStr">
        <is>
          <t>ÅRE</t>
        </is>
      </c>
      <c r="G654" t="n">
        <v>7</v>
      </c>
      <c r="H654" t="n">
        <v>0</v>
      </c>
      <c r="I654" t="n">
        <v>0</v>
      </c>
      <c r="J654" t="n">
        <v>0</v>
      </c>
      <c r="K654" t="n">
        <v>0</v>
      </c>
      <c r="L654" t="n">
        <v>0</v>
      </c>
      <c r="M654" t="n">
        <v>0</v>
      </c>
      <c r="N654" t="n">
        <v>0</v>
      </c>
      <c r="O654" t="n">
        <v>0</v>
      </c>
      <c r="P654" t="n">
        <v>0</v>
      </c>
      <c r="Q654" t="n">
        <v>0</v>
      </c>
      <c r="R654" s="2" t="inlineStr"/>
    </row>
    <row r="655" ht="15" customHeight="1">
      <c r="A655" t="inlineStr">
        <is>
          <t>A 54324-2023</t>
        </is>
      </c>
      <c r="B655" s="1" t="n">
        <v>45225</v>
      </c>
      <c r="C655" s="1" t="n">
        <v>46086</v>
      </c>
      <c r="D655" t="inlineStr">
        <is>
          <t>JÄMTLANDS LÄN</t>
        </is>
      </c>
      <c r="E655" t="inlineStr">
        <is>
          <t>ÅRE</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54385-2023</t>
        </is>
      </c>
      <c r="B656" s="1" t="n">
        <v>45233.35863425926</v>
      </c>
      <c r="C656" s="1" t="n">
        <v>46086</v>
      </c>
      <c r="D656" t="inlineStr">
        <is>
          <t>JÄMTLANDS LÄN</t>
        </is>
      </c>
      <c r="E656" t="inlineStr">
        <is>
          <t>ÅRE</t>
        </is>
      </c>
      <c r="G656" t="n">
        <v>3.7</v>
      </c>
      <c r="H656" t="n">
        <v>0</v>
      </c>
      <c r="I656" t="n">
        <v>0</v>
      </c>
      <c r="J656" t="n">
        <v>0</v>
      </c>
      <c r="K656" t="n">
        <v>0</v>
      </c>
      <c r="L656" t="n">
        <v>0</v>
      </c>
      <c r="M656" t="n">
        <v>0</v>
      </c>
      <c r="N656" t="n">
        <v>0</v>
      </c>
      <c r="O656" t="n">
        <v>0</v>
      </c>
      <c r="P656" t="n">
        <v>0</v>
      </c>
      <c r="Q656" t="n">
        <v>0</v>
      </c>
      <c r="R656" s="2" t="inlineStr"/>
    </row>
    <row r="657" ht="15" customHeight="1">
      <c r="A657" t="inlineStr">
        <is>
          <t>A 3149-2023</t>
        </is>
      </c>
      <c r="B657" s="1" t="n">
        <v>44946.5500925926</v>
      </c>
      <c r="C657" s="1" t="n">
        <v>46086</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42244-2024</t>
        </is>
      </c>
      <c r="B658" s="1" t="n">
        <v>45562.56747685185</v>
      </c>
      <c r="C658" s="1" t="n">
        <v>46086</v>
      </c>
      <c r="D658" t="inlineStr">
        <is>
          <t>JÄMTLANDS LÄN</t>
        </is>
      </c>
      <c r="E658" t="inlineStr">
        <is>
          <t>ÅRE</t>
        </is>
      </c>
      <c r="F658" t="inlineStr">
        <is>
          <t>Övriga Aktiebolag</t>
        </is>
      </c>
      <c r="G658" t="n">
        <v>6</v>
      </c>
      <c r="H658" t="n">
        <v>0</v>
      </c>
      <c r="I658" t="n">
        <v>0</v>
      </c>
      <c r="J658" t="n">
        <v>0</v>
      </c>
      <c r="K658" t="n">
        <v>0</v>
      </c>
      <c r="L658" t="n">
        <v>0</v>
      </c>
      <c r="M658" t="n">
        <v>0</v>
      </c>
      <c r="N658" t="n">
        <v>0</v>
      </c>
      <c r="O658" t="n">
        <v>0</v>
      </c>
      <c r="P658" t="n">
        <v>0</v>
      </c>
      <c r="Q658" t="n">
        <v>0</v>
      </c>
      <c r="R658" s="2" t="inlineStr"/>
    </row>
    <row r="659" ht="15" customHeight="1">
      <c r="A659" t="inlineStr">
        <is>
          <t>A 34357-2021</t>
        </is>
      </c>
      <c r="B659" s="1" t="n">
        <v>44379</v>
      </c>
      <c r="C659" s="1" t="n">
        <v>46086</v>
      </c>
      <c r="D659" t="inlineStr">
        <is>
          <t>JÄMTLANDS LÄN</t>
        </is>
      </c>
      <c r="E659" t="inlineStr">
        <is>
          <t>ÅRE</t>
        </is>
      </c>
      <c r="G659" t="n">
        <v>7.1</v>
      </c>
      <c r="H659" t="n">
        <v>0</v>
      </c>
      <c r="I659" t="n">
        <v>0</v>
      </c>
      <c r="J659" t="n">
        <v>0</v>
      </c>
      <c r="K659" t="n">
        <v>0</v>
      </c>
      <c r="L659" t="n">
        <v>0</v>
      </c>
      <c r="M659" t="n">
        <v>0</v>
      </c>
      <c r="N659" t="n">
        <v>0</v>
      </c>
      <c r="O659" t="n">
        <v>0</v>
      </c>
      <c r="P659" t="n">
        <v>0</v>
      </c>
      <c r="Q659" t="n">
        <v>0</v>
      </c>
      <c r="R659" s="2" t="inlineStr"/>
    </row>
    <row r="660" ht="15" customHeight="1">
      <c r="A660" t="inlineStr">
        <is>
          <t>A 61803-2021</t>
        </is>
      </c>
      <c r="B660" s="1" t="n">
        <v>44498</v>
      </c>
      <c r="C660" s="1" t="n">
        <v>46086</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61622-2023</t>
        </is>
      </c>
      <c r="B661" s="1" t="n">
        <v>45261</v>
      </c>
      <c r="C661" s="1" t="n">
        <v>46086</v>
      </c>
      <c r="D661" t="inlineStr">
        <is>
          <t>JÄMTLANDS LÄN</t>
        </is>
      </c>
      <c r="E661" t="inlineStr">
        <is>
          <t>ÅRE</t>
        </is>
      </c>
      <c r="G661" t="n">
        <v>1.6</v>
      </c>
      <c r="H661" t="n">
        <v>0</v>
      </c>
      <c r="I661" t="n">
        <v>0</v>
      </c>
      <c r="J661" t="n">
        <v>0</v>
      </c>
      <c r="K661" t="n">
        <v>0</v>
      </c>
      <c r="L661" t="n">
        <v>0</v>
      </c>
      <c r="M661" t="n">
        <v>0</v>
      </c>
      <c r="N661" t="n">
        <v>0</v>
      </c>
      <c r="O661" t="n">
        <v>0</v>
      </c>
      <c r="P661" t="n">
        <v>0</v>
      </c>
      <c r="Q661" t="n">
        <v>0</v>
      </c>
      <c r="R661" s="2" t="inlineStr"/>
    </row>
    <row r="662" ht="15" customHeight="1">
      <c r="A662" t="inlineStr">
        <is>
          <t>A 69592-2021</t>
        </is>
      </c>
      <c r="B662" s="1" t="n">
        <v>44531</v>
      </c>
      <c r="C662" s="1" t="n">
        <v>46086</v>
      </c>
      <c r="D662" t="inlineStr">
        <is>
          <t>JÄMTLANDS LÄN</t>
        </is>
      </c>
      <c r="E662" t="inlineStr">
        <is>
          <t>ÅRE</t>
        </is>
      </c>
      <c r="G662" t="n">
        <v>4.7</v>
      </c>
      <c r="H662" t="n">
        <v>0</v>
      </c>
      <c r="I662" t="n">
        <v>0</v>
      </c>
      <c r="J662" t="n">
        <v>0</v>
      </c>
      <c r="K662" t="n">
        <v>0</v>
      </c>
      <c r="L662" t="n">
        <v>0</v>
      </c>
      <c r="M662" t="n">
        <v>0</v>
      </c>
      <c r="N662" t="n">
        <v>0</v>
      </c>
      <c r="O662" t="n">
        <v>0</v>
      </c>
      <c r="P662" t="n">
        <v>0</v>
      </c>
      <c r="Q662" t="n">
        <v>0</v>
      </c>
      <c r="R662" s="2" t="inlineStr"/>
    </row>
    <row r="663" ht="15" customHeight="1">
      <c r="A663" t="inlineStr">
        <is>
          <t>A 60426-2022</t>
        </is>
      </c>
      <c r="B663" s="1" t="n">
        <v>44911.32092592592</v>
      </c>
      <c r="C663" s="1" t="n">
        <v>46086</v>
      </c>
      <c r="D663" t="inlineStr">
        <is>
          <t>JÄMTLANDS LÄN</t>
        </is>
      </c>
      <c r="E663" t="inlineStr">
        <is>
          <t>ÅRE</t>
        </is>
      </c>
      <c r="G663" t="n">
        <v>0.8</v>
      </c>
      <c r="H663" t="n">
        <v>0</v>
      </c>
      <c r="I663" t="n">
        <v>0</v>
      </c>
      <c r="J663" t="n">
        <v>0</v>
      </c>
      <c r="K663" t="n">
        <v>0</v>
      </c>
      <c r="L663" t="n">
        <v>0</v>
      </c>
      <c r="M663" t="n">
        <v>0</v>
      </c>
      <c r="N663" t="n">
        <v>0</v>
      </c>
      <c r="O663" t="n">
        <v>0</v>
      </c>
      <c r="P663" t="n">
        <v>0</v>
      </c>
      <c r="Q663" t="n">
        <v>0</v>
      </c>
      <c r="R663" s="2" t="inlineStr"/>
    </row>
    <row r="664" ht="15" customHeight="1">
      <c r="A664" t="inlineStr">
        <is>
          <t>A 57102-2024</t>
        </is>
      </c>
      <c r="B664" s="1" t="n">
        <v>45629.35856481481</v>
      </c>
      <c r="C664" s="1" t="n">
        <v>46086</v>
      </c>
      <c r="D664" t="inlineStr">
        <is>
          <t>JÄMTLANDS LÄN</t>
        </is>
      </c>
      <c r="E664" t="inlineStr">
        <is>
          <t>ÅRE</t>
        </is>
      </c>
      <c r="G664" t="n">
        <v>3.3</v>
      </c>
      <c r="H664" t="n">
        <v>0</v>
      </c>
      <c r="I664" t="n">
        <v>0</v>
      </c>
      <c r="J664" t="n">
        <v>0</v>
      </c>
      <c r="K664" t="n">
        <v>0</v>
      </c>
      <c r="L664" t="n">
        <v>0</v>
      </c>
      <c r="M664" t="n">
        <v>0</v>
      </c>
      <c r="N664" t="n">
        <v>0</v>
      </c>
      <c r="O664" t="n">
        <v>0</v>
      </c>
      <c r="P664" t="n">
        <v>0</v>
      </c>
      <c r="Q664" t="n">
        <v>0</v>
      </c>
      <c r="R664" s="2" t="inlineStr"/>
    </row>
    <row r="665" ht="15" customHeight="1">
      <c r="A665" t="inlineStr">
        <is>
          <t>A 12286-2023</t>
        </is>
      </c>
      <c r="B665" s="1" t="n">
        <v>44998.72263888889</v>
      </c>
      <c r="C665" s="1" t="n">
        <v>46086</v>
      </c>
      <c r="D665" t="inlineStr">
        <is>
          <t>JÄMTLANDS LÄN</t>
        </is>
      </c>
      <c r="E665" t="inlineStr">
        <is>
          <t>ÅRE</t>
        </is>
      </c>
      <c r="G665" t="n">
        <v>7.3</v>
      </c>
      <c r="H665" t="n">
        <v>0</v>
      </c>
      <c r="I665" t="n">
        <v>0</v>
      </c>
      <c r="J665" t="n">
        <v>0</v>
      </c>
      <c r="K665" t="n">
        <v>0</v>
      </c>
      <c r="L665" t="n">
        <v>0</v>
      </c>
      <c r="M665" t="n">
        <v>0</v>
      </c>
      <c r="N665" t="n">
        <v>0</v>
      </c>
      <c r="O665" t="n">
        <v>0</v>
      </c>
      <c r="P665" t="n">
        <v>0</v>
      </c>
      <c r="Q665" t="n">
        <v>0</v>
      </c>
      <c r="R665" s="2" t="inlineStr"/>
    </row>
    <row r="666" ht="15" customHeight="1">
      <c r="A666" t="inlineStr">
        <is>
          <t>A 15889-2025</t>
        </is>
      </c>
      <c r="B666" s="1" t="n">
        <v>45749.4075</v>
      </c>
      <c r="C666" s="1" t="n">
        <v>46086</v>
      </c>
      <c r="D666" t="inlineStr">
        <is>
          <t>JÄMTLANDS LÄN</t>
        </is>
      </c>
      <c r="E666" t="inlineStr">
        <is>
          <t>ÅRE</t>
        </is>
      </c>
      <c r="G666" t="n">
        <v>1.4</v>
      </c>
      <c r="H666" t="n">
        <v>0</v>
      </c>
      <c r="I666" t="n">
        <v>0</v>
      </c>
      <c r="J666" t="n">
        <v>0</v>
      </c>
      <c r="K666" t="n">
        <v>0</v>
      </c>
      <c r="L666" t="n">
        <v>0</v>
      </c>
      <c r="M666" t="n">
        <v>0</v>
      </c>
      <c r="N666" t="n">
        <v>0</v>
      </c>
      <c r="O666" t="n">
        <v>0</v>
      </c>
      <c r="P666" t="n">
        <v>0</v>
      </c>
      <c r="Q666" t="n">
        <v>0</v>
      </c>
      <c r="R666" s="2" t="inlineStr"/>
    </row>
    <row r="667" ht="15" customHeight="1">
      <c r="A667" t="inlineStr">
        <is>
          <t>A 59753-2023</t>
        </is>
      </c>
      <c r="B667" s="1" t="n">
        <v>45254</v>
      </c>
      <c r="C667" s="1" t="n">
        <v>46086</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21167-2025</t>
        </is>
      </c>
      <c r="B668" s="1" t="n">
        <v>45779.41253472222</v>
      </c>
      <c r="C668" s="1" t="n">
        <v>46086</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21181-2025</t>
        </is>
      </c>
      <c r="B669" s="1" t="n">
        <v>45779.43696759259</v>
      </c>
      <c r="C669" s="1" t="n">
        <v>46086</v>
      </c>
      <c r="D669" t="inlineStr">
        <is>
          <t>JÄMTLANDS LÄN</t>
        </is>
      </c>
      <c r="E669" t="inlineStr">
        <is>
          <t>ÅRE</t>
        </is>
      </c>
      <c r="G669" t="n">
        <v>2.9</v>
      </c>
      <c r="H669" t="n">
        <v>0</v>
      </c>
      <c r="I669" t="n">
        <v>0</v>
      </c>
      <c r="J669" t="n">
        <v>0</v>
      </c>
      <c r="K669" t="n">
        <v>0</v>
      </c>
      <c r="L669" t="n">
        <v>0</v>
      </c>
      <c r="M669" t="n">
        <v>0</v>
      </c>
      <c r="N669" t="n">
        <v>0</v>
      </c>
      <c r="O669" t="n">
        <v>0</v>
      </c>
      <c r="P669" t="n">
        <v>0</v>
      </c>
      <c r="Q669" t="n">
        <v>0</v>
      </c>
      <c r="R669" s="2" t="inlineStr"/>
    </row>
    <row r="670" ht="15" customHeight="1">
      <c r="A670" t="inlineStr">
        <is>
          <t>A 46559-2024</t>
        </is>
      </c>
      <c r="B670" s="1" t="n">
        <v>45582</v>
      </c>
      <c r="C670" s="1" t="n">
        <v>46086</v>
      </c>
      <c r="D670" t="inlineStr">
        <is>
          <t>JÄMTLANDS LÄN</t>
        </is>
      </c>
      <c r="E670" t="inlineStr">
        <is>
          <t>ÅRE</t>
        </is>
      </c>
      <c r="G670" t="n">
        <v>6.2</v>
      </c>
      <c r="H670" t="n">
        <v>0</v>
      </c>
      <c r="I670" t="n">
        <v>0</v>
      </c>
      <c r="J670" t="n">
        <v>0</v>
      </c>
      <c r="K670" t="n">
        <v>0</v>
      </c>
      <c r="L670" t="n">
        <v>0</v>
      </c>
      <c r="M670" t="n">
        <v>0</v>
      </c>
      <c r="N670" t="n">
        <v>0</v>
      </c>
      <c r="O670" t="n">
        <v>0</v>
      </c>
      <c r="P670" t="n">
        <v>0</v>
      </c>
      <c r="Q670" t="n">
        <v>0</v>
      </c>
      <c r="R670" s="2" t="inlineStr"/>
    </row>
    <row r="671" ht="15" customHeight="1">
      <c r="A671" t="inlineStr">
        <is>
          <t>A 49296-2024</t>
        </is>
      </c>
      <c r="B671" s="1" t="n">
        <v>45595</v>
      </c>
      <c r="C671" s="1" t="n">
        <v>46086</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60122-2021</t>
        </is>
      </c>
      <c r="B672" s="1" t="n">
        <v>44495</v>
      </c>
      <c r="C672" s="1" t="n">
        <v>46086</v>
      </c>
      <c r="D672" t="inlineStr">
        <is>
          <t>JÄMTLANDS LÄN</t>
        </is>
      </c>
      <c r="E672" t="inlineStr">
        <is>
          <t>ÅRE</t>
        </is>
      </c>
      <c r="G672" t="n">
        <v>46.7</v>
      </c>
      <c r="H672" t="n">
        <v>0</v>
      </c>
      <c r="I672" t="n">
        <v>0</v>
      </c>
      <c r="J672" t="n">
        <v>0</v>
      </c>
      <c r="K672" t="n">
        <v>0</v>
      </c>
      <c r="L672" t="n">
        <v>0</v>
      </c>
      <c r="M672" t="n">
        <v>0</v>
      </c>
      <c r="N672" t="n">
        <v>0</v>
      </c>
      <c r="O672" t="n">
        <v>0</v>
      </c>
      <c r="P672" t="n">
        <v>0</v>
      </c>
      <c r="Q672" t="n">
        <v>0</v>
      </c>
      <c r="R672" s="2" t="inlineStr"/>
    </row>
    <row r="673" ht="15" customHeight="1">
      <c r="A673" t="inlineStr">
        <is>
          <t>A 25224-2025</t>
        </is>
      </c>
      <c r="B673" s="1" t="n">
        <v>45800.48087962963</v>
      </c>
      <c r="C673" s="1" t="n">
        <v>46086</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25200-2025</t>
        </is>
      </c>
      <c r="B674" s="1" t="n">
        <v>45800.4615625</v>
      </c>
      <c r="C674" s="1" t="n">
        <v>46086</v>
      </c>
      <c r="D674" t="inlineStr">
        <is>
          <t>JÄMTLANDS LÄN</t>
        </is>
      </c>
      <c r="E674" t="inlineStr">
        <is>
          <t>ÅRE</t>
        </is>
      </c>
      <c r="G674" t="n">
        <v>3.3</v>
      </c>
      <c r="H674" t="n">
        <v>0</v>
      </c>
      <c r="I674" t="n">
        <v>0</v>
      </c>
      <c r="J674" t="n">
        <v>0</v>
      </c>
      <c r="K674" t="n">
        <v>0</v>
      </c>
      <c r="L674" t="n">
        <v>0</v>
      </c>
      <c r="M674" t="n">
        <v>0</v>
      </c>
      <c r="N674" t="n">
        <v>0</v>
      </c>
      <c r="O674" t="n">
        <v>0</v>
      </c>
      <c r="P674" t="n">
        <v>0</v>
      </c>
      <c r="Q674" t="n">
        <v>0</v>
      </c>
      <c r="R674" s="2" t="inlineStr"/>
    </row>
    <row r="675" ht="15" customHeight="1">
      <c r="A675" t="inlineStr">
        <is>
          <t>A 25208-2025</t>
        </is>
      </c>
      <c r="B675" s="1" t="n">
        <v>45800.46927083333</v>
      </c>
      <c r="C675" s="1" t="n">
        <v>46086</v>
      </c>
      <c r="D675" t="inlineStr">
        <is>
          <t>JÄMTLANDS LÄN</t>
        </is>
      </c>
      <c r="E675" t="inlineStr">
        <is>
          <t>ÅRE</t>
        </is>
      </c>
      <c r="G675" t="n">
        <v>1.5</v>
      </c>
      <c r="H675" t="n">
        <v>0</v>
      </c>
      <c r="I675" t="n">
        <v>0</v>
      </c>
      <c r="J675" t="n">
        <v>0</v>
      </c>
      <c r="K675" t="n">
        <v>0</v>
      </c>
      <c r="L675" t="n">
        <v>0</v>
      </c>
      <c r="M675" t="n">
        <v>0</v>
      </c>
      <c r="N675" t="n">
        <v>0</v>
      </c>
      <c r="O675" t="n">
        <v>0</v>
      </c>
      <c r="P675" t="n">
        <v>0</v>
      </c>
      <c r="Q675" t="n">
        <v>0</v>
      </c>
      <c r="R675" s="2" t="inlineStr"/>
    </row>
    <row r="676">
      <c r="A676" t="inlineStr">
        <is>
          <t>A 32241-2021</t>
        </is>
      </c>
      <c r="B676" s="1" t="n">
        <v>44371</v>
      </c>
      <c r="C676" s="1" t="n">
        <v>46086</v>
      </c>
      <c r="D676" t="inlineStr">
        <is>
          <t>JÄMTLANDS LÄN</t>
        </is>
      </c>
      <c r="E676" t="inlineStr">
        <is>
          <t>ÅRE</t>
        </is>
      </c>
      <c r="G676" t="n">
        <v>2.3</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2026-03-05T11:16:38Z</dcterms:created>
  <dcterms:modified xmlns:dcterms="http://purl.org/dc/terms/" xmlns:xsi="http://www.w3.org/2001/XMLSchema-instance" xsi:type="dcterms:W3CDTF">2026-03-05T11:16:39Z</dcterms:modified>
</cp:coreProperties>
</file>