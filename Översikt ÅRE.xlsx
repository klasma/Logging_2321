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45683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45683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45683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45683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45683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45683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45683</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45683</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45683</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45683</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45683</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45683</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45683</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45683</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45683</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45683</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45683</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45683</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45683</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45683</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45683</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45683</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45683</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45683</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45683</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45683</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45683</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45683</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45683</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45683</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45683</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45683</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45683</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45683</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45683</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45683</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45683</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45683</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45683</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45683</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45683</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45683</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45683</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45683</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45683</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45683</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45683</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45683</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45683</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45683</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45683</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45683</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34633-2020</t>
        </is>
      </c>
      <c r="B54" s="1" t="n">
        <v>44034</v>
      </c>
      <c r="C54" s="1" t="n">
        <v>45683</v>
      </c>
      <c r="D54" t="inlineStr">
        <is>
          <t>JÄMTLANDS LÄN</t>
        </is>
      </c>
      <c r="E54" t="inlineStr">
        <is>
          <t>ÅRE</t>
        </is>
      </c>
      <c r="G54" t="n">
        <v>39.6</v>
      </c>
      <c r="H54" t="n">
        <v>1</v>
      </c>
      <c r="I54" t="n">
        <v>1</v>
      </c>
      <c r="J54" t="n">
        <v>5</v>
      </c>
      <c r="K54" t="n">
        <v>0</v>
      </c>
      <c r="L54" t="n">
        <v>0</v>
      </c>
      <c r="M54" t="n">
        <v>0</v>
      </c>
      <c r="N54" t="n">
        <v>0</v>
      </c>
      <c r="O54" t="n">
        <v>5</v>
      </c>
      <c r="P54" t="n">
        <v>0</v>
      </c>
      <c r="Q54" t="n">
        <v>6</v>
      </c>
      <c r="R54" s="2" t="inlineStr">
        <is>
          <t>Garnlav
Granticka
Gränsticka
Skrovellav
Tretåig hackspett
Sotlav</t>
        </is>
      </c>
      <c r="S54">
        <f>HYPERLINK("https://klasma.github.io/Logging_2321/artfynd/A 34633-2020 artfynd.xlsx", "A 34633-2020")</f>
        <v/>
      </c>
      <c r="T54">
        <f>HYPERLINK("https://klasma.github.io/Logging_2321/kartor/A 34633-2020 karta.png", "A 34633-2020")</f>
        <v/>
      </c>
      <c r="V54">
        <f>HYPERLINK("https://klasma.github.io/Logging_2321/klagomål/A 34633-2020 FSC-klagomål.docx", "A 34633-2020")</f>
        <v/>
      </c>
      <c r="W54">
        <f>HYPERLINK("https://klasma.github.io/Logging_2321/klagomålsmail/A 34633-2020 FSC-klagomål mail.docx", "A 34633-2020")</f>
        <v/>
      </c>
      <c r="X54">
        <f>HYPERLINK("https://klasma.github.io/Logging_2321/tillsyn/A 34633-2020 tillsynsbegäran.docx", "A 34633-2020")</f>
        <v/>
      </c>
      <c r="Y54">
        <f>HYPERLINK("https://klasma.github.io/Logging_2321/tillsynsmail/A 34633-2020 tillsynsbegäran mail.docx", "A 34633-2020")</f>
        <v/>
      </c>
      <c r="Z54">
        <f>HYPERLINK("https://klasma.github.io/Logging_2321/fåglar/A 34633-2020 prioriterade fågelarter.docx", "A 34633-2020")</f>
        <v/>
      </c>
    </row>
    <row r="55" ht="15" customHeight="1">
      <c r="A55" t="inlineStr">
        <is>
          <t>A 14205-2021</t>
        </is>
      </c>
      <c r="B55" s="1" t="n">
        <v>44278</v>
      </c>
      <c r="C55" s="1" t="n">
        <v>45683</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14205-2021 artfynd.xlsx", "A 14205-2021")</f>
        <v/>
      </c>
      <c r="T55">
        <f>HYPERLINK("https://klasma.github.io/Logging_2321/kartor/A 14205-2021 karta.png", "A 14205-2021")</f>
        <v/>
      </c>
      <c r="V55">
        <f>HYPERLINK("https://klasma.github.io/Logging_2321/klagomål/A 14205-2021 FSC-klagomål.docx", "A 14205-2021")</f>
        <v/>
      </c>
      <c r="W55">
        <f>HYPERLINK("https://klasma.github.io/Logging_2321/klagomålsmail/A 14205-2021 FSC-klagomål mail.docx", "A 14205-2021")</f>
        <v/>
      </c>
      <c r="X55">
        <f>HYPERLINK("https://klasma.github.io/Logging_2321/tillsyn/A 14205-2021 tillsynsbegäran.docx", "A 14205-2021")</f>
        <v/>
      </c>
      <c r="Y55">
        <f>HYPERLINK("https://klasma.github.io/Logging_2321/tillsynsmail/A 14205-2021 tillsynsbegäran mail.docx", "A 14205-2021")</f>
        <v/>
      </c>
      <c r="Z55">
        <f>HYPERLINK("https://klasma.github.io/Logging_2321/fåglar/A 14205-2021 prioriterade fågelarter.docx", "A 14205-2021")</f>
        <v/>
      </c>
    </row>
    <row r="56" ht="15" customHeight="1">
      <c r="A56" t="inlineStr">
        <is>
          <t>A 24201-2021</t>
        </is>
      </c>
      <c r="B56" s="1" t="n">
        <v>44336</v>
      </c>
      <c r="C56" s="1" t="n">
        <v>45683</v>
      </c>
      <c r="D56" t="inlineStr">
        <is>
          <t>JÄMTLANDS LÄN</t>
        </is>
      </c>
      <c r="E56" t="inlineStr">
        <is>
          <t>ÅRE</t>
        </is>
      </c>
      <c r="G56" t="n">
        <v>23.1</v>
      </c>
      <c r="H56" t="n">
        <v>1</v>
      </c>
      <c r="I56" t="n">
        <v>0</v>
      </c>
      <c r="J56" t="n">
        <v>6</v>
      </c>
      <c r="K56" t="n">
        <v>0</v>
      </c>
      <c r="L56" t="n">
        <v>0</v>
      </c>
      <c r="M56" t="n">
        <v>0</v>
      </c>
      <c r="N56" t="n">
        <v>0</v>
      </c>
      <c r="O56" t="n">
        <v>6</v>
      </c>
      <c r="P56" t="n">
        <v>0</v>
      </c>
      <c r="Q56" t="n">
        <v>6</v>
      </c>
      <c r="R56" s="2" t="inlineStr">
        <is>
          <t>Doftskinn
Granticka
Harticka
Lunglav
Tretåig hackspett
Ullticka</t>
        </is>
      </c>
      <c r="S56">
        <f>HYPERLINK("https://klasma.github.io/Logging_2321/artfynd/A 24201-2021 artfynd.xlsx", "A 24201-2021")</f>
        <v/>
      </c>
      <c r="T56">
        <f>HYPERLINK("https://klasma.github.io/Logging_2321/kartor/A 24201-2021 karta.png", "A 24201-2021")</f>
        <v/>
      </c>
      <c r="V56">
        <f>HYPERLINK("https://klasma.github.io/Logging_2321/klagomål/A 24201-2021 FSC-klagomål.docx", "A 24201-2021")</f>
        <v/>
      </c>
      <c r="W56">
        <f>HYPERLINK("https://klasma.github.io/Logging_2321/klagomålsmail/A 24201-2021 FSC-klagomål mail.docx", "A 24201-2021")</f>
        <v/>
      </c>
      <c r="X56">
        <f>HYPERLINK("https://klasma.github.io/Logging_2321/tillsyn/A 24201-2021 tillsynsbegäran.docx", "A 24201-2021")</f>
        <v/>
      </c>
      <c r="Y56">
        <f>HYPERLINK("https://klasma.github.io/Logging_2321/tillsynsmail/A 24201-2021 tillsynsbegäran mail.docx", "A 24201-2021")</f>
        <v/>
      </c>
      <c r="Z56">
        <f>HYPERLINK("https://klasma.github.io/Logging_2321/fåglar/A 24201-2021 prioriterade fågelarter.docx", "A 24201-2021")</f>
        <v/>
      </c>
    </row>
    <row r="57" ht="15" customHeight="1">
      <c r="A57" t="inlineStr">
        <is>
          <t>A 27805-2022</t>
        </is>
      </c>
      <c r="B57" s="1" t="n">
        <v>44743</v>
      </c>
      <c r="C57" s="1" t="n">
        <v>45683</v>
      </c>
      <c r="D57" t="inlineStr">
        <is>
          <t>JÄMTLANDS LÄN</t>
        </is>
      </c>
      <c r="E57" t="inlineStr">
        <is>
          <t>ÅRE</t>
        </is>
      </c>
      <c r="G57" t="n">
        <v>106.2</v>
      </c>
      <c r="H57" t="n">
        <v>4</v>
      </c>
      <c r="I57" t="n">
        <v>0</v>
      </c>
      <c r="J57" t="n">
        <v>4</v>
      </c>
      <c r="K57" t="n">
        <v>0</v>
      </c>
      <c r="L57" t="n">
        <v>1</v>
      </c>
      <c r="M57" t="n">
        <v>0</v>
      </c>
      <c r="N57" t="n">
        <v>0</v>
      </c>
      <c r="O57" t="n">
        <v>5</v>
      </c>
      <c r="P57" t="n">
        <v>1</v>
      </c>
      <c r="Q57" t="n">
        <v>6</v>
      </c>
      <c r="R57" s="2" t="inlineStr">
        <is>
          <t>Grönfink
Garnlav
Kavernularia
Talltita
Tretåig hackspett
Lavskrika</t>
        </is>
      </c>
      <c r="S57">
        <f>HYPERLINK("https://klasma.github.io/Logging_2321/artfynd/A 27805-2022 artfynd.xlsx", "A 27805-2022")</f>
        <v/>
      </c>
      <c r="T57">
        <f>HYPERLINK("https://klasma.github.io/Logging_2321/kartor/A 27805-2022 karta.png", "A 27805-2022")</f>
        <v/>
      </c>
      <c r="V57">
        <f>HYPERLINK("https://klasma.github.io/Logging_2321/klagomål/A 27805-2022 FSC-klagomål.docx", "A 27805-2022")</f>
        <v/>
      </c>
      <c r="W57">
        <f>HYPERLINK("https://klasma.github.io/Logging_2321/klagomålsmail/A 27805-2022 FSC-klagomål mail.docx", "A 27805-2022")</f>
        <v/>
      </c>
      <c r="X57">
        <f>HYPERLINK("https://klasma.github.io/Logging_2321/tillsyn/A 27805-2022 tillsynsbegäran.docx", "A 27805-2022")</f>
        <v/>
      </c>
      <c r="Y57">
        <f>HYPERLINK("https://klasma.github.io/Logging_2321/tillsynsmail/A 27805-2022 tillsynsbegäran mail.docx", "A 27805-2022")</f>
        <v/>
      </c>
      <c r="Z57">
        <f>HYPERLINK("https://klasma.github.io/Logging_2321/fåglar/A 27805-2022 prioriterade fågelarter.docx", "A 27805-2022")</f>
        <v/>
      </c>
    </row>
    <row r="58" ht="15" customHeight="1">
      <c r="A58" t="inlineStr">
        <is>
          <t>A 32065-2022</t>
        </is>
      </c>
      <c r="B58" s="1" t="n">
        <v>44778</v>
      </c>
      <c r="C58" s="1" t="n">
        <v>45683</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37494-2022</t>
        </is>
      </c>
      <c r="B59" s="1" t="n">
        <v>44809</v>
      </c>
      <c r="C59" s="1" t="n">
        <v>45683</v>
      </c>
      <c r="D59" t="inlineStr">
        <is>
          <t>JÄMTLANDS LÄN</t>
        </is>
      </c>
      <c r="E59" t="inlineStr">
        <is>
          <t>ÅRE</t>
        </is>
      </c>
      <c r="G59" t="n">
        <v>9.9</v>
      </c>
      <c r="H59" t="n">
        <v>1</v>
      </c>
      <c r="I59" t="n">
        <v>2</v>
      </c>
      <c r="J59" t="n">
        <v>3</v>
      </c>
      <c r="K59" t="n">
        <v>0</v>
      </c>
      <c r="L59" t="n">
        <v>0</v>
      </c>
      <c r="M59" t="n">
        <v>0</v>
      </c>
      <c r="N59" t="n">
        <v>0</v>
      </c>
      <c r="O59" t="n">
        <v>3</v>
      </c>
      <c r="P59" t="n">
        <v>0</v>
      </c>
      <c r="Q59" t="n">
        <v>6</v>
      </c>
      <c r="R59" s="2" t="inlineStr">
        <is>
          <t>Garnlav
Granticka
Ullticka
Norrlandslav
Ögonpyrola
Revlummer</t>
        </is>
      </c>
      <c r="S59">
        <f>HYPERLINK("https://klasma.github.io/Logging_2321/artfynd/A 37494-2022 artfynd.xlsx", "A 37494-2022")</f>
        <v/>
      </c>
      <c r="T59">
        <f>HYPERLINK("https://klasma.github.io/Logging_2321/kartor/A 37494-2022 karta.png", "A 37494-2022")</f>
        <v/>
      </c>
      <c r="V59">
        <f>HYPERLINK("https://klasma.github.io/Logging_2321/klagomål/A 37494-2022 FSC-klagomål.docx", "A 37494-2022")</f>
        <v/>
      </c>
      <c r="W59">
        <f>HYPERLINK("https://klasma.github.io/Logging_2321/klagomålsmail/A 37494-2022 FSC-klagomål mail.docx", "A 37494-2022")</f>
        <v/>
      </c>
      <c r="X59">
        <f>HYPERLINK("https://klasma.github.io/Logging_2321/tillsyn/A 37494-2022 tillsynsbegäran.docx", "A 37494-2022")</f>
        <v/>
      </c>
      <c r="Y59">
        <f>HYPERLINK("https://klasma.github.io/Logging_2321/tillsynsmail/A 37494-2022 tillsynsbegäran mail.docx", "A 37494-2022")</f>
        <v/>
      </c>
    </row>
    <row r="60" ht="15" customHeight="1">
      <c r="A60" t="inlineStr">
        <is>
          <t>A 45111-2022</t>
        </is>
      </c>
      <c r="B60" s="1" t="n">
        <v>44843</v>
      </c>
      <c r="C60" s="1" t="n">
        <v>45683</v>
      </c>
      <c r="D60" t="inlineStr">
        <is>
          <t>JÄMTLANDS LÄN</t>
        </is>
      </c>
      <c r="E60" t="inlineStr">
        <is>
          <t>ÅRE</t>
        </is>
      </c>
      <c r="G60" t="n">
        <v>1.6</v>
      </c>
      <c r="H60" t="n">
        <v>4</v>
      </c>
      <c r="I60" t="n">
        <v>2</v>
      </c>
      <c r="J60" t="n">
        <v>2</v>
      </c>
      <c r="K60" t="n">
        <v>0</v>
      </c>
      <c r="L60" t="n">
        <v>0</v>
      </c>
      <c r="M60" t="n">
        <v>0</v>
      </c>
      <c r="N60" t="n">
        <v>0</v>
      </c>
      <c r="O60" t="n">
        <v>2</v>
      </c>
      <c r="P60" t="n">
        <v>0</v>
      </c>
      <c r="Q60" t="n">
        <v>6</v>
      </c>
      <c r="R60" s="2" t="inlineStr">
        <is>
          <t>Lunglav
Skrovellav
Korallrot
Tvåblad
Fläcknycklar
Revlummer</t>
        </is>
      </c>
      <c r="S60">
        <f>HYPERLINK("https://klasma.github.io/Logging_2321/artfynd/A 45111-2022 artfynd.xlsx", "A 45111-2022")</f>
        <v/>
      </c>
      <c r="T60">
        <f>HYPERLINK("https://klasma.github.io/Logging_2321/kartor/A 45111-2022 karta.png", "A 45111-2022")</f>
        <v/>
      </c>
      <c r="V60">
        <f>HYPERLINK("https://klasma.github.io/Logging_2321/klagomål/A 45111-2022 FSC-klagomål.docx", "A 45111-2022")</f>
        <v/>
      </c>
      <c r="W60">
        <f>HYPERLINK("https://klasma.github.io/Logging_2321/klagomålsmail/A 45111-2022 FSC-klagomål mail.docx", "A 45111-2022")</f>
        <v/>
      </c>
      <c r="X60">
        <f>HYPERLINK("https://klasma.github.io/Logging_2321/tillsyn/A 45111-2022 tillsynsbegäran.docx", "A 45111-2022")</f>
        <v/>
      </c>
      <c r="Y60">
        <f>HYPERLINK("https://klasma.github.io/Logging_2321/tillsynsmail/A 45111-2022 tillsynsbegäran mail.docx", "A 45111-2022")</f>
        <v/>
      </c>
    </row>
    <row r="61" ht="15" customHeight="1">
      <c r="A61" t="inlineStr">
        <is>
          <t>A 56888-2022</t>
        </is>
      </c>
      <c r="B61" s="1" t="n">
        <v>44894</v>
      </c>
      <c r="C61" s="1" t="n">
        <v>45683</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3206-2023</t>
        </is>
      </c>
      <c r="B62" s="1" t="n">
        <v>44946</v>
      </c>
      <c r="C62" s="1" t="n">
        <v>45683</v>
      </c>
      <c r="D62" t="inlineStr">
        <is>
          <t>JÄMTLANDS LÄN</t>
        </is>
      </c>
      <c r="E62" t="inlineStr">
        <is>
          <t>ÅRE</t>
        </is>
      </c>
      <c r="G62" t="n">
        <v>9.5</v>
      </c>
      <c r="H62" t="n">
        <v>1</v>
      </c>
      <c r="I62" t="n">
        <v>0</v>
      </c>
      <c r="J62" t="n">
        <v>6</v>
      </c>
      <c r="K62" t="n">
        <v>0</v>
      </c>
      <c r="L62" t="n">
        <v>0</v>
      </c>
      <c r="M62" t="n">
        <v>0</v>
      </c>
      <c r="N62" t="n">
        <v>0</v>
      </c>
      <c r="O62" t="n">
        <v>6</v>
      </c>
      <c r="P62" t="n">
        <v>0</v>
      </c>
      <c r="Q62" t="n">
        <v>6</v>
      </c>
      <c r="R62" s="2" t="inlineStr">
        <is>
          <t>Garnlav
Granticka
Liten svartspik
Skrovellav
Tretåig hackspett
Vitgrynig nållav</t>
        </is>
      </c>
      <c r="S62">
        <f>HYPERLINK("https://klasma.github.io/Logging_2321/artfynd/A 3206-2023 artfynd.xlsx", "A 3206-2023")</f>
        <v/>
      </c>
      <c r="T62">
        <f>HYPERLINK("https://klasma.github.io/Logging_2321/kartor/A 3206-2023 karta.png", "A 3206-2023")</f>
        <v/>
      </c>
      <c r="V62">
        <f>HYPERLINK("https://klasma.github.io/Logging_2321/klagomål/A 3206-2023 FSC-klagomål.docx", "A 3206-2023")</f>
        <v/>
      </c>
      <c r="W62">
        <f>HYPERLINK("https://klasma.github.io/Logging_2321/klagomålsmail/A 3206-2023 FSC-klagomål mail.docx", "A 3206-2023")</f>
        <v/>
      </c>
      <c r="X62">
        <f>HYPERLINK("https://klasma.github.io/Logging_2321/tillsyn/A 3206-2023 tillsynsbegäran.docx", "A 3206-2023")</f>
        <v/>
      </c>
      <c r="Y62">
        <f>HYPERLINK("https://klasma.github.io/Logging_2321/tillsynsmail/A 3206-2023 tillsynsbegäran mail.docx", "A 3206-2023")</f>
        <v/>
      </c>
      <c r="Z62">
        <f>HYPERLINK("https://klasma.github.io/Logging_2321/fåglar/A 3206-2023 prioriterade fågelarter.docx", "A 3206-2023")</f>
        <v/>
      </c>
    </row>
    <row r="63" ht="15" customHeight="1">
      <c r="A63" t="inlineStr">
        <is>
          <t>A 17640-2024</t>
        </is>
      </c>
      <c r="B63" s="1" t="n">
        <v>45418</v>
      </c>
      <c r="C63" s="1" t="n">
        <v>45683</v>
      </c>
      <c r="D63" t="inlineStr">
        <is>
          <t>JÄMTLANDS LÄN</t>
        </is>
      </c>
      <c r="E63" t="inlineStr">
        <is>
          <t>ÅRE</t>
        </is>
      </c>
      <c r="G63" t="n">
        <v>17.7</v>
      </c>
      <c r="H63" t="n">
        <v>1</v>
      </c>
      <c r="I63" t="n">
        <v>3</v>
      </c>
      <c r="J63" t="n">
        <v>3</v>
      </c>
      <c r="K63" t="n">
        <v>0</v>
      </c>
      <c r="L63" t="n">
        <v>0</v>
      </c>
      <c r="M63" t="n">
        <v>0</v>
      </c>
      <c r="N63" t="n">
        <v>0</v>
      </c>
      <c r="O63" t="n">
        <v>3</v>
      </c>
      <c r="P63" t="n">
        <v>0</v>
      </c>
      <c r="Q63" t="n">
        <v>6</v>
      </c>
      <c r="R63" s="2" t="inlineStr">
        <is>
          <t>Granticka
Harticka
Tretåig hackspett
Luddlav
Skogshakmossa
Sotriska</t>
        </is>
      </c>
      <c r="S63">
        <f>HYPERLINK("https://klasma.github.io/Logging_2321/artfynd/A 17640-2024 artfynd.xlsx", "A 17640-2024")</f>
        <v/>
      </c>
      <c r="T63">
        <f>HYPERLINK("https://klasma.github.io/Logging_2321/kartor/A 17640-2024 karta.png", "A 17640-2024")</f>
        <v/>
      </c>
      <c r="V63">
        <f>HYPERLINK("https://klasma.github.io/Logging_2321/klagomål/A 17640-2024 FSC-klagomål.docx", "A 17640-2024")</f>
        <v/>
      </c>
      <c r="W63">
        <f>HYPERLINK("https://klasma.github.io/Logging_2321/klagomålsmail/A 17640-2024 FSC-klagomål mail.docx", "A 17640-2024")</f>
        <v/>
      </c>
      <c r="X63">
        <f>HYPERLINK("https://klasma.github.io/Logging_2321/tillsyn/A 17640-2024 tillsynsbegäran.docx", "A 17640-2024")</f>
        <v/>
      </c>
      <c r="Y63">
        <f>HYPERLINK("https://klasma.github.io/Logging_2321/tillsynsmail/A 17640-2024 tillsynsbegäran mail.docx", "A 17640-2024")</f>
        <v/>
      </c>
      <c r="Z63">
        <f>HYPERLINK("https://klasma.github.io/Logging_2321/fåglar/A 17640-2024 prioriterade fågelarter.docx", "A 17640-2024")</f>
        <v/>
      </c>
    </row>
    <row r="64" ht="15" customHeight="1">
      <c r="A64" t="inlineStr">
        <is>
          <t>A 30035-2024</t>
        </is>
      </c>
      <c r="B64" s="1" t="n">
        <v>45485</v>
      </c>
      <c r="C64" s="1" t="n">
        <v>45683</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45683</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57888-2024</t>
        </is>
      </c>
      <c r="B66" s="1" t="n">
        <v>45631</v>
      </c>
      <c r="C66" s="1" t="n">
        <v>45683</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45683</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45683</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45683</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45683</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45683</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45683</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45683</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45683</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45683</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45683</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45683</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45683</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45683</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45683</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45683</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45683</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45683</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45683</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45683</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45683</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45683</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45683</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45683</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45683</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45683</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45683</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45683</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45683</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45683</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45683</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45683</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45683</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45683</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45683</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45683</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45683</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45683</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45683</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45683</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45683</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45683</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45683</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45683</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45683</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45683</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45683</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45683</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45683</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45683</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45683</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45683</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45683</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45683</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45683</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45683</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45683</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45683</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45683</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45683</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45683</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45683</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45683</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45683</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45683</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45683</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45683</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45683</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45683</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45683</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45683</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45683</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45683</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45683</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45683</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45683</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45683</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45683</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45683</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45683</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45683</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45683</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45683</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45683</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45683</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45683</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45683</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45683</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45683</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45683</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45683</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45683</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45683</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45683</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45683</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45683</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45683</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45683</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45683</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45683</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45683</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45683</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45683</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45683</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45683</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45683</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45683</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45683</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45683</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45683</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45683</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45683</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45683</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45683</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45683</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45683</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45683</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45683</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45683</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45683</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45683</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45683</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45683</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45683</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45683</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45683</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45683</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45683</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45683</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45683</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45683</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45683</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45683</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45683</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45683</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45683</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45683</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45683</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45683</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45683</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45683</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45683</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45683</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45683</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45683</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45683</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45683</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45683</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45683</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45683</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45683</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45683</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45683</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45683</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45683</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45683</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45683</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45683</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45683</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45683</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45683</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45683</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45683</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45683</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45683</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45683</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45683</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45683</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45683</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45683</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45683</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45683</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45683</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45683</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45683</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45683</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45683</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45683</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45683</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45683</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45683</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45683</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45683</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45683</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45683</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45683</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45683</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45683</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45683</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45683</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45683</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45683</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45683</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45683</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45683</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45683</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45683</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45683</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45683</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45683</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45683</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45683</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45683</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45683</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45683</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45683</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45683</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45683</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45683</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45683</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45683</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45683</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45683</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45683</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45683</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45683</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45683</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45683</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45683</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45683</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45683</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45683</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45683</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45683</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45683</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45683</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45683</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45683</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45683</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45683</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45683</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45683</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45683</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45683</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45683</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45683</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45683</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45683</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45683</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45683</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45683</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45683</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45683</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45683</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45683</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45683</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45683</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45683</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45683</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45683</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45683</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45683</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45683</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45683</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45683</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45683</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45683</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45683</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45683</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45683</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45683</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45683</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45683</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45683</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45683</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45683</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45683</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45683</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45683</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45683</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45683</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45683</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45683</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45683</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45683</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45683</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45683</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45683</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45683</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45683</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45683</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45683</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45683</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45683</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45683</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45683</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45683</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45683</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45683</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45683</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45683</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45683</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45683</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45683</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45683</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45683</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45683</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45683</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45683</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45683</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45683</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45683</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45683</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45683</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45683</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45683</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45683</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45683</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45683</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45683</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45683</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45683</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45683</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45683</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45683</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45683</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45683</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45683</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45683</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45683</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45683</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45683</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45683</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45683</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45683</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45683</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45683</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45683</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45683</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45683</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45683</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45683</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45683</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45683</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45683</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45683</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45683</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45683</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45683</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45683</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45683</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45683</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45683</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45683</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45683</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45683</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45683</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45683</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45683</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45683</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45683</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45683</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45683</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45683</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45683</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45683</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45683</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45683</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45683</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45683</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45683</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45683</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45683</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45683</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45683</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45683</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45683</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45683</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45683</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45683</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45683</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45683</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45683</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45683</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45683</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45683</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45683</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45683</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45683</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45683</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45683</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45683</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45683</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45683</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45683</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45683</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45683</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45683</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45683</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45683</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45683</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45683</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45683</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45683</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45683</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45683</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45683</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45683</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45683</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45683</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45683</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45683</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45683</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45683</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45683</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45683</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45683</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45683</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45683</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45683</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45683</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45683</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45683</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45683</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45683</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45683</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45683</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45683</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45683</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45683</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45683</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45683</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45683</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45683</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45683</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45683</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45683</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45683</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45683</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45683</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45683</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45683</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45683</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45683</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45683</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45683</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45683</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45683</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45683</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45683</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45683</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45683</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45683</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45683</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45683</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45683</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45683</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45683</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45683</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45683</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45683</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45683</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45683</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45683</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45683</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45683</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45683</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45683</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45683</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45683</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45683</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45683</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45683</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45683</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45683</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45683</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45683</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45683</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45683</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45683</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45683</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45683</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45683</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45683</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45683</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45683</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45683</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45683</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45683</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45683</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45683</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45683</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45683</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45683</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45683</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45683</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45683</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45683</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45683</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45683</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45683</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45683</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45683</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45683</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45683</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45683</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45683</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45683</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45683</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45683</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45683</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45683</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45683</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45683</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45683</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45683</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45683</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45683</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45683</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45683</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45683</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45683</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45683</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45683</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45683</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45683</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45683</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45683</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45683</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45683</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45683</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45683</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45683</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45683</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45683</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45683</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45683</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45683</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45683</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45683</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45683</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45683</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45683</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45683</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45683</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45683</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45683</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45683</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45683</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45683</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45683</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45683</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45683</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45683</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45683</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45683</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45683</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45683</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45683</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45683</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45683</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45683</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45683</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45683</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45683</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45683</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45683</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45683</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45683</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45683</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45683</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45683</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45683</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45683</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45683</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45683</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45683</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45683</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45683</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45683</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45683</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45683</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45683</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45683</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45683</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45683</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45683</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45683</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45683</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45683</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45683</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45683</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45683</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45683</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45683</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45683</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45683</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45683</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45683</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45683</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45683</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45683</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45683</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45683</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45683</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45683</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45683</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45683</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45683</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45683</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45683</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45683</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45683</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45683</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45683</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45683</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45683</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45683</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45683</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45683</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45683</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45683</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45683</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45683</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45683</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45683</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45683</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45683</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45683</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45683</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45683</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45683</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45683</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45683</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45683</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45683</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45683</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45683</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45683</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45683</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45683</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45683</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45683</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45683</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45683</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45683</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45683</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45683</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45683</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45683</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45683</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45683</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45683</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45683</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45683</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45683</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45683</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45683</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45683</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45683</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45683</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45683</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45683</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45683</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45683</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45683</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45683</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45683</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45683</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45683</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45683</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45683</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45683</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45683</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45683</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45683</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45683</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45683</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45683</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45683</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45683</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45683</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45683</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45683</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45683</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45683</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45683</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45683</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45683</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45683</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45683</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45683</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45683</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45683</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45683</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45683</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45683</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45683</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45683</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45683</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45683</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45683</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45683</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45683</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45683</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45683</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45683</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45683</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45683</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45683</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45683</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45683</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45683</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45683</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45683</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45683</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45683</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45683</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45683</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45683</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45683</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45683</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45683</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45683</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45683</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45683</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45683</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45683</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45683</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45683</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45683</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45683</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45683</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45683</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45683</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45683</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45683</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45683</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45683</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45683</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45683</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45683</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45683</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45683</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45683</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45683</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45683</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45683</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45683</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45683</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45683</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45683</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45683</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45683</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45683</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45683</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45683</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45683</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45683</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45683</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45683</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45683</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45683</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45683</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45683</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45683</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45683</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45683</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45683</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45683</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45683</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45683</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45683</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45683</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45683</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45683</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45683</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45683</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45683</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45683</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45683</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45683</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45683</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45683</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45683</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45683</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45683</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45683</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45683</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45683</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45683</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45683</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45683</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45683</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45683</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45683</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45683</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45683</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45683</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45683</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45683</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45683</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45683</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45683</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45683</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45683</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45683</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45683</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45683</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45683</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45683</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45683</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45683</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45683</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45683</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45683</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45683</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45683</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45683</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45683</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45683</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45683</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45683</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45683</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45683</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45683</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45683</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45683</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45683</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45683</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45683</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45683</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45683</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45683</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45683</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45683</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45683</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45683</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45683</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45683</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45683</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45683</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45683</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45683</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45683</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45683</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45683</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45683</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45683</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45683</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45683</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45683</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45683</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45683</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45683</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45683</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45683</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45683</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45683</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45683</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45683</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45683</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45683</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45683</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45683</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45683</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45683</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45683</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45683</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45683</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45683</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45683</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45683</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45683</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45683</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45683</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45683</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45683</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45683</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45683</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45683</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45683</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45683</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45683</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45683</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45683</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45683</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45683</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45683</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45683</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45683</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45683</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45683</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45683</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45683</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45683</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45683</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45683</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45683</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45683</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45683</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45683</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45683</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45683</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45683</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ht="15" customHeight="1">
      <c r="A961" t="inlineStr">
        <is>
          <t>A 1541-2025</t>
        </is>
      </c>
      <c r="B961" s="1" t="n">
        <v>45670</v>
      </c>
      <c r="C961" s="1" t="n">
        <v>45683</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row r="962">
      <c r="A962" t="inlineStr">
        <is>
          <t>A 3521-2025</t>
        </is>
      </c>
      <c r="B962" s="1" t="n">
        <v>45680</v>
      </c>
      <c r="C962" s="1" t="n">
        <v>45683</v>
      </c>
      <c r="D962" t="inlineStr">
        <is>
          <t>JÄMTLANDS LÄN</t>
        </is>
      </c>
      <c r="E962" t="inlineStr">
        <is>
          <t>ÅRE</t>
        </is>
      </c>
      <c r="G962" t="n">
        <v>19.9</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2025-01-26T16:50:45Z</dcterms:created>
  <dcterms:modified xmlns:dcterms="http://purl.org/dc/terms/" xmlns:xsi="http://www.w3.org/2001/XMLSchema-instance" xsi:type="dcterms:W3CDTF">2025-01-26T16:50:46Z</dcterms:modified>
</cp:coreProperties>
</file>