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45837</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45837</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45837</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45837</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45837</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45837</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45837</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45837</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45837</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45837</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45837</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45837</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45837</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45837</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45837</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45837</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45837</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45837</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45837</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45837</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45837</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45837</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45837</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45837</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45837</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45837</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45837</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45837</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45837</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45837</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45837</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45837</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45837</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45837</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32037-2025</t>
        </is>
      </c>
      <c r="B52" s="1" t="n">
        <v>45835</v>
      </c>
      <c r="C52" s="1" t="n">
        <v>45837</v>
      </c>
      <c r="D52" t="inlineStr">
        <is>
          <t>JÄMTLANDS LÄN</t>
        </is>
      </c>
      <c r="E52" t="inlineStr">
        <is>
          <t>ÅRE</t>
        </is>
      </c>
      <c r="G52" t="n">
        <v>16.6</v>
      </c>
      <c r="H52" t="n">
        <v>6</v>
      </c>
      <c r="I52" t="n">
        <v>2</v>
      </c>
      <c r="J52" t="n">
        <v>2</v>
      </c>
      <c r="K52" t="n">
        <v>0</v>
      </c>
      <c r="L52" t="n">
        <v>0</v>
      </c>
      <c r="M52" t="n">
        <v>0</v>
      </c>
      <c r="N52" t="n">
        <v>0</v>
      </c>
      <c r="O52" t="n">
        <v>2</v>
      </c>
      <c r="P52" t="n">
        <v>0</v>
      </c>
      <c r="Q52" t="n">
        <v>8</v>
      </c>
      <c r="R52" s="2" t="inlineStr">
        <is>
          <t>Garnlav
Ullticka
Spindelblomster
Tvåblad
Tjäder
Fläcknycklar
Ängsnycklar
Revlummer</t>
        </is>
      </c>
      <c r="S52">
        <f>HYPERLINK("https://klasma.github.io/Logging_232321/artfynd/A 32037-2025 artfynd.xlsx", "A 32037-2025")</f>
        <v/>
      </c>
      <c r="T52">
        <f>HYPERLINK("https://klasma.github.io/Logging_232321/kartor/A 32037-2025 karta.png", "A 32037-2025")</f>
        <v/>
      </c>
      <c r="V52">
        <f>HYPERLINK("https://klasma.github.io/Logging_232321/klagomål/A 32037-2025 FSC-klagomål.docx", "A 32037-2025")</f>
        <v/>
      </c>
      <c r="W52">
        <f>HYPERLINK("https://klasma.github.io/Logging_232321/klagomålsmail/A 32037-2025 FSC-klagomål mail.docx", "A 32037-2025")</f>
        <v/>
      </c>
      <c r="X52">
        <f>HYPERLINK("https://klasma.github.io/Logging_232321/tillsyn/A 32037-2025 tillsynsbegäran.docx", "A 32037-2025")</f>
        <v/>
      </c>
      <c r="Y52">
        <f>HYPERLINK("https://klasma.github.io/Logging_232321/tillsynsmail/A 32037-2025 tillsynsbegäran mail.docx", "A 32037-2025")</f>
        <v/>
      </c>
      <c r="Z52">
        <f>HYPERLINK("https://klasma.github.io/Logging_232321/fåglar/A 32037-2025 prioriterade fågelarter.docx", "A 32037-2025")</f>
        <v/>
      </c>
    </row>
    <row r="53" ht="15" customHeight="1">
      <c r="A53" t="inlineStr">
        <is>
          <t>A 34207-2020</t>
        </is>
      </c>
      <c r="B53" s="1" t="n">
        <v>44029</v>
      </c>
      <c r="C53" s="1" t="n">
        <v>45837</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45837</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45837</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45837</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45837</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45837</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45837</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45837</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45837</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45837</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45837</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45837</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45837</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45837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45837</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45837</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45837</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45837</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45837</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45837</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45837</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45837</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45837</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45837</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45837</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45837</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45837</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45837</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45837</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45837</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45837</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45837</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45837</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45837</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45837</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45837</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45837</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45837</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45837</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45837</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45837</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45837</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45837</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45837</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45837</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45837</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45837</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45837</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45837</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45837</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45837</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45837</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45837</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45837</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45837</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45837</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45837</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45837</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45837</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45837</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45837</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45837</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45837</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45837</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45837</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45837</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45837</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45837</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45837</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45837</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45837</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45837</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45837</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45837</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45837</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45837</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45837</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45837</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45837</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45837</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45837</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45837</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45837</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45837</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45837</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45837</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45837</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45837</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45837</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45837</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45837</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45837</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45837</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45837</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45837</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45837</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45837</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45837</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45837</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45837</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45837</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45837</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45837</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45837</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45837</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45837</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45837</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45837</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45837</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45837</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45837</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45837</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45837</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45837</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45837</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45837</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45837</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45837</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45837</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45837</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45837</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45837</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45837</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45837</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45837</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45837</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45837</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45837</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45837</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45837</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45837</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45837</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45837</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45837</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45837</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45837</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45837</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45837</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45794-2019</t>
        </is>
      </c>
      <c r="B191" s="1" t="n">
        <v>43717</v>
      </c>
      <c r="C191" s="1" t="n">
        <v>45837</v>
      </c>
      <c r="D191" t="inlineStr">
        <is>
          <t>JÄMTLANDS LÄN</t>
        </is>
      </c>
      <c r="E191" t="inlineStr">
        <is>
          <t>ÅRE</t>
        </is>
      </c>
      <c r="G191" t="n">
        <v>37.7</v>
      </c>
      <c r="H191" t="n">
        <v>0</v>
      </c>
      <c r="I191" t="n">
        <v>0</v>
      </c>
      <c r="J191" t="n">
        <v>1</v>
      </c>
      <c r="K191" t="n">
        <v>0</v>
      </c>
      <c r="L191" t="n">
        <v>0</v>
      </c>
      <c r="M191" t="n">
        <v>0</v>
      </c>
      <c r="N191" t="n">
        <v>0</v>
      </c>
      <c r="O191" t="n">
        <v>1</v>
      </c>
      <c r="P191" t="n">
        <v>0</v>
      </c>
      <c r="Q191" t="n">
        <v>1</v>
      </c>
      <c r="R191" s="2" t="inlineStr">
        <is>
          <t>Ullticka</t>
        </is>
      </c>
      <c r="S191">
        <f>HYPERLINK("https://klasma.github.io/Logging_2321/artfynd/A 45794-2019 artfynd.xlsx", "A 45794-2019")</f>
        <v/>
      </c>
      <c r="T191">
        <f>HYPERLINK("https://klasma.github.io/Logging_2321/kartor/A 45794-2019 karta.png", "A 45794-2019")</f>
        <v/>
      </c>
      <c r="V191">
        <f>HYPERLINK("https://klasma.github.io/Logging_2321/klagomål/A 45794-2019 FSC-klagomål.docx", "A 45794-2019")</f>
        <v/>
      </c>
      <c r="W191">
        <f>HYPERLINK("https://klasma.github.io/Logging_2321/klagomålsmail/A 45794-2019 FSC-klagomål mail.docx", "A 45794-2019")</f>
        <v/>
      </c>
      <c r="X191">
        <f>HYPERLINK("https://klasma.github.io/Logging_2321/tillsyn/A 45794-2019 tillsynsbegäran.docx", "A 45794-2019")</f>
        <v/>
      </c>
      <c r="Y191">
        <f>HYPERLINK("https://klasma.github.io/Logging_2321/tillsynsmail/A 45794-2019 tillsynsbegäran mail.docx", "A 45794-2019")</f>
        <v/>
      </c>
    </row>
    <row r="192" ht="15" customHeight="1">
      <c r="A192" t="inlineStr">
        <is>
          <t>A 59825-2019</t>
        </is>
      </c>
      <c r="B192" s="1" t="n">
        <v>43774</v>
      </c>
      <c r="C192" s="1" t="n">
        <v>45837</v>
      </c>
      <c r="D192" t="inlineStr">
        <is>
          <t>JÄMTLANDS LÄN</t>
        </is>
      </c>
      <c r="E192" t="inlineStr">
        <is>
          <t>ÅRE</t>
        </is>
      </c>
      <c r="G192" t="n">
        <v>6.8</v>
      </c>
      <c r="H192" t="n">
        <v>0</v>
      </c>
      <c r="I192" t="n">
        <v>0</v>
      </c>
      <c r="J192" t="n">
        <v>1</v>
      </c>
      <c r="K192" t="n">
        <v>0</v>
      </c>
      <c r="L192" t="n">
        <v>0</v>
      </c>
      <c r="M192" t="n">
        <v>0</v>
      </c>
      <c r="N192" t="n">
        <v>0</v>
      </c>
      <c r="O192" t="n">
        <v>1</v>
      </c>
      <c r="P192" t="n">
        <v>0</v>
      </c>
      <c r="Q192" t="n">
        <v>1</v>
      </c>
      <c r="R192" s="2" t="inlineStr">
        <is>
          <t>Lunglav</t>
        </is>
      </c>
      <c r="S192">
        <f>HYPERLINK("https://klasma.github.io/Logging_2321/artfynd/A 59825-2019 artfynd.xlsx", "A 59825-2019")</f>
        <v/>
      </c>
      <c r="T192">
        <f>HYPERLINK("https://klasma.github.io/Logging_2321/kartor/A 59825-2019 karta.png", "A 59825-2019")</f>
        <v/>
      </c>
      <c r="V192">
        <f>HYPERLINK("https://klasma.github.io/Logging_2321/klagomål/A 59825-2019 FSC-klagomål.docx", "A 59825-2019")</f>
        <v/>
      </c>
      <c r="W192">
        <f>HYPERLINK("https://klasma.github.io/Logging_2321/klagomålsmail/A 59825-2019 FSC-klagomål mail.docx", "A 59825-2019")</f>
        <v/>
      </c>
      <c r="X192">
        <f>HYPERLINK("https://klasma.github.io/Logging_2321/tillsyn/A 59825-2019 tillsynsbegäran.docx", "A 59825-2019")</f>
        <v/>
      </c>
      <c r="Y192">
        <f>HYPERLINK("https://klasma.github.io/Logging_2321/tillsynsmail/A 59825-2019 tillsynsbegäran mail.docx", "A 59825-2019")</f>
        <v/>
      </c>
    </row>
    <row r="193" ht="15" customHeight="1">
      <c r="A193" t="inlineStr">
        <is>
          <t>A 20979-2020</t>
        </is>
      </c>
      <c r="B193" s="1" t="n">
        <v>43950</v>
      </c>
      <c r="C193" s="1" t="n">
        <v>45837</v>
      </c>
      <c r="D193" t="inlineStr">
        <is>
          <t>JÄMTLANDS LÄN</t>
        </is>
      </c>
      <c r="E193" t="inlineStr">
        <is>
          <t>ÅRE</t>
        </is>
      </c>
      <c r="G193" t="n">
        <v>16.5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20979-2020 artfynd.xlsx", "A 20979-2020")</f>
        <v/>
      </c>
      <c r="T193">
        <f>HYPERLINK("https://klasma.github.io/Logging_2321/kartor/A 20979-2020 karta.png", "A 20979-2020")</f>
        <v/>
      </c>
      <c r="V193">
        <f>HYPERLINK("https://klasma.github.io/Logging_2321/klagomål/A 20979-2020 FSC-klagomål.docx", "A 20979-2020")</f>
        <v/>
      </c>
      <c r="W193">
        <f>HYPERLINK("https://klasma.github.io/Logging_2321/klagomålsmail/A 20979-2020 FSC-klagomål mail.docx", "A 20979-2020")</f>
        <v/>
      </c>
      <c r="X193">
        <f>HYPERLINK("https://klasma.github.io/Logging_2321/tillsyn/A 20979-2020 tillsynsbegäran.docx", "A 20979-2020")</f>
        <v/>
      </c>
      <c r="Y193">
        <f>HYPERLINK("https://klasma.github.io/Logging_2321/tillsynsmail/A 20979-2020 tillsynsbegäran mail.docx", "A 20979-2020")</f>
        <v/>
      </c>
      <c r="Z193">
        <f>HYPERLINK("https://klasma.github.io/Logging_2321/fåglar/A 20979-2020 prioriterade fågelarter.docx", "A 20979-2020")</f>
        <v/>
      </c>
    </row>
    <row r="194" ht="15" customHeight="1">
      <c r="A194" t="inlineStr">
        <is>
          <t>A 29084-2020</t>
        </is>
      </c>
      <c r="B194" s="1" t="n">
        <v>44002</v>
      </c>
      <c r="C194" s="1" t="n">
        <v>45837</v>
      </c>
      <c r="D194" t="inlineStr">
        <is>
          <t>JÄMTLANDS LÄN</t>
        </is>
      </c>
      <c r="E194" t="inlineStr">
        <is>
          <t>ÅRE</t>
        </is>
      </c>
      <c r="G194" t="n">
        <v>15.5</v>
      </c>
      <c r="H194" t="n">
        <v>0</v>
      </c>
      <c r="I194" t="n">
        <v>0</v>
      </c>
      <c r="J194" t="n">
        <v>1</v>
      </c>
      <c r="K194" t="n">
        <v>0</v>
      </c>
      <c r="L194" t="n">
        <v>0</v>
      </c>
      <c r="M194" t="n">
        <v>0</v>
      </c>
      <c r="N194" t="n">
        <v>0</v>
      </c>
      <c r="O194" t="n">
        <v>1</v>
      </c>
      <c r="P194" t="n">
        <v>0</v>
      </c>
      <c r="Q194" t="n">
        <v>1</v>
      </c>
      <c r="R194" s="2" t="inlineStr">
        <is>
          <t>Gränsticka</t>
        </is>
      </c>
      <c r="S194">
        <f>HYPERLINK("https://klasma.github.io/Logging_2321/artfynd/A 29084-2020 artfynd.xlsx", "A 29084-2020")</f>
        <v/>
      </c>
      <c r="T194">
        <f>HYPERLINK("https://klasma.github.io/Logging_2321/kartor/A 29084-2020 karta.png", "A 29084-2020")</f>
        <v/>
      </c>
      <c r="V194">
        <f>HYPERLINK("https://klasma.github.io/Logging_2321/klagomål/A 29084-2020 FSC-klagomål.docx", "A 29084-2020")</f>
        <v/>
      </c>
      <c r="W194">
        <f>HYPERLINK("https://klasma.github.io/Logging_2321/klagomålsmail/A 29084-2020 FSC-klagomål mail.docx", "A 29084-2020")</f>
        <v/>
      </c>
      <c r="X194">
        <f>HYPERLINK("https://klasma.github.io/Logging_2321/tillsyn/A 29084-2020 tillsynsbegäran.docx", "A 29084-2020")</f>
        <v/>
      </c>
      <c r="Y194">
        <f>HYPERLINK("https://klasma.github.io/Logging_2321/tillsynsmail/A 29084-2020 tillsynsbegäran mail.docx", "A 29084-2020")</f>
        <v/>
      </c>
    </row>
    <row r="195" ht="15" customHeight="1">
      <c r="A195" t="inlineStr">
        <is>
          <t>A 46966-2020</t>
        </is>
      </c>
      <c r="B195" s="1" t="n">
        <v>44090</v>
      </c>
      <c r="C195" s="1" t="n">
        <v>45837</v>
      </c>
      <c r="D195" t="inlineStr">
        <is>
          <t>JÄMTLANDS LÄN</t>
        </is>
      </c>
      <c r="E195" t="inlineStr">
        <is>
          <t>ÅRE</t>
        </is>
      </c>
      <c r="G195" t="n">
        <v>13.7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46966-2020 artfynd.xlsx", "A 46966-2020")</f>
        <v/>
      </c>
      <c r="T195">
        <f>HYPERLINK("https://klasma.github.io/Logging_2321/kartor/A 46966-2020 karta.png", "A 46966-2020")</f>
        <v/>
      </c>
      <c r="V195">
        <f>HYPERLINK("https://klasma.github.io/Logging_2321/klagomål/A 46966-2020 FSC-klagomål.docx", "A 46966-2020")</f>
        <v/>
      </c>
      <c r="W195">
        <f>HYPERLINK("https://klasma.github.io/Logging_2321/klagomålsmail/A 46966-2020 FSC-klagomål mail.docx", "A 46966-2020")</f>
        <v/>
      </c>
      <c r="X195">
        <f>HYPERLINK("https://klasma.github.io/Logging_2321/tillsyn/A 46966-2020 tillsynsbegäran.docx", "A 46966-2020")</f>
        <v/>
      </c>
      <c r="Y195">
        <f>HYPERLINK("https://klasma.github.io/Logging_2321/tillsynsmail/A 46966-2020 tillsynsbegäran mail.docx", "A 46966-2020")</f>
        <v/>
      </c>
      <c r="Z195">
        <f>HYPERLINK("https://klasma.github.io/Logging_2321/fåglar/A 46966-2020 prioriterade fågelarter.docx", "A 46966-2020")</f>
        <v/>
      </c>
    </row>
    <row r="196" ht="15" customHeight="1">
      <c r="A196" t="inlineStr">
        <is>
          <t>A 46959-2020</t>
        </is>
      </c>
      <c r="B196" s="1" t="n">
        <v>44090</v>
      </c>
      <c r="C196" s="1" t="n">
        <v>45837</v>
      </c>
      <c r="D196" t="inlineStr">
        <is>
          <t>JÄMTLANDS LÄN</t>
        </is>
      </c>
      <c r="E196" t="inlineStr">
        <is>
          <t>ÅRE</t>
        </is>
      </c>
      <c r="G196" t="n">
        <v>4.7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46959-2020 artfynd.xlsx", "A 46959-2020")</f>
        <v/>
      </c>
      <c r="T196">
        <f>HYPERLINK("https://klasma.github.io/Logging_2321/kartor/A 46959-2020 karta.png", "A 46959-2020")</f>
        <v/>
      </c>
      <c r="V196">
        <f>HYPERLINK("https://klasma.github.io/Logging_2321/klagomål/A 46959-2020 FSC-klagomål.docx", "A 46959-2020")</f>
        <v/>
      </c>
      <c r="W196">
        <f>HYPERLINK("https://klasma.github.io/Logging_2321/klagomålsmail/A 46959-2020 FSC-klagomål mail.docx", "A 46959-2020")</f>
        <v/>
      </c>
      <c r="X196">
        <f>HYPERLINK("https://klasma.github.io/Logging_2321/tillsyn/A 46959-2020 tillsynsbegäran.docx", "A 46959-2020")</f>
        <v/>
      </c>
      <c r="Y196">
        <f>HYPERLINK("https://klasma.github.io/Logging_2321/tillsynsmail/A 46959-2020 tillsynsbegäran mail.docx", "A 46959-2020")</f>
        <v/>
      </c>
      <c r="Z196">
        <f>HYPERLINK("https://klasma.github.io/Logging_2321/fåglar/A 46959-2020 prioriterade fågelarter.docx", "A 46959-2020")</f>
        <v/>
      </c>
    </row>
    <row r="197" ht="15" customHeight="1">
      <c r="A197" t="inlineStr">
        <is>
          <t>A 52542-2020</t>
        </is>
      </c>
      <c r="B197" s="1" t="n">
        <v>44116</v>
      </c>
      <c r="C197" s="1" t="n">
        <v>45837</v>
      </c>
      <c r="D197" t="inlineStr">
        <is>
          <t>JÄMTLANDS LÄN</t>
        </is>
      </c>
      <c r="E197" t="inlineStr">
        <is>
          <t>ÅRE</t>
        </is>
      </c>
      <c r="G197" t="n">
        <v>5.5</v>
      </c>
      <c r="H197" t="n">
        <v>0</v>
      </c>
      <c r="I197" t="n">
        <v>0</v>
      </c>
      <c r="J197" t="n">
        <v>1</v>
      </c>
      <c r="K197" t="n">
        <v>0</v>
      </c>
      <c r="L197" t="n">
        <v>0</v>
      </c>
      <c r="M197" t="n">
        <v>0</v>
      </c>
      <c r="N197" t="n">
        <v>0</v>
      </c>
      <c r="O197" t="n">
        <v>1</v>
      </c>
      <c r="P197" t="n">
        <v>0</v>
      </c>
      <c r="Q197" t="n">
        <v>1</v>
      </c>
      <c r="R197" s="2" t="inlineStr">
        <is>
          <t>Skrovellav</t>
        </is>
      </c>
      <c r="S197">
        <f>HYPERLINK("https://klasma.github.io/Logging_2321/artfynd/A 52542-2020 artfynd.xlsx", "A 52542-2020")</f>
        <v/>
      </c>
      <c r="T197">
        <f>HYPERLINK("https://klasma.github.io/Logging_2321/kartor/A 52542-2020 karta.png", "A 52542-2020")</f>
        <v/>
      </c>
      <c r="V197">
        <f>HYPERLINK("https://klasma.github.io/Logging_2321/klagomål/A 52542-2020 FSC-klagomål.docx", "A 52542-2020")</f>
        <v/>
      </c>
      <c r="W197">
        <f>HYPERLINK("https://klasma.github.io/Logging_2321/klagomålsmail/A 52542-2020 FSC-klagomål mail.docx", "A 52542-2020")</f>
        <v/>
      </c>
      <c r="X197">
        <f>HYPERLINK("https://klasma.github.io/Logging_2321/tillsyn/A 52542-2020 tillsynsbegäran.docx", "A 52542-2020")</f>
        <v/>
      </c>
      <c r="Y197">
        <f>HYPERLINK("https://klasma.github.io/Logging_2321/tillsynsmail/A 52542-2020 tillsynsbegäran mail.docx", "A 52542-2020")</f>
        <v/>
      </c>
    </row>
    <row r="198" ht="15" customHeight="1">
      <c r="A198" t="inlineStr">
        <is>
          <t>A 53598-2020</t>
        </is>
      </c>
      <c r="B198" s="1" t="n">
        <v>44124</v>
      </c>
      <c r="C198" s="1" t="n">
        <v>45837</v>
      </c>
      <c r="D198" t="inlineStr">
        <is>
          <t>JÄMTLANDS LÄN</t>
        </is>
      </c>
      <c r="E198" t="inlineStr">
        <is>
          <t>ÅRE</t>
        </is>
      </c>
      <c r="G198" t="n">
        <v>11.7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53598-2020 artfynd.xlsx", "A 53598-2020")</f>
        <v/>
      </c>
      <c r="T198">
        <f>HYPERLINK("https://klasma.github.io/Logging_2321/kartor/A 53598-2020 karta.png", "A 53598-2020")</f>
        <v/>
      </c>
      <c r="V198">
        <f>HYPERLINK("https://klasma.github.io/Logging_2321/klagomål/A 53598-2020 FSC-klagomål.docx", "A 53598-2020")</f>
        <v/>
      </c>
      <c r="W198">
        <f>HYPERLINK("https://klasma.github.io/Logging_2321/klagomålsmail/A 53598-2020 FSC-klagomål mail.docx", "A 53598-2020")</f>
        <v/>
      </c>
      <c r="X198">
        <f>HYPERLINK("https://klasma.github.io/Logging_2321/tillsyn/A 53598-2020 tillsynsbegäran.docx", "A 53598-2020")</f>
        <v/>
      </c>
      <c r="Y198">
        <f>HYPERLINK("https://klasma.github.io/Logging_2321/tillsynsmail/A 53598-2020 tillsynsbegäran mail.docx", "A 53598-2020")</f>
        <v/>
      </c>
      <c r="Z198">
        <f>HYPERLINK("https://klasma.github.io/Logging_2321/fåglar/A 53598-2020 prioriterade fågelarter.docx", "A 53598-2020")</f>
        <v/>
      </c>
    </row>
    <row r="199" ht="15" customHeight="1">
      <c r="A199" t="inlineStr">
        <is>
          <t>A 65517-2020</t>
        </is>
      </c>
      <c r="B199" s="1" t="n">
        <v>44173</v>
      </c>
      <c r="C199" s="1" t="n">
        <v>45837</v>
      </c>
      <c r="D199" t="inlineStr">
        <is>
          <t>JÄMTLANDS LÄN</t>
        </is>
      </c>
      <c r="E199" t="inlineStr">
        <is>
          <t>ÅRE</t>
        </is>
      </c>
      <c r="G199" t="n">
        <v>4.6</v>
      </c>
      <c r="H199" t="n">
        <v>0</v>
      </c>
      <c r="I199" t="n">
        <v>0</v>
      </c>
      <c r="J199" t="n">
        <v>1</v>
      </c>
      <c r="K199" t="n">
        <v>0</v>
      </c>
      <c r="L199" t="n">
        <v>0</v>
      </c>
      <c r="M199" t="n">
        <v>0</v>
      </c>
      <c r="N199" t="n">
        <v>0</v>
      </c>
      <c r="O199" t="n">
        <v>1</v>
      </c>
      <c r="P199" t="n">
        <v>0</v>
      </c>
      <c r="Q199" t="n">
        <v>1</v>
      </c>
      <c r="R199" s="2" t="inlineStr">
        <is>
          <t>Doftskinn</t>
        </is>
      </c>
      <c r="S199">
        <f>HYPERLINK("https://klasma.github.io/Logging_2321/artfynd/A 65517-2020 artfynd.xlsx", "A 65517-2020")</f>
        <v/>
      </c>
      <c r="T199">
        <f>HYPERLINK("https://klasma.github.io/Logging_2321/kartor/A 65517-2020 karta.png", "A 65517-2020")</f>
        <v/>
      </c>
      <c r="V199">
        <f>HYPERLINK("https://klasma.github.io/Logging_2321/klagomål/A 65517-2020 FSC-klagomål.docx", "A 65517-2020")</f>
        <v/>
      </c>
      <c r="W199">
        <f>HYPERLINK("https://klasma.github.io/Logging_2321/klagomålsmail/A 65517-2020 FSC-klagomål mail.docx", "A 65517-2020")</f>
        <v/>
      </c>
      <c r="X199">
        <f>HYPERLINK("https://klasma.github.io/Logging_2321/tillsyn/A 65517-2020 tillsynsbegäran.docx", "A 65517-2020")</f>
        <v/>
      </c>
      <c r="Y199">
        <f>HYPERLINK("https://klasma.github.io/Logging_2321/tillsynsmail/A 65517-2020 tillsynsbegäran mail.docx", "A 65517-2020")</f>
        <v/>
      </c>
    </row>
    <row r="200" ht="15" customHeight="1">
      <c r="A200" t="inlineStr">
        <is>
          <t>A 65446-2020</t>
        </is>
      </c>
      <c r="B200" s="1" t="n">
        <v>44173</v>
      </c>
      <c r="C200" s="1" t="n">
        <v>45837</v>
      </c>
      <c r="D200" t="inlineStr">
        <is>
          <t>JÄMTLANDS LÄN</t>
        </is>
      </c>
      <c r="E200" t="inlineStr">
        <is>
          <t>ÅRE</t>
        </is>
      </c>
      <c r="G200" t="n">
        <v>7.2</v>
      </c>
      <c r="H200" t="n">
        <v>0</v>
      </c>
      <c r="I200" t="n">
        <v>0</v>
      </c>
      <c r="J200" t="n">
        <v>1</v>
      </c>
      <c r="K200" t="n">
        <v>0</v>
      </c>
      <c r="L200" t="n">
        <v>0</v>
      </c>
      <c r="M200" t="n">
        <v>0</v>
      </c>
      <c r="N200" t="n">
        <v>0</v>
      </c>
      <c r="O200" t="n">
        <v>1</v>
      </c>
      <c r="P200" t="n">
        <v>0</v>
      </c>
      <c r="Q200" t="n">
        <v>1</v>
      </c>
      <c r="R200" s="2" t="inlineStr">
        <is>
          <t>Ullticka</t>
        </is>
      </c>
      <c r="S200">
        <f>HYPERLINK("https://klasma.github.io/Logging_2321/artfynd/A 65446-2020 artfynd.xlsx", "A 65446-2020")</f>
        <v/>
      </c>
      <c r="T200">
        <f>HYPERLINK("https://klasma.github.io/Logging_2321/kartor/A 65446-2020 karta.png", "A 65446-2020")</f>
        <v/>
      </c>
      <c r="V200">
        <f>HYPERLINK("https://klasma.github.io/Logging_2321/klagomål/A 65446-2020 FSC-klagomål.docx", "A 65446-2020")</f>
        <v/>
      </c>
      <c r="W200">
        <f>HYPERLINK("https://klasma.github.io/Logging_2321/klagomålsmail/A 65446-2020 FSC-klagomål mail.docx", "A 65446-2020")</f>
        <v/>
      </c>
      <c r="X200">
        <f>HYPERLINK("https://klasma.github.io/Logging_2321/tillsyn/A 65446-2020 tillsynsbegäran.docx", "A 65446-2020")</f>
        <v/>
      </c>
      <c r="Y200">
        <f>HYPERLINK("https://klasma.github.io/Logging_2321/tillsynsmail/A 65446-2020 tillsynsbegäran mail.docx", "A 65446-2020")</f>
        <v/>
      </c>
    </row>
    <row r="201" ht="15" customHeight="1">
      <c r="A201" t="inlineStr">
        <is>
          <t>A 2422-2021</t>
        </is>
      </c>
      <c r="B201" s="1" t="n">
        <v>44214</v>
      </c>
      <c r="C201" s="1" t="n">
        <v>45837</v>
      </c>
      <c r="D201" t="inlineStr">
        <is>
          <t>JÄMTLANDS LÄN</t>
        </is>
      </c>
      <c r="E201" t="inlineStr">
        <is>
          <t>ÅRE</t>
        </is>
      </c>
      <c r="G201" t="n">
        <v>3.3</v>
      </c>
      <c r="H201" t="n">
        <v>1</v>
      </c>
      <c r="I201" t="n">
        <v>0</v>
      </c>
      <c r="J201" t="n">
        <v>0</v>
      </c>
      <c r="K201" t="n">
        <v>0</v>
      </c>
      <c r="L201" t="n">
        <v>0</v>
      </c>
      <c r="M201" t="n">
        <v>0</v>
      </c>
      <c r="N201" t="n">
        <v>0</v>
      </c>
      <c r="O201" t="n">
        <v>0</v>
      </c>
      <c r="P201" t="n">
        <v>0</v>
      </c>
      <c r="Q201" t="n">
        <v>1</v>
      </c>
      <c r="R201" s="2" t="inlineStr">
        <is>
          <t>Fläcknycklar</t>
        </is>
      </c>
      <c r="S201">
        <f>HYPERLINK("https://klasma.github.io/Logging_2321/artfynd/A 2422-2021 artfynd.xlsx", "A 2422-2021")</f>
        <v/>
      </c>
      <c r="T201">
        <f>HYPERLINK("https://klasma.github.io/Logging_2321/kartor/A 2422-2021 karta.png", "A 2422-2021")</f>
        <v/>
      </c>
      <c r="V201">
        <f>HYPERLINK("https://klasma.github.io/Logging_2321/klagomål/A 2422-2021 FSC-klagomål.docx", "A 2422-2021")</f>
        <v/>
      </c>
      <c r="W201">
        <f>HYPERLINK("https://klasma.github.io/Logging_2321/klagomålsmail/A 2422-2021 FSC-klagomål mail.docx", "A 2422-2021")</f>
        <v/>
      </c>
      <c r="X201">
        <f>HYPERLINK("https://klasma.github.io/Logging_2321/tillsyn/A 2422-2021 tillsynsbegäran.docx", "A 2422-2021")</f>
        <v/>
      </c>
      <c r="Y201">
        <f>HYPERLINK("https://klasma.github.io/Logging_2321/tillsynsmail/A 2422-2021 tillsynsbegäran mail.docx", "A 2422-2021")</f>
        <v/>
      </c>
    </row>
    <row r="202" ht="15" customHeight="1">
      <c r="A202" t="inlineStr">
        <is>
          <t>A 11781-2021</t>
        </is>
      </c>
      <c r="B202" s="1" t="n">
        <v>44265</v>
      </c>
      <c r="C202" s="1" t="n">
        <v>45837</v>
      </c>
      <c r="D202" t="inlineStr">
        <is>
          <t>JÄMTLANDS LÄN</t>
        </is>
      </c>
      <c r="E202" t="inlineStr">
        <is>
          <t>ÅRE</t>
        </is>
      </c>
      <c r="G202" t="n">
        <v>4.1</v>
      </c>
      <c r="H202" t="n">
        <v>0</v>
      </c>
      <c r="I202" t="n">
        <v>1</v>
      </c>
      <c r="J202" t="n">
        <v>0</v>
      </c>
      <c r="K202" t="n">
        <v>0</v>
      </c>
      <c r="L202" t="n">
        <v>0</v>
      </c>
      <c r="M202" t="n">
        <v>0</v>
      </c>
      <c r="N202" t="n">
        <v>0</v>
      </c>
      <c r="O202" t="n">
        <v>0</v>
      </c>
      <c r="P202" t="n">
        <v>0</v>
      </c>
      <c r="Q202" t="n">
        <v>1</v>
      </c>
      <c r="R202" s="2" t="inlineStr">
        <is>
          <t>Finbräken</t>
        </is>
      </c>
      <c r="S202">
        <f>HYPERLINK("https://klasma.github.io/Logging_2321/artfynd/A 11781-2021 artfynd.xlsx", "A 11781-2021")</f>
        <v/>
      </c>
      <c r="T202">
        <f>HYPERLINK("https://klasma.github.io/Logging_2321/kartor/A 11781-2021 karta.png", "A 11781-2021")</f>
        <v/>
      </c>
      <c r="V202">
        <f>HYPERLINK("https://klasma.github.io/Logging_2321/klagomål/A 11781-2021 FSC-klagomål.docx", "A 11781-2021")</f>
        <v/>
      </c>
      <c r="W202">
        <f>HYPERLINK("https://klasma.github.io/Logging_2321/klagomålsmail/A 11781-2021 FSC-klagomål mail.docx", "A 11781-2021")</f>
        <v/>
      </c>
      <c r="X202">
        <f>HYPERLINK("https://klasma.github.io/Logging_2321/tillsyn/A 11781-2021 tillsynsbegäran.docx", "A 11781-2021")</f>
        <v/>
      </c>
      <c r="Y202">
        <f>HYPERLINK("https://klasma.github.io/Logging_2321/tillsynsmail/A 11781-2021 tillsynsbegäran mail.docx", "A 11781-2021")</f>
        <v/>
      </c>
    </row>
    <row r="203" ht="15" customHeight="1">
      <c r="A203" t="inlineStr">
        <is>
          <t>A 11767-2021</t>
        </is>
      </c>
      <c r="B203" s="1" t="n">
        <v>44265</v>
      </c>
      <c r="C203" s="1" t="n">
        <v>45837</v>
      </c>
      <c r="D203" t="inlineStr">
        <is>
          <t>JÄMTLANDS LÄN</t>
        </is>
      </c>
      <c r="E203" t="inlineStr">
        <is>
          <t>ÅRE</t>
        </is>
      </c>
      <c r="G203" t="n">
        <v>15.4</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11767-2021 artfynd.xlsx", "A 11767-2021")</f>
        <v/>
      </c>
      <c r="T203">
        <f>HYPERLINK("https://klasma.github.io/Logging_2321/kartor/A 11767-2021 karta.png", "A 11767-2021")</f>
        <v/>
      </c>
      <c r="V203">
        <f>HYPERLINK("https://klasma.github.io/Logging_2321/klagomål/A 11767-2021 FSC-klagomål.docx", "A 11767-2021")</f>
        <v/>
      </c>
      <c r="W203">
        <f>HYPERLINK("https://klasma.github.io/Logging_2321/klagomålsmail/A 11767-2021 FSC-klagomål mail.docx", "A 11767-2021")</f>
        <v/>
      </c>
      <c r="X203">
        <f>HYPERLINK("https://klasma.github.io/Logging_2321/tillsyn/A 11767-2021 tillsynsbegäran.docx", "A 11767-2021")</f>
        <v/>
      </c>
      <c r="Y203">
        <f>HYPERLINK("https://klasma.github.io/Logging_2321/tillsynsmail/A 11767-2021 tillsynsbegäran mail.docx", "A 11767-2021")</f>
        <v/>
      </c>
      <c r="Z203">
        <f>HYPERLINK("https://klasma.github.io/Logging_2321/fåglar/A 11767-2021 prioriterade fågelarter.docx", "A 11767-2021")</f>
        <v/>
      </c>
    </row>
    <row r="204" ht="15" customHeight="1">
      <c r="A204" t="inlineStr">
        <is>
          <t>A 12970-2021</t>
        </is>
      </c>
      <c r="B204" s="1" t="n">
        <v>44271</v>
      </c>
      <c r="C204" s="1" t="n">
        <v>45837</v>
      </c>
      <c r="D204" t="inlineStr">
        <is>
          <t>JÄMTLANDS LÄN</t>
        </is>
      </c>
      <c r="E204" t="inlineStr">
        <is>
          <t>ÅRE</t>
        </is>
      </c>
      <c r="G204" t="n">
        <v>20.5</v>
      </c>
      <c r="H204" t="n">
        <v>1</v>
      </c>
      <c r="I204" t="n">
        <v>1</v>
      </c>
      <c r="J204" t="n">
        <v>0</v>
      </c>
      <c r="K204" t="n">
        <v>0</v>
      </c>
      <c r="L204" t="n">
        <v>0</v>
      </c>
      <c r="M204" t="n">
        <v>0</v>
      </c>
      <c r="N204" t="n">
        <v>0</v>
      </c>
      <c r="O204" t="n">
        <v>0</v>
      </c>
      <c r="P204" t="n">
        <v>0</v>
      </c>
      <c r="Q204" t="n">
        <v>1</v>
      </c>
      <c r="R204" s="2" t="inlineStr">
        <is>
          <t>Spindelblomster</t>
        </is>
      </c>
      <c r="S204">
        <f>HYPERLINK("https://klasma.github.io/Logging_2321/artfynd/A 12970-2021 artfynd.xlsx", "A 12970-2021")</f>
        <v/>
      </c>
      <c r="T204">
        <f>HYPERLINK("https://klasma.github.io/Logging_2321/kartor/A 12970-2021 karta.png", "A 12970-2021")</f>
        <v/>
      </c>
      <c r="V204">
        <f>HYPERLINK("https://klasma.github.io/Logging_2321/klagomål/A 12970-2021 FSC-klagomål.docx", "A 12970-2021")</f>
        <v/>
      </c>
      <c r="W204">
        <f>HYPERLINK("https://klasma.github.io/Logging_2321/klagomålsmail/A 12970-2021 FSC-klagomål mail.docx", "A 12970-2021")</f>
        <v/>
      </c>
      <c r="X204">
        <f>HYPERLINK("https://klasma.github.io/Logging_2321/tillsyn/A 12970-2021 tillsynsbegäran.docx", "A 12970-2021")</f>
        <v/>
      </c>
      <c r="Y204">
        <f>HYPERLINK("https://klasma.github.io/Logging_2321/tillsynsmail/A 12970-2021 tillsynsbegäran mail.docx", "A 12970-2021")</f>
        <v/>
      </c>
    </row>
    <row r="205" ht="15" customHeight="1">
      <c r="A205" t="inlineStr">
        <is>
          <t>A 18543-2021</t>
        </is>
      </c>
      <c r="B205" s="1" t="n">
        <v>44306</v>
      </c>
      <c r="C205" s="1" t="n">
        <v>45837</v>
      </c>
      <c r="D205" t="inlineStr">
        <is>
          <t>JÄMTLANDS LÄN</t>
        </is>
      </c>
      <c r="E205" t="inlineStr">
        <is>
          <t>ÅRE</t>
        </is>
      </c>
      <c r="G205" t="n">
        <v>1.7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18543-2021 artfynd.xlsx", "A 18543-2021")</f>
        <v/>
      </c>
      <c r="T205">
        <f>HYPERLINK("https://klasma.github.io/Logging_2321/kartor/A 18543-2021 karta.png", "A 18543-2021")</f>
        <v/>
      </c>
      <c r="V205">
        <f>HYPERLINK("https://klasma.github.io/Logging_2321/klagomål/A 18543-2021 FSC-klagomål.docx", "A 18543-2021")</f>
        <v/>
      </c>
      <c r="W205">
        <f>HYPERLINK("https://klasma.github.io/Logging_2321/klagomålsmail/A 18543-2021 FSC-klagomål mail.docx", "A 18543-2021")</f>
        <v/>
      </c>
      <c r="X205">
        <f>HYPERLINK("https://klasma.github.io/Logging_2321/tillsyn/A 18543-2021 tillsynsbegäran.docx", "A 18543-2021")</f>
        <v/>
      </c>
      <c r="Y205">
        <f>HYPERLINK("https://klasma.github.io/Logging_2321/tillsynsmail/A 18543-2021 tillsynsbegäran mail.docx", "A 18543-2021")</f>
        <v/>
      </c>
      <c r="Z205">
        <f>HYPERLINK("https://klasma.github.io/Logging_2321/fåglar/A 18543-2021 prioriterade fågelarter.docx", "A 18543-2021")</f>
        <v/>
      </c>
    </row>
    <row r="206" ht="15" customHeight="1">
      <c r="A206" t="inlineStr">
        <is>
          <t>A 20500-2021</t>
        </is>
      </c>
      <c r="B206" s="1" t="n">
        <v>44315</v>
      </c>
      <c r="C206" s="1" t="n">
        <v>45837</v>
      </c>
      <c r="D206" t="inlineStr">
        <is>
          <t>JÄMTLANDS LÄN</t>
        </is>
      </c>
      <c r="E206" t="inlineStr">
        <is>
          <t>ÅRE</t>
        </is>
      </c>
      <c r="G206" t="n">
        <v>3</v>
      </c>
      <c r="H206" t="n">
        <v>0</v>
      </c>
      <c r="I206" t="n">
        <v>1</v>
      </c>
      <c r="J206" t="n">
        <v>0</v>
      </c>
      <c r="K206" t="n">
        <v>0</v>
      </c>
      <c r="L206" t="n">
        <v>0</v>
      </c>
      <c r="M206" t="n">
        <v>0</v>
      </c>
      <c r="N206" t="n">
        <v>0</v>
      </c>
      <c r="O206" t="n">
        <v>0</v>
      </c>
      <c r="P206" t="n">
        <v>0</v>
      </c>
      <c r="Q206" t="n">
        <v>1</v>
      </c>
      <c r="R206" s="2" t="inlineStr">
        <is>
          <t>Svart trolldruva</t>
        </is>
      </c>
      <c r="S206">
        <f>HYPERLINK("https://klasma.github.io/Logging_2321/artfynd/A 20500-2021 artfynd.xlsx", "A 20500-2021")</f>
        <v/>
      </c>
      <c r="T206">
        <f>HYPERLINK("https://klasma.github.io/Logging_2321/kartor/A 20500-2021 karta.png", "A 20500-2021")</f>
        <v/>
      </c>
      <c r="V206">
        <f>HYPERLINK("https://klasma.github.io/Logging_2321/klagomål/A 20500-2021 FSC-klagomål.docx", "A 20500-2021")</f>
        <v/>
      </c>
      <c r="W206">
        <f>HYPERLINK("https://klasma.github.io/Logging_2321/klagomålsmail/A 20500-2021 FSC-klagomål mail.docx", "A 20500-2021")</f>
        <v/>
      </c>
      <c r="X206">
        <f>HYPERLINK("https://klasma.github.io/Logging_2321/tillsyn/A 20500-2021 tillsynsbegäran.docx", "A 20500-2021")</f>
        <v/>
      </c>
      <c r="Y206">
        <f>HYPERLINK("https://klasma.github.io/Logging_2321/tillsynsmail/A 20500-2021 tillsynsbegäran mail.docx", "A 20500-2021")</f>
        <v/>
      </c>
    </row>
    <row r="207" ht="15" customHeight="1">
      <c r="A207" t="inlineStr">
        <is>
          <t>A 20501-2021</t>
        </is>
      </c>
      <c r="B207" s="1" t="n">
        <v>44315</v>
      </c>
      <c r="C207" s="1" t="n">
        <v>45837</v>
      </c>
      <c r="D207" t="inlineStr">
        <is>
          <t>JÄMTLANDS LÄN</t>
        </is>
      </c>
      <c r="E207" t="inlineStr">
        <is>
          <t>ÅRE</t>
        </is>
      </c>
      <c r="G207" t="n">
        <v>1.1</v>
      </c>
      <c r="H207" t="n">
        <v>1</v>
      </c>
      <c r="I207" t="n">
        <v>0</v>
      </c>
      <c r="J207" t="n">
        <v>1</v>
      </c>
      <c r="K207" t="n">
        <v>0</v>
      </c>
      <c r="L207" t="n">
        <v>0</v>
      </c>
      <c r="M207" t="n">
        <v>0</v>
      </c>
      <c r="N207" t="n">
        <v>0</v>
      </c>
      <c r="O207" t="n">
        <v>1</v>
      </c>
      <c r="P207" t="n">
        <v>0</v>
      </c>
      <c r="Q207" t="n">
        <v>1</v>
      </c>
      <c r="R207" s="2" t="inlineStr">
        <is>
          <t>Hornuggla</t>
        </is>
      </c>
      <c r="S207">
        <f>HYPERLINK("https://klasma.github.io/Logging_2321/artfynd/A 20501-2021 artfynd.xlsx", "A 20501-2021")</f>
        <v/>
      </c>
      <c r="T207">
        <f>HYPERLINK("https://klasma.github.io/Logging_2321/kartor/A 20501-2021 karta.png", "A 20501-2021")</f>
        <v/>
      </c>
      <c r="V207">
        <f>HYPERLINK("https://klasma.github.io/Logging_2321/klagomål/A 20501-2021 FSC-klagomål.docx", "A 20501-2021")</f>
        <v/>
      </c>
      <c r="W207">
        <f>HYPERLINK("https://klasma.github.io/Logging_2321/klagomålsmail/A 20501-2021 FSC-klagomål mail.docx", "A 20501-2021")</f>
        <v/>
      </c>
      <c r="X207">
        <f>HYPERLINK("https://klasma.github.io/Logging_2321/tillsyn/A 20501-2021 tillsynsbegäran.docx", "A 20501-2021")</f>
        <v/>
      </c>
      <c r="Y207">
        <f>HYPERLINK("https://klasma.github.io/Logging_2321/tillsynsmail/A 20501-2021 tillsynsbegäran mail.docx", "A 20501-2021")</f>
        <v/>
      </c>
      <c r="Z207">
        <f>HYPERLINK("https://klasma.github.io/Logging_2321/fåglar/A 20501-2021 prioriterade fågelarter.docx", "A 20501-2021")</f>
        <v/>
      </c>
    </row>
    <row r="208" ht="15" customHeight="1">
      <c r="A208" t="inlineStr">
        <is>
          <t>A 23556-2021</t>
        </is>
      </c>
      <c r="B208" s="1" t="n">
        <v>44334</v>
      </c>
      <c r="C208" s="1" t="n">
        <v>45837</v>
      </c>
      <c r="D208" t="inlineStr">
        <is>
          <t>JÄMTLANDS LÄN</t>
        </is>
      </c>
      <c r="E208" t="inlineStr">
        <is>
          <t>ÅRE</t>
        </is>
      </c>
      <c r="G208" t="n">
        <v>11.1</v>
      </c>
      <c r="H208" t="n">
        <v>1</v>
      </c>
      <c r="I208" t="n">
        <v>1</v>
      </c>
      <c r="J208" t="n">
        <v>0</v>
      </c>
      <c r="K208" t="n">
        <v>0</v>
      </c>
      <c r="L208" t="n">
        <v>0</v>
      </c>
      <c r="M208" t="n">
        <v>0</v>
      </c>
      <c r="N208" t="n">
        <v>0</v>
      </c>
      <c r="O208" t="n">
        <v>0</v>
      </c>
      <c r="P208" t="n">
        <v>0</v>
      </c>
      <c r="Q208" t="n">
        <v>1</v>
      </c>
      <c r="R208" s="2" t="inlineStr">
        <is>
          <t>Tvåblad</t>
        </is>
      </c>
      <c r="S208">
        <f>HYPERLINK("https://klasma.github.io/Logging_2321/artfynd/A 23556-2021 artfynd.xlsx", "A 23556-2021")</f>
        <v/>
      </c>
      <c r="T208">
        <f>HYPERLINK("https://klasma.github.io/Logging_2321/kartor/A 23556-2021 karta.png", "A 23556-2021")</f>
        <v/>
      </c>
      <c r="V208">
        <f>HYPERLINK("https://klasma.github.io/Logging_2321/klagomål/A 23556-2021 FSC-klagomål.docx", "A 23556-2021")</f>
        <v/>
      </c>
      <c r="W208">
        <f>HYPERLINK("https://klasma.github.io/Logging_2321/klagomålsmail/A 23556-2021 FSC-klagomål mail.docx", "A 23556-2021")</f>
        <v/>
      </c>
      <c r="X208">
        <f>HYPERLINK("https://klasma.github.io/Logging_2321/tillsyn/A 23556-2021 tillsynsbegäran.docx", "A 23556-2021")</f>
        <v/>
      </c>
      <c r="Y208">
        <f>HYPERLINK("https://klasma.github.io/Logging_2321/tillsynsmail/A 23556-2021 tillsynsbegäran mail.docx", "A 23556-2021")</f>
        <v/>
      </c>
    </row>
    <row r="209" ht="15" customHeight="1">
      <c r="A209" t="inlineStr">
        <is>
          <t>A 37082-2021</t>
        </is>
      </c>
      <c r="B209" s="1" t="n">
        <v>44395</v>
      </c>
      <c r="C209" s="1" t="n">
        <v>45837</v>
      </c>
      <c r="D209" t="inlineStr">
        <is>
          <t>JÄMTLANDS LÄN</t>
        </is>
      </c>
      <c r="E209" t="inlineStr">
        <is>
          <t>ÅRE</t>
        </is>
      </c>
      <c r="G209" t="n">
        <v>14.6</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37082-2021 artfynd.xlsx", "A 37082-2021")</f>
        <v/>
      </c>
      <c r="T209">
        <f>HYPERLINK("https://klasma.github.io/Logging_2321/kartor/A 37082-2021 karta.png", "A 37082-2021")</f>
        <v/>
      </c>
      <c r="V209">
        <f>HYPERLINK("https://klasma.github.io/Logging_2321/klagomål/A 37082-2021 FSC-klagomål.docx", "A 37082-2021")</f>
        <v/>
      </c>
      <c r="W209">
        <f>HYPERLINK("https://klasma.github.io/Logging_2321/klagomålsmail/A 37082-2021 FSC-klagomål mail.docx", "A 37082-2021")</f>
        <v/>
      </c>
      <c r="X209">
        <f>HYPERLINK("https://klasma.github.io/Logging_2321/tillsyn/A 37082-2021 tillsynsbegäran.docx", "A 37082-2021")</f>
        <v/>
      </c>
      <c r="Y209">
        <f>HYPERLINK("https://klasma.github.io/Logging_2321/tillsynsmail/A 37082-2021 tillsynsbegäran mail.docx", "A 37082-2021")</f>
        <v/>
      </c>
      <c r="Z209">
        <f>HYPERLINK("https://klasma.github.io/Logging_2321/fåglar/A 37082-2021 prioriterade fågelarter.docx", "A 37082-2021")</f>
        <v/>
      </c>
    </row>
    <row r="210" ht="15" customHeight="1">
      <c r="A210" t="inlineStr">
        <is>
          <t>A 56193-2021</t>
        </is>
      </c>
      <c r="B210" s="1" t="n">
        <v>44477</v>
      </c>
      <c r="C210" s="1" t="n">
        <v>45837</v>
      </c>
      <c r="D210" t="inlineStr">
        <is>
          <t>JÄMTLANDS LÄN</t>
        </is>
      </c>
      <c r="E210" t="inlineStr">
        <is>
          <t>ÅRE</t>
        </is>
      </c>
      <c r="F210" t="inlineStr">
        <is>
          <t>Övriga Aktiebolag</t>
        </is>
      </c>
      <c r="G210" t="n">
        <v>15.5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56193-2021 artfynd.xlsx", "A 56193-2021")</f>
        <v/>
      </c>
      <c r="T210">
        <f>HYPERLINK("https://klasma.github.io/Logging_2321/kartor/A 56193-2021 karta.png", "A 56193-2021")</f>
        <v/>
      </c>
      <c r="V210">
        <f>HYPERLINK("https://klasma.github.io/Logging_2321/klagomål/A 56193-2021 FSC-klagomål.docx", "A 56193-2021")</f>
        <v/>
      </c>
      <c r="W210">
        <f>HYPERLINK("https://klasma.github.io/Logging_2321/klagomålsmail/A 56193-2021 FSC-klagomål mail.docx", "A 56193-2021")</f>
        <v/>
      </c>
      <c r="X210">
        <f>HYPERLINK("https://klasma.github.io/Logging_2321/tillsyn/A 56193-2021 tillsynsbegäran.docx", "A 56193-2021")</f>
        <v/>
      </c>
      <c r="Y210">
        <f>HYPERLINK("https://klasma.github.io/Logging_2321/tillsynsmail/A 56193-2021 tillsynsbegäran mail.docx", "A 56193-2021")</f>
        <v/>
      </c>
      <c r="Z210">
        <f>HYPERLINK("https://klasma.github.io/Logging_2321/fåglar/A 56193-2021 prioriterade fågelarter.docx", "A 56193-2021")</f>
        <v/>
      </c>
    </row>
    <row r="211" ht="15" customHeight="1">
      <c r="A211" t="inlineStr">
        <is>
          <t>A 58117-2021</t>
        </is>
      </c>
      <c r="B211" s="1" t="n">
        <v>44487</v>
      </c>
      <c r="C211" s="1" t="n">
        <v>45837</v>
      </c>
      <c r="D211" t="inlineStr">
        <is>
          <t>JÄMTLANDS LÄN</t>
        </is>
      </c>
      <c r="E211" t="inlineStr">
        <is>
          <t>ÅRE</t>
        </is>
      </c>
      <c r="G211" t="n">
        <v>40.9</v>
      </c>
      <c r="H211" t="n">
        <v>0</v>
      </c>
      <c r="I211" t="n">
        <v>1</v>
      </c>
      <c r="J211" t="n">
        <v>0</v>
      </c>
      <c r="K211" t="n">
        <v>0</v>
      </c>
      <c r="L211" t="n">
        <v>0</v>
      </c>
      <c r="M211" t="n">
        <v>0</v>
      </c>
      <c r="N211" t="n">
        <v>0</v>
      </c>
      <c r="O211" t="n">
        <v>0</v>
      </c>
      <c r="P211" t="n">
        <v>0</v>
      </c>
      <c r="Q211" t="n">
        <v>1</v>
      </c>
      <c r="R211" s="2" t="inlineStr">
        <is>
          <t>Stuplav</t>
        </is>
      </c>
      <c r="S211">
        <f>HYPERLINK("https://klasma.github.io/Logging_2321/artfynd/A 58117-2021 artfynd.xlsx", "A 58117-2021")</f>
        <v/>
      </c>
      <c r="T211">
        <f>HYPERLINK("https://klasma.github.io/Logging_2321/kartor/A 58117-2021 karta.png", "A 58117-2021")</f>
        <v/>
      </c>
      <c r="V211">
        <f>HYPERLINK("https://klasma.github.io/Logging_2321/klagomål/A 58117-2021 FSC-klagomål.docx", "A 58117-2021")</f>
        <v/>
      </c>
      <c r="W211">
        <f>HYPERLINK("https://klasma.github.io/Logging_2321/klagomålsmail/A 58117-2021 FSC-klagomål mail.docx", "A 58117-2021")</f>
        <v/>
      </c>
      <c r="X211">
        <f>HYPERLINK("https://klasma.github.io/Logging_2321/tillsyn/A 58117-2021 tillsynsbegäran.docx", "A 58117-2021")</f>
        <v/>
      </c>
      <c r="Y211">
        <f>HYPERLINK("https://klasma.github.io/Logging_2321/tillsynsmail/A 58117-2021 tillsynsbegäran mail.docx", "A 58117-2021")</f>
        <v/>
      </c>
    </row>
    <row r="212" ht="15" customHeight="1">
      <c r="A212" t="inlineStr">
        <is>
          <t>A 58239-2021</t>
        </is>
      </c>
      <c r="B212" s="1" t="n">
        <v>44487</v>
      </c>
      <c r="C212" s="1" t="n">
        <v>45837</v>
      </c>
      <c r="D212" t="inlineStr">
        <is>
          <t>JÄMTLANDS LÄN</t>
        </is>
      </c>
      <c r="E212" t="inlineStr">
        <is>
          <t>ÅRE</t>
        </is>
      </c>
      <c r="G212" t="n">
        <v>25</v>
      </c>
      <c r="H212" t="n">
        <v>0</v>
      </c>
      <c r="I212" t="n">
        <v>0</v>
      </c>
      <c r="J212" t="n">
        <v>0</v>
      </c>
      <c r="K212" t="n">
        <v>1</v>
      </c>
      <c r="L212" t="n">
        <v>0</v>
      </c>
      <c r="M212" t="n">
        <v>0</v>
      </c>
      <c r="N212" t="n">
        <v>0</v>
      </c>
      <c r="O212" t="n">
        <v>1</v>
      </c>
      <c r="P212" t="n">
        <v>1</v>
      </c>
      <c r="Q212" t="n">
        <v>1</v>
      </c>
      <c r="R212" s="2" t="inlineStr">
        <is>
          <t>Rynkskinn</t>
        </is>
      </c>
      <c r="S212">
        <f>HYPERLINK("https://klasma.github.io/Logging_2321/artfynd/A 58239-2021 artfynd.xlsx", "A 58239-2021")</f>
        <v/>
      </c>
      <c r="T212">
        <f>HYPERLINK("https://klasma.github.io/Logging_2321/kartor/A 58239-2021 karta.png", "A 58239-2021")</f>
        <v/>
      </c>
      <c r="V212">
        <f>HYPERLINK("https://klasma.github.io/Logging_2321/klagomål/A 58239-2021 FSC-klagomål.docx", "A 58239-2021")</f>
        <v/>
      </c>
      <c r="W212">
        <f>HYPERLINK("https://klasma.github.io/Logging_2321/klagomålsmail/A 58239-2021 FSC-klagomål mail.docx", "A 58239-2021")</f>
        <v/>
      </c>
      <c r="X212">
        <f>HYPERLINK("https://klasma.github.io/Logging_2321/tillsyn/A 58239-2021 tillsynsbegäran.docx", "A 58239-2021")</f>
        <v/>
      </c>
      <c r="Y212">
        <f>HYPERLINK("https://klasma.github.io/Logging_2321/tillsynsmail/A 58239-2021 tillsynsbegäran mail.docx", "A 58239-2021")</f>
        <v/>
      </c>
    </row>
    <row r="213" ht="15" customHeight="1">
      <c r="A213" t="inlineStr">
        <is>
          <t>A 58226-2021</t>
        </is>
      </c>
      <c r="B213" s="1" t="n">
        <v>44487</v>
      </c>
      <c r="C213" s="1" t="n">
        <v>45837</v>
      </c>
      <c r="D213" t="inlineStr">
        <is>
          <t>JÄMTLANDS LÄN</t>
        </is>
      </c>
      <c r="E213" t="inlineStr">
        <is>
          <t>ÅRE</t>
        </is>
      </c>
      <c r="G213" t="n">
        <v>62.3</v>
      </c>
      <c r="H213" t="n">
        <v>0</v>
      </c>
      <c r="I213" t="n">
        <v>1</v>
      </c>
      <c r="J213" t="n">
        <v>0</v>
      </c>
      <c r="K213" t="n">
        <v>0</v>
      </c>
      <c r="L213" t="n">
        <v>0</v>
      </c>
      <c r="M213" t="n">
        <v>0</v>
      </c>
      <c r="N213" t="n">
        <v>0</v>
      </c>
      <c r="O213" t="n">
        <v>0</v>
      </c>
      <c r="P213" t="n">
        <v>0</v>
      </c>
      <c r="Q213" t="n">
        <v>1</v>
      </c>
      <c r="R213" s="2" t="inlineStr">
        <is>
          <t>Kambräken</t>
        </is>
      </c>
      <c r="S213">
        <f>HYPERLINK("https://klasma.github.io/Logging_2321/artfynd/A 58226-2021 artfynd.xlsx", "A 58226-2021")</f>
        <v/>
      </c>
      <c r="T213">
        <f>HYPERLINK("https://klasma.github.io/Logging_2321/kartor/A 58226-2021 karta.png", "A 58226-2021")</f>
        <v/>
      </c>
      <c r="V213">
        <f>HYPERLINK("https://klasma.github.io/Logging_2321/klagomål/A 58226-2021 FSC-klagomål.docx", "A 58226-2021")</f>
        <v/>
      </c>
      <c r="W213">
        <f>HYPERLINK("https://klasma.github.io/Logging_2321/klagomålsmail/A 58226-2021 FSC-klagomål mail.docx", "A 58226-2021")</f>
        <v/>
      </c>
      <c r="X213">
        <f>HYPERLINK("https://klasma.github.io/Logging_2321/tillsyn/A 58226-2021 tillsynsbegäran.docx", "A 58226-2021")</f>
        <v/>
      </c>
      <c r="Y213">
        <f>HYPERLINK("https://klasma.github.io/Logging_2321/tillsynsmail/A 58226-2021 tillsynsbegäran mail.docx", "A 58226-2021")</f>
        <v/>
      </c>
    </row>
    <row r="214" ht="15" customHeight="1">
      <c r="A214" t="inlineStr">
        <is>
          <t>A 62188-2021</t>
        </is>
      </c>
      <c r="B214" s="1" t="n">
        <v>44502</v>
      </c>
      <c r="C214" s="1" t="n">
        <v>45837</v>
      </c>
      <c r="D214" t="inlineStr">
        <is>
          <t>JÄMTLANDS LÄN</t>
        </is>
      </c>
      <c r="E214" t="inlineStr">
        <is>
          <t>ÅRE</t>
        </is>
      </c>
      <c r="G214" t="n">
        <v>2.5</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62188-2021 artfynd.xlsx", "A 62188-2021")</f>
        <v/>
      </c>
      <c r="T214">
        <f>HYPERLINK("https://klasma.github.io/Logging_2321/kartor/A 62188-2021 karta.png", "A 62188-2021")</f>
        <v/>
      </c>
      <c r="V214">
        <f>HYPERLINK("https://klasma.github.io/Logging_2321/klagomål/A 62188-2021 FSC-klagomål.docx", "A 62188-2021")</f>
        <v/>
      </c>
      <c r="W214">
        <f>HYPERLINK("https://klasma.github.io/Logging_2321/klagomålsmail/A 62188-2021 FSC-klagomål mail.docx", "A 62188-2021")</f>
        <v/>
      </c>
      <c r="X214">
        <f>HYPERLINK("https://klasma.github.io/Logging_2321/tillsyn/A 62188-2021 tillsynsbegäran.docx", "A 62188-2021")</f>
        <v/>
      </c>
      <c r="Y214">
        <f>HYPERLINK("https://klasma.github.io/Logging_2321/tillsynsmail/A 62188-2021 tillsynsbegäran mail.docx", "A 62188-2021")</f>
        <v/>
      </c>
    </row>
    <row r="215" ht="15" customHeight="1">
      <c r="A215" t="inlineStr">
        <is>
          <t>A 63975-2021</t>
        </is>
      </c>
      <c r="B215" s="1" t="n">
        <v>44509</v>
      </c>
      <c r="C215" s="1" t="n">
        <v>45837</v>
      </c>
      <c r="D215" t="inlineStr">
        <is>
          <t>JÄMTLANDS LÄN</t>
        </is>
      </c>
      <c r="E215" t="inlineStr">
        <is>
          <t>ÅRE</t>
        </is>
      </c>
      <c r="G215" t="n">
        <v>2.4</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63975-2021 artfynd.xlsx", "A 63975-2021")</f>
        <v/>
      </c>
      <c r="T215">
        <f>HYPERLINK("https://klasma.github.io/Logging_2321/kartor/A 63975-2021 karta.png", "A 63975-2021")</f>
        <v/>
      </c>
      <c r="V215">
        <f>HYPERLINK("https://klasma.github.io/Logging_2321/klagomål/A 63975-2021 FSC-klagomål.docx", "A 63975-2021")</f>
        <v/>
      </c>
      <c r="W215">
        <f>HYPERLINK("https://klasma.github.io/Logging_2321/klagomålsmail/A 63975-2021 FSC-klagomål mail.docx", "A 63975-2021")</f>
        <v/>
      </c>
      <c r="X215">
        <f>HYPERLINK("https://klasma.github.io/Logging_2321/tillsyn/A 63975-2021 tillsynsbegäran.docx", "A 63975-2021")</f>
        <v/>
      </c>
      <c r="Y215">
        <f>HYPERLINK("https://klasma.github.io/Logging_2321/tillsynsmail/A 63975-2021 tillsynsbegäran mail.docx", "A 63975-2021")</f>
        <v/>
      </c>
    </row>
    <row r="216" ht="15" customHeight="1">
      <c r="A216" t="inlineStr">
        <is>
          <t>A 74392-2021</t>
        </is>
      </c>
      <c r="B216" s="1" t="n">
        <v>44559</v>
      </c>
      <c r="C216" s="1" t="n">
        <v>45837</v>
      </c>
      <c r="D216" t="inlineStr">
        <is>
          <t>JÄMTLANDS LÄN</t>
        </is>
      </c>
      <c r="E216" t="inlineStr">
        <is>
          <t>ÅRE</t>
        </is>
      </c>
      <c r="G216" t="n">
        <v>11.6</v>
      </c>
      <c r="H216" t="n">
        <v>0</v>
      </c>
      <c r="I216" t="n">
        <v>0</v>
      </c>
      <c r="J216" t="n">
        <v>1</v>
      </c>
      <c r="K216" t="n">
        <v>0</v>
      </c>
      <c r="L216" t="n">
        <v>0</v>
      </c>
      <c r="M216" t="n">
        <v>0</v>
      </c>
      <c r="N216" t="n">
        <v>0</v>
      </c>
      <c r="O216" t="n">
        <v>1</v>
      </c>
      <c r="P216" t="n">
        <v>0</v>
      </c>
      <c r="Q216" t="n">
        <v>1</v>
      </c>
      <c r="R216" s="2" t="inlineStr">
        <is>
          <t>Skrovellav</t>
        </is>
      </c>
      <c r="S216">
        <f>HYPERLINK("https://klasma.github.io/Logging_2321/artfynd/A 74392-2021 artfynd.xlsx", "A 74392-2021")</f>
        <v/>
      </c>
      <c r="T216">
        <f>HYPERLINK("https://klasma.github.io/Logging_2321/kartor/A 74392-2021 karta.png", "A 74392-2021")</f>
        <v/>
      </c>
      <c r="V216">
        <f>HYPERLINK("https://klasma.github.io/Logging_2321/klagomål/A 74392-2021 FSC-klagomål.docx", "A 74392-2021")</f>
        <v/>
      </c>
      <c r="W216">
        <f>HYPERLINK("https://klasma.github.io/Logging_2321/klagomålsmail/A 74392-2021 FSC-klagomål mail.docx", "A 74392-2021")</f>
        <v/>
      </c>
      <c r="X216">
        <f>HYPERLINK("https://klasma.github.io/Logging_2321/tillsyn/A 74392-2021 tillsynsbegäran.docx", "A 74392-2021")</f>
        <v/>
      </c>
      <c r="Y216">
        <f>HYPERLINK("https://klasma.github.io/Logging_2321/tillsynsmail/A 74392-2021 tillsynsbegäran mail.docx", "A 74392-2021")</f>
        <v/>
      </c>
    </row>
    <row r="217" ht="15" customHeight="1">
      <c r="A217" t="inlineStr">
        <is>
          <t>A 12242-2022</t>
        </is>
      </c>
      <c r="B217" s="1" t="n">
        <v>44637</v>
      </c>
      <c r="C217" s="1" t="n">
        <v>45837</v>
      </c>
      <c r="D217" t="inlineStr">
        <is>
          <t>JÄMTLANDS LÄN</t>
        </is>
      </c>
      <c r="E217" t="inlineStr">
        <is>
          <t>ÅRE</t>
        </is>
      </c>
      <c r="G217" t="n">
        <v>53.4</v>
      </c>
      <c r="H217" t="n">
        <v>0</v>
      </c>
      <c r="I217" t="n">
        <v>0</v>
      </c>
      <c r="J217" t="n">
        <v>1</v>
      </c>
      <c r="K217" t="n">
        <v>0</v>
      </c>
      <c r="L217" t="n">
        <v>0</v>
      </c>
      <c r="M217" t="n">
        <v>0</v>
      </c>
      <c r="N217" t="n">
        <v>0</v>
      </c>
      <c r="O217" t="n">
        <v>1</v>
      </c>
      <c r="P217" t="n">
        <v>0</v>
      </c>
      <c r="Q217" t="n">
        <v>1</v>
      </c>
      <c r="R217" s="2" t="inlineStr">
        <is>
          <t>Granticka</t>
        </is>
      </c>
      <c r="S217">
        <f>HYPERLINK("https://klasma.github.io/Logging_2321/artfynd/A 12242-2022 artfynd.xlsx", "A 12242-2022")</f>
        <v/>
      </c>
      <c r="T217">
        <f>HYPERLINK("https://klasma.github.io/Logging_2321/kartor/A 12242-2022 karta.png", "A 12242-2022")</f>
        <v/>
      </c>
      <c r="V217">
        <f>HYPERLINK("https://klasma.github.io/Logging_2321/klagomål/A 12242-2022 FSC-klagomål.docx", "A 12242-2022")</f>
        <v/>
      </c>
      <c r="W217">
        <f>HYPERLINK("https://klasma.github.io/Logging_2321/klagomålsmail/A 12242-2022 FSC-klagomål mail.docx", "A 12242-2022")</f>
        <v/>
      </c>
      <c r="X217">
        <f>HYPERLINK("https://klasma.github.io/Logging_2321/tillsyn/A 12242-2022 tillsynsbegäran.docx", "A 12242-2022")</f>
        <v/>
      </c>
      <c r="Y217">
        <f>HYPERLINK("https://klasma.github.io/Logging_2321/tillsynsmail/A 12242-2022 tillsynsbegäran mail.docx", "A 12242-2022")</f>
        <v/>
      </c>
    </row>
    <row r="218" ht="15" customHeight="1">
      <c r="A218" t="inlineStr">
        <is>
          <t>A 17692-2022</t>
        </is>
      </c>
      <c r="B218" s="1" t="n">
        <v>44680</v>
      </c>
      <c r="C218" s="1" t="n">
        <v>45837</v>
      </c>
      <c r="D218" t="inlineStr">
        <is>
          <t>JÄMTLANDS LÄN</t>
        </is>
      </c>
      <c r="E218" t="inlineStr">
        <is>
          <t>ÅRE</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17692-2022 artfynd.xlsx", "A 17692-2022")</f>
        <v/>
      </c>
      <c r="T218">
        <f>HYPERLINK("https://klasma.github.io/Logging_2321/kartor/A 17692-2022 karta.png", "A 17692-2022")</f>
        <v/>
      </c>
      <c r="V218">
        <f>HYPERLINK("https://klasma.github.io/Logging_2321/klagomål/A 17692-2022 FSC-klagomål.docx", "A 17692-2022")</f>
        <v/>
      </c>
      <c r="W218">
        <f>HYPERLINK("https://klasma.github.io/Logging_2321/klagomålsmail/A 17692-2022 FSC-klagomål mail.docx", "A 17692-2022")</f>
        <v/>
      </c>
      <c r="X218">
        <f>HYPERLINK("https://klasma.github.io/Logging_2321/tillsyn/A 17692-2022 tillsynsbegäran.docx", "A 17692-2022")</f>
        <v/>
      </c>
      <c r="Y218">
        <f>HYPERLINK("https://klasma.github.io/Logging_2321/tillsynsmail/A 17692-2022 tillsynsbegäran mail.docx", "A 17692-2022")</f>
        <v/>
      </c>
      <c r="Z218">
        <f>HYPERLINK("https://klasma.github.io/Logging_2321/fåglar/A 17692-2022 prioriterade fågelarter.docx", "A 17692-2022")</f>
        <v/>
      </c>
    </row>
    <row r="219" ht="15" customHeight="1">
      <c r="A219" t="inlineStr">
        <is>
          <t>A 32216-2022</t>
        </is>
      </c>
      <c r="B219" s="1" t="n">
        <v>44781</v>
      </c>
      <c r="C219" s="1" t="n">
        <v>45837</v>
      </c>
      <c r="D219" t="inlineStr">
        <is>
          <t>JÄMTLANDS LÄN</t>
        </is>
      </c>
      <c r="E219" t="inlineStr">
        <is>
          <t>ÅRE</t>
        </is>
      </c>
      <c r="G219" t="n">
        <v>27.3</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32216-2022 artfynd.xlsx", "A 32216-2022")</f>
        <v/>
      </c>
      <c r="T219">
        <f>HYPERLINK("https://klasma.github.io/Logging_2321/kartor/A 32216-2022 karta.png", "A 32216-2022")</f>
        <v/>
      </c>
      <c r="V219">
        <f>HYPERLINK("https://klasma.github.io/Logging_2321/klagomål/A 32216-2022 FSC-klagomål.docx", "A 32216-2022")</f>
        <v/>
      </c>
      <c r="W219">
        <f>HYPERLINK("https://klasma.github.io/Logging_2321/klagomålsmail/A 32216-2022 FSC-klagomål mail.docx", "A 32216-2022")</f>
        <v/>
      </c>
      <c r="X219">
        <f>HYPERLINK("https://klasma.github.io/Logging_2321/tillsyn/A 32216-2022 tillsynsbegäran.docx", "A 32216-2022")</f>
        <v/>
      </c>
      <c r="Y219">
        <f>HYPERLINK("https://klasma.github.io/Logging_2321/tillsynsmail/A 32216-2022 tillsynsbegäran mail.docx", "A 32216-2022")</f>
        <v/>
      </c>
      <c r="Z219">
        <f>HYPERLINK("https://klasma.github.io/Logging_2321/fåglar/A 32216-2022 prioriterade fågelarter.docx", "A 32216-2022")</f>
        <v/>
      </c>
    </row>
    <row r="220" ht="15" customHeight="1">
      <c r="A220" t="inlineStr">
        <is>
          <t>A 40614-2022</t>
        </is>
      </c>
      <c r="B220" s="1" t="n">
        <v>44824</v>
      </c>
      <c r="C220" s="1" t="n">
        <v>45837</v>
      </c>
      <c r="D220" t="inlineStr">
        <is>
          <t>JÄMTLANDS LÄN</t>
        </is>
      </c>
      <c r="E220" t="inlineStr">
        <is>
          <t>ÅRE</t>
        </is>
      </c>
      <c r="F220" t="inlineStr">
        <is>
          <t>Övriga Aktiebolag</t>
        </is>
      </c>
      <c r="G220" t="n">
        <v>23.2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40614-2022 artfynd.xlsx", "A 40614-2022")</f>
        <v/>
      </c>
      <c r="T220">
        <f>HYPERLINK("https://klasma.github.io/Logging_2321/kartor/A 40614-2022 karta.png", "A 40614-2022")</f>
        <v/>
      </c>
      <c r="V220">
        <f>HYPERLINK("https://klasma.github.io/Logging_2321/klagomål/A 40614-2022 FSC-klagomål.docx", "A 40614-2022")</f>
        <v/>
      </c>
      <c r="W220">
        <f>HYPERLINK("https://klasma.github.io/Logging_2321/klagomålsmail/A 40614-2022 FSC-klagomål mail.docx", "A 40614-2022")</f>
        <v/>
      </c>
      <c r="X220">
        <f>HYPERLINK("https://klasma.github.io/Logging_2321/tillsyn/A 40614-2022 tillsynsbegäran.docx", "A 40614-2022")</f>
        <v/>
      </c>
      <c r="Y220">
        <f>HYPERLINK("https://klasma.github.io/Logging_2321/tillsynsmail/A 40614-2022 tillsynsbegäran mail.docx", "A 40614-2022")</f>
        <v/>
      </c>
      <c r="Z220">
        <f>HYPERLINK("https://klasma.github.io/Logging_2321/fåglar/A 40614-2022 prioriterade fågelarter.docx", "A 40614-2022")</f>
        <v/>
      </c>
    </row>
    <row r="221" ht="15" customHeight="1">
      <c r="A221" t="inlineStr">
        <is>
          <t>A 55194-2022</t>
        </is>
      </c>
      <c r="B221" s="1" t="n">
        <v>44886</v>
      </c>
      <c r="C221" s="1" t="n">
        <v>45837</v>
      </c>
      <c r="D221" t="inlineStr">
        <is>
          <t>JÄMTLANDS LÄN</t>
        </is>
      </c>
      <c r="E221" t="inlineStr">
        <is>
          <t>ÅRE</t>
        </is>
      </c>
      <c r="F221" t="inlineStr">
        <is>
          <t>Övriga Aktiebolag</t>
        </is>
      </c>
      <c r="G221" t="n">
        <v>1.7</v>
      </c>
      <c r="H221" t="n">
        <v>0</v>
      </c>
      <c r="I221" t="n">
        <v>0</v>
      </c>
      <c r="J221" t="n">
        <v>1</v>
      </c>
      <c r="K221" t="n">
        <v>0</v>
      </c>
      <c r="L221" t="n">
        <v>0</v>
      </c>
      <c r="M221" t="n">
        <v>0</v>
      </c>
      <c r="N221" t="n">
        <v>0</v>
      </c>
      <c r="O221" t="n">
        <v>1</v>
      </c>
      <c r="P221" t="n">
        <v>0</v>
      </c>
      <c r="Q221" t="n">
        <v>1</v>
      </c>
      <c r="R221" s="2" t="inlineStr">
        <is>
          <t>Vitskaftad svartspik</t>
        </is>
      </c>
      <c r="S221">
        <f>HYPERLINK("https://klasma.github.io/Logging_2321/artfynd/A 55194-2022 artfynd.xlsx", "A 55194-2022")</f>
        <v/>
      </c>
      <c r="T221">
        <f>HYPERLINK("https://klasma.github.io/Logging_2321/kartor/A 55194-2022 karta.png", "A 55194-2022")</f>
        <v/>
      </c>
      <c r="V221">
        <f>HYPERLINK("https://klasma.github.io/Logging_2321/klagomål/A 55194-2022 FSC-klagomål.docx", "A 55194-2022")</f>
        <v/>
      </c>
      <c r="W221">
        <f>HYPERLINK("https://klasma.github.io/Logging_2321/klagomålsmail/A 55194-2022 FSC-klagomål mail.docx", "A 55194-2022")</f>
        <v/>
      </c>
      <c r="X221">
        <f>HYPERLINK("https://klasma.github.io/Logging_2321/tillsyn/A 55194-2022 tillsynsbegäran.docx", "A 55194-2022")</f>
        <v/>
      </c>
      <c r="Y221">
        <f>HYPERLINK("https://klasma.github.io/Logging_2321/tillsynsmail/A 55194-2022 tillsynsbegäran mail.docx", "A 55194-2022")</f>
        <v/>
      </c>
    </row>
    <row r="222" ht="15" customHeight="1">
      <c r="A222" t="inlineStr">
        <is>
          <t>A 55805-2022</t>
        </is>
      </c>
      <c r="B222" s="1" t="n">
        <v>44888</v>
      </c>
      <c r="C222" s="1" t="n">
        <v>45837</v>
      </c>
      <c r="D222" t="inlineStr">
        <is>
          <t>JÄMTLANDS LÄN</t>
        </is>
      </c>
      <c r="E222" t="inlineStr">
        <is>
          <t>ÅRE</t>
        </is>
      </c>
      <c r="F222" t="inlineStr">
        <is>
          <t>Övriga Aktiebolag</t>
        </is>
      </c>
      <c r="G222" t="n">
        <v>17.7</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55805-2022 artfynd.xlsx", "A 55805-2022")</f>
        <v/>
      </c>
      <c r="T222">
        <f>HYPERLINK("https://klasma.github.io/Logging_2321/kartor/A 55805-2022 karta.png", "A 55805-2022")</f>
        <v/>
      </c>
      <c r="V222">
        <f>HYPERLINK("https://klasma.github.io/Logging_2321/klagomål/A 55805-2022 FSC-klagomål.docx", "A 55805-2022")</f>
        <v/>
      </c>
      <c r="W222">
        <f>HYPERLINK("https://klasma.github.io/Logging_2321/klagomålsmail/A 55805-2022 FSC-klagomål mail.docx", "A 55805-2022")</f>
        <v/>
      </c>
      <c r="X222">
        <f>HYPERLINK("https://klasma.github.io/Logging_2321/tillsyn/A 55805-2022 tillsynsbegäran.docx", "A 55805-2022")</f>
        <v/>
      </c>
      <c r="Y222">
        <f>HYPERLINK("https://klasma.github.io/Logging_2321/tillsynsmail/A 55805-2022 tillsynsbegäran mail.docx", "A 55805-2022")</f>
        <v/>
      </c>
      <c r="Z222">
        <f>HYPERLINK("https://klasma.github.io/Logging_2321/fåglar/A 55805-2022 prioriterade fågelarter.docx", "A 55805-2022")</f>
        <v/>
      </c>
    </row>
    <row r="223" ht="15" customHeight="1">
      <c r="A223" t="inlineStr">
        <is>
          <t>A 56493-2022</t>
        </is>
      </c>
      <c r="B223" s="1" t="n">
        <v>44893</v>
      </c>
      <c r="C223" s="1" t="n">
        <v>45837</v>
      </c>
      <c r="D223" t="inlineStr">
        <is>
          <t>JÄMTLANDS LÄN</t>
        </is>
      </c>
      <c r="E223" t="inlineStr">
        <is>
          <t>ÅRE</t>
        </is>
      </c>
      <c r="F223" t="inlineStr">
        <is>
          <t>Övriga Aktiebolag</t>
        </is>
      </c>
      <c r="G223" t="n">
        <v>3</v>
      </c>
      <c r="H223" t="n">
        <v>0</v>
      </c>
      <c r="I223" t="n">
        <v>0</v>
      </c>
      <c r="J223" t="n">
        <v>1</v>
      </c>
      <c r="K223" t="n">
        <v>0</v>
      </c>
      <c r="L223" t="n">
        <v>0</v>
      </c>
      <c r="M223" t="n">
        <v>0</v>
      </c>
      <c r="N223" t="n">
        <v>0</v>
      </c>
      <c r="O223" t="n">
        <v>1</v>
      </c>
      <c r="P223" t="n">
        <v>0</v>
      </c>
      <c r="Q223" t="n">
        <v>1</v>
      </c>
      <c r="R223" s="2" t="inlineStr">
        <is>
          <t>Garnlav</t>
        </is>
      </c>
      <c r="S223">
        <f>HYPERLINK("https://klasma.github.io/Logging_2321/artfynd/A 56493-2022 artfynd.xlsx", "A 56493-2022")</f>
        <v/>
      </c>
      <c r="T223">
        <f>HYPERLINK("https://klasma.github.io/Logging_2321/kartor/A 56493-2022 karta.png", "A 56493-2022")</f>
        <v/>
      </c>
      <c r="V223">
        <f>HYPERLINK("https://klasma.github.io/Logging_2321/klagomål/A 56493-2022 FSC-klagomål.docx", "A 56493-2022")</f>
        <v/>
      </c>
      <c r="W223">
        <f>HYPERLINK("https://klasma.github.io/Logging_2321/klagomålsmail/A 56493-2022 FSC-klagomål mail.docx", "A 56493-2022")</f>
        <v/>
      </c>
      <c r="X223">
        <f>HYPERLINK("https://klasma.github.io/Logging_2321/tillsyn/A 56493-2022 tillsynsbegäran.docx", "A 56493-2022")</f>
        <v/>
      </c>
      <c r="Y223">
        <f>HYPERLINK("https://klasma.github.io/Logging_2321/tillsynsmail/A 56493-2022 tillsynsbegäran mail.docx", "A 56493-2022")</f>
        <v/>
      </c>
    </row>
    <row r="224" ht="15" customHeight="1">
      <c r="A224" t="inlineStr">
        <is>
          <t>A 56603-2022</t>
        </is>
      </c>
      <c r="B224" s="1" t="n">
        <v>44893</v>
      </c>
      <c r="C224" s="1" t="n">
        <v>45837</v>
      </c>
      <c r="D224" t="inlineStr">
        <is>
          <t>JÄMTLANDS LÄN</t>
        </is>
      </c>
      <c r="E224" t="inlineStr">
        <is>
          <t>ÅRE</t>
        </is>
      </c>
      <c r="F224" t="inlineStr">
        <is>
          <t>Övriga Aktiebolag</t>
        </is>
      </c>
      <c r="G224" t="n">
        <v>14.3</v>
      </c>
      <c r="H224" t="n">
        <v>1</v>
      </c>
      <c r="I224" t="n">
        <v>0</v>
      </c>
      <c r="J224" t="n">
        <v>1</v>
      </c>
      <c r="K224" t="n">
        <v>0</v>
      </c>
      <c r="L224" t="n">
        <v>0</v>
      </c>
      <c r="M224" t="n">
        <v>0</v>
      </c>
      <c r="N224" t="n">
        <v>0</v>
      </c>
      <c r="O224" t="n">
        <v>1</v>
      </c>
      <c r="P224" t="n">
        <v>0</v>
      </c>
      <c r="Q224" t="n">
        <v>1</v>
      </c>
      <c r="R224" s="2" t="inlineStr">
        <is>
          <t>Talltita</t>
        </is>
      </c>
      <c r="S224">
        <f>HYPERLINK("https://klasma.github.io/Logging_2321/artfynd/A 56603-2022 artfynd.xlsx", "A 56603-2022")</f>
        <v/>
      </c>
      <c r="T224">
        <f>HYPERLINK("https://klasma.github.io/Logging_2321/kartor/A 56603-2022 karta.png", "A 56603-2022")</f>
        <v/>
      </c>
      <c r="V224">
        <f>HYPERLINK("https://klasma.github.io/Logging_2321/klagomål/A 56603-2022 FSC-klagomål.docx", "A 56603-2022")</f>
        <v/>
      </c>
      <c r="W224">
        <f>HYPERLINK("https://klasma.github.io/Logging_2321/klagomålsmail/A 56603-2022 FSC-klagomål mail.docx", "A 56603-2022")</f>
        <v/>
      </c>
      <c r="X224">
        <f>HYPERLINK("https://klasma.github.io/Logging_2321/tillsyn/A 56603-2022 tillsynsbegäran.docx", "A 56603-2022")</f>
        <v/>
      </c>
      <c r="Y224">
        <f>HYPERLINK("https://klasma.github.io/Logging_2321/tillsynsmail/A 56603-2022 tillsynsbegäran mail.docx", "A 56603-2022")</f>
        <v/>
      </c>
      <c r="Z224">
        <f>HYPERLINK("https://klasma.github.io/Logging_2321/fåglar/A 56603-2022 prioriterade fågelarter.docx", "A 56603-2022")</f>
        <v/>
      </c>
    </row>
    <row r="225" ht="15" customHeight="1">
      <c r="A225" t="inlineStr">
        <is>
          <t>A 57396-2022</t>
        </is>
      </c>
      <c r="B225" s="1" t="n">
        <v>44896</v>
      </c>
      <c r="C225" s="1" t="n">
        <v>45837</v>
      </c>
      <c r="D225" t="inlineStr">
        <is>
          <t>JÄMTLANDS LÄN</t>
        </is>
      </c>
      <c r="E225" t="inlineStr">
        <is>
          <t>ÅRE</t>
        </is>
      </c>
      <c r="G225" t="n">
        <v>3.1</v>
      </c>
      <c r="H225" t="n">
        <v>0</v>
      </c>
      <c r="I225" t="n">
        <v>0</v>
      </c>
      <c r="J225" t="n">
        <v>1</v>
      </c>
      <c r="K225" t="n">
        <v>0</v>
      </c>
      <c r="L225" t="n">
        <v>0</v>
      </c>
      <c r="M225" t="n">
        <v>0</v>
      </c>
      <c r="N225" t="n">
        <v>0</v>
      </c>
      <c r="O225" t="n">
        <v>1</v>
      </c>
      <c r="P225" t="n">
        <v>0</v>
      </c>
      <c r="Q225" t="n">
        <v>1</v>
      </c>
      <c r="R225" s="2" t="inlineStr">
        <is>
          <t>Granticka</t>
        </is>
      </c>
      <c r="S225">
        <f>HYPERLINK("https://klasma.github.io/Logging_2321/artfynd/A 57396-2022 artfynd.xlsx", "A 57396-2022")</f>
        <v/>
      </c>
      <c r="T225">
        <f>HYPERLINK("https://klasma.github.io/Logging_2321/kartor/A 57396-2022 karta.png", "A 57396-2022")</f>
        <v/>
      </c>
      <c r="V225">
        <f>HYPERLINK("https://klasma.github.io/Logging_2321/klagomål/A 57396-2022 FSC-klagomål.docx", "A 57396-2022")</f>
        <v/>
      </c>
      <c r="W225">
        <f>HYPERLINK("https://klasma.github.io/Logging_2321/klagomålsmail/A 57396-2022 FSC-klagomål mail.docx", "A 57396-2022")</f>
        <v/>
      </c>
      <c r="X225">
        <f>HYPERLINK("https://klasma.github.io/Logging_2321/tillsyn/A 57396-2022 tillsynsbegäran.docx", "A 57396-2022")</f>
        <v/>
      </c>
      <c r="Y225">
        <f>HYPERLINK("https://klasma.github.io/Logging_2321/tillsynsmail/A 57396-2022 tillsynsbegäran mail.docx", "A 57396-2022")</f>
        <v/>
      </c>
    </row>
    <row r="226" ht="15" customHeight="1">
      <c r="A226" t="inlineStr">
        <is>
          <t>A 60544-2022</t>
        </is>
      </c>
      <c r="B226" s="1" t="n">
        <v>44904</v>
      </c>
      <c r="C226" s="1" t="n">
        <v>45837</v>
      </c>
      <c r="D226" t="inlineStr">
        <is>
          <t>JÄMTLANDS LÄN</t>
        </is>
      </c>
      <c r="E226" t="inlineStr">
        <is>
          <t>ÅRE</t>
        </is>
      </c>
      <c r="G226" t="n">
        <v>1.2</v>
      </c>
      <c r="H226" t="n">
        <v>1</v>
      </c>
      <c r="I226" t="n">
        <v>0</v>
      </c>
      <c r="J226" t="n">
        <v>1</v>
      </c>
      <c r="K226" t="n">
        <v>0</v>
      </c>
      <c r="L226" t="n">
        <v>0</v>
      </c>
      <c r="M226" t="n">
        <v>0</v>
      </c>
      <c r="N226" t="n">
        <v>0</v>
      </c>
      <c r="O226" t="n">
        <v>1</v>
      </c>
      <c r="P226" t="n">
        <v>0</v>
      </c>
      <c r="Q226" t="n">
        <v>1</v>
      </c>
      <c r="R226" s="2" t="inlineStr">
        <is>
          <t>Järpe</t>
        </is>
      </c>
      <c r="S226">
        <f>HYPERLINK("https://klasma.github.io/Logging_2321/artfynd/A 60544-2022 artfynd.xlsx", "A 60544-2022")</f>
        <v/>
      </c>
      <c r="T226">
        <f>HYPERLINK("https://klasma.github.io/Logging_2321/kartor/A 60544-2022 karta.png", "A 60544-2022")</f>
        <v/>
      </c>
      <c r="V226">
        <f>HYPERLINK("https://klasma.github.io/Logging_2321/klagomål/A 60544-2022 FSC-klagomål.docx", "A 60544-2022")</f>
        <v/>
      </c>
      <c r="W226">
        <f>HYPERLINK("https://klasma.github.io/Logging_2321/klagomålsmail/A 60544-2022 FSC-klagomål mail.docx", "A 60544-2022")</f>
        <v/>
      </c>
      <c r="X226">
        <f>HYPERLINK("https://klasma.github.io/Logging_2321/tillsyn/A 60544-2022 tillsynsbegäran.docx", "A 60544-2022")</f>
        <v/>
      </c>
      <c r="Y226">
        <f>HYPERLINK("https://klasma.github.io/Logging_2321/tillsynsmail/A 60544-2022 tillsynsbegäran mail.docx", "A 60544-2022")</f>
        <v/>
      </c>
      <c r="Z226">
        <f>HYPERLINK("https://klasma.github.io/Logging_2321/fåglar/A 60544-2022 prioriterade fågelarter.docx", "A 60544-2022")</f>
        <v/>
      </c>
    </row>
    <row r="227" ht="15" customHeight="1">
      <c r="A227" t="inlineStr">
        <is>
          <t>A 60435-2022</t>
        </is>
      </c>
      <c r="B227" s="1" t="n">
        <v>44911</v>
      </c>
      <c r="C227" s="1" t="n">
        <v>45837</v>
      </c>
      <c r="D227" t="inlineStr">
        <is>
          <t>JÄMTLANDS LÄN</t>
        </is>
      </c>
      <c r="E227" t="inlineStr">
        <is>
          <t>ÅRE</t>
        </is>
      </c>
      <c r="F227" t="inlineStr">
        <is>
          <t>Övriga Aktiebolag</t>
        </is>
      </c>
      <c r="G227" t="n">
        <v>7.9</v>
      </c>
      <c r="H227" t="n">
        <v>0</v>
      </c>
      <c r="I227" t="n">
        <v>1</v>
      </c>
      <c r="J227" t="n">
        <v>0</v>
      </c>
      <c r="K227" t="n">
        <v>0</v>
      </c>
      <c r="L227" t="n">
        <v>0</v>
      </c>
      <c r="M227" t="n">
        <v>0</v>
      </c>
      <c r="N227" t="n">
        <v>0</v>
      </c>
      <c r="O227" t="n">
        <v>0</v>
      </c>
      <c r="P227" t="n">
        <v>0</v>
      </c>
      <c r="Q227" t="n">
        <v>1</v>
      </c>
      <c r="R227" s="2" t="inlineStr">
        <is>
          <t>Kransrams</t>
        </is>
      </c>
      <c r="S227">
        <f>HYPERLINK("https://klasma.github.io/Logging_2321/artfynd/A 60435-2022 artfynd.xlsx", "A 60435-2022")</f>
        <v/>
      </c>
      <c r="T227">
        <f>HYPERLINK("https://klasma.github.io/Logging_2321/kartor/A 60435-2022 karta.png", "A 60435-2022")</f>
        <v/>
      </c>
      <c r="V227">
        <f>HYPERLINK("https://klasma.github.io/Logging_2321/klagomål/A 60435-2022 FSC-klagomål.docx", "A 60435-2022")</f>
        <v/>
      </c>
      <c r="W227">
        <f>HYPERLINK("https://klasma.github.io/Logging_2321/klagomålsmail/A 60435-2022 FSC-klagomål mail.docx", "A 60435-2022")</f>
        <v/>
      </c>
      <c r="X227">
        <f>HYPERLINK("https://klasma.github.io/Logging_2321/tillsyn/A 60435-2022 tillsynsbegäran.docx", "A 60435-2022")</f>
        <v/>
      </c>
      <c r="Y227">
        <f>HYPERLINK("https://klasma.github.io/Logging_2321/tillsynsmail/A 60435-2022 tillsynsbegäran mail.docx", "A 60435-2022")</f>
        <v/>
      </c>
    </row>
    <row r="228" ht="15" customHeight="1">
      <c r="A228" t="inlineStr">
        <is>
          <t>A 5480-2023</t>
        </is>
      </c>
      <c r="B228" s="1" t="n">
        <v>44957</v>
      </c>
      <c r="C228" s="1" t="n">
        <v>45837</v>
      </c>
      <c r="D228" t="inlineStr">
        <is>
          <t>JÄMTLANDS LÄN</t>
        </is>
      </c>
      <c r="E228" t="inlineStr">
        <is>
          <t>ÅRE</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5480-2023 artfynd.xlsx", "A 5480-2023")</f>
        <v/>
      </c>
      <c r="T228">
        <f>HYPERLINK("https://klasma.github.io/Logging_2321/kartor/A 5480-2023 karta.png", "A 5480-2023")</f>
        <v/>
      </c>
      <c r="V228">
        <f>HYPERLINK("https://klasma.github.io/Logging_2321/klagomål/A 5480-2023 FSC-klagomål.docx", "A 5480-2023")</f>
        <v/>
      </c>
      <c r="W228">
        <f>HYPERLINK("https://klasma.github.io/Logging_2321/klagomålsmail/A 5480-2023 FSC-klagomål mail.docx", "A 5480-2023")</f>
        <v/>
      </c>
      <c r="X228">
        <f>HYPERLINK("https://klasma.github.io/Logging_2321/tillsyn/A 5480-2023 tillsynsbegäran.docx", "A 5480-2023")</f>
        <v/>
      </c>
      <c r="Y228">
        <f>HYPERLINK("https://klasma.github.io/Logging_2321/tillsynsmail/A 5480-2023 tillsynsbegäran mail.docx", "A 5480-2023")</f>
        <v/>
      </c>
      <c r="Z228">
        <f>HYPERLINK("https://klasma.github.io/Logging_2321/fåglar/A 5480-2023 prioriterade fågelarter.docx", "A 5480-2023")</f>
        <v/>
      </c>
    </row>
    <row r="229" ht="15" customHeight="1">
      <c r="A229" t="inlineStr">
        <is>
          <t>A 5611-2023</t>
        </is>
      </c>
      <c r="B229" s="1" t="n">
        <v>44958</v>
      </c>
      <c r="C229" s="1" t="n">
        <v>45837</v>
      </c>
      <c r="D229" t="inlineStr">
        <is>
          <t>JÄMTLANDS LÄN</t>
        </is>
      </c>
      <c r="E229" t="inlineStr">
        <is>
          <t>ÅRE</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5611-2023 artfynd.xlsx", "A 5611-2023")</f>
        <v/>
      </c>
      <c r="T229">
        <f>HYPERLINK("https://klasma.github.io/Logging_2321/kartor/A 5611-2023 karta.png", "A 5611-2023")</f>
        <v/>
      </c>
      <c r="V229">
        <f>HYPERLINK("https://klasma.github.io/Logging_2321/klagomål/A 5611-2023 FSC-klagomål.docx", "A 5611-2023")</f>
        <v/>
      </c>
      <c r="W229">
        <f>HYPERLINK("https://klasma.github.io/Logging_2321/klagomålsmail/A 5611-2023 FSC-klagomål mail.docx", "A 5611-2023")</f>
        <v/>
      </c>
      <c r="X229">
        <f>HYPERLINK("https://klasma.github.io/Logging_2321/tillsyn/A 5611-2023 tillsynsbegäran.docx", "A 5611-2023")</f>
        <v/>
      </c>
      <c r="Y229">
        <f>HYPERLINK("https://klasma.github.io/Logging_2321/tillsynsmail/A 5611-2023 tillsynsbegäran mail.docx", "A 5611-2023")</f>
        <v/>
      </c>
      <c r="Z229">
        <f>HYPERLINK("https://klasma.github.io/Logging_2321/fåglar/A 5611-2023 prioriterade fågelarter.docx", "A 5611-2023")</f>
        <v/>
      </c>
    </row>
    <row r="230" ht="15" customHeight="1">
      <c r="A230" t="inlineStr">
        <is>
          <t>A 10632-2023</t>
        </is>
      </c>
      <c r="B230" s="1" t="n">
        <v>44984</v>
      </c>
      <c r="C230" s="1" t="n">
        <v>45837</v>
      </c>
      <c r="D230" t="inlineStr">
        <is>
          <t>JÄMTLANDS LÄN</t>
        </is>
      </c>
      <c r="E230" t="inlineStr">
        <is>
          <t>ÅRE</t>
        </is>
      </c>
      <c r="G230" t="n">
        <v>5.4</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10632-2023 artfynd.xlsx", "A 10632-2023")</f>
        <v/>
      </c>
      <c r="T230">
        <f>HYPERLINK("https://klasma.github.io/Logging_2321/kartor/A 10632-2023 karta.png", "A 10632-2023")</f>
        <v/>
      </c>
      <c r="V230">
        <f>HYPERLINK("https://klasma.github.io/Logging_2321/klagomål/A 10632-2023 FSC-klagomål.docx", "A 10632-2023")</f>
        <v/>
      </c>
      <c r="W230">
        <f>HYPERLINK("https://klasma.github.io/Logging_2321/klagomålsmail/A 10632-2023 FSC-klagomål mail.docx", "A 10632-2023")</f>
        <v/>
      </c>
      <c r="X230">
        <f>HYPERLINK("https://klasma.github.io/Logging_2321/tillsyn/A 10632-2023 tillsynsbegäran.docx", "A 10632-2023")</f>
        <v/>
      </c>
      <c r="Y230">
        <f>HYPERLINK("https://klasma.github.io/Logging_2321/tillsynsmail/A 10632-2023 tillsynsbegäran mail.docx", "A 10632-2023")</f>
        <v/>
      </c>
      <c r="Z230">
        <f>HYPERLINK("https://klasma.github.io/Logging_2321/fåglar/A 10632-2023 prioriterade fågelarter.docx", "A 10632-2023")</f>
        <v/>
      </c>
    </row>
    <row r="231" ht="15" customHeight="1">
      <c r="A231" t="inlineStr">
        <is>
          <t>A 41405-2023</t>
        </is>
      </c>
      <c r="B231" s="1" t="n">
        <v>45174</v>
      </c>
      <c r="C231" s="1" t="n">
        <v>45837</v>
      </c>
      <c r="D231" t="inlineStr">
        <is>
          <t>JÄMTLANDS LÄN</t>
        </is>
      </c>
      <c r="E231" t="inlineStr">
        <is>
          <t>ÅRE</t>
        </is>
      </c>
      <c r="G231" t="n">
        <v>4.1</v>
      </c>
      <c r="H231" t="n">
        <v>0</v>
      </c>
      <c r="I231" t="n">
        <v>1</v>
      </c>
      <c r="J231" t="n">
        <v>0</v>
      </c>
      <c r="K231" t="n">
        <v>0</v>
      </c>
      <c r="L231" t="n">
        <v>0</v>
      </c>
      <c r="M231" t="n">
        <v>0</v>
      </c>
      <c r="N231" t="n">
        <v>0</v>
      </c>
      <c r="O231" t="n">
        <v>0</v>
      </c>
      <c r="P231" t="n">
        <v>0</v>
      </c>
      <c r="Q231" t="n">
        <v>1</v>
      </c>
      <c r="R231" s="2" t="inlineStr">
        <is>
          <t>Ögonpyrola</t>
        </is>
      </c>
      <c r="S231">
        <f>HYPERLINK("https://klasma.github.io/Logging_2321/artfynd/A 41405-2023 artfynd.xlsx", "A 41405-2023")</f>
        <v/>
      </c>
      <c r="T231">
        <f>HYPERLINK("https://klasma.github.io/Logging_2321/kartor/A 41405-2023 karta.png", "A 41405-2023")</f>
        <v/>
      </c>
      <c r="V231">
        <f>HYPERLINK("https://klasma.github.io/Logging_2321/klagomål/A 41405-2023 FSC-klagomål.docx", "A 41405-2023")</f>
        <v/>
      </c>
      <c r="W231">
        <f>HYPERLINK("https://klasma.github.io/Logging_2321/klagomålsmail/A 41405-2023 FSC-klagomål mail.docx", "A 41405-2023")</f>
        <v/>
      </c>
      <c r="X231">
        <f>HYPERLINK("https://klasma.github.io/Logging_2321/tillsyn/A 41405-2023 tillsynsbegäran.docx", "A 41405-2023")</f>
        <v/>
      </c>
      <c r="Y231">
        <f>HYPERLINK("https://klasma.github.io/Logging_2321/tillsynsmail/A 41405-2023 tillsynsbegäran mail.docx", "A 41405-2023")</f>
        <v/>
      </c>
    </row>
    <row r="232" ht="15" customHeight="1">
      <c r="A232" t="inlineStr">
        <is>
          <t>A 55105-2023</t>
        </is>
      </c>
      <c r="B232" s="1" t="n">
        <v>45237</v>
      </c>
      <c r="C232" s="1" t="n">
        <v>45837</v>
      </c>
      <c r="D232" t="inlineStr">
        <is>
          <t>JÄMTLANDS LÄN</t>
        </is>
      </c>
      <c r="E232" t="inlineStr">
        <is>
          <t>ÅRE</t>
        </is>
      </c>
      <c r="G232" t="n">
        <v>15.8</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55105-2023 artfynd.xlsx", "A 55105-2023")</f>
        <v/>
      </c>
      <c r="T232">
        <f>HYPERLINK("https://klasma.github.io/Logging_2321/kartor/A 55105-2023 karta.png", "A 55105-2023")</f>
        <v/>
      </c>
      <c r="V232">
        <f>HYPERLINK("https://klasma.github.io/Logging_2321/klagomål/A 55105-2023 FSC-klagomål.docx", "A 55105-2023")</f>
        <v/>
      </c>
      <c r="W232">
        <f>HYPERLINK("https://klasma.github.io/Logging_2321/klagomålsmail/A 55105-2023 FSC-klagomål mail.docx", "A 55105-2023")</f>
        <v/>
      </c>
      <c r="X232">
        <f>HYPERLINK("https://klasma.github.io/Logging_2321/tillsyn/A 55105-2023 tillsynsbegäran.docx", "A 55105-2023")</f>
        <v/>
      </c>
      <c r="Y232">
        <f>HYPERLINK("https://klasma.github.io/Logging_2321/tillsynsmail/A 55105-2023 tillsynsbegäran mail.docx", "A 55105-2023")</f>
        <v/>
      </c>
      <c r="Z232">
        <f>HYPERLINK("https://klasma.github.io/Logging_2321/fåglar/A 55105-2023 prioriterade fågelarter.docx", "A 55105-2023")</f>
        <v/>
      </c>
    </row>
    <row r="233" ht="15" customHeight="1">
      <c r="A233" t="inlineStr">
        <is>
          <t>A 59402-2023</t>
        </is>
      </c>
      <c r="B233" s="1" t="n">
        <v>45253</v>
      </c>
      <c r="C233" s="1" t="n">
        <v>45837</v>
      </c>
      <c r="D233" t="inlineStr">
        <is>
          <t>JÄMTLANDS LÄN</t>
        </is>
      </c>
      <c r="E233" t="inlineStr">
        <is>
          <t>ÅRE</t>
        </is>
      </c>
      <c r="G233" t="n">
        <v>2.3</v>
      </c>
      <c r="H233" t="n">
        <v>0</v>
      </c>
      <c r="I233" t="n">
        <v>0</v>
      </c>
      <c r="J233" t="n">
        <v>1</v>
      </c>
      <c r="K233" t="n">
        <v>0</v>
      </c>
      <c r="L233" t="n">
        <v>0</v>
      </c>
      <c r="M233" t="n">
        <v>0</v>
      </c>
      <c r="N233" t="n">
        <v>0</v>
      </c>
      <c r="O233" t="n">
        <v>1</v>
      </c>
      <c r="P233" t="n">
        <v>0</v>
      </c>
      <c r="Q233" t="n">
        <v>1</v>
      </c>
      <c r="R233" s="2" t="inlineStr">
        <is>
          <t>Garnlav</t>
        </is>
      </c>
      <c r="S233">
        <f>HYPERLINK("https://klasma.github.io/Logging_2321/artfynd/A 59402-2023 artfynd.xlsx", "A 59402-2023")</f>
        <v/>
      </c>
      <c r="T233">
        <f>HYPERLINK("https://klasma.github.io/Logging_2321/kartor/A 59402-2023 karta.png", "A 59402-2023")</f>
        <v/>
      </c>
      <c r="V233">
        <f>HYPERLINK("https://klasma.github.io/Logging_2321/klagomål/A 59402-2023 FSC-klagomål.docx", "A 59402-2023")</f>
        <v/>
      </c>
      <c r="W233">
        <f>HYPERLINK("https://klasma.github.io/Logging_2321/klagomålsmail/A 59402-2023 FSC-klagomål mail.docx", "A 59402-2023")</f>
        <v/>
      </c>
      <c r="X233">
        <f>HYPERLINK("https://klasma.github.io/Logging_2321/tillsyn/A 59402-2023 tillsynsbegäran.docx", "A 59402-2023")</f>
        <v/>
      </c>
      <c r="Y233">
        <f>HYPERLINK("https://klasma.github.io/Logging_2321/tillsynsmail/A 59402-2023 tillsynsbegäran mail.docx", "A 59402-2023")</f>
        <v/>
      </c>
    </row>
    <row r="234" ht="15" customHeight="1">
      <c r="A234" t="inlineStr">
        <is>
          <t>A 61471-2023</t>
        </is>
      </c>
      <c r="B234" s="1" t="n">
        <v>45264</v>
      </c>
      <c r="C234" s="1" t="n">
        <v>45837</v>
      </c>
      <c r="D234" t="inlineStr">
        <is>
          <t>JÄMTLANDS LÄN</t>
        </is>
      </c>
      <c r="E234" t="inlineStr">
        <is>
          <t>ÅRE</t>
        </is>
      </c>
      <c r="G234" t="n">
        <v>1</v>
      </c>
      <c r="H234" t="n">
        <v>0</v>
      </c>
      <c r="I234" t="n">
        <v>0</v>
      </c>
      <c r="J234" t="n">
        <v>1</v>
      </c>
      <c r="K234" t="n">
        <v>0</v>
      </c>
      <c r="L234" t="n">
        <v>0</v>
      </c>
      <c r="M234" t="n">
        <v>0</v>
      </c>
      <c r="N234" t="n">
        <v>0</v>
      </c>
      <c r="O234" t="n">
        <v>1</v>
      </c>
      <c r="P234" t="n">
        <v>0</v>
      </c>
      <c r="Q234" t="n">
        <v>1</v>
      </c>
      <c r="R234" s="2" t="inlineStr">
        <is>
          <t>Skrovellav</t>
        </is>
      </c>
      <c r="S234">
        <f>HYPERLINK("https://klasma.github.io/Logging_2321/artfynd/A 61471-2023 artfynd.xlsx", "A 61471-2023")</f>
        <v/>
      </c>
      <c r="T234">
        <f>HYPERLINK("https://klasma.github.io/Logging_2321/kartor/A 61471-2023 karta.png", "A 61471-2023")</f>
        <v/>
      </c>
      <c r="V234">
        <f>HYPERLINK("https://klasma.github.io/Logging_2321/klagomål/A 61471-2023 FSC-klagomål.docx", "A 61471-2023")</f>
        <v/>
      </c>
      <c r="W234">
        <f>HYPERLINK("https://klasma.github.io/Logging_2321/klagomålsmail/A 61471-2023 FSC-klagomål mail.docx", "A 61471-2023")</f>
        <v/>
      </c>
      <c r="X234">
        <f>HYPERLINK("https://klasma.github.io/Logging_2321/tillsyn/A 61471-2023 tillsynsbegäran.docx", "A 61471-2023")</f>
        <v/>
      </c>
      <c r="Y234">
        <f>HYPERLINK("https://klasma.github.io/Logging_2321/tillsynsmail/A 61471-2023 tillsynsbegäran mail.docx", "A 61471-2023")</f>
        <v/>
      </c>
    </row>
    <row r="235" ht="15" customHeight="1">
      <c r="A235" t="inlineStr">
        <is>
          <t>A 61828-2023</t>
        </is>
      </c>
      <c r="B235" s="1" t="n">
        <v>45264</v>
      </c>
      <c r="C235" s="1" t="n">
        <v>45837</v>
      </c>
      <c r="D235" t="inlineStr">
        <is>
          <t>JÄMTLANDS LÄN</t>
        </is>
      </c>
      <c r="E235" t="inlineStr">
        <is>
          <t>ÅRE</t>
        </is>
      </c>
      <c r="F235" t="inlineStr">
        <is>
          <t>Övriga Aktiebolag</t>
        </is>
      </c>
      <c r="G235" t="n">
        <v>6.2</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61828-2023 artfynd.xlsx", "A 61828-2023")</f>
        <v/>
      </c>
      <c r="T235">
        <f>HYPERLINK("https://klasma.github.io/Logging_2321/kartor/A 61828-2023 karta.png", "A 61828-2023")</f>
        <v/>
      </c>
      <c r="V235">
        <f>HYPERLINK("https://klasma.github.io/Logging_2321/klagomål/A 61828-2023 FSC-klagomål.docx", "A 61828-2023")</f>
        <v/>
      </c>
      <c r="W235">
        <f>HYPERLINK("https://klasma.github.io/Logging_2321/klagomålsmail/A 61828-2023 FSC-klagomål mail.docx", "A 61828-2023")</f>
        <v/>
      </c>
      <c r="X235">
        <f>HYPERLINK("https://klasma.github.io/Logging_2321/tillsyn/A 61828-2023 tillsynsbegäran.docx", "A 61828-2023")</f>
        <v/>
      </c>
      <c r="Y235">
        <f>HYPERLINK("https://klasma.github.io/Logging_2321/tillsynsmail/A 61828-2023 tillsynsbegäran mail.docx", "A 61828-2023")</f>
        <v/>
      </c>
      <c r="Z235">
        <f>HYPERLINK("https://klasma.github.io/Logging_2321/fåglar/A 61828-2023 prioriterade fågelarter.docx", "A 61828-2023")</f>
        <v/>
      </c>
    </row>
    <row r="236" ht="15" customHeight="1">
      <c r="A236" t="inlineStr">
        <is>
          <t>A 64026-2023</t>
        </is>
      </c>
      <c r="B236" s="1" t="n">
        <v>45278</v>
      </c>
      <c r="C236" s="1" t="n">
        <v>45837</v>
      </c>
      <c r="D236" t="inlineStr">
        <is>
          <t>JÄMTLANDS LÄN</t>
        </is>
      </c>
      <c r="E236" t="inlineStr">
        <is>
          <t>ÅRE</t>
        </is>
      </c>
      <c r="F236" t="inlineStr">
        <is>
          <t>Övriga Aktiebolag</t>
        </is>
      </c>
      <c r="G236" t="n">
        <v>9.800000000000001</v>
      </c>
      <c r="H236" t="n">
        <v>0</v>
      </c>
      <c r="I236" t="n">
        <v>1</v>
      </c>
      <c r="J236" t="n">
        <v>0</v>
      </c>
      <c r="K236" t="n">
        <v>0</v>
      </c>
      <c r="L236" t="n">
        <v>0</v>
      </c>
      <c r="M236" t="n">
        <v>0</v>
      </c>
      <c r="N236" t="n">
        <v>0</v>
      </c>
      <c r="O236" t="n">
        <v>0</v>
      </c>
      <c r="P236" t="n">
        <v>0</v>
      </c>
      <c r="Q236" t="n">
        <v>1</v>
      </c>
      <c r="R236" s="2" t="inlineStr">
        <is>
          <t>Svavelriska</t>
        </is>
      </c>
      <c r="S236">
        <f>HYPERLINK("https://klasma.github.io/Logging_2321/artfynd/A 64026-2023 artfynd.xlsx", "A 64026-2023")</f>
        <v/>
      </c>
      <c r="T236">
        <f>HYPERLINK("https://klasma.github.io/Logging_2321/kartor/A 64026-2023 karta.png", "A 64026-2023")</f>
        <v/>
      </c>
      <c r="V236">
        <f>HYPERLINK("https://klasma.github.io/Logging_2321/klagomål/A 64026-2023 FSC-klagomål.docx", "A 64026-2023")</f>
        <v/>
      </c>
      <c r="W236">
        <f>HYPERLINK("https://klasma.github.io/Logging_2321/klagomålsmail/A 64026-2023 FSC-klagomål mail.docx", "A 64026-2023")</f>
        <v/>
      </c>
      <c r="X236">
        <f>HYPERLINK("https://klasma.github.io/Logging_2321/tillsyn/A 64026-2023 tillsynsbegäran.docx", "A 64026-2023")</f>
        <v/>
      </c>
      <c r="Y236">
        <f>HYPERLINK("https://klasma.github.io/Logging_2321/tillsynsmail/A 64026-2023 tillsynsbegäran mail.docx", "A 64026-2023")</f>
        <v/>
      </c>
    </row>
    <row r="237" ht="15" customHeight="1">
      <c r="A237" t="inlineStr">
        <is>
          <t>A 8131-2024</t>
        </is>
      </c>
      <c r="B237" s="1" t="n">
        <v>45351</v>
      </c>
      <c r="C237" s="1" t="n">
        <v>45837</v>
      </c>
      <c r="D237" t="inlineStr">
        <is>
          <t>JÄMTLANDS LÄN</t>
        </is>
      </c>
      <c r="E237" t="inlineStr">
        <is>
          <t>ÅRE</t>
        </is>
      </c>
      <c r="F237" t="inlineStr">
        <is>
          <t>Övriga Aktiebolag</t>
        </is>
      </c>
      <c r="G237" t="n">
        <v>3.1</v>
      </c>
      <c r="H237" t="n">
        <v>0</v>
      </c>
      <c r="I237" t="n">
        <v>0</v>
      </c>
      <c r="J237" t="n">
        <v>0</v>
      </c>
      <c r="K237" t="n">
        <v>1</v>
      </c>
      <c r="L237" t="n">
        <v>0</v>
      </c>
      <c r="M237" t="n">
        <v>0</v>
      </c>
      <c r="N237" t="n">
        <v>0</v>
      </c>
      <c r="O237" t="n">
        <v>1</v>
      </c>
      <c r="P237" t="n">
        <v>1</v>
      </c>
      <c r="Q237" t="n">
        <v>1</v>
      </c>
      <c r="R237" s="2" t="inlineStr">
        <is>
          <t>Gräddporing</t>
        </is>
      </c>
      <c r="S237">
        <f>HYPERLINK("https://klasma.github.io/Logging_2321/artfynd/A 8131-2024 artfynd.xlsx", "A 8131-2024")</f>
        <v/>
      </c>
      <c r="T237">
        <f>HYPERLINK("https://klasma.github.io/Logging_2321/kartor/A 8131-2024 karta.png", "A 8131-2024")</f>
        <v/>
      </c>
      <c r="V237">
        <f>HYPERLINK("https://klasma.github.io/Logging_2321/klagomål/A 8131-2024 FSC-klagomål.docx", "A 8131-2024")</f>
        <v/>
      </c>
      <c r="W237">
        <f>HYPERLINK("https://klasma.github.io/Logging_2321/klagomålsmail/A 8131-2024 FSC-klagomål mail.docx", "A 8131-2024")</f>
        <v/>
      </c>
      <c r="X237">
        <f>HYPERLINK("https://klasma.github.io/Logging_2321/tillsyn/A 8131-2024 tillsynsbegäran.docx", "A 8131-2024")</f>
        <v/>
      </c>
      <c r="Y237">
        <f>HYPERLINK("https://klasma.github.io/Logging_2321/tillsynsmail/A 8131-2024 tillsynsbegäran mail.docx", "A 8131-2024")</f>
        <v/>
      </c>
    </row>
    <row r="238" ht="15" customHeight="1">
      <c r="A238" t="inlineStr">
        <is>
          <t>A 17636-2024</t>
        </is>
      </c>
      <c r="B238" s="1" t="n">
        <v>45418</v>
      </c>
      <c r="C238" s="1" t="n">
        <v>45837</v>
      </c>
      <c r="D238" t="inlineStr">
        <is>
          <t>JÄMTLANDS LÄN</t>
        </is>
      </c>
      <c r="E238" t="inlineStr">
        <is>
          <t>ÅRE</t>
        </is>
      </c>
      <c r="F238" t="inlineStr">
        <is>
          <t>Övriga Aktiebolag</t>
        </is>
      </c>
      <c r="G238" t="n">
        <v>12.4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17636-2024 artfynd.xlsx", "A 17636-2024")</f>
        <v/>
      </c>
      <c r="T238">
        <f>HYPERLINK("https://klasma.github.io/Logging_2321/kartor/A 17636-2024 karta.png", "A 17636-2024")</f>
        <v/>
      </c>
      <c r="V238">
        <f>HYPERLINK("https://klasma.github.io/Logging_2321/klagomål/A 17636-2024 FSC-klagomål.docx", "A 17636-2024")</f>
        <v/>
      </c>
      <c r="W238">
        <f>HYPERLINK("https://klasma.github.io/Logging_2321/klagomålsmail/A 17636-2024 FSC-klagomål mail.docx", "A 17636-2024")</f>
        <v/>
      </c>
      <c r="X238">
        <f>HYPERLINK("https://klasma.github.io/Logging_2321/tillsyn/A 17636-2024 tillsynsbegäran.docx", "A 17636-2024")</f>
        <v/>
      </c>
      <c r="Y238">
        <f>HYPERLINK("https://klasma.github.io/Logging_2321/tillsynsmail/A 17636-2024 tillsynsbegäran mail.docx", "A 17636-2024")</f>
        <v/>
      </c>
      <c r="Z238">
        <f>HYPERLINK("https://klasma.github.io/Logging_2321/fåglar/A 17636-2024 prioriterade fågelarter.docx", "A 17636-2024")</f>
        <v/>
      </c>
    </row>
    <row r="239" ht="15" customHeight="1">
      <c r="A239" t="inlineStr">
        <is>
          <t>A 23426-2024</t>
        </is>
      </c>
      <c r="B239" s="1" t="n">
        <v>45453</v>
      </c>
      <c r="C239" s="1" t="n">
        <v>45837</v>
      </c>
      <c r="D239" t="inlineStr">
        <is>
          <t>JÄMTLANDS LÄN</t>
        </is>
      </c>
      <c r="E239" t="inlineStr">
        <is>
          <t>ÅRE</t>
        </is>
      </c>
      <c r="F239" t="inlineStr">
        <is>
          <t>Övriga Aktiebolag</t>
        </is>
      </c>
      <c r="G239" t="n">
        <v>2.3</v>
      </c>
      <c r="H239" t="n">
        <v>0</v>
      </c>
      <c r="I239" t="n">
        <v>0</v>
      </c>
      <c r="J239" t="n">
        <v>1</v>
      </c>
      <c r="K239" t="n">
        <v>0</v>
      </c>
      <c r="L239" t="n">
        <v>0</v>
      </c>
      <c r="M239" t="n">
        <v>0</v>
      </c>
      <c r="N239" t="n">
        <v>0</v>
      </c>
      <c r="O239" t="n">
        <v>1</v>
      </c>
      <c r="P239" t="n">
        <v>0</v>
      </c>
      <c r="Q239" t="n">
        <v>1</v>
      </c>
      <c r="R239" s="2" t="inlineStr">
        <is>
          <t>Doftskinn</t>
        </is>
      </c>
      <c r="S239">
        <f>HYPERLINK("https://klasma.github.io/Logging_2321/artfynd/A 23426-2024 artfynd.xlsx", "A 23426-2024")</f>
        <v/>
      </c>
      <c r="T239">
        <f>HYPERLINK("https://klasma.github.io/Logging_2321/kartor/A 23426-2024 karta.png", "A 23426-2024")</f>
        <v/>
      </c>
      <c r="V239">
        <f>HYPERLINK("https://klasma.github.io/Logging_2321/klagomål/A 23426-2024 FSC-klagomål.docx", "A 23426-2024")</f>
        <v/>
      </c>
      <c r="W239">
        <f>HYPERLINK("https://klasma.github.io/Logging_2321/klagomålsmail/A 23426-2024 FSC-klagomål mail.docx", "A 23426-2024")</f>
        <v/>
      </c>
      <c r="X239">
        <f>HYPERLINK("https://klasma.github.io/Logging_2321/tillsyn/A 23426-2024 tillsynsbegäran.docx", "A 23426-2024")</f>
        <v/>
      </c>
      <c r="Y239">
        <f>HYPERLINK("https://klasma.github.io/Logging_2321/tillsynsmail/A 23426-2024 tillsynsbegäran mail.docx", "A 23426-2024")</f>
        <v/>
      </c>
    </row>
    <row r="240" ht="15" customHeight="1">
      <c r="A240" t="inlineStr">
        <is>
          <t>A 30032-2024</t>
        </is>
      </c>
      <c r="B240" s="1" t="n">
        <v>45485</v>
      </c>
      <c r="C240" s="1" t="n">
        <v>45837</v>
      </c>
      <c r="D240" t="inlineStr">
        <is>
          <t>JÄMTLANDS LÄN</t>
        </is>
      </c>
      <c r="E240" t="inlineStr">
        <is>
          <t>ÅRE</t>
        </is>
      </c>
      <c r="G240" t="n">
        <v>20.5</v>
      </c>
      <c r="H240" t="n">
        <v>1</v>
      </c>
      <c r="I240" t="n">
        <v>1</v>
      </c>
      <c r="J240" t="n">
        <v>0</v>
      </c>
      <c r="K240" t="n">
        <v>0</v>
      </c>
      <c r="L240" t="n">
        <v>0</v>
      </c>
      <c r="M240" t="n">
        <v>0</v>
      </c>
      <c r="N240" t="n">
        <v>0</v>
      </c>
      <c r="O240" t="n">
        <v>0</v>
      </c>
      <c r="P240" t="n">
        <v>0</v>
      </c>
      <c r="Q240" t="n">
        <v>1</v>
      </c>
      <c r="R240" s="2" t="inlineStr">
        <is>
          <t>Spindelblomster</t>
        </is>
      </c>
      <c r="S240">
        <f>HYPERLINK("https://klasma.github.io/Logging_2321/artfynd/A 30032-2024 artfynd.xlsx", "A 30032-2024")</f>
        <v/>
      </c>
      <c r="T240">
        <f>HYPERLINK("https://klasma.github.io/Logging_2321/kartor/A 30032-2024 karta.png", "A 30032-2024")</f>
        <v/>
      </c>
      <c r="V240">
        <f>HYPERLINK("https://klasma.github.io/Logging_2321/klagomål/A 30032-2024 FSC-klagomål.docx", "A 30032-2024")</f>
        <v/>
      </c>
      <c r="W240">
        <f>HYPERLINK("https://klasma.github.io/Logging_2321/klagomålsmail/A 30032-2024 FSC-klagomål mail.docx", "A 30032-2024")</f>
        <v/>
      </c>
      <c r="X240">
        <f>HYPERLINK("https://klasma.github.io/Logging_2321/tillsyn/A 30032-2024 tillsynsbegäran.docx", "A 30032-2024")</f>
        <v/>
      </c>
      <c r="Y240">
        <f>HYPERLINK("https://klasma.github.io/Logging_2321/tillsynsmail/A 30032-2024 tillsynsbegäran mail.docx", "A 30032-2024")</f>
        <v/>
      </c>
    </row>
    <row r="241" ht="15" customHeight="1">
      <c r="A241" t="inlineStr">
        <is>
          <t>A 32865-2024</t>
        </is>
      </c>
      <c r="B241" s="1" t="n">
        <v>45516</v>
      </c>
      <c r="C241" s="1" t="n">
        <v>45837</v>
      </c>
      <c r="D241" t="inlineStr">
        <is>
          <t>JÄMTLANDS LÄN</t>
        </is>
      </c>
      <c r="E241" t="inlineStr">
        <is>
          <t>ÅRE</t>
        </is>
      </c>
      <c r="G241" t="n">
        <v>29.5</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32865-2024 artfynd.xlsx", "A 32865-2024")</f>
        <v/>
      </c>
      <c r="T241">
        <f>HYPERLINK("https://klasma.github.io/Logging_2321/kartor/A 32865-2024 karta.png", "A 32865-2024")</f>
        <v/>
      </c>
      <c r="V241">
        <f>HYPERLINK("https://klasma.github.io/Logging_2321/klagomål/A 32865-2024 FSC-klagomål.docx", "A 32865-2024")</f>
        <v/>
      </c>
      <c r="W241">
        <f>HYPERLINK("https://klasma.github.io/Logging_2321/klagomålsmail/A 32865-2024 FSC-klagomål mail.docx", "A 32865-2024")</f>
        <v/>
      </c>
      <c r="X241">
        <f>HYPERLINK("https://klasma.github.io/Logging_2321/tillsyn/A 32865-2024 tillsynsbegäran.docx", "A 32865-2024")</f>
        <v/>
      </c>
      <c r="Y241">
        <f>HYPERLINK("https://klasma.github.io/Logging_2321/tillsynsmail/A 32865-2024 tillsynsbegäran mail.docx", "A 32865-2024")</f>
        <v/>
      </c>
      <c r="Z241">
        <f>HYPERLINK("https://klasma.github.io/Logging_2321/fåglar/A 32865-2024 prioriterade fågelarter.docx", "A 32865-2024")</f>
        <v/>
      </c>
    </row>
    <row r="242" ht="15" customHeight="1">
      <c r="A242" t="inlineStr">
        <is>
          <t>A 42166-2024</t>
        </is>
      </c>
      <c r="B242" s="1" t="n">
        <v>45562</v>
      </c>
      <c r="C242" s="1" t="n">
        <v>45837</v>
      </c>
      <c r="D242" t="inlineStr">
        <is>
          <t>JÄMTLANDS LÄN</t>
        </is>
      </c>
      <c r="E242" t="inlineStr">
        <is>
          <t>ÅRE</t>
        </is>
      </c>
      <c r="G242" t="n">
        <v>1.3</v>
      </c>
      <c r="H242" t="n">
        <v>1</v>
      </c>
      <c r="I242" t="n">
        <v>0</v>
      </c>
      <c r="J242" t="n">
        <v>0</v>
      </c>
      <c r="K242" t="n">
        <v>0</v>
      </c>
      <c r="L242" t="n">
        <v>0</v>
      </c>
      <c r="M242" t="n">
        <v>0</v>
      </c>
      <c r="N242" t="n">
        <v>0</v>
      </c>
      <c r="O242" t="n">
        <v>0</v>
      </c>
      <c r="P242" t="n">
        <v>0</v>
      </c>
      <c r="Q242" t="n">
        <v>1</v>
      </c>
      <c r="R242" s="2" t="inlineStr">
        <is>
          <t>Fläcknycklar</t>
        </is>
      </c>
      <c r="S242">
        <f>HYPERLINK("https://klasma.github.io/Logging_2321/artfynd/A 42166-2024 artfynd.xlsx", "A 42166-2024")</f>
        <v/>
      </c>
      <c r="T242">
        <f>HYPERLINK("https://klasma.github.io/Logging_2321/kartor/A 42166-2024 karta.png", "A 42166-2024")</f>
        <v/>
      </c>
      <c r="V242">
        <f>HYPERLINK("https://klasma.github.io/Logging_2321/klagomål/A 42166-2024 FSC-klagomål.docx", "A 42166-2024")</f>
        <v/>
      </c>
      <c r="W242">
        <f>HYPERLINK("https://klasma.github.io/Logging_2321/klagomålsmail/A 42166-2024 FSC-klagomål mail.docx", "A 42166-2024")</f>
        <v/>
      </c>
      <c r="X242">
        <f>HYPERLINK("https://klasma.github.io/Logging_2321/tillsyn/A 42166-2024 tillsynsbegäran.docx", "A 42166-2024")</f>
        <v/>
      </c>
      <c r="Y242">
        <f>HYPERLINK("https://klasma.github.io/Logging_2321/tillsynsmail/A 42166-2024 tillsynsbegäran mail.docx", "A 42166-2024")</f>
        <v/>
      </c>
    </row>
    <row r="243" ht="15" customHeight="1">
      <c r="A243" t="inlineStr">
        <is>
          <t>A 45144-2024</t>
        </is>
      </c>
      <c r="B243" s="1" t="n">
        <v>45575</v>
      </c>
      <c r="C243" s="1" t="n">
        <v>45837</v>
      </c>
      <c r="D243" t="inlineStr">
        <is>
          <t>JÄMTLANDS LÄN</t>
        </is>
      </c>
      <c r="E243" t="inlineStr">
        <is>
          <t>ÅRE</t>
        </is>
      </c>
      <c r="F243" t="inlineStr">
        <is>
          <t>Övriga Aktiebolag</t>
        </is>
      </c>
      <c r="G243" t="n">
        <v>14.7</v>
      </c>
      <c r="H243" t="n">
        <v>0</v>
      </c>
      <c r="I243" t="n">
        <v>0</v>
      </c>
      <c r="J243" t="n">
        <v>1</v>
      </c>
      <c r="K243" t="n">
        <v>0</v>
      </c>
      <c r="L243" t="n">
        <v>0</v>
      </c>
      <c r="M243" t="n">
        <v>0</v>
      </c>
      <c r="N243" t="n">
        <v>0</v>
      </c>
      <c r="O243" t="n">
        <v>1</v>
      </c>
      <c r="P243" t="n">
        <v>0</v>
      </c>
      <c r="Q243" t="n">
        <v>1</v>
      </c>
      <c r="R243" s="2" t="inlineStr">
        <is>
          <t>Garnlav</t>
        </is>
      </c>
      <c r="S243">
        <f>HYPERLINK("https://klasma.github.io/Logging_2321/artfynd/A 45144-2024 artfynd.xlsx", "A 45144-2024")</f>
        <v/>
      </c>
      <c r="T243">
        <f>HYPERLINK("https://klasma.github.io/Logging_2321/kartor/A 45144-2024 karta.png", "A 45144-2024")</f>
        <v/>
      </c>
      <c r="V243">
        <f>HYPERLINK("https://klasma.github.io/Logging_2321/klagomål/A 45144-2024 FSC-klagomål.docx", "A 45144-2024")</f>
        <v/>
      </c>
      <c r="W243">
        <f>HYPERLINK("https://klasma.github.io/Logging_2321/klagomålsmail/A 45144-2024 FSC-klagomål mail.docx", "A 45144-2024")</f>
        <v/>
      </c>
      <c r="X243">
        <f>HYPERLINK("https://klasma.github.io/Logging_2321/tillsyn/A 45144-2024 tillsynsbegäran.docx", "A 45144-2024")</f>
        <v/>
      </c>
      <c r="Y243">
        <f>HYPERLINK("https://klasma.github.io/Logging_2321/tillsynsmail/A 45144-2024 tillsynsbegäran mail.docx", "A 45144-2024")</f>
        <v/>
      </c>
    </row>
    <row r="244" ht="15" customHeight="1">
      <c r="A244" t="inlineStr">
        <is>
          <t>A 48187-2024</t>
        </is>
      </c>
      <c r="B244" s="1" t="n">
        <v>45590</v>
      </c>
      <c r="C244" s="1" t="n">
        <v>45837</v>
      </c>
      <c r="D244" t="inlineStr">
        <is>
          <t>JÄMTLANDS LÄN</t>
        </is>
      </c>
      <c r="E244" t="inlineStr">
        <is>
          <t>ÅRE</t>
        </is>
      </c>
      <c r="G244" t="n">
        <v>14.7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48187-2024 artfynd.xlsx", "A 48187-2024")</f>
        <v/>
      </c>
      <c r="T244">
        <f>HYPERLINK("https://klasma.github.io/Logging_2321/kartor/A 48187-2024 karta.png", "A 48187-2024")</f>
        <v/>
      </c>
      <c r="V244">
        <f>HYPERLINK("https://klasma.github.io/Logging_2321/klagomål/A 48187-2024 FSC-klagomål.docx", "A 48187-2024")</f>
        <v/>
      </c>
      <c r="W244">
        <f>HYPERLINK("https://klasma.github.io/Logging_2321/klagomålsmail/A 48187-2024 FSC-klagomål mail.docx", "A 48187-2024")</f>
        <v/>
      </c>
      <c r="X244">
        <f>HYPERLINK("https://klasma.github.io/Logging_2321/tillsyn/A 48187-2024 tillsynsbegäran.docx", "A 48187-2024")</f>
        <v/>
      </c>
      <c r="Y244">
        <f>HYPERLINK("https://klasma.github.io/Logging_2321/tillsynsmail/A 48187-2024 tillsynsbegäran mail.docx", "A 48187-2024")</f>
        <v/>
      </c>
      <c r="Z244">
        <f>HYPERLINK("https://klasma.github.io/Logging_2321/fåglar/A 48187-2024 prioriterade fågelarter.docx", "A 48187-2024")</f>
        <v/>
      </c>
    </row>
    <row r="245" ht="15" customHeight="1">
      <c r="A245" t="inlineStr">
        <is>
          <t>A 50321-2024</t>
        </is>
      </c>
      <c r="B245" s="1" t="n">
        <v>45600</v>
      </c>
      <c r="C245" s="1" t="n">
        <v>45837</v>
      </c>
      <c r="D245" t="inlineStr">
        <is>
          <t>JÄMTLANDS LÄN</t>
        </is>
      </c>
      <c r="E245" t="inlineStr">
        <is>
          <t>ÅRE</t>
        </is>
      </c>
      <c r="F245" t="inlineStr">
        <is>
          <t>Övriga Aktiebolag</t>
        </is>
      </c>
      <c r="G245" t="n">
        <v>2.6</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50321-2024 artfynd.xlsx", "A 50321-2024")</f>
        <v/>
      </c>
      <c r="T245">
        <f>HYPERLINK("https://klasma.github.io/Logging_2321/kartor/A 50321-2024 karta.png", "A 50321-2024")</f>
        <v/>
      </c>
      <c r="V245">
        <f>HYPERLINK("https://klasma.github.io/Logging_2321/klagomål/A 50321-2024 FSC-klagomål.docx", "A 50321-2024")</f>
        <v/>
      </c>
      <c r="W245">
        <f>HYPERLINK("https://klasma.github.io/Logging_2321/klagomålsmail/A 50321-2024 FSC-klagomål mail.docx", "A 50321-2024")</f>
        <v/>
      </c>
      <c r="X245">
        <f>HYPERLINK("https://klasma.github.io/Logging_2321/tillsyn/A 50321-2024 tillsynsbegäran.docx", "A 50321-2024")</f>
        <v/>
      </c>
      <c r="Y245">
        <f>HYPERLINK("https://klasma.github.io/Logging_2321/tillsynsmail/A 50321-2024 tillsynsbegäran mail.docx", "A 50321-2024")</f>
        <v/>
      </c>
      <c r="Z245">
        <f>HYPERLINK("https://klasma.github.io/Logging_2321/fåglar/A 50321-2024 prioriterade fågelarter.docx", "A 50321-2024")</f>
        <v/>
      </c>
    </row>
    <row r="246" ht="15" customHeight="1">
      <c r="A246" t="inlineStr">
        <is>
          <t>A 52746-2024</t>
        </is>
      </c>
      <c r="B246" s="1" t="n">
        <v>45610</v>
      </c>
      <c r="C246" s="1" t="n">
        <v>45837</v>
      </c>
      <c r="D246" t="inlineStr">
        <is>
          <t>JÄMTLANDS LÄN</t>
        </is>
      </c>
      <c r="E246" t="inlineStr">
        <is>
          <t>ÅRE</t>
        </is>
      </c>
      <c r="G246" t="n">
        <v>1.4</v>
      </c>
      <c r="H246" t="n">
        <v>1</v>
      </c>
      <c r="I246" t="n">
        <v>0</v>
      </c>
      <c r="J246" t="n">
        <v>0</v>
      </c>
      <c r="K246" t="n">
        <v>0</v>
      </c>
      <c r="L246" t="n">
        <v>0</v>
      </c>
      <c r="M246" t="n">
        <v>0</v>
      </c>
      <c r="N246" t="n">
        <v>0</v>
      </c>
      <c r="O246" t="n">
        <v>0</v>
      </c>
      <c r="P246" t="n">
        <v>0</v>
      </c>
      <c r="Q246" t="n">
        <v>1</v>
      </c>
      <c r="R246" s="2" t="inlineStr">
        <is>
          <t>Blåsippa</t>
        </is>
      </c>
      <c r="S246">
        <f>HYPERLINK("https://klasma.github.io/Logging_2321/artfynd/A 52746-2024 artfynd.xlsx", "A 52746-2024")</f>
        <v/>
      </c>
      <c r="T246">
        <f>HYPERLINK("https://klasma.github.io/Logging_2321/kartor/A 52746-2024 karta.png", "A 52746-2024")</f>
        <v/>
      </c>
      <c r="V246">
        <f>HYPERLINK("https://klasma.github.io/Logging_2321/klagomål/A 52746-2024 FSC-klagomål.docx", "A 52746-2024")</f>
        <v/>
      </c>
      <c r="W246">
        <f>HYPERLINK("https://klasma.github.io/Logging_2321/klagomålsmail/A 52746-2024 FSC-klagomål mail.docx", "A 52746-2024")</f>
        <v/>
      </c>
      <c r="X246">
        <f>HYPERLINK("https://klasma.github.io/Logging_2321/tillsyn/A 52746-2024 tillsynsbegäran.docx", "A 52746-2024")</f>
        <v/>
      </c>
      <c r="Y246">
        <f>HYPERLINK("https://klasma.github.io/Logging_2321/tillsynsmail/A 52746-2024 tillsynsbegäran mail.docx", "A 52746-2024")</f>
        <v/>
      </c>
    </row>
    <row r="247" ht="15" customHeight="1">
      <c r="A247" t="inlineStr">
        <is>
          <t>A 53462-2024</t>
        </is>
      </c>
      <c r="B247" s="1" t="n">
        <v>45614</v>
      </c>
      <c r="C247" s="1" t="n">
        <v>45837</v>
      </c>
      <c r="D247" t="inlineStr">
        <is>
          <t>JÄMTLANDS LÄN</t>
        </is>
      </c>
      <c r="E247" t="inlineStr">
        <is>
          <t>ÅRE</t>
        </is>
      </c>
      <c r="G247" t="n">
        <v>12.8</v>
      </c>
      <c r="H247" t="n">
        <v>0</v>
      </c>
      <c r="I247" t="n">
        <v>0</v>
      </c>
      <c r="J247" t="n">
        <v>1</v>
      </c>
      <c r="K247" t="n">
        <v>0</v>
      </c>
      <c r="L247" t="n">
        <v>0</v>
      </c>
      <c r="M247" t="n">
        <v>0</v>
      </c>
      <c r="N247" t="n">
        <v>0</v>
      </c>
      <c r="O247" t="n">
        <v>1</v>
      </c>
      <c r="P247" t="n">
        <v>0</v>
      </c>
      <c r="Q247" t="n">
        <v>1</v>
      </c>
      <c r="R247" s="2" t="inlineStr">
        <is>
          <t>Granticka</t>
        </is>
      </c>
      <c r="S247">
        <f>HYPERLINK("https://klasma.github.io/Logging_2321/artfynd/A 53462-2024 artfynd.xlsx", "A 53462-2024")</f>
        <v/>
      </c>
      <c r="T247">
        <f>HYPERLINK("https://klasma.github.io/Logging_2321/kartor/A 53462-2024 karta.png", "A 53462-2024")</f>
        <v/>
      </c>
      <c r="V247">
        <f>HYPERLINK("https://klasma.github.io/Logging_2321/klagomål/A 53462-2024 FSC-klagomål.docx", "A 53462-2024")</f>
        <v/>
      </c>
      <c r="W247">
        <f>HYPERLINK("https://klasma.github.io/Logging_2321/klagomålsmail/A 53462-2024 FSC-klagomål mail.docx", "A 53462-2024")</f>
        <v/>
      </c>
      <c r="X247">
        <f>HYPERLINK("https://klasma.github.io/Logging_2321/tillsyn/A 53462-2024 tillsynsbegäran.docx", "A 53462-2024")</f>
        <v/>
      </c>
      <c r="Y247">
        <f>HYPERLINK("https://klasma.github.io/Logging_2321/tillsynsmail/A 53462-2024 tillsynsbegäran mail.docx", "A 53462-2024")</f>
        <v/>
      </c>
    </row>
    <row r="248" ht="15" customHeight="1">
      <c r="A248" t="inlineStr">
        <is>
          <t>A 60316-2024</t>
        </is>
      </c>
      <c r="B248" s="1" t="n">
        <v>45643</v>
      </c>
      <c r="C248" s="1" t="n">
        <v>45837</v>
      </c>
      <c r="D248" t="inlineStr">
        <is>
          <t>JÄMTLANDS LÄN</t>
        </is>
      </c>
      <c r="E248" t="inlineStr">
        <is>
          <t>ÅRE</t>
        </is>
      </c>
      <c r="G248" t="n">
        <v>21.2</v>
      </c>
      <c r="H248" t="n">
        <v>0</v>
      </c>
      <c r="I248" t="n">
        <v>1</v>
      </c>
      <c r="J248" t="n">
        <v>0</v>
      </c>
      <c r="K248" t="n">
        <v>0</v>
      </c>
      <c r="L248" t="n">
        <v>0</v>
      </c>
      <c r="M248" t="n">
        <v>0</v>
      </c>
      <c r="N248" t="n">
        <v>0</v>
      </c>
      <c r="O248" t="n">
        <v>0</v>
      </c>
      <c r="P248" t="n">
        <v>0</v>
      </c>
      <c r="Q248" t="n">
        <v>1</v>
      </c>
      <c r="R248" s="2" t="inlineStr">
        <is>
          <t>Kransrams</t>
        </is>
      </c>
      <c r="S248">
        <f>HYPERLINK("https://klasma.github.io/Logging_2321/artfynd/A 60316-2024 artfynd.xlsx", "A 60316-2024")</f>
        <v/>
      </c>
      <c r="T248">
        <f>HYPERLINK("https://klasma.github.io/Logging_2321/kartor/A 60316-2024 karta.png", "A 60316-2024")</f>
        <v/>
      </c>
      <c r="V248">
        <f>HYPERLINK("https://klasma.github.io/Logging_2321/klagomål/A 60316-2024 FSC-klagomål.docx", "A 60316-2024")</f>
        <v/>
      </c>
      <c r="W248">
        <f>HYPERLINK("https://klasma.github.io/Logging_2321/klagomålsmail/A 60316-2024 FSC-klagomål mail.docx", "A 60316-2024")</f>
        <v/>
      </c>
      <c r="X248">
        <f>HYPERLINK("https://klasma.github.io/Logging_2321/tillsyn/A 60316-2024 tillsynsbegäran.docx", "A 60316-2024")</f>
        <v/>
      </c>
      <c r="Y248">
        <f>HYPERLINK("https://klasma.github.io/Logging_2321/tillsynsmail/A 60316-2024 tillsynsbegäran mail.docx", "A 60316-2024")</f>
        <v/>
      </c>
    </row>
    <row r="249" ht="15" customHeight="1">
      <c r="A249" t="inlineStr">
        <is>
          <t>A 4775-2025</t>
        </is>
      </c>
      <c r="B249" s="1" t="n">
        <v>45688</v>
      </c>
      <c r="C249" s="1" t="n">
        <v>45837</v>
      </c>
      <c r="D249" t="inlineStr">
        <is>
          <t>JÄMTLANDS LÄN</t>
        </is>
      </c>
      <c r="E249" t="inlineStr">
        <is>
          <t>ÅRE</t>
        </is>
      </c>
      <c r="G249" t="n">
        <v>0.7</v>
      </c>
      <c r="H249" t="n">
        <v>1</v>
      </c>
      <c r="I249" t="n">
        <v>0</v>
      </c>
      <c r="J249" t="n">
        <v>1</v>
      </c>
      <c r="K249" t="n">
        <v>0</v>
      </c>
      <c r="L249" t="n">
        <v>0</v>
      </c>
      <c r="M249" t="n">
        <v>0</v>
      </c>
      <c r="N249" t="n">
        <v>0</v>
      </c>
      <c r="O249" t="n">
        <v>1</v>
      </c>
      <c r="P249" t="n">
        <v>0</v>
      </c>
      <c r="Q249" t="n">
        <v>1</v>
      </c>
      <c r="R249" s="2" t="inlineStr">
        <is>
          <t>Tretåig hackspett</t>
        </is>
      </c>
      <c r="S249">
        <f>HYPERLINK("https://klasma.github.io/Logging_2321/artfynd/A 4775-2025 artfynd.xlsx", "A 4775-2025")</f>
        <v/>
      </c>
      <c r="T249">
        <f>HYPERLINK("https://klasma.github.io/Logging_2321/kartor/A 4775-2025 karta.png", "A 4775-2025")</f>
        <v/>
      </c>
      <c r="V249">
        <f>HYPERLINK("https://klasma.github.io/Logging_2321/klagomål/A 4775-2025 FSC-klagomål.docx", "A 4775-2025")</f>
        <v/>
      </c>
      <c r="W249">
        <f>HYPERLINK("https://klasma.github.io/Logging_2321/klagomålsmail/A 4775-2025 FSC-klagomål mail.docx", "A 4775-2025")</f>
        <v/>
      </c>
      <c r="X249">
        <f>HYPERLINK("https://klasma.github.io/Logging_2321/tillsyn/A 4775-2025 tillsynsbegäran.docx", "A 4775-2025")</f>
        <v/>
      </c>
      <c r="Y249">
        <f>HYPERLINK("https://klasma.github.io/Logging_2321/tillsynsmail/A 4775-2025 tillsynsbegäran mail.docx", "A 4775-2025")</f>
        <v/>
      </c>
      <c r="Z249">
        <f>HYPERLINK("https://klasma.github.io/Logging_2321/fåglar/A 4775-2025 prioriterade fågelarter.docx", "A 4775-2025")</f>
        <v/>
      </c>
    </row>
    <row r="250" ht="15" customHeight="1">
      <c r="A250" t="inlineStr">
        <is>
          <t>A 14245-2025</t>
        </is>
      </c>
      <c r="B250" s="1" t="n">
        <v>45740</v>
      </c>
      <c r="C250" s="1" t="n">
        <v>45837</v>
      </c>
      <c r="D250" t="inlineStr">
        <is>
          <t>JÄMTLANDS LÄN</t>
        </is>
      </c>
      <c r="E250" t="inlineStr">
        <is>
          <t>ÅRE</t>
        </is>
      </c>
      <c r="G250" t="n">
        <v>15.4</v>
      </c>
      <c r="H250" t="n">
        <v>1</v>
      </c>
      <c r="I250" t="n">
        <v>0</v>
      </c>
      <c r="J250" t="n">
        <v>1</v>
      </c>
      <c r="K250" t="n">
        <v>0</v>
      </c>
      <c r="L250" t="n">
        <v>0</v>
      </c>
      <c r="M250" t="n">
        <v>0</v>
      </c>
      <c r="N250" t="n">
        <v>0</v>
      </c>
      <c r="O250" t="n">
        <v>1</v>
      </c>
      <c r="P250" t="n">
        <v>0</v>
      </c>
      <c r="Q250" t="n">
        <v>1</v>
      </c>
      <c r="R250" s="2" t="inlineStr">
        <is>
          <t>Tretåig hackspett</t>
        </is>
      </c>
      <c r="S250">
        <f>HYPERLINK("https://klasma.github.io/Logging_232321/artfynd/A 14245-2025 artfynd.xlsx", "A 14245-2025")</f>
        <v/>
      </c>
      <c r="T250">
        <f>HYPERLINK("https://klasma.github.io/Logging_232321/kartor/A 14245-2025 karta.png", "A 14245-2025")</f>
        <v/>
      </c>
      <c r="V250">
        <f>HYPERLINK("https://klasma.github.io/Logging_232321/klagomål/A 14245-2025 FSC-klagomål.docx", "A 14245-2025")</f>
        <v/>
      </c>
      <c r="W250">
        <f>HYPERLINK("https://klasma.github.io/Logging_232321/klagomålsmail/A 14245-2025 FSC-klagomål mail.docx", "A 14245-2025")</f>
        <v/>
      </c>
      <c r="X250">
        <f>HYPERLINK("https://klasma.github.io/Logging_232321/tillsyn/A 14245-2025 tillsynsbegäran.docx", "A 14245-2025")</f>
        <v/>
      </c>
      <c r="Y250">
        <f>HYPERLINK("https://klasma.github.io/Logging_232321/tillsynsmail/A 14245-2025 tillsynsbegäran mail.docx", "A 14245-2025")</f>
        <v/>
      </c>
      <c r="Z250">
        <f>HYPERLINK("https://klasma.github.io/Logging_232321/fåglar/A 14245-2025 prioriterade fågelarter.docx", "A 14245-2025")</f>
        <v/>
      </c>
    </row>
    <row r="251" ht="15" customHeight="1">
      <c r="A251" t="inlineStr">
        <is>
          <t>A 15909-2025</t>
        </is>
      </c>
      <c r="B251" s="1" t="n">
        <v>45749</v>
      </c>
      <c r="C251" s="1" t="n">
        <v>45837</v>
      </c>
      <c r="D251" t="inlineStr">
        <is>
          <t>JÄMTLANDS LÄN</t>
        </is>
      </c>
      <c r="E251" t="inlineStr">
        <is>
          <t>ÅRE</t>
        </is>
      </c>
      <c r="G251" t="n">
        <v>23.8</v>
      </c>
      <c r="H251" t="n">
        <v>0</v>
      </c>
      <c r="I251" t="n">
        <v>0</v>
      </c>
      <c r="J251" t="n">
        <v>1</v>
      </c>
      <c r="K251" t="n">
        <v>0</v>
      </c>
      <c r="L251" t="n">
        <v>0</v>
      </c>
      <c r="M251" t="n">
        <v>0</v>
      </c>
      <c r="N251" t="n">
        <v>0</v>
      </c>
      <c r="O251" t="n">
        <v>1</v>
      </c>
      <c r="P251" t="n">
        <v>0</v>
      </c>
      <c r="Q251" t="n">
        <v>1</v>
      </c>
      <c r="R251" s="2" t="inlineStr">
        <is>
          <t>Garnlav</t>
        </is>
      </c>
      <c r="S251">
        <f>HYPERLINK("https://klasma.github.io/Logging_232321/artfynd/A 15909-2025 artfynd.xlsx", "A 15909-2025")</f>
        <v/>
      </c>
      <c r="T251">
        <f>HYPERLINK("https://klasma.github.io/Logging_232321/kartor/A 15909-2025 karta.png", "A 15909-2025")</f>
        <v/>
      </c>
      <c r="V251">
        <f>HYPERLINK("https://klasma.github.io/Logging_232321/klagomål/A 15909-2025 FSC-klagomål.docx", "A 15909-2025")</f>
        <v/>
      </c>
      <c r="W251">
        <f>HYPERLINK("https://klasma.github.io/Logging_232321/klagomålsmail/A 15909-2025 FSC-klagomål mail.docx", "A 15909-2025")</f>
        <v/>
      </c>
      <c r="X251">
        <f>HYPERLINK("https://klasma.github.io/Logging_232321/tillsyn/A 15909-2025 tillsynsbegäran.docx", "A 15909-2025")</f>
        <v/>
      </c>
      <c r="Y251">
        <f>HYPERLINK("https://klasma.github.io/Logging_232321/tillsynsmail/A 15909-2025 tillsynsbegäran mail.docx", "A 15909-2025")</f>
        <v/>
      </c>
    </row>
    <row r="252" ht="15" customHeight="1">
      <c r="A252" t="inlineStr">
        <is>
          <t>A 21939-2025</t>
        </is>
      </c>
      <c r="B252" s="1" t="n">
        <v>45784</v>
      </c>
      <c r="C252" s="1" t="n">
        <v>45837</v>
      </c>
      <c r="D252" t="inlineStr">
        <is>
          <t>JÄMTLANDS LÄN</t>
        </is>
      </c>
      <c r="E252" t="inlineStr">
        <is>
          <t>ÅRE</t>
        </is>
      </c>
      <c r="G252" t="n">
        <v>6.5</v>
      </c>
      <c r="H252" t="n">
        <v>0</v>
      </c>
      <c r="I252" t="n">
        <v>1</v>
      </c>
      <c r="J252" t="n">
        <v>0</v>
      </c>
      <c r="K252" t="n">
        <v>0</v>
      </c>
      <c r="L252" t="n">
        <v>0</v>
      </c>
      <c r="M252" t="n">
        <v>0</v>
      </c>
      <c r="N252" t="n">
        <v>0</v>
      </c>
      <c r="O252" t="n">
        <v>0</v>
      </c>
      <c r="P252" t="n">
        <v>0</v>
      </c>
      <c r="Q252" t="n">
        <v>1</v>
      </c>
      <c r="R252" s="2" t="inlineStr">
        <is>
          <t>Finbräken</t>
        </is>
      </c>
      <c r="S252">
        <f>HYPERLINK("https://klasma.github.io/Logging_232321/artfynd/A 21939-2025 artfynd.xlsx", "A 21939-2025")</f>
        <v/>
      </c>
      <c r="T252">
        <f>HYPERLINK("https://klasma.github.io/Logging_232321/kartor/A 21939-2025 karta.png", "A 21939-2025")</f>
        <v/>
      </c>
      <c r="V252">
        <f>HYPERLINK("https://klasma.github.io/Logging_232321/klagomål/A 21939-2025 FSC-klagomål.docx", "A 21939-2025")</f>
        <v/>
      </c>
      <c r="W252">
        <f>HYPERLINK("https://klasma.github.io/Logging_232321/klagomålsmail/A 21939-2025 FSC-klagomål mail.docx", "A 21939-2025")</f>
        <v/>
      </c>
      <c r="X252">
        <f>HYPERLINK("https://klasma.github.io/Logging_232321/tillsyn/A 21939-2025 tillsynsbegäran.docx", "A 21939-2025")</f>
        <v/>
      </c>
      <c r="Y252">
        <f>HYPERLINK("https://klasma.github.io/Logging_232321/tillsynsmail/A 21939-2025 tillsynsbegäran mail.docx", "A 21939-2025")</f>
        <v/>
      </c>
    </row>
    <row r="253" ht="15" customHeight="1">
      <c r="A253" t="inlineStr">
        <is>
          <t>A 23818-2025</t>
        </is>
      </c>
      <c r="B253" s="1" t="n">
        <v>45793</v>
      </c>
      <c r="C253" s="1" t="n">
        <v>45837</v>
      </c>
      <c r="D253" t="inlineStr">
        <is>
          <t>JÄMTLANDS LÄN</t>
        </is>
      </c>
      <c r="E253" t="inlineStr">
        <is>
          <t>ÅRE</t>
        </is>
      </c>
      <c r="G253" t="n">
        <v>7.5</v>
      </c>
      <c r="H253" t="n">
        <v>1</v>
      </c>
      <c r="I253" t="n">
        <v>0</v>
      </c>
      <c r="J253" t="n">
        <v>0</v>
      </c>
      <c r="K253" t="n">
        <v>0</v>
      </c>
      <c r="L253" t="n">
        <v>0</v>
      </c>
      <c r="M253" t="n">
        <v>0</v>
      </c>
      <c r="N253" t="n">
        <v>0</v>
      </c>
      <c r="O253" t="n">
        <v>0</v>
      </c>
      <c r="P253" t="n">
        <v>0</v>
      </c>
      <c r="Q253" t="n">
        <v>1</v>
      </c>
      <c r="R253" s="2" t="inlineStr">
        <is>
          <t>Tjäder</t>
        </is>
      </c>
      <c r="S253">
        <f>HYPERLINK("https://klasma.github.io/Logging_232321/artfynd/A 23818-2025 artfynd.xlsx", "A 23818-2025")</f>
        <v/>
      </c>
      <c r="T253">
        <f>HYPERLINK("https://klasma.github.io/Logging_232321/kartor/A 23818-2025 karta.png", "A 23818-2025")</f>
        <v/>
      </c>
      <c r="V253">
        <f>HYPERLINK("https://klasma.github.io/Logging_232321/klagomål/A 23818-2025 FSC-klagomål.docx", "A 23818-2025")</f>
        <v/>
      </c>
      <c r="W253">
        <f>HYPERLINK("https://klasma.github.io/Logging_232321/klagomålsmail/A 23818-2025 FSC-klagomål mail.docx", "A 23818-2025")</f>
        <v/>
      </c>
      <c r="X253">
        <f>HYPERLINK("https://klasma.github.io/Logging_232321/tillsyn/A 23818-2025 tillsynsbegäran.docx", "A 23818-2025")</f>
        <v/>
      </c>
      <c r="Y253">
        <f>HYPERLINK("https://klasma.github.io/Logging_232321/tillsynsmail/A 23818-2025 tillsynsbegäran mail.docx", "A 23818-2025")</f>
        <v/>
      </c>
      <c r="Z253">
        <f>HYPERLINK("https://klasma.github.io/Logging_232321/fåglar/A 23818-2025 prioriterade fågelarter.docx", "A 23818-2025")</f>
        <v/>
      </c>
    </row>
    <row r="254" ht="15" customHeight="1">
      <c r="A254" t="inlineStr">
        <is>
          <t>A 21532-2019</t>
        </is>
      </c>
      <c r="B254" s="1" t="n">
        <v>43580</v>
      </c>
      <c r="C254" s="1" t="n">
        <v>45837</v>
      </c>
      <c r="D254" t="inlineStr">
        <is>
          <t>JÄMTLANDS LÄN</t>
        </is>
      </c>
      <c r="E254" t="inlineStr">
        <is>
          <t>ÅRE</t>
        </is>
      </c>
      <c r="G254" t="n">
        <v>20.1</v>
      </c>
      <c r="H254" t="n">
        <v>0</v>
      </c>
      <c r="I254" t="n">
        <v>0</v>
      </c>
      <c r="J254" t="n">
        <v>0</v>
      </c>
      <c r="K254" t="n">
        <v>0</v>
      </c>
      <c r="L254" t="n">
        <v>0</v>
      </c>
      <c r="M254" t="n">
        <v>0</v>
      </c>
      <c r="N254" t="n">
        <v>0</v>
      </c>
      <c r="O254" t="n">
        <v>0</v>
      </c>
      <c r="P254" t="n">
        <v>0</v>
      </c>
      <c r="Q254" t="n">
        <v>0</v>
      </c>
      <c r="R254" s="2" t="inlineStr"/>
    </row>
    <row r="255" ht="15" customHeight="1">
      <c r="A255" t="inlineStr">
        <is>
          <t>A 21883-2019</t>
        </is>
      </c>
      <c r="B255" s="1" t="n">
        <v>43584</v>
      </c>
      <c r="C255" s="1" t="n">
        <v>45837</v>
      </c>
      <c r="D255" t="inlineStr">
        <is>
          <t>JÄMTLANDS LÄN</t>
        </is>
      </c>
      <c r="E255" t="inlineStr">
        <is>
          <t>ÅRE</t>
        </is>
      </c>
      <c r="G255" t="n">
        <v>2.6</v>
      </c>
      <c r="H255" t="n">
        <v>0</v>
      </c>
      <c r="I255" t="n">
        <v>0</v>
      </c>
      <c r="J255" t="n">
        <v>0</v>
      </c>
      <c r="K255" t="n">
        <v>0</v>
      </c>
      <c r="L255" t="n">
        <v>0</v>
      </c>
      <c r="M255" t="n">
        <v>0</v>
      </c>
      <c r="N255" t="n">
        <v>0</v>
      </c>
      <c r="O255" t="n">
        <v>0</v>
      </c>
      <c r="P255" t="n">
        <v>0</v>
      </c>
      <c r="Q255" t="n">
        <v>0</v>
      </c>
      <c r="R255" s="2" t="inlineStr"/>
    </row>
    <row r="256" ht="15" customHeight="1">
      <c r="A256" t="inlineStr">
        <is>
          <t>A 22558-2019</t>
        </is>
      </c>
      <c r="B256" s="1" t="n">
        <v>43587</v>
      </c>
      <c r="C256" s="1" t="n">
        <v>45837</v>
      </c>
      <c r="D256" t="inlineStr">
        <is>
          <t>JÄMTLANDS LÄN</t>
        </is>
      </c>
      <c r="E256" t="inlineStr">
        <is>
          <t>ÅRE</t>
        </is>
      </c>
      <c r="G256" t="n">
        <v>79.09999999999999</v>
      </c>
      <c r="H256" t="n">
        <v>0</v>
      </c>
      <c r="I256" t="n">
        <v>0</v>
      </c>
      <c r="J256" t="n">
        <v>0</v>
      </c>
      <c r="K256" t="n">
        <v>0</v>
      </c>
      <c r="L256" t="n">
        <v>0</v>
      </c>
      <c r="M256" t="n">
        <v>0</v>
      </c>
      <c r="N256" t="n">
        <v>0</v>
      </c>
      <c r="O256" t="n">
        <v>0</v>
      </c>
      <c r="P256" t="n">
        <v>0</v>
      </c>
      <c r="Q256" t="n">
        <v>0</v>
      </c>
      <c r="R256" s="2" t="inlineStr"/>
    </row>
    <row r="257" ht="15" customHeight="1">
      <c r="A257" t="inlineStr">
        <is>
          <t>A 25099-2019</t>
        </is>
      </c>
      <c r="B257" s="1" t="n">
        <v>43605</v>
      </c>
      <c r="C257" s="1" t="n">
        <v>45837</v>
      </c>
      <c r="D257" t="inlineStr">
        <is>
          <t>JÄMTLANDS LÄN</t>
        </is>
      </c>
      <c r="E257" t="inlineStr">
        <is>
          <t>ÅRE</t>
        </is>
      </c>
      <c r="G257" t="n">
        <v>8.9</v>
      </c>
      <c r="H257" t="n">
        <v>0</v>
      </c>
      <c r="I257" t="n">
        <v>0</v>
      </c>
      <c r="J257" t="n">
        <v>0</v>
      </c>
      <c r="K257" t="n">
        <v>0</v>
      </c>
      <c r="L257" t="n">
        <v>0</v>
      </c>
      <c r="M257" t="n">
        <v>0</v>
      </c>
      <c r="N257" t="n">
        <v>0</v>
      </c>
      <c r="O257" t="n">
        <v>0</v>
      </c>
      <c r="P257" t="n">
        <v>0</v>
      </c>
      <c r="Q257" t="n">
        <v>0</v>
      </c>
      <c r="R257" s="2" t="inlineStr"/>
    </row>
    <row r="258" ht="15" customHeight="1">
      <c r="A258" t="inlineStr">
        <is>
          <t>A 26624-2019</t>
        </is>
      </c>
      <c r="B258" s="1" t="n">
        <v>43612</v>
      </c>
      <c r="C258" s="1" t="n">
        <v>45837</v>
      </c>
      <c r="D258" t="inlineStr">
        <is>
          <t>JÄMTLANDS LÄN</t>
        </is>
      </c>
      <c r="E258" t="inlineStr">
        <is>
          <t>ÅRE</t>
        </is>
      </c>
      <c r="G258" t="n">
        <v>2.4</v>
      </c>
      <c r="H258" t="n">
        <v>0</v>
      </c>
      <c r="I258" t="n">
        <v>0</v>
      </c>
      <c r="J258" t="n">
        <v>0</v>
      </c>
      <c r="K258" t="n">
        <v>0</v>
      </c>
      <c r="L258" t="n">
        <v>0</v>
      </c>
      <c r="M258" t="n">
        <v>0</v>
      </c>
      <c r="N258" t="n">
        <v>0</v>
      </c>
      <c r="O258" t="n">
        <v>0</v>
      </c>
      <c r="P258" t="n">
        <v>0</v>
      </c>
      <c r="Q258" t="n">
        <v>0</v>
      </c>
      <c r="R258" s="2" t="inlineStr"/>
    </row>
    <row r="259" ht="15" customHeight="1">
      <c r="A259" t="inlineStr">
        <is>
          <t>A 26626-2019</t>
        </is>
      </c>
      <c r="B259" s="1" t="n">
        <v>43612</v>
      </c>
      <c r="C259" s="1" t="n">
        <v>45837</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28793-2019</t>
        </is>
      </c>
      <c r="B260" s="1" t="n">
        <v>43627</v>
      </c>
      <c r="C260" s="1" t="n">
        <v>45837</v>
      </c>
      <c r="D260" t="inlineStr">
        <is>
          <t>JÄMTLANDS LÄN</t>
        </is>
      </c>
      <c r="E260" t="inlineStr">
        <is>
          <t>ÅRE</t>
        </is>
      </c>
      <c r="G260" t="n">
        <v>7.8</v>
      </c>
      <c r="H260" t="n">
        <v>0</v>
      </c>
      <c r="I260" t="n">
        <v>0</v>
      </c>
      <c r="J260" t="n">
        <v>0</v>
      </c>
      <c r="K260" t="n">
        <v>0</v>
      </c>
      <c r="L260" t="n">
        <v>0</v>
      </c>
      <c r="M260" t="n">
        <v>0</v>
      </c>
      <c r="N260" t="n">
        <v>0</v>
      </c>
      <c r="O260" t="n">
        <v>0</v>
      </c>
      <c r="P260" t="n">
        <v>0</v>
      </c>
      <c r="Q260" t="n">
        <v>0</v>
      </c>
      <c r="R260" s="2" t="inlineStr"/>
    </row>
    <row r="261" ht="15" customHeight="1">
      <c r="A261" t="inlineStr">
        <is>
          <t>A 29272-2019</t>
        </is>
      </c>
      <c r="B261" s="1" t="n">
        <v>43629</v>
      </c>
      <c r="C261" s="1" t="n">
        <v>45837</v>
      </c>
      <c r="D261" t="inlineStr">
        <is>
          <t>JÄMTLANDS LÄN</t>
        </is>
      </c>
      <c r="E261" t="inlineStr">
        <is>
          <t>ÅRE</t>
        </is>
      </c>
      <c r="G261" t="n">
        <v>10.9</v>
      </c>
      <c r="H261" t="n">
        <v>0</v>
      </c>
      <c r="I261" t="n">
        <v>0</v>
      </c>
      <c r="J261" t="n">
        <v>0</v>
      </c>
      <c r="K261" t="n">
        <v>0</v>
      </c>
      <c r="L261" t="n">
        <v>0</v>
      </c>
      <c r="M261" t="n">
        <v>0</v>
      </c>
      <c r="N261" t="n">
        <v>0</v>
      </c>
      <c r="O261" t="n">
        <v>0</v>
      </c>
      <c r="P261" t="n">
        <v>0</v>
      </c>
      <c r="Q261" t="n">
        <v>0</v>
      </c>
      <c r="R261" s="2" t="inlineStr"/>
    </row>
    <row r="262" ht="15" customHeight="1">
      <c r="A262" t="inlineStr">
        <is>
          <t>A 29769-2019</t>
        </is>
      </c>
      <c r="B262" s="1" t="n">
        <v>43632</v>
      </c>
      <c r="C262" s="1" t="n">
        <v>45837</v>
      </c>
      <c r="D262" t="inlineStr">
        <is>
          <t>JÄMTLANDS LÄN</t>
        </is>
      </c>
      <c r="E262" t="inlineStr">
        <is>
          <t>ÅRE</t>
        </is>
      </c>
      <c r="G262" t="n">
        <v>1.8</v>
      </c>
      <c r="H262" t="n">
        <v>0</v>
      </c>
      <c r="I262" t="n">
        <v>0</v>
      </c>
      <c r="J262" t="n">
        <v>0</v>
      </c>
      <c r="K262" t="n">
        <v>0</v>
      </c>
      <c r="L262" t="n">
        <v>0</v>
      </c>
      <c r="M262" t="n">
        <v>0</v>
      </c>
      <c r="N262" t="n">
        <v>0</v>
      </c>
      <c r="O262" t="n">
        <v>0</v>
      </c>
      <c r="P262" t="n">
        <v>0</v>
      </c>
      <c r="Q262" t="n">
        <v>0</v>
      </c>
      <c r="R262" s="2" t="inlineStr"/>
    </row>
    <row r="263" ht="15" customHeight="1">
      <c r="A263" t="inlineStr">
        <is>
          <t>A 29916-2019</t>
        </is>
      </c>
      <c r="B263" s="1" t="n">
        <v>43633</v>
      </c>
      <c r="C263" s="1" t="n">
        <v>45837</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30384-2019</t>
        </is>
      </c>
      <c r="B264" s="1" t="n">
        <v>43634</v>
      </c>
      <c r="C264" s="1" t="n">
        <v>45837</v>
      </c>
      <c r="D264" t="inlineStr">
        <is>
          <t>JÄMTLANDS LÄN</t>
        </is>
      </c>
      <c r="E264" t="inlineStr">
        <is>
          <t>ÅRE</t>
        </is>
      </c>
      <c r="G264" t="n">
        <v>19</v>
      </c>
      <c r="H264" t="n">
        <v>0</v>
      </c>
      <c r="I264" t="n">
        <v>0</v>
      </c>
      <c r="J264" t="n">
        <v>0</v>
      </c>
      <c r="K264" t="n">
        <v>0</v>
      </c>
      <c r="L264" t="n">
        <v>0</v>
      </c>
      <c r="M264" t="n">
        <v>0</v>
      </c>
      <c r="N264" t="n">
        <v>0</v>
      </c>
      <c r="O264" t="n">
        <v>0</v>
      </c>
      <c r="P264" t="n">
        <v>0</v>
      </c>
      <c r="Q264" t="n">
        <v>0</v>
      </c>
      <c r="R264" s="2" t="inlineStr"/>
    </row>
    <row r="265" ht="15" customHeight="1">
      <c r="A265" t="inlineStr">
        <is>
          <t>A 33856-2019</t>
        </is>
      </c>
      <c r="B265" s="1" t="n">
        <v>43652</v>
      </c>
      <c r="C265" s="1" t="n">
        <v>45837</v>
      </c>
      <c r="D265" t="inlineStr">
        <is>
          <t>JÄMTLANDS LÄN</t>
        </is>
      </c>
      <c r="E265" t="inlineStr">
        <is>
          <t>ÅRE</t>
        </is>
      </c>
      <c r="G265" t="n">
        <v>9.6</v>
      </c>
      <c r="H265" t="n">
        <v>0</v>
      </c>
      <c r="I265" t="n">
        <v>0</v>
      </c>
      <c r="J265" t="n">
        <v>0</v>
      </c>
      <c r="K265" t="n">
        <v>0</v>
      </c>
      <c r="L265" t="n">
        <v>0</v>
      </c>
      <c r="M265" t="n">
        <v>0</v>
      </c>
      <c r="N265" t="n">
        <v>0</v>
      </c>
      <c r="O265" t="n">
        <v>0</v>
      </c>
      <c r="P265" t="n">
        <v>0</v>
      </c>
      <c r="Q265" t="n">
        <v>0</v>
      </c>
      <c r="R265" s="2" t="inlineStr"/>
    </row>
    <row r="266" ht="15" customHeight="1">
      <c r="A266" t="inlineStr">
        <is>
          <t>A 35391-2019</t>
        </is>
      </c>
      <c r="B266" s="1" t="n">
        <v>43661</v>
      </c>
      <c r="C266" s="1" t="n">
        <v>45837</v>
      </c>
      <c r="D266" t="inlineStr">
        <is>
          <t>JÄMTLANDS LÄN</t>
        </is>
      </c>
      <c r="E266" t="inlineStr">
        <is>
          <t>ÅRE</t>
        </is>
      </c>
      <c r="G266" t="n">
        <v>19.7</v>
      </c>
      <c r="H266" t="n">
        <v>0</v>
      </c>
      <c r="I266" t="n">
        <v>0</v>
      </c>
      <c r="J266" t="n">
        <v>0</v>
      </c>
      <c r="K266" t="n">
        <v>0</v>
      </c>
      <c r="L266" t="n">
        <v>0</v>
      </c>
      <c r="M266" t="n">
        <v>0</v>
      </c>
      <c r="N266" t="n">
        <v>0</v>
      </c>
      <c r="O266" t="n">
        <v>0</v>
      </c>
      <c r="P266" t="n">
        <v>0</v>
      </c>
      <c r="Q266" t="n">
        <v>0</v>
      </c>
      <c r="R266" s="2" t="inlineStr"/>
    </row>
    <row r="267" ht="15" customHeight="1">
      <c r="A267" t="inlineStr">
        <is>
          <t>A 35485-2019</t>
        </is>
      </c>
      <c r="B267" s="1" t="n">
        <v>43661</v>
      </c>
      <c r="C267" s="1" t="n">
        <v>45837</v>
      </c>
      <c r="D267" t="inlineStr">
        <is>
          <t>JÄMTLANDS LÄN</t>
        </is>
      </c>
      <c r="E267" t="inlineStr">
        <is>
          <t>ÅRE</t>
        </is>
      </c>
      <c r="G267" t="n">
        <v>5.5</v>
      </c>
      <c r="H267" t="n">
        <v>0</v>
      </c>
      <c r="I267" t="n">
        <v>0</v>
      </c>
      <c r="J267" t="n">
        <v>0</v>
      </c>
      <c r="K267" t="n">
        <v>0</v>
      </c>
      <c r="L267" t="n">
        <v>0</v>
      </c>
      <c r="M267" t="n">
        <v>0</v>
      </c>
      <c r="N267" t="n">
        <v>0</v>
      </c>
      <c r="O267" t="n">
        <v>0</v>
      </c>
      <c r="P267" t="n">
        <v>0</v>
      </c>
      <c r="Q267" t="n">
        <v>0</v>
      </c>
      <c r="R267" s="2" t="inlineStr"/>
    </row>
    <row r="268" ht="15" customHeight="1">
      <c r="A268" t="inlineStr">
        <is>
          <t>A 36975-2019</t>
        </is>
      </c>
      <c r="B268" s="1" t="n">
        <v>43676</v>
      </c>
      <c r="C268" s="1" t="n">
        <v>45837</v>
      </c>
      <c r="D268" t="inlineStr">
        <is>
          <t>JÄMTLANDS LÄN</t>
        </is>
      </c>
      <c r="E268" t="inlineStr">
        <is>
          <t>ÅRE</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41107-2019</t>
        </is>
      </c>
      <c r="B269" s="1" t="n">
        <v>43698</v>
      </c>
      <c r="C269" s="1" t="n">
        <v>45837</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42311-2019</t>
        </is>
      </c>
      <c r="B270" s="1" t="n">
        <v>43699</v>
      </c>
      <c r="C270" s="1" t="n">
        <v>45837</v>
      </c>
      <c r="D270" t="inlineStr">
        <is>
          <t>JÄMTLANDS LÄN</t>
        </is>
      </c>
      <c r="E270" t="inlineStr">
        <is>
          <t>ÅRE</t>
        </is>
      </c>
      <c r="G270" t="n">
        <v>13.7</v>
      </c>
      <c r="H270" t="n">
        <v>0</v>
      </c>
      <c r="I270" t="n">
        <v>0</v>
      </c>
      <c r="J270" t="n">
        <v>0</v>
      </c>
      <c r="K270" t="n">
        <v>0</v>
      </c>
      <c r="L270" t="n">
        <v>0</v>
      </c>
      <c r="M270" t="n">
        <v>0</v>
      </c>
      <c r="N270" t="n">
        <v>0</v>
      </c>
      <c r="O270" t="n">
        <v>0</v>
      </c>
      <c r="P270" t="n">
        <v>0</v>
      </c>
      <c r="Q270" t="n">
        <v>0</v>
      </c>
      <c r="R270" s="2" t="inlineStr"/>
    </row>
    <row r="271" ht="15" customHeight="1">
      <c r="A271" t="inlineStr">
        <is>
          <t>A 43678-2019</t>
        </is>
      </c>
      <c r="B271" s="1" t="n">
        <v>43707</v>
      </c>
      <c r="C271" s="1" t="n">
        <v>45837</v>
      </c>
      <c r="D271" t="inlineStr">
        <is>
          <t>JÄMTLANDS LÄN</t>
        </is>
      </c>
      <c r="E271" t="inlineStr">
        <is>
          <t>ÅRE</t>
        </is>
      </c>
      <c r="G271" t="n">
        <v>7.9</v>
      </c>
      <c r="H271" t="n">
        <v>0</v>
      </c>
      <c r="I271" t="n">
        <v>0</v>
      </c>
      <c r="J271" t="n">
        <v>0</v>
      </c>
      <c r="K271" t="n">
        <v>0</v>
      </c>
      <c r="L271" t="n">
        <v>0</v>
      </c>
      <c r="M271" t="n">
        <v>0</v>
      </c>
      <c r="N271" t="n">
        <v>0</v>
      </c>
      <c r="O271" t="n">
        <v>0</v>
      </c>
      <c r="P271" t="n">
        <v>0</v>
      </c>
      <c r="Q271" t="n">
        <v>0</v>
      </c>
      <c r="R271" s="2" t="inlineStr"/>
    </row>
    <row r="272" ht="15" customHeight="1">
      <c r="A272" t="inlineStr">
        <is>
          <t>A 43683-2019</t>
        </is>
      </c>
      <c r="B272" s="1" t="n">
        <v>43707</v>
      </c>
      <c r="C272" s="1" t="n">
        <v>45837</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44329-2019</t>
        </is>
      </c>
      <c r="B273" s="1" t="n">
        <v>43710</v>
      </c>
      <c r="C273" s="1" t="n">
        <v>45837</v>
      </c>
      <c r="D273" t="inlineStr">
        <is>
          <t>JÄMTLANDS LÄN</t>
        </is>
      </c>
      <c r="E273" t="inlineStr">
        <is>
          <t>ÅRE</t>
        </is>
      </c>
      <c r="G273" t="n">
        <v>2.1</v>
      </c>
      <c r="H273" t="n">
        <v>0</v>
      </c>
      <c r="I273" t="n">
        <v>0</v>
      </c>
      <c r="J273" t="n">
        <v>0</v>
      </c>
      <c r="K273" t="n">
        <v>0</v>
      </c>
      <c r="L273" t="n">
        <v>0</v>
      </c>
      <c r="M273" t="n">
        <v>0</v>
      </c>
      <c r="N273" t="n">
        <v>0</v>
      </c>
      <c r="O273" t="n">
        <v>0</v>
      </c>
      <c r="P273" t="n">
        <v>0</v>
      </c>
      <c r="Q273" t="n">
        <v>0</v>
      </c>
      <c r="R273" s="2" t="inlineStr"/>
    </row>
    <row r="274" ht="15" customHeight="1">
      <c r="A274" t="inlineStr">
        <is>
          <t>A 45798-2019</t>
        </is>
      </c>
      <c r="B274" s="1" t="n">
        <v>43717</v>
      </c>
      <c r="C274" s="1" t="n">
        <v>45837</v>
      </c>
      <c r="D274" t="inlineStr">
        <is>
          <t>JÄMTLANDS LÄN</t>
        </is>
      </c>
      <c r="E274" t="inlineStr">
        <is>
          <t>ÅRE</t>
        </is>
      </c>
      <c r="G274" t="n">
        <v>14.6</v>
      </c>
      <c r="H274" t="n">
        <v>0</v>
      </c>
      <c r="I274" t="n">
        <v>0</v>
      </c>
      <c r="J274" t="n">
        <v>0</v>
      </c>
      <c r="K274" t="n">
        <v>0</v>
      </c>
      <c r="L274" t="n">
        <v>0</v>
      </c>
      <c r="M274" t="n">
        <v>0</v>
      </c>
      <c r="N274" t="n">
        <v>0</v>
      </c>
      <c r="O274" t="n">
        <v>0</v>
      </c>
      <c r="P274" t="n">
        <v>0</v>
      </c>
      <c r="Q274" t="n">
        <v>0</v>
      </c>
      <c r="R274" s="2" t="inlineStr"/>
    </row>
    <row r="275" ht="15" customHeight="1">
      <c r="A275" t="inlineStr">
        <is>
          <t>A 47259-2019</t>
        </is>
      </c>
      <c r="B275" s="1" t="n">
        <v>43721</v>
      </c>
      <c r="C275" s="1" t="n">
        <v>45837</v>
      </c>
      <c r="D275" t="inlineStr">
        <is>
          <t>JÄMTLANDS LÄN</t>
        </is>
      </c>
      <c r="E275" t="inlineStr">
        <is>
          <t>ÅRE</t>
        </is>
      </c>
      <c r="G275" t="n">
        <v>12.7</v>
      </c>
      <c r="H275" t="n">
        <v>0</v>
      </c>
      <c r="I275" t="n">
        <v>0</v>
      </c>
      <c r="J275" t="n">
        <v>0</v>
      </c>
      <c r="K275" t="n">
        <v>0</v>
      </c>
      <c r="L275" t="n">
        <v>0</v>
      </c>
      <c r="M275" t="n">
        <v>0</v>
      </c>
      <c r="N275" t="n">
        <v>0</v>
      </c>
      <c r="O275" t="n">
        <v>0</v>
      </c>
      <c r="P275" t="n">
        <v>0</v>
      </c>
      <c r="Q275" t="n">
        <v>0</v>
      </c>
      <c r="R275" s="2" t="inlineStr"/>
    </row>
    <row r="276" ht="15" customHeight="1">
      <c r="A276" t="inlineStr">
        <is>
          <t>A 48291-2019</t>
        </is>
      </c>
      <c r="B276" s="1" t="n">
        <v>43726</v>
      </c>
      <c r="C276" s="1" t="n">
        <v>45837</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49867-2019</t>
        </is>
      </c>
      <c r="B277" s="1" t="n">
        <v>43733</v>
      </c>
      <c r="C277" s="1" t="n">
        <v>45837</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49863-2019</t>
        </is>
      </c>
      <c r="B278" s="1" t="n">
        <v>43733</v>
      </c>
      <c r="C278" s="1" t="n">
        <v>45837</v>
      </c>
      <c r="D278" t="inlineStr">
        <is>
          <t>JÄMTLANDS LÄN</t>
        </is>
      </c>
      <c r="E278" t="inlineStr">
        <is>
          <t>ÅRE</t>
        </is>
      </c>
      <c r="G278" t="n">
        <v>4.4</v>
      </c>
      <c r="H278" t="n">
        <v>0</v>
      </c>
      <c r="I278" t="n">
        <v>0</v>
      </c>
      <c r="J278" t="n">
        <v>0</v>
      </c>
      <c r="K278" t="n">
        <v>0</v>
      </c>
      <c r="L278" t="n">
        <v>0</v>
      </c>
      <c r="M278" t="n">
        <v>0</v>
      </c>
      <c r="N278" t="n">
        <v>0</v>
      </c>
      <c r="O278" t="n">
        <v>0</v>
      </c>
      <c r="P278" t="n">
        <v>0</v>
      </c>
      <c r="Q278" t="n">
        <v>0</v>
      </c>
      <c r="R278" s="2" t="inlineStr"/>
    </row>
    <row r="279" ht="15" customHeight="1">
      <c r="A279" t="inlineStr">
        <is>
          <t>A 49858-2019</t>
        </is>
      </c>
      <c r="B279" s="1" t="n">
        <v>43733</v>
      </c>
      <c r="C279" s="1" t="n">
        <v>45837</v>
      </c>
      <c r="D279" t="inlineStr">
        <is>
          <t>JÄMTLANDS LÄN</t>
        </is>
      </c>
      <c r="E279" t="inlineStr">
        <is>
          <t>ÅRE</t>
        </is>
      </c>
      <c r="G279" t="n">
        <v>0.9</v>
      </c>
      <c r="H279" t="n">
        <v>0</v>
      </c>
      <c r="I279" t="n">
        <v>0</v>
      </c>
      <c r="J279" t="n">
        <v>0</v>
      </c>
      <c r="K279" t="n">
        <v>0</v>
      </c>
      <c r="L279" t="n">
        <v>0</v>
      </c>
      <c r="M279" t="n">
        <v>0</v>
      </c>
      <c r="N279" t="n">
        <v>0</v>
      </c>
      <c r="O279" t="n">
        <v>0</v>
      </c>
      <c r="P279" t="n">
        <v>0</v>
      </c>
      <c r="Q279" t="n">
        <v>0</v>
      </c>
      <c r="R279" s="2" t="inlineStr"/>
    </row>
    <row r="280" ht="15" customHeight="1">
      <c r="A280" t="inlineStr">
        <is>
          <t>A 50012-2019</t>
        </is>
      </c>
      <c r="B280" s="1" t="n">
        <v>43733</v>
      </c>
      <c r="C280" s="1" t="n">
        <v>45837</v>
      </c>
      <c r="D280" t="inlineStr">
        <is>
          <t>JÄMTLANDS LÄN</t>
        </is>
      </c>
      <c r="E280" t="inlineStr">
        <is>
          <t>ÅRE</t>
        </is>
      </c>
      <c r="G280" t="n">
        <v>5.8</v>
      </c>
      <c r="H280" t="n">
        <v>0</v>
      </c>
      <c r="I280" t="n">
        <v>0</v>
      </c>
      <c r="J280" t="n">
        <v>0</v>
      </c>
      <c r="K280" t="n">
        <v>0</v>
      </c>
      <c r="L280" t="n">
        <v>0</v>
      </c>
      <c r="M280" t="n">
        <v>0</v>
      </c>
      <c r="N280" t="n">
        <v>0</v>
      </c>
      <c r="O280" t="n">
        <v>0</v>
      </c>
      <c r="P280" t="n">
        <v>0</v>
      </c>
      <c r="Q280" t="n">
        <v>0</v>
      </c>
      <c r="R280" s="2" t="inlineStr"/>
    </row>
    <row r="281" ht="15" customHeight="1">
      <c r="A281" t="inlineStr">
        <is>
          <t>A 52056-2019</t>
        </is>
      </c>
      <c r="B281" s="1" t="n">
        <v>43734</v>
      </c>
      <c r="C281" s="1" t="n">
        <v>45837</v>
      </c>
      <c r="D281" t="inlineStr">
        <is>
          <t>JÄMTLANDS LÄN</t>
        </is>
      </c>
      <c r="E281" t="inlineStr">
        <is>
          <t>ÅRE</t>
        </is>
      </c>
      <c r="G281" t="n">
        <v>3</v>
      </c>
      <c r="H281" t="n">
        <v>0</v>
      </c>
      <c r="I281" t="n">
        <v>0</v>
      </c>
      <c r="J281" t="n">
        <v>0</v>
      </c>
      <c r="K281" t="n">
        <v>0</v>
      </c>
      <c r="L281" t="n">
        <v>0</v>
      </c>
      <c r="M281" t="n">
        <v>0</v>
      </c>
      <c r="N281" t="n">
        <v>0</v>
      </c>
      <c r="O281" t="n">
        <v>0</v>
      </c>
      <c r="P281" t="n">
        <v>0</v>
      </c>
      <c r="Q281" t="n">
        <v>0</v>
      </c>
      <c r="R281" s="2" t="inlineStr"/>
    </row>
    <row r="282" ht="15" customHeight="1">
      <c r="A282" t="inlineStr">
        <is>
          <t>A 52047-2019</t>
        </is>
      </c>
      <c r="B282" s="1" t="n">
        <v>43734</v>
      </c>
      <c r="C282" s="1" t="n">
        <v>45837</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51818-2019</t>
        </is>
      </c>
      <c r="B283" s="1" t="n">
        <v>43741</v>
      </c>
      <c r="C283" s="1" t="n">
        <v>45837</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55358-2019</t>
        </is>
      </c>
      <c r="B284" s="1" t="n">
        <v>43756</v>
      </c>
      <c r="C284" s="1" t="n">
        <v>45837</v>
      </c>
      <c r="D284" t="inlineStr">
        <is>
          <t>JÄMTLANDS LÄN</t>
        </is>
      </c>
      <c r="E284" t="inlineStr">
        <is>
          <t>ÅRE</t>
        </is>
      </c>
      <c r="G284" t="n">
        <v>4.9</v>
      </c>
      <c r="H284" t="n">
        <v>0</v>
      </c>
      <c r="I284" t="n">
        <v>0</v>
      </c>
      <c r="J284" t="n">
        <v>0</v>
      </c>
      <c r="K284" t="n">
        <v>0</v>
      </c>
      <c r="L284" t="n">
        <v>0</v>
      </c>
      <c r="M284" t="n">
        <v>0</v>
      </c>
      <c r="N284" t="n">
        <v>0</v>
      </c>
      <c r="O284" t="n">
        <v>0</v>
      </c>
      <c r="P284" t="n">
        <v>0</v>
      </c>
      <c r="Q284" t="n">
        <v>0</v>
      </c>
      <c r="R284" s="2" t="inlineStr"/>
    </row>
    <row r="285" ht="15" customHeight="1">
      <c r="A285" t="inlineStr">
        <is>
          <t>A 57825-2019</t>
        </is>
      </c>
      <c r="B285" s="1" t="n">
        <v>43768</v>
      </c>
      <c r="C285" s="1" t="n">
        <v>45837</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59815-2019</t>
        </is>
      </c>
      <c r="B286" s="1" t="n">
        <v>43774</v>
      </c>
      <c r="C286" s="1" t="n">
        <v>45837</v>
      </c>
      <c r="D286" t="inlineStr">
        <is>
          <t>JÄMTLANDS LÄN</t>
        </is>
      </c>
      <c r="E286" t="inlineStr">
        <is>
          <t>ÅRE</t>
        </is>
      </c>
      <c r="G286" t="n">
        <v>2.8</v>
      </c>
      <c r="H286" t="n">
        <v>0</v>
      </c>
      <c r="I286" t="n">
        <v>0</v>
      </c>
      <c r="J286" t="n">
        <v>0</v>
      </c>
      <c r="K286" t="n">
        <v>0</v>
      </c>
      <c r="L286" t="n">
        <v>0</v>
      </c>
      <c r="M286" t="n">
        <v>0</v>
      </c>
      <c r="N286" t="n">
        <v>0</v>
      </c>
      <c r="O286" t="n">
        <v>0</v>
      </c>
      <c r="P286" t="n">
        <v>0</v>
      </c>
      <c r="Q286" t="n">
        <v>0</v>
      </c>
      <c r="R286" s="2" t="inlineStr"/>
    </row>
    <row r="287" ht="15" customHeight="1">
      <c r="A287" t="inlineStr">
        <is>
          <t>A 60093-2019</t>
        </is>
      </c>
      <c r="B287" s="1" t="n">
        <v>43777</v>
      </c>
      <c r="C287" s="1" t="n">
        <v>45837</v>
      </c>
      <c r="D287" t="inlineStr">
        <is>
          <t>JÄMTLANDS LÄN</t>
        </is>
      </c>
      <c r="E287" t="inlineStr">
        <is>
          <t>ÅRE</t>
        </is>
      </c>
      <c r="G287" t="n">
        <v>8.6</v>
      </c>
      <c r="H287" t="n">
        <v>0</v>
      </c>
      <c r="I287" t="n">
        <v>0</v>
      </c>
      <c r="J287" t="n">
        <v>0</v>
      </c>
      <c r="K287" t="n">
        <v>0</v>
      </c>
      <c r="L287" t="n">
        <v>0</v>
      </c>
      <c r="M287" t="n">
        <v>0</v>
      </c>
      <c r="N287" t="n">
        <v>0</v>
      </c>
      <c r="O287" t="n">
        <v>0</v>
      </c>
      <c r="P287" t="n">
        <v>0</v>
      </c>
      <c r="Q287" t="n">
        <v>0</v>
      </c>
      <c r="R287" s="2" t="inlineStr"/>
    </row>
    <row r="288" ht="15" customHeight="1">
      <c r="A288" t="inlineStr">
        <is>
          <t>A 62359-2019</t>
        </is>
      </c>
      <c r="B288" s="1" t="n">
        <v>43788</v>
      </c>
      <c r="C288" s="1" t="n">
        <v>45837</v>
      </c>
      <c r="D288" t="inlineStr">
        <is>
          <t>JÄMTLANDS LÄN</t>
        </is>
      </c>
      <c r="E288" t="inlineStr">
        <is>
          <t>ÅRE</t>
        </is>
      </c>
      <c r="F288" t="inlineStr">
        <is>
          <t>Övriga Aktiebolag</t>
        </is>
      </c>
      <c r="G288" t="n">
        <v>7</v>
      </c>
      <c r="H288" t="n">
        <v>0</v>
      </c>
      <c r="I288" t="n">
        <v>0</v>
      </c>
      <c r="J288" t="n">
        <v>0</v>
      </c>
      <c r="K288" t="n">
        <v>0</v>
      </c>
      <c r="L288" t="n">
        <v>0</v>
      </c>
      <c r="M288" t="n">
        <v>0</v>
      </c>
      <c r="N288" t="n">
        <v>0</v>
      </c>
      <c r="O288" t="n">
        <v>0</v>
      </c>
      <c r="P288" t="n">
        <v>0</v>
      </c>
      <c r="Q288" t="n">
        <v>0</v>
      </c>
      <c r="R288" s="2" t="inlineStr"/>
    </row>
    <row r="289" ht="15" customHeight="1">
      <c r="A289" t="inlineStr">
        <is>
          <t>A 62326-2019</t>
        </is>
      </c>
      <c r="B289" s="1" t="n">
        <v>43788</v>
      </c>
      <c r="C289" s="1" t="n">
        <v>45837</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63729-2019</t>
        </is>
      </c>
      <c r="B290" s="1" t="n">
        <v>43788</v>
      </c>
      <c r="C290" s="1" t="n">
        <v>45837</v>
      </c>
      <c r="D290" t="inlineStr">
        <is>
          <t>JÄMTLANDS LÄN</t>
        </is>
      </c>
      <c r="E290" t="inlineStr">
        <is>
          <t>ÅRE</t>
        </is>
      </c>
      <c r="F290" t="inlineStr">
        <is>
          <t>Övriga Aktiebolag</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65986-2019</t>
        </is>
      </c>
      <c r="B291" s="1" t="n">
        <v>43801</v>
      </c>
      <c r="C291" s="1" t="n">
        <v>45837</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66395-2019</t>
        </is>
      </c>
      <c r="B292" s="1" t="n">
        <v>43808</v>
      </c>
      <c r="C292" s="1" t="n">
        <v>45837</v>
      </c>
      <c r="D292" t="inlineStr">
        <is>
          <t>JÄMTLANDS LÄN</t>
        </is>
      </c>
      <c r="E292" t="inlineStr">
        <is>
          <t>ÅRE</t>
        </is>
      </c>
      <c r="G292" t="n">
        <v>1.6</v>
      </c>
      <c r="H292" t="n">
        <v>0</v>
      </c>
      <c r="I292" t="n">
        <v>0</v>
      </c>
      <c r="J292" t="n">
        <v>0</v>
      </c>
      <c r="K292" t="n">
        <v>0</v>
      </c>
      <c r="L292" t="n">
        <v>0</v>
      </c>
      <c r="M292" t="n">
        <v>0</v>
      </c>
      <c r="N292" t="n">
        <v>0</v>
      </c>
      <c r="O292" t="n">
        <v>0</v>
      </c>
      <c r="P292" t="n">
        <v>0</v>
      </c>
      <c r="Q292" t="n">
        <v>0</v>
      </c>
      <c r="R292" s="2" t="inlineStr"/>
    </row>
    <row r="293" ht="15" customHeight="1">
      <c r="A293" t="inlineStr">
        <is>
          <t>A 66774-2019</t>
        </is>
      </c>
      <c r="B293" s="1" t="n">
        <v>43810</v>
      </c>
      <c r="C293" s="1" t="n">
        <v>45837</v>
      </c>
      <c r="D293" t="inlineStr">
        <is>
          <t>JÄMTLANDS LÄN</t>
        </is>
      </c>
      <c r="E293" t="inlineStr">
        <is>
          <t>ÅRE</t>
        </is>
      </c>
      <c r="G293" t="n">
        <v>7.4</v>
      </c>
      <c r="H293" t="n">
        <v>0</v>
      </c>
      <c r="I293" t="n">
        <v>0</v>
      </c>
      <c r="J293" t="n">
        <v>0</v>
      </c>
      <c r="K293" t="n">
        <v>0</v>
      </c>
      <c r="L293" t="n">
        <v>0</v>
      </c>
      <c r="M293" t="n">
        <v>0</v>
      </c>
      <c r="N293" t="n">
        <v>0</v>
      </c>
      <c r="O293" t="n">
        <v>0</v>
      </c>
      <c r="P293" t="n">
        <v>0</v>
      </c>
      <c r="Q293" t="n">
        <v>0</v>
      </c>
      <c r="R293" s="2" t="inlineStr"/>
    </row>
    <row r="294" ht="15" customHeight="1">
      <c r="A294" t="inlineStr">
        <is>
          <t>A 66787-2019</t>
        </is>
      </c>
      <c r="B294" s="1" t="n">
        <v>43810</v>
      </c>
      <c r="C294" s="1" t="n">
        <v>45837</v>
      </c>
      <c r="D294" t="inlineStr">
        <is>
          <t>JÄMTLANDS LÄN</t>
        </is>
      </c>
      <c r="E294" t="inlineStr">
        <is>
          <t>ÅRE</t>
        </is>
      </c>
      <c r="G294" t="n">
        <v>2.7</v>
      </c>
      <c r="H294" t="n">
        <v>0</v>
      </c>
      <c r="I294" t="n">
        <v>0</v>
      </c>
      <c r="J294" t="n">
        <v>0</v>
      </c>
      <c r="K294" t="n">
        <v>0</v>
      </c>
      <c r="L294" t="n">
        <v>0</v>
      </c>
      <c r="M294" t="n">
        <v>0</v>
      </c>
      <c r="N294" t="n">
        <v>0</v>
      </c>
      <c r="O294" t="n">
        <v>0</v>
      </c>
      <c r="P294" t="n">
        <v>0</v>
      </c>
      <c r="Q294" t="n">
        <v>0</v>
      </c>
      <c r="R294" s="2" t="inlineStr"/>
    </row>
    <row r="295" ht="15" customHeight="1">
      <c r="A295" t="inlineStr">
        <is>
          <t>A 67988-2019</t>
        </is>
      </c>
      <c r="B295" s="1" t="n">
        <v>43811</v>
      </c>
      <c r="C295" s="1" t="n">
        <v>45837</v>
      </c>
      <c r="D295" t="inlineStr">
        <is>
          <t>JÄMTLANDS LÄN</t>
        </is>
      </c>
      <c r="E295" t="inlineStr">
        <is>
          <t>ÅRE</t>
        </is>
      </c>
      <c r="G295" t="n">
        <v>1.6</v>
      </c>
      <c r="H295" t="n">
        <v>0</v>
      </c>
      <c r="I295" t="n">
        <v>0</v>
      </c>
      <c r="J295" t="n">
        <v>0</v>
      </c>
      <c r="K295" t="n">
        <v>0</v>
      </c>
      <c r="L295" t="n">
        <v>0</v>
      </c>
      <c r="M295" t="n">
        <v>0</v>
      </c>
      <c r="N295" t="n">
        <v>0</v>
      </c>
      <c r="O295" t="n">
        <v>0</v>
      </c>
      <c r="P295" t="n">
        <v>0</v>
      </c>
      <c r="Q295" t="n">
        <v>0</v>
      </c>
      <c r="R295" s="2" t="inlineStr"/>
    </row>
    <row r="296" ht="15" customHeight="1">
      <c r="A296" t="inlineStr">
        <is>
          <t>A 68076-2019</t>
        </is>
      </c>
      <c r="B296" s="1" t="n">
        <v>43816</v>
      </c>
      <c r="C296" s="1" t="n">
        <v>45837</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68315-2019</t>
        </is>
      </c>
      <c r="B297" s="1" t="n">
        <v>43817</v>
      </c>
      <c r="C297" s="1" t="n">
        <v>45837</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824-2020</t>
        </is>
      </c>
      <c r="B298" s="1" t="n">
        <v>43818</v>
      </c>
      <c r="C298" s="1" t="n">
        <v>45837</v>
      </c>
      <c r="D298" t="inlineStr">
        <is>
          <t>JÄMTLANDS LÄN</t>
        </is>
      </c>
      <c r="E298" t="inlineStr">
        <is>
          <t>ÅRE</t>
        </is>
      </c>
      <c r="G298" t="n">
        <v>1.8</v>
      </c>
      <c r="H298" t="n">
        <v>0</v>
      </c>
      <c r="I298" t="n">
        <v>0</v>
      </c>
      <c r="J298" t="n">
        <v>0</v>
      </c>
      <c r="K298" t="n">
        <v>0</v>
      </c>
      <c r="L298" t="n">
        <v>0</v>
      </c>
      <c r="M298" t="n">
        <v>0</v>
      </c>
      <c r="N298" t="n">
        <v>0</v>
      </c>
      <c r="O298" t="n">
        <v>0</v>
      </c>
      <c r="P298" t="n">
        <v>0</v>
      </c>
      <c r="Q298" t="n">
        <v>0</v>
      </c>
      <c r="R298" s="2" t="inlineStr"/>
    </row>
    <row r="299" ht="15" customHeight="1">
      <c r="A299" t="inlineStr">
        <is>
          <t>A 70-2020</t>
        </is>
      </c>
      <c r="B299" s="1" t="n">
        <v>43832</v>
      </c>
      <c r="C299" s="1" t="n">
        <v>45837</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72-2020</t>
        </is>
      </c>
      <c r="B300" s="1" t="n">
        <v>43832</v>
      </c>
      <c r="C300" s="1" t="n">
        <v>45837</v>
      </c>
      <c r="D300" t="inlineStr">
        <is>
          <t>JÄMTLANDS LÄN</t>
        </is>
      </c>
      <c r="E300" t="inlineStr">
        <is>
          <t>ÅRE</t>
        </is>
      </c>
      <c r="G300" t="n">
        <v>4.7</v>
      </c>
      <c r="H300" t="n">
        <v>0</v>
      </c>
      <c r="I300" t="n">
        <v>0</v>
      </c>
      <c r="J300" t="n">
        <v>0</v>
      </c>
      <c r="K300" t="n">
        <v>0</v>
      </c>
      <c r="L300" t="n">
        <v>0</v>
      </c>
      <c r="M300" t="n">
        <v>0</v>
      </c>
      <c r="N300" t="n">
        <v>0</v>
      </c>
      <c r="O300" t="n">
        <v>0</v>
      </c>
      <c r="P300" t="n">
        <v>0</v>
      </c>
      <c r="Q300" t="n">
        <v>0</v>
      </c>
      <c r="R300" s="2" t="inlineStr"/>
    </row>
    <row r="301" ht="15" customHeight="1">
      <c r="A301" t="inlineStr">
        <is>
          <t>A 67-2020</t>
        </is>
      </c>
      <c r="B301" s="1" t="n">
        <v>43832</v>
      </c>
      <c r="C301" s="1" t="n">
        <v>45837</v>
      </c>
      <c r="D301" t="inlineStr">
        <is>
          <t>JÄMTLANDS LÄN</t>
        </is>
      </c>
      <c r="E301" t="inlineStr">
        <is>
          <t>ÅRE</t>
        </is>
      </c>
      <c r="G301" t="n">
        <v>0.4</v>
      </c>
      <c r="H301" t="n">
        <v>0</v>
      </c>
      <c r="I301" t="n">
        <v>0</v>
      </c>
      <c r="J301" t="n">
        <v>0</v>
      </c>
      <c r="K301" t="n">
        <v>0</v>
      </c>
      <c r="L301" t="n">
        <v>0</v>
      </c>
      <c r="M301" t="n">
        <v>0</v>
      </c>
      <c r="N301" t="n">
        <v>0</v>
      </c>
      <c r="O301" t="n">
        <v>0</v>
      </c>
      <c r="P301" t="n">
        <v>0</v>
      </c>
      <c r="Q301" t="n">
        <v>0</v>
      </c>
      <c r="R301" s="2" t="inlineStr"/>
    </row>
    <row r="302" ht="15" customHeight="1">
      <c r="A302" t="inlineStr">
        <is>
          <t>A 1819-2020</t>
        </is>
      </c>
      <c r="B302" s="1" t="n">
        <v>43833</v>
      </c>
      <c r="C302" s="1" t="n">
        <v>45837</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3838-2020</t>
        </is>
      </c>
      <c r="B303" s="1" t="n">
        <v>43854</v>
      </c>
      <c r="C303" s="1" t="n">
        <v>45837</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13402-2020</t>
        </is>
      </c>
      <c r="B304" s="1" t="n">
        <v>43902</v>
      </c>
      <c r="C304" s="1" t="n">
        <v>45837</v>
      </c>
      <c r="D304" t="inlineStr">
        <is>
          <t>JÄMTLANDS LÄN</t>
        </is>
      </c>
      <c r="E304" t="inlineStr">
        <is>
          <t>ÅRE</t>
        </is>
      </c>
      <c r="G304" t="n">
        <v>0.7</v>
      </c>
      <c r="H304" t="n">
        <v>0</v>
      </c>
      <c r="I304" t="n">
        <v>0</v>
      </c>
      <c r="J304" t="n">
        <v>0</v>
      </c>
      <c r="K304" t="n">
        <v>0</v>
      </c>
      <c r="L304" t="n">
        <v>0</v>
      </c>
      <c r="M304" t="n">
        <v>0</v>
      </c>
      <c r="N304" t="n">
        <v>0</v>
      </c>
      <c r="O304" t="n">
        <v>0</v>
      </c>
      <c r="P304" t="n">
        <v>0</v>
      </c>
      <c r="Q304" t="n">
        <v>0</v>
      </c>
      <c r="R304" s="2" t="inlineStr"/>
    </row>
    <row r="305" ht="15" customHeight="1">
      <c r="A305" t="inlineStr">
        <is>
          <t>A 13408-2020</t>
        </is>
      </c>
      <c r="B305" s="1" t="n">
        <v>43902</v>
      </c>
      <c r="C305" s="1" t="n">
        <v>45837</v>
      </c>
      <c r="D305" t="inlineStr">
        <is>
          <t>JÄMTLANDS LÄN</t>
        </is>
      </c>
      <c r="E305" t="inlineStr">
        <is>
          <t>ÅRE</t>
        </is>
      </c>
      <c r="G305" t="n">
        <v>0.6</v>
      </c>
      <c r="H305" t="n">
        <v>0</v>
      </c>
      <c r="I305" t="n">
        <v>0</v>
      </c>
      <c r="J305" t="n">
        <v>0</v>
      </c>
      <c r="K305" t="n">
        <v>0</v>
      </c>
      <c r="L305" t="n">
        <v>0</v>
      </c>
      <c r="M305" t="n">
        <v>0</v>
      </c>
      <c r="N305" t="n">
        <v>0</v>
      </c>
      <c r="O305" t="n">
        <v>0</v>
      </c>
      <c r="P305" t="n">
        <v>0</v>
      </c>
      <c r="Q305" t="n">
        <v>0</v>
      </c>
      <c r="R305" s="2" t="inlineStr"/>
    </row>
    <row r="306" ht="15" customHeight="1">
      <c r="A306" t="inlineStr">
        <is>
          <t>A 14753-2020</t>
        </is>
      </c>
      <c r="B306" s="1" t="n">
        <v>43909</v>
      </c>
      <c r="C306" s="1" t="n">
        <v>45837</v>
      </c>
      <c r="D306" t="inlineStr">
        <is>
          <t>JÄMTLANDS LÄN</t>
        </is>
      </c>
      <c r="E306" t="inlineStr">
        <is>
          <t>ÅRE</t>
        </is>
      </c>
      <c r="G306" t="n">
        <v>1.6</v>
      </c>
      <c r="H306" t="n">
        <v>0</v>
      </c>
      <c r="I306" t="n">
        <v>0</v>
      </c>
      <c r="J306" t="n">
        <v>0</v>
      </c>
      <c r="K306" t="n">
        <v>0</v>
      </c>
      <c r="L306" t="n">
        <v>0</v>
      </c>
      <c r="M306" t="n">
        <v>0</v>
      </c>
      <c r="N306" t="n">
        <v>0</v>
      </c>
      <c r="O306" t="n">
        <v>0</v>
      </c>
      <c r="P306" t="n">
        <v>0</v>
      </c>
      <c r="Q306" t="n">
        <v>0</v>
      </c>
      <c r="R306" s="2" t="inlineStr"/>
    </row>
    <row r="307" ht="15" customHeight="1">
      <c r="A307" t="inlineStr">
        <is>
          <t>A 20538-2020</t>
        </is>
      </c>
      <c r="B307" s="1" t="n">
        <v>43948</v>
      </c>
      <c r="C307" s="1" t="n">
        <v>45837</v>
      </c>
      <c r="D307" t="inlineStr">
        <is>
          <t>JÄMTLANDS LÄN</t>
        </is>
      </c>
      <c r="E307" t="inlineStr">
        <is>
          <t>ÅRE</t>
        </is>
      </c>
      <c r="G307" t="n">
        <v>3.7</v>
      </c>
      <c r="H307" t="n">
        <v>0</v>
      </c>
      <c r="I307" t="n">
        <v>0</v>
      </c>
      <c r="J307" t="n">
        <v>0</v>
      </c>
      <c r="K307" t="n">
        <v>0</v>
      </c>
      <c r="L307" t="n">
        <v>0</v>
      </c>
      <c r="M307" t="n">
        <v>0</v>
      </c>
      <c r="N307" t="n">
        <v>0</v>
      </c>
      <c r="O307" t="n">
        <v>0</v>
      </c>
      <c r="P307" t="n">
        <v>0</v>
      </c>
      <c r="Q307" t="n">
        <v>0</v>
      </c>
      <c r="R307" s="2" t="inlineStr"/>
    </row>
    <row r="308" ht="15" customHeight="1">
      <c r="A308" t="inlineStr">
        <is>
          <t>A 21448-2020</t>
        </is>
      </c>
      <c r="B308" s="1" t="n">
        <v>43956</v>
      </c>
      <c r="C308" s="1" t="n">
        <v>45837</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23393-2020</t>
        </is>
      </c>
      <c r="B309" s="1" t="n">
        <v>43968</v>
      </c>
      <c r="C309" s="1" t="n">
        <v>45837</v>
      </c>
      <c r="D309" t="inlineStr">
        <is>
          <t>JÄMTLANDS LÄN</t>
        </is>
      </c>
      <c r="E309" t="inlineStr">
        <is>
          <t>ÅRE</t>
        </is>
      </c>
      <c r="G309" t="n">
        <v>5</v>
      </c>
      <c r="H309" t="n">
        <v>0</v>
      </c>
      <c r="I309" t="n">
        <v>0</v>
      </c>
      <c r="J309" t="n">
        <v>0</v>
      </c>
      <c r="K309" t="n">
        <v>0</v>
      </c>
      <c r="L309" t="n">
        <v>0</v>
      </c>
      <c r="M309" t="n">
        <v>0</v>
      </c>
      <c r="N309" t="n">
        <v>0</v>
      </c>
      <c r="O309" t="n">
        <v>0</v>
      </c>
      <c r="P309" t="n">
        <v>0</v>
      </c>
      <c r="Q309" t="n">
        <v>0</v>
      </c>
      <c r="R309" s="2" t="inlineStr"/>
    </row>
    <row r="310" ht="15" customHeight="1">
      <c r="A310" t="inlineStr">
        <is>
          <t>A 24436-2020</t>
        </is>
      </c>
      <c r="B310" s="1" t="n">
        <v>43976</v>
      </c>
      <c r="C310" s="1" t="n">
        <v>45837</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25587-2020</t>
        </is>
      </c>
      <c r="B311" s="1" t="n">
        <v>43983</v>
      </c>
      <c r="C311" s="1" t="n">
        <v>45837</v>
      </c>
      <c r="D311" t="inlineStr">
        <is>
          <t>JÄMTLANDS LÄN</t>
        </is>
      </c>
      <c r="E311" t="inlineStr">
        <is>
          <t>ÅRE</t>
        </is>
      </c>
      <c r="G311" t="n">
        <v>10.3</v>
      </c>
      <c r="H311" t="n">
        <v>0</v>
      </c>
      <c r="I311" t="n">
        <v>0</v>
      </c>
      <c r="J311" t="n">
        <v>0</v>
      </c>
      <c r="K311" t="n">
        <v>0</v>
      </c>
      <c r="L311" t="n">
        <v>0</v>
      </c>
      <c r="M311" t="n">
        <v>0</v>
      </c>
      <c r="N311" t="n">
        <v>0</v>
      </c>
      <c r="O311" t="n">
        <v>0</v>
      </c>
      <c r="P311" t="n">
        <v>0</v>
      </c>
      <c r="Q311" t="n">
        <v>0</v>
      </c>
      <c r="R311" s="2" t="inlineStr"/>
    </row>
    <row r="312" ht="15" customHeight="1">
      <c r="A312" t="inlineStr">
        <is>
          <t>A 25592-2020</t>
        </is>
      </c>
      <c r="B312" s="1" t="n">
        <v>43983</v>
      </c>
      <c r="C312" s="1" t="n">
        <v>45837</v>
      </c>
      <c r="D312" t="inlineStr">
        <is>
          <t>JÄMTLANDS LÄN</t>
        </is>
      </c>
      <c r="E312" t="inlineStr">
        <is>
          <t>ÅRE</t>
        </is>
      </c>
      <c r="G312" t="n">
        <v>6.6</v>
      </c>
      <c r="H312" t="n">
        <v>0</v>
      </c>
      <c r="I312" t="n">
        <v>0</v>
      </c>
      <c r="J312" t="n">
        <v>0</v>
      </c>
      <c r="K312" t="n">
        <v>0</v>
      </c>
      <c r="L312" t="n">
        <v>0</v>
      </c>
      <c r="M312" t="n">
        <v>0</v>
      </c>
      <c r="N312" t="n">
        <v>0</v>
      </c>
      <c r="O312" t="n">
        <v>0</v>
      </c>
      <c r="P312" t="n">
        <v>0</v>
      </c>
      <c r="Q312" t="n">
        <v>0</v>
      </c>
      <c r="R312" s="2" t="inlineStr"/>
    </row>
    <row r="313" ht="15" customHeight="1">
      <c r="A313" t="inlineStr">
        <is>
          <t>A 27292-2020</t>
        </is>
      </c>
      <c r="B313" s="1" t="n">
        <v>43992</v>
      </c>
      <c r="C313" s="1" t="n">
        <v>45837</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27369-2020</t>
        </is>
      </c>
      <c r="B314" s="1" t="n">
        <v>43992</v>
      </c>
      <c r="C314" s="1" t="n">
        <v>45837</v>
      </c>
      <c r="D314" t="inlineStr">
        <is>
          <t>JÄMTLANDS LÄN</t>
        </is>
      </c>
      <c r="E314" t="inlineStr">
        <is>
          <t>ÅRE</t>
        </is>
      </c>
      <c r="G314" t="n">
        <v>7.3</v>
      </c>
      <c r="H314" t="n">
        <v>0</v>
      </c>
      <c r="I314" t="n">
        <v>0</v>
      </c>
      <c r="J314" t="n">
        <v>0</v>
      </c>
      <c r="K314" t="n">
        <v>0</v>
      </c>
      <c r="L314" t="n">
        <v>0</v>
      </c>
      <c r="M314" t="n">
        <v>0</v>
      </c>
      <c r="N314" t="n">
        <v>0</v>
      </c>
      <c r="O314" t="n">
        <v>0</v>
      </c>
      <c r="P314" t="n">
        <v>0</v>
      </c>
      <c r="Q314" t="n">
        <v>0</v>
      </c>
      <c r="R314" s="2" t="inlineStr"/>
    </row>
    <row r="315" ht="15" customHeight="1">
      <c r="A315" t="inlineStr">
        <is>
          <t>A 28422-2020</t>
        </is>
      </c>
      <c r="B315" s="1" t="n">
        <v>43998</v>
      </c>
      <c r="C315" s="1" t="n">
        <v>45837</v>
      </c>
      <c r="D315" t="inlineStr">
        <is>
          <t>JÄMTLANDS LÄN</t>
        </is>
      </c>
      <c r="E315" t="inlineStr">
        <is>
          <t>ÅRE</t>
        </is>
      </c>
      <c r="G315" t="n">
        <v>1.1</v>
      </c>
      <c r="H315" t="n">
        <v>0</v>
      </c>
      <c r="I315" t="n">
        <v>0</v>
      </c>
      <c r="J315" t="n">
        <v>0</v>
      </c>
      <c r="K315" t="n">
        <v>0</v>
      </c>
      <c r="L315" t="n">
        <v>0</v>
      </c>
      <c r="M315" t="n">
        <v>0</v>
      </c>
      <c r="N315" t="n">
        <v>0</v>
      </c>
      <c r="O315" t="n">
        <v>0</v>
      </c>
      <c r="P315" t="n">
        <v>0</v>
      </c>
      <c r="Q315" t="n">
        <v>0</v>
      </c>
      <c r="R315" s="2" t="inlineStr"/>
    </row>
    <row r="316" ht="15" customHeight="1">
      <c r="A316" t="inlineStr">
        <is>
          <t>A 28385-2020</t>
        </is>
      </c>
      <c r="B316" s="1" t="n">
        <v>43998</v>
      </c>
      <c r="C316" s="1" t="n">
        <v>45837</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28869-2020</t>
        </is>
      </c>
      <c r="B317" s="1" t="n">
        <v>44000</v>
      </c>
      <c r="C317" s="1" t="n">
        <v>45837</v>
      </c>
      <c r="D317" t="inlineStr">
        <is>
          <t>JÄMTLANDS LÄN</t>
        </is>
      </c>
      <c r="E317" t="inlineStr">
        <is>
          <t>ÅRE</t>
        </is>
      </c>
      <c r="F317" t="inlineStr">
        <is>
          <t>Kyrkan</t>
        </is>
      </c>
      <c r="G317" t="n">
        <v>1.7</v>
      </c>
      <c r="H317" t="n">
        <v>0</v>
      </c>
      <c r="I317" t="n">
        <v>0</v>
      </c>
      <c r="J317" t="n">
        <v>0</v>
      </c>
      <c r="K317" t="n">
        <v>0</v>
      </c>
      <c r="L317" t="n">
        <v>0</v>
      </c>
      <c r="M317" t="n">
        <v>0</v>
      </c>
      <c r="N317" t="n">
        <v>0</v>
      </c>
      <c r="O317" t="n">
        <v>0</v>
      </c>
      <c r="P317" t="n">
        <v>0</v>
      </c>
      <c r="Q317" t="n">
        <v>0</v>
      </c>
      <c r="R317" s="2" t="inlineStr"/>
    </row>
    <row r="318" ht="15" customHeight="1">
      <c r="A318" t="inlineStr">
        <is>
          <t>A 29083-2020</t>
        </is>
      </c>
      <c r="B318" s="1" t="n">
        <v>44002</v>
      </c>
      <c r="C318" s="1" t="n">
        <v>45837</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29080-2020</t>
        </is>
      </c>
      <c r="B319" s="1" t="n">
        <v>44002</v>
      </c>
      <c r="C319" s="1" t="n">
        <v>45837</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33239-2020</t>
        </is>
      </c>
      <c r="B320" s="1" t="n">
        <v>44022</v>
      </c>
      <c r="C320" s="1" t="n">
        <v>45837</v>
      </c>
      <c r="D320" t="inlineStr">
        <is>
          <t>JÄMTLANDS LÄN</t>
        </is>
      </c>
      <c r="E320" t="inlineStr">
        <is>
          <t>ÅRE</t>
        </is>
      </c>
      <c r="G320" t="n">
        <v>3</v>
      </c>
      <c r="H320" t="n">
        <v>0</v>
      </c>
      <c r="I320" t="n">
        <v>0</v>
      </c>
      <c r="J320" t="n">
        <v>0</v>
      </c>
      <c r="K320" t="n">
        <v>0</v>
      </c>
      <c r="L320" t="n">
        <v>0</v>
      </c>
      <c r="M320" t="n">
        <v>0</v>
      </c>
      <c r="N320" t="n">
        <v>0</v>
      </c>
      <c r="O320" t="n">
        <v>0</v>
      </c>
      <c r="P320" t="n">
        <v>0</v>
      </c>
      <c r="Q320" t="n">
        <v>0</v>
      </c>
      <c r="R320" s="2" t="inlineStr"/>
    </row>
    <row r="321" ht="15" customHeight="1">
      <c r="A321" t="inlineStr">
        <is>
          <t>A 33530-2020</t>
        </is>
      </c>
      <c r="B321" s="1" t="n">
        <v>44025</v>
      </c>
      <c r="C321" s="1" t="n">
        <v>45837</v>
      </c>
      <c r="D321" t="inlineStr">
        <is>
          <t>JÄMTLANDS LÄN</t>
        </is>
      </c>
      <c r="E321" t="inlineStr">
        <is>
          <t>ÅRE</t>
        </is>
      </c>
      <c r="G321" t="n">
        <v>3.1</v>
      </c>
      <c r="H321" t="n">
        <v>0</v>
      </c>
      <c r="I321" t="n">
        <v>0</v>
      </c>
      <c r="J321" t="n">
        <v>0</v>
      </c>
      <c r="K321" t="n">
        <v>0</v>
      </c>
      <c r="L321" t="n">
        <v>0</v>
      </c>
      <c r="M321" t="n">
        <v>0</v>
      </c>
      <c r="N321" t="n">
        <v>0</v>
      </c>
      <c r="O321" t="n">
        <v>0</v>
      </c>
      <c r="P321" t="n">
        <v>0</v>
      </c>
      <c r="Q321" t="n">
        <v>0</v>
      </c>
      <c r="R321" s="2" t="inlineStr"/>
    </row>
    <row r="322" ht="15" customHeight="1">
      <c r="A322" t="inlineStr">
        <is>
          <t>A 34013-2020</t>
        </is>
      </c>
      <c r="B322" s="1" t="n">
        <v>44028</v>
      </c>
      <c r="C322" s="1" t="n">
        <v>45837</v>
      </c>
      <c r="D322" t="inlineStr">
        <is>
          <t>JÄMTLANDS LÄN</t>
        </is>
      </c>
      <c r="E322" t="inlineStr">
        <is>
          <t>ÅRE</t>
        </is>
      </c>
      <c r="G322" t="n">
        <v>1.2</v>
      </c>
      <c r="H322" t="n">
        <v>0</v>
      </c>
      <c r="I322" t="n">
        <v>0</v>
      </c>
      <c r="J322" t="n">
        <v>0</v>
      </c>
      <c r="K322" t="n">
        <v>0</v>
      </c>
      <c r="L322" t="n">
        <v>0</v>
      </c>
      <c r="M322" t="n">
        <v>0</v>
      </c>
      <c r="N322" t="n">
        <v>0</v>
      </c>
      <c r="O322" t="n">
        <v>0</v>
      </c>
      <c r="P322" t="n">
        <v>0</v>
      </c>
      <c r="Q322" t="n">
        <v>0</v>
      </c>
      <c r="R322" s="2" t="inlineStr"/>
    </row>
    <row r="323" ht="15" customHeight="1">
      <c r="A323" t="inlineStr">
        <is>
          <t>A 34529-2020</t>
        </is>
      </c>
      <c r="B323" s="1" t="n">
        <v>44033</v>
      </c>
      <c r="C323" s="1" t="n">
        <v>45837</v>
      </c>
      <c r="D323" t="inlineStr">
        <is>
          <t>JÄMTLANDS LÄN</t>
        </is>
      </c>
      <c r="E323" t="inlineStr">
        <is>
          <t>ÅRE</t>
        </is>
      </c>
      <c r="G323" t="n">
        <v>0.5</v>
      </c>
      <c r="H323" t="n">
        <v>0</v>
      </c>
      <c r="I323" t="n">
        <v>0</v>
      </c>
      <c r="J323" t="n">
        <v>0</v>
      </c>
      <c r="K323" t="n">
        <v>0</v>
      </c>
      <c r="L323" t="n">
        <v>0</v>
      </c>
      <c r="M323" t="n">
        <v>0</v>
      </c>
      <c r="N323" t="n">
        <v>0</v>
      </c>
      <c r="O323" t="n">
        <v>0</v>
      </c>
      <c r="P323" t="n">
        <v>0</v>
      </c>
      <c r="Q323" t="n">
        <v>0</v>
      </c>
      <c r="R323" s="2" t="inlineStr"/>
    </row>
    <row r="324" ht="15" customHeight="1">
      <c r="A324" t="inlineStr">
        <is>
          <t>A 34678-2020</t>
        </is>
      </c>
      <c r="B324" s="1" t="n">
        <v>44033</v>
      </c>
      <c r="C324" s="1" t="n">
        <v>45837</v>
      </c>
      <c r="D324" t="inlineStr">
        <is>
          <t>JÄMTLANDS LÄN</t>
        </is>
      </c>
      <c r="E324" t="inlineStr">
        <is>
          <t>ÅRE</t>
        </is>
      </c>
      <c r="G324" t="n">
        <v>2.8</v>
      </c>
      <c r="H324" t="n">
        <v>0</v>
      </c>
      <c r="I324" t="n">
        <v>0</v>
      </c>
      <c r="J324" t="n">
        <v>0</v>
      </c>
      <c r="K324" t="n">
        <v>0</v>
      </c>
      <c r="L324" t="n">
        <v>0</v>
      </c>
      <c r="M324" t="n">
        <v>0</v>
      </c>
      <c r="N324" t="n">
        <v>0</v>
      </c>
      <c r="O324" t="n">
        <v>0</v>
      </c>
      <c r="P324" t="n">
        <v>0</v>
      </c>
      <c r="Q324" t="n">
        <v>0</v>
      </c>
      <c r="R324" s="2" t="inlineStr"/>
    </row>
    <row r="325" ht="15" customHeight="1">
      <c r="A325" t="inlineStr">
        <is>
          <t>A 34640-2020</t>
        </is>
      </c>
      <c r="B325" s="1" t="n">
        <v>44034</v>
      </c>
      <c r="C325" s="1" t="n">
        <v>45837</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35849-2020</t>
        </is>
      </c>
      <c r="B326" s="1" t="n">
        <v>44047</v>
      </c>
      <c r="C326" s="1" t="n">
        <v>45837</v>
      </c>
      <c r="D326" t="inlineStr">
        <is>
          <t>JÄMTLANDS LÄN</t>
        </is>
      </c>
      <c r="E326" t="inlineStr">
        <is>
          <t>ÅRE</t>
        </is>
      </c>
      <c r="G326" t="n">
        <v>21.3</v>
      </c>
      <c r="H326" t="n">
        <v>0</v>
      </c>
      <c r="I326" t="n">
        <v>0</v>
      </c>
      <c r="J326" t="n">
        <v>0</v>
      </c>
      <c r="K326" t="n">
        <v>0</v>
      </c>
      <c r="L326" t="n">
        <v>0</v>
      </c>
      <c r="M326" t="n">
        <v>0</v>
      </c>
      <c r="N326" t="n">
        <v>0</v>
      </c>
      <c r="O326" t="n">
        <v>0</v>
      </c>
      <c r="P326" t="n">
        <v>0</v>
      </c>
      <c r="Q326" t="n">
        <v>0</v>
      </c>
      <c r="R326" s="2" t="inlineStr"/>
    </row>
    <row r="327" ht="15" customHeight="1">
      <c r="A327" t="inlineStr">
        <is>
          <t>A 36506-2020</t>
        </is>
      </c>
      <c r="B327" s="1" t="n">
        <v>44050</v>
      </c>
      <c r="C327" s="1" t="n">
        <v>45837</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36501-2020</t>
        </is>
      </c>
      <c r="B328" s="1" t="n">
        <v>44050</v>
      </c>
      <c r="C328" s="1" t="n">
        <v>45837</v>
      </c>
      <c r="D328" t="inlineStr">
        <is>
          <t>JÄMTLANDS LÄN</t>
        </is>
      </c>
      <c r="E328" t="inlineStr">
        <is>
          <t>ÅRE</t>
        </is>
      </c>
      <c r="G328" t="n">
        <v>5.1</v>
      </c>
      <c r="H328" t="n">
        <v>0</v>
      </c>
      <c r="I328" t="n">
        <v>0</v>
      </c>
      <c r="J328" t="n">
        <v>0</v>
      </c>
      <c r="K328" t="n">
        <v>0</v>
      </c>
      <c r="L328" t="n">
        <v>0</v>
      </c>
      <c r="M328" t="n">
        <v>0</v>
      </c>
      <c r="N328" t="n">
        <v>0</v>
      </c>
      <c r="O328" t="n">
        <v>0</v>
      </c>
      <c r="P328" t="n">
        <v>0</v>
      </c>
      <c r="Q328" t="n">
        <v>0</v>
      </c>
      <c r="R328" s="2" t="inlineStr"/>
    </row>
    <row r="329" ht="15" customHeight="1">
      <c r="A329" t="inlineStr">
        <is>
          <t>A 38454-2020</t>
        </is>
      </c>
      <c r="B329" s="1" t="n">
        <v>44060</v>
      </c>
      <c r="C329" s="1" t="n">
        <v>45837</v>
      </c>
      <c r="D329" t="inlineStr">
        <is>
          <t>JÄMTLANDS LÄN</t>
        </is>
      </c>
      <c r="E329" t="inlineStr">
        <is>
          <t>ÅRE</t>
        </is>
      </c>
      <c r="G329" t="n">
        <v>6.9</v>
      </c>
      <c r="H329" t="n">
        <v>0</v>
      </c>
      <c r="I329" t="n">
        <v>0</v>
      </c>
      <c r="J329" t="n">
        <v>0</v>
      </c>
      <c r="K329" t="n">
        <v>0</v>
      </c>
      <c r="L329" t="n">
        <v>0</v>
      </c>
      <c r="M329" t="n">
        <v>0</v>
      </c>
      <c r="N329" t="n">
        <v>0</v>
      </c>
      <c r="O329" t="n">
        <v>0</v>
      </c>
      <c r="P329" t="n">
        <v>0</v>
      </c>
      <c r="Q329" t="n">
        <v>0</v>
      </c>
      <c r="R329" s="2" t="inlineStr"/>
    </row>
    <row r="330" ht="15" customHeight="1">
      <c r="A330" t="inlineStr">
        <is>
          <t>A 38455-2020</t>
        </is>
      </c>
      <c r="B330" s="1" t="n">
        <v>44060</v>
      </c>
      <c r="C330" s="1" t="n">
        <v>45837</v>
      </c>
      <c r="D330" t="inlineStr">
        <is>
          <t>JÄMTLANDS LÄN</t>
        </is>
      </c>
      <c r="E330" t="inlineStr">
        <is>
          <t>ÅRE</t>
        </is>
      </c>
      <c r="G330" t="n">
        <v>2.1</v>
      </c>
      <c r="H330" t="n">
        <v>0</v>
      </c>
      <c r="I330" t="n">
        <v>0</v>
      </c>
      <c r="J330" t="n">
        <v>0</v>
      </c>
      <c r="K330" t="n">
        <v>0</v>
      </c>
      <c r="L330" t="n">
        <v>0</v>
      </c>
      <c r="M330" t="n">
        <v>0</v>
      </c>
      <c r="N330" t="n">
        <v>0</v>
      </c>
      <c r="O330" t="n">
        <v>0</v>
      </c>
      <c r="P330" t="n">
        <v>0</v>
      </c>
      <c r="Q330" t="n">
        <v>0</v>
      </c>
      <c r="R330" s="2" t="inlineStr"/>
    </row>
    <row r="331" ht="15" customHeight="1">
      <c r="A331" t="inlineStr">
        <is>
          <t>A 40148-2020</t>
        </is>
      </c>
      <c r="B331" s="1" t="n">
        <v>44068</v>
      </c>
      <c r="C331" s="1" t="n">
        <v>45837</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42337-2020</t>
        </is>
      </c>
      <c r="B332" s="1" t="n">
        <v>44076</v>
      </c>
      <c r="C332" s="1" t="n">
        <v>45837</v>
      </c>
      <c r="D332" t="inlineStr">
        <is>
          <t>JÄMTLANDS LÄN</t>
        </is>
      </c>
      <c r="E332" t="inlineStr">
        <is>
          <t>ÅRE</t>
        </is>
      </c>
      <c r="G332" t="n">
        <v>3.6</v>
      </c>
      <c r="H332" t="n">
        <v>0</v>
      </c>
      <c r="I332" t="n">
        <v>0</v>
      </c>
      <c r="J332" t="n">
        <v>0</v>
      </c>
      <c r="K332" t="n">
        <v>0</v>
      </c>
      <c r="L332" t="n">
        <v>0</v>
      </c>
      <c r="M332" t="n">
        <v>0</v>
      </c>
      <c r="N332" t="n">
        <v>0</v>
      </c>
      <c r="O332" t="n">
        <v>0</v>
      </c>
      <c r="P332" t="n">
        <v>0</v>
      </c>
      <c r="Q332" t="n">
        <v>0</v>
      </c>
      <c r="R332" s="2" t="inlineStr"/>
    </row>
    <row r="333" ht="15" customHeight="1">
      <c r="A333" t="inlineStr">
        <is>
          <t>A 42643-2020</t>
        </is>
      </c>
      <c r="B333" s="1" t="n">
        <v>44077</v>
      </c>
      <c r="C333" s="1" t="n">
        <v>45837</v>
      </c>
      <c r="D333" t="inlineStr">
        <is>
          <t>JÄMTLANDS LÄN</t>
        </is>
      </c>
      <c r="E333" t="inlineStr">
        <is>
          <t>ÅRE</t>
        </is>
      </c>
      <c r="G333" t="n">
        <v>7.5</v>
      </c>
      <c r="H333" t="n">
        <v>0</v>
      </c>
      <c r="I333" t="n">
        <v>0</v>
      </c>
      <c r="J333" t="n">
        <v>0</v>
      </c>
      <c r="K333" t="n">
        <v>0</v>
      </c>
      <c r="L333" t="n">
        <v>0</v>
      </c>
      <c r="M333" t="n">
        <v>0</v>
      </c>
      <c r="N333" t="n">
        <v>0</v>
      </c>
      <c r="O333" t="n">
        <v>0</v>
      </c>
      <c r="P333" t="n">
        <v>0</v>
      </c>
      <c r="Q333" t="n">
        <v>0</v>
      </c>
      <c r="R333" s="2" t="inlineStr"/>
    </row>
    <row r="334" ht="15" customHeight="1">
      <c r="A334" t="inlineStr">
        <is>
          <t>A 42634-2020</t>
        </is>
      </c>
      <c r="B334" s="1" t="n">
        <v>44077</v>
      </c>
      <c r="C334" s="1" t="n">
        <v>45837</v>
      </c>
      <c r="D334" t="inlineStr">
        <is>
          <t>JÄMTLANDS LÄN</t>
        </is>
      </c>
      <c r="E334" t="inlineStr">
        <is>
          <t>ÅRE</t>
        </is>
      </c>
      <c r="G334" t="n">
        <v>3.7</v>
      </c>
      <c r="H334" t="n">
        <v>0</v>
      </c>
      <c r="I334" t="n">
        <v>0</v>
      </c>
      <c r="J334" t="n">
        <v>0</v>
      </c>
      <c r="K334" t="n">
        <v>0</v>
      </c>
      <c r="L334" t="n">
        <v>0</v>
      </c>
      <c r="M334" t="n">
        <v>0</v>
      </c>
      <c r="N334" t="n">
        <v>0</v>
      </c>
      <c r="O334" t="n">
        <v>0</v>
      </c>
      <c r="P334" t="n">
        <v>0</v>
      </c>
      <c r="Q334" t="n">
        <v>0</v>
      </c>
      <c r="R334" s="2" t="inlineStr"/>
    </row>
    <row r="335" ht="15" customHeight="1">
      <c r="A335" t="inlineStr">
        <is>
          <t>A 43167-2020</t>
        </is>
      </c>
      <c r="B335" s="1" t="n">
        <v>44077</v>
      </c>
      <c r="C335" s="1" t="n">
        <v>45837</v>
      </c>
      <c r="D335" t="inlineStr">
        <is>
          <t>JÄMTLANDS LÄN</t>
        </is>
      </c>
      <c r="E335" t="inlineStr">
        <is>
          <t>ÅRE</t>
        </is>
      </c>
      <c r="G335" t="n">
        <v>0.6</v>
      </c>
      <c r="H335" t="n">
        <v>0</v>
      </c>
      <c r="I335" t="n">
        <v>0</v>
      </c>
      <c r="J335" t="n">
        <v>0</v>
      </c>
      <c r="K335" t="n">
        <v>0</v>
      </c>
      <c r="L335" t="n">
        <v>0</v>
      </c>
      <c r="M335" t="n">
        <v>0</v>
      </c>
      <c r="N335" t="n">
        <v>0</v>
      </c>
      <c r="O335" t="n">
        <v>0</v>
      </c>
      <c r="P335" t="n">
        <v>0</v>
      </c>
      <c r="Q335" t="n">
        <v>0</v>
      </c>
      <c r="R335" s="2" t="inlineStr"/>
    </row>
    <row r="336" ht="15" customHeight="1">
      <c r="A336" t="inlineStr">
        <is>
          <t>A 42650-2020</t>
        </is>
      </c>
      <c r="B336" s="1" t="n">
        <v>44077</v>
      </c>
      <c r="C336" s="1" t="n">
        <v>45837</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46982-2020</t>
        </is>
      </c>
      <c r="B337" s="1" t="n">
        <v>44096</v>
      </c>
      <c r="C337" s="1" t="n">
        <v>45837</v>
      </c>
      <c r="D337" t="inlineStr">
        <is>
          <t>JÄMTLANDS LÄN</t>
        </is>
      </c>
      <c r="E337" t="inlineStr">
        <is>
          <t>ÅRE</t>
        </is>
      </c>
      <c r="G337" t="n">
        <v>2</v>
      </c>
      <c r="H337" t="n">
        <v>0</v>
      </c>
      <c r="I337" t="n">
        <v>0</v>
      </c>
      <c r="J337" t="n">
        <v>0</v>
      </c>
      <c r="K337" t="n">
        <v>0</v>
      </c>
      <c r="L337" t="n">
        <v>0</v>
      </c>
      <c r="M337" t="n">
        <v>0</v>
      </c>
      <c r="N337" t="n">
        <v>0</v>
      </c>
      <c r="O337" t="n">
        <v>0</v>
      </c>
      <c r="P337" t="n">
        <v>0</v>
      </c>
      <c r="Q337" t="n">
        <v>0</v>
      </c>
      <c r="R337" s="2" t="inlineStr"/>
    </row>
    <row r="338" ht="15" customHeight="1">
      <c r="A338" t="inlineStr">
        <is>
          <t>A 48177-2020</t>
        </is>
      </c>
      <c r="B338" s="1" t="n">
        <v>44102</v>
      </c>
      <c r="C338" s="1" t="n">
        <v>45837</v>
      </c>
      <c r="D338" t="inlineStr">
        <is>
          <t>JÄMTLANDS LÄN</t>
        </is>
      </c>
      <c r="E338" t="inlineStr">
        <is>
          <t>ÅRE</t>
        </is>
      </c>
      <c r="G338" t="n">
        <v>1.5</v>
      </c>
      <c r="H338" t="n">
        <v>0</v>
      </c>
      <c r="I338" t="n">
        <v>0</v>
      </c>
      <c r="J338" t="n">
        <v>0</v>
      </c>
      <c r="K338" t="n">
        <v>0</v>
      </c>
      <c r="L338" t="n">
        <v>0</v>
      </c>
      <c r="M338" t="n">
        <v>0</v>
      </c>
      <c r="N338" t="n">
        <v>0</v>
      </c>
      <c r="O338" t="n">
        <v>0</v>
      </c>
      <c r="P338" t="n">
        <v>0</v>
      </c>
      <c r="Q338" t="n">
        <v>0</v>
      </c>
      <c r="R338" s="2" t="inlineStr"/>
    </row>
    <row r="339" ht="15" customHeight="1">
      <c r="A339" t="inlineStr">
        <is>
          <t>A 49661-2020</t>
        </is>
      </c>
      <c r="B339" s="1" t="n">
        <v>44105</v>
      </c>
      <c r="C339" s="1" t="n">
        <v>45837</v>
      </c>
      <c r="D339" t="inlineStr">
        <is>
          <t>JÄMTLANDS LÄN</t>
        </is>
      </c>
      <c r="E339" t="inlineStr">
        <is>
          <t>ÅRE</t>
        </is>
      </c>
      <c r="F339" t="inlineStr">
        <is>
          <t>Övriga Aktiebolag</t>
        </is>
      </c>
      <c r="G339" t="n">
        <v>24.4</v>
      </c>
      <c r="H339" t="n">
        <v>0</v>
      </c>
      <c r="I339" t="n">
        <v>0</v>
      </c>
      <c r="J339" t="n">
        <v>0</v>
      </c>
      <c r="K339" t="n">
        <v>0</v>
      </c>
      <c r="L339" t="n">
        <v>0</v>
      </c>
      <c r="M339" t="n">
        <v>0</v>
      </c>
      <c r="N339" t="n">
        <v>0</v>
      </c>
      <c r="O339" t="n">
        <v>0</v>
      </c>
      <c r="P339" t="n">
        <v>0</v>
      </c>
      <c r="Q339" t="n">
        <v>0</v>
      </c>
      <c r="R339" s="2" t="inlineStr"/>
    </row>
    <row r="340" ht="15" customHeight="1">
      <c r="A340" t="inlineStr">
        <is>
          <t>A 49744-2020</t>
        </is>
      </c>
      <c r="B340" s="1" t="n">
        <v>44106</v>
      </c>
      <c r="C340" s="1" t="n">
        <v>45837</v>
      </c>
      <c r="D340" t="inlineStr">
        <is>
          <t>JÄMTLANDS LÄN</t>
        </is>
      </c>
      <c r="E340" t="inlineStr">
        <is>
          <t>ÅRE</t>
        </is>
      </c>
      <c r="G340" t="n">
        <v>0.8</v>
      </c>
      <c r="H340" t="n">
        <v>0</v>
      </c>
      <c r="I340" t="n">
        <v>0</v>
      </c>
      <c r="J340" t="n">
        <v>0</v>
      </c>
      <c r="K340" t="n">
        <v>0</v>
      </c>
      <c r="L340" t="n">
        <v>0</v>
      </c>
      <c r="M340" t="n">
        <v>0</v>
      </c>
      <c r="N340" t="n">
        <v>0</v>
      </c>
      <c r="O340" t="n">
        <v>0</v>
      </c>
      <c r="P340" t="n">
        <v>0</v>
      </c>
      <c r="Q340" t="n">
        <v>0</v>
      </c>
      <c r="R340" s="2" t="inlineStr"/>
    </row>
    <row r="341" ht="15" customHeight="1">
      <c r="A341" t="inlineStr">
        <is>
          <t>A 49748-2020</t>
        </is>
      </c>
      <c r="B341" s="1" t="n">
        <v>44106</v>
      </c>
      <c r="C341" s="1" t="n">
        <v>45837</v>
      </c>
      <c r="D341" t="inlineStr">
        <is>
          <t>JÄMTLANDS LÄN</t>
        </is>
      </c>
      <c r="E341" t="inlineStr">
        <is>
          <t>ÅRE</t>
        </is>
      </c>
      <c r="G341" t="n">
        <v>13.4</v>
      </c>
      <c r="H341" t="n">
        <v>0</v>
      </c>
      <c r="I341" t="n">
        <v>0</v>
      </c>
      <c r="J341" t="n">
        <v>0</v>
      </c>
      <c r="K341" t="n">
        <v>0</v>
      </c>
      <c r="L341" t="n">
        <v>0</v>
      </c>
      <c r="M341" t="n">
        <v>0</v>
      </c>
      <c r="N341" t="n">
        <v>0</v>
      </c>
      <c r="O341" t="n">
        <v>0</v>
      </c>
      <c r="P341" t="n">
        <v>0</v>
      </c>
      <c r="Q341" t="n">
        <v>0</v>
      </c>
      <c r="R341" s="2" t="inlineStr"/>
    </row>
    <row r="342" ht="15" customHeight="1">
      <c r="A342" t="inlineStr">
        <is>
          <t>A 49747-2020</t>
        </is>
      </c>
      <c r="B342" s="1" t="n">
        <v>44106</v>
      </c>
      <c r="C342" s="1" t="n">
        <v>45837</v>
      </c>
      <c r="D342" t="inlineStr">
        <is>
          <t>JÄMTLANDS LÄN</t>
        </is>
      </c>
      <c r="E342" t="inlineStr">
        <is>
          <t>ÅRE</t>
        </is>
      </c>
      <c r="G342" t="n">
        <v>9.4</v>
      </c>
      <c r="H342" t="n">
        <v>0</v>
      </c>
      <c r="I342" t="n">
        <v>0</v>
      </c>
      <c r="J342" t="n">
        <v>0</v>
      </c>
      <c r="K342" t="n">
        <v>0</v>
      </c>
      <c r="L342" t="n">
        <v>0</v>
      </c>
      <c r="M342" t="n">
        <v>0</v>
      </c>
      <c r="N342" t="n">
        <v>0</v>
      </c>
      <c r="O342" t="n">
        <v>0</v>
      </c>
      <c r="P342" t="n">
        <v>0</v>
      </c>
      <c r="Q342" t="n">
        <v>0</v>
      </c>
      <c r="R342" s="2" t="inlineStr"/>
    </row>
    <row r="343" ht="15" customHeight="1">
      <c r="A343" t="inlineStr">
        <is>
          <t>A 52548-2020</t>
        </is>
      </c>
      <c r="B343" s="1" t="n">
        <v>44116</v>
      </c>
      <c r="C343" s="1" t="n">
        <v>45837</v>
      </c>
      <c r="D343" t="inlineStr">
        <is>
          <t>JÄMTLANDS LÄN</t>
        </is>
      </c>
      <c r="E343" t="inlineStr">
        <is>
          <t>ÅRE</t>
        </is>
      </c>
      <c r="G343" t="n">
        <v>7.5</v>
      </c>
      <c r="H343" t="n">
        <v>0</v>
      </c>
      <c r="I343" t="n">
        <v>0</v>
      </c>
      <c r="J343" t="n">
        <v>0</v>
      </c>
      <c r="K343" t="n">
        <v>0</v>
      </c>
      <c r="L343" t="n">
        <v>0</v>
      </c>
      <c r="M343" t="n">
        <v>0</v>
      </c>
      <c r="N343" t="n">
        <v>0</v>
      </c>
      <c r="O343" t="n">
        <v>0</v>
      </c>
      <c r="P343" t="n">
        <v>0</v>
      </c>
      <c r="Q343" t="n">
        <v>0</v>
      </c>
      <c r="R343" s="2" t="inlineStr"/>
    </row>
    <row r="344" ht="15" customHeight="1">
      <c r="A344" t="inlineStr">
        <is>
          <t>A 53042-2020</t>
        </is>
      </c>
      <c r="B344" s="1" t="n">
        <v>44120</v>
      </c>
      <c r="C344" s="1" t="n">
        <v>45837</v>
      </c>
      <c r="D344" t="inlineStr">
        <is>
          <t>JÄMTLANDS LÄN</t>
        </is>
      </c>
      <c r="E344" t="inlineStr">
        <is>
          <t>ÅRE</t>
        </is>
      </c>
      <c r="G344" t="n">
        <v>17.1</v>
      </c>
      <c r="H344" t="n">
        <v>0</v>
      </c>
      <c r="I344" t="n">
        <v>0</v>
      </c>
      <c r="J344" t="n">
        <v>0</v>
      </c>
      <c r="K344" t="n">
        <v>0</v>
      </c>
      <c r="L344" t="n">
        <v>0</v>
      </c>
      <c r="M344" t="n">
        <v>0</v>
      </c>
      <c r="N344" t="n">
        <v>0</v>
      </c>
      <c r="O344" t="n">
        <v>0</v>
      </c>
      <c r="P344" t="n">
        <v>0</v>
      </c>
      <c r="Q344" t="n">
        <v>0</v>
      </c>
      <c r="R344" s="2" t="inlineStr"/>
    </row>
    <row r="345" ht="15" customHeight="1">
      <c r="A345" t="inlineStr">
        <is>
          <t>A 54015-2020</t>
        </is>
      </c>
      <c r="B345" s="1" t="n">
        <v>44125</v>
      </c>
      <c r="C345" s="1" t="n">
        <v>45837</v>
      </c>
      <c r="D345" t="inlineStr">
        <is>
          <t>JÄMTLANDS LÄN</t>
        </is>
      </c>
      <c r="E345" t="inlineStr">
        <is>
          <t>ÅRE</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54945-2020</t>
        </is>
      </c>
      <c r="B346" s="1" t="n">
        <v>44129</v>
      </c>
      <c r="C346" s="1" t="n">
        <v>45837</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54944-2020</t>
        </is>
      </c>
      <c r="B347" s="1" t="n">
        <v>44129</v>
      </c>
      <c r="C347" s="1" t="n">
        <v>45837</v>
      </c>
      <c r="D347" t="inlineStr">
        <is>
          <t>JÄMTLANDS LÄN</t>
        </is>
      </c>
      <c r="E347" t="inlineStr">
        <is>
          <t>ÅRE</t>
        </is>
      </c>
      <c r="G347" t="n">
        <v>0.3</v>
      </c>
      <c r="H347" t="n">
        <v>0</v>
      </c>
      <c r="I347" t="n">
        <v>0</v>
      </c>
      <c r="J347" t="n">
        <v>0</v>
      </c>
      <c r="K347" t="n">
        <v>0</v>
      </c>
      <c r="L347" t="n">
        <v>0</v>
      </c>
      <c r="M347" t="n">
        <v>0</v>
      </c>
      <c r="N347" t="n">
        <v>0</v>
      </c>
      <c r="O347" t="n">
        <v>0</v>
      </c>
      <c r="P347" t="n">
        <v>0</v>
      </c>
      <c r="Q347" t="n">
        <v>0</v>
      </c>
      <c r="R347" s="2" t="inlineStr"/>
    </row>
    <row r="348" ht="15" customHeight="1">
      <c r="A348" t="inlineStr">
        <is>
          <t>A 56352-2020</t>
        </is>
      </c>
      <c r="B348" s="1" t="n">
        <v>44135</v>
      </c>
      <c r="C348" s="1" t="n">
        <v>45837</v>
      </c>
      <c r="D348" t="inlineStr">
        <is>
          <t>JÄMTLANDS LÄN</t>
        </is>
      </c>
      <c r="E348" t="inlineStr">
        <is>
          <t>ÅRE</t>
        </is>
      </c>
      <c r="G348" t="n">
        <v>95.09999999999999</v>
      </c>
      <c r="H348" t="n">
        <v>0</v>
      </c>
      <c r="I348" t="n">
        <v>0</v>
      </c>
      <c r="J348" t="n">
        <v>0</v>
      </c>
      <c r="K348" t="n">
        <v>0</v>
      </c>
      <c r="L348" t="n">
        <v>0</v>
      </c>
      <c r="M348" t="n">
        <v>0</v>
      </c>
      <c r="N348" t="n">
        <v>0</v>
      </c>
      <c r="O348" t="n">
        <v>0</v>
      </c>
      <c r="P348" t="n">
        <v>0</v>
      </c>
      <c r="Q348" t="n">
        <v>0</v>
      </c>
      <c r="R348" s="2" t="inlineStr"/>
    </row>
    <row r="349" ht="15" customHeight="1">
      <c r="A349" t="inlineStr">
        <is>
          <t>A 57578-2020</t>
        </is>
      </c>
      <c r="B349" s="1" t="n">
        <v>44140</v>
      </c>
      <c r="C349" s="1" t="n">
        <v>45837</v>
      </c>
      <c r="D349" t="inlineStr">
        <is>
          <t>JÄMTLANDS LÄN</t>
        </is>
      </c>
      <c r="E349" t="inlineStr">
        <is>
          <t>ÅRE</t>
        </is>
      </c>
      <c r="G349" t="n">
        <v>94.40000000000001</v>
      </c>
      <c r="H349" t="n">
        <v>0</v>
      </c>
      <c r="I349" t="n">
        <v>0</v>
      </c>
      <c r="J349" t="n">
        <v>0</v>
      </c>
      <c r="K349" t="n">
        <v>0</v>
      </c>
      <c r="L349" t="n">
        <v>0</v>
      </c>
      <c r="M349" t="n">
        <v>0</v>
      </c>
      <c r="N349" t="n">
        <v>0</v>
      </c>
      <c r="O349" t="n">
        <v>0</v>
      </c>
      <c r="P349" t="n">
        <v>0</v>
      </c>
      <c r="Q349" t="n">
        <v>0</v>
      </c>
      <c r="R349" s="2" t="inlineStr"/>
    </row>
    <row r="350" ht="15" customHeight="1">
      <c r="A350" t="inlineStr">
        <is>
          <t>A 57594-2020</t>
        </is>
      </c>
      <c r="B350" s="1" t="n">
        <v>44140</v>
      </c>
      <c r="C350" s="1" t="n">
        <v>45837</v>
      </c>
      <c r="D350" t="inlineStr">
        <is>
          <t>JÄMTLANDS LÄN</t>
        </is>
      </c>
      <c r="E350" t="inlineStr">
        <is>
          <t>ÅRE</t>
        </is>
      </c>
      <c r="G350" t="n">
        <v>14.9</v>
      </c>
      <c r="H350" t="n">
        <v>0</v>
      </c>
      <c r="I350" t="n">
        <v>0</v>
      </c>
      <c r="J350" t="n">
        <v>0</v>
      </c>
      <c r="K350" t="n">
        <v>0</v>
      </c>
      <c r="L350" t="n">
        <v>0</v>
      </c>
      <c r="M350" t="n">
        <v>0</v>
      </c>
      <c r="N350" t="n">
        <v>0</v>
      </c>
      <c r="O350" t="n">
        <v>0</v>
      </c>
      <c r="P350" t="n">
        <v>0</v>
      </c>
      <c r="Q350" t="n">
        <v>0</v>
      </c>
      <c r="R350" s="2" t="inlineStr"/>
    </row>
    <row r="351" ht="15" customHeight="1">
      <c r="A351" t="inlineStr">
        <is>
          <t>A 57586-2020</t>
        </is>
      </c>
      <c r="B351" s="1" t="n">
        <v>44140</v>
      </c>
      <c r="C351" s="1" t="n">
        <v>45837</v>
      </c>
      <c r="D351" t="inlineStr">
        <is>
          <t>JÄMTLANDS LÄN</t>
        </is>
      </c>
      <c r="E351" t="inlineStr">
        <is>
          <t>ÅRE</t>
        </is>
      </c>
      <c r="G351" t="n">
        <v>9.5</v>
      </c>
      <c r="H351" t="n">
        <v>0</v>
      </c>
      <c r="I351" t="n">
        <v>0</v>
      </c>
      <c r="J351" t="n">
        <v>0</v>
      </c>
      <c r="K351" t="n">
        <v>0</v>
      </c>
      <c r="L351" t="n">
        <v>0</v>
      </c>
      <c r="M351" t="n">
        <v>0</v>
      </c>
      <c r="N351" t="n">
        <v>0</v>
      </c>
      <c r="O351" t="n">
        <v>0</v>
      </c>
      <c r="P351" t="n">
        <v>0</v>
      </c>
      <c r="Q351" t="n">
        <v>0</v>
      </c>
      <c r="R351" s="2" t="inlineStr"/>
    </row>
    <row r="352" ht="15" customHeight="1">
      <c r="A352" t="inlineStr">
        <is>
          <t>A 58960-2020</t>
        </is>
      </c>
      <c r="B352" s="1" t="n">
        <v>44146</v>
      </c>
      <c r="C352" s="1" t="n">
        <v>45837</v>
      </c>
      <c r="D352" t="inlineStr">
        <is>
          <t>JÄMTLANDS LÄN</t>
        </is>
      </c>
      <c r="E352" t="inlineStr">
        <is>
          <t>ÅRE</t>
        </is>
      </c>
      <c r="G352" t="n">
        <v>5.5</v>
      </c>
      <c r="H352" t="n">
        <v>0</v>
      </c>
      <c r="I352" t="n">
        <v>0</v>
      </c>
      <c r="J352" t="n">
        <v>0</v>
      </c>
      <c r="K352" t="n">
        <v>0</v>
      </c>
      <c r="L352" t="n">
        <v>0</v>
      </c>
      <c r="M352" t="n">
        <v>0</v>
      </c>
      <c r="N352" t="n">
        <v>0</v>
      </c>
      <c r="O352" t="n">
        <v>0</v>
      </c>
      <c r="P352" t="n">
        <v>0</v>
      </c>
      <c r="Q352" t="n">
        <v>0</v>
      </c>
      <c r="R352" s="2" t="inlineStr"/>
    </row>
    <row r="353" ht="15" customHeight="1">
      <c r="A353" t="inlineStr">
        <is>
          <t>A 60016-2020</t>
        </is>
      </c>
      <c r="B353" s="1" t="n">
        <v>44151</v>
      </c>
      <c r="C353" s="1" t="n">
        <v>45837</v>
      </c>
      <c r="D353" t="inlineStr">
        <is>
          <t>JÄMTLANDS LÄN</t>
        </is>
      </c>
      <c r="E353" t="inlineStr">
        <is>
          <t>ÅRE</t>
        </is>
      </c>
      <c r="G353" t="n">
        <v>14.7</v>
      </c>
      <c r="H353" t="n">
        <v>0</v>
      </c>
      <c r="I353" t="n">
        <v>0</v>
      </c>
      <c r="J353" t="n">
        <v>0</v>
      </c>
      <c r="K353" t="n">
        <v>0</v>
      </c>
      <c r="L353" t="n">
        <v>0</v>
      </c>
      <c r="M353" t="n">
        <v>0</v>
      </c>
      <c r="N353" t="n">
        <v>0</v>
      </c>
      <c r="O353" t="n">
        <v>0</v>
      </c>
      <c r="P353" t="n">
        <v>0</v>
      </c>
      <c r="Q353" t="n">
        <v>0</v>
      </c>
      <c r="R353" s="2" t="inlineStr"/>
    </row>
    <row r="354" ht="15" customHeight="1">
      <c r="A354" t="inlineStr">
        <is>
          <t>A 61347-2020</t>
        </is>
      </c>
      <c r="B354" s="1" t="n">
        <v>44155</v>
      </c>
      <c r="C354" s="1" t="n">
        <v>45837</v>
      </c>
      <c r="D354" t="inlineStr">
        <is>
          <t>JÄMTLANDS LÄN</t>
        </is>
      </c>
      <c r="E354" t="inlineStr">
        <is>
          <t>ÅRE</t>
        </is>
      </c>
      <c r="G354" t="n">
        <v>3.1</v>
      </c>
      <c r="H354" t="n">
        <v>0</v>
      </c>
      <c r="I354" t="n">
        <v>0</v>
      </c>
      <c r="J354" t="n">
        <v>0</v>
      </c>
      <c r="K354" t="n">
        <v>0</v>
      </c>
      <c r="L354" t="n">
        <v>0</v>
      </c>
      <c r="M354" t="n">
        <v>0</v>
      </c>
      <c r="N354" t="n">
        <v>0</v>
      </c>
      <c r="O354" t="n">
        <v>0</v>
      </c>
      <c r="P354" t="n">
        <v>0</v>
      </c>
      <c r="Q354" t="n">
        <v>0</v>
      </c>
      <c r="R354" s="2" t="inlineStr"/>
    </row>
    <row r="355" ht="15" customHeight="1">
      <c r="A355" t="inlineStr">
        <is>
          <t>A 61595-2020</t>
        </is>
      </c>
      <c r="B355" s="1" t="n">
        <v>44158</v>
      </c>
      <c r="C355" s="1" t="n">
        <v>45837</v>
      </c>
      <c r="D355" t="inlineStr">
        <is>
          <t>JÄMTLANDS LÄN</t>
        </is>
      </c>
      <c r="E355" t="inlineStr">
        <is>
          <t>ÅRE</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64355-2020</t>
        </is>
      </c>
      <c r="B356" s="1" t="n">
        <v>44168</v>
      </c>
      <c r="C356" s="1" t="n">
        <v>45837</v>
      </c>
      <c r="D356" t="inlineStr">
        <is>
          <t>JÄMTLANDS LÄN</t>
        </is>
      </c>
      <c r="E356" t="inlineStr">
        <is>
          <t>ÅRE</t>
        </is>
      </c>
      <c r="G356" t="n">
        <v>2.1</v>
      </c>
      <c r="H356" t="n">
        <v>0</v>
      </c>
      <c r="I356" t="n">
        <v>0</v>
      </c>
      <c r="J356" t="n">
        <v>0</v>
      </c>
      <c r="K356" t="n">
        <v>0</v>
      </c>
      <c r="L356" t="n">
        <v>0</v>
      </c>
      <c r="M356" t="n">
        <v>0</v>
      </c>
      <c r="N356" t="n">
        <v>0</v>
      </c>
      <c r="O356" t="n">
        <v>0</v>
      </c>
      <c r="P356" t="n">
        <v>0</v>
      </c>
      <c r="Q356" t="n">
        <v>0</v>
      </c>
      <c r="R356" s="2" t="inlineStr"/>
    </row>
    <row r="357" ht="15" customHeight="1">
      <c r="A357" t="inlineStr">
        <is>
          <t>A 66083-2020</t>
        </is>
      </c>
      <c r="B357" s="1" t="n">
        <v>44172</v>
      </c>
      <c r="C357" s="1" t="n">
        <v>45837</v>
      </c>
      <c r="D357" t="inlineStr">
        <is>
          <t>JÄMTLANDS LÄN</t>
        </is>
      </c>
      <c r="E357" t="inlineStr">
        <is>
          <t>ÅRE</t>
        </is>
      </c>
      <c r="G357" t="n">
        <v>563.3</v>
      </c>
      <c r="H357" t="n">
        <v>0</v>
      </c>
      <c r="I357" t="n">
        <v>0</v>
      </c>
      <c r="J357" t="n">
        <v>0</v>
      </c>
      <c r="K357" t="n">
        <v>0</v>
      </c>
      <c r="L357" t="n">
        <v>0</v>
      </c>
      <c r="M357" t="n">
        <v>0</v>
      </c>
      <c r="N357" t="n">
        <v>0</v>
      </c>
      <c r="O357" t="n">
        <v>0</v>
      </c>
      <c r="P357" t="n">
        <v>0</v>
      </c>
      <c r="Q357" t="n">
        <v>0</v>
      </c>
      <c r="R357" s="2" t="inlineStr"/>
    </row>
    <row r="358" ht="15" customHeight="1">
      <c r="A358" t="inlineStr">
        <is>
          <t>A 65439-2020</t>
        </is>
      </c>
      <c r="B358" s="1" t="n">
        <v>44173</v>
      </c>
      <c r="C358" s="1" t="n">
        <v>45837</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65512-2020</t>
        </is>
      </c>
      <c r="B359" s="1" t="n">
        <v>44173</v>
      </c>
      <c r="C359" s="1" t="n">
        <v>45837</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65519-2020</t>
        </is>
      </c>
      <c r="B360" s="1" t="n">
        <v>44173</v>
      </c>
      <c r="C360" s="1" t="n">
        <v>45837</v>
      </c>
      <c r="D360" t="inlineStr">
        <is>
          <t>JÄMTLANDS LÄN</t>
        </is>
      </c>
      <c r="E360" t="inlineStr">
        <is>
          <t>ÅRE</t>
        </is>
      </c>
      <c r="G360" t="n">
        <v>1.1</v>
      </c>
      <c r="H360" t="n">
        <v>0</v>
      </c>
      <c r="I360" t="n">
        <v>0</v>
      </c>
      <c r="J360" t="n">
        <v>0</v>
      </c>
      <c r="K360" t="n">
        <v>0</v>
      </c>
      <c r="L360" t="n">
        <v>0</v>
      </c>
      <c r="M360" t="n">
        <v>0</v>
      </c>
      <c r="N360" t="n">
        <v>0</v>
      </c>
      <c r="O360" t="n">
        <v>0</v>
      </c>
      <c r="P360" t="n">
        <v>0</v>
      </c>
      <c r="Q360" t="n">
        <v>0</v>
      </c>
      <c r="R360" s="2" t="inlineStr"/>
    </row>
    <row r="361" ht="15" customHeight="1">
      <c r="A361" t="inlineStr">
        <is>
          <t>A 66755-2020</t>
        </is>
      </c>
      <c r="B361" s="1" t="n">
        <v>44179</v>
      </c>
      <c r="C361" s="1" t="n">
        <v>45837</v>
      </c>
      <c r="D361" t="inlineStr">
        <is>
          <t>JÄMTLANDS LÄN</t>
        </is>
      </c>
      <c r="E361" t="inlineStr">
        <is>
          <t>ÅRE</t>
        </is>
      </c>
      <c r="G361" t="n">
        <v>3.5</v>
      </c>
      <c r="H361" t="n">
        <v>0</v>
      </c>
      <c r="I361" t="n">
        <v>0</v>
      </c>
      <c r="J361" t="n">
        <v>0</v>
      </c>
      <c r="K361" t="n">
        <v>0</v>
      </c>
      <c r="L361" t="n">
        <v>0</v>
      </c>
      <c r="M361" t="n">
        <v>0</v>
      </c>
      <c r="N361" t="n">
        <v>0</v>
      </c>
      <c r="O361" t="n">
        <v>0</v>
      </c>
      <c r="P361" t="n">
        <v>0</v>
      </c>
      <c r="Q361" t="n">
        <v>0</v>
      </c>
      <c r="R361" s="2" t="inlineStr"/>
    </row>
    <row r="362" ht="15" customHeight="1">
      <c r="A362" t="inlineStr">
        <is>
          <t>A 66790-2020</t>
        </is>
      </c>
      <c r="B362" s="1" t="n">
        <v>44179</v>
      </c>
      <c r="C362" s="1" t="n">
        <v>45837</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67270-2020</t>
        </is>
      </c>
      <c r="B363" s="1" t="n">
        <v>44179</v>
      </c>
      <c r="C363" s="1" t="n">
        <v>45837</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67972-2020</t>
        </is>
      </c>
      <c r="B364" s="1" t="n">
        <v>44182</v>
      </c>
      <c r="C364" s="1" t="n">
        <v>45837</v>
      </c>
      <c r="D364" t="inlineStr">
        <is>
          <t>JÄMTLANDS LÄN</t>
        </is>
      </c>
      <c r="E364" t="inlineStr">
        <is>
          <t>ÅRE</t>
        </is>
      </c>
      <c r="G364" t="n">
        <v>6</v>
      </c>
      <c r="H364" t="n">
        <v>0</v>
      </c>
      <c r="I364" t="n">
        <v>0</v>
      </c>
      <c r="J364" t="n">
        <v>0</v>
      </c>
      <c r="K364" t="n">
        <v>0</v>
      </c>
      <c r="L364" t="n">
        <v>0</v>
      </c>
      <c r="M364" t="n">
        <v>0</v>
      </c>
      <c r="N364" t="n">
        <v>0</v>
      </c>
      <c r="O364" t="n">
        <v>0</v>
      </c>
      <c r="P364" t="n">
        <v>0</v>
      </c>
      <c r="Q364" t="n">
        <v>0</v>
      </c>
      <c r="R364" s="2" t="inlineStr"/>
    </row>
    <row r="365" ht="15" customHeight="1">
      <c r="A365" t="inlineStr">
        <is>
          <t>A 68545-2020</t>
        </is>
      </c>
      <c r="B365" s="1" t="n">
        <v>44186</v>
      </c>
      <c r="C365" s="1" t="n">
        <v>45837</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68537-2020</t>
        </is>
      </c>
      <c r="B366" s="1" t="n">
        <v>44186</v>
      </c>
      <c r="C366" s="1" t="n">
        <v>45837</v>
      </c>
      <c r="D366" t="inlineStr">
        <is>
          <t>JÄMTLANDS LÄN</t>
        </is>
      </c>
      <c r="E366" t="inlineStr">
        <is>
          <t>ÅRE</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68518-2020</t>
        </is>
      </c>
      <c r="B367" s="1" t="n">
        <v>44186</v>
      </c>
      <c r="C367" s="1" t="n">
        <v>45837</v>
      </c>
      <c r="D367" t="inlineStr">
        <is>
          <t>JÄMTLANDS LÄN</t>
        </is>
      </c>
      <c r="E367" t="inlineStr">
        <is>
          <t>ÅRE</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68594-2020</t>
        </is>
      </c>
      <c r="B368" s="1" t="n">
        <v>44186</v>
      </c>
      <c r="C368" s="1" t="n">
        <v>45837</v>
      </c>
      <c r="D368" t="inlineStr">
        <is>
          <t>JÄMTLANDS LÄN</t>
        </is>
      </c>
      <c r="E368" t="inlineStr">
        <is>
          <t>ÅRE</t>
        </is>
      </c>
      <c r="G368" t="n">
        <v>2.8</v>
      </c>
      <c r="H368" t="n">
        <v>0</v>
      </c>
      <c r="I368" t="n">
        <v>0</v>
      </c>
      <c r="J368" t="n">
        <v>0</v>
      </c>
      <c r="K368" t="n">
        <v>0</v>
      </c>
      <c r="L368" t="n">
        <v>0</v>
      </c>
      <c r="M368" t="n">
        <v>0</v>
      </c>
      <c r="N368" t="n">
        <v>0</v>
      </c>
      <c r="O368" t="n">
        <v>0</v>
      </c>
      <c r="P368" t="n">
        <v>0</v>
      </c>
      <c r="Q368" t="n">
        <v>0</v>
      </c>
      <c r="R368" s="2" t="inlineStr"/>
    </row>
    <row r="369" ht="15" customHeight="1">
      <c r="A369" t="inlineStr">
        <is>
          <t>A 1339-2021</t>
        </is>
      </c>
      <c r="B369" s="1" t="n">
        <v>44208</v>
      </c>
      <c r="C369" s="1" t="n">
        <v>45837</v>
      </c>
      <c r="D369" t="inlineStr">
        <is>
          <t>JÄMTLANDS LÄN</t>
        </is>
      </c>
      <c r="E369" t="inlineStr">
        <is>
          <t>ÅRE</t>
        </is>
      </c>
      <c r="G369" t="n">
        <v>0.9</v>
      </c>
      <c r="H369" t="n">
        <v>0</v>
      </c>
      <c r="I369" t="n">
        <v>0</v>
      </c>
      <c r="J369" t="n">
        <v>0</v>
      </c>
      <c r="K369" t="n">
        <v>0</v>
      </c>
      <c r="L369" t="n">
        <v>0</v>
      </c>
      <c r="M369" t="n">
        <v>0</v>
      </c>
      <c r="N369" t="n">
        <v>0</v>
      </c>
      <c r="O369" t="n">
        <v>0</v>
      </c>
      <c r="P369" t="n">
        <v>0</v>
      </c>
      <c r="Q369" t="n">
        <v>0</v>
      </c>
      <c r="R369" s="2" t="inlineStr"/>
    </row>
    <row r="370" ht="15" customHeight="1">
      <c r="A370" t="inlineStr">
        <is>
          <t>A 4838-2021</t>
        </is>
      </c>
      <c r="B370" s="1" t="n">
        <v>44225</v>
      </c>
      <c r="C370" s="1" t="n">
        <v>45837</v>
      </c>
      <c r="D370" t="inlineStr">
        <is>
          <t>JÄMTLANDS LÄN</t>
        </is>
      </c>
      <c r="E370" t="inlineStr">
        <is>
          <t>ÅRE</t>
        </is>
      </c>
      <c r="G370" t="n">
        <v>12.4</v>
      </c>
      <c r="H370" t="n">
        <v>0</v>
      </c>
      <c r="I370" t="n">
        <v>0</v>
      </c>
      <c r="J370" t="n">
        <v>0</v>
      </c>
      <c r="K370" t="n">
        <v>0</v>
      </c>
      <c r="L370" t="n">
        <v>0</v>
      </c>
      <c r="M370" t="n">
        <v>0</v>
      </c>
      <c r="N370" t="n">
        <v>0</v>
      </c>
      <c r="O370" t="n">
        <v>0</v>
      </c>
      <c r="P370" t="n">
        <v>0</v>
      </c>
      <c r="Q370" t="n">
        <v>0</v>
      </c>
      <c r="R370" s="2" t="inlineStr"/>
    </row>
    <row r="371" ht="15" customHeight="1">
      <c r="A371" t="inlineStr">
        <is>
          <t>A 4870-2021</t>
        </is>
      </c>
      <c r="B371" s="1" t="n">
        <v>44225</v>
      </c>
      <c r="C371" s="1" t="n">
        <v>45837</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5401-2021</t>
        </is>
      </c>
      <c r="B372" s="1" t="n">
        <v>44229</v>
      </c>
      <c r="C372" s="1" t="n">
        <v>45837</v>
      </c>
      <c r="D372" t="inlineStr">
        <is>
          <t>JÄMTLANDS LÄN</t>
        </is>
      </c>
      <c r="E372" t="inlineStr">
        <is>
          <t>ÅRE</t>
        </is>
      </c>
      <c r="G372" t="n">
        <v>10</v>
      </c>
      <c r="H372" t="n">
        <v>0</v>
      </c>
      <c r="I372" t="n">
        <v>0</v>
      </c>
      <c r="J372" t="n">
        <v>0</v>
      </c>
      <c r="K372" t="n">
        <v>0</v>
      </c>
      <c r="L372" t="n">
        <v>0</v>
      </c>
      <c r="M372" t="n">
        <v>0</v>
      </c>
      <c r="N372" t="n">
        <v>0</v>
      </c>
      <c r="O372" t="n">
        <v>0</v>
      </c>
      <c r="P372" t="n">
        <v>0</v>
      </c>
      <c r="Q372" t="n">
        <v>0</v>
      </c>
      <c r="R372" s="2" t="inlineStr"/>
    </row>
    <row r="373" ht="15" customHeight="1">
      <c r="A373" t="inlineStr">
        <is>
          <t>A 5753-2021</t>
        </is>
      </c>
      <c r="B373" s="1" t="n">
        <v>44230</v>
      </c>
      <c r="C373" s="1" t="n">
        <v>45837</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8983-2021</t>
        </is>
      </c>
      <c r="B374" s="1" t="n">
        <v>44231</v>
      </c>
      <c r="C374" s="1" t="n">
        <v>45837</v>
      </c>
      <c r="D374" t="inlineStr">
        <is>
          <t>JÄMTLANDS LÄN</t>
        </is>
      </c>
      <c r="E374" t="inlineStr">
        <is>
          <t>ÅRE</t>
        </is>
      </c>
      <c r="G374" t="n">
        <v>4.1</v>
      </c>
      <c r="H374" t="n">
        <v>0</v>
      </c>
      <c r="I374" t="n">
        <v>0</v>
      </c>
      <c r="J374" t="n">
        <v>0</v>
      </c>
      <c r="K374" t="n">
        <v>0</v>
      </c>
      <c r="L374" t="n">
        <v>0</v>
      </c>
      <c r="M374" t="n">
        <v>0</v>
      </c>
      <c r="N374" t="n">
        <v>0</v>
      </c>
      <c r="O374" t="n">
        <v>0</v>
      </c>
      <c r="P374" t="n">
        <v>0</v>
      </c>
      <c r="Q374" t="n">
        <v>0</v>
      </c>
      <c r="R374" s="2" t="inlineStr"/>
    </row>
    <row r="375" ht="15" customHeight="1">
      <c r="A375" t="inlineStr">
        <is>
          <t>A 6232-2021</t>
        </is>
      </c>
      <c r="B375" s="1" t="n">
        <v>44231</v>
      </c>
      <c r="C375" s="1" t="n">
        <v>45837</v>
      </c>
      <c r="D375" t="inlineStr">
        <is>
          <t>JÄMTLANDS LÄN</t>
        </is>
      </c>
      <c r="E375" t="inlineStr">
        <is>
          <t>ÅRE</t>
        </is>
      </c>
      <c r="G375" t="n">
        <v>11.9</v>
      </c>
      <c r="H375" t="n">
        <v>0</v>
      </c>
      <c r="I375" t="n">
        <v>0</v>
      </c>
      <c r="J375" t="n">
        <v>0</v>
      </c>
      <c r="K375" t="n">
        <v>0</v>
      </c>
      <c r="L375" t="n">
        <v>0</v>
      </c>
      <c r="M375" t="n">
        <v>0</v>
      </c>
      <c r="N375" t="n">
        <v>0</v>
      </c>
      <c r="O375" t="n">
        <v>0</v>
      </c>
      <c r="P375" t="n">
        <v>0</v>
      </c>
      <c r="Q375" t="n">
        <v>0</v>
      </c>
      <c r="R375" s="2" t="inlineStr"/>
    </row>
    <row r="376" ht="15" customHeight="1">
      <c r="A376" t="inlineStr">
        <is>
          <t>A 8294-2021</t>
        </is>
      </c>
      <c r="B376" s="1" t="n">
        <v>44243</v>
      </c>
      <c r="C376" s="1" t="n">
        <v>45837</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8217-2021</t>
        </is>
      </c>
      <c r="B377" s="1" t="n">
        <v>44244</v>
      </c>
      <c r="C377" s="1" t="n">
        <v>45837</v>
      </c>
      <c r="D377" t="inlineStr">
        <is>
          <t>JÄMTLANDS LÄN</t>
        </is>
      </c>
      <c r="E377" t="inlineStr">
        <is>
          <t>ÅRE</t>
        </is>
      </c>
      <c r="G377" t="n">
        <v>51.8</v>
      </c>
      <c r="H377" t="n">
        <v>0</v>
      </c>
      <c r="I377" t="n">
        <v>0</v>
      </c>
      <c r="J377" t="n">
        <v>0</v>
      </c>
      <c r="K377" t="n">
        <v>0</v>
      </c>
      <c r="L377" t="n">
        <v>0</v>
      </c>
      <c r="M377" t="n">
        <v>0</v>
      </c>
      <c r="N377" t="n">
        <v>0</v>
      </c>
      <c r="O377" t="n">
        <v>0</v>
      </c>
      <c r="P377" t="n">
        <v>0</v>
      </c>
      <c r="Q377" t="n">
        <v>0</v>
      </c>
      <c r="R377" s="2" t="inlineStr"/>
    </row>
    <row r="378" ht="15" customHeight="1">
      <c r="A378" t="inlineStr">
        <is>
          <t>A 8668-2021</t>
        </is>
      </c>
      <c r="B378" s="1" t="n">
        <v>44246</v>
      </c>
      <c r="C378" s="1" t="n">
        <v>45837</v>
      </c>
      <c r="D378" t="inlineStr">
        <is>
          <t>JÄMTLANDS LÄN</t>
        </is>
      </c>
      <c r="E378" t="inlineStr">
        <is>
          <t>ÅRE</t>
        </is>
      </c>
      <c r="G378" t="n">
        <v>19.5</v>
      </c>
      <c r="H378" t="n">
        <v>0</v>
      </c>
      <c r="I378" t="n">
        <v>0</v>
      </c>
      <c r="J378" t="n">
        <v>0</v>
      </c>
      <c r="K378" t="n">
        <v>0</v>
      </c>
      <c r="L378" t="n">
        <v>0</v>
      </c>
      <c r="M378" t="n">
        <v>0</v>
      </c>
      <c r="N378" t="n">
        <v>0</v>
      </c>
      <c r="O378" t="n">
        <v>0</v>
      </c>
      <c r="P378" t="n">
        <v>0</v>
      </c>
      <c r="Q378" t="n">
        <v>0</v>
      </c>
      <c r="R378" s="2" t="inlineStr"/>
    </row>
    <row r="379" ht="15" customHeight="1">
      <c r="A379" t="inlineStr">
        <is>
          <t>A 9613-2021</t>
        </is>
      </c>
      <c r="B379" s="1" t="n">
        <v>44251</v>
      </c>
      <c r="C379" s="1" t="n">
        <v>45837</v>
      </c>
      <c r="D379" t="inlineStr">
        <is>
          <t>JÄMTLANDS LÄN</t>
        </is>
      </c>
      <c r="E379" t="inlineStr">
        <is>
          <t>ÅRE</t>
        </is>
      </c>
      <c r="G379" t="n">
        <v>2</v>
      </c>
      <c r="H379" t="n">
        <v>0</v>
      </c>
      <c r="I379" t="n">
        <v>0</v>
      </c>
      <c r="J379" t="n">
        <v>0</v>
      </c>
      <c r="K379" t="n">
        <v>0</v>
      </c>
      <c r="L379" t="n">
        <v>0</v>
      </c>
      <c r="M379" t="n">
        <v>0</v>
      </c>
      <c r="N379" t="n">
        <v>0</v>
      </c>
      <c r="O379" t="n">
        <v>0</v>
      </c>
      <c r="P379" t="n">
        <v>0</v>
      </c>
      <c r="Q379" t="n">
        <v>0</v>
      </c>
      <c r="R379" s="2" t="inlineStr"/>
    </row>
    <row r="380" ht="15" customHeight="1">
      <c r="A380" t="inlineStr">
        <is>
          <t>A 9777-2021</t>
        </is>
      </c>
      <c r="B380" s="1" t="n">
        <v>44252</v>
      </c>
      <c r="C380" s="1" t="n">
        <v>45837</v>
      </c>
      <c r="D380" t="inlineStr">
        <is>
          <t>JÄMTLANDS LÄN</t>
        </is>
      </c>
      <c r="E380" t="inlineStr">
        <is>
          <t>ÅRE</t>
        </is>
      </c>
      <c r="G380" t="n">
        <v>4.2</v>
      </c>
      <c r="H380" t="n">
        <v>0</v>
      </c>
      <c r="I380" t="n">
        <v>0</v>
      </c>
      <c r="J380" t="n">
        <v>0</v>
      </c>
      <c r="K380" t="n">
        <v>0</v>
      </c>
      <c r="L380" t="n">
        <v>0</v>
      </c>
      <c r="M380" t="n">
        <v>0</v>
      </c>
      <c r="N380" t="n">
        <v>0</v>
      </c>
      <c r="O380" t="n">
        <v>0</v>
      </c>
      <c r="P380" t="n">
        <v>0</v>
      </c>
      <c r="Q380" t="n">
        <v>0</v>
      </c>
      <c r="R380" s="2" t="inlineStr"/>
    </row>
    <row r="381" ht="15" customHeight="1">
      <c r="A381" t="inlineStr">
        <is>
          <t>A 10191-2021</t>
        </is>
      </c>
      <c r="B381" s="1" t="n">
        <v>44256</v>
      </c>
      <c r="C381" s="1" t="n">
        <v>45837</v>
      </c>
      <c r="D381" t="inlineStr">
        <is>
          <t>JÄMTLANDS LÄN</t>
        </is>
      </c>
      <c r="E381" t="inlineStr">
        <is>
          <t>ÅRE</t>
        </is>
      </c>
      <c r="G381" t="n">
        <v>2.3</v>
      </c>
      <c r="H381" t="n">
        <v>0</v>
      </c>
      <c r="I381" t="n">
        <v>0</v>
      </c>
      <c r="J381" t="n">
        <v>0</v>
      </c>
      <c r="K381" t="n">
        <v>0</v>
      </c>
      <c r="L381" t="n">
        <v>0</v>
      </c>
      <c r="M381" t="n">
        <v>0</v>
      </c>
      <c r="N381" t="n">
        <v>0</v>
      </c>
      <c r="O381" t="n">
        <v>0</v>
      </c>
      <c r="P381" t="n">
        <v>0</v>
      </c>
      <c r="Q381" t="n">
        <v>0</v>
      </c>
      <c r="R381" s="2" t="inlineStr"/>
    </row>
    <row r="382" ht="15" customHeight="1">
      <c r="A382" t="inlineStr">
        <is>
          <t>A 10285-2021</t>
        </is>
      </c>
      <c r="B382" s="1" t="n">
        <v>44257</v>
      </c>
      <c r="C382" s="1" t="n">
        <v>45837</v>
      </c>
      <c r="D382" t="inlineStr">
        <is>
          <t>JÄMTLANDS LÄN</t>
        </is>
      </c>
      <c r="E382" t="inlineStr">
        <is>
          <t>ÅRE</t>
        </is>
      </c>
      <c r="G382" t="n">
        <v>2.9</v>
      </c>
      <c r="H382" t="n">
        <v>0</v>
      </c>
      <c r="I382" t="n">
        <v>0</v>
      </c>
      <c r="J382" t="n">
        <v>0</v>
      </c>
      <c r="K382" t="n">
        <v>0</v>
      </c>
      <c r="L382" t="n">
        <v>0</v>
      </c>
      <c r="M382" t="n">
        <v>0</v>
      </c>
      <c r="N382" t="n">
        <v>0</v>
      </c>
      <c r="O382" t="n">
        <v>0</v>
      </c>
      <c r="P382" t="n">
        <v>0</v>
      </c>
      <c r="Q382" t="n">
        <v>0</v>
      </c>
      <c r="R382" s="2" t="inlineStr"/>
    </row>
    <row r="383" ht="15" customHeight="1">
      <c r="A383" t="inlineStr">
        <is>
          <t>A 10283-2021</t>
        </is>
      </c>
      <c r="B383" s="1" t="n">
        <v>44257</v>
      </c>
      <c r="C383" s="1" t="n">
        <v>45837</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12387-2021</t>
        </is>
      </c>
      <c r="B384" s="1" t="n">
        <v>44267</v>
      </c>
      <c r="C384" s="1" t="n">
        <v>45837</v>
      </c>
      <c r="D384" t="inlineStr">
        <is>
          <t>JÄMTLANDS LÄN</t>
        </is>
      </c>
      <c r="E384" t="inlineStr">
        <is>
          <t>ÅRE</t>
        </is>
      </c>
      <c r="G384" t="n">
        <v>3.4</v>
      </c>
      <c r="H384" t="n">
        <v>0</v>
      </c>
      <c r="I384" t="n">
        <v>0</v>
      </c>
      <c r="J384" t="n">
        <v>0</v>
      </c>
      <c r="K384" t="n">
        <v>0</v>
      </c>
      <c r="L384" t="n">
        <v>0</v>
      </c>
      <c r="M384" t="n">
        <v>0</v>
      </c>
      <c r="N384" t="n">
        <v>0</v>
      </c>
      <c r="O384" t="n">
        <v>0</v>
      </c>
      <c r="P384" t="n">
        <v>0</v>
      </c>
      <c r="Q384" t="n">
        <v>0</v>
      </c>
      <c r="R384" s="2" t="inlineStr"/>
    </row>
    <row r="385" ht="15" customHeight="1">
      <c r="A385" t="inlineStr">
        <is>
          <t>A 12857-2021</t>
        </is>
      </c>
      <c r="B385" s="1" t="n">
        <v>44270</v>
      </c>
      <c r="C385" s="1" t="n">
        <v>45837</v>
      </c>
      <c r="D385" t="inlineStr">
        <is>
          <t>JÄMTLANDS LÄN</t>
        </is>
      </c>
      <c r="E385" t="inlineStr">
        <is>
          <t>ÅRE</t>
        </is>
      </c>
      <c r="F385" t="inlineStr">
        <is>
          <t>Kommuner</t>
        </is>
      </c>
      <c r="G385" t="n">
        <v>17.2</v>
      </c>
      <c r="H385" t="n">
        <v>0</v>
      </c>
      <c r="I385" t="n">
        <v>0</v>
      </c>
      <c r="J385" t="n">
        <v>0</v>
      </c>
      <c r="K385" t="n">
        <v>0</v>
      </c>
      <c r="L385" t="n">
        <v>0</v>
      </c>
      <c r="M385" t="n">
        <v>0</v>
      </c>
      <c r="N385" t="n">
        <v>0</v>
      </c>
      <c r="O385" t="n">
        <v>0</v>
      </c>
      <c r="P385" t="n">
        <v>0</v>
      </c>
      <c r="Q385" t="n">
        <v>0</v>
      </c>
      <c r="R385" s="2" t="inlineStr"/>
    </row>
    <row r="386" ht="15" customHeight="1">
      <c r="A386" t="inlineStr">
        <is>
          <t>A 12827-2021</t>
        </is>
      </c>
      <c r="B386" s="1" t="n">
        <v>44271</v>
      </c>
      <c r="C386" s="1" t="n">
        <v>45837</v>
      </c>
      <c r="D386" t="inlineStr">
        <is>
          <t>JÄMTLANDS LÄN</t>
        </is>
      </c>
      <c r="E386" t="inlineStr">
        <is>
          <t>ÅRE</t>
        </is>
      </c>
      <c r="G386" t="n">
        <v>1.5</v>
      </c>
      <c r="H386" t="n">
        <v>0</v>
      </c>
      <c r="I386" t="n">
        <v>0</v>
      </c>
      <c r="J386" t="n">
        <v>0</v>
      </c>
      <c r="K386" t="n">
        <v>0</v>
      </c>
      <c r="L386" t="n">
        <v>0</v>
      </c>
      <c r="M386" t="n">
        <v>0</v>
      </c>
      <c r="N386" t="n">
        <v>0</v>
      </c>
      <c r="O386" t="n">
        <v>0</v>
      </c>
      <c r="P386" t="n">
        <v>0</v>
      </c>
      <c r="Q386" t="n">
        <v>0</v>
      </c>
      <c r="R386" s="2" t="inlineStr"/>
    </row>
    <row r="387" ht="15" customHeight="1">
      <c r="A387" t="inlineStr">
        <is>
          <t>A 14202-2021</t>
        </is>
      </c>
      <c r="B387" s="1" t="n">
        <v>44278</v>
      </c>
      <c r="C387" s="1" t="n">
        <v>45837</v>
      </c>
      <c r="D387" t="inlineStr">
        <is>
          <t>JÄMTLANDS LÄN</t>
        </is>
      </c>
      <c r="E387" t="inlineStr">
        <is>
          <t>ÅRE</t>
        </is>
      </c>
      <c r="G387" t="n">
        <v>17.8</v>
      </c>
      <c r="H387" t="n">
        <v>0</v>
      </c>
      <c r="I387" t="n">
        <v>0</v>
      </c>
      <c r="J387" t="n">
        <v>0</v>
      </c>
      <c r="K387" t="n">
        <v>0</v>
      </c>
      <c r="L387" t="n">
        <v>0</v>
      </c>
      <c r="M387" t="n">
        <v>0</v>
      </c>
      <c r="N387" t="n">
        <v>0</v>
      </c>
      <c r="O387" t="n">
        <v>0</v>
      </c>
      <c r="P387" t="n">
        <v>0</v>
      </c>
      <c r="Q387" t="n">
        <v>0</v>
      </c>
      <c r="R387" s="2" t="inlineStr"/>
    </row>
    <row r="388" ht="15" customHeight="1">
      <c r="A388" t="inlineStr">
        <is>
          <t>A 14210-2021</t>
        </is>
      </c>
      <c r="B388" s="1" t="n">
        <v>44278</v>
      </c>
      <c r="C388" s="1" t="n">
        <v>45837</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14204-2021</t>
        </is>
      </c>
      <c r="B389" s="1" t="n">
        <v>44278</v>
      </c>
      <c r="C389" s="1" t="n">
        <v>45837</v>
      </c>
      <c r="D389" t="inlineStr">
        <is>
          <t>JÄMTLANDS LÄN</t>
        </is>
      </c>
      <c r="E389" t="inlineStr">
        <is>
          <t>ÅRE</t>
        </is>
      </c>
      <c r="G389" t="n">
        <v>24.6</v>
      </c>
      <c r="H389" t="n">
        <v>0</v>
      </c>
      <c r="I389" t="n">
        <v>0</v>
      </c>
      <c r="J389" t="n">
        <v>0</v>
      </c>
      <c r="K389" t="n">
        <v>0</v>
      </c>
      <c r="L389" t="n">
        <v>0</v>
      </c>
      <c r="M389" t="n">
        <v>0</v>
      </c>
      <c r="N389" t="n">
        <v>0</v>
      </c>
      <c r="O389" t="n">
        <v>0</v>
      </c>
      <c r="P389" t="n">
        <v>0</v>
      </c>
      <c r="Q389" t="n">
        <v>0</v>
      </c>
      <c r="R389" s="2" t="inlineStr"/>
    </row>
    <row r="390" ht="15" customHeight="1">
      <c r="A390" t="inlineStr">
        <is>
          <t>A 14826-2021</t>
        </is>
      </c>
      <c r="B390" s="1" t="n">
        <v>44280</v>
      </c>
      <c r="C390" s="1" t="n">
        <v>45837</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15305-2021</t>
        </is>
      </c>
      <c r="B391" s="1" t="n">
        <v>44284</v>
      </c>
      <c r="C391" s="1" t="n">
        <v>45837</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16625-2021</t>
        </is>
      </c>
      <c r="B392" s="1" t="n">
        <v>44294</v>
      </c>
      <c r="C392" s="1" t="n">
        <v>45837</v>
      </c>
      <c r="D392" t="inlineStr">
        <is>
          <t>JÄMTLANDS LÄN</t>
        </is>
      </c>
      <c r="E392" t="inlineStr">
        <is>
          <t>ÅRE</t>
        </is>
      </c>
      <c r="F392" t="inlineStr">
        <is>
          <t>Övriga Aktiebolag</t>
        </is>
      </c>
      <c r="G392" t="n">
        <v>0.1</v>
      </c>
      <c r="H392" t="n">
        <v>0</v>
      </c>
      <c r="I392" t="n">
        <v>0</v>
      </c>
      <c r="J392" t="n">
        <v>0</v>
      </c>
      <c r="K392" t="n">
        <v>0</v>
      </c>
      <c r="L392" t="n">
        <v>0</v>
      </c>
      <c r="M392" t="n">
        <v>0</v>
      </c>
      <c r="N392" t="n">
        <v>0</v>
      </c>
      <c r="O392" t="n">
        <v>0</v>
      </c>
      <c r="P392" t="n">
        <v>0</v>
      </c>
      <c r="Q392" t="n">
        <v>0</v>
      </c>
      <c r="R392" s="2" t="inlineStr"/>
    </row>
    <row r="393" ht="15" customHeight="1">
      <c r="A393" t="inlineStr">
        <is>
          <t>A 17883-2021</t>
        </is>
      </c>
      <c r="B393" s="1" t="n">
        <v>44301</v>
      </c>
      <c r="C393" s="1" t="n">
        <v>45837</v>
      </c>
      <c r="D393" t="inlineStr">
        <is>
          <t>JÄMTLANDS LÄN</t>
        </is>
      </c>
      <c r="E393" t="inlineStr">
        <is>
          <t>ÅRE</t>
        </is>
      </c>
      <c r="F393" t="inlineStr">
        <is>
          <t>Övriga Aktiebolag</t>
        </is>
      </c>
      <c r="G393" t="n">
        <v>6.7</v>
      </c>
      <c r="H393" t="n">
        <v>0</v>
      </c>
      <c r="I393" t="n">
        <v>0</v>
      </c>
      <c r="J393" t="n">
        <v>0</v>
      </c>
      <c r="K393" t="n">
        <v>0</v>
      </c>
      <c r="L393" t="n">
        <v>0</v>
      </c>
      <c r="M393" t="n">
        <v>0</v>
      </c>
      <c r="N393" t="n">
        <v>0</v>
      </c>
      <c r="O393" t="n">
        <v>0</v>
      </c>
      <c r="P393" t="n">
        <v>0</v>
      </c>
      <c r="Q393" t="n">
        <v>0</v>
      </c>
      <c r="R393" s="2" t="inlineStr"/>
    </row>
    <row r="394" ht="15" customHeight="1">
      <c r="A394" t="inlineStr">
        <is>
          <t>A 18374-2021</t>
        </is>
      </c>
      <c r="B394" s="1" t="n">
        <v>44305</v>
      </c>
      <c r="C394" s="1" t="n">
        <v>45837</v>
      </c>
      <c r="D394" t="inlineStr">
        <is>
          <t>JÄMTLANDS LÄN</t>
        </is>
      </c>
      <c r="E394" t="inlineStr">
        <is>
          <t>ÅRE</t>
        </is>
      </c>
      <c r="G394" t="n">
        <v>1.5</v>
      </c>
      <c r="H394" t="n">
        <v>0</v>
      </c>
      <c r="I394" t="n">
        <v>0</v>
      </c>
      <c r="J394" t="n">
        <v>0</v>
      </c>
      <c r="K394" t="n">
        <v>0</v>
      </c>
      <c r="L394" t="n">
        <v>0</v>
      </c>
      <c r="M394" t="n">
        <v>0</v>
      </c>
      <c r="N394" t="n">
        <v>0</v>
      </c>
      <c r="O394" t="n">
        <v>0</v>
      </c>
      <c r="P394" t="n">
        <v>0</v>
      </c>
      <c r="Q394" t="n">
        <v>0</v>
      </c>
      <c r="R394" s="2" t="inlineStr"/>
    </row>
    <row r="395" ht="15" customHeight="1">
      <c r="A395" t="inlineStr">
        <is>
          <t>A 18531-2021</t>
        </is>
      </c>
      <c r="B395" s="1" t="n">
        <v>44306</v>
      </c>
      <c r="C395" s="1" t="n">
        <v>45837</v>
      </c>
      <c r="D395" t="inlineStr">
        <is>
          <t>JÄMTLANDS LÄN</t>
        </is>
      </c>
      <c r="E395" t="inlineStr">
        <is>
          <t>ÅRE</t>
        </is>
      </c>
      <c r="G395" t="n">
        <v>4</v>
      </c>
      <c r="H395" t="n">
        <v>0</v>
      </c>
      <c r="I395" t="n">
        <v>0</v>
      </c>
      <c r="J395" t="n">
        <v>0</v>
      </c>
      <c r="K395" t="n">
        <v>0</v>
      </c>
      <c r="L395" t="n">
        <v>0</v>
      </c>
      <c r="M395" t="n">
        <v>0</v>
      </c>
      <c r="N395" t="n">
        <v>0</v>
      </c>
      <c r="O395" t="n">
        <v>0</v>
      </c>
      <c r="P395" t="n">
        <v>0</v>
      </c>
      <c r="Q395" t="n">
        <v>0</v>
      </c>
      <c r="R395" s="2" t="inlineStr"/>
    </row>
    <row r="396" ht="15" customHeight="1">
      <c r="A396" t="inlineStr">
        <is>
          <t>A 19275-2021</t>
        </is>
      </c>
      <c r="B396" s="1" t="n">
        <v>44309</v>
      </c>
      <c r="C396" s="1" t="n">
        <v>45837</v>
      </c>
      <c r="D396" t="inlineStr">
        <is>
          <t>JÄMTLANDS LÄN</t>
        </is>
      </c>
      <c r="E396" t="inlineStr">
        <is>
          <t>ÅRE</t>
        </is>
      </c>
      <c r="G396" t="n">
        <v>16.4</v>
      </c>
      <c r="H396" t="n">
        <v>0</v>
      </c>
      <c r="I396" t="n">
        <v>0</v>
      </c>
      <c r="J396" t="n">
        <v>0</v>
      </c>
      <c r="K396" t="n">
        <v>0</v>
      </c>
      <c r="L396" t="n">
        <v>0</v>
      </c>
      <c r="M396" t="n">
        <v>0</v>
      </c>
      <c r="N396" t="n">
        <v>0</v>
      </c>
      <c r="O396" t="n">
        <v>0</v>
      </c>
      <c r="P396" t="n">
        <v>0</v>
      </c>
      <c r="Q396" t="n">
        <v>0</v>
      </c>
      <c r="R396" s="2" t="inlineStr"/>
    </row>
    <row r="397" ht="15" customHeight="1">
      <c r="A397" t="inlineStr">
        <is>
          <t>A 21897-2021</t>
        </is>
      </c>
      <c r="B397" s="1" t="n">
        <v>44322</v>
      </c>
      <c r="C397" s="1" t="n">
        <v>45837</v>
      </c>
      <c r="D397" t="inlineStr">
        <is>
          <t>JÄMTLANDS LÄN</t>
        </is>
      </c>
      <c r="E397" t="inlineStr">
        <is>
          <t>ÅRE</t>
        </is>
      </c>
      <c r="G397" t="n">
        <v>41.4</v>
      </c>
      <c r="H397" t="n">
        <v>0</v>
      </c>
      <c r="I397" t="n">
        <v>0</v>
      </c>
      <c r="J397" t="n">
        <v>0</v>
      </c>
      <c r="K397" t="n">
        <v>0</v>
      </c>
      <c r="L397" t="n">
        <v>0</v>
      </c>
      <c r="M397" t="n">
        <v>0</v>
      </c>
      <c r="N397" t="n">
        <v>0</v>
      </c>
      <c r="O397" t="n">
        <v>0</v>
      </c>
      <c r="P397" t="n">
        <v>0</v>
      </c>
      <c r="Q397" t="n">
        <v>0</v>
      </c>
      <c r="R397" s="2" t="inlineStr"/>
    </row>
    <row r="398" ht="15" customHeight="1">
      <c r="A398" t="inlineStr">
        <is>
          <t>A 21905-2021</t>
        </is>
      </c>
      <c r="B398" s="1" t="n">
        <v>44322</v>
      </c>
      <c r="C398" s="1" t="n">
        <v>45837</v>
      </c>
      <c r="D398" t="inlineStr">
        <is>
          <t>JÄMTLANDS LÄN</t>
        </is>
      </c>
      <c r="E398" t="inlineStr">
        <is>
          <t>ÅRE</t>
        </is>
      </c>
      <c r="G398" t="n">
        <v>14.3</v>
      </c>
      <c r="H398" t="n">
        <v>0</v>
      </c>
      <c r="I398" t="n">
        <v>0</v>
      </c>
      <c r="J398" t="n">
        <v>0</v>
      </c>
      <c r="K398" t="n">
        <v>0</v>
      </c>
      <c r="L398" t="n">
        <v>0</v>
      </c>
      <c r="M398" t="n">
        <v>0</v>
      </c>
      <c r="N398" t="n">
        <v>0</v>
      </c>
      <c r="O398" t="n">
        <v>0</v>
      </c>
      <c r="P398" t="n">
        <v>0</v>
      </c>
      <c r="Q398" t="n">
        <v>0</v>
      </c>
      <c r="R398" s="2" t="inlineStr"/>
    </row>
    <row r="399" ht="15" customHeight="1">
      <c r="A399" t="inlineStr">
        <is>
          <t>A 22707-2021</t>
        </is>
      </c>
      <c r="B399" s="1" t="n">
        <v>44323</v>
      </c>
      <c r="C399" s="1" t="n">
        <v>45837</v>
      </c>
      <c r="D399" t="inlineStr">
        <is>
          <t>JÄMTLANDS LÄN</t>
        </is>
      </c>
      <c r="E399" t="inlineStr">
        <is>
          <t>ÅRE</t>
        </is>
      </c>
      <c r="G399" t="n">
        <v>6.3</v>
      </c>
      <c r="H399" t="n">
        <v>0</v>
      </c>
      <c r="I399" t="n">
        <v>0</v>
      </c>
      <c r="J399" t="n">
        <v>0</v>
      </c>
      <c r="K399" t="n">
        <v>0</v>
      </c>
      <c r="L399" t="n">
        <v>0</v>
      </c>
      <c r="M399" t="n">
        <v>0</v>
      </c>
      <c r="N399" t="n">
        <v>0</v>
      </c>
      <c r="O399" t="n">
        <v>0</v>
      </c>
      <c r="P399" t="n">
        <v>0</v>
      </c>
      <c r="Q399" t="n">
        <v>0</v>
      </c>
      <c r="R399" s="2" t="inlineStr"/>
    </row>
    <row r="400" ht="15" customHeight="1">
      <c r="A400" t="inlineStr">
        <is>
          <t>A 22505-2021</t>
        </is>
      </c>
      <c r="B400" s="1" t="n">
        <v>44326</v>
      </c>
      <c r="C400" s="1" t="n">
        <v>45837</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23561-2021</t>
        </is>
      </c>
      <c r="B401" s="1" t="n">
        <v>44334</v>
      </c>
      <c r="C401" s="1" t="n">
        <v>45837</v>
      </c>
      <c r="D401" t="inlineStr">
        <is>
          <t>JÄMTLANDS LÄN</t>
        </is>
      </c>
      <c r="E401" t="inlineStr">
        <is>
          <t>ÅRE</t>
        </is>
      </c>
      <c r="G401" t="n">
        <v>8.5</v>
      </c>
      <c r="H401" t="n">
        <v>0</v>
      </c>
      <c r="I401" t="n">
        <v>0</v>
      </c>
      <c r="J401" t="n">
        <v>0</v>
      </c>
      <c r="K401" t="n">
        <v>0</v>
      </c>
      <c r="L401" t="n">
        <v>0</v>
      </c>
      <c r="M401" t="n">
        <v>0</v>
      </c>
      <c r="N401" t="n">
        <v>0</v>
      </c>
      <c r="O401" t="n">
        <v>0</v>
      </c>
      <c r="P401" t="n">
        <v>0</v>
      </c>
      <c r="Q401" t="n">
        <v>0</v>
      </c>
      <c r="R401" s="2" t="inlineStr"/>
    </row>
    <row r="402" ht="15" customHeight="1">
      <c r="A402" t="inlineStr">
        <is>
          <t>A 24585-2021</t>
        </is>
      </c>
      <c r="B402" s="1" t="n">
        <v>44337</v>
      </c>
      <c r="C402" s="1" t="n">
        <v>45837</v>
      </c>
      <c r="D402" t="inlineStr">
        <is>
          <t>JÄMTLANDS LÄN</t>
        </is>
      </c>
      <c r="E402" t="inlineStr">
        <is>
          <t>ÅRE</t>
        </is>
      </c>
      <c r="G402" t="n">
        <v>1.9</v>
      </c>
      <c r="H402" t="n">
        <v>0</v>
      </c>
      <c r="I402" t="n">
        <v>0</v>
      </c>
      <c r="J402" t="n">
        <v>0</v>
      </c>
      <c r="K402" t="n">
        <v>0</v>
      </c>
      <c r="L402" t="n">
        <v>0</v>
      </c>
      <c r="M402" t="n">
        <v>0</v>
      </c>
      <c r="N402" t="n">
        <v>0</v>
      </c>
      <c r="O402" t="n">
        <v>0</v>
      </c>
      <c r="P402" t="n">
        <v>0</v>
      </c>
      <c r="Q402" t="n">
        <v>0</v>
      </c>
      <c r="R402" s="2" t="inlineStr"/>
    </row>
    <row r="403" ht="15" customHeight="1">
      <c r="A403" t="inlineStr">
        <is>
          <t>A 26722-2021</t>
        </is>
      </c>
      <c r="B403" s="1" t="n">
        <v>44349</v>
      </c>
      <c r="C403" s="1" t="n">
        <v>45837</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27010-2021</t>
        </is>
      </c>
      <c r="B404" s="1" t="n">
        <v>44350</v>
      </c>
      <c r="C404" s="1" t="n">
        <v>45837</v>
      </c>
      <c r="D404" t="inlineStr">
        <is>
          <t>JÄMTLANDS LÄN</t>
        </is>
      </c>
      <c r="E404" t="inlineStr">
        <is>
          <t>ÅRE</t>
        </is>
      </c>
      <c r="G404" t="n">
        <v>1.6</v>
      </c>
      <c r="H404" t="n">
        <v>0</v>
      </c>
      <c r="I404" t="n">
        <v>0</v>
      </c>
      <c r="J404" t="n">
        <v>0</v>
      </c>
      <c r="K404" t="n">
        <v>0</v>
      </c>
      <c r="L404" t="n">
        <v>0</v>
      </c>
      <c r="M404" t="n">
        <v>0</v>
      </c>
      <c r="N404" t="n">
        <v>0</v>
      </c>
      <c r="O404" t="n">
        <v>0</v>
      </c>
      <c r="P404" t="n">
        <v>0</v>
      </c>
      <c r="Q404" t="n">
        <v>0</v>
      </c>
      <c r="R404" s="2" t="inlineStr"/>
    </row>
    <row r="405" ht="15" customHeight="1">
      <c r="A405" t="inlineStr">
        <is>
          <t>A 27375-2021</t>
        </is>
      </c>
      <c r="B405" s="1" t="n">
        <v>44351</v>
      </c>
      <c r="C405" s="1" t="n">
        <v>45837</v>
      </c>
      <c r="D405" t="inlineStr">
        <is>
          <t>JÄMTLANDS LÄN</t>
        </is>
      </c>
      <c r="E405" t="inlineStr">
        <is>
          <t>ÅRE</t>
        </is>
      </c>
      <c r="G405" t="n">
        <v>7.4</v>
      </c>
      <c r="H405" t="n">
        <v>0</v>
      </c>
      <c r="I405" t="n">
        <v>0</v>
      </c>
      <c r="J405" t="n">
        <v>0</v>
      </c>
      <c r="K405" t="n">
        <v>0</v>
      </c>
      <c r="L405" t="n">
        <v>0</v>
      </c>
      <c r="M405" t="n">
        <v>0</v>
      </c>
      <c r="N405" t="n">
        <v>0</v>
      </c>
      <c r="O405" t="n">
        <v>0</v>
      </c>
      <c r="P405" t="n">
        <v>0</v>
      </c>
      <c r="Q405" t="n">
        <v>0</v>
      </c>
      <c r="R405" s="2" t="inlineStr"/>
    </row>
    <row r="406" ht="15" customHeight="1">
      <c r="A406" t="inlineStr">
        <is>
          <t>A 27390-2021</t>
        </is>
      </c>
      <c r="B406" s="1" t="n">
        <v>44351</v>
      </c>
      <c r="C406" s="1" t="n">
        <v>45837</v>
      </c>
      <c r="D406" t="inlineStr">
        <is>
          <t>JÄMTLANDS LÄN</t>
        </is>
      </c>
      <c r="E406" t="inlineStr">
        <is>
          <t>ÅRE</t>
        </is>
      </c>
      <c r="G406" t="n">
        <v>14.9</v>
      </c>
      <c r="H406" t="n">
        <v>0</v>
      </c>
      <c r="I406" t="n">
        <v>0</v>
      </c>
      <c r="J406" t="n">
        <v>0</v>
      </c>
      <c r="K406" t="n">
        <v>0</v>
      </c>
      <c r="L406" t="n">
        <v>0</v>
      </c>
      <c r="M406" t="n">
        <v>0</v>
      </c>
      <c r="N406" t="n">
        <v>0</v>
      </c>
      <c r="O406" t="n">
        <v>0</v>
      </c>
      <c r="P406" t="n">
        <v>0</v>
      </c>
      <c r="Q406" t="n">
        <v>0</v>
      </c>
      <c r="R406" s="2" t="inlineStr"/>
    </row>
    <row r="407" ht="15" customHeight="1">
      <c r="A407" t="inlineStr">
        <is>
          <t>A 27946-2021</t>
        </is>
      </c>
      <c r="B407" s="1" t="n">
        <v>44354</v>
      </c>
      <c r="C407" s="1" t="n">
        <v>45837</v>
      </c>
      <c r="D407" t="inlineStr">
        <is>
          <t>JÄMTLANDS LÄN</t>
        </is>
      </c>
      <c r="E407" t="inlineStr">
        <is>
          <t>ÅRE</t>
        </is>
      </c>
      <c r="G407" t="n">
        <v>0.3</v>
      </c>
      <c r="H407" t="n">
        <v>0</v>
      </c>
      <c r="I407" t="n">
        <v>0</v>
      </c>
      <c r="J407" t="n">
        <v>0</v>
      </c>
      <c r="K407" t="n">
        <v>0</v>
      </c>
      <c r="L407" t="n">
        <v>0</v>
      </c>
      <c r="M407" t="n">
        <v>0</v>
      </c>
      <c r="N407" t="n">
        <v>0</v>
      </c>
      <c r="O407" t="n">
        <v>0</v>
      </c>
      <c r="P407" t="n">
        <v>0</v>
      </c>
      <c r="Q407" t="n">
        <v>0</v>
      </c>
      <c r="R407" s="2" t="inlineStr"/>
    </row>
    <row r="408" ht="15" customHeight="1">
      <c r="A408" t="inlineStr">
        <is>
          <t>A 28881-2021</t>
        </is>
      </c>
      <c r="B408" s="1" t="n">
        <v>44357</v>
      </c>
      <c r="C408" s="1" t="n">
        <v>45837</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28817-2021</t>
        </is>
      </c>
      <c r="B409" s="1" t="n">
        <v>44357</v>
      </c>
      <c r="C409" s="1" t="n">
        <v>45837</v>
      </c>
      <c r="D409" t="inlineStr">
        <is>
          <t>JÄMTLANDS LÄN</t>
        </is>
      </c>
      <c r="E409" t="inlineStr">
        <is>
          <t>ÅRE</t>
        </is>
      </c>
      <c r="G409" t="n">
        <v>21.4</v>
      </c>
      <c r="H409" t="n">
        <v>0</v>
      </c>
      <c r="I409" t="n">
        <v>0</v>
      </c>
      <c r="J409" t="n">
        <v>0</v>
      </c>
      <c r="K409" t="n">
        <v>0</v>
      </c>
      <c r="L409" t="n">
        <v>0</v>
      </c>
      <c r="M409" t="n">
        <v>0</v>
      </c>
      <c r="N409" t="n">
        <v>0</v>
      </c>
      <c r="O409" t="n">
        <v>0</v>
      </c>
      <c r="P409" t="n">
        <v>0</v>
      </c>
      <c r="Q409" t="n">
        <v>0</v>
      </c>
      <c r="R409" s="2" t="inlineStr"/>
    </row>
    <row r="410" ht="15" customHeight="1">
      <c r="A410" t="inlineStr">
        <is>
          <t>A 31388-2021</t>
        </is>
      </c>
      <c r="B410" s="1" t="n">
        <v>44369</v>
      </c>
      <c r="C410" s="1" t="n">
        <v>45837</v>
      </c>
      <c r="D410" t="inlineStr">
        <is>
          <t>JÄMTLANDS LÄN</t>
        </is>
      </c>
      <c r="E410" t="inlineStr">
        <is>
          <t>ÅRE</t>
        </is>
      </c>
      <c r="G410" t="n">
        <v>2</v>
      </c>
      <c r="H410" t="n">
        <v>0</v>
      </c>
      <c r="I410" t="n">
        <v>0</v>
      </c>
      <c r="J410" t="n">
        <v>0</v>
      </c>
      <c r="K410" t="n">
        <v>0</v>
      </c>
      <c r="L410" t="n">
        <v>0</v>
      </c>
      <c r="M410" t="n">
        <v>0</v>
      </c>
      <c r="N410" t="n">
        <v>0</v>
      </c>
      <c r="O410" t="n">
        <v>0</v>
      </c>
      <c r="P410" t="n">
        <v>0</v>
      </c>
      <c r="Q410" t="n">
        <v>0</v>
      </c>
      <c r="R410" s="2" t="inlineStr"/>
    </row>
    <row r="411" ht="15" customHeight="1">
      <c r="A411" t="inlineStr">
        <is>
          <t>A 32241-2021</t>
        </is>
      </c>
      <c r="B411" s="1" t="n">
        <v>44371</v>
      </c>
      <c r="C411" s="1" t="n">
        <v>45837</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34357-2021</t>
        </is>
      </c>
      <c r="B412" s="1" t="n">
        <v>44379</v>
      </c>
      <c r="C412" s="1" t="n">
        <v>45837</v>
      </c>
      <c r="D412" t="inlineStr">
        <is>
          <t>JÄMTLANDS LÄN</t>
        </is>
      </c>
      <c r="E412" t="inlineStr">
        <is>
          <t>ÅRE</t>
        </is>
      </c>
      <c r="G412" t="n">
        <v>7.1</v>
      </c>
      <c r="H412" t="n">
        <v>0</v>
      </c>
      <c r="I412" t="n">
        <v>0</v>
      </c>
      <c r="J412" t="n">
        <v>0</v>
      </c>
      <c r="K412" t="n">
        <v>0</v>
      </c>
      <c r="L412" t="n">
        <v>0</v>
      </c>
      <c r="M412" t="n">
        <v>0</v>
      </c>
      <c r="N412" t="n">
        <v>0</v>
      </c>
      <c r="O412" t="n">
        <v>0</v>
      </c>
      <c r="P412" t="n">
        <v>0</v>
      </c>
      <c r="Q412" t="n">
        <v>0</v>
      </c>
      <c r="R412" s="2" t="inlineStr"/>
    </row>
    <row r="413" ht="15" customHeight="1">
      <c r="A413" t="inlineStr">
        <is>
          <t>A 36868-2021</t>
        </is>
      </c>
      <c r="B413" s="1" t="n">
        <v>44393</v>
      </c>
      <c r="C413" s="1" t="n">
        <v>45837</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37086-2021</t>
        </is>
      </c>
      <c r="B414" s="1" t="n">
        <v>44395</v>
      </c>
      <c r="C414" s="1" t="n">
        <v>45837</v>
      </c>
      <c r="D414" t="inlineStr">
        <is>
          <t>JÄMTLANDS LÄN</t>
        </is>
      </c>
      <c r="E414" t="inlineStr">
        <is>
          <t>ÅRE</t>
        </is>
      </c>
      <c r="G414" t="n">
        <v>34.1</v>
      </c>
      <c r="H414" t="n">
        <v>0</v>
      </c>
      <c r="I414" t="n">
        <v>0</v>
      </c>
      <c r="J414" t="n">
        <v>0</v>
      </c>
      <c r="K414" t="n">
        <v>0</v>
      </c>
      <c r="L414" t="n">
        <v>0</v>
      </c>
      <c r="M414" t="n">
        <v>0</v>
      </c>
      <c r="N414" t="n">
        <v>0</v>
      </c>
      <c r="O414" t="n">
        <v>0</v>
      </c>
      <c r="P414" t="n">
        <v>0</v>
      </c>
      <c r="Q414" t="n">
        <v>0</v>
      </c>
      <c r="R414" s="2" t="inlineStr"/>
    </row>
    <row r="415" ht="15" customHeight="1">
      <c r="A415" t="inlineStr">
        <is>
          <t>A 37156-2021</t>
        </is>
      </c>
      <c r="B415" s="1" t="n">
        <v>44396</v>
      </c>
      <c r="C415" s="1" t="n">
        <v>45837</v>
      </c>
      <c r="D415" t="inlineStr">
        <is>
          <t>JÄMTLANDS LÄN</t>
        </is>
      </c>
      <c r="E415" t="inlineStr">
        <is>
          <t>ÅRE</t>
        </is>
      </c>
      <c r="G415" t="n">
        <v>16.5</v>
      </c>
      <c r="H415" t="n">
        <v>0</v>
      </c>
      <c r="I415" t="n">
        <v>0</v>
      </c>
      <c r="J415" t="n">
        <v>0</v>
      </c>
      <c r="K415" t="n">
        <v>0</v>
      </c>
      <c r="L415" t="n">
        <v>0</v>
      </c>
      <c r="M415" t="n">
        <v>0</v>
      </c>
      <c r="N415" t="n">
        <v>0</v>
      </c>
      <c r="O415" t="n">
        <v>0</v>
      </c>
      <c r="P415" t="n">
        <v>0</v>
      </c>
      <c r="Q415" t="n">
        <v>0</v>
      </c>
      <c r="R415" s="2" t="inlineStr"/>
    </row>
    <row r="416" ht="15" customHeight="1">
      <c r="A416" t="inlineStr">
        <is>
          <t>A 37461-2021</t>
        </is>
      </c>
      <c r="B416" s="1" t="n">
        <v>44398</v>
      </c>
      <c r="C416" s="1" t="n">
        <v>45837</v>
      </c>
      <c r="D416" t="inlineStr">
        <is>
          <t>JÄMTLANDS LÄN</t>
        </is>
      </c>
      <c r="E416" t="inlineStr">
        <is>
          <t>ÅRE</t>
        </is>
      </c>
      <c r="G416" t="n">
        <v>11.7</v>
      </c>
      <c r="H416" t="n">
        <v>0</v>
      </c>
      <c r="I416" t="n">
        <v>0</v>
      </c>
      <c r="J416" t="n">
        <v>0</v>
      </c>
      <c r="K416" t="n">
        <v>0</v>
      </c>
      <c r="L416" t="n">
        <v>0</v>
      </c>
      <c r="M416" t="n">
        <v>0</v>
      </c>
      <c r="N416" t="n">
        <v>0</v>
      </c>
      <c r="O416" t="n">
        <v>0</v>
      </c>
      <c r="P416" t="n">
        <v>0</v>
      </c>
      <c r="Q416" t="n">
        <v>0</v>
      </c>
      <c r="R416" s="2" t="inlineStr"/>
    </row>
    <row r="417" ht="15" customHeight="1">
      <c r="A417" t="inlineStr">
        <is>
          <t>A 38450-2021</t>
        </is>
      </c>
      <c r="B417" s="1" t="n">
        <v>44406</v>
      </c>
      <c r="C417" s="1" t="n">
        <v>45837</v>
      </c>
      <c r="D417" t="inlineStr">
        <is>
          <t>JÄMTLANDS LÄN</t>
        </is>
      </c>
      <c r="E417" t="inlineStr">
        <is>
          <t>ÅRE</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38456-2021</t>
        </is>
      </c>
      <c r="B418" s="1" t="n">
        <v>44406</v>
      </c>
      <c r="C418" s="1" t="n">
        <v>45837</v>
      </c>
      <c r="D418" t="inlineStr">
        <is>
          <t>JÄMTLANDS LÄN</t>
        </is>
      </c>
      <c r="E418" t="inlineStr">
        <is>
          <t>ÅRE</t>
        </is>
      </c>
      <c r="G418" t="n">
        <v>19.8</v>
      </c>
      <c r="H418" t="n">
        <v>0</v>
      </c>
      <c r="I418" t="n">
        <v>0</v>
      </c>
      <c r="J418" t="n">
        <v>0</v>
      </c>
      <c r="K418" t="n">
        <v>0</v>
      </c>
      <c r="L418" t="n">
        <v>0</v>
      </c>
      <c r="M418" t="n">
        <v>0</v>
      </c>
      <c r="N418" t="n">
        <v>0</v>
      </c>
      <c r="O418" t="n">
        <v>0</v>
      </c>
      <c r="P418" t="n">
        <v>0</v>
      </c>
      <c r="Q418" t="n">
        <v>0</v>
      </c>
      <c r="R418" s="2" t="inlineStr"/>
    </row>
    <row r="419" ht="15" customHeight="1">
      <c r="A419" t="inlineStr">
        <is>
          <t>A 40336-2021</t>
        </is>
      </c>
      <c r="B419" s="1" t="n">
        <v>44419</v>
      </c>
      <c r="C419" s="1" t="n">
        <v>45837</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40339-2021</t>
        </is>
      </c>
      <c r="B420" s="1" t="n">
        <v>44419</v>
      </c>
      <c r="C420" s="1" t="n">
        <v>45837</v>
      </c>
      <c r="D420" t="inlineStr">
        <is>
          <t>JÄMTLANDS LÄN</t>
        </is>
      </c>
      <c r="E420" t="inlineStr">
        <is>
          <t>ÅRE</t>
        </is>
      </c>
      <c r="G420" t="n">
        <v>6.4</v>
      </c>
      <c r="H420" t="n">
        <v>0</v>
      </c>
      <c r="I420" t="n">
        <v>0</v>
      </c>
      <c r="J420" t="n">
        <v>0</v>
      </c>
      <c r="K420" t="n">
        <v>0</v>
      </c>
      <c r="L420" t="n">
        <v>0</v>
      </c>
      <c r="M420" t="n">
        <v>0</v>
      </c>
      <c r="N420" t="n">
        <v>0</v>
      </c>
      <c r="O420" t="n">
        <v>0</v>
      </c>
      <c r="P420" t="n">
        <v>0</v>
      </c>
      <c r="Q420" t="n">
        <v>0</v>
      </c>
      <c r="R420" s="2" t="inlineStr"/>
    </row>
    <row r="421" ht="15" customHeight="1">
      <c r="A421" t="inlineStr">
        <is>
          <t>A 40341-2021</t>
        </is>
      </c>
      <c r="B421" s="1" t="n">
        <v>44419</v>
      </c>
      <c r="C421" s="1" t="n">
        <v>45837</v>
      </c>
      <c r="D421" t="inlineStr">
        <is>
          <t>JÄMTLANDS LÄN</t>
        </is>
      </c>
      <c r="E421" t="inlineStr">
        <is>
          <t>ÅRE</t>
        </is>
      </c>
      <c r="G421" t="n">
        <v>3</v>
      </c>
      <c r="H421" t="n">
        <v>0</v>
      </c>
      <c r="I421" t="n">
        <v>0</v>
      </c>
      <c r="J421" t="n">
        <v>0</v>
      </c>
      <c r="K421" t="n">
        <v>0</v>
      </c>
      <c r="L421" t="n">
        <v>0</v>
      </c>
      <c r="M421" t="n">
        <v>0</v>
      </c>
      <c r="N421" t="n">
        <v>0</v>
      </c>
      <c r="O421" t="n">
        <v>0</v>
      </c>
      <c r="P421" t="n">
        <v>0</v>
      </c>
      <c r="Q421" t="n">
        <v>0</v>
      </c>
      <c r="R421" s="2" t="inlineStr"/>
    </row>
    <row r="422" ht="15" customHeight="1">
      <c r="A422" t="inlineStr">
        <is>
          <t>A 50099-2021</t>
        </is>
      </c>
      <c r="B422" s="1" t="n">
        <v>44456</v>
      </c>
      <c r="C422" s="1" t="n">
        <v>45837</v>
      </c>
      <c r="D422" t="inlineStr">
        <is>
          <t>JÄMTLANDS LÄN</t>
        </is>
      </c>
      <c r="E422" t="inlineStr">
        <is>
          <t>ÅRE</t>
        </is>
      </c>
      <c r="G422" t="n">
        <v>6.2</v>
      </c>
      <c r="H422" t="n">
        <v>0</v>
      </c>
      <c r="I422" t="n">
        <v>0</v>
      </c>
      <c r="J422" t="n">
        <v>0</v>
      </c>
      <c r="K422" t="n">
        <v>0</v>
      </c>
      <c r="L422" t="n">
        <v>0</v>
      </c>
      <c r="M422" t="n">
        <v>0</v>
      </c>
      <c r="N422" t="n">
        <v>0</v>
      </c>
      <c r="O422" t="n">
        <v>0</v>
      </c>
      <c r="P422" t="n">
        <v>0</v>
      </c>
      <c r="Q422" t="n">
        <v>0</v>
      </c>
      <c r="R422" s="2" t="inlineStr"/>
    </row>
    <row r="423" ht="15" customHeight="1">
      <c r="A423" t="inlineStr">
        <is>
          <t>A 51042-2021</t>
        </is>
      </c>
      <c r="B423" s="1" t="n">
        <v>44461</v>
      </c>
      <c r="C423" s="1" t="n">
        <v>45837</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51040-2021</t>
        </is>
      </c>
      <c r="B424" s="1" t="n">
        <v>44461</v>
      </c>
      <c r="C424" s="1" t="n">
        <v>45837</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52427-2021</t>
        </is>
      </c>
      <c r="B425" s="1" t="n">
        <v>44466</v>
      </c>
      <c r="C425" s="1" t="n">
        <v>45837</v>
      </c>
      <c r="D425" t="inlineStr">
        <is>
          <t>JÄMTLANDS LÄN</t>
        </is>
      </c>
      <c r="E425" t="inlineStr">
        <is>
          <t>ÅRE</t>
        </is>
      </c>
      <c r="G425" t="n">
        <v>4</v>
      </c>
      <c r="H425" t="n">
        <v>0</v>
      </c>
      <c r="I425" t="n">
        <v>0</v>
      </c>
      <c r="J425" t="n">
        <v>0</v>
      </c>
      <c r="K425" t="n">
        <v>0</v>
      </c>
      <c r="L425" t="n">
        <v>0</v>
      </c>
      <c r="M425" t="n">
        <v>0</v>
      </c>
      <c r="N425" t="n">
        <v>0</v>
      </c>
      <c r="O425" t="n">
        <v>0</v>
      </c>
      <c r="P425" t="n">
        <v>0</v>
      </c>
      <c r="Q425" t="n">
        <v>0</v>
      </c>
      <c r="R425" s="2" t="inlineStr"/>
    </row>
    <row r="426" ht="15" customHeight="1">
      <c r="A426" t="inlineStr">
        <is>
          <t>A 56197-2021</t>
        </is>
      </c>
      <c r="B426" s="1" t="n">
        <v>44478</v>
      </c>
      <c r="C426" s="1" t="n">
        <v>45837</v>
      </c>
      <c r="D426" t="inlineStr">
        <is>
          <t>JÄMTLANDS LÄN</t>
        </is>
      </c>
      <c r="E426" t="inlineStr">
        <is>
          <t>ÅRE</t>
        </is>
      </c>
      <c r="F426" t="inlineStr">
        <is>
          <t>Övriga Aktiebolag</t>
        </is>
      </c>
      <c r="G426" t="n">
        <v>13</v>
      </c>
      <c r="H426" t="n">
        <v>0</v>
      </c>
      <c r="I426" t="n">
        <v>0</v>
      </c>
      <c r="J426" t="n">
        <v>0</v>
      </c>
      <c r="K426" t="n">
        <v>0</v>
      </c>
      <c r="L426" t="n">
        <v>0</v>
      </c>
      <c r="M426" t="n">
        <v>0</v>
      </c>
      <c r="N426" t="n">
        <v>0</v>
      </c>
      <c r="O426" t="n">
        <v>0</v>
      </c>
      <c r="P426" t="n">
        <v>0</v>
      </c>
      <c r="Q426" t="n">
        <v>0</v>
      </c>
      <c r="R426" s="2" t="inlineStr"/>
    </row>
    <row r="427" ht="15" customHeight="1">
      <c r="A427" t="inlineStr">
        <is>
          <t>A 56192-2021</t>
        </is>
      </c>
      <c r="B427" s="1" t="n">
        <v>44477</v>
      </c>
      <c r="C427" s="1" t="n">
        <v>45837</v>
      </c>
      <c r="D427" t="inlineStr">
        <is>
          <t>JÄMTLANDS LÄN</t>
        </is>
      </c>
      <c r="E427" t="inlineStr">
        <is>
          <t>ÅRE</t>
        </is>
      </c>
      <c r="F427" t="inlineStr">
        <is>
          <t>Övriga Aktiebolag</t>
        </is>
      </c>
      <c r="G427" t="n">
        <v>21.5</v>
      </c>
      <c r="H427" t="n">
        <v>0</v>
      </c>
      <c r="I427" t="n">
        <v>0</v>
      </c>
      <c r="J427" t="n">
        <v>0</v>
      </c>
      <c r="K427" t="n">
        <v>0</v>
      </c>
      <c r="L427" t="n">
        <v>0</v>
      </c>
      <c r="M427" t="n">
        <v>0</v>
      </c>
      <c r="N427" t="n">
        <v>0</v>
      </c>
      <c r="O427" t="n">
        <v>0</v>
      </c>
      <c r="P427" t="n">
        <v>0</v>
      </c>
      <c r="Q427" t="n">
        <v>0</v>
      </c>
      <c r="R427" s="2" t="inlineStr"/>
    </row>
    <row r="428" ht="15" customHeight="1">
      <c r="A428" t="inlineStr">
        <is>
          <t>A 57150-2021</t>
        </is>
      </c>
      <c r="B428" s="1" t="n">
        <v>44482</v>
      </c>
      <c r="C428" s="1" t="n">
        <v>45837</v>
      </c>
      <c r="D428" t="inlineStr">
        <is>
          <t>JÄMTLANDS LÄN</t>
        </is>
      </c>
      <c r="E428" t="inlineStr">
        <is>
          <t>ÅRE</t>
        </is>
      </c>
      <c r="G428" t="n">
        <v>1.3</v>
      </c>
      <c r="H428" t="n">
        <v>0</v>
      </c>
      <c r="I428" t="n">
        <v>0</v>
      </c>
      <c r="J428" t="n">
        <v>0</v>
      </c>
      <c r="K428" t="n">
        <v>0</v>
      </c>
      <c r="L428" t="n">
        <v>0</v>
      </c>
      <c r="M428" t="n">
        <v>0</v>
      </c>
      <c r="N428" t="n">
        <v>0</v>
      </c>
      <c r="O428" t="n">
        <v>0</v>
      </c>
      <c r="P428" t="n">
        <v>0</v>
      </c>
      <c r="Q428" t="n">
        <v>0</v>
      </c>
      <c r="R428" s="2" t="inlineStr"/>
    </row>
    <row r="429" ht="15" customHeight="1">
      <c r="A429" t="inlineStr">
        <is>
          <t>A 57158-2021</t>
        </is>
      </c>
      <c r="B429" s="1" t="n">
        <v>44482</v>
      </c>
      <c r="C429" s="1" t="n">
        <v>45837</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57512-2021</t>
        </is>
      </c>
      <c r="B430" s="1" t="n">
        <v>44483</v>
      </c>
      <c r="C430" s="1" t="n">
        <v>45837</v>
      </c>
      <c r="D430" t="inlineStr">
        <is>
          <t>JÄMTLANDS LÄN</t>
        </is>
      </c>
      <c r="E430" t="inlineStr">
        <is>
          <t>ÅRE</t>
        </is>
      </c>
      <c r="G430" t="n">
        <v>1.7</v>
      </c>
      <c r="H430" t="n">
        <v>0</v>
      </c>
      <c r="I430" t="n">
        <v>0</v>
      </c>
      <c r="J430" t="n">
        <v>0</v>
      </c>
      <c r="K430" t="n">
        <v>0</v>
      </c>
      <c r="L430" t="n">
        <v>0</v>
      </c>
      <c r="M430" t="n">
        <v>0</v>
      </c>
      <c r="N430" t="n">
        <v>0</v>
      </c>
      <c r="O430" t="n">
        <v>0</v>
      </c>
      <c r="P430" t="n">
        <v>0</v>
      </c>
      <c r="Q430" t="n">
        <v>0</v>
      </c>
      <c r="R430" s="2" t="inlineStr"/>
    </row>
    <row r="431" ht="15" customHeight="1">
      <c r="A431" t="inlineStr">
        <is>
          <t>A 57710-2021</t>
        </is>
      </c>
      <c r="B431" s="1" t="n">
        <v>44484</v>
      </c>
      <c r="C431" s="1" t="n">
        <v>45837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58230-2021</t>
        </is>
      </c>
      <c r="B432" s="1" t="n">
        <v>44487</v>
      </c>
      <c r="C432" s="1" t="n">
        <v>45837</v>
      </c>
      <c r="D432" t="inlineStr">
        <is>
          <t>JÄMTLANDS LÄN</t>
        </is>
      </c>
      <c r="E432" t="inlineStr">
        <is>
          <t>ÅRE</t>
        </is>
      </c>
      <c r="G432" t="n">
        <v>19.3</v>
      </c>
      <c r="H432" t="n">
        <v>0</v>
      </c>
      <c r="I432" t="n">
        <v>0</v>
      </c>
      <c r="J432" t="n">
        <v>0</v>
      </c>
      <c r="K432" t="n">
        <v>0</v>
      </c>
      <c r="L432" t="n">
        <v>0</v>
      </c>
      <c r="M432" t="n">
        <v>0</v>
      </c>
      <c r="N432" t="n">
        <v>0</v>
      </c>
      <c r="O432" t="n">
        <v>0</v>
      </c>
      <c r="P432" t="n">
        <v>0</v>
      </c>
      <c r="Q432" t="n">
        <v>0</v>
      </c>
      <c r="R432" s="2" t="inlineStr"/>
    </row>
    <row r="433" ht="15" customHeight="1">
      <c r="A433" t="inlineStr">
        <is>
          <t>A 58232-2021</t>
        </is>
      </c>
      <c r="B433" s="1" t="n">
        <v>44487</v>
      </c>
      <c r="C433" s="1" t="n">
        <v>45837</v>
      </c>
      <c r="D433" t="inlineStr">
        <is>
          <t>JÄMTLANDS LÄN</t>
        </is>
      </c>
      <c r="E433" t="inlineStr">
        <is>
          <t>ÅRE</t>
        </is>
      </c>
      <c r="G433" t="n">
        <v>43.7</v>
      </c>
      <c r="H433" t="n">
        <v>0</v>
      </c>
      <c r="I433" t="n">
        <v>0</v>
      </c>
      <c r="J433" t="n">
        <v>0</v>
      </c>
      <c r="K433" t="n">
        <v>0</v>
      </c>
      <c r="L433" t="n">
        <v>0</v>
      </c>
      <c r="M433" t="n">
        <v>0</v>
      </c>
      <c r="N433" t="n">
        <v>0</v>
      </c>
      <c r="O433" t="n">
        <v>0</v>
      </c>
      <c r="P433" t="n">
        <v>0</v>
      </c>
      <c r="Q433" t="n">
        <v>0</v>
      </c>
      <c r="R433" s="2" t="inlineStr"/>
    </row>
    <row r="434" ht="15" customHeight="1">
      <c r="A434" t="inlineStr">
        <is>
          <t>A 58228-2021</t>
        </is>
      </c>
      <c r="B434" s="1" t="n">
        <v>44487</v>
      </c>
      <c r="C434" s="1" t="n">
        <v>45837</v>
      </c>
      <c r="D434" t="inlineStr">
        <is>
          <t>JÄMTLANDS LÄN</t>
        </is>
      </c>
      <c r="E434" t="inlineStr">
        <is>
          <t>ÅRE</t>
        </is>
      </c>
      <c r="G434" t="n">
        <v>46.2</v>
      </c>
      <c r="H434" t="n">
        <v>0</v>
      </c>
      <c r="I434" t="n">
        <v>0</v>
      </c>
      <c r="J434" t="n">
        <v>0</v>
      </c>
      <c r="K434" t="n">
        <v>0</v>
      </c>
      <c r="L434" t="n">
        <v>0</v>
      </c>
      <c r="M434" t="n">
        <v>0</v>
      </c>
      <c r="N434" t="n">
        <v>0</v>
      </c>
      <c r="O434" t="n">
        <v>0</v>
      </c>
      <c r="P434" t="n">
        <v>0</v>
      </c>
      <c r="Q434" t="n">
        <v>0</v>
      </c>
      <c r="R434" s="2" t="inlineStr"/>
    </row>
    <row r="435" ht="15" customHeight="1">
      <c r="A435" t="inlineStr">
        <is>
          <t>A 58940-2021</t>
        </is>
      </c>
      <c r="B435" s="1" t="n">
        <v>44489</v>
      </c>
      <c r="C435" s="1" t="n">
        <v>45837</v>
      </c>
      <c r="D435" t="inlineStr">
        <is>
          <t>JÄMTLANDS LÄN</t>
        </is>
      </c>
      <c r="E435" t="inlineStr">
        <is>
          <t>ÅRE</t>
        </is>
      </c>
      <c r="G435" t="n">
        <v>5.8</v>
      </c>
      <c r="H435" t="n">
        <v>0</v>
      </c>
      <c r="I435" t="n">
        <v>0</v>
      </c>
      <c r="J435" t="n">
        <v>0</v>
      </c>
      <c r="K435" t="n">
        <v>0</v>
      </c>
      <c r="L435" t="n">
        <v>0</v>
      </c>
      <c r="M435" t="n">
        <v>0</v>
      </c>
      <c r="N435" t="n">
        <v>0</v>
      </c>
      <c r="O435" t="n">
        <v>0</v>
      </c>
      <c r="P435" t="n">
        <v>0</v>
      </c>
      <c r="Q435" t="n">
        <v>0</v>
      </c>
      <c r="R435" s="2" t="inlineStr"/>
    </row>
    <row r="436" ht="15" customHeight="1">
      <c r="A436" t="inlineStr">
        <is>
          <t>A 59352-2021</t>
        </is>
      </c>
      <c r="B436" s="1" t="n">
        <v>44490</v>
      </c>
      <c r="C436" s="1" t="n">
        <v>45837</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59397-2021</t>
        </is>
      </c>
      <c r="B437" s="1" t="n">
        <v>44491</v>
      </c>
      <c r="C437" s="1" t="n">
        <v>45837</v>
      </c>
      <c r="D437" t="inlineStr">
        <is>
          <t>JÄMTLANDS LÄN</t>
        </is>
      </c>
      <c r="E437" t="inlineStr">
        <is>
          <t>ÅRE</t>
        </is>
      </c>
      <c r="F437" t="inlineStr">
        <is>
          <t>Övriga Aktiebolag</t>
        </is>
      </c>
      <c r="G437" t="n">
        <v>7.6</v>
      </c>
      <c r="H437" t="n">
        <v>0</v>
      </c>
      <c r="I437" t="n">
        <v>0</v>
      </c>
      <c r="J437" t="n">
        <v>0</v>
      </c>
      <c r="K437" t="n">
        <v>0</v>
      </c>
      <c r="L437" t="n">
        <v>0</v>
      </c>
      <c r="M437" t="n">
        <v>0</v>
      </c>
      <c r="N437" t="n">
        <v>0</v>
      </c>
      <c r="O437" t="n">
        <v>0</v>
      </c>
      <c r="P437" t="n">
        <v>0</v>
      </c>
      <c r="Q437" t="n">
        <v>0</v>
      </c>
      <c r="R437" s="2" t="inlineStr"/>
    </row>
    <row r="438" ht="15" customHeight="1">
      <c r="A438" t="inlineStr">
        <is>
          <t>A 60132-2021</t>
        </is>
      </c>
      <c r="B438" s="1" t="n">
        <v>44495</v>
      </c>
      <c r="C438" s="1" t="n">
        <v>45837</v>
      </c>
      <c r="D438" t="inlineStr">
        <is>
          <t>JÄMTLANDS LÄN</t>
        </is>
      </c>
      <c r="E438" t="inlineStr">
        <is>
          <t>ÅRE</t>
        </is>
      </c>
      <c r="G438" t="n">
        <v>3.7</v>
      </c>
      <c r="H438" t="n">
        <v>0</v>
      </c>
      <c r="I438" t="n">
        <v>0</v>
      </c>
      <c r="J438" t="n">
        <v>0</v>
      </c>
      <c r="K438" t="n">
        <v>0</v>
      </c>
      <c r="L438" t="n">
        <v>0</v>
      </c>
      <c r="M438" t="n">
        <v>0</v>
      </c>
      <c r="N438" t="n">
        <v>0</v>
      </c>
      <c r="O438" t="n">
        <v>0</v>
      </c>
      <c r="P438" t="n">
        <v>0</v>
      </c>
      <c r="Q438" t="n">
        <v>0</v>
      </c>
      <c r="R438" s="2" t="inlineStr"/>
    </row>
    <row r="439" ht="15" customHeight="1">
      <c r="A439" t="inlineStr">
        <is>
          <t>A 60122-2021</t>
        </is>
      </c>
      <c r="B439" s="1" t="n">
        <v>44495</v>
      </c>
      <c r="C439" s="1" t="n">
        <v>45837</v>
      </c>
      <c r="D439" t="inlineStr">
        <is>
          <t>JÄMTLANDS LÄN</t>
        </is>
      </c>
      <c r="E439" t="inlineStr">
        <is>
          <t>ÅRE</t>
        </is>
      </c>
      <c r="G439" t="n">
        <v>46.7</v>
      </c>
      <c r="H439" t="n">
        <v>0</v>
      </c>
      <c r="I439" t="n">
        <v>0</v>
      </c>
      <c r="J439" t="n">
        <v>0</v>
      </c>
      <c r="K439" t="n">
        <v>0</v>
      </c>
      <c r="L439" t="n">
        <v>0</v>
      </c>
      <c r="M439" t="n">
        <v>0</v>
      </c>
      <c r="N439" t="n">
        <v>0</v>
      </c>
      <c r="O439" t="n">
        <v>0</v>
      </c>
      <c r="P439" t="n">
        <v>0</v>
      </c>
      <c r="Q439" t="n">
        <v>0</v>
      </c>
      <c r="R439" s="2" t="inlineStr"/>
    </row>
    <row r="440" ht="15" customHeight="1">
      <c r="A440" t="inlineStr">
        <is>
          <t>A 61566-2021</t>
        </is>
      </c>
      <c r="B440" s="1" t="n">
        <v>44496</v>
      </c>
      <c r="C440" s="1" t="n">
        <v>45837</v>
      </c>
      <c r="D440" t="inlineStr">
        <is>
          <t>JÄMTLANDS LÄN</t>
        </is>
      </c>
      <c r="E440" t="inlineStr">
        <is>
          <t>ÅRE</t>
        </is>
      </c>
      <c r="F440" t="inlineStr">
        <is>
          <t>Övriga statliga verk och myndigheter</t>
        </is>
      </c>
      <c r="G440" t="n">
        <v>10.9</v>
      </c>
      <c r="H440" t="n">
        <v>0</v>
      </c>
      <c r="I440" t="n">
        <v>0</v>
      </c>
      <c r="J440" t="n">
        <v>0</v>
      </c>
      <c r="K440" t="n">
        <v>0</v>
      </c>
      <c r="L440" t="n">
        <v>0</v>
      </c>
      <c r="M440" t="n">
        <v>0</v>
      </c>
      <c r="N440" t="n">
        <v>0</v>
      </c>
      <c r="O440" t="n">
        <v>0</v>
      </c>
      <c r="P440" t="n">
        <v>0</v>
      </c>
      <c r="Q440" t="n">
        <v>0</v>
      </c>
      <c r="R440" s="2" t="inlineStr"/>
    </row>
    <row r="441" ht="15" customHeight="1">
      <c r="A441" t="inlineStr">
        <is>
          <t>A 61524-2021</t>
        </is>
      </c>
      <c r="B441" s="1" t="n">
        <v>44496</v>
      </c>
      <c r="C441" s="1" t="n">
        <v>45837</v>
      </c>
      <c r="D441" t="inlineStr">
        <is>
          <t>JÄMTLANDS LÄN</t>
        </is>
      </c>
      <c r="E441" t="inlineStr">
        <is>
          <t>ÅRE</t>
        </is>
      </c>
      <c r="F441" t="inlineStr">
        <is>
          <t>Övriga statliga verk och myndigheter</t>
        </is>
      </c>
      <c r="G441" t="n">
        <v>15</v>
      </c>
      <c r="H441" t="n">
        <v>0</v>
      </c>
      <c r="I441" t="n">
        <v>0</v>
      </c>
      <c r="J441" t="n">
        <v>0</v>
      </c>
      <c r="K441" t="n">
        <v>0</v>
      </c>
      <c r="L441" t="n">
        <v>0</v>
      </c>
      <c r="M441" t="n">
        <v>0</v>
      </c>
      <c r="N441" t="n">
        <v>0</v>
      </c>
      <c r="O441" t="n">
        <v>0</v>
      </c>
      <c r="P441" t="n">
        <v>0</v>
      </c>
      <c r="Q441" t="n">
        <v>0</v>
      </c>
      <c r="R441" s="2" t="inlineStr"/>
    </row>
    <row r="442" ht="15" customHeight="1">
      <c r="A442" t="inlineStr">
        <is>
          <t>A 61331-2021</t>
        </is>
      </c>
      <c r="B442" s="1" t="n">
        <v>44498</v>
      </c>
      <c r="C442" s="1" t="n">
        <v>45837</v>
      </c>
      <c r="D442" t="inlineStr">
        <is>
          <t>JÄMTLANDS LÄN</t>
        </is>
      </c>
      <c r="E442" t="inlineStr">
        <is>
          <t>ÅRE</t>
        </is>
      </c>
      <c r="G442" t="n">
        <v>8.4</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45837</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61806-2021</t>
        </is>
      </c>
      <c r="B444" s="1" t="n">
        <v>44498</v>
      </c>
      <c r="C444" s="1" t="n">
        <v>45837</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61815-2021</t>
        </is>
      </c>
      <c r="B445" s="1" t="n">
        <v>44498</v>
      </c>
      <c r="C445" s="1" t="n">
        <v>45837</v>
      </c>
      <c r="D445" t="inlineStr">
        <is>
          <t>JÄMTLANDS LÄN</t>
        </is>
      </c>
      <c r="E445" t="inlineStr">
        <is>
          <t>ÅRE</t>
        </is>
      </c>
      <c r="G445" t="n">
        <v>7.4</v>
      </c>
      <c r="H445" t="n">
        <v>0</v>
      </c>
      <c r="I445" t="n">
        <v>0</v>
      </c>
      <c r="J445" t="n">
        <v>0</v>
      </c>
      <c r="K445" t="n">
        <v>0</v>
      </c>
      <c r="L445" t="n">
        <v>0</v>
      </c>
      <c r="M445" t="n">
        <v>0</v>
      </c>
      <c r="N445" t="n">
        <v>0</v>
      </c>
      <c r="O445" t="n">
        <v>0</v>
      </c>
      <c r="P445" t="n">
        <v>0</v>
      </c>
      <c r="Q445" t="n">
        <v>0</v>
      </c>
      <c r="R445" s="2" t="inlineStr"/>
    </row>
    <row r="446" ht="15" customHeight="1">
      <c r="A446" t="inlineStr">
        <is>
          <t>A 61375-2021</t>
        </is>
      </c>
      <c r="B446" s="1" t="n">
        <v>44499</v>
      </c>
      <c r="C446" s="1" t="n">
        <v>45837</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62183-2021</t>
        </is>
      </c>
      <c r="B447" s="1" t="n">
        <v>44502</v>
      </c>
      <c r="C447" s="1" t="n">
        <v>45837</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62352-2021</t>
        </is>
      </c>
      <c r="B448" s="1" t="n">
        <v>44502</v>
      </c>
      <c r="C448" s="1" t="n">
        <v>45837</v>
      </c>
      <c r="D448" t="inlineStr">
        <is>
          <t>JÄMTLANDS LÄN</t>
        </is>
      </c>
      <c r="E448" t="inlineStr">
        <is>
          <t>ÅRE</t>
        </is>
      </c>
      <c r="F448" t="inlineStr">
        <is>
          <t>Övriga statliga verk och myndigheter</t>
        </is>
      </c>
      <c r="G448" t="n">
        <v>64.90000000000001</v>
      </c>
      <c r="H448" t="n">
        <v>0</v>
      </c>
      <c r="I448" t="n">
        <v>0</v>
      </c>
      <c r="J448" t="n">
        <v>0</v>
      </c>
      <c r="K448" t="n">
        <v>0</v>
      </c>
      <c r="L448" t="n">
        <v>0</v>
      </c>
      <c r="M448" t="n">
        <v>0</v>
      </c>
      <c r="N448" t="n">
        <v>0</v>
      </c>
      <c r="O448" t="n">
        <v>0</v>
      </c>
      <c r="P448" t="n">
        <v>0</v>
      </c>
      <c r="Q448" t="n">
        <v>0</v>
      </c>
      <c r="R448" s="2" t="inlineStr"/>
    </row>
    <row r="449" ht="15" customHeight="1">
      <c r="A449" t="inlineStr">
        <is>
          <t>A 63226-2021</t>
        </is>
      </c>
      <c r="B449" s="1" t="n">
        <v>44504</v>
      </c>
      <c r="C449" s="1" t="n">
        <v>45837</v>
      </c>
      <c r="D449" t="inlineStr">
        <is>
          <t>JÄMTLANDS LÄN</t>
        </is>
      </c>
      <c r="E449" t="inlineStr">
        <is>
          <t>ÅRE</t>
        </is>
      </c>
      <c r="G449" t="n">
        <v>1.7</v>
      </c>
      <c r="H449" t="n">
        <v>0</v>
      </c>
      <c r="I449" t="n">
        <v>0</v>
      </c>
      <c r="J449" t="n">
        <v>0</v>
      </c>
      <c r="K449" t="n">
        <v>0</v>
      </c>
      <c r="L449" t="n">
        <v>0</v>
      </c>
      <c r="M449" t="n">
        <v>0</v>
      </c>
      <c r="N449" t="n">
        <v>0</v>
      </c>
      <c r="O449" t="n">
        <v>0</v>
      </c>
      <c r="P449" t="n">
        <v>0</v>
      </c>
      <c r="Q449" t="n">
        <v>0</v>
      </c>
      <c r="R449" s="2" t="inlineStr"/>
    </row>
    <row r="450" ht="15" customHeight="1">
      <c r="A450" t="inlineStr">
        <is>
          <t>A 64196-2021</t>
        </is>
      </c>
      <c r="B450" s="1" t="n">
        <v>44510</v>
      </c>
      <c r="C450" s="1" t="n">
        <v>45837</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64237-2021</t>
        </is>
      </c>
      <c r="B451" s="1" t="n">
        <v>44510</v>
      </c>
      <c r="C451" s="1" t="n">
        <v>45837</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64219-2021</t>
        </is>
      </c>
      <c r="B452" s="1" t="n">
        <v>44510</v>
      </c>
      <c r="C452" s="1" t="n">
        <v>45837</v>
      </c>
      <c r="D452" t="inlineStr">
        <is>
          <t>JÄMTLANDS LÄN</t>
        </is>
      </c>
      <c r="E452" t="inlineStr">
        <is>
          <t>ÅRE</t>
        </is>
      </c>
      <c r="G452" t="n">
        <v>5.1</v>
      </c>
      <c r="H452" t="n">
        <v>0</v>
      </c>
      <c r="I452" t="n">
        <v>0</v>
      </c>
      <c r="J452" t="n">
        <v>0</v>
      </c>
      <c r="K452" t="n">
        <v>0</v>
      </c>
      <c r="L452" t="n">
        <v>0</v>
      </c>
      <c r="M452" t="n">
        <v>0</v>
      </c>
      <c r="N452" t="n">
        <v>0</v>
      </c>
      <c r="O452" t="n">
        <v>0</v>
      </c>
      <c r="P452" t="n">
        <v>0</v>
      </c>
      <c r="Q452" t="n">
        <v>0</v>
      </c>
      <c r="R452" s="2" t="inlineStr"/>
    </row>
    <row r="453" ht="15" customHeight="1">
      <c r="A453" t="inlineStr">
        <is>
          <t>A 64245-2021</t>
        </is>
      </c>
      <c r="B453" s="1" t="n">
        <v>44510</v>
      </c>
      <c r="C453" s="1" t="n">
        <v>45837</v>
      </c>
      <c r="D453" t="inlineStr">
        <is>
          <t>JÄMTLANDS LÄN</t>
        </is>
      </c>
      <c r="E453" t="inlineStr">
        <is>
          <t>ÅRE</t>
        </is>
      </c>
      <c r="G453" t="n">
        <v>1.8</v>
      </c>
      <c r="H453" t="n">
        <v>0</v>
      </c>
      <c r="I453" t="n">
        <v>0</v>
      </c>
      <c r="J453" t="n">
        <v>0</v>
      </c>
      <c r="K453" t="n">
        <v>0</v>
      </c>
      <c r="L453" t="n">
        <v>0</v>
      </c>
      <c r="M453" t="n">
        <v>0</v>
      </c>
      <c r="N453" t="n">
        <v>0</v>
      </c>
      <c r="O453" t="n">
        <v>0</v>
      </c>
      <c r="P453" t="n">
        <v>0</v>
      </c>
      <c r="Q453" t="n">
        <v>0</v>
      </c>
      <c r="R453" s="2" t="inlineStr"/>
    </row>
    <row r="454" ht="15" customHeight="1">
      <c r="A454" t="inlineStr">
        <is>
          <t>A 65239-2021</t>
        </is>
      </c>
      <c r="B454" s="1" t="n">
        <v>44515</v>
      </c>
      <c r="C454" s="1" t="n">
        <v>45837</v>
      </c>
      <c r="D454" t="inlineStr">
        <is>
          <t>JÄMTLANDS LÄN</t>
        </is>
      </c>
      <c r="E454" t="inlineStr">
        <is>
          <t>ÅRE</t>
        </is>
      </c>
      <c r="G454" t="n">
        <v>0</v>
      </c>
      <c r="H454" t="n">
        <v>0</v>
      </c>
      <c r="I454" t="n">
        <v>0</v>
      </c>
      <c r="J454" t="n">
        <v>0</v>
      </c>
      <c r="K454" t="n">
        <v>0</v>
      </c>
      <c r="L454" t="n">
        <v>0</v>
      </c>
      <c r="M454" t="n">
        <v>0</v>
      </c>
      <c r="N454" t="n">
        <v>0</v>
      </c>
      <c r="O454" t="n">
        <v>0</v>
      </c>
      <c r="P454" t="n">
        <v>0</v>
      </c>
      <c r="Q454" t="n">
        <v>0</v>
      </c>
      <c r="R454" s="2" t="inlineStr"/>
    </row>
    <row r="455" ht="15" customHeight="1">
      <c r="A455" t="inlineStr">
        <is>
          <t>A 65415-2021</t>
        </is>
      </c>
      <c r="B455" s="1" t="n">
        <v>44515</v>
      </c>
      <c r="C455" s="1" t="n">
        <v>45837</v>
      </c>
      <c r="D455" t="inlineStr">
        <is>
          <t>JÄMTLANDS LÄN</t>
        </is>
      </c>
      <c r="E455" t="inlineStr">
        <is>
          <t>ÅRE</t>
        </is>
      </c>
      <c r="G455" t="n">
        <v>2.7</v>
      </c>
      <c r="H455" t="n">
        <v>0</v>
      </c>
      <c r="I455" t="n">
        <v>0</v>
      </c>
      <c r="J455" t="n">
        <v>0</v>
      </c>
      <c r="K455" t="n">
        <v>0</v>
      </c>
      <c r="L455" t="n">
        <v>0</v>
      </c>
      <c r="M455" t="n">
        <v>0</v>
      </c>
      <c r="N455" t="n">
        <v>0</v>
      </c>
      <c r="O455" t="n">
        <v>0</v>
      </c>
      <c r="P455" t="n">
        <v>0</v>
      </c>
      <c r="Q455" t="n">
        <v>0</v>
      </c>
      <c r="R455" s="2" t="inlineStr"/>
    </row>
    <row r="456" ht="15" customHeight="1">
      <c r="A456" t="inlineStr">
        <is>
          <t>A 65782-2021</t>
        </is>
      </c>
      <c r="B456" s="1" t="n">
        <v>44516</v>
      </c>
      <c r="C456" s="1" t="n">
        <v>45837</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65784-2021</t>
        </is>
      </c>
      <c r="B457" s="1" t="n">
        <v>44516</v>
      </c>
      <c r="C457" s="1" t="n">
        <v>45837</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67541-2021</t>
        </is>
      </c>
      <c r="B458" s="1" t="n">
        <v>44524</v>
      </c>
      <c r="C458" s="1" t="n">
        <v>45837</v>
      </c>
      <c r="D458" t="inlineStr">
        <is>
          <t>JÄMTLANDS LÄN</t>
        </is>
      </c>
      <c r="E458" t="inlineStr">
        <is>
          <t>ÅRE</t>
        </is>
      </c>
      <c r="G458" t="n">
        <v>3</v>
      </c>
      <c r="H458" t="n">
        <v>0</v>
      </c>
      <c r="I458" t="n">
        <v>0</v>
      </c>
      <c r="J458" t="n">
        <v>0</v>
      </c>
      <c r="K458" t="n">
        <v>0</v>
      </c>
      <c r="L458" t="n">
        <v>0</v>
      </c>
      <c r="M458" t="n">
        <v>0</v>
      </c>
      <c r="N458" t="n">
        <v>0</v>
      </c>
      <c r="O458" t="n">
        <v>0</v>
      </c>
      <c r="P458" t="n">
        <v>0</v>
      </c>
      <c r="Q458" t="n">
        <v>0</v>
      </c>
      <c r="R458" s="2" t="inlineStr"/>
    </row>
    <row r="459" ht="15" customHeight="1">
      <c r="A459" t="inlineStr">
        <is>
          <t>A 69170-2021</t>
        </is>
      </c>
      <c r="B459" s="1" t="n">
        <v>44529</v>
      </c>
      <c r="C459" s="1" t="n">
        <v>45837</v>
      </c>
      <c r="D459" t="inlineStr">
        <is>
          <t>JÄMTLANDS LÄN</t>
        </is>
      </c>
      <c r="E459" t="inlineStr">
        <is>
          <t>ÅRE</t>
        </is>
      </c>
      <c r="G459" t="n">
        <v>114.4</v>
      </c>
      <c r="H459" t="n">
        <v>0</v>
      </c>
      <c r="I459" t="n">
        <v>0</v>
      </c>
      <c r="J459" t="n">
        <v>0</v>
      </c>
      <c r="K459" t="n">
        <v>0</v>
      </c>
      <c r="L459" t="n">
        <v>0</v>
      </c>
      <c r="M459" t="n">
        <v>0</v>
      </c>
      <c r="N459" t="n">
        <v>0</v>
      </c>
      <c r="O459" t="n">
        <v>0</v>
      </c>
      <c r="P459" t="n">
        <v>0</v>
      </c>
      <c r="Q459" t="n">
        <v>0</v>
      </c>
      <c r="R459" s="2" t="inlineStr"/>
    </row>
    <row r="460" ht="15" customHeight="1">
      <c r="A460" t="inlineStr">
        <is>
          <t>A 69568-2021</t>
        </is>
      </c>
      <c r="B460" s="1" t="n">
        <v>44531</v>
      </c>
      <c r="C460" s="1" t="n">
        <v>45837</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69592-2021</t>
        </is>
      </c>
      <c r="B461" s="1" t="n">
        <v>44531</v>
      </c>
      <c r="C461" s="1" t="n">
        <v>45837</v>
      </c>
      <c r="D461" t="inlineStr">
        <is>
          <t>JÄMTLANDS LÄN</t>
        </is>
      </c>
      <c r="E461" t="inlineStr">
        <is>
          <t>ÅRE</t>
        </is>
      </c>
      <c r="G461" t="n">
        <v>4.7</v>
      </c>
      <c r="H461" t="n">
        <v>0</v>
      </c>
      <c r="I461" t="n">
        <v>0</v>
      </c>
      <c r="J461" t="n">
        <v>0</v>
      </c>
      <c r="K461" t="n">
        <v>0</v>
      </c>
      <c r="L461" t="n">
        <v>0</v>
      </c>
      <c r="M461" t="n">
        <v>0</v>
      </c>
      <c r="N461" t="n">
        <v>0</v>
      </c>
      <c r="O461" t="n">
        <v>0</v>
      </c>
      <c r="P461" t="n">
        <v>0</v>
      </c>
      <c r="Q461" t="n">
        <v>0</v>
      </c>
      <c r="R461" s="2" t="inlineStr"/>
    </row>
    <row r="462" ht="15" customHeight="1">
      <c r="A462" t="inlineStr">
        <is>
          <t>A 69801-2021</t>
        </is>
      </c>
      <c r="B462" s="1" t="n">
        <v>44532</v>
      </c>
      <c r="C462" s="1" t="n">
        <v>45837</v>
      </c>
      <c r="D462" t="inlineStr">
        <is>
          <t>JÄMTLANDS LÄN</t>
        </is>
      </c>
      <c r="E462" t="inlineStr">
        <is>
          <t>ÅRE</t>
        </is>
      </c>
      <c r="G462" t="n">
        <v>4</v>
      </c>
      <c r="H462" t="n">
        <v>0</v>
      </c>
      <c r="I462" t="n">
        <v>0</v>
      </c>
      <c r="J462" t="n">
        <v>0</v>
      </c>
      <c r="K462" t="n">
        <v>0</v>
      </c>
      <c r="L462" t="n">
        <v>0</v>
      </c>
      <c r="M462" t="n">
        <v>0</v>
      </c>
      <c r="N462" t="n">
        <v>0</v>
      </c>
      <c r="O462" t="n">
        <v>0</v>
      </c>
      <c r="P462" t="n">
        <v>0</v>
      </c>
      <c r="Q462" t="n">
        <v>0</v>
      </c>
      <c r="R462" s="2" t="inlineStr"/>
    </row>
    <row r="463" ht="15" customHeight="1">
      <c r="A463" t="inlineStr">
        <is>
          <t>A 70523-2021</t>
        </is>
      </c>
      <c r="B463" s="1" t="n">
        <v>44536</v>
      </c>
      <c r="C463" s="1" t="n">
        <v>45837</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70522-2021</t>
        </is>
      </c>
      <c r="B464" s="1" t="n">
        <v>44536</v>
      </c>
      <c r="C464" s="1" t="n">
        <v>45837</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71005-2021</t>
        </is>
      </c>
      <c r="B465" s="1" t="n">
        <v>44538</v>
      </c>
      <c r="C465" s="1" t="n">
        <v>45837</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71043-2021</t>
        </is>
      </c>
      <c r="B466" s="1" t="n">
        <v>44538</v>
      </c>
      <c r="C466" s="1" t="n">
        <v>45837</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71968-2021</t>
        </is>
      </c>
      <c r="B467" s="1" t="n">
        <v>44540</v>
      </c>
      <c r="C467" s="1" t="n">
        <v>45837</v>
      </c>
      <c r="D467" t="inlineStr">
        <is>
          <t>JÄMTLANDS LÄN</t>
        </is>
      </c>
      <c r="E467" t="inlineStr">
        <is>
          <t>ÅRE</t>
        </is>
      </c>
      <c r="G467" t="n">
        <v>7</v>
      </c>
      <c r="H467" t="n">
        <v>0</v>
      </c>
      <c r="I467" t="n">
        <v>0</v>
      </c>
      <c r="J467" t="n">
        <v>0</v>
      </c>
      <c r="K467" t="n">
        <v>0</v>
      </c>
      <c r="L467" t="n">
        <v>0</v>
      </c>
      <c r="M467" t="n">
        <v>0</v>
      </c>
      <c r="N467" t="n">
        <v>0</v>
      </c>
      <c r="O467" t="n">
        <v>0</v>
      </c>
      <c r="P467" t="n">
        <v>0</v>
      </c>
      <c r="Q467" t="n">
        <v>0</v>
      </c>
      <c r="R467" s="2" t="inlineStr"/>
    </row>
    <row r="468" ht="15" customHeight="1">
      <c r="A468" t="inlineStr">
        <is>
          <t>A 71900-2021</t>
        </is>
      </c>
      <c r="B468" s="1" t="n">
        <v>44543</v>
      </c>
      <c r="C468" s="1" t="n">
        <v>45837</v>
      </c>
      <c r="D468" t="inlineStr">
        <is>
          <t>JÄMTLANDS LÄN</t>
        </is>
      </c>
      <c r="E468" t="inlineStr">
        <is>
          <t>ÅRE</t>
        </is>
      </c>
      <c r="G468" t="n">
        <v>7.7</v>
      </c>
      <c r="H468" t="n">
        <v>0</v>
      </c>
      <c r="I468" t="n">
        <v>0</v>
      </c>
      <c r="J468" t="n">
        <v>0</v>
      </c>
      <c r="K468" t="n">
        <v>0</v>
      </c>
      <c r="L468" t="n">
        <v>0</v>
      </c>
      <c r="M468" t="n">
        <v>0</v>
      </c>
      <c r="N468" t="n">
        <v>0</v>
      </c>
      <c r="O468" t="n">
        <v>0</v>
      </c>
      <c r="P468" t="n">
        <v>0</v>
      </c>
      <c r="Q468" t="n">
        <v>0</v>
      </c>
      <c r="R468" s="2" t="inlineStr"/>
    </row>
    <row r="469" ht="15" customHeight="1">
      <c r="A469" t="inlineStr">
        <is>
          <t>A 72214-2021</t>
        </is>
      </c>
      <c r="B469" s="1" t="n">
        <v>44544</v>
      </c>
      <c r="C469" s="1" t="n">
        <v>45837</v>
      </c>
      <c r="D469" t="inlineStr">
        <is>
          <t>JÄMTLANDS LÄN</t>
        </is>
      </c>
      <c r="E469" t="inlineStr">
        <is>
          <t>ÅRE</t>
        </is>
      </c>
      <c r="G469" t="n">
        <v>14.1</v>
      </c>
      <c r="H469" t="n">
        <v>0</v>
      </c>
      <c r="I469" t="n">
        <v>0</v>
      </c>
      <c r="J469" t="n">
        <v>0</v>
      </c>
      <c r="K469" t="n">
        <v>0</v>
      </c>
      <c r="L469" t="n">
        <v>0</v>
      </c>
      <c r="M469" t="n">
        <v>0</v>
      </c>
      <c r="N469" t="n">
        <v>0</v>
      </c>
      <c r="O469" t="n">
        <v>0</v>
      </c>
      <c r="P469" t="n">
        <v>0</v>
      </c>
      <c r="Q469" t="n">
        <v>0</v>
      </c>
      <c r="R469" s="2" t="inlineStr"/>
    </row>
    <row r="470" ht="15" customHeight="1">
      <c r="A470" t="inlineStr">
        <is>
          <t>A 72215-2021</t>
        </is>
      </c>
      <c r="B470" s="1" t="n">
        <v>44544</v>
      </c>
      <c r="C470" s="1" t="n">
        <v>45837</v>
      </c>
      <c r="D470" t="inlineStr">
        <is>
          <t>JÄMTLANDS LÄN</t>
        </is>
      </c>
      <c r="E470" t="inlineStr">
        <is>
          <t>ÅRE</t>
        </is>
      </c>
      <c r="G470" t="n">
        <v>3.9</v>
      </c>
      <c r="H470" t="n">
        <v>0</v>
      </c>
      <c r="I470" t="n">
        <v>0</v>
      </c>
      <c r="J470" t="n">
        <v>0</v>
      </c>
      <c r="K470" t="n">
        <v>0</v>
      </c>
      <c r="L470" t="n">
        <v>0</v>
      </c>
      <c r="M470" t="n">
        <v>0</v>
      </c>
      <c r="N470" t="n">
        <v>0</v>
      </c>
      <c r="O470" t="n">
        <v>0</v>
      </c>
      <c r="P470" t="n">
        <v>0</v>
      </c>
      <c r="Q470" t="n">
        <v>0</v>
      </c>
      <c r="R470" s="2" t="inlineStr"/>
    </row>
    <row r="471" ht="15" customHeight="1">
      <c r="A471" t="inlineStr">
        <is>
          <t>A 73086-2021</t>
        </is>
      </c>
      <c r="B471" s="1" t="n">
        <v>44550</v>
      </c>
      <c r="C471" s="1" t="n">
        <v>45837</v>
      </c>
      <c r="D471" t="inlineStr">
        <is>
          <t>JÄMTLANDS LÄN</t>
        </is>
      </c>
      <c r="E471" t="inlineStr">
        <is>
          <t>ÅRE</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73738-2021</t>
        </is>
      </c>
      <c r="B472" s="1" t="n">
        <v>44551</v>
      </c>
      <c r="C472" s="1" t="n">
        <v>45837</v>
      </c>
      <c r="D472" t="inlineStr">
        <is>
          <t>JÄMTLANDS LÄN</t>
        </is>
      </c>
      <c r="E472" t="inlineStr">
        <is>
          <t>ÅRE</t>
        </is>
      </c>
      <c r="G472" t="n">
        <v>1.4</v>
      </c>
      <c r="H472" t="n">
        <v>0</v>
      </c>
      <c r="I472" t="n">
        <v>0</v>
      </c>
      <c r="J472" t="n">
        <v>0</v>
      </c>
      <c r="K472" t="n">
        <v>0</v>
      </c>
      <c r="L472" t="n">
        <v>0</v>
      </c>
      <c r="M472" t="n">
        <v>0</v>
      </c>
      <c r="N472" t="n">
        <v>0</v>
      </c>
      <c r="O472" t="n">
        <v>0</v>
      </c>
      <c r="P472" t="n">
        <v>0</v>
      </c>
      <c r="Q472" t="n">
        <v>0</v>
      </c>
      <c r="R472" s="2" t="inlineStr"/>
    </row>
    <row r="473" ht="15" customHeight="1">
      <c r="A473" t="inlineStr">
        <is>
          <t>A 73629-2021</t>
        </is>
      </c>
      <c r="B473" s="1" t="n">
        <v>44552</v>
      </c>
      <c r="C473" s="1" t="n">
        <v>45837</v>
      </c>
      <c r="D473" t="inlineStr">
        <is>
          <t>JÄMTLANDS LÄN</t>
        </is>
      </c>
      <c r="E473" t="inlineStr">
        <is>
          <t>ÅRE</t>
        </is>
      </c>
      <c r="G473" t="n">
        <v>1.1</v>
      </c>
      <c r="H473" t="n">
        <v>0</v>
      </c>
      <c r="I473" t="n">
        <v>0</v>
      </c>
      <c r="J473" t="n">
        <v>0</v>
      </c>
      <c r="K473" t="n">
        <v>0</v>
      </c>
      <c r="L473" t="n">
        <v>0</v>
      </c>
      <c r="M473" t="n">
        <v>0</v>
      </c>
      <c r="N473" t="n">
        <v>0</v>
      </c>
      <c r="O473" t="n">
        <v>0</v>
      </c>
      <c r="P473" t="n">
        <v>0</v>
      </c>
      <c r="Q473" t="n">
        <v>0</v>
      </c>
      <c r="R473" s="2" t="inlineStr"/>
    </row>
    <row r="474" ht="15" customHeight="1">
      <c r="A474" t="inlineStr">
        <is>
          <t>A 73800-2021</t>
        </is>
      </c>
      <c r="B474" s="1" t="n">
        <v>44552</v>
      </c>
      <c r="C474" s="1" t="n">
        <v>45837</v>
      </c>
      <c r="D474" t="inlineStr">
        <is>
          <t>JÄMTLANDS LÄN</t>
        </is>
      </c>
      <c r="E474" t="inlineStr">
        <is>
          <t>ÅRE</t>
        </is>
      </c>
      <c r="G474" t="n">
        <v>8.6</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45837</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74046-2021</t>
        </is>
      </c>
      <c r="B476" s="1" t="n">
        <v>44553</v>
      </c>
      <c r="C476" s="1" t="n">
        <v>45837</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911-2022</t>
        </is>
      </c>
      <c r="B477" s="1" t="n">
        <v>44570</v>
      </c>
      <c r="C477" s="1" t="n">
        <v>45837</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2230-2022</t>
        </is>
      </c>
      <c r="B478" s="1" t="n">
        <v>44578</v>
      </c>
      <c r="C478" s="1" t="n">
        <v>45837</v>
      </c>
      <c r="D478" t="inlineStr">
        <is>
          <t>JÄMTLANDS LÄN</t>
        </is>
      </c>
      <c r="E478" t="inlineStr">
        <is>
          <t>ÅRE</t>
        </is>
      </c>
      <c r="G478" t="n">
        <v>1.6</v>
      </c>
      <c r="H478" t="n">
        <v>0</v>
      </c>
      <c r="I478" t="n">
        <v>0</v>
      </c>
      <c r="J478" t="n">
        <v>0</v>
      </c>
      <c r="K478" t="n">
        <v>0</v>
      </c>
      <c r="L478" t="n">
        <v>0</v>
      </c>
      <c r="M478" t="n">
        <v>0</v>
      </c>
      <c r="N478" t="n">
        <v>0</v>
      </c>
      <c r="O478" t="n">
        <v>0</v>
      </c>
      <c r="P478" t="n">
        <v>0</v>
      </c>
      <c r="Q478" t="n">
        <v>0</v>
      </c>
      <c r="R478" s="2" t="inlineStr"/>
    </row>
    <row r="479" ht="15" customHeight="1">
      <c r="A479" t="inlineStr">
        <is>
          <t>A 2571-2022</t>
        </is>
      </c>
      <c r="B479" s="1" t="n">
        <v>44580</v>
      </c>
      <c r="C479" s="1" t="n">
        <v>45837</v>
      </c>
      <c r="D479" t="inlineStr">
        <is>
          <t>JÄMTLANDS LÄN</t>
        </is>
      </c>
      <c r="E479" t="inlineStr">
        <is>
          <t>ÅRE</t>
        </is>
      </c>
      <c r="G479" t="n">
        <v>3.7</v>
      </c>
      <c r="H479" t="n">
        <v>0</v>
      </c>
      <c r="I479" t="n">
        <v>0</v>
      </c>
      <c r="J479" t="n">
        <v>0</v>
      </c>
      <c r="K479" t="n">
        <v>0</v>
      </c>
      <c r="L479" t="n">
        <v>0</v>
      </c>
      <c r="M479" t="n">
        <v>0</v>
      </c>
      <c r="N479" t="n">
        <v>0</v>
      </c>
      <c r="O479" t="n">
        <v>0</v>
      </c>
      <c r="P479" t="n">
        <v>0</v>
      </c>
      <c r="Q479" t="n">
        <v>0</v>
      </c>
      <c r="R479" s="2" t="inlineStr"/>
    </row>
    <row r="480" ht="15" customHeight="1">
      <c r="A480" t="inlineStr">
        <is>
          <t>A 5250-2022</t>
        </is>
      </c>
      <c r="B480" s="1" t="n">
        <v>44594</v>
      </c>
      <c r="C480" s="1" t="n">
        <v>45837</v>
      </c>
      <c r="D480" t="inlineStr">
        <is>
          <t>JÄMTLANDS LÄN</t>
        </is>
      </c>
      <c r="E480" t="inlineStr">
        <is>
          <t>ÅRE</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5923-2022</t>
        </is>
      </c>
      <c r="B481" s="1" t="n">
        <v>44598</v>
      </c>
      <c r="C481" s="1" t="n">
        <v>45837</v>
      </c>
      <c r="D481" t="inlineStr">
        <is>
          <t>JÄMTLANDS LÄN</t>
        </is>
      </c>
      <c r="E481" t="inlineStr">
        <is>
          <t>ÅRE</t>
        </is>
      </c>
      <c r="G481" t="n">
        <v>0.8</v>
      </c>
      <c r="H481" t="n">
        <v>0</v>
      </c>
      <c r="I481" t="n">
        <v>0</v>
      </c>
      <c r="J481" t="n">
        <v>0</v>
      </c>
      <c r="K481" t="n">
        <v>0</v>
      </c>
      <c r="L481" t="n">
        <v>0</v>
      </c>
      <c r="M481" t="n">
        <v>0</v>
      </c>
      <c r="N481" t="n">
        <v>0</v>
      </c>
      <c r="O481" t="n">
        <v>0</v>
      </c>
      <c r="P481" t="n">
        <v>0</v>
      </c>
      <c r="Q481" t="n">
        <v>0</v>
      </c>
      <c r="R481" s="2" t="inlineStr"/>
    </row>
    <row r="482" ht="15" customHeight="1">
      <c r="A482" t="inlineStr">
        <is>
          <t>A 11112-2022</t>
        </is>
      </c>
      <c r="B482" s="1" t="n">
        <v>44628</v>
      </c>
      <c r="C482" s="1" t="n">
        <v>45837</v>
      </c>
      <c r="D482" t="inlineStr">
        <is>
          <t>JÄMTLANDS LÄN</t>
        </is>
      </c>
      <c r="E482" t="inlineStr">
        <is>
          <t>ÅRE</t>
        </is>
      </c>
      <c r="G482" t="n">
        <v>6.6</v>
      </c>
      <c r="H482" t="n">
        <v>0</v>
      </c>
      <c r="I482" t="n">
        <v>0</v>
      </c>
      <c r="J482" t="n">
        <v>0</v>
      </c>
      <c r="K482" t="n">
        <v>0</v>
      </c>
      <c r="L482" t="n">
        <v>0</v>
      </c>
      <c r="M482" t="n">
        <v>0</v>
      </c>
      <c r="N482" t="n">
        <v>0</v>
      </c>
      <c r="O482" t="n">
        <v>0</v>
      </c>
      <c r="P482" t="n">
        <v>0</v>
      </c>
      <c r="Q482" t="n">
        <v>0</v>
      </c>
      <c r="R482" s="2" t="inlineStr"/>
    </row>
    <row r="483" ht="15" customHeight="1">
      <c r="A483" t="inlineStr">
        <is>
          <t>A 11500-2022</t>
        </is>
      </c>
      <c r="B483" s="1" t="n">
        <v>44631</v>
      </c>
      <c r="C483" s="1" t="n">
        <v>45837</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13383-2022</t>
        </is>
      </c>
      <c r="B484" s="1" t="n">
        <v>44637</v>
      </c>
      <c r="C484" s="1" t="n">
        <v>45837</v>
      </c>
      <c r="D484" t="inlineStr">
        <is>
          <t>JÄMTLANDS LÄN</t>
        </is>
      </c>
      <c r="E484" t="inlineStr">
        <is>
          <t>ÅRE</t>
        </is>
      </c>
      <c r="G484" t="n">
        <v>2.2</v>
      </c>
      <c r="H484" t="n">
        <v>0</v>
      </c>
      <c r="I484" t="n">
        <v>0</v>
      </c>
      <c r="J484" t="n">
        <v>0</v>
      </c>
      <c r="K484" t="n">
        <v>0</v>
      </c>
      <c r="L484" t="n">
        <v>0</v>
      </c>
      <c r="M484" t="n">
        <v>0</v>
      </c>
      <c r="N484" t="n">
        <v>0</v>
      </c>
      <c r="O484" t="n">
        <v>0</v>
      </c>
      <c r="P484" t="n">
        <v>0</v>
      </c>
      <c r="Q484" t="n">
        <v>0</v>
      </c>
      <c r="R484" s="2" t="inlineStr"/>
    </row>
    <row r="485" ht="15" customHeight="1">
      <c r="A485" t="inlineStr">
        <is>
          <t>A 13221-2022</t>
        </is>
      </c>
      <c r="B485" s="1" t="n">
        <v>44644</v>
      </c>
      <c r="C485" s="1" t="n">
        <v>45837</v>
      </c>
      <c r="D485" t="inlineStr">
        <is>
          <t>JÄMTLANDS LÄN</t>
        </is>
      </c>
      <c r="E485" t="inlineStr">
        <is>
          <t>ÅRE</t>
        </is>
      </c>
      <c r="F485" t="inlineStr">
        <is>
          <t>Övriga Aktiebolag</t>
        </is>
      </c>
      <c r="G485" t="n">
        <v>13.7</v>
      </c>
      <c r="H485" t="n">
        <v>0</v>
      </c>
      <c r="I485" t="n">
        <v>0</v>
      </c>
      <c r="J485" t="n">
        <v>0</v>
      </c>
      <c r="K485" t="n">
        <v>0</v>
      </c>
      <c r="L485" t="n">
        <v>0</v>
      </c>
      <c r="M485" t="n">
        <v>0</v>
      </c>
      <c r="N485" t="n">
        <v>0</v>
      </c>
      <c r="O485" t="n">
        <v>0</v>
      </c>
      <c r="P485" t="n">
        <v>0</v>
      </c>
      <c r="Q485" t="n">
        <v>0</v>
      </c>
      <c r="R485" s="2" t="inlineStr"/>
    </row>
    <row r="486" ht="15" customHeight="1">
      <c r="A486" t="inlineStr">
        <is>
          <t>A 13324-2022</t>
        </is>
      </c>
      <c r="B486" s="1" t="n">
        <v>44645</v>
      </c>
      <c r="C486" s="1" t="n">
        <v>45837</v>
      </c>
      <c r="D486" t="inlineStr">
        <is>
          <t>JÄMTLANDS LÄN</t>
        </is>
      </c>
      <c r="E486" t="inlineStr">
        <is>
          <t>ÅRE</t>
        </is>
      </c>
      <c r="G486" t="n">
        <v>2.7</v>
      </c>
      <c r="H486" t="n">
        <v>0</v>
      </c>
      <c r="I486" t="n">
        <v>0</v>
      </c>
      <c r="J486" t="n">
        <v>0</v>
      </c>
      <c r="K486" t="n">
        <v>0</v>
      </c>
      <c r="L486" t="n">
        <v>0</v>
      </c>
      <c r="M486" t="n">
        <v>0</v>
      </c>
      <c r="N486" t="n">
        <v>0</v>
      </c>
      <c r="O486" t="n">
        <v>0</v>
      </c>
      <c r="P486" t="n">
        <v>0</v>
      </c>
      <c r="Q486" t="n">
        <v>0</v>
      </c>
      <c r="R486" s="2" t="inlineStr"/>
    </row>
    <row r="487" ht="15" customHeight="1">
      <c r="A487" t="inlineStr">
        <is>
          <t>A 18443-2022</t>
        </is>
      </c>
      <c r="B487" s="1" t="n">
        <v>44686</v>
      </c>
      <c r="C487" s="1" t="n">
        <v>45837</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18849-2022</t>
        </is>
      </c>
      <c r="B488" s="1" t="n">
        <v>44690</v>
      </c>
      <c r="C488" s="1" t="n">
        <v>45837</v>
      </c>
      <c r="D488" t="inlineStr">
        <is>
          <t>JÄMTLANDS LÄN</t>
        </is>
      </c>
      <c r="E488" t="inlineStr">
        <is>
          <t>ÅRE</t>
        </is>
      </c>
      <c r="G488" t="n">
        <v>12.8</v>
      </c>
      <c r="H488" t="n">
        <v>0</v>
      </c>
      <c r="I488" t="n">
        <v>0</v>
      </c>
      <c r="J488" t="n">
        <v>0</v>
      </c>
      <c r="K488" t="n">
        <v>0</v>
      </c>
      <c r="L488" t="n">
        <v>0</v>
      </c>
      <c r="M488" t="n">
        <v>0</v>
      </c>
      <c r="N488" t="n">
        <v>0</v>
      </c>
      <c r="O488" t="n">
        <v>0</v>
      </c>
      <c r="P488" t="n">
        <v>0</v>
      </c>
      <c r="Q488" t="n">
        <v>0</v>
      </c>
      <c r="R488" s="2" t="inlineStr"/>
    </row>
    <row r="489" ht="15" customHeight="1">
      <c r="A489" t="inlineStr">
        <is>
          <t>A 20827-2022</t>
        </is>
      </c>
      <c r="B489" s="1" t="n">
        <v>44700</v>
      </c>
      <c r="C489" s="1" t="n">
        <v>45837</v>
      </c>
      <c r="D489" t="inlineStr">
        <is>
          <t>JÄMTLANDS LÄN</t>
        </is>
      </c>
      <c r="E489" t="inlineStr">
        <is>
          <t>ÅRE</t>
        </is>
      </c>
      <c r="G489" t="n">
        <v>2.6</v>
      </c>
      <c r="H489" t="n">
        <v>0</v>
      </c>
      <c r="I489" t="n">
        <v>0</v>
      </c>
      <c r="J489" t="n">
        <v>0</v>
      </c>
      <c r="K489" t="n">
        <v>0</v>
      </c>
      <c r="L489" t="n">
        <v>0</v>
      </c>
      <c r="M489" t="n">
        <v>0</v>
      </c>
      <c r="N489" t="n">
        <v>0</v>
      </c>
      <c r="O489" t="n">
        <v>0</v>
      </c>
      <c r="P489" t="n">
        <v>0</v>
      </c>
      <c r="Q489" t="n">
        <v>0</v>
      </c>
      <c r="R489" s="2" t="inlineStr"/>
    </row>
    <row r="490" ht="15" customHeight="1">
      <c r="A490" t="inlineStr">
        <is>
          <t>A 20816-2022</t>
        </is>
      </c>
      <c r="B490" s="1" t="n">
        <v>44700</v>
      </c>
      <c r="C490" s="1" t="n">
        <v>45837</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21464-2022</t>
        </is>
      </c>
      <c r="B491" s="1" t="n">
        <v>44706</v>
      </c>
      <c r="C491" s="1" t="n">
        <v>45837</v>
      </c>
      <c r="D491" t="inlineStr">
        <is>
          <t>JÄMTLANDS LÄN</t>
        </is>
      </c>
      <c r="E491" t="inlineStr">
        <is>
          <t>ÅRE</t>
        </is>
      </c>
      <c r="G491" t="n">
        <v>10.9</v>
      </c>
      <c r="H491" t="n">
        <v>0</v>
      </c>
      <c r="I491" t="n">
        <v>0</v>
      </c>
      <c r="J491" t="n">
        <v>0</v>
      </c>
      <c r="K491" t="n">
        <v>0</v>
      </c>
      <c r="L491" t="n">
        <v>0</v>
      </c>
      <c r="M491" t="n">
        <v>0</v>
      </c>
      <c r="N491" t="n">
        <v>0</v>
      </c>
      <c r="O491" t="n">
        <v>0</v>
      </c>
      <c r="P491" t="n">
        <v>0</v>
      </c>
      <c r="Q491" t="n">
        <v>0</v>
      </c>
      <c r="R491" s="2" t="inlineStr"/>
    </row>
    <row r="492" ht="15" customHeight="1">
      <c r="A492" t="inlineStr">
        <is>
          <t>A 22473-2022</t>
        </is>
      </c>
      <c r="B492" s="1" t="n">
        <v>44713</v>
      </c>
      <c r="C492" s="1" t="n">
        <v>45837</v>
      </c>
      <c r="D492" t="inlineStr">
        <is>
          <t>JÄMTLANDS LÄN</t>
        </is>
      </c>
      <c r="E492" t="inlineStr">
        <is>
          <t>ÅRE</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23117-2022</t>
        </is>
      </c>
      <c r="B493" s="1" t="n">
        <v>44719</v>
      </c>
      <c r="C493" s="1" t="n">
        <v>45837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23118-2022</t>
        </is>
      </c>
      <c r="B494" s="1" t="n">
        <v>44719</v>
      </c>
      <c r="C494" s="1" t="n">
        <v>45837</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24539-2022</t>
        </is>
      </c>
      <c r="B495" s="1" t="n">
        <v>44727</v>
      </c>
      <c r="C495" s="1" t="n">
        <v>45837</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25122-2022</t>
        </is>
      </c>
      <c r="B496" s="1" t="n">
        <v>44729</v>
      </c>
      <c r="C496" s="1" t="n">
        <v>45837</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25248-2022</t>
        </is>
      </c>
      <c r="B497" s="1" t="n">
        <v>44729</v>
      </c>
      <c r="C497" s="1" t="n">
        <v>45837</v>
      </c>
      <c r="D497" t="inlineStr">
        <is>
          <t>JÄMTLANDS LÄN</t>
        </is>
      </c>
      <c r="E497" t="inlineStr">
        <is>
          <t>ÅRE</t>
        </is>
      </c>
      <c r="G497" t="n">
        <v>18</v>
      </c>
      <c r="H497" t="n">
        <v>0</v>
      </c>
      <c r="I497" t="n">
        <v>0</v>
      </c>
      <c r="J497" t="n">
        <v>0</v>
      </c>
      <c r="K497" t="n">
        <v>0</v>
      </c>
      <c r="L497" t="n">
        <v>0</v>
      </c>
      <c r="M497" t="n">
        <v>0</v>
      </c>
      <c r="N497" t="n">
        <v>0</v>
      </c>
      <c r="O497" t="n">
        <v>0</v>
      </c>
      <c r="P497" t="n">
        <v>0</v>
      </c>
      <c r="Q497" t="n">
        <v>0</v>
      </c>
      <c r="R497" s="2" t="inlineStr"/>
    </row>
    <row r="498" ht="15" customHeight="1">
      <c r="A498" t="inlineStr">
        <is>
          <t>A 26533-2022</t>
        </is>
      </c>
      <c r="B498" s="1" t="n">
        <v>44739</v>
      </c>
      <c r="C498" s="1" t="n">
        <v>45837</v>
      </c>
      <c r="D498" t="inlineStr">
        <is>
          <t>JÄMTLANDS LÄN</t>
        </is>
      </c>
      <c r="E498" t="inlineStr">
        <is>
          <t>ÅRE</t>
        </is>
      </c>
      <c r="F498" t="inlineStr">
        <is>
          <t>Övriga Aktiebolag</t>
        </is>
      </c>
      <c r="G498" t="n">
        <v>3.8</v>
      </c>
      <c r="H498" t="n">
        <v>0</v>
      </c>
      <c r="I498" t="n">
        <v>0</v>
      </c>
      <c r="J498" t="n">
        <v>0</v>
      </c>
      <c r="K498" t="n">
        <v>0</v>
      </c>
      <c r="L498" t="n">
        <v>0</v>
      </c>
      <c r="M498" t="n">
        <v>0</v>
      </c>
      <c r="N498" t="n">
        <v>0</v>
      </c>
      <c r="O498" t="n">
        <v>0</v>
      </c>
      <c r="P498" t="n">
        <v>0</v>
      </c>
      <c r="Q498" t="n">
        <v>0</v>
      </c>
      <c r="R498" s="2" t="inlineStr"/>
    </row>
    <row r="499" ht="15" customHeight="1">
      <c r="A499" t="inlineStr">
        <is>
          <t>A 26546-2022</t>
        </is>
      </c>
      <c r="B499" s="1" t="n">
        <v>44739</v>
      </c>
      <c r="C499" s="1" t="n">
        <v>45837</v>
      </c>
      <c r="D499" t="inlineStr">
        <is>
          <t>JÄMTLANDS LÄN</t>
        </is>
      </c>
      <c r="E499" t="inlineStr">
        <is>
          <t>ÅRE</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29385-2022</t>
        </is>
      </c>
      <c r="B500" s="1" t="n">
        <v>44753</v>
      </c>
      <c r="C500" s="1" t="n">
        <v>45837</v>
      </c>
      <c r="D500" t="inlineStr">
        <is>
          <t>JÄMTLANDS LÄN</t>
        </is>
      </c>
      <c r="E500" t="inlineStr">
        <is>
          <t>ÅRE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29383-2022</t>
        </is>
      </c>
      <c r="B501" s="1" t="n">
        <v>44753</v>
      </c>
      <c r="C501" s="1" t="n">
        <v>45837</v>
      </c>
      <c r="D501" t="inlineStr">
        <is>
          <t>JÄMTLANDS LÄN</t>
        </is>
      </c>
      <c r="E501" t="inlineStr">
        <is>
          <t>ÅRE</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31776-2022</t>
        </is>
      </c>
      <c r="B502" s="1" t="n">
        <v>44776</v>
      </c>
      <c r="C502" s="1" t="n">
        <v>45837</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32212-2022</t>
        </is>
      </c>
      <c r="B503" s="1" t="n">
        <v>44781</v>
      </c>
      <c r="C503" s="1" t="n">
        <v>45837</v>
      </c>
      <c r="D503" t="inlineStr">
        <is>
          <t>JÄMTLANDS LÄN</t>
        </is>
      </c>
      <c r="E503" t="inlineStr">
        <is>
          <t>ÅRE</t>
        </is>
      </c>
      <c r="G503" t="n">
        <v>7</v>
      </c>
      <c r="H503" t="n">
        <v>0</v>
      </c>
      <c r="I503" t="n">
        <v>0</v>
      </c>
      <c r="J503" t="n">
        <v>0</v>
      </c>
      <c r="K503" t="n">
        <v>0</v>
      </c>
      <c r="L503" t="n">
        <v>0</v>
      </c>
      <c r="M503" t="n">
        <v>0</v>
      </c>
      <c r="N503" t="n">
        <v>0</v>
      </c>
      <c r="O503" t="n">
        <v>0</v>
      </c>
      <c r="P503" t="n">
        <v>0</v>
      </c>
      <c r="Q503" t="n">
        <v>0</v>
      </c>
      <c r="R503" s="2" t="inlineStr"/>
    </row>
    <row r="504" ht="15" customHeight="1">
      <c r="A504" t="inlineStr">
        <is>
          <t>A 32210-2022</t>
        </is>
      </c>
      <c r="B504" s="1" t="n">
        <v>44781</v>
      </c>
      <c r="C504" s="1" t="n">
        <v>45837</v>
      </c>
      <c r="D504" t="inlineStr">
        <is>
          <t>JÄMTLANDS LÄN</t>
        </is>
      </c>
      <c r="E504" t="inlineStr">
        <is>
          <t>ÅRE</t>
        </is>
      </c>
      <c r="G504" t="n">
        <v>17.3</v>
      </c>
      <c r="H504" t="n">
        <v>0</v>
      </c>
      <c r="I504" t="n">
        <v>0</v>
      </c>
      <c r="J504" t="n">
        <v>0</v>
      </c>
      <c r="K504" t="n">
        <v>0</v>
      </c>
      <c r="L504" t="n">
        <v>0</v>
      </c>
      <c r="M504" t="n">
        <v>0</v>
      </c>
      <c r="N504" t="n">
        <v>0</v>
      </c>
      <c r="O504" t="n">
        <v>0</v>
      </c>
      <c r="P504" t="n">
        <v>0</v>
      </c>
      <c r="Q504" t="n">
        <v>0</v>
      </c>
      <c r="R504" s="2" t="inlineStr"/>
    </row>
    <row r="505" ht="15" customHeight="1">
      <c r="A505" t="inlineStr">
        <is>
          <t>A 32758-2022</t>
        </is>
      </c>
      <c r="B505" s="1" t="n">
        <v>44783</v>
      </c>
      <c r="C505" s="1" t="n">
        <v>45837</v>
      </c>
      <c r="D505" t="inlineStr">
        <is>
          <t>JÄMTLANDS LÄN</t>
        </is>
      </c>
      <c r="E505" t="inlineStr">
        <is>
          <t>ÅRE</t>
        </is>
      </c>
      <c r="G505" t="n">
        <v>8.4</v>
      </c>
      <c r="H505" t="n">
        <v>0</v>
      </c>
      <c r="I505" t="n">
        <v>0</v>
      </c>
      <c r="J505" t="n">
        <v>0</v>
      </c>
      <c r="K505" t="n">
        <v>0</v>
      </c>
      <c r="L505" t="n">
        <v>0</v>
      </c>
      <c r="M505" t="n">
        <v>0</v>
      </c>
      <c r="N505" t="n">
        <v>0</v>
      </c>
      <c r="O505" t="n">
        <v>0</v>
      </c>
      <c r="P505" t="n">
        <v>0</v>
      </c>
      <c r="Q505" t="n">
        <v>0</v>
      </c>
      <c r="R505" s="2" t="inlineStr"/>
    </row>
    <row r="506" ht="15" customHeight="1">
      <c r="A506" t="inlineStr">
        <is>
          <t>A 33023-2022</t>
        </is>
      </c>
      <c r="B506" s="1" t="n">
        <v>44784</v>
      </c>
      <c r="C506" s="1" t="n">
        <v>45837</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33003-2022</t>
        </is>
      </c>
      <c r="B507" s="1" t="n">
        <v>44784</v>
      </c>
      <c r="C507" s="1" t="n">
        <v>45837</v>
      </c>
      <c r="D507" t="inlineStr">
        <is>
          <t>JÄMTLANDS LÄN</t>
        </is>
      </c>
      <c r="E507" t="inlineStr">
        <is>
          <t>ÅRE</t>
        </is>
      </c>
      <c r="G507" t="n">
        <v>6.1</v>
      </c>
      <c r="H507" t="n">
        <v>0</v>
      </c>
      <c r="I507" t="n">
        <v>0</v>
      </c>
      <c r="J507" t="n">
        <v>0</v>
      </c>
      <c r="K507" t="n">
        <v>0</v>
      </c>
      <c r="L507" t="n">
        <v>0</v>
      </c>
      <c r="M507" t="n">
        <v>0</v>
      </c>
      <c r="N507" t="n">
        <v>0</v>
      </c>
      <c r="O507" t="n">
        <v>0</v>
      </c>
      <c r="P507" t="n">
        <v>0</v>
      </c>
      <c r="Q507" t="n">
        <v>0</v>
      </c>
      <c r="R507" s="2" t="inlineStr"/>
    </row>
    <row r="508" ht="15" customHeight="1">
      <c r="A508" t="inlineStr">
        <is>
          <t>A 33015-2022</t>
        </is>
      </c>
      <c r="B508" s="1" t="n">
        <v>44784</v>
      </c>
      <c r="C508" s="1" t="n">
        <v>45837</v>
      </c>
      <c r="D508" t="inlineStr">
        <is>
          <t>JÄMTLANDS LÄN</t>
        </is>
      </c>
      <c r="E508" t="inlineStr">
        <is>
          <t>ÅRE</t>
        </is>
      </c>
      <c r="G508" t="n">
        <v>5.1</v>
      </c>
      <c r="H508" t="n">
        <v>0</v>
      </c>
      <c r="I508" t="n">
        <v>0</v>
      </c>
      <c r="J508" t="n">
        <v>0</v>
      </c>
      <c r="K508" t="n">
        <v>0</v>
      </c>
      <c r="L508" t="n">
        <v>0</v>
      </c>
      <c r="M508" t="n">
        <v>0</v>
      </c>
      <c r="N508" t="n">
        <v>0</v>
      </c>
      <c r="O508" t="n">
        <v>0</v>
      </c>
      <c r="P508" t="n">
        <v>0</v>
      </c>
      <c r="Q508" t="n">
        <v>0</v>
      </c>
      <c r="R508" s="2" t="inlineStr"/>
    </row>
    <row r="509" ht="15" customHeight="1">
      <c r="A509" t="inlineStr">
        <is>
          <t>A 33479-2022</t>
        </is>
      </c>
      <c r="B509" s="1" t="n">
        <v>44788</v>
      </c>
      <c r="C509" s="1" t="n">
        <v>45837</v>
      </c>
      <c r="D509" t="inlineStr">
        <is>
          <t>JÄMTLANDS LÄN</t>
        </is>
      </c>
      <c r="E509" t="inlineStr">
        <is>
          <t>ÅRE</t>
        </is>
      </c>
      <c r="F509" t="inlineStr">
        <is>
          <t>Sveaskog</t>
        </is>
      </c>
      <c r="G509" t="n">
        <v>5.3</v>
      </c>
      <c r="H509" t="n">
        <v>0</v>
      </c>
      <c r="I509" t="n">
        <v>0</v>
      </c>
      <c r="J509" t="n">
        <v>0</v>
      </c>
      <c r="K509" t="n">
        <v>0</v>
      </c>
      <c r="L509" t="n">
        <v>0</v>
      </c>
      <c r="M509" t="n">
        <v>0</v>
      </c>
      <c r="N509" t="n">
        <v>0</v>
      </c>
      <c r="O509" t="n">
        <v>0</v>
      </c>
      <c r="P509" t="n">
        <v>0</v>
      </c>
      <c r="Q509" t="n">
        <v>0</v>
      </c>
      <c r="R509" s="2" t="inlineStr"/>
    </row>
    <row r="510" ht="15" customHeight="1">
      <c r="A510" t="inlineStr">
        <is>
          <t>A 33480-2022</t>
        </is>
      </c>
      <c r="B510" s="1" t="n">
        <v>44788</v>
      </c>
      <c r="C510" s="1" t="n">
        <v>45837</v>
      </c>
      <c r="D510" t="inlineStr">
        <is>
          <t>JÄMTLANDS LÄN</t>
        </is>
      </c>
      <c r="E510" t="inlineStr">
        <is>
          <t>ÅRE</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33625-2022</t>
        </is>
      </c>
      <c r="B511" s="1" t="n">
        <v>44789</v>
      </c>
      <c r="C511" s="1" t="n">
        <v>45837</v>
      </c>
      <c r="D511" t="inlineStr">
        <is>
          <t>JÄMTLANDS LÄN</t>
        </is>
      </c>
      <c r="E511" t="inlineStr">
        <is>
          <t>ÅRE</t>
        </is>
      </c>
      <c r="G511" t="n">
        <v>20.7</v>
      </c>
      <c r="H511" t="n">
        <v>0</v>
      </c>
      <c r="I511" t="n">
        <v>0</v>
      </c>
      <c r="J511" t="n">
        <v>0</v>
      </c>
      <c r="K511" t="n">
        <v>0</v>
      </c>
      <c r="L511" t="n">
        <v>0</v>
      </c>
      <c r="M511" t="n">
        <v>0</v>
      </c>
      <c r="N511" t="n">
        <v>0</v>
      </c>
      <c r="O511" t="n">
        <v>0</v>
      </c>
      <c r="P511" t="n">
        <v>0</v>
      </c>
      <c r="Q511" t="n">
        <v>0</v>
      </c>
      <c r="R511" s="2" t="inlineStr"/>
    </row>
    <row r="512" ht="15" customHeight="1">
      <c r="A512" t="inlineStr">
        <is>
          <t>A 33565-2022</t>
        </is>
      </c>
      <c r="B512" s="1" t="n">
        <v>44789</v>
      </c>
      <c r="C512" s="1" t="n">
        <v>45837</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34033-2022</t>
        </is>
      </c>
      <c r="B513" s="1" t="n">
        <v>44790</v>
      </c>
      <c r="C513" s="1" t="n">
        <v>45837</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34916-2022</t>
        </is>
      </c>
      <c r="B514" s="1" t="n">
        <v>44796</v>
      </c>
      <c r="C514" s="1" t="n">
        <v>45837</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36219-2022</t>
        </is>
      </c>
      <c r="B515" s="1" t="n">
        <v>44803</v>
      </c>
      <c r="C515" s="1" t="n">
        <v>45837</v>
      </c>
      <c r="D515" t="inlineStr">
        <is>
          <t>JÄMTLANDS LÄN</t>
        </is>
      </c>
      <c r="E515" t="inlineStr">
        <is>
          <t>ÅRE</t>
        </is>
      </c>
      <c r="G515" t="n">
        <v>0.4</v>
      </c>
      <c r="H515" t="n">
        <v>0</v>
      </c>
      <c r="I515" t="n">
        <v>0</v>
      </c>
      <c r="J515" t="n">
        <v>0</v>
      </c>
      <c r="K515" t="n">
        <v>0</v>
      </c>
      <c r="L515" t="n">
        <v>0</v>
      </c>
      <c r="M515" t="n">
        <v>0</v>
      </c>
      <c r="N515" t="n">
        <v>0</v>
      </c>
      <c r="O515" t="n">
        <v>0</v>
      </c>
      <c r="P515" t="n">
        <v>0</v>
      </c>
      <c r="Q515" t="n">
        <v>0</v>
      </c>
      <c r="R515" s="2" t="inlineStr"/>
    </row>
    <row r="516" ht="15" customHeight="1">
      <c r="A516" t="inlineStr">
        <is>
          <t>A 37645-2022</t>
        </is>
      </c>
      <c r="B516" s="1" t="n">
        <v>44810</v>
      </c>
      <c r="C516" s="1" t="n">
        <v>45837</v>
      </c>
      <c r="D516" t="inlineStr">
        <is>
          <t>JÄMTLANDS LÄN</t>
        </is>
      </c>
      <c r="E516" t="inlineStr">
        <is>
          <t>ÅRE</t>
        </is>
      </c>
      <c r="G516" t="n">
        <v>5.3</v>
      </c>
      <c r="H516" t="n">
        <v>0</v>
      </c>
      <c r="I516" t="n">
        <v>0</v>
      </c>
      <c r="J516" t="n">
        <v>0</v>
      </c>
      <c r="K516" t="n">
        <v>0</v>
      </c>
      <c r="L516" t="n">
        <v>0</v>
      </c>
      <c r="M516" t="n">
        <v>0</v>
      </c>
      <c r="N516" t="n">
        <v>0</v>
      </c>
      <c r="O516" t="n">
        <v>0</v>
      </c>
      <c r="P516" t="n">
        <v>0</v>
      </c>
      <c r="Q516" t="n">
        <v>0</v>
      </c>
      <c r="R516" s="2" t="inlineStr"/>
    </row>
    <row r="517" ht="15" customHeight="1">
      <c r="A517" t="inlineStr">
        <is>
          <t>A 38265-2022</t>
        </is>
      </c>
      <c r="B517" s="1" t="n">
        <v>44812</v>
      </c>
      <c r="C517" s="1" t="n">
        <v>45837</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40159-2022</t>
        </is>
      </c>
      <c r="B518" s="1" t="n">
        <v>44818</v>
      </c>
      <c r="C518" s="1" t="n">
        <v>45837</v>
      </c>
      <c r="D518" t="inlineStr">
        <is>
          <t>JÄMTLANDS LÄN</t>
        </is>
      </c>
      <c r="E518" t="inlineStr">
        <is>
          <t>ÅRE</t>
        </is>
      </c>
      <c r="G518" t="n">
        <v>1.9</v>
      </c>
      <c r="H518" t="n">
        <v>0</v>
      </c>
      <c r="I518" t="n">
        <v>0</v>
      </c>
      <c r="J518" t="n">
        <v>0</v>
      </c>
      <c r="K518" t="n">
        <v>0</v>
      </c>
      <c r="L518" t="n">
        <v>0</v>
      </c>
      <c r="M518" t="n">
        <v>0</v>
      </c>
      <c r="N518" t="n">
        <v>0</v>
      </c>
      <c r="O518" t="n">
        <v>0</v>
      </c>
      <c r="P518" t="n">
        <v>0</v>
      </c>
      <c r="Q518" t="n">
        <v>0</v>
      </c>
      <c r="R518" s="2" t="inlineStr"/>
    </row>
    <row r="519" ht="15" customHeight="1">
      <c r="A519" t="inlineStr">
        <is>
          <t>A 40653-2022</t>
        </is>
      </c>
      <c r="B519" s="1" t="n">
        <v>44818</v>
      </c>
      <c r="C519" s="1" t="n">
        <v>45837</v>
      </c>
      <c r="D519" t="inlineStr">
        <is>
          <t>JÄMTLANDS LÄN</t>
        </is>
      </c>
      <c r="E519" t="inlineStr">
        <is>
          <t>ÅRE</t>
        </is>
      </c>
      <c r="G519" t="n">
        <v>1.4</v>
      </c>
      <c r="H519" t="n">
        <v>0</v>
      </c>
      <c r="I519" t="n">
        <v>0</v>
      </c>
      <c r="J519" t="n">
        <v>0</v>
      </c>
      <c r="K519" t="n">
        <v>0</v>
      </c>
      <c r="L519" t="n">
        <v>0</v>
      </c>
      <c r="M519" t="n">
        <v>0</v>
      </c>
      <c r="N519" t="n">
        <v>0</v>
      </c>
      <c r="O519" t="n">
        <v>0</v>
      </c>
      <c r="P519" t="n">
        <v>0</v>
      </c>
      <c r="Q519" t="n">
        <v>0</v>
      </c>
      <c r="R519" s="2" t="inlineStr"/>
    </row>
    <row r="520" ht="15" customHeight="1">
      <c r="A520" t="inlineStr">
        <is>
          <t>A 39713-2022</t>
        </is>
      </c>
      <c r="B520" s="1" t="n">
        <v>44819</v>
      </c>
      <c r="C520" s="1" t="n">
        <v>45837</v>
      </c>
      <c r="D520" t="inlineStr">
        <is>
          <t>JÄMTLANDS LÄN</t>
        </is>
      </c>
      <c r="E520" t="inlineStr">
        <is>
          <t>ÅRE</t>
        </is>
      </c>
      <c r="G520" t="n">
        <v>10.4</v>
      </c>
      <c r="H520" t="n">
        <v>0</v>
      </c>
      <c r="I520" t="n">
        <v>0</v>
      </c>
      <c r="J520" t="n">
        <v>0</v>
      </c>
      <c r="K520" t="n">
        <v>0</v>
      </c>
      <c r="L520" t="n">
        <v>0</v>
      </c>
      <c r="M520" t="n">
        <v>0</v>
      </c>
      <c r="N520" t="n">
        <v>0</v>
      </c>
      <c r="O520" t="n">
        <v>0</v>
      </c>
      <c r="P520" t="n">
        <v>0</v>
      </c>
      <c r="Q520" t="n">
        <v>0</v>
      </c>
      <c r="R520" s="2" t="inlineStr"/>
    </row>
    <row r="521" ht="15" customHeight="1">
      <c r="A521" t="inlineStr">
        <is>
          <t>A 41015-2022</t>
        </is>
      </c>
      <c r="B521" s="1" t="n">
        <v>44820</v>
      </c>
      <c r="C521" s="1" t="n">
        <v>45837</v>
      </c>
      <c r="D521" t="inlineStr">
        <is>
          <t>JÄMTLANDS LÄN</t>
        </is>
      </c>
      <c r="E521" t="inlineStr">
        <is>
          <t>ÅRE</t>
        </is>
      </c>
      <c r="F521" t="inlineStr">
        <is>
          <t>Övriga statliga verk och myndigheter</t>
        </is>
      </c>
      <c r="G521" t="n">
        <v>8</v>
      </c>
      <c r="H521" t="n">
        <v>0</v>
      </c>
      <c r="I521" t="n">
        <v>0</v>
      </c>
      <c r="J521" t="n">
        <v>0</v>
      </c>
      <c r="K521" t="n">
        <v>0</v>
      </c>
      <c r="L521" t="n">
        <v>0</v>
      </c>
      <c r="M521" t="n">
        <v>0</v>
      </c>
      <c r="N521" t="n">
        <v>0</v>
      </c>
      <c r="O521" t="n">
        <v>0</v>
      </c>
      <c r="P521" t="n">
        <v>0</v>
      </c>
      <c r="Q521" t="n">
        <v>0</v>
      </c>
      <c r="R521" s="2" t="inlineStr"/>
    </row>
    <row r="522" ht="15" customHeight="1">
      <c r="A522" t="inlineStr">
        <is>
          <t>A 41162-2022</t>
        </is>
      </c>
      <c r="B522" s="1" t="n">
        <v>44825</v>
      </c>
      <c r="C522" s="1" t="n">
        <v>45837</v>
      </c>
      <c r="D522" t="inlineStr">
        <is>
          <t>JÄMTLANDS LÄN</t>
        </is>
      </c>
      <c r="E522" t="inlineStr">
        <is>
          <t>ÅRE</t>
        </is>
      </c>
      <c r="G522" t="n">
        <v>11.3</v>
      </c>
      <c r="H522" t="n">
        <v>0</v>
      </c>
      <c r="I522" t="n">
        <v>0</v>
      </c>
      <c r="J522" t="n">
        <v>0</v>
      </c>
      <c r="K522" t="n">
        <v>0</v>
      </c>
      <c r="L522" t="n">
        <v>0</v>
      </c>
      <c r="M522" t="n">
        <v>0</v>
      </c>
      <c r="N522" t="n">
        <v>0</v>
      </c>
      <c r="O522" t="n">
        <v>0</v>
      </c>
      <c r="P522" t="n">
        <v>0</v>
      </c>
      <c r="Q522" t="n">
        <v>0</v>
      </c>
      <c r="R522" s="2" t="inlineStr"/>
    </row>
    <row r="523" ht="15" customHeight="1">
      <c r="A523" t="inlineStr">
        <is>
          <t>A 41655-2022</t>
        </is>
      </c>
      <c r="B523" s="1" t="n">
        <v>44827</v>
      </c>
      <c r="C523" s="1" t="n">
        <v>45837</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41654-2022</t>
        </is>
      </c>
      <c r="B524" s="1" t="n">
        <v>44827</v>
      </c>
      <c r="C524" s="1" t="n">
        <v>45837</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41657-2022</t>
        </is>
      </c>
      <c r="B525" s="1" t="n">
        <v>44827</v>
      </c>
      <c r="C525" s="1" t="n">
        <v>45837</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42136-2022</t>
        </is>
      </c>
      <c r="B526" s="1" t="n">
        <v>44830</v>
      </c>
      <c r="C526" s="1" t="n">
        <v>45837</v>
      </c>
      <c r="D526" t="inlineStr">
        <is>
          <t>JÄMTLANDS LÄN</t>
        </is>
      </c>
      <c r="E526" t="inlineStr">
        <is>
          <t>ÅRE</t>
        </is>
      </c>
      <c r="F526" t="inlineStr">
        <is>
          <t>Bergvik skog öst AB</t>
        </is>
      </c>
      <c r="G526" t="n">
        <v>3.1</v>
      </c>
      <c r="H526" t="n">
        <v>0</v>
      </c>
      <c r="I526" t="n">
        <v>0</v>
      </c>
      <c r="J526" t="n">
        <v>0</v>
      </c>
      <c r="K526" t="n">
        <v>0</v>
      </c>
      <c r="L526" t="n">
        <v>0</v>
      </c>
      <c r="M526" t="n">
        <v>0</v>
      </c>
      <c r="N526" t="n">
        <v>0</v>
      </c>
      <c r="O526" t="n">
        <v>0</v>
      </c>
      <c r="P526" t="n">
        <v>0</v>
      </c>
      <c r="Q526" t="n">
        <v>0</v>
      </c>
      <c r="R526" s="2" t="inlineStr"/>
    </row>
    <row r="527" ht="15" customHeight="1">
      <c r="A527" t="inlineStr">
        <is>
          <t>A 43180-2022</t>
        </is>
      </c>
      <c r="B527" s="1" t="n">
        <v>44833</v>
      </c>
      <c r="C527" s="1" t="n">
        <v>45837</v>
      </c>
      <c r="D527" t="inlineStr">
        <is>
          <t>JÄMTLANDS LÄN</t>
        </is>
      </c>
      <c r="E527" t="inlineStr">
        <is>
          <t>ÅRE</t>
        </is>
      </c>
      <c r="G527" t="n">
        <v>17.9</v>
      </c>
      <c r="H527" t="n">
        <v>0</v>
      </c>
      <c r="I527" t="n">
        <v>0</v>
      </c>
      <c r="J527" t="n">
        <v>0</v>
      </c>
      <c r="K527" t="n">
        <v>0</v>
      </c>
      <c r="L527" t="n">
        <v>0</v>
      </c>
      <c r="M527" t="n">
        <v>0</v>
      </c>
      <c r="N527" t="n">
        <v>0</v>
      </c>
      <c r="O527" t="n">
        <v>0</v>
      </c>
      <c r="P527" t="n">
        <v>0</v>
      </c>
      <c r="Q527" t="n">
        <v>0</v>
      </c>
      <c r="R527" s="2" t="inlineStr"/>
    </row>
    <row r="528" ht="15" customHeight="1">
      <c r="A528" t="inlineStr">
        <is>
          <t>A 43324-2022</t>
        </is>
      </c>
      <c r="B528" s="1" t="n">
        <v>44834</v>
      </c>
      <c r="C528" s="1" t="n">
        <v>45837</v>
      </c>
      <c r="D528" t="inlineStr">
        <is>
          <t>JÄMTLANDS LÄN</t>
        </is>
      </c>
      <c r="E528" t="inlineStr">
        <is>
          <t>ÅRE</t>
        </is>
      </c>
      <c r="F528" t="inlineStr">
        <is>
          <t>Bergvik skog öst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43583-2022</t>
        </is>
      </c>
      <c r="B529" s="1" t="n">
        <v>44834</v>
      </c>
      <c r="C529" s="1" t="n">
        <v>45837</v>
      </c>
      <c r="D529" t="inlineStr">
        <is>
          <t>JÄMTLANDS LÄN</t>
        </is>
      </c>
      <c r="E529" t="inlineStr">
        <is>
          <t>ÅRE</t>
        </is>
      </c>
      <c r="G529" t="n">
        <v>6.7</v>
      </c>
      <c r="H529" t="n">
        <v>0</v>
      </c>
      <c r="I529" t="n">
        <v>0</v>
      </c>
      <c r="J529" t="n">
        <v>0</v>
      </c>
      <c r="K529" t="n">
        <v>0</v>
      </c>
      <c r="L529" t="n">
        <v>0</v>
      </c>
      <c r="M529" t="n">
        <v>0</v>
      </c>
      <c r="N529" t="n">
        <v>0</v>
      </c>
      <c r="O529" t="n">
        <v>0</v>
      </c>
      <c r="P529" t="n">
        <v>0</v>
      </c>
      <c r="Q529" t="n">
        <v>0</v>
      </c>
      <c r="R529" s="2" t="inlineStr"/>
    </row>
    <row r="530" ht="15" customHeight="1">
      <c r="A530" t="inlineStr">
        <is>
          <t>A 44502-2022</t>
        </is>
      </c>
      <c r="B530" s="1" t="n">
        <v>44840</v>
      </c>
      <c r="C530" s="1" t="n">
        <v>45837</v>
      </c>
      <c r="D530" t="inlineStr">
        <is>
          <t>JÄMTLANDS LÄN</t>
        </is>
      </c>
      <c r="E530" t="inlineStr">
        <is>
          <t>ÅRE</t>
        </is>
      </c>
      <c r="G530" t="n">
        <v>2.6</v>
      </c>
      <c r="H530" t="n">
        <v>0</v>
      </c>
      <c r="I530" t="n">
        <v>0</v>
      </c>
      <c r="J530" t="n">
        <v>0</v>
      </c>
      <c r="K530" t="n">
        <v>0</v>
      </c>
      <c r="L530" t="n">
        <v>0</v>
      </c>
      <c r="M530" t="n">
        <v>0</v>
      </c>
      <c r="N530" t="n">
        <v>0</v>
      </c>
      <c r="O530" t="n">
        <v>0</v>
      </c>
      <c r="P530" t="n">
        <v>0</v>
      </c>
      <c r="Q530" t="n">
        <v>0</v>
      </c>
      <c r="R530" s="2" t="inlineStr"/>
    </row>
    <row r="531" ht="15" customHeight="1">
      <c r="A531" t="inlineStr">
        <is>
          <t>A 45461-2022</t>
        </is>
      </c>
      <c r="B531" s="1" t="n">
        <v>44841</v>
      </c>
      <c r="C531" s="1" t="n">
        <v>45837</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45660-2022</t>
        </is>
      </c>
      <c r="B532" s="1" t="n">
        <v>44845</v>
      </c>
      <c r="C532" s="1" t="n">
        <v>45837</v>
      </c>
      <c r="D532" t="inlineStr">
        <is>
          <t>JÄMTLANDS LÄN</t>
        </is>
      </c>
      <c r="E532" t="inlineStr">
        <is>
          <t>ÅRE</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46491-2022</t>
        </is>
      </c>
      <c r="B533" s="1" t="n">
        <v>44848</v>
      </c>
      <c r="C533" s="1" t="n">
        <v>45837</v>
      </c>
      <c r="D533" t="inlineStr">
        <is>
          <t>JÄMTLANDS LÄN</t>
        </is>
      </c>
      <c r="E533" t="inlineStr">
        <is>
          <t>ÅRE</t>
        </is>
      </c>
      <c r="G533" t="n">
        <v>1.2</v>
      </c>
      <c r="H533" t="n">
        <v>0</v>
      </c>
      <c r="I533" t="n">
        <v>0</v>
      </c>
      <c r="J533" t="n">
        <v>0</v>
      </c>
      <c r="K533" t="n">
        <v>0</v>
      </c>
      <c r="L533" t="n">
        <v>0</v>
      </c>
      <c r="M533" t="n">
        <v>0</v>
      </c>
      <c r="N533" t="n">
        <v>0</v>
      </c>
      <c r="O533" t="n">
        <v>0</v>
      </c>
      <c r="P533" t="n">
        <v>0</v>
      </c>
      <c r="Q533" t="n">
        <v>0</v>
      </c>
      <c r="R533" s="2" t="inlineStr"/>
    </row>
    <row r="534" ht="15" customHeight="1">
      <c r="A534" t="inlineStr">
        <is>
          <t>A 46497-2022</t>
        </is>
      </c>
      <c r="B534" s="1" t="n">
        <v>44848</v>
      </c>
      <c r="C534" s="1" t="n">
        <v>45837</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46488-2022</t>
        </is>
      </c>
      <c r="B535" s="1" t="n">
        <v>44848</v>
      </c>
      <c r="C535" s="1" t="n">
        <v>45837</v>
      </c>
      <c r="D535" t="inlineStr">
        <is>
          <t>JÄMTLANDS LÄN</t>
        </is>
      </c>
      <c r="E535" t="inlineStr">
        <is>
          <t>ÅRE</t>
        </is>
      </c>
      <c r="G535" t="n">
        <v>2</v>
      </c>
      <c r="H535" t="n">
        <v>0</v>
      </c>
      <c r="I535" t="n">
        <v>0</v>
      </c>
      <c r="J535" t="n">
        <v>0</v>
      </c>
      <c r="K535" t="n">
        <v>0</v>
      </c>
      <c r="L535" t="n">
        <v>0</v>
      </c>
      <c r="M535" t="n">
        <v>0</v>
      </c>
      <c r="N535" t="n">
        <v>0</v>
      </c>
      <c r="O535" t="n">
        <v>0</v>
      </c>
      <c r="P535" t="n">
        <v>0</v>
      </c>
      <c r="Q535" t="n">
        <v>0</v>
      </c>
      <c r="R535" s="2" t="inlineStr"/>
    </row>
    <row r="536" ht="15" customHeight="1">
      <c r="A536" t="inlineStr">
        <is>
          <t>A 46494-2022</t>
        </is>
      </c>
      <c r="B536" s="1" t="n">
        <v>44848</v>
      </c>
      <c r="C536" s="1" t="n">
        <v>45837</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46744-2022</t>
        </is>
      </c>
      <c r="B537" s="1" t="n">
        <v>44851</v>
      </c>
      <c r="C537" s="1" t="n">
        <v>45837</v>
      </c>
      <c r="D537" t="inlineStr">
        <is>
          <t>JÄMTLANDS LÄN</t>
        </is>
      </c>
      <c r="E537" t="inlineStr">
        <is>
          <t>ÅRE</t>
        </is>
      </c>
      <c r="F537" t="inlineStr">
        <is>
          <t>Övriga Aktiebolag</t>
        </is>
      </c>
      <c r="G537" t="n">
        <v>3.1</v>
      </c>
      <c r="H537" t="n">
        <v>0</v>
      </c>
      <c r="I537" t="n">
        <v>0</v>
      </c>
      <c r="J537" t="n">
        <v>0</v>
      </c>
      <c r="K537" t="n">
        <v>0</v>
      </c>
      <c r="L537" t="n">
        <v>0</v>
      </c>
      <c r="M537" t="n">
        <v>0</v>
      </c>
      <c r="N537" t="n">
        <v>0</v>
      </c>
      <c r="O537" t="n">
        <v>0</v>
      </c>
      <c r="P537" t="n">
        <v>0</v>
      </c>
      <c r="Q537" t="n">
        <v>0</v>
      </c>
      <c r="R537" s="2" t="inlineStr"/>
    </row>
    <row r="538" ht="15" customHeight="1">
      <c r="A538" t="inlineStr">
        <is>
          <t>A 47052-2022</t>
        </is>
      </c>
      <c r="B538" s="1" t="n">
        <v>44851</v>
      </c>
      <c r="C538" s="1" t="n">
        <v>45837</v>
      </c>
      <c r="D538" t="inlineStr">
        <is>
          <t>JÄMTLANDS LÄN</t>
        </is>
      </c>
      <c r="E538" t="inlineStr">
        <is>
          <t>ÅRE</t>
        </is>
      </c>
      <c r="G538" t="n">
        <v>90.8</v>
      </c>
      <c r="H538" t="n">
        <v>0</v>
      </c>
      <c r="I538" t="n">
        <v>0</v>
      </c>
      <c r="J538" t="n">
        <v>0</v>
      </c>
      <c r="K538" t="n">
        <v>0</v>
      </c>
      <c r="L538" t="n">
        <v>0</v>
      </c>
      <c r="M538" t="n">
        <v>0</v>
      </c>
      <c r="N538" t="n">
        <v>0</v>
      </c>
      <c r="O538" t="n">
        <v>0</v>
      </c>
      <c r="P538" t="n">
        <v>0</v>
      </c>
      <c r="Q538" t="n">
        <v>0</v>
      </c>
      <c r="R538" s="2" t="inlineStr"/>
    </row>
    <row r="539" ht="15" customHeight="1">
      <c r="A539" t="inlineStr">
        <is>
          <t>A 47664-2022</t>
        </is>
      </c>
      <c r="B539" s="1" t="n">
        <v>44854</v>
      </c>
      <c r="C539" s="1" t="n">
        <v>45837</v>
      </c>
      <c r="D539" t="inlineStr">
        <is>
          <t>JÄMTLANDS LÄN</t>
        </is>
      </c>
      <c r="E539" t="inlineStr">
        <is>
          <t>ÅRE</t>
        </is>
      </c>
      <c r="G539" t="n">
        <v>15</v>
      </c>
      <c r="H539" t="n">
        <v>0</v>
      </c>
      <c r="I539" t="n">
        <v>0</v>
      </c>
      <c r="J539" t="n">
        <v>0</v>
      </c>
      <c r="K539" t="n">
        <v>0</v>
      </c>
      <c r="L539" t="n">
        <v>0</v>
      </c>
      <c r="M539" t="n">
        <v>0</v>
      </c>
      <c r="N539" t="n">
        <v>0</v>
      </c>
      <c r="O539" t="n">
        <v>0</v>
      </c>
      <c r="P539" t="n">
        <v>0</v>
      </c>
      <c r="Q539" t="n">
        <v>0</v>
      </c>
      <c r="R539" s="2" t="inlineStr"/>
    </row>
    <row r="540" ht="15" customHeight="1">
      <c r="A540" t="inlineStr">
        <is>
          <t>A 47873-2022</t>
        </is>
      </c>
      <c r="B540" s="1" t="n">
        <v>44855</v>
      </c>
      <c r="C540" s="1" t="n">
        <v>45837</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48898-2022</t>
        </is>
      </c>
      <c r="B541" s="1" t="n">
        <v>44860</v>
      </c>
      <c r="C541" s="1" t="n">
        <v>45837</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49818-2022</t>
        </is>
      </c>
      <c r="B542" s="1" t="n">
        <v>44859</v>
      </c>
      <c r="C542" s="1" t="n">
        <v>45837</v>
      </c>
      <c r="D542" t="inlineStr">
        <is>
          <t>JÄMTLANDS LÄN</t>
        </is>
      </c>
      <c r="E542" t="inlineStr">
        <is>
          <t>ÅRE</t>
        </is>
      </c>
      <c r="G542" t="n">
        <v>63</v>
      </c>
      <c r="H542" t="n">
        <v>0</v>
      </c>
      <c r="I542" t="n">
        <v>0</v>
      </c>
      <c r="J542" t="n">
        <v>0</v>
      </c>
      <c r="K542" t="n">
        <v>0</v>
      </c>
      <c r="L542" t="n">
        <v>0</v>
      </c>
      <c r="M542" t="n">
        <v>0</v>
      </c>
      <c r="N542" t="n">
        <v>0</v>
      </c>
      <c r="O542" t="n">
        <v>0</v>
      </c>
      <c r="P542" t="n">
        <v>0</v>
      </c>
      <c r="Q542" t="n">
        <v>0</v>
      </c>
      <c r="R542" s="2" t="inlineStr"/>
    </row>
    <row r="543" ht="15" customHeight="1">
      <c r="A543" t="inlineStr">
        <is>
          <t>A 49610-2022</t>
        </is>
      </c>
      <c r="B543" s="1" t="n">
        <v>44859</v>
      </c>
      <c r="C543" s="1" t="n">
        <v>45837</v>
      </c>
      <c r="D543" t="inlineStr">
        <is>
          <t>JÄMTLANDS LÄN</t>
        </is>
      </c>
      <c r="E543" t="inlineStr">
        <is>
          <t>ÅRE</t>
        </is>
      </c>
      <c r="G543" t="n">
        <v>26.2</v>
      </c>
      <c r="H543" t="n">
        <v>0</v>
      </c>
      <c r="I543" t="n">
        <v>0</v>
      </c>
      <c r="J543" t="n">
        <v>0</v>
      </c>
      <c r="K543" t="n">
        <v>0</v>
      </c>
      <c r="L543" t="n">
        <v>0</v>
      </c>
      <c r="M543" t="n">
        <v>0</v>
      </c>
      <c r="N543" t="n">
        <v>0</v>
      </c>
      <c r="O543" t="n">
        <v>0</v>
      </c>
      <c r="P543" t="n">
        <v>0</v>
      </c>
      <c r="Q543" t="n">
        <v>0</v>
      </c>
      <c r="R543" s="2" t="inlineStr"/>
    </row>
    <row r="544" ht="15" customHeight="1">
      <c r="A544" t="inlineStr">
        <is>
          <t>A 50307-2022</t>
        </is>
      </c>
      <c r="B544" s="1" t="n">
        <v>44865</v>
      </c>
      <c r="C544" s="1" t="n">
        <v>45837</v>
      </c>
      <c r="D544" t="inlineStr">
        <is>
          <t>JÄMTLANDS LÄN</t>
        </is>
      </c>
      <c r="E544" t="inlineStr">
        <is>
          <t>ÅRE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52313-2022</t>
        </is>
      </c>
      <c r="B545" s="1" t="n">
        <v>44873</v>
      </c>
      <c r="C545" s="1" t="n">
        <v>45837</v>
      </c>
      <c r="D545" t="inlineStr">
        <is>
          <t>JÄMTLANDS LÄN</t>
        </is>
      </c>
      <c r="E545" t="inlineStr">
        <is>
          <t>ÅRE</t>
        </is>
      </c>
      <c r="G545" t="n">
        <v>3.4</v>
      </c>
      <c r="H545" t="n">
        <v>0</v>
      </c>
      <c r="I545" t="n">
        <v>0</v>
      </c>
      <c r="J545" t="n">
        <v>0</v>
      </c>
      <c r="K545" t="n">
        <v>0</v>
      </c>
      <c r="L545" t="n">
        <v>0</v>
      </c>
      <c r="M545" t="n">
        <v>0</v>
      </c>
      <c r="N545" t="n">
        <v>0</v>
      </c>
      <c r="O545" t="n">
        <v>0</v>
      </c>
      <c r="P545" t="n">
        <v>0</v>
      </c>
      <c r="Q545" t="n">
        <v>0</v>
      </c>
      <c r="R545" s="2" t="inlineStr"/>
    </row>
    <row r="546" ht="15" customHeight="1">
      <c r="A546" t="inlineStr">
        <is>
          <t>A 52470-2022</t>
        </is>
      </c>
      <c r="B546" s="1" t="n">
        <v>44874</v>
      </c>
      <c r="C546" s="1" t="n">
        <v>45837</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52485-2022</t>
        </is>
      </c>
      <c r="B547" s="1" t="n">
        <v>44874</v>
      </c>
      <c r="C547" s="1" t="n">
        <v>45837</v>
      </c>
      <c r="D547" t="inlineStr">
        <is>
          <t>JÄMTLANDS LÄN</t>
        </is>
      </c>
      <c r="E547" t="inlineStr">
        <is>
          <t>ÅRE</t>
        </is>
      </c>
      <c r="G547" t="n">
        <v>3.2</v>
      </c>
      <c r="H547" t="n">
        <v>0</v>
      </c>
      <c r="I547" t="n">
        <v>0</v>
      </c>
      <c r="J547" t="n">
        <v>0</v>
      </c>
      <c r="K547" t="n">
        <v>0</v>
      </c>
      <c r="L547" t="n">
        <v>0</v>
      </c>
      <c r="M547" t="n">
        <v>0</v>
      </c>
      <c r="N547" t="n">
        <v>0</v>
      </c>
      <c r="O547" t="n">
        <v>0</v>
      </c>
      <c r="P547" t="n">
        <v>0</v>
      </c>
      <c r="Q547" t="n">
        <v>0</v>
      </c>
      <c r="R547" s="2" t="inlineStr"/>
    </row>
    <row r="548" ht="15" customHeight="1">
      <c r="A548" t="inlineStr">
        <is>
          <t>A 52707-2022</t>
        </is>
      </c>
      <c r="B548" s="1" t="n">
        <v>44874</v>
      </c>
      <c r="C548" s="1" t="n">
        <v>45837</v>
      </c>
      <c r="D548" t="inlineStr">
        <is>
          <t>JÄMTLANDS LÄN</t>
        </is>
      </c>
      <c r="E548" t="inlineStr">
        <is>
          <t>ÅRE</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54615-2022</t>
        </is>
      </c>
      <c r="B549" s="1" t="n">
        <v>44883</v>
      </c>
      <c r="C549" s="1" t="n">
        <v>45837</v>
      </c>
      <c r="D549" t="inlineStr">
        <is>
          <t>JÄMTLANDS LÄN</t>
        </is>
      </c>
      <c r="E549" t="inlineStr">
        <is>
          <t>ÅRE</t>
        </is>
      </c>
      <c r="F549" t="inlineStr">
        <is>
          <t>Övriga Aktiebolag</t>
        </is>
      </c>
      <c r="G549" t="n">
        <v>5.1</v>
      </c>
      <c r="H549" t="n">
        <v>0</v>
      </c>
      <c r="I549" t="n">
        <v>0</v>
      </c>
      <c r="J549" t="n">
        <v>0</v>
      </c>
      <c r="K549" t="n">
        <v>0</v>
      </c>
      <c r="L549" t="n">
        <v>0</v>
      </c>
      <c r="M549" t="n">
        <v>0</v>
      </c>
      <c r="N549" t="n">
        <v>0</v>
      </c>
      <c r="O549" t="n">
        <v>0</v>
      </c>
      <c r="P549" t="n">
        <v>0</v>
      </c>
      <c r="Q549" t="n">
        <v>0</v>
      </c>
      <c r="R549" s="2" t="inlineStr"/>
    </row>
    <row r="550" ht="15" customHeight="1">
      <c r="A550" t="inlineStr">
        <is>
          <t>A 54611-2022</t>
        </is>
      </c>
      <c r="B550" s="1" t="n">
        <v>44883</v>
      </c>
      <c r="C550" s="1" t="n">
        <v>45837</v>
      </c>
      <c r="D550" t="inlineStr">
        <is>
          <t>JÄMTLANDS LÄN</t>
        </is>
      </c>
      <c r="E550" t="inlineStr">
        <is>
          <t>ÅRE</t>
        </is>
      </c>
      <c r="F550" t="inlineStr">
        <is>
          <t>Övriga Aktiebolag</t>
        </is>
      </c>
      <c r="G550" t="n">
        <v>11.7</v>
      </c>
      <c r="H550" t="n">
        <v>0</v>
      </c>
      <c r="I550" t="n">
        <v>0</v>
      </c>
      <c r="J550" t="n">
        <v>0</v>
      </c>
      <c r="K550" t="n">
        <v>0</v>
      </c>
      <c r="L550" t="n">
        <v>0</v>
      </c>
      <c r="M550" t="n">
        <v>0</v>
      </c>
      <c r="N550" t="n">
        <v>0</v>
      </c>
      <c r="O550" t="n">
        <v>0</v>
      </c>
      <c r="P550" t="n">
        <v>0</v>
      </c>
      <c r="Q550" t="n">
        <v>0</v>
      </c>
      <c r="R550" s="2" t="inlineStr"/>
    </row>
    <row r="551" ht="15" customHeight="1">
      <c r="A551" t="inlineStr">
        <is>
          <t>A 54904-2022</t>
        </is>
      </c>
      <c r="B551" s="1" t="n">
        <v>44886</v>
      </c>
      <c r="C551" s="1" t="n">
        <v>45837</v>
      </c>
      <c r="D551" t="inlineStr">
        <is>
          <t>JÄMTLANDS LÄN</t>
        </is>
      </c>
      <c r="E551" t="inlineStr">
        <is>
          <t>ÅRE</t>
        </is>
      </c>
      <c r="F551" t="inlineStr">
        <is>
          <t>Övriga Aktiebolag</t>
        </is>
      </c>
      <c r="G551" t="n">
        <v>12.2</v>
      </c>
      <c r="H551" t="n">
        <v>0</v>
      </c>
      <c r="I551" t="n">
        <v>0</v>
      </c>
      <c r="J551" t="n">
        <v>0</v>
      </c>
      <c r="K551" t="n">
        <v>0</v>
      </c>
      <c r="L551" t="n">
        <v>0</v>
      </c>
      <c r="M551" t="n">
        <v>0</v>
      </c>
      <c r="N551" t="n">
        <v>0</v>
      </c>
      <c r="O551" t="n">
        <v>0</v>
      </c>
      <c r="P551" t="n">
        <v>0</v>
      </c>
      <c r="Q551" t="n">
        <v>0</v>
      </c>
      <c r="R551" s="2" t="inlineStr"/>
    </row>
    <row r="552" ht="15" customHeight="1">
      <c r="A552" t="inlineStr">
        <is>
          <t>A 55230-2022</t>
        </is>
      </c>
      <c r="B552" s="1" t="n">
        <v>44887</v>
      </c>
      <c r="C552" s="1" t="n">
        <v>45837</v>
      </c>
      <c r="D552" t="inlineStr">
        <is>
          <t>JÄMTLANDS LÄN</t>
        </is>
      </c>
      <c r="E552" t="inlineStr">
        <is>
          <t>ÅRE</t>
        </is>
      </c>
      <c r="G552" t="n">
        <v>2.7</v>
      </c>
      <c r="H552" t="n">
        <v>0</v>
      </c>
      <c r="I552" t="n">
        <v>0</v>
      </c>
      <c r="J552" t="n">
        <v>0</v>
      </c>
      <c r="K552" t="n">
        <v>0</v>
      </c>
      <c r="L552" t="n">
        <v>0</v>
      </c>
      <c r="M552" t="n">
        <v>0</v>
      </c>
      <c r="N552" t="n">
        <v>0</v>
      </c>
      <c r="O552" t="n">
        <v>0</v>
      </c>
      <c r="P552" t="n">
        <v>0</v>
      </c>
      <c r="Q552" t="n">
        <v>0</v>
      </c>
      <c r="R552" s="2" t="inlineStr"/>
    </row>
    <row r="553" ht="15" customHeight="1">
      <c r="A553" t="inlineStr">
        <is>
          <t>A 55235-2022</t>
        </is>
      </c>
      <c r="B553" s="1" t="n">
        <v>44887</v>
      </c>
      <c r="C553" s="1" t="n">
        <v>45837</v>
      </c>
      <c r="D553" t="inlineStr">
        <is>
          <t>JÄMTLANDS LÄN</t>
        </is>
      </c>
      <c r="E553" t="inlineStr">
        <is>
          <t>ÅRE</t>
        </is>
      </c>
      <c r="G553" t="n">
        <v>2.5</v>
      </c>
      <c r="H553" t="n">
        <v>0</v>
      </c>
      <c r="I553" t="n">
        <v>0</v>
      </c>
      <c r="J553" t="n">
        <v>0</v>
      </c>
      <c r="K553" t="n">
        <v>0</v>
      </c>
      <c r="L553" t="n">
        <v>0</v>
      </c>
      <c r="M553" t="n">
        <v>0</v>
      </c>
      <c r="N553" t="n">
        <v>0</v>
      </c>
      <c r="O553" t="n">
        <v>0</v>
      </c>
      <c r="P553" t="n">
        <v>0</v>
      </c>
      <c r="Q553" t="n">
        <v>0</v>
      </c>
      <c r="R553" s="2" t="inlineStr"/>
    </row>
    <row r="554" ht="15" customHeight="1">
      <c r="A554" t="inlineStr">
        <is>
          <t>A 55229-2022</t>
        </is>
      </c>
      <c r="B554" s="1" t="n">
        <v>44887</v>
      </c>
      <c r="C554" s="1" t="n">
        <v>45837</v>
      </c>
      <c r="D554" t="inlineStr">
        <is>
          <t>JÄMTLANDS LÄN</t>
        </is>
      </c>
      <c r="E554" t="inlineStr">
        <is>
          <t>ÅRE</t>
        </is>
      </c>
      <c r="G554" t="n">
        <v>4.6</v>
      </c>
      <c r="H554" t="n">
        <v>0</v>
      </c>
      <c r="I554" t="n">
        <v>0</v>
      </c>
      <c r="J554" t="n">
        <v>0</v>
      </c>
      <c r="K554" t="n">
        <v>0</v>
      </c>
      <c r="L554" t="n">
        <v>0</v>
      </c>
      <c r="M554" t="n">
        <v>0</v>
      </c>
      <c r="N554" t="n">
        <v>0</v>
      </c>
      <c r="O554" t="n">
        <v>0</v>
      </c>
      <c r="P554" t="n">
        <v>0</v>
      </c>
      <c r="Q554" t="n">
        <v>0</v>
      </c>
      <c r="R554" s="2" t="inlineStr"/>
    </row>
    <row r="555" ht="15" customHeight="1">
      <c r="A555" t="inlineStr">
        <is>
          <t>A 55234-2022</t>
        </is>
      </c>
      <c r="B555" s="1" t="n">
        <v>44887</v>
      </c>
      <c r="C555" s="1" t="n">
        <v>45837</v>
      </c>
      <c r="D555" t="inlineStr">
        <is>
          <t>JÄMTLANDS LÄN</t>
        </is>
      </c>
      <c r="E555" t="inlineStr">
        <is>
          <t>ÅRE</t>
        </is>
      </c>
      <c r="G555" t="n">
        <v>1.6</v>
      </c>
      <c r="H555" t="n">
        <v>0</v>
      </c>
      <c r="I555" t="n">
        <v>0</v>
      </c>
      <c r="J555" t="n">
        <v>0</v>
      </c>
      <c r="K555" t="n">
        <v>0</v>
      </c>
      <c r="L555" t="n">
        <v>0</v>
      </c>
      <c r="M555" t="n">
        <v>0</v>
      </c>
      <c r="N555" t="n">
        <v>0</v>
      </c>
      <c r="O555" t="n">
        <v>0</v>
      </c>
      <c r="P555" t="n">
        <v>0</v>
      </c>
      <c r="Q555" t="n">
        <v>0</v>
      </c>
      <c r="R555" s="2" t="inlineStr"/>
    </row>
    <row r="556" ht="15" customHeight="1">
      <c r="A556" t="inlineStr">
        <is>
          <t>A 55233-2022</t>
        </is>
      </c>
      <c r="B556" s="1" t="n">
        <v>44887</v>
      </c>
      <c r="C556" s="1" t="n">
        <v>45837</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55237-2022</t>
        </is>
      </c>
      <c r="B557" s="1" t="n">
        <v>44887</v>
      </c>
      <c r="C557" s="1" t="n">
        <v>45837</v>
      </c>
      <c r="D557" t="inlineStr">
        <is>
          <t>JÄMTLANDS LÄN</t>
        </is>
      </c>
      <c r="E557" t="inlineStr">
        <is>
          <t>ÅRE</t>
        </is>
      </c>
      <c r="G557" t="n">
        <v>1.8</v>
      </c>
      <c r="H557" t="n">
        <v>0</v>
      </c>
      <c r="I557" t="n">
        <v>0</v>
      </c>
      <c r="J557" t="n">
        <v>0</v>
      </c>
      <c r="K557" t="n">
        <v>0</v>
      </c>
      <c r="L557" t="n">
        <v>0</v>
      </c>
      <c r="M557" t="n">
        <v>0</v>
      </c>
      <c r="N557" t="n">
        <v>0</v>
      </c>
      <c r="O557" t="n">
        <v>0</v>
      </c>
      <c r="P557" t="n">
        <v>0</v>
      </c>
      <c r="Q557" t="n">
        <v>0</v>
      </c>
      <c r="R557" s="2" t="inlineStr"/>
    </row>
    <row r="558" ht="15" customHeight="1">
      <c r="A558" t="inlineStr">
        <is>
          <t>A 55232-2022</t>
        </is>
      </c>
      <c r="B558" s="1" t="n">
        <v>44887</v>
      </c>
      <c r="C558" s="1" t="n">
        <v>45837</v>
      </c>
      <c r="D558" t="inlineStr">
        <is>
          <t>JÄMTLANDS LÄN</t>
        </is>
      </c>
      <c r="E558" t="inlineStr">
        <is>
          <t>ÅRE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55236-2022</t>
        </is>
      </c>
      <c r="B559" s="1" t="n">
        <v>44887</v>
      </c>
      <c r="C559" s="1" t="n">
        <v>45837</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56182-2022</t>
        </is>
      </c>
      <c r="B560" s="1" t="n">
        <v>44889</v>
      </c>
      <c r="C560" s="1" t="n">
        <v>45837</v>
      </c>
      <c r="D560" t="inlineStr">
        <is>
          <t>JÄMTLANDS LÄN</t>
        </is>
      </c>
      <c r="E560" t="inlineStr">
        <is>
          <t>ÅRE</t>
        </is>
      </c>
      <c r="G560" t="n">
        <v>42.3</v>
      </c>
      <c r="H560" t="n">
        <v>0</v>
      </c>
      <c r="I560" t="n">
        <v>0</v>
      </c>
      <c r="J560" t="n">
        <v>0</v>
      </c>
      <c r="K560" t="n">
        <v>0</v>
      </c>
      <c r="L560" t="n">
        <v>0</v>
      </c>
      <c r="M560" t="n">
        <v>0</v>
      </c>
      <c r="N560" t="n">
        <v>0</v>
      </c>
      <c r="O560" t="n">
        <v>0</v>
      </c>
      <c r="P560" t="n">
        <v>0</v>
      </c>
      <c r="Q560" t="n">
        <v>0</v>
      </c>
      <c r="R560" s="2" t="inlineStr"/>
    </row>
    <row r="561" ht="15" customHeight="1">
      <c r="A561" t="inlineStr">
        <is>
          <t>A 55944-2022</t>
        </is>
      </c>
      <c r="B561" s="1" t="n">
        <v>44889</v>
      </c>
      <c r="C561" s="1" t="n">
        <v>45837</v>
      </c>
      <c r="D561" t="inlineStr">
        <is>
          <t>JÄMTLANDS LÄN</t>
        </is>
      </c>
      <c r="E561" t="inlineStr">
        <is>
          <t>ÅRE</t>
        </is>
      </c>
      <c r="G561" t="n">
        <v>11.1</v>
      </c>
      <c r="H561" t="n">
        <v>0</v>
      </c>
      <c r="I561" t="n">
        <v>0</v>
      </c>
      <c r="J561" t="n">
        <v>0</v>
      </c>
      <c r="K561" t="n">
        <v>0</v>
      </c>
      <c r="L561" t="n">
        <v>0</v>
      </c>
      <c r="M561" t="n">
        <v>0</v>
      </c>
      <c r="N561" t="n">
        <v>0</v>
      </c>
      <c r="O561" t="n">
        <v>0</v>
      </c>
      <c r="P561" t="n">
        <v>0</v>
      </c>
      <c r="Q561" t="n">
        <v>0</v>
      </c>
      <c r="R561" s="2" t="inlineStr"/>
    </row>
    <row r="562" ht="15" customHeight="1">
      <c r="A562" t="inlineStr">
        <is>
          <t>A 56254-2022</t>
        </is>
      </c>
      <c r="B562" s="1" t="n">
        <v>44890</v>
      </c>
      <c r="C562" s="1" t="n">
        <v>45837</v>
      </c>
      <c r="D562" t="inlineStr">
        <is>
          <t>JÄMTLANDS LÄN</t>
        </is>
      </c>
      <c r="E562" t="inlineStr">
        <is>
          <t>ÅRE</t>
        </is>
      </c>
      <c r="F562" t="inlineStr">
        <is>
          <t>Övriga Aktiebolag</t>
        </is>
      </c>
      <c r="G562" t="n">
        <v>7.7</v>
      </c>
      <c r="H562" t="n">
        <v>0</v>
      </c>
      <c r="I562" t="n">
        <v>0</v>
      </c>
      <c r="J562" t="n">
        <v>0</v>
      </c>
      <c r="K562" t="n">
        <v>0</v>
      </c>
      <c r="L562" t="n">
        <v>0</v>
      </c>
      <c r="M562" t="n">
        <v>0</v>
      </c>
      <c r="N562" t="n">
        <v>0</v>
      </c>
      <c r="O562" t="n">
        <v>0</v>
      </c>
      <c r="P562" t="n">
        <v>0</v>
      </c>
      <c r="Q562" t="n">
        <v>0</v>
      </c>
      <c r="R562" s="2" t="inlineStr"/>
    </row>
    <row r="563" ht="15" customHeight="1">
      <c r="A563" t="inlineStr">
        <is>
          <t>A 56659-2022</t>
        </is>
      </c>
      <c r="B563" s="1" t="n">
        <v>44893</v>
      </c>
      <c r="C563" s="1" t="n">
        <v>45837</v>
      </c>
      <c r="D563" t="inlineStr">
        <is>
          <t>JÄMTLANDS LÄN</t>
        </is>
      </c>
      <c r="E563" t="inlineStr">
        <is>
          <t>ÅRE</t>
        </is>
      </c>
      <c r="F563" t="inlineStr">
        <is>
          <t>Övriga Aktiebolag</t>
        </is>
      </c>
      <c r="G563" t="n">
        <v>6.1</v>
      </c>
      <c r="H563" t="n">
        <v>0</v>
      </c>
      <c r="I563" t="n">
        <v>0</v>
      </c>
      <c r="J563" t="n">
        <v>0</v>
      </c>
      <c r="K563" t="n">
        <v>0</v>
      </c>
      <c r="L563" t="n">
        <v>0</v>
      </c>
      <c r="M563" t="n">
        <v>0</v>
      </c>
      <c r="N563" t="n">
        <v>0</v>
      </c>
      <c r="O563" t="n">
        <v>0</v>
      </c>
      <c r="P563" t="n">
        <v>0</v>
      </c>
      <c r="Q563" t="n">
        <v>0</v>
      </c>
      <c r="R563" s="2" t="inlineStr"/>
    </row>
    <row r="564" ht="15" customHeight="1">
      <c r="A564" t="inlineStr">
        <is>
          <t>A 56508-2022</t>
        </is>
      </c>
      <c r="B564" s="1" t="n">
        <v>44893</v>
      </c>
      <c r="C564" s="1" t="n">
        <v>45837</v>
      </c>
      <c r="D564" t="inlineStr">
        <is>
          <t>JÄMTLANDS LÄN</t>
        </is>
      </c>
      <c r="E564" t="inlineStr">
        <is>
          <t>ÅRE</t>
        </is>
      </c>
      <c r="F564" t="inlineStr">
        <is>
          <t>Övriga Aktiebolag</t>
        </is>
      </c>
      <c r="G564" t="n">
        <v>1.8</v>
      </c>
      <c r="H564" t="n">
        <v>0</v>
      </c>
      <c r="I564" t="n">
        <v>0</v>
      </c>
      <c r="J564" t="n">
        <v>0</v>
      </c>
      <c r="K564" t="n">
        <v>0</v>
      </c>
      <c r="L564" t="n">
        <v>0</v>
      </c>
      <c r="M564" t="n">
        <v>0</v>
      </c>
      <c r="N564" t="n">
        <v>0</v>
      </c>
      <c r="O564" t="n">
        <v>0</v>
      </c>
      <c r="P564" t="n">
        <v>0</v>
      </c>
      <c r="Q564" t="n">
        <v>0</v>
      </c>
      <c r="R564" s="2" t="inlineStr"/>
    </row>
    <row r="565" ht="15" customHeight="1">
      <c r="A565" t="inlineStr">
        <is>
          <t>A 56576-2022</t>
        </is>
      </c>
      <c r="B565" s="1" t="n">
        <v>44893</v>
      </c>
      <c r="C565" s="1" t="n">
        <v>45837</v>
      </c>
      <c r="D565" t="inlineStr">
        <is>
          <t>JÄMTLANDS LÄN</t>
        </is>
      </c>
      <c r="E565" t="inlineStr">
        <is>
          <t>ÅRE</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56556-2022</t>
        </is>
      </c>
      <c r="B566" s="1" t="n">
        <v>44893</v>
      </c>
      <c r="C566" s="1" t="n">
        <v>45837</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56650-2022</t>
        </is>
      </c>
      <c r="B567" s="1" t="n">
        <v>44893</v>
      </c>
      <c r="C567" s="1" t="n">
        <v>45837</v>
      </c>
      <c r="D567" t="inlineStr">
        <is>
          <t>JÄMTLANDS LÄN</t>
        </is>
      </c>
      <c r="E567" t="inlineStr">
        <is>
          <t>ÅRE</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56581-2022</t>
        </is>
      </c>
      <c r="B568" s="1" t="n">
        <v>44893</v>
      </c>
      <c r="C568" s="1" t="n">
        <v>45837</v>
      </c>
      <c r="D568" t="inlineStr">
        <is>
          <t>JÄMTLANDS LÄN</t>
        </is>
      </c>
      <c r="E568" t="inlineStr">
        <is>
          <t>ÅRE</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56673-2022</t>
        </is>
      </c>
      <c r="B569" s="1" t="n">
        <v>44893</v>
      </c>
      <c r="C569" s="1" t="n">
        <v>45837</v>
      </c>
      <c r="D569" t="inlineStr">
        <is>
          <t>JÄMTLANDS LÄN</t>
        </is>
      </c>
      <c r="E569" t="inlineStr">
        <is>
          <t>ÅRE</t>
        </is>
      </c>
      <c r="F569" t="inlineStr">
        <is>
          <t>Övriga Aktiebolag</t>
        </is>
      </c>
      <c r="G569" t="n">
        <v>5.6</v>
      </c>
      <c r="H569" t="n">
        <v>0</v>
      </c>
      <c r="I569" t="n">
        <v>0</v>
      </c>
      <c r="J569" t="n">
        <v>0</v>
      </c>
      <c r="K569" t="n">
        <v>0</v>
      </c>
      <c r="L569" t="n">
        <v>0</v>
      </c>
      <c r="M569" t="n">
        <v>0</v>
      </c>
      <c r="N569" t="n">
        <v>0</v>
      </c>
      <c r="O569" t="n">
        <v>0</v>
      </c>
      <c r="P569" t="n">
        <v>0</v>
      </c>
      <c r="Q569" t="n">
        <v>0</v>
      </c>
      <c r="R569" s="2" t="inlineStr"/>
    </row>
    <row r="570" ht="15" customHeight="1">
      <c r="A570" t="inlineStr">
        <is>
          <t>A 58337-2022</t>
        </is>
      </c>
      <c r="B570" s="1" t="n">
        <v>44893</v>
      </c>
      <c r="C570" s="1" t="n">
        <v>45837</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56811-2022</t>
        </is>
      </c>
      <c r="B571" s="1" t="n">
        <v>44894</v>
      </c>
      <c r="C571" s="1" t="n">
        <v>45837</v>
      </c>
      <c r="D571" t="inlineStr">
        <is>
          <t>JÄMTLANDS LÄN</t>
        </is>
      </c>
      <c r="E571" t="inlineStr">
        <is>
          <t>ÅRE</t>
        </is>
      </c>
      <c r="F571" t="inlineStr">
        <is>
          <t>Övriga Aktiebolag</t>
        </is>
      </c>
      <c r="G571" t="n">
        <v>34</v>
      </c>
      <c r="H571" t="n">
        <v>0</v>
      </c>
      <c r="I571" t="n">
        <v>0</v>
      </c>
      <c r="J571" t="n">
        <v>0</v>
      </c>
      <c r="K571" t="n">
        <v>0</v>
      </c>
      <c r="L571" t="n">
        <v>0</v>
      </c>
      <c r="M571" t="n">
        <v>0</v>
      </c>
      <c r="N571" t="n">
        <v>0</v>
      </c>
      <c r="O571" t="n">
        <v>0</v>
      </c>
      <c r="P571" t="n">
        <v>0</v>
      </c>
      <c r="Q571" t="n">
        <v>0</v>
      </c>
      <c r="R571" s="2" t="inlineStr"/>
    </row>
    <row r="572" ht="15" customHeight="1">
      <c r="A572" t="inlineStr">
        <is>
          <t>A 56910-2022</t>
        </is>
      </c>
      <c r="B572" s="1" t="n">
        <v>44894</v>
      </c>
      <c r="C572" s="1" t="n">
        <v>45837</v>
      </c>
      <c r="D572" t="inlineStr">
        <is>
          <t>JÄMTLANDS LÄN</t>
        </is>
      </c>
      <c r="E572" t="inlineStr">
        <is>
          <t>ÅRE</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56828-2022</t>
        </is>
      </c>
      <c r="B573" s="1" t="n">
        <v>44894</v>
      </c>
      <c r="C573" s="1" t="n">
        <v>45837</v>
      </c>
      <c r="D573" t="inlineStr">
        <is>
          <t>JÄMTLANDS LÄN</t>
        </is>
      </c>
      <c r="E573" t="inlineStr">
        <is>
          <t>ÅRE</t>
        </is>
      </c>
      <c r="F573" t="inlineStr">
        <is>
          <t>Övriga Aktiebolag</t>
        </is>
      </c>
      <c r="G573" t="n">
        <v>9.9</v>
      </c>
      <c r="H573" t="n">
        <v>0</v>
      </c>
      <c r="I573" t="n">
        <v>0</v>
      </c>
      <c r="J573" t="n">
        <v>0</v>
      </c>
      <c r="K573" t="n">
        <v>0</v>
      </c>
      <c r="L573" t="n">
        <v>0</v>
      </c>
      <c r="M573" t="n">
        <v>0</v>
      </c>
      <c r="N573" t="n">
        <v>0</v>
      </c>
      <c r="O573" t="n">
        <v>0</v>
      </c>
      <c r="P573" t="n">
        <v>0</v>
      </c>
      <c r="Q573" t="n">
        <v>0</v>
      </c>
      <c r="R573" s="2" t="inlineStr"/>
    </row>
    <row r="574" ht="15" customHeight="1">
      <c r="A574" t="inlineStr">
        <is>
          <t>A 56842-2022</t>
        </is>
      </c>
      <c r="B574" s="1" t="n">
        <v>44894</v>
      </c>
      <c r="C574" s="1" t="n">
        <v>45837</v>
      </c>
      <c r="D574" t="inlineStr">
        <is>
          <t>JÄMTLANDS LÄN</t>
        </is>
      </c>
      <c r="E574" t="inlineStr">
        <is>
          <t>ÅRE</t>
        </is>
      </c>
      <c r="F574" t="inlineStr">
        <is>
          <t>Övriga Aktiebolag</t>
        </is>
      </c>
      <c r="G574" t="n">
        <v>7.9</v>
      </c>
      <c r="H574" t="n">
        <v>0</v>
      </c>
      <c r="I574" t="n">
        <v>0</v>
      </c>
      <c r="J574" t="n">
        <v>0</v>
      </c>
      <c r="K574" t="n">
        <v>0</v>
      </c>
      <c r="L574" t="n">
        <v>0</v>
      </c>
      <c r="M574" t="n">
        <v>0</v>
      </c>
      <c r="N574" t="n">
        <v>0</v>
      </c>
      <c r="O574" t="n">
        <v>0</v>
      </c>
      <c r="P574" t="n">
        <v>0</v>
      </c>
      <c r="Q574" t="n">
        <v>0</v>
      </c>
      <c r="R574" s="2" t="inlineStr"/>
    </row>
    <row r="575" ht="15" customHeight="1">
      <c r="A575" t="inlineStr">
        <is>
          <t>A 56835-2022</t>
        </is>
      </c>
      <c r="B575" s="1" t="n">
        <v>44894</v>
      </c>
      <c r="C575" s="1" t="n">
        <v>45837</v>
      </c>
      <c r="D575" t="inlineStr">
        <is>
          <t>JÄMTLANDS LÄN</t>
        </is>
      </c>
      <c r="E575" t="inlineStr">
        <is>
          <t>ÅRE</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56837-2022</t>
        </is>
      </c>
      <c r="B576" s="1" t="n">
        <v>44894</v>
      </c>
      <c r="C576" s="1" t="n">
        <v>45837</v>
      </c>
      <c r="D576" t="inlineStr">
        <is>
          <t>JÄMTLANDS LÄN</t>
        </is>
      </c>
      <c r="E576" t="inlineStr">
        <is>
          <t>ÅRE</t>
        </is>
      </c>
      <c r="F576" t="inlineStr">
        <is>
          <t>Övriga Aktiebolag</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57394-2022</t>
        </is>
      </c>
      <c r="B577" s="1" t="n">
        <v>44896</v>
      </c>
      <c r="C577" s="1" t="n">
        <v>45837</v>
      </c>
      <c r="D577" t="inlineStr">
        <is>
          <t>JÄMTLANDS LÄN</t>
        </is>
      </c>
      <c r="E577" t="inlineStr">
        <is>
          <t>ÅRE</t>
        </is>
      </c>
      <c r="G577" t="n">
        <v>5.8</v>
      </c>
      <c r="H577" t="n">
        <v>0</v>
      </c>
      <c r="I577" t="n">
        <v>0</v>
      </c>
      <c r="J577" t="n">
        <v>0</v>
      </c>
      <c r="K577" t="n">
        <v>0</v>
      </c>
      <c r="L577" t="n">
        <v>0</v>
      </c>
      <c r="M577" t="n">
        <v>0</v>
      </c>
      <c r="N577" t="n">
        <v>0</v>
      </c>
      <c r="O577" t="n">
        <v>0</v>
      </c>
      <c r="P577" t="n">
        <v>0</v>
      </c>
      <c r="Q577" t="n">
        <v>0</v>
      </c>
      <c r="R577" s="2" t="inlineStr"/>
    </row>
    <row r="578" ht="15" customHeight="1">
      <c r="A578" t="inlineStr">
        <is>
          <t>A 58889-2022</t>
        </is>
      </c>
      <c r="B578" s="1" t="n">
        <v>44896</v>
      </c>
      <c r="C578" s="1" t="n">
        <v>45837</v>
      </c>
      <c r="D578" t="inlineStr">
        <is>
          <t>JÄMTLANDS LÄN</t>
        </is>
      </c>
      <c r="E578" t="inlineStr">
        <is>
          <t>ÅRE</t>
        </is>
      </c>
      <c r="G578" t="n">
        <v>6.9</v>
      </c>
      <c r="H578" t="n">
        <v>0</v>
      </c>
      <c r="I578" t="n">
        <v>0</v>
      </c>
      <c r="J578" t="n">
        <v>0</v>
      </c>
      <c r="K578" t="n">
        <v>0</v>
      </c>
      <c r="L578" t="n">
        <v>0</v>
      </c>
      <c r="M578" t="n">
        <v>0</v>
      </c>
      <c r="N578" t="n">
        <v>0</v>
      </c>
      <c r="O578" t="n">
        <v>0</v>
      </c>
      <c r="P578" t="n">
        <v>0</v>
      </c>
      <c r="Q578" t="n">
        <v>0</v>
      </c>
      <c r="R578" s="2" t="inlineStr"/>
    </row>
    <row r="579" ht="15" customHeight="1">
      <c r="A579" t="inlineStr">
        <is>
          <t>A 58882-2022</t>
        </is>
      </c>
      <c r="B579" s="1" t="n">
        <v>44896</v>
      </c>
      <c r="C579" s="1" t="n">
        <v>45837</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58513-2022</t>
        </is>
      </c>
      <c r="B580" s="1" t="n">
        <v>44902</v>
      </c>
      <c r="C580" s="1" t="n">
        <v>45837</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58516-2022</t>
        </is>
      </c>
      <c r="B581" s="1" t="n">
        <v>44902</v>
      </c>
      <c r="C581" s="1" t="n">
        <v>45837</v>
      </c>
      <c r="D581" t="inlineStr">
        <is>
          <t>JÄMTLANDS LÄN</t>
        </is>
      </c>
      <c r="E581" t="inlineStr">
        <is>
          <t>ÅRE</t>
        </is>
      </c>
      <c r="G581" t="n">
        <v>0.5</v>
      </c>
      <c r="H581" t="n">
        <v>0</v>
      </c>
      <c r="I581" t="n">
        <v>0</v>
      </c>
      <c r="J581" t="n">
        <v>0</v>
      </c>
      <c r="K581" t="n">
        <v>0</v>
      </c>
      <c r="L581" t="n">
        <v>0</v>
      </c>
      <c r="M581" t="n">
        <v>0</v>
      </c>
      <c r="N581" t="n">
        <v>0</v>
      </c>
      <c r="O581" t="n">
        <v>0</v>
      </c>
      <c r="P581" t="n">
        <v>0</v>
      </c>
      <c r="Q581" t="n">
        <v>0</v>
      </c>
      <c r="R581" s="2" t="inlineStr"/>
    </row>
    <row r="582" ht="15" customHeight="1">
      <c r="A582" t="inlineStr">
        <is>
          <t>A 58758-2022</t>
        </is>
      </c>
      <c r="B582" s="1" t="n">
        <v>44903</v>
      </c>
      <c r="C582" s="1" t="n">
        <v>45837</v>
      </c>
      <c r="D582" t="inlineStr">
        <is>
          <t>JÄMTLANDS LÄN</t>
        </is>
      </c>
      <c r="E582" t="inlineStr">
        <is>
          <t>ÅRE</t>
        </is>
      </c>
      <c r="F582" t="inlineStr">
        <is>
          <t>Övriga Aktiebolag</t>
        </is>
      </c>
      <c r="G582" t="n">
        <v>42.9</v>
      </c>
      <c r="H582" t="n">
        <v>0</v>
      </c>
      <c r="I582" t="n">
        <v>0</v>
      </c>
      <c r="J582" t="n">
        <v>0</v>
      </c>
      <c r="K582" t="n">
        <v>0</v>
      </c>
      <c r="L582" t="n">
        <v>0</v>
      </c>
      <c r="M582" t="n">
        <v>0</v>
      </c>
      <c r="N582" t="n">
        <v>0</v>
      </c>
      <c r="O582" t="n">
        <v>0</v>
      </c>
      <c r="P582" t="n">
        <v>0</v>
      </c>
      <c r="Q582" t="n">
        <v>0</v>
      </c>
      <c r="R582" s="2" t="inlineStr"/>
    </row>
    <row r="583" ht="15" customHeight="1">
      <c r="A583" t="inlineStr">
        <is>
          <t>A 58856-2022</t>
        </is>
      </c>
      <c r="B583" s="1" t="n">
        <v>44903</v>
      </c>
      <c r="C583" s="1" t="n">
        <v>45837</v>
      </c>
      <c r="D583" t="inlineStr">
        <is>
          <t>JÄMTLANDS LÄN</t>
        </is>
      </c>
      <c r="E583" t="inlineStr">
        <is>
          <t>ÅRE</t>
        </is>
      </c>
      <c r="F583" t="inlineStr">
        <is>
          <t>Övriga Aktiebolag</t>
        </is>
      </c>
      <c r="G583" t="n">
        <v>10.2</v>
      </c>
      <c r="H583" t="n">
        <v>0</v>
      </c>
      <c r="I583" t="n">
        <v>0</v>
      </c>
      <c r="J583" t="n">
        <v>0</v>
      </c>
      <c r="K583" t="n">
        <v>0</v>
      </c>
      <c r="L583" t="n">
        <v>0</v>
      </c>
      <c r="M583" t="n">
        <v>0</v>
      </c>
      <c r="N583" t="n">
        <v>0</v>
      </c>
      <c r="O583" t="n">
        <v>0</v>
      </c>
      <c r="P583" t="n">
        <v>0</v>
      </c>
      <c r="Q583" t="n">
        <v>0</v>
      </c>
      <c r="R583" s="2" t="inlineStr"/>
    </row>
    <row r="584" ht="15" customHeight="1">
      <c r="A584" t="inlineStr">
        <is>
          <t>A 58917-2022</t>
        </is>
      </c>
      <c r="B584" s="1" t="n">
        <v>44903</v>
      </c>
      <c r="C584" s="1" t="n">
        <v>45837</v>
      </c>
      <c r="D584" t="inlineStr">
        <is>
          <t>JÄMTLANDS LÄN</t>
        </is>
      </c>
      <c r="E584" t="inlineStr">
        <is>
          <t>ÅRE</t>
        </is>
      </c>
      <c r="F584" t="inlineStr">
        <is>
          <t>Övriga Aktiebolag</t>
        </is>
      </c>
      <c r="G584" t="n">
        <v>3.3</v>
      </c>
      <c r="H584" t="n">
        <v>0</v>
      </c>
      <c r="I584" t="n">
        <v>0</v>
      </c>
      <c r="J584" t="n">
        <v>0</v>
      </c>
      <c r="K584" t="n">
        <v>0</v>
      </c>
      <c r="L584" t="n">
        <v>0</v>
      </c>
      <c r="M584" t="n">
        <v>0</v>
      </c>
      <c r="N584" t="n">
        <v>0</v>
      </c>
      <c r="O584" t="n">
        <v>0</v>
      </c>
      <c r="P584" t="n">
        <v>0</v>
      </c>
      <c r="Q584" t="n">
        <v>0</v>
      </c>
      <c r="R584" s="2" t="inlineStr"/>
    </row>
    <row r="585" ht="15" customHeight="1">
      <c r="A585" t="inlineStr">
        <is>
          <t>A 58845-2022</t>
        </is>
      </c>
      <c r="B585" s="1" t="n">
        <v>44903</v>
      </c>
      <c r="C585" s="1" t="n">
        <v>45837</v>
      </c>
      <c r="D585" t="inlineStr">
        <is>
          <t>JÄMTLANDS LÄN</t>
        </is>
      </c>
      <c r="E585" t="inlineStr">
        <is>
          <t>ÅRE</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59163-2022</t>
        </is>
      </c>
      <c r="B586" s="1" t="n">
        <v>44904</v>
      </c>
      <c r="C586" s="1" t="n">
        <v>45837</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60540-2022</t>
        </is>
      </c>
      <c r="B587" s="1" t="n">
        <v>44904</v>
      </c>
      <c r="C587" s="1" t="n">
        <v>45837</v>
      </c>
      <c r="D587" t="inlineStr">
        <is>
          <t>JÄMTLANDS LÄN</t>
        </is>
      </c>
      <c r="E587" t="inlineStr">
        <is>
          <t>ÅRE</t>
        </is>
      </c>
      <c r="G587" t="n">
        <v>1</v>
      </c>
      <c r="H587" t="n">
        <v>0</v>
      </c>
      <c r="I587" t="n">
        <v>0</v>
      </c>
      <c r="J587" t="n">
        <v>0</v>
      </c>
      <c r="K587" t="n">
        <v>0</v>
      </c>
      <c r="L587" t="n">
        <v>0</v>
      </c>
      <c r="M587" t="n">
        <v>0</v>
      </c>
      <c r="N587" t="n">
        <v>0</v>
      </c>
      <c r="O587" t="n">
        <v>0</v>
      </c>
      <c r="P587" t="n">
        <v>0</v>
      </c>
      <c r="Q587" t="n">
        <v>0</v>
      </c>
      <c r="R587" s="2" t="inlineStr"/>
    </row>
    <row r="588" ht="15" customHeight="1">
      <c r="A588" t="inlineStr">
        <is>
          <t>A 59387-2022</t>
        </is>
      </c>
      <c r="B588" s="1" t="n">
        <v>44905</v>
      </c>
      <c r="C588" s="1" t="n">
        <v>45837</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60935-2022</t>
        </is>
      </c>
      <c r="B589" s="1" t="n">
        <v>44908</v>
      </c>
      <c r="C589" s="1" t="n">
        <v>45837</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60899-2022</t>
        </is>
      </c>
      <c r="B590" s="1" t="n">
        <v>44908</v>
      </c>
      <c r="C590" s="1" t="n">
        <v>45837</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60944-2022</t>
        </is>
      </c>
      <c r="B591" s="1" t="n">
        <v>44908</v>
      </c>
      <c r="C591" s="1" t="n">
        <v>45837</v>
      </c>
      <c r="D591" t="inlineStr">
        <is>
          <t>JÄMTLANDS LÄN</t>
        </is>
      </c>
      <c r="E591" t="inlineStr">
        <is>
          <t>ÅRE</t>
        </is>
      </c>
      <c r="G591" t="n">
        <v>6</v>
      </c>
      <c r="H591" t="n">
        <v>0</v>
      </c>
      <c r="I591" t="n">
        <v>0</v>
      </c>
      <c r="J591" t="n">
        <v>0</v>
      </c>
      <c r="K591" t="n">
        <v>0</v>
      </c>
      <c r="L591" t="n">
        <v>0</v>
      </c>
      <c r="M591" t="n">
        <v>0</v>
      </c>
      <c r="N591" t="n">
        <v>0</v>
      </c>
      <c r="O591" t="n">
        <v>0</v>
      </c>
      <c r="P591" t="n">
        <v>0</v>
      </c>
      <c r="Q591" t="n">
        <v>0</v>
      </c>
      <c r="R591" s="2" t="inlineStr"/>
    </row>
    <row r="592" ht="15" customHeight="1">
      <c r="A592" t="inlineStr">
        <is>
          <t>A 60921-2022</t>
        </is>
      </c>
      <c r="B592" s="1" t="n">
        <v>44908</v>
      </c>
      <c r="C592" s="1" t="n">
        <v>45837</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60941-2022</t>
        </is>
      </c>
      <c r="B593" s="1" t="n">
        <v>44908</v>
      </c>
      <c r="C593" s="1" t="n">
        <v>45837</v>
      </c>
      <c r="D593" t="inlineStr">
        <is>
          <t>JÄMTLANDS LÄN</t>
        </is>
      </c>
      <c r="E593" t="inlineStr">
        <is>
          <t>ÅRE</t>
        </is>
      </c>
      <c r="G593" t="n">
        <v>1.6</v>
      </c>
      <c r="H593" t="n">
        <v>0</v>
      </c>
      <c r="I593" t="n">
        <v>0</v>
      </c>
      <c r="J593" t="n">
        <v>0</v>
      </c>
      <c r="K593" t="n">
        <v>0</v>
      </c>
      <c r="L593" t="n">
        <v>0</v>
      </c>
      <c r="M593" t="n">
        <v>0</v>
      </c>
      <c r="N593" t="n">
        <v>0</v>
      </c>
      <c r="O593" t="n">
        <v>0</v>
      </c>
      <c r="P593" t="n">
        <v>0</v>
      </c>
      <c r="Q593" t="n">
        <v>0</v>
      </c>
      <c r="R593" s="2" t="inlineStr"/>
    </row>
    <row r="594" ht="15" customHeight="1">
      <c r="A594" t="inlineStr">
        <is>
          <t>A 61340-2022</t>
        </is>
      </c>
      <c r="B594" s="1" t="n">
        <v>44909</v>
      </c>
      <c r="C594" s="1" t="n">
        <v>45837</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61481-2022</t>
        </is>
      </c>
      <c r="B595" s="1" t="n">
        <v>44910</v>
      </c>
      <c r="C595" s="1" t="n">
        <v>45837</v>
      </c>
      <c r="D595" t="inlineStr">
        <is>
          <t>JÄMTLANDS LÄN</t>
        </is>
      </c>
      <c r="E595" t="inlineStr">
        <is>
          <t>ÅRE</t>
        </is>
      </c>
      <c r="G595" t="n">
        <v>0.4</v>
      </c>
      <c r="H595" t="n">
        <v>0</v>
      </c>
      <c r="I595" t="n">
        <v>0</v>
      </c>
      <c r="J595" t="n">
        <v>0</v>
      </c>
      <c r="K595" t="n">
        <v>0</v>
      </c>
      <c r="L595" t="n">
        <v>0</v>
      </c>
      <c r="M595" t="n">
        <v>0</v>
      </c>
      <c r="N595" t="n">
        <v>0</v>
      </c>
      <c r="O595" t="n">
        <v>0</v>
      </c>
      <c r="P595" t="n">
        <v>0</v>
      </c>
      <c r="Q595" t="n">
        <v>0</v>
      </c>
      <c r="R595" s="2" t="inlineStr"/>
    </row>
    <row r="596" ht="15" customHeight="1">
      <c r="A596" t="inlineStr">
        <is>
          <t>A 60426-2022</t>
        </is>
      </c>
      <c r="B596" s="1" t="n">
        <v>44911</v>
      </c>
      <c r="C596" s="1" t="n">
        <v>45837</v>
      </c>
      <c r="D596" t="inlineStr">
        <is>
          <t>JÄMTLANDS LÄN</t>
        </is>
      </c>
      <c r="E596" t="inlineStr">
        <is>
          <t>ÅRE</t>
        </is>
      </c>
      <c r="G596" t="n">
        <v>0.8</v>
      </c>
      <c r="H596" t="n">
        <v>0</v>
      </c>
      <c r="I596" t="n">
        <v>0</v>
      </c>
      <c r="J596" t="n">
        <v>0</v>
      </c>
      <c r="K596" t="n">
        <v>0</v>
      </c>
      <c r="L596" t="n">
        <v>0</v>
      </c>
      <c r="M596" t="n">
        <v>0</v>
      </c>
      <c r="N596" t="n">
        <v>0</v>
      </c>
      <c r="O596" t="n">
        <v>0</v>
      </c>
      <c r="P596" t="n">
        <v>0</v>
      </c>
      <c r="Q596" t="n">
        <v>0</v>
      </c>
      <c r="R596" s="2" t="inlineStr"/>
    </row>
    <row r="597" ht="15" customHeight="1">
      <c r="A597" t="inlineStr">
        <is>
          <t>A 60437-2022</t>
        </is>
      </c>
      <c r="B597" s="1" t="n">
        <v>44911</v>
      </c>
      <c r="C597" s="1" t="n">
        <v>45837</v>
      </c>
      <c r="D597" t="inlineStr">
        <is>
          <t>JÄMTLANDS LÄN</t>
        </is>
      </c>
      <c r="E597" t="inlineStr">
        <is>
          <t>ÅRE</t>
        </is>
      </c>
      <c r="F597" t="inlineStr">
        <is>
          <t>Övriga Aktiebolag</t>
        </is>
      </c>
      <c r="G597" t="n">
        <v>9.4</v>
      </c>
      <c r="H597" t="n">
        <v>0</v>
      </c>
      <c r="I597" t="n">
        <v>0</v>
      </c>
      <c r="J597" t="n">
        <v>0</v>
      </c>
      <c r="K597" t="n">
        <v>0</v>
      </c>
      <c r="L597" t="n">
        <v>0</v>
      </c>
      <c r="M597" t="n">
        <v>0</v>
      </c>
      <c r="N597" t="n">
        <v>0</v>
      </c>
      <c r="O597" t="n">
        <v>0</v>
      </c>
      <c r="P597" t="n">
        <v>0</v>
      </c>
      <c r="Q597" t="n">
        <v>0</v>
      </c>
      <c r="R597" s="2" t="inlineStr"/>
    </row>
    <row r="598" ht="15" customHeight="1">
      <c r="A598" t="inlineStr">
        <is>
          <t>A 61789-2022</t>
        </is>
      </c>
      <c r="B598" s="1" t="n">
        <v>44917</v>
      </c>
      <c r="C598" s="1" t="n">
        <v>45837</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61784-2022</t>
        </is>
      </c>
      <c r="B599" s="1" t="n">
        <v>44917</v>
      </c>
      <c r="C599" s="1" t="n">
        <v>45837</v>
      </c>
      <c r="D599" t="inlineStr">
        <is>
          <t>JÄMTLANDS LÄN</t>
        </is>
      </c>
      <c r="E599" t="inlineStr">
        <is>
          <t>ÅRE</t>
        </is>
      </c>
      <c r="G599" t="n">
        <v>5.1</v>
      </c>
      <c r="H599" t="n">
        <v>0</v>
      </c>
      <c r="I599" t="n">
        <v>0</v>
      </c>
      <c r="J599" t="n">
        <v>0</v>
      </c>
      <c r="K599" t="n">
        <v>0</v>
      </c>
      <c r="L599" t="n">
        <v>0</v>
      </c>
      <c r="M599" t="n">
        <v>0</v>
      </c>
      <c r="N599" t="n">
        <v>0</v>
      </c>
      <c r="O599" t="n">
        <v>0</v>
      </c>
      <c r="P599" t="n">
        <v>0</v>
      </c>
      <c r="Q599" t="n">
        <v>0</v>
      </c>
      <c r="R599" s="2" t="inlineStr"/>
    </row>
    <row r="600" ht="15" customHeight="1">
      <c r="A600" t="inlineStr">
        <is>
          <t>A 61925-2022</t>
        </is>
      </c>
      <c r="B600" s="1" t="n">
        <v>44917</v>
      </c>
      <c r="C600" s="1" t="n">
        <v>45837</v>
      </c>
      <c r="D600" t="inlineStr">
        <is>
          <t>JÄMTLANDS LÄN</t>
        </is>
      </c>
      <c r="E600" t="inlineStr">
        <is>
          <t>ÅRE</t>
        </is>
      </c>
      <c r="G600" t="n">
        <v>3.3</v>
      </c>
      <c r="H600" t="n">
        <v>0</v>
      </c>
      <c r="I600" t="n">
        <v>0</v>
      </c>
      <c r="J600" t="n">
        <v>0</v>
      </c>
      <c r="K600" t="n">
        <v>0</v>
      </c>
      <c r="L600" t="n">
        <v>0</v>
      </c>
      <c r="M600" t="n">
        <v>0</v>
      </c>
      <c r="N600" t="n">
        <v>0</v>
      </c>
      <c r="O600" t="n">
        <v>0</v>
      </c>
      <c r="P600" t="n">
        <v>0</v>
      </c>
      <c r="Q600" t="n">
        <v>0</v>
      </c>
      <c r="R600" s="2" t="inlineStr"/>
    </row>
    <row r="601" ht="15" customHeight="1">
      <c r="A601" t="inlineStr">
        <is>
          <t>A 61930-2022</t>
        </is>
      </c>
      <c r="B601" s="1" t="n">
        <v>44917</v>
      </c>
      <c r="C601" s="1" t="n">
        <v>45837</v>
      </c>
      <c r="D601" t="inlineStr">
        <is>
          <t>JÄMTLANDS LÄN</t>
        </is>
      </c>
      <c r="E601" t="inlineStr">
        <is>
          <t>ÅRE</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61924-2022</t>
        </is>
      </c>
      <c r="B602" s="1" t="n">
        <v>44917</v>
      </c>
      <c r="C602" s="1" t="n">
        <v>45837</v>
      </c>
      <c r="D602" t="inlineStr">
        <is>
          <t>JÄMTLANDS LÄN</t>
        </is>
      </c>
      <c r="E602" t="inlineStr">
        <is>
          <t>ÅRE</t>
        </is>
      </c>
      <c r="G602" t="n">
        <v>39.8</v>
      </c>
      <c r="H602" t="n">
        <v>0</v>
      </c>
      <c r="I602" t="n">
        <v>0</v>
      </c>
      <c r="J602" t="n">
        <v>0</v>
      </c>
      <c r="K602" t="n">
        <v>0</v>
      </c>
      <c r="L602" t="n">
        <v>0</v>
      </c>
      <c r="M602" t="n">
        <v>0</v>
      </c>
      <c r="N602" t="n">
        <v>0</v>
      </c>
      <c r="O602" t="n">
        <v>0</v>
      </c>
      <c r="P602" t="n">
        <v>0</v>
      </c>
      <c r="Q602" t="n">
        <v>0</v>
      </c>
      <c r="R602" s="2" t="inlineStr"/>
    </row>
    <row r="603" ht="15" customHeight="1">
      <c r="A603" t="inlineStr">
        <is>
          <t>A 61926-2022</t>
        </is>
      </c>
      <c r="B603" s="1" t="n">
        <v>44917</v>
      </c>
      <c r="C603" s="1" t="n">
        <v>45837</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61931-2022</t>
        </is>
      </c>
      <c r="B604" s="1" t="n">
        <v>44917</v>
      </c>
      <c r="C604" s="1" t="n">
        <v>45837</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62520-2022</t>
        </is>
      </c>
      <c r="B605" s="1" t="n">
        <v>44924</v>
      </c>
      <c r="C605" s="1" t="n">
        <v>45837</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62528-2022</t>
        </is>
      </c>
      <c r="B606" s="1" t="n">
        <v>44924</v>
      </c>
      <c r="C606" s="1" t="n">
        <v>45837</v>
      </c>
      <c r="D606" t="inlineStr">
        <is>
          <t>JÄMTLANDS LÄN</t>
        </is>
      </c>
      <c r="E606" t="inlineStr">
        <is>
          <t>ÅRE</t>
        </is>
      </c>
      <c r="G606" t="n">
        <v>5.3</v>
      </c>
      <c r="H606" t="n">
        <v>0</v>
      </c>
      <c r="I606" t="n">
        <v>0</v>
      </c>
      <c r="J606" t="n">
        <v>0</v>
      </c>
      <c r="K606" t="n">
        <v>0</v>
      </c>
      <c r="L606" t="n">
        <v>0</v>
      </c>
      <c r="M606" t="n">
        <v>0</v>
      </c>
      <c r="N606" t="n">
        <v>0</v>
      </c>
      <c r="O606" t="n">
        <v>0</v>
      </c>
      <c r="P606" t="n">
        <v>0</v>
      </c>
      <c r="Q606" t="n">
        <v>0</v>
      </c>
      <c r="R606" s="2" t="inlineStr"/>
    </row>
    <row r="607" ht="15" customHeight="1">
      <c r="A607" t="inlineStr">
        <is>
          <t>A 62582-2022</t>
        </is>
      </c>
      <c r="B607" s="1" t="n">
        <v>44924</v>
      </c>
      <c r="C607" s="1" t="n">
        <v>45837</v>
      </c>
      <c r="D607" t="inlineStr">
        <is>
          <t>JÄMTLANDS LÄN</t>
        </is>
      </c>
      <c r="E607" t="inlineStr">
        <is>
          <t>ÅRE</t>
        </is>
      </c>
      <c r="F607" t="inlineStr">
        <is>
          <t>Övriga Aktiebolag</t>
        </is>
      </c>
      <c r="G607" t="n">
        <v>6.9</v>
      </c>
      <c r="H607" t="n">
        <v>0</v>
      </c>
      <c r="I607" t="n">
        <v>0</v>
      </c>
      <c r="J607" t="n">
        <v>0</v>
      </c>
      <c r="K607" t="n">
        <v>0</v>
      </c>
      <c r="L607" t="n">
        <v>0</v>
      </c>
      <c r="M607" t="n">
        <v>0</v>
      </c>
      <c r="N607" t="n">
        <v>0</v>
      </c>
      <c r="O607" t="n">
        <v>0</v>
      </c>
      <c r="P607" t="n">
        <v>0</v>
      </c>
      <c r="Q607" t="n">
        <v>0</v>
      </c>
      <c r="R607" s="2" t="inlineStr"/>
    </row>
    <row r="608" ht="15" customHeight="1">
      <c r="A608" t="inlineStr">
        <is>
          <t>A 34-2023</t>
        </is>
      </c>
      <c r="B608" s="1" t="n">
        <v>44928</v>
      </c>
      <c r="C608" s="1" t="n">
        <v>45837</v>
      </c>
      <c r="D608" t="inlineStr">
        <is>
          <t>JÄMTLANDS LÄN</t>
        </is>
      </c>
      <c r="E608" t="inlineStr">
        <is>
          <t>ÅRE</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278-2023</t>
        </is>
      </c>
      <c r="B609" s="1" t="n">
        <v>44928</v>
      </c>
      <c r="C609" s="1" t="n">
        <v>45837</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556-2023</t>
        </is>
      </c>
      <c r="B610" s="1" t="n">
        <v>44930</v>
      </c>
      <c r="C610" s="1" t="n">
        <v>45837</v>
      </c>
      <c r="D610" t="inlineStr">
        <is>
          <t>JÄMTLANDS LÄN</t>
        </is>
      </c>
      <c r="E610" t="inlineStr">
        <is>
          <t>ÅRE</t>
        </is>
      </c>
      <c r="G610" t="n">
        <v>14.9</v>
      </c>
      <c r="H610" t="n">
        <v>0</v>
      </c>
      <c r="I610" t="n">
        <v>0</v>
      </c>
      <c r="J610" t="n">
        <v>0</v>
      </c>
      <c r="K610" t="n">
        <v>0</v>
      </c>
      <c r="L610" t="n">
        <v>0</v>
      </c>
      <c r="M610" t="n">
        <v>0</v>
      </c>
      <c r="N610" t="n">
        <v>0</v>
      </c>
      <c r="O610" t="n">
        <v>0</v>
      </c>
      <c r="P610" t="n">
        <v>0</v>
      </c>
      <c r="Q610" t="n">
        <v>0</v>
      </c>
      <c r="R610" s="2" t="inlineStr"/>
    </row>
    <row r="611" ht="15" customHeight="1">
      <c r="A611" t="inlineStr">
        <is>
          <t>A 772-2023</t>
        </is>
      </c>
      <c r="B611" s="1" t="n">
        <v>44931</v>
      </c>
      <c r="C611" s="1" t="n">
        <v>45837</v>
      </c>
      <c r="D611" t="inlineStr">
        <is>
          <t>JÄMTLANDS LÄN</t>
        </is>
      </c>
      <c r="E611" t="inlineStr">
        <is>
          <t>ÅRE</t>
        </is>
      </c>
      <c r="F611" t="inlineStr">
        <is>
          <t>Övriga Aktiebolag</t>
        </is>
      </c>
      <c r="G611" t="n">
        <v>3.9</v>
      </c>
      <c r="H611" t="n">
        <v>0</v>
      </c>
      <c r="I611" t="n">
        <v>0</v>
      </c>
      <c r="J611" t="n">
        <v>0</v>
      </c>
      <c r="K611" t="n">
        <v>0</v>
      </c>
      <c r="L611" t="n">
        <v>0</v>
      </c>
      <c r="M611" t="n">
        <v>0</v>
      </c>
      <c r="N611" t="n">
        <v>0</v>
      </c>
      <c r="O611" t="n">
        <v>0</v>
      </c>
      <c r="P611" t="n">
        <v>0</v>
      </c>
      <c r="Q611" t="n">
        <v>0</v>
      </c>
      <c r="R611" s="2" t="inlineStr"/>
    </row>
    <row r="612" ht="15" customHeight="1">
      <c r="A612" t="inlineStr">
        <is>
          <t>A 844-2023</t>
        </is>
      </c>
      <c r="B612" s="1" t="n">
        <v>44931</v>
      </c>
      <c r="C612" s="1" t="n">
        <v>45837</v>
      </c>
      <c r="D612" t="inlineStr">
        <is>
          <t>JÄMTLANDS LÄN</t>
        </is>
      </c>
      <c r="E612" t="inlineStr">
        <is>
          <t>ÅRE</t>
        </is>
      </c>
      <c r="F612" t="inlineStr">
        <is>
          <t>Övriga Aktiebolag</t>
        </is>
      </c>
      <c r="G612" t="n">
        <v>2.5</v>
      </c>
      <c r="H612" t="n">
        <v>0</v>
      </c>
      <c r="I612" t="n">
        <v>0</v>
      </c>
      <c r="J612" t="n">
        <v>0</v>
      </c>
      <c r="K612" t="n">
        <v>0</v>
      </c>
      <c r="L612" t="n">
        <v>0</v>
      </c>
      <c r="M612" t="n">
        <v>0</v>
      </c>
      <c r="N612" t="n">
        <v>0</v>
      </c>
      <c r="O612" t="n">
        <v>0</v>
      </c>
      <c r="P612" t="n">
        <v>0</v>
      </c>
      <c r="Q612" t="n">
        <v>0</v>
      </c>
      <c r="R612" s="2" t="inlineStr"/>
    </row>
    <row r="613" ht="15" customHeight="1">
      <c r="A613" t="inlineStr">
        <is>
          <t>A 848-2023</t>
        </is>
      </c>
      <c r="B613" s="1" t="n">
        <v>44931</v>
      </c>
      <c r="C613" s="1" t="n">
        <v>45837</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796-2023</t>
        </is>
      </c>
      <c r="B614" s="1" t="n">
        <v>44931</v>
      </c>
      <c r="C614" s="1" t="n">
        <v>45837</v>
      </c>
      <c r="D614" t="inlineStr">
        <is>
          <t>JÄMTLANDS LÄN</t>
        </is>
      </c>
      <c r="E614" t="inlineStr">
        <is>
          <t>ÅRE</t>
        </is>
      </c>
      <c r="F614" t="inlineStr">
        <is>
          <t>Övriga Aktiebolag</t>
        </is>
      </c>
      <c r="G614" t="n">
        <v>13.8</v>
      </c>
      <c r="H614" t="n">
        <v>0</v>
      </c>
      <c r="I614" t="n">
        <v>0</v>
      </c>
      <c r="J614" t="n">
        <v>0</v>
      </c>
      <c r="K614" t="n">
        <v>0</v>
      </c>
      <c r="L614" t="n">
        <v>0</v>
      </c>
      <c r="M614" t="n">
        <v>0</v>
      </c>
      <c r="N614" t="n">
        <v>0</v>
      </c>
      <c r="O614" t="n">
        <v>0</v>
      </c>
      <c r="P614" t="n">
        <v>0</v>
      </c>
      <c r="Q614" t="n">
        <v>0</v>
      </c>
      <c r="R614" s="2" t="inlineStr"/>
    </row>
    <row r="615" ht="15" customHeight="1">
      <c r="A615" t="inlineStr">
        <is>
          <t>A 837-2023</t>
        </is>
      </c>
      <c r="B615" s="1" t="n">
        <v>44931</v>
      </c>
      <c r="C615" s="1" t="n">
        <v>45837</v>
      </c>
      <c r="D615" t="inlineStr">
        <is>
          <t>JÄMTLANDS LÄN</t>
        </is>
      </c>
      <c r="E615" t="inlineStr">
        <is>
          <t>ÅRE</t>
        </is>
      </c>
      <c r="F615" t="inlineStr">
        <is>
          <t>Övriga Aktiebolag</t>
        </is>
      </c>
      <c r="G615" t="n">
        <v>5.2</v>
      </c>
      <c r="H615" t="n">
        <v>0</v>
      </c>
      <c r="I615" t="n">
        <v>0</v>
      </c>
      <c r="J615" t="n">
        <v>0</v>
      </c>
      <c r="K615" t="n">
        <v>0</v>
      </c>
      <c r="L615" t="n">
        <v>0</v>
      </c>
      <c r="M615" t="n">
        <v>0</v>
      </c>
      <c r="N615" t="n">
        <v>0</v>
      </c>
      <c r="O615" t="n">
        <v>0</v>
      </c>
      <c r="P615" t="n">
        <v>0</v>
      </c>
      <c r="Q615" t="n">
        <v>0</v>
      </c>
      <c r="R615" s="2" t="inlineStr"/>
    </row>
    <row r="616" ht="15" customHeight="1">
      <c r="A616" t="inlineStr">
        <is>
          <t>A 1159-2023</t>
        </is>
      </c>
      <c r="B616" s="1" t="n">
        <v>44935</v>
      </c>
      <c r="C616" s="1" t="n">
        <v>45837</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1414-2023</t>
        </is>
      </c>
      <c r="B617" s="1" t="n">
        <v>44936</v>
      </c>
      <c r="C617" s="1" t="n">
        <v>45837</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1806-2023</t>
        </is>
      </c>
      <c r="B618" s="1" t="n">
        <v>44938</v>
      </c>
      <c r="C618" s="1" t="n">
        <v>45837</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2374-2023</t>
        </is>
      </c>
      <c r="B619" s="1" t="n">
        <v>44942</v>
      </c>
      <c r="C619" s="1" t="n">
        <v>45837</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2376-2023</t>
        </is>
      </c>
      <c r="B620" s="1" t="n">
        <v>44942</v>
      </c>
      <c r="C620" s="1" t="n">
        <v>45837</v>
      </c>
      <c r="D620" t="inlineStr">
        <is>
          <t>JÄMTLANDS LÄN</t>
        </is>
      </c>
      <c r="E620" t="inlineStr">
        <is>
          <t>ÅRE</t>
        </is>
      </c>
      <c r="G620" t="n">
        <v>0.1</v>
      </c>
      <c r="H620" t="n">
        <v>0</v>
      </c>
      <c r="I620" t="n">
        <v>0</v>
      </c>
      <c r="J620" t="n">
        <v>0</v>
      </c>
      <c r="K620" t="n">
        <v>0</v>
      </c>
      <c r="L620" t="n">
        <v>0</v>
      </c>
      <c r="M620" t="n">
        <v>0</v>
      </c>
      <c r="N620" t="n">
        <v>0</v>
      </c>
      <c r="O620" t="n">
        <v>0</v>
      </c>
      <c r="P620" t="n">
        <v>0</v>
      </c>
      <c r="Q620" t="n">
        <v>0</v>
      </c>
      <c r="R620" s="2" t="inlineStr"/>
    </row>
    <row r="621" ht="15" customHeight="1">
      <c r="A621" t="inlineStr">
        <is>
          <t>A 3149-2023</t>
        </is>
      </c>
      <c r="B621" s="1" t="n">
        <v>44946</v>
      </c>
      <c r="C621" s="1" t="n">
        <v>45837</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3066-2023</t>
        </is>
      </c>
      <c r="B622" s="1" t="n">
        <v>44946</v>
      </c>
      <c r="C622" s="1" t="n">
        <v>45837</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3147-2023</t>
        </is>
      </c>
      <c r="B623" s="1" t="n">
        <v>44946</v>
      </c>
      <c r="C623" s="1" t="n">
        <v>45837</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3154-2023</t>
        </is>
      </c>
      <c r="B624" s="1" t="n">
        <v>44946</v>
      </c>
      <c r="C624" s="1" t="n">
        <v>45837</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3196-2023</t>
        </is>
      </c>
      <c r="B625" s="1" t="n">
        <v>44946</v>
      </c>
      <c r="C625" s="1" t="n">
        <v>45837</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3204-2023</t>
        </is>
      </c>
      <c r="B626" s="1" t="n">
        <v>44946</v>
      </c>
      <c r="C626" s="1" t="n">
        <v>45837</v>
      </c>
      <c r="D626" t="inlineStr">
        <is>
          <t>JÄMTLANDS LÄN</t>
        </is>
      </c>
      <c r="E626" t="inlineStr">
        <is>
          <t>ÅRE</t>
        </is>
      </c>
      <c r="G626" t="n">
        <v>1.9</v>
      </c>
      <c r="H626" t="n">
        <v>0</v>
      </c>
      <c r="I626" t="n">
        <v>0</v>
      </c>
      <c r="J626" t="n">
        <v>0</v>
      </c>
      <c r="K626" t="n">
        <v>0</v>
      </c>
      <c r="L626" t="n">
        <v>0</v>
      </c>
      <c r="M626" t="n">
        <v>0</v>
      </c>
      <c r="N626" t="n">
        <v>0</v>
      </c>
      <c r="O626" t="n">
        <v>0</v>
      </c>
      <c r="P626" t="n">
        <v>0</v>
      </c>
      <c r="Q626" t="n">
        <v>0</v>
      </c>
      <c r="R626" s="2" t="inlineStr"/>
    </row>
    <row r="627" ht="15" customHeight="1">
      <c r="A627" t="inlineStr">
        <is>
          <t>A 3263-2023</t>
        </is>
      </c>
      <c r="B627" s="1" t="n">
        <v>44949</v>
      </c>
      <c r="C627" s="1" t="n">
        <v>45837</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5651-2023</t>
        </is>
      </c>
      <c r="B628" s="1" t="n">
        <v>44958</v>
      </c>
      <c r="C628" s="1" t="n">
        <v>45837</v>
      </c>
      <c r="D628" t="inlineStr">
        <is>
          <t>JÄMTLANDS LÄN</t>
        </is>
      </c>
      <c r="E628" t="inlineStr">
        <is>
          <t>ÅRE</t>
        </is>
      </c>
      <c r="G628" t="n">
        <v>5.7</v>
      </c>
      <c r="H628" t="n">
        <v>0</v>
      </c>
      <c r="I628" t="n">
        <v>0</v>
      </c>
      <c r="J628" t="n">
        <v>0</v>
      </c>
      <c r="K628" t="n">
        <v>0</v>
      </c>
      <c r="L628" t="n">
        <v>0</v>
      </c>
      <c r="M628" t="n">
        <v>0</v>
      </c>
      <c r="N628" t="n">
        <v>0</v>
      </c>
      <c r="O628" t="n">
        <v>0</v>
      </c>
      <c r="P628" t="n">
        <v>0</v>
      </c>
      <c r="Q628" t="n">
        <v>0</v>
      </c>
      <c r="R628" s="2" t="inlineStr"/>
    </row>
    <row r="629" ht="15" customHeight="1">
      <c r="A629" t="inlineStr">
        <is>
          <t>A 5654-2023</t>
        </is>
      </c>
      <c r="B629" s="1" t="n">
        <v>44958</v>
      </c>
      <c r="C629" s="1" t="n">
        <v>45837</v>
      </c>
      <c r="D629" t="inlineStr">
        <is>
          <t>JÄMTLANDS LÄN</t>
        </is>
      </c>
      <c r="E629" t="inlineStr">
        <is>
          <t>ÅRE</t>
        </is>
      </c>
      <c r="G629" t="n">
        <v>14.4</v>
      </c>
      <c r="H629" t="n">
        <v>0</v>
      </c>
      <c r="I629" t="n">
        <v>0</v>
      </c>
      <c r="J629" t="n">
        <v>0</v>
      </c>
      <c r="K629" t="n">
        <v>0</v>
      </c>
      <c r="L629" t="n">
        <v>0</v>
      </c>
      <c r="M629" t="n">
        <v>0</v>
      </c>
      <c r="N629" t="n">
        <v>0</v>
      </c>
      <c r="O629" t="n">
        <v>0</v>
      </c>
      <c r="P629" t="n">
        <v>0</v>
      </c>
      <c r="Q629" t="n">
        <v>0</v>
      </c>
      <c r="R629" s="2" t="inlineStr"/>
    </row>
    <row r="630" ht="15" customHeight="1">
      <c r="A630" t="inlineStr">
        <is>
          <t>A 5460-2023</t>
        </is>
      </c>
      <c r="B630" s="1" t="n">
        <v>44960</v>
      </c>
      <c r="C630" s="1" t="n">
        <v>45837</v>
      </c>
      <c r="D630" t="inlineStr">
        <is>
          <t>JÄMTLANDS LÄN</t>
        </is>
      </c>
      <c r="E630" t="inlineStr">
        <is>
          <t>ÅRE</t>
        </is>
      </c>
      <c r="G630" t="n">
        <v>9.4</v>
      </c>
      <c r="H630" t="n">
        <v>0</v>
      </c>
      <c r="I630" t="n">
        <v>0</v>
      </c>
      <c r="J630" t="n">
        <v>0</v>
      </c>
      <c r="K630" t="n">
        <v>0</v>
      </c>
      <c r="L630" t="n">
        <v>0</v>
      </c>
      <c r="M630" t="n">
        <v>0</v>
      </c>
      <c r="N630" t="n">
        <v>0</v>
      </c>
      <c r="O630" t="n">
        <v>0</v>
      </c>
      <c r="P630" t="n">
        <v>0</v>
      </c>
      <c r="Q630" t="n">
        <v>0</v>
      </c>
      <c r="R630" s="2" t="inlineStr"/>
    </row>
    <row r="631" ht="15" customHeight="1">
      <c r="A631" t="inlineStr">
        <is>
          <t>A 7573-2023</t>
        </is>
      </c>
      <c r="B631" s="1" t="n">
        <v>44967</v>
      </c>
      <c r="C631" s="1" t="n">
        <v>45837</v>
      </c>
      <c r="D631" t="inlineStr">
        <is>
          <t>JÄMTLANDS LÄN</t>
        </is>
      </c>
      <c r="E631" t="inlineStr">
        <is>
          <t>ÅRE</t>
        </is>
      </c>
      <c r="G631" t="n">
        <v>7</v>
      </c>
      <c r="H631" t="n">
        <v>0</v>
      </c>
      <c r="I631" t="n">
        <v>0</v>
      </c>
      <c r="J631" t="n">
        <v>0</v>
      </c>
      <c r="K631" t="n">
        <v>0</v>
      </c>
      <c r="L631" t="n">
        <v>0</v>
      </c>
      <c r="M631" t="n">
        <v>0</v>
      </c>
      <c r="N631" t="n">
        <v>0</v>
      </c>
      <c r="O631" t="n">
        <v>0</v>
      </c>
      <c r="P631" t="n">
        <v>0</v>
      </c>
      <c r="Q631" t="n">
        <v>0</v>
      </c>
      <c r="R631" s="2" t="inlineStr"/>
    </row>
    <row r="632" ht="15" customHeight="1">
      <c r="A632" t="inlineStr">
        <is>
          <t>A 7970-2023</t>
        </is>
      </c>
      <c r="B632" s="1" t="n">
        <v>44970</v>
      </c>
      <c r="C632" s="1" t="n">
        <v>45837</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7977-2023</t>
        </is>
      </c>
      <c r="B633" s="1" t="n">
        <v>44970</v>
      </c>
      <c r="C633" s="1" t="n">
        <v>45837</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8443-2023</t>
        </is>
      </c>
      <c r="B634" s="1" t="n">
        <v>44977</v>
      </c>
      <c r="C634" s="1" t="n">
        <v>45837</v>
      </c>
      <c r="D634" t="inlineStr">
        <is>
          <t>JÄMTLANDS LÄN</t>
        </is>
      </c>
      <c r="E634" t="inlineStr">
        <is>
          <t>ÅRE</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8630-2023</t>
        </is>
      </c>
      <c r="B635" s="1" t="n">
        <v>44977</v>
      </c>
      <c r="C635" s="1" t="n">
        <v>45837</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10248-2023</t>
        </is>
      </c>
      <c r="B636" s="1" t="n">
        <v>44980</v>
      </c>
      <c r="C636" s="1" t="n">
        <v>45837</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9775-2023</t>
        </is>
      </c>
      <c r="B637" s="1" t="n">
        <v>44984</v>
      </c>
      <c r="C637" s="1" t="n">
        <v>45837</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11813-2023</t>
        </is>
      </c>
      <c r="B638" s="1" t="n">
        <v>44994</v>
      </c>
      <c r="C638" s="1" t="n">
        <v>45837</v>
      </c>
      <c r="D638" t="inlineStr">
        <is>
          <t>JÄMTLANDS LÄN</t>
        </is>
      </c>
      <c r="E638" t="inlineStr">
        <is>
          <t>ÅRE</t>
        </is>
      </c>
      <c r="F638" t="inlineStr">
        <is>
          <t>Kommuner</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12224-2023</t>
        </is>
      </c>
      <c r="B639" s="1" t="n">
        <v>44998</v>
      </c>
      <c r="C639" s="1" t="n">
        <v>45837</v>
      </c>
      <c r="D639" t="inlineStr">
        <is>
          <t>JÄMTLANDS LÄN</t>
        </is>
      </c>
      <c r="E639" t="inlineStr">
        <is>
          <t>ÅRE</t>
        </is>
      </c>
      <c r="G639" t="n">
        <v>3.2</v>
      </c>
      <c r="H639" t="n">
        <v>0</v>
      </c>
      <c r="I639" t="n">
        <v>0</v>
      </c>
      <c r="J639" t="n">
        <v>0</v>
      </c>
      <c r="K639" t="n">
        <v>0</v>
      </c>
      <c r="L639" t="n">
        <v>0</v>
      </c>
      <c r="M639" t="n">
        <v>0</v>
      </c>
      <c r="N639" t="n">
        <v>0</v>
      </c>
      <c r="O639" t="n">
        <v>0</v>
      </c>
      <c r="P639" t="n">
        <v>0</v>
      </c>
      <c r="Q639" t="n">
        <v>0</v>
      </c>
      <c r="R639" s="2" t="inlineStr"/>
    </row>
    <row r="640" ht="15" customHeight="1">
      <c r="A640" t="inlineStr">
        <is>
          <t>A 12286-2023</t>
        </is>
      </c>
      <c r="B640" s="1" t="n">
        <v>44998</v>
      </c>
      <c r="C640" s="1" t="n">
        <v>45837</v>
      </c>
      <c r="D640" t="inlineStr">
        <is>
          <t>JÄMTLANDS LÄN</t>
        </is>
      </c>
      <c r="E640" t="inlineStr">
        <is>
          <t>ÅRE</t>
        </is>
      </c>
      <c r="G640" t="n">
        <v>7.3</v>
      </c>
      <c r="H640" t="n">
        <v>0</v>
      </c>
      <c r="I640" t="n">
        <v>0</v>
      </c>
      <c r="J640" t="n">
        <v>0</v>
      </c>
      <c r="K640" t="n">
        <v>0</v>
      </c>
      <c r="L640" t="n">
        <v>0</v>
      </c>
      <c r="M640" t="n">
        <v>0</v>
      </c>
      <c r="N640" t="n">
        <v>0</v>
      </c>
      <c r="O640" t="n">
        <v>0</v>
      </c>
      <c r="P640" t="n">
        <v>0</v>
      </c>
      <c r="Q640" t="n">
        <v>0</v>
      </c>
      <c r="R640" s="2" t="inlineStr"/>
    </row>
    <row r="641" ht="15" customHeight="1">
      <c r="A641" t="inlineStr">
        <is>
          <t>A 12290-2023</t>
        </is>
      </c>
      <c r="B641" s="1" t="n">
        <v>44998</v>
      </c>
      <c r="C641" s="1" t="n">
        <v>45837</v>
      </c>
      <c r="D641" t="inlineStr">
        <is>
          <t>JÄMTLANDS LÄN</t>
        </is>
      </c>
      <c r="E641" t="inlineStr">
        <is>
          <t>ÅRE</t>
        </is>
      </c>
      <c r="G641" t="n">
        <v>2.8</v>
      </c>
      <c r="H641" t="n">
        <v>0</v>
      </c>
      <c r="I641" t="n">
        <v>0</v>
      </c>
      <c r="J641" t="n">
        <v>0</v>
      </c>
      <c r="K641" t="n">
        <v>0</v>
      </c>
      <c r="L641" t="n">
        <v>0</v>
      </c>
      <c r="M641" t="n">
        <v>0</v>
      </c>
      <c r="N641" t="n">
        <v>0</v>
      </c>
      <c r="O641" t="n">
        <v>0</v>
      </c>
      <c r="P641" t="n">
        <v>0</v>
      </c>
      <c r="Q641" t="n">
        <v>0</v>
      </c>
      <c r="R641" s="2" t="inlineStr"/>
    </row>
    <row r="642" ht="15" customHeight="1">
      <c r="A642" t="inlineStr">
        <is>
          <t>A 12168-2023</t>
        </is>
      </c>
      <c r="B642" s="1" t="n">
        <v>44998</v>
      </c>
      <c r="C642" s="1" t="n">
        <v>45837</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12173-2023</t>
        </is>
      </c>
      <c r="B643" s="1" t="n">
        <v>44998</v>
      </c>
      <c r="C643" s="1" t="n">
        <v>45837</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12182-2023</t>
        </is>
      </c>
      <c r="B644" s="1" t="n">
        <v>44998</v>
      </c>
      <c r="C644" s="1" t="n">
        <v>45837</v>
      </c>
      <c r="D644" t="inlineStr">
        <is>
          <t>JÄMTLANDS LÄN</t>
        </is>
      </c>
      <c r="E644" t="inlineStr">
        <is>
          <t>ÅRE</t>
        </is>
      </c>
      <c r="G644" t="n">
        <v>11.7</v>
      </c>
      <c r="H644" t="n">
        <v>0</v>
      </c>
      <c r="I644" t="n">
        <v>0</v>
      </c>
      <c r="J644" t="n">
        <v>0</v>
      </c>
      <c r="K644" t="n">
        <v>0</v>
      </c>
      <c r="L644" t="n">
        <v>0</v>
      </c>
      <c r="M644" t="n">
        <v>0</v>
      </c>
      <c r="N644" t="n">
        <v>0</v>
      </c>
      <c r="O644" t="n">
        <v>0</v>
      </c>
      <c r="P644" t="n">
        <v>0</v>
      </c>
      <c r="Q644" t="n">
        <v>0</v>
      </c>
      <c r="R644" s="2" t="inlineStr"/>
    </row>
    <row r="645" ht="15" customHeight="1">
      <c r="A645" t="inlineStr">
        <is>
          <t>A 12216-2023</t>
        </is>
      </c>
      <c r="B645" s="1" t="n">
        <v>44998</v>
      </c>
      <c r="C645" s="1" t="n">
        <v>45837</v>
      </c>
      <c r="D645" t="inlineStr">
        <is>
          <t>JÄMTLANDS LÄN</t>
        </is>
      </c>
      <c r="E645" t="inlineStr">
        <is>
          <t>ÅRE</t>
        </is>
      </c>
      <c r="G645" t="n">
        <v>11.8</v>
      </c>
      <c r="H645" t="n">
        <v>0</v>
      </c>
      <c r="I645" t="n">
        <v>0</v>
      </c>
      <c r="J645" t="n">
        <v>0</v>
      </c>
      <c r="K645" t="n">
        <v>0</v>
      </c>
      <c r="L645" t="n">
        <v>0</v>
      </c>
      <c r="M645" t="n">
        <v>0</v>
      </c>
      <c r="N645" t="n">
        <v>0</v>
      </c>
      <c r="O645" t="n">
        <v>0</v>
      </c>
      <c r="P645" t="n">
        <v>0</v>
      </c>
      <c r="Q645" t="n">
        <v>0</v>
      </c>
      <c r="R645" s="2" t="inlineStr"/>
    </row>
    <row r="646" ht="15" customHeight="1">
      <c r="A646" t="inlineStr">
        <is>
          <t>A 12227-2023</t>
        </is>
      </c>
      <c r="B646" s="1" t="n">
        <v>44998</v>
      </c>
      <c r="C646" s="1" t="n">
        <v>45837</v>
      </c>
      <c r="D646" t="inlineStr">
        <is>
          <t>JÄMTLANDS LÄN</t>
        </is>
      </c>
      <c r="E646" t="inlineStr">
        <is>
          <t>ÅRE</t>
        </is>
      </c>
      <c r="G646" t="n">
        <v>2.9</v>
      </c>
      <c r="H646" t="n">
        <v>0</v>
      </c>
      <c r="I646" t="n">
        <v>0</v>
      </c>
      <c r="J646" t="n">
        <v>0</v>
      </c>
      <c r="K646" t="n">
        <v>0</v>
      </c>
      <c r="L646" t="n">
        <v>0</v>
      </c>
      <c r="M646" t="n">
        <v>0</v>
      </c>
      <c r="N646" t="n">
        <v>0</v>
      </c>
      <c r="O646" t="n">
        <v>0</v>
      </c>
      <c r="P646" t="n">
        <v>0</v>
      </c>
      <c r="Q646" t="n">
        <v>0</v>
      </c>
      <c r="R646" s="2" t="inlineStr"/>
    </row>
    <row r="647" ht="15" customHeight="1">
      <c r="A647" t="inlineStr">
        <is>
          <t>A 12288-2023</t>
        </is>
      </c>
      <c r="B647" s="1" t="n">
        <v>44998</v>
      </c>
      <c r="C647" s="1" t="n">
        <v>45837</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12292-2023</t>
        </is>
      </c>
      <c r="B648" s="1" t="n">
        <v>44998</v>
      </c>
      <c r="C648" s="1" t="n">
        <v>45837</v>
      </c>
      <c r="D648" t="inlineStr">
        <is>
          <t>JÄMTLANDS LÄN</t>
        </is>
      </c>
      <c r="E648" t="inlineStr">
        <is>
          <t>ÅRE</t>
        </is>
      </c>
      <c r="G648" t="n">
        <v>3.5</v>
      </c>
      <c r="H648" t="n">
        <v>0</v>
      </c>
      <c r="I648" t="n">
        <v>0</v>
      </c>
      <c r="J648" t="n">
        <v>0</v>
      </c>
      <c r="K648" t="n">
        <v>0</v>
      </c>
      <c r="L648" t="n">
        <v>0</v>
      </c>
      <c r="M648" t="n">
        <v>0</v>
      </c>
      <c r="N648" t="n">
        <v>0</v>
      </c>
      <c r="O648" t="n">
        <v>0</v>
      </c>
      <c r="P648" t="n">
        <v>0</v>
      </c>
      <c r="Q648" t="n">
        <v>0</v>
      </c>
      <c r="R648" s="2" t="inlineStr"/>
    </row>
    <row r="649" ht="15" customHeight="1">
      <c r="A649" t="inlineStr">
        <is>
          <t>A 12193-2023</t>
        </is>
      </c>
      <c r="B649" s="1" t="n">
        <v>44998</v>
      </c>
      <c r="C649" s="1" t="n">
        <v>45837</v>
      </c>
      <c r="D649" t="inlineStr">
        <is>
          <t>JÄMTLANDS LÄN</t>
        </is>
      </c>
      <c r="E649" t="inlineStr">
        <is>
          <t>ÅRE</t>
        </is>
      </c>
      <c r="G649" t="n">
        <v>14.7</v>
      </c>
      <c r="H649" t="n">
        <v>0</v>
      </c>
      <c r="I649" t="n">
        <v>0</v>
      </c>
      <c r="J649" t="n">
        <v>0</v>
      </c>
      <c r="K649" t="n">
        <v>0</v>
      </c>
      <c r="L649" t="n">
        <v>0</v>
      </c>
      <c r="M649" t="n">
        <v>0</v>
      </c>
      <c r="N649" t="n">
        <v>0</v>
      </c>
      <c r="O649" t="n">
        <v>0</v>
      </c>
      <c r="P649" t="n">
        <v>0</v>
      </c>
      <c r="Q649" t="n">
        <v>0</v>
      </c>
      <c r="R649" s="2" t="inlineStr"/>
    </row>
    <row r="650" ht="15" customHeight="1">
      <c r="A650" t="inlineStr">
        <is>
          <t>A 12287-2023</t>
        </is>
      </c>
      <c r="B650" s="1" t="n">
        <v>44998</v>
      </c>
      <c r="C650" s="1" t="n">
        <v>45837</v>
      </c>
      <c r="D650" t="inlineStr">
        <is>
          <t>JÄMTLANDS LÄN</t>
        </is>
      </c>
      <c r="E650" t="inlineStr">
        <is>
          <t>ÅRE</t>
        </is>
      </c>
      <c r="G650" t="n">
        <v>3.1</v>
      </c>
      <c r="H650" t="n">
        <v>0</v>
      </c>
      <c r="I650" t="n">
        <v>0</v>
      </c>
      <c r="J650" t="n">
        <v>0</v>
      </c>
      <c r="K650" t="n">
        <v>0</v>
      </c>
      <c r="L650" t="n">
        <v>0</v>
      </c>
      <c r="M650" t="n">
        <v>0</v>
      </c>
      <c r="N650" t="n">
        <v>0</v>
      </c>
      <c r="O650" t="n">
        <v>0</v>
      </c>
      <c r="P650" t="n">
        <v>0</v>
      </c>
      <c r="Q650" t="n">
        <v>0</v>
      </c>
      <c r="R650" s="2" t="inlineStr"/>
    </row>
    <row r="651" ht="15" customHeight="1">
      <c r="A651" t="inlineStr">
        <is>
          <t>A 12291-2023</t>
        </is>
      </c>
      <c r="B651" s="1" t="n">
        <v>44998</v>
      </c>
      <c r="C651" s="1" t="n">
        <v>45837</v>
      </c>
      <c r="D651" t="inlineStr">
        <is>
          <t>JÄMTLANDS LÄN</t>
        </is>
      </c>
      <c r="E651" t="inlineStr">
        <is>
          <t>ÅRE</t>
        </is>
      </c>
      <c r="G651" t="n">
        <v>6</v>
      </c>
      <c r="H651" t="n">
        <v>0</v>
      </c>
      <c r="I651" t="n">
        <v>0</v>
      </c>
      <c r="J651" t="n">
        <v>0</v>
      </c>
      <c r="K651" t="n">
        <v>0</v>
      </c>
      <c r="L651" t="n">
        <v>0</v>
      </c>
      <c r="M651" t="n">
        <v>0</v>
      </c>
      <c r="N651" t="n">
        <v>0</v>
      </c>
      <c r="O651" t="n">
        <v>0</v>
      </c>
      <c r="P651" t="n">
        <v>0</v>
      </c>
      <c r="Q651" t="n">
        <v>0</v>
      </c>
      <c r="R651" s="2" t="inlineStr"/>
    </row>
    <row r="652" ht="15" customHeight="1">
      <c r="A652" t="inlineStr">
        <is>
          <t>A 12179-2023</t>
        </is>
      </c>
      <c r="B652" s="1" t="n">
        <v>44998</v>
      </c>
      <c r="C652" s="1" t="n">
        <v>45837</v>
      </c>
      <c r="D652" t="inlineStr">
        <is>
          <t>JÄMTLANDS LÄN</t>
        </is>
      </c>
      <c r="E652" t="inlineStr">
        <is>
          <t>ÅRE</t>
        </is>
      </c>
      <c r="G652" t="n">
        <v>8.5</v>
      </c>
      <c r="H652" t="n">
        <v>0</v>
      </c>
      <c r="I652" t="n">
        <v>0</v>
      </c>
      <c r="J652" t="n">
        <v>0</v>
      </c>
      <c r="K652" t="n">
        <v>0</v>
      </c>
      <c r="L652" t="n">
        <v>0</v>
      </c>
      <c r="M652" t="n">
        <v>0</v>
      </c>
      <c r="N652" t="n">
        <v>0</v>
      </c>
      <c r="O652" t="n">
        <v>0</v>
      </c>
      <c r="P652" t="n">
        <v>0</v>
      </c>
      <c r="Q652" t="n">
        <v>0</v>
      </c>
      <c r="R652" s="2" t="inlineStr"/>
    </row>
    <row r="653" ht="15" customHeight="1">
      <c r="A653" t="inlineStr">
        <is>
          <t>A 12294-2023</t>
        </is>
      </c>
      <c r="B653" s="1" t="n">
        <v>44998</v>
      </c>
      <c r="C653" s="1" t="n">
        <v>45837</v>
      </c>
      <c r="D653" t="inlineStr">
        <is>
          <t>JÄMTLANDS LÄN</t>
        </is>
      </c>
      <c r="E653" t="inlineStr">
        <is>
          <t>ÅRE</t>
        </is>
      </c>
      <c r="G653" t="n">
        <v>1.4</v>
      </c>
      <c r="H653" t="n">
        <v>0</v>
      </c>
      <c r="I653" t="n">
        <v>0</v>
      </c>
      <c r="J653" t="n">
        <v>0</v>
      </c>
      <c r="K653" t="n">
        <v>0</v>
      </c>
      <c r="L653" t="n">
        <v>0</v>
      </c>
      <c r="M653" t="n">
        <v>0</v>
      </c>
      <c r="N653" t="n">
        <v>0</v>
      </c>
      <c r="O653" t="n">
        <v>0</v>
      </c>
      <c r="P653" t="n">
        <v>0</v>
      </c>
      <c r="Q653" t="n">
        <v>0</v>
      </c>
      <c r="R653" s="2" t="inlineStr"/>
    </row>
    <row r="654" ht="15" customHeight="1">
      <c r="A654" t="inlineStr">
        <is>
          <t>A 12663-2023</t>
        </is>
      </c>
      <c r="B654" s="1" t="n">
        <v>45000</v>
      </c>
      <c r="C654" s="1" t="n">
        <v>45837</v>
      </c>
      <c r="D654" t="inlineStr">
        <is>
          <t>JÄMTLANDS LÄN</t>
        </is>
      </c>
      <c r="E654" t="inlineStr">
        <is>
          <t>ÅRE</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12669-2023</t>
        </is>
      </c>
      <c r="B655" s="1" t="n">
        <v>45000</v>
      </c>
      <c r="C655" s="1" t="n">
        <v>45837</v>
      </c>
      <c r="D655" t="inlineStr">
        <is>
          <t>JÄMTLANDS LÄN</t>
        </is>
      </c>
      <c r="E655" t="inlineStr">
        <is>
          <t>ÅRE</t>
        </is>
      </c>
      <c r="F655" t="inlineStr">
        <is>
          <t>Övriga Aktiebolag</t>
        </is>
      </c>
      <c r="G655" t="n">
        <v>2.8</v>
      </c>
      <c r="H655" t="n">
        <v>0</v>
      </c>
      <c r="I655" t="n">
        <v>0</v>
      </c>
      <c r="J655" t="n">
        <v>0</v>
      </c>
      <c r="K655" t="n">
        <v>0</v>
      </c>
      <c r="L655" t="n">
        <v>0</v>
      </c>
      <c r="M655" t="n">
        <v>0</v>
      </c>
      <c r="N655" t="n">
        <v>0</v>
      </c>
      <c r="O655" t="n">
        <v>0</v>
      </c>
      <c r="P655" t="n">
        <v>0</v>
      </c>
      <c r="Q655" t="n">
        <v>0</v>
      </c>
      <c r="R655" s="2" t="inlineStr"/>
    </row>
    <row r="656" ht="15" customHeight="1">
      <c r="A656" t="inlineStr">
        <is>
          <t>A 12816-2023</t>
        </is>
      </c>
      <c r="B656" s="1" t="n">
        <v>45000</v>
      </c>
      <c r="C656" s="1" t="n">
        <v>45837</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13648-2023</t>
        </is>
      </c>
      <c r="B657" s="1" t="n">
        <v>45006</v>
      </c>
      <c r="C657" s="1" t="n">
        <v>45837</v>
      </c>
      <c r="D657" t="inlineStr">
        <is>
          <t>JÄMTLANDS LÄN</t>
        </is>
      </c>
      <c r="E657" t="inlineStr">
        <is>
          <t>ÅRE</t>
        </is>
      </c>
      <c r="F657" t="inlineStr">
        <is>
          <t>Övriga Aktiebolag</t>
        </is>
      </c>
      <c r="G657" t="n">
        <v>5.1</v>
      </c>
      <c r="H657" t="n">
        <v>0</v>
      </c>
      <c r="I657" t="n">
        <v>0</v>
      </c>
      <c r="J657" t="n">
        <v>0</v>
      </c>
      <c r="K657" t="n">
        <v>0</v>
      </c>
      <c r="L657" t="n">
        <v>0</v>
      </c>
      <c r="M657" t="n">
        <v>0</v>
      </c>
      <c r="N657" t="n">
        <v>0</v>
      </c>
      <c r="O657" t="n">
        <v>0</v>
      </c>
      <c r="P657" t="n">
        <v>0</v>
      </c>
      <c r="Q657" t="n">
        <v>0</v>
      </c>
      <c r="R657" s="2" t="inlineStr"/>
    </row>
    <row r="658" ht="15" customHeight="1">
      <c r="A658" t="inlineStr">
        <is>
          <t>A 13631-2023</t>
        </is>
      </c>
      <c r="B658" s="1" t="n">
        <v>45006</v>
      </c>
      <c r="C658" s="1" t="n">
        <v>45837</v>
      </c>
      <c r="D658" t="inlineStr">
        <is>
          <t>JÄMTLANDS LÄN</t>
        </is>
      </c>
      <c r="E658" t="inlineStr">
        <is>
          <t>ÅRE</t>
        </is>
      </c>
      <c r="G658" t="n">
        <v>2</v>
      </c>
      <c r="H658" t="n">
        <v>0</v>
      </c>
      <c r="I658" t="n">
        <v>0</v>
      </c>
      <c r="J658" t="n">
        <v>0</v>
      </c>
      <c r="K658" t="n">
        <v>0</v>
      </c>
      <c r="L658" t="n">
        <v>0</v>
      </c>
      <c r="M658" t="n">
        <v>0</v>
      </c>
      <c r="N658" t="n">
        <v>0</v>
      </c>
      <c r="O658" t="n">
        <v>0</v>
      </c>
      <c r="P658" t="n">
        <v>0</v>
      </c>
      <c r="Q658" t="n">
        <v>0</v>
      </c>
      <c r="R658" s="2" t="inlineStr"/>
    </row>
    <row r="659" ht="15" customHeight="1">
      <c r="A659" t="inlineStr">
        <is>
          <t>A 13645-2023</t>
        </is>
      </c>
      <c r="B659" s="1" t="n">
        <v>45006</v>
      </c>
      <c r="C659" s="1" t="n">
        <v>45837</v>
      </c>
      <c r="D659" t="inlineStr">
        <is>
          <t>JÄMTLANDS LÄN</t>
        </is>
      </c>
      <c r="E659" t="inlineStr">
        <is>
          <t>ÅRE</t>
        </is>
      </c>
      <c r="G659" t="n">
        <v>5</v>
      </c>
      <c r="H659" t="n">
        <v>0</v>
      </c>
      <c r="I659" t="n">
        <v>0</v>
      </c>
      <c r="J659" t="n">
        <v>0</v>
      </c>
      <c r="K659" t="n">
        <v>0</v>
      </c>
      <c r="L659" t="n">
        <v>0</v>
      </c>
      <c r="M659" t="n">
        <v>0</v>
      </c>
      <c r="N659" t="n">
        <v>0</v>
      </c>
      <c r="O659" t="n">
        <v>0</v>
      </c>
      <c r="P659" t="n">
        <v>0</v>
      </c>
      <c r="Q659" t="n">
        <v>0</v>
      </c>
      <c r="R659" s="2" t="inlineStr"/>
    </row>
    <row r="660" ht="15" customHeight="1">
      <c r="A660" t="inlineStr">
        <is>
          <t>A 15884-2023</t>
        </is>
      </c>
      <c r="B660" s="1" t="n">
        <v>45022</v>
      </c>
      <c r="C660" s="1" t="n">
        <v>45837</v>
      </c>
      <c r="D660" t="inlineStr">
        <is>
          <t>JÄMTLANDS LÄN</t>
        </is>
      </c>
      <c r="E660" t="inlineStr">
        <is>
          <t>ÅRE</t>
        </is>
      </c>
      <c r="G660" t="n">
        <v>1.5</v>
      </c>
      <c r="H660" t="n">
        <v>0</v>
      </c>
      <c r="I660" t="n">
        <v>0</v>
      </c>
      <c r="J660" t="n">
        <v>0</v>
      </c>
      <c r="K660" t="n">
        <v>0</v>
      </c>
      <c r="L660" t="n">
        <v>0</v>
      </c>
      <c r="M660" t="n">
        <v>0</v>
      </c>
      <c r="N660" t="n">
        <v>0</v>
      </c>
      <c r="O660" t="n">
        <v>0</v>
      </c>
      <c r="P660" t="n">
        <v>0</v>
      </c>
      <c r="Q660" t="n">
        <v>0</v>
      </c>
      <c r="R660" s="2" t="inlineStr"/>
    </row>
    <row r="661" ht="15" customHeight="1">
      <c r="A661" t="inlineStr">
        <is>
          <t>A 15892-2023</t>
        </is>
      </c>
      <c r="B661" s="1" t="n">
        <v>45022</v>
      </c>
      <c r="C661" s="1" t="n">
        <v>45837</v>
      </c>
      <c r="D661" t="inlineStr">
        <is>
          <t>JÄMTLANDS LÄN</t>
        </is>
      </c>
      <c r="E661" t="inlineStr">
        <is>
          <t>ÅRE</t>
        </is>
      </c>
      <c r="G661" t="n">
        <v>16.1</v>
      </c>
      <c r="H661" t="n">
        <v>0</v>
      </c>
      <c r="I661" t="n">
        <v>0</v>
      </c>
      <c r="J661" t="n">
        <v>0</v>
      </c>
      <c r="K661" t="n">
        <v>0</v>
      </c>
      <c r="L661" t="n">
        <v>0</v>
      </c>
      <c r="M661" t="n">
        <v>0</v>
      </c>
      <c r="N661" t="n">
        <v>0</v>
      </c>
      <c r="O661" t="n">
        <v>0</v>
      </c>
      <c r="P661" t="n">
        <v>0</v>
      </c>
      <c r="Q661" t="n">
        <v>0</v>
      </c>
      <c r="R661" s="2" t="inlineStr"/>
    </row>
    <row r="662" ht="15" customHeight="1">
      <c r="A662" t="inlineStr">
        <is>
          <t>A 17566-2023</t>
        </is>
      </c>
      <c r="B662" s="1" t="n">
        <v>45034</v>
      </c>
      <c r="C662" s="1" t="n">
        <v>45837</v>
      </c>
      <c r="D662" t="inlineStr">
        <is>
          <t>JÄMTLANDS LÄN</t>
        </is>
      </c>
      <c r="E662" t="inlineStr">
        <is>
          <t>ÅRE</t>
        </is>
      </c>
      <c r="G662" t="n">
        <v>4.8</v>
      </c>
      <c r="H662" t="n">
        <v>0</v>
      </c>
      <c r="I662" t="n">
        <v>0</v>
      </c>
      <c r="J662" t="n">
        <v>0</v>
      </c>
      <c r="K662" t="n">
        <v>0</v>
      </c>
      <c r="L662" t="n">
        <v>0</v>
      </c>
      <c r="M662" t="n">
        <v>0</v>
      </c>
      <c r="N662" t="n">
        <v>0</v>
      </c>
      <c r="O662" t="n">
        <v>0</v>
      </c>
      <c r="P662" t="n">
        <v>0</v>
      </c>
      <c r="Q662" t="n">
        <v>0</v>
      </c>
      <c r="R662" s="2" t="inlineStr"/>
    </row>
    <row r="663" ht="15" customHeight="1">
      <c r="A663" t="inlineStr">
        <is>
          <t>A 17636-2023</t>
        </is>
      </c>
      <c r="B663" s="1" t="n">
        <v>45036</v>
      </c>
      <c r="C663" s="1" t="n">
        <v>45837</v>
      </c>
      <c r="D663" t="inlineStr">
        <is>
          <t>JÄMTLANDS LÄN</t>
        </is>
      </c>
      <c r="E663" t="inlineStr">
        <is>
          <t>ÅRE</t>
        </is>
      </c>
      <c r="G663" t="n">
        <v>2.5</v>
      </c>
      <c r="H663" t="n">
        <v>0</v>
      </c>
      <c r="I663" t="n">
        <v>0</v>
      </c>
      <c r="J663" t="n">
        <v>0</v>
      </c>
      <c r="K663" t="n">
        <v>0</v>
      </c>
      <c r="L663" t="n">
        <v>0</v>
      </c>
      <c r="M663" t="n">
        <v>0</v>
      </c>
      <c r="N663" t="n">
        <v>0</v>
      </c>
      <c r="O663" t="n">
        <v>0</v>
      </c>
      <c r="P663" t="n">
        <v>0</v>
      </c>
      <c r="Q663" t="n">
        <v>0</v>
      </c>
      <c r="R663" s="2" t="inlineStr"/>
    </row>
    <row r="664" ht="15" customHeight="1">
      <c r="A664" t="inlineStr">
        <is>
          <t>A 17703-2023</t>
        </is>
      </c>
      <c r="B664" s="1" t="n">
        <v>45037</v>
      </c>
      <c r="C664" s="1" t="n">
        <v>45837</v>
      </c>
      <c r="D664" t="inlineStr">
        <is>
          <t>JÄMTLANDS LÄN</t>
        </is>
      </c>
      <c r="E664" t="inlineStr">
        <is>
          <t>ÅRE</t>
        </is>
      </c>
      <c r="F664" t="inlineStr">
        <is>
          <t>Övriga Aktiebolag</t>
        </is>
      </c>
      <c r="G664" t="n">
        <v>4</v>
      </c>
      <c r="H664" t="n">
        <v>0</v>
      </c>
      <c r="I664" t="n">
        <v>0</v>
      </c>
      <c r="J664" t="n">
        <v>0</v>
      </c>
      <c r="K664" t="n">
        <v>0</v>
      </c>
      <c r="L664" t="n">
        <v>0</v>
      </c>
      <c r="M664" t="n">
        <v>0</v>
      </c>
      <c r="N664" t="n">
        <v>0</v>
      </c>
      <c r="O664" t="n">
        <v>0</v>
      </c>
      <c r="P664" t="n">
        <v>0</v>
      </c>
      <c r="Q664" t="n">
        <v>0</v>
      </c>
      <c r="R664" s="2" t="inlineStr"/>
    </row>
    <row r="665" ht="15" customHeight="1">
      <c r="A665" t="inlineStr">
        <is>
          <t>A 17847-2023</t>
        </is>
      </c>
      <c r="B665" s="1" t="n">
        <v>45037</v>
      </c>
      <c r="C665" s="1" t="n">
        <v>45837</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18204-2023</t>
        </is>
      </c>
      <c r="B666" s="1" t="n">
        <v>45040</v>
      </c>
      <c r="C666" s="1" t="n">
        <v>45837</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18253-2023</t>
        </is>
      </c>
      <c r="B667" s="1" t="n">
        <v>45041</v>
      </c>
      <c r="C667" s="1" t="n">
        <v>45837</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18264-2023</t>
        </is>
      </c>
      <c r="B668" s="1" t="n">
        <v>45041</v>
      </c>
      <c r="C668" s="1" t="n">
        <v>45837</v>
      </c>
      <c r="D668" t="inlineStr">
        <is>
          <t>JÄMTLANDS LÄN</t>
        </is>
      </c>
      <c r="E668" t="inlineStr">
        <is>
          <t>ÅRE</t>
        </is>
      </c>
      <c r="G668" t="n">
        <v>0.2</v>
      </c>
      <c r="H668" t="n">
        <v>0</v>
      </c>
      <c r="I668" t="n">
        <v>0</v>
      </c>
      <c r="J668" t="n">
        <v>0</v>
      </c>
      <c r="K668" t="n">
        <v>0</v>
      </c>
      <c r="L668" t="n">
        <v>0</v>
      </c>
      <c r="M668" t="n">
        <v>0</v>
      </c>
      <c r="N668" t="n">
        <v>0</v>
      </c>
      <c r="O668" t="n">
        <v>0</v>
      </c>
      <c r="P668" t="n">
        <v>0</v>
      </c>
      <c r="Q668" t="n">
        <v>0</v>
      </c>
      <c r="R668" s="2" t="inlineStr"/>
    </row>
    <row r="669" ht="15" customHeight="1">
      <c r="A669" t="inlineStr">
        <is>
          <t>A 19694-2023</t>
        </is>
      </c>
      <c r="B669" s="1" t="n">
        <v>45051</v>
      </c>
      <c r="C669" s="1" t="n">
        <v>45837</v>
      </c>
      <c r="D669" t="inlineStr">
        <is>
          <t>JÄMTLANDS LÄN</t>
        </is>
      </c>
      <c r="E669" t="inlineStr">
        <is>
          <t>ÅRE</t>
        </is>
      </c>
      <c r="G669" t="n">
        <v>5.7</v>
      </c>
      <c r="H669" t="n">
        <v>0</v>
      </c>
      <c r="I669" t="n">
        <v>0</v>
      </c>
      <c r="J669" t="n">
        <v>0</v>
      </c>
      <c r="K669" t="n">
        <v>0</v>
      </c>
      <c r="L669" t="n">
        <v>0</v>
      </c>
      <c r="M669" t="n">
        <v>0</v>
      </c>
      <c r="N669" t="n">
        <v>0</v>
      </c>
      <c r="O669" t="n">
        <v>0</v>
      </c>
      <c r="P669" t="n">
        <v>0</v>
      </c>
      <c r="Q669" t="n">
        <v>0</v>
      </c>
      <c r="R669" s="2" t="inlineStr"/>
    </row>
    <row r="670" ht="15" customHeight="1">
      <c r="A670" t="inlineStr">
        <is>
          <t>A 19698-2023</t>
        </is>
      </c>
      <c r="B670" s="1" t="n">
        <v>45051</v>
      </c>
      <c r="C670" s="1" t="n">
        <v>45837</v>
      </c>
      <c r="D670" t="inlineStr">
        <is>
          <t>JÄMTLANDS LÄN</t>
        </is>
      </c>
      <c r="E670" t="inlineStr">
        <is>
          <t>ÅRE</t>
        </is>
      </c>
      <c r="G670" t="n">
        <v>1.4</v>
      </c>
      <c r="H670" t="n">
        <v>0</v>
      </c>
      <c r="I670" t="n">
        <v>0</v>
      </c>
      <c r="J670" t="n">
        <v>0</v>
      </c>
      <c r="K670" t="n">
        <v>0</v>
      </c>
      <c r="L670" t="n">
        <v>0</v>
      </c>
      <c r="M670" t="n">
        <v>0</v>
      </c>
      <c r="N670" t="n">
        <v>0</v>
      </c>
      <c r="O670" t="n">
        <v>0</v>
      </c>
      <c r="P670" t="n">
        <v>0</v>
      </c>
      <c r="Q670" t="n">
        <v>0</v>
      </c>
      <c r="R670" s="2" t="inlineStr"/>
    </row>
    <row r="671" ht="15" customHeight="1">
      <c r="A671" t="inlineStr">
        <is>
          <t>A 19705-2023</t>
        </is>
      </c>
      <c r="B671" s="1" t="n">
        <v>45051</v>
      </c>
      <c r="C671" s="1" t="n">
        <v>45837</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19877-2023</t>
        </is>
      </c>
      <c r="B672" s="1" t="n">
        <v>45054</v>
      </c>
      <c r="C672" s="1" t="n">
        <v>45837</v>
      </c>
      <c r="D672" t="inlineStr">
        <is>
          <t>JÄMTLANDS LÄN</t>
        </is>
      </c>
      <c r="E672" t="inlineStr">
        <is>
          <t>ÅRE</t>
        </is>
      </c>
      <c r="G672" t="n">
        <v>6.1</v>
      </c>
      <c r="H672" t="n">
        <v>0</v>
      </c>
      <c r="I672" t="n">
        <v>0</v>
      </c>
      <c r="J672" t="n">
        <v>0</v>
      </c>
      <c r="K672" t="n">
        <v>0</v>
      </c>
      <c r="L672" t="n">
        <v>0</v>
      </c>
      <c r="M672" t="n">
        <v>0</v>
      </c>
      <c r="N672" t="n">
        <v>0</v>
      </c>
      <c r="O672" t="n">
        <v>0</v>
      </c>
      <c r="P672" t="n">
        <v>0</v>
      </c>
      <c r="Q672" t="n">
        <v>0</v>
      </c>
      <c r="R672" s="2" t="inlineStr"/>
    </row>
    <row r="673" ht="15" customHeight="1">
      <c r="A673" t="inlineStr">
        <is>
          <t>A 20278-2023</t>
        </is>
      </c>
      <c r="B673" s="1" t="n">
        <v>45056</v>
      </c>
      <c r="C673" s="1" t="n">
        <v>45837</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23805-2023</t>
        </is>
      </c>
      <c r="B674" s="1" t="n">
        <v>45075</v>
      </c>
      <c r="C674" s="1" t="n">
        <v>45837</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24655-2023</t>
        </is>
      </c>
      <c r="B675" s="1" t="n">
        <v>45084</v>
      </c>
      <c r="C675" s="1" t="n">
        <v>45837</v>
      </c>
      <c r="D675" t="inlineStr">
        <is>
          <t>JÄMTLANDS LÄN</t>
        </is>
      </c>
      <c r="E675" t="inlineStr">
        <is>
          <t>ÅRE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25040-2023</t>
        </is>
      </c>
      <c r="B676" s="1" t="n">
        <v>45086</v>
      </c>
      <c r="C676" s="1" t="n">
        <v>45837</v>
      </c>
      <c r="D676" t="inlineStr">
        <is>
          <t>JÄMTLANDS LÄN</t>
        </is>
      </c>
      <c r="E676" t="inlineStr">
        <is>
          <t>ÅRE</t>
        </is>
      </c>
      <c r="G676" t="n">
        <v>0.8</v>
      </c>
      <c r="H676" t="n">
        <v>0</v>
      </c>
      <c r="I676" t="n">
        <v>0</v>
      </c>
      <c r="J676" t="n">
        <v>0</v>
      </c>
      <c r="K676" t="n">
        <v>0</v>
      </c>
      <c r="L676" t="n">
        <v>0</v>
      </c>
      <c r="M676" t="n">
        <v>0</v>
      </c>
      <c r="N676" t="n">
        <v>0</v>
      </c>
      <c r="O676" t="n">
        <v>0</v>
      </c>
      <c r="P676" t="n">
        <v>0</v>
      </c>
      <c r="Q676" t="n">
        <v>0</v>
      </c>
      <c r="R676" s="2" t="inlineStr"/>
    </row>
    <row r="677" ht="15" customHeight="1">
      <c r="A677" t="inlineStr">
        <is>
          <t>A 25926-2023</t>
        </is>
      </c>
      <c r="B677" s="1" t="n">
        <v>45085</v>
      </c>
      <c r="C677" s="1" t="n">
        <v>45837</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25302-2023</t>
        </is>
      </c>
      <c r="B678" s="1" t="n">
        <v>45086</v>
      </c>
      <c r="C678" s="1" t="n">
        <v>45837</v>
      </c>
      <c r="D678" t="inlineStr">
        <is>
          <t>JÄMTLANDS LÄN</t>
        </is>
      </c>
      <c r="E678" t="inlineStr">
        <is>
          <t>ÅRE</t>
        </is>
      </c>
      <c r="G678" t="n">
        <v>1.3</v>
      </c>
      <c r="H678" t="n">
        <v>0</v>
      </c>
      <c r="I678" t="n">
        <v>0</v>
      </c>
      <c r="J678" t="n">
        <v>0</v>
      </c>
      <c r="K678" t="n">
        <v>0</v>
      </c>
      <c r="L678" t="n">
        <v>0</v>
      </c>
      <c r="M678" t="n">
        <v>0</v>
      </c>
      <c r="N678" t="n">
        <v>0</v>
      </c>
      <c r="O678" t="n">
        <v>0</v>
      </c>
      <c r="P678" t="n">
        <v>0</v>
      </c>
      <c r="Q678" t="n">
        <v>0</v>
      </c>
      <c r="R678" s="2" t="inlineStr"/>
    </row>
    <row r="679" ht="15" customHeight="1">
      <c r="A679" t="inlineStr">
        <is>
          <t>A 25303-2023</t>
        </is>
      </c>
      <c r="B679" s="1" t="n">
        <v>45086</v>
      </c>
      <c r="C679" s="1" t="n">
        <v>45837</v>
      </c>
      <c r="D679" t="inlineStr">
        <is>
          <t>JÄMTLANDS LÄN</t>
        </is>
      </c>
      <c r="E679" t="inlineStr">
        <is>
          <t>ÅRE</t>
        </is>
      </c>
      <c r="G679" t="n">
        <v>0.4</v>
      </c>
      <c r="H679" t="n">
        <v>0</v>
      </c>
      <c r="I679" t="n">
        <v>0</v>
      </c>
      <c r="J679" t="n">
        <v>0</v>
      </c>
      <c r="K679" t="n">
        <v>0</v>
      </c>
      <c r="L679" t="n">
        <v>0</v>
      </c>
      <c r="M679" t="n">
        <v>0</v>
      </c>
      <c r="N679" t="n">
        <v>0</v>
      </c>
      <c r="O679" t="n">
        <v>0</v>
      </c>
      <c r="P679" t="n">
        <v>0</v>
      </c>
      <c r="Q679" t="n">
        <v>0</v>
      </c>
      <c r="R679" s="2" t="inlineStr"/>
    </row>
    <row r="680" ht="15" customHeight="1">
      <c r="A680" t="inlineStr">
        <is>
          <t>A 26032-2023</t>
        </is>
      </c>
      <c r="B680" s="1" t="n">
        <v>45091</v>
      </c>
      <c r="C680" s="1" t="n">
        <v>45837</v>
      </c>
      <c r="D680" t="inlineStr">
        <is>
          <t>JÄMTLANDS LÄN</t>
        </is>
      </c>
      <c r="E680" t="inlineStr">
        <is>
          <t>ÅRE</t>
        </is>
      </c>
      <c r="G680" t="n">
        <v>0.5</v>
      </c>
      <c r="H680" t="n">
        <v>0</v>
      </c>
      <c r="I680" t="n">
        <v>0</v>
      </c>
      <c r="J680" t="n">
        <v>0</v>
      </c>
      <c r="K680" t="n">
        <v>0</v>
      </c>
      <c r="L680" t="n">
        <v>0</v>
      </c>
      <c r="M680" t="n">
        <v>0</v>
      </c>
      <c r="N680" t="n">
        <v>0</v>
      </c>
      <c r="O680" t="n">
        <v>0</v>
      </c>
      <c r="P680" t="n">
        <v>0</v>
      </c>
      <c r="Q680" t="n">
        <v>0</v>
      </c>
      <c r="R680" s="2" t="inlineStr"/>
    </row>
    <row r="681" ht="15" customHeight="1">
      <c r="A681" t="inlineStr">
        <is>
          <t>A 26033-2023</t>
        </is>
      </c>
      <c r="B681" s="1" t="n">
        <v>45091</v>
      </c>
      <c r="C681" s="1" t="n">
        <v>45837</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26960-2023</t>
        </is>
      </c>
      <c r="B682" s="1" t="n">
        <v>45091</v>
      </c>
      <c r="C682" s="1" t="n">
        <v>45837</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29293-2023</t>
        </is>
      </c>
      <c r="B683" s="1" t="n">
        <v>45098</v>
      </c>
      <c r="C683" s="1" t="n">
        <v>45837</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29295-2023</t>
        </is>
      </c>
      <c r="B684" s="1" t="n">
        <v>45098</v>
      </c>
      <c r="C684" s="1" t="n">
        <v>45837</v>
      </c>
      <c r="D684" t="inlineStr">
        <is>
          <t>JÄMTLANDS LÄN</t>
        </is>
      </c>
      <c r="E684" t="inlineStr">
        <is>
          <t>ÅRE</t>
        </is>
      </c>
      <c r="G684" t="n">
        <v>3.9</v>
      </c>
      <c r="H684" t="n">
        <v>0</v>
      </c>
      <c r="I684" t="n">
        <v>0</v>
      </c>
      <c r="J684" t="n">
        <v>0</v>
      </c>
      <c r="K684" t="n">
        <v>0</v>
      </c>
      <c r="L684" t="n">
        <v>0</v>
      </c>
      <c r="M684" t="n">
        <v>0</v>
      </c>
      <c r="N684" t="n">
        <v>0</v>
      </c>
      <c r="O684" t="n">
        <v>0</v>
      </c>
      <c r="P684" t="n">
        <v>0</v>
      </c>
      <c r="Q684" t="n">
        <v>0</v>
      </c>
      <c r="R684" s="2" t="inlineStr"/>
    </row>
    <row r="685" ht="15" customHeight="1">
      <c r="A685" t="inlineStr">
        <is>
          <t>A 29469-2023</t>
        </is>
      </c>
      <c r="B685" s="1" t="n">
        <v>45098</v>
      </c>
      <c r="C685" s="1" t="n">
        <v>45837</v>
      </c>
      <c r="D685" t="inlineStr">
        <is>
          <t>JÄMTLANDS LÄN</t>
        </is>
      </c>
      <c r="E685" t="inlineStr">
        <is>
          <t>ÅRE</t>
        </is>
      </c>
      <c r="G685" t="n">
        <v>0.6</v>
      </c>
      <c r="H685" t="n">
        <v>0</v>
      </c>
      <c r="I685" t="n">
        <v>0</v>
      </c>
      <c r="J685" t="n">
        <v>0</v>
      </c>
      <c r="K685" t="n">
        <v>0</v>
      </c>
      <c r="L685" t="n">
        <v>0</v>
      </c>
      <c r="M685" t="n">
        <v>0</v>
      </c>
      <c r="N685" t="n">
        <v>0</v>
      </c>
      <c r="O685" t="n">
        <v>0</v>
      </c>
      <c r="P685" t="n">
        <v>0</v>
      </c>
      <c r="Q685" t="n">
        <v>0</v>
      </c>
      <c r="R685" s="2" t="inlineStr"/>
    </row>
    <row r="686" ht="15" customHeight="1">
      <c r="A686" t="inlineStr">
        <is>
          <t>A 29294-2023</t>
        </is>
      </c>
      <c r="B686" s="1" t="n">
        <v>45098</v>
      </c>
      <c r="C686" s="1" t="n">
        <v>45837</v>
      </c>
      <c r="D686" t="inlineStr">
        <is>
          <t>JÄMTLANDS LÄN</t>
        </is>
      </c>
      <c r="E686" t="inlineStr">
        <is>
          <t>ÅRE</t>
        </is>
      </c>
      <c r="G686" t="n">
        <v>0.7</v>
      </c>
      <c r="H686" t="n">
        <v>0</v>
      </c>
      <c r="I686" t="n">
        <v>0</v>
      </c>
      <c r="J686" t="n">
        <v>0</v>
      </c>
      <c r="K686" t="n">
        <v>0</v>
      </c>
      <c r="L686" t="n">
        <v>0</v>
      </c>
      <c r="M686" t="n">
        <v>0</v>
      </c>
      <c r="N686" t="n">
        <v>0</v>
      </c>
      <c r="O686" t="n">
        <v>0</v>
      </c>
      <c r="P686" t="n">
        <v>0</v>
      </c>
      <c r="Q686" t="n">
        <v>0</v>
      </c>
      <c r="R686" s="2" t="inlineStr"/>
    </row>
    <row r="687" ht="15" customHeight="1">
      <c r="A687" t="inlineStr">
        <is>
          <t>A 29531-2023</t>
        </is>
      </c>
      <c r="B687" s="1" t="n">
        <v>45098</v>
      </c>
      <c r="C687" s="1" t="n">
        <v>45837</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30660-2023</t>
        </is>
      </c>
      <c r="B688" s="1" t="n">
        <v>45098</v>
      </c>
      <c r="C688" s="1" t="n">
        <v>45837</v>
      </c>
      <c r="D688" t="inlineStr">
        <is>
          <t>JÄMTLANDS LÄN</t>
        </is>
      </c>
      <c r="E688" t="inlineStr">
        <is>
          <t>ÅRE</t>
        </is>
      </c>
      <c r="G688" t="n">
        <v>1</v>
      </c>
      <c r="H688" t="n">
        <v>0</v>
      </c>
      <c r="I688" t="n">
        <v>0</v>
      </c>
      <c r="J688" t="n">
        <v>0</v>
      </c>
      <c r="K688" t="n">
        <v>0</v>
      </c>
      <c r="L688" t="n">
        <v>0</v>
      </c>
      <c r="M688" t="n">
        <v>0</v>
      </c>
      <c r="N688" t="n">
        <v>0</v>
      </c>
      <c r="O688" t="n">
        <v>0</v>
      </c>
      <c r="P688" t="n">
        <v>0</v>
      </c>
      <c r="Q688" t="n">
        <v>0</v>
      </c>
      <c r="R688" s="2" t="inlineStr"/>
    </row>
    <row r="689" ht="15" customHeight="1">
      <c r="A689" t="inlineStr">
        <is>
          <t>A 30263-2023</t>
        </is>
      </c>
      <c r="B689" s="1" t="n">
        <v>45099</v>
      </c>
      <c r="C689" s="1" t="n">
        <v>45837</v>
      </c>
      <c r="D689" t="inlineStr">
        <is>
          <t>JÄMTLANDS LÄN</t>
        </is>
      </c>
      <c r="E689" t="inlineStr">
        <is>
          <t>ÅRE</t>
        </is>
      </c>
      <c r="G689" t="n">
        <v>15.9</v>
      </c>
      <c r="H689" t="n">
        <v>0</v>
      </c>
      <c r="I689" t="n">
        <v>0</v>
      </c>
      <c r="J689" t="n">
        <v>0</v>
      </c>
      <c r="K689" t="n">
        <v>0</v>
      </c>
      <c r="L689" t="n">
        <v>0</v>
      </c>
      <c r="M689" t="n">
        <v>0</v>
      </c>
      <c r="N689" t="n">
        <v>0</v>
      </c>
      <c r="O689" t="n">
        <v>0</v>
      </c>
      <c r="P689" t="n">
        <v>0</v>
      </c>
      <c r="Q689" t="n">
        <v>0</v>
      </c>
      <c r="R689" s="2" t="inlineStr"/>
    </row>
    <row r="690" ht="15" customHeight="1">
      <c r="A690" t="inlineStr">
        <is>
          <t>A 33774-2023</t>
        </is>
      </c>
      <c r="B690" s="1" t="n">
        <v>45120</v>
      </c>
      <c r="C690" s="1" t="n">
        <v>45837</v>
      </c>
      <c r="D690" t="inlineStr">
        <is>
          <t>JÄMTLANDS LÄN</t>
        </is>
      </c>
      <c r="E690" t="inlineStr">
        <is>
          <t>ÅRE</t>
        </is>
      </c>
      <c r="G690" t="n">
        <v>2.1</v>
      </c>
      <c r="H690" t="n">
        <v>0</v>
      </c>
      <c r="I690" t="n">
        <v>0</v>
      </c>
      <c r="J690" t="n">
        <v>0</v>
      </c>
      <c r="K690" t="n">
        <v>0</v>
      </c>
      <c r="L690" t="n">
        <v>0</v>
      </c>
      <c r="M690" t="n">
        <v>0</v>
      </c>
      <c r="N690" t="n">
        <v>0</v>
      </c>
      <c r="O690" t="n">
        <v>0</v>
      </c>
      <c r="P690" t="n">
        <v>0</v>
      </c>
      <c r="Q690" t="n">
        <v>0</v>
      </c>
      <c r="R690" s="2" t="inlineStr"/>
    </row>
    <row r="691" ht="15" customHeight="1">
      <c r="A691" t="inlineStr">
        <is>
          <t>A 33117-2023</t>
        </is>
      </c>
      <c r="B691" s="1" t="n">
        <v>45126</v>
      </c>
      <c r="C691" s="1" t="n">
        <v>45837</v>
      </c>
      <c r="D691" t="inlineStr">
        <is>
          <t>JÄMTLANDS LÄN</t>
        </is>
      </c>
      <c r="E691" t="inlineStr">
        <is>
          <t>ÅRE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33123-2023</t>
        </is>
      </c>
      <c r="B692" s="1" t="n">
        <v>45126</v>
      </c>
      <c r="C692" s="1" t="n">
        <v>45837</v>
      </c>
      <c r="D692" t="inlineStr">
        <is>
          <t>JÄMTLANDS LÄN</t>
        </is>
      </c>
      <c r="E692" t="inlineStr">
        <is>
          <t>ÅRE</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33121-2023</t>
        </is>
      </c>
      <c r="B693" s="1" t="n">
        <v>45126</v>
      </c>
      <c r="C693" s="1" t="n">
        <v>45837</v>
      </c>
      <c r="D693" t="inlineStr">
        <is>
          <t>JÄMTLANDS LÄN</t>
        </is>
      </c>
      <c r="E693" t="inlineStr">
        <is>
          <t>ÅRE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34231-2023</t>
        </is>
      </c>
      <c r="B694" s="1" t="n">
        <v>45127</v>
      </c>
      <c r="C694" s="1" t="n">
        <v>45837</v>
      </c>
      <c r="D694" t="inlineStr">
        <is>
          <t>JÄMTLANDS LÄN</t>
        </is>
      </c>
      <c r="E694" t="inlineStr">
        <is>
          <t>ÅRE</t>
        </is>
      </c>
      <c r="G694" t="n">
        <v>18.3</v>
      </c>
      <c r="H694" t="n">
        <v>0</v>
      </c>
      <c r="I694" t="n">
        <v>0</v>
      </c>
      <c r="J694" t="n">
        <v>0</v>
      </c>
      <c r="K694" t="n">
        <v>0</v>
      </c>
      <c r="L694" t="n">
        <v>0</v>
      </c>
      <c r="M694" t="n">
        <v>0</v>
      </c>
      <c r="N694" t="n">
        <v>0</v>
      </c>
      <c r="O694" t="n">
        <v>0</v>
      </c>
      <c r="P694" t="n">
        <v>0</v>
      </c>
      <c r="Q694" t="n">
        <v>0</v>
      </c>
      <c r="R694" s="2" t="inlineStr"/>
    </row>
    <row r="695" ht="15" customHeight="1">
      <c r="A695" t="inlineStr">
        <is>
          <t>A 34538-2023</t>
        </is>
      </c>
      <c r="B695" s="1" t="n">
        <v>45134</v>
      </c>
      <c r="C695" s="1" t="n">
        <v>45837</v>
      </c>
      <c r="D695" t="inlineStr">
        <is>
          <t>JÄMTLANDS LÄN</t>
        </is>
      </c>
      <c r="E695" t="inlineStr">
        <is>
          <t>ÅRE</t>
        </is>
      </c>
      <c r="G695" t="n">
        <v>1.3</v>
      </c>
      <c r="H695" t="n">
        <v>0</v>
      </c>
      <c r="I695" t="n">
        <v>0</v>
      </c>
      <c r="J695" t="n">
        <v>0</v>
      </c>
      <c r="K695" t="n">
        <v>0</v>
      </c>
      <c r="L695" t="n">
        <v>0</v>
      </c>
      <c r="M695" t="n">
        <v>0</v>
      </c>
      <c r="N695" t="n">
        <v>0</v>
      </c>
      <c r="O695" t="n">
        <v>0</v>
      </c>
      <c r="P695" t="n">
        <v>0</v>
      </c>
      <c r="Q695" t="n">
        <v>0</v>
      </c>
      <c r="R695" s="2" t="inlineStr"/>
    </row>
    <row r="696" ht="15" customHeight="1">
      <c r="A696" t="inlineStr">
        <is>
          <t>A 36048-2023</t>
        </is>
      </c>
      <c r="B696" s="1" t="n">
        <v>45149</v>
      </c>
      <c r="C696" s="1" t="n">
        <v>45837</v>
      </c>
      <c r="D696" t="inlineStr">
        <is>
          <t>JÄMTLANDS LÄN</t>
        </is>
      </c>
      <c r="E696" t="inlineStr">
        <is>
          <t>ÅRE</t>
        </is>
      </c>
      <c r="G696" t="n">
        <v>11.4</v>
      </c>
      <c r="H696" t="n">
        <v>0</v>
      </c>
      <c r="I696" t="n">
        <v>0</v>
      </c>
      <c r="J696" t="n">
        <v>0</v>
      </c>
      <c r="K696" t="n">
        <v>0</v>
      </c>
      <c r="L696" t="n">
        <v>0</v>
      </c>
      <c r="M696" t="n">
        <v>0</v>
      </c>
      <c r="N696" t="n">
        <v>0</v>
      </c>
      <c r="O696" t="n">
        <v>0</v>
      </c>
      <c r="P696" t="n">
        <v>0</v>
      </c>
      <c r="Q696" t="n">
        <v>0</v>
      </c>
      <c r="R696" s="2" t="inlineStr"/>
    </row>
    <row r="697" ht="15" customHeight="1">
      <c r="A697" t="inlineStr">
        <is>
          <t>A 36234-2023</t>
        </is>
      </c>
      <c r="B697" s="1" t="n">
        <v>45150</v>
      </c>
      <c r="C697" s="1" t="n">
        <v>45837</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36235-2023</t>
        </is>
      </c>
      <c r="B698" s="1" t="n">
        <v>45150</v>
      </c>
      <c r="C698" s="1" t="n">
        <v>45837</v>
      </c>
      <c r="D698" t="inlineStr">
        <is>
          <t>JÄMTLANDS LÄN</t>
        </is>
      </c>
      <c r="E698" t="inlineStr">
        <is>
          <t>ÅRE</t>
        </is>
      </c>
      <c r="G698" t="n">
        <v>4.4</v>
      </c>
      <c r="H698" t="n">
        <v>0</v>
      </c>
      <c r="I698" t="n">
        <v>0</v>
      </c>
      <c r="J698" t="n">
        <v>0</v>
      </c>
      <c r="K698" t="n">
        <v>0</v>
      </c>
      <c r="L698" t="n">
        <v>0</v>
      </c>
      <c r="M698" t="n">
        <v>0</v>
      </c>
      <c r="N698" t="n">
        <v>0</v>
      </c>
      <c r="O698" t="n">
        <v>0</v>
      </c>
      <c r="P698" t="n">
        <v>0</v>
      </c>
      <c r="Q698" t="n">
        <v>0</v>
      </c>
      <c r="R698" s="2" t="inlineStr"/>
    </row>
    <row r="699" ht="15" customHeight="1">
      <c r="A699" t="inlineStr">
        <is>
          <t>A 37729-2023</t>
        </is>
      </c>
      <c r="B699" s="1" t="n">
        <v>45159</v>
      </c>
      <c r="C699" s="1" t="n">
        <v>45837</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37734-2023</t>
        </is>
      </c>
      <c r="B700" s="1" t="n">
        <v>45159</v>
      </c>
      <c r="C700" s="1" t="n">
        <v>45837</v>
      </c>
      <c r="D700" t="inlineStr">
        <is>
          <t>JÄMTLANDS LÄN</t>
        </is>
      </c>
      <c r="E700" t="inlineStr">
        <is>
          <t>ÅRE</t>
        </is>
      </c>
      <c r="G700" t="n">
        <v>3.4</v>
      </c>
      <c r="H700" t="n">
        <v>0</v>
      </c>
      <c r="I700" t="n">
        <v>0</v>
      </c>
      <c r="J700" t="n">
        <v>0</v>
      </c>
      <c r="K700" t="n">
        <v>0</v>
      </c>
      <c r="L700" t="n">
        <v>0</v>
      </c>
      <c r="M700" t="n">
        <v>0</v>
      </c>
      <c r="N700" t="n">
        <v>0</v>
      </c>
      <c r="O700" t="n">
        <v>0</v>
      </c>
      <c r="P700" t="n">
        <v>0</v>
      </c>
      <c r="Q700" t="n">
        <v>0</v>
      </c>
      <c r="R700" s="2" t="inlineStr"/>
    </row>
    <row r="701" ht="15" customHeight="1">
      <c r="A701" t="inlineStr">
        <is>
          <t>A 37739-2023</t>
        </is>
      </c>
      <c r="B701" s="1" t="n">
        <v>45159</v>
      </c>
      <c r="C701" s="1" t="n">
        <v>45837</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37758-2023</t>
        </is>
      </c>
      <c r="B702" s="1" t="n">
        <v>45159</v>
      </c>
      <c r="C702" s="1" t="n">
        <v>45837</v>
      </c>
      <c r="D702" t="inlineStr">
        <is>
          <t>JÄMTLANDS LÄN</t>
        </is>
      </c>
      <c r="E702" t="inlineStr">
        <is>
          <t>ÅRE</t>
        </is>
      </c>
      <c r="G702" t="n">
        <v>20.1</v>
      </c>
      <c r="H702" t="n">
        <v>0</v>
      </c>
      <c r="I702" t="n">
        <v>0</v>
      </c>
      <c r="J702" t="n">
        <v>0</v>
      </c>
      <c r="K702" t="n">
        <v>0</v>
      </c>
      <c r="L702" t="n">
        <v>0</v>
      </c>
      <c r="M702" t="n">
        <v>0</v>
      </c>
      <c r="N702" t="n">
        <v>0</v>
      </c>
      <c r="O702" t="n">
        <v>0</v>
      </c>
      <c r="P702" t="n">
        <v>0</v>
      </c>
      <c r="Q702" t="n">
        <v>0</v>
      </c>
      <c r="R702" s="2" t="inlineStr"/>
    </row>
    <row r="703" ht="15" customHeight="1">
      <c r="A703" t="inlineStr">
        <is>
          <t>A 40323-2023</t>
        </is>
      </c>
      <c r="B703" s="1" t="n">
        <v>45169</v>
      </c>
      <c r="C703" s="1" t="n">
        <v>45837</v>
      </c>
      <c r="D703" t="inlineStr">
        <is>
          <t>JÄMTLANDS LÄN</t>
        </is>
      </c>
      <c r="E703" t="inlineStr">
        <is>
          <t>ÅRE</t>
        </is>
      </c>
      <c r="G703" t="n">
        <v>5.1</v>
      </c>
      <c r="H703" t="n">
        <v>0</v>
      </c>
      <c r="I703" t="n">
        <v>0</v>
      </c>
      <c r="J703" t="n">
        <v>0</v>
      </c>
      <c r="K703" t="n">
        <v>0</v>
      </c>
      <c r="L703" t="n">
        <v>0</v>
      </c>
      <c r="M703" t="n">
        <v>0</v>
      </c>
      <c r="N703" t="n">
        <v>0</v>
      </c>
      <c r="O703" t="n">
        <v>0</v>
      </c>
      <c r="P703" t="n">
        <v>0</v>
      </c>
      <c r="Q703" t="n">
        <v>0</v>
      </c>
      <c r="R703" s="2" t="inlineStr"/>
    </row>
    <row r="704" ht="15" customHeight="1">
      <c r="A704" t="inlineStr">
        <is>
          <t>A 42626-2023</t>
        </is>
      </c>
      <c r="B704" s="1" t="n">
        <v>45181</v>
      </c>
      <c r="C704" s="1" t="n">
        <v>45837</v>
      </c>
      <c r="D704" t="inlineStr">
        <is>
          <t>JÄMTLANDS LÄN</t>
        </is>
      </c>
      <c r="E704" t="inlineStr">
        <is>
          <t>ÅRE</t>
        </is>
      </c>
      <c r="G704" t="n">
        <v>2.4</v>
      </c>
      <c r="H704" t="n">
        <v>0</v>
      </c>
      <c r="I704" t="n">
        <v>0</v>
      </c>
      <c r="J704" t="n">
        <v>0</v>
      </c>
      <c r="K704" t="n">
        <v>0</v>
      </c>
      <c r="L704" t="n">
        <v>0</v>
      </c>
      <c r="M704" t="n">
        <v>0</v>
      </c>
      <c r="N704" t="n">
        <v>0</v>
      </c>
      <c r="O704" t="n">
        <v>0</v>
      </c>
      <c r="P704" t="n">
        <v>0</v>
      </c>
      <c r="Q704" t="n">
        <v>0</v>
      </c>
      <c r="R704" s="2" t="inlineStr"/>
    </row>
    <row r="705" ht="15" customHeight="1">
      <c r="A705" t="inlineStr">
        <is>
          <t>A 43103-2023</t>
        </is>
      </c>
      <c r="B705" s="1" t="n">
        <v>45183</v>
      </c>
      <c r="C705" s="1" t="n">
        <v>45837</v>
      </c>
      <c r="D705" t="inlineStr">
        <is>
          <t>JÄMTLANDS LÄN</t>
        </is>
      </c>
      <c r="E705" t="inlineStr">
        <is>
          <t>ÅRE</t>
        </is>
      </c>
      <c r="G705" t="n">
        <v>7.2</v>
      </c>
      <c r="H705" t="n">
        <v>0</v>
      </c>
      <c r="I705" t="n">
        <v>0</v>
      </c>
      <c r="J705" t="n">
        <v>0</v>
      </c>
      <c r="K705" t="n">
        <v>0</v>
      </c>
      <c r="L705" t="n">
        <v>0</v>
      </c>
      <c r="M705" t="n">
        <v>0</v>
      </c>
      <c r="N705" t="n">
        <v>0</v>
      </c>
      <c r="O705" t="n">
        <v>0</v>
      </c>
      <c r="P705" t="n">
        <v>0</v>
      </c>
      <c r="Q705" t="n">
        <v>0</v>
      </c>
      <c r="R705" s="2" t="inlineStr"/>
    </row>
    <row r="706" ht="15" customHeight="1">
      <c r="A706" t="inlineStr">
        <is>
          <t>A 43446-2023</t>
        </is>
      </c>
      <c r="B706" s="1" t="n">
        <v>45184</v>
      </c>
      <c r="C706" s="1" t="n">
        <v>45837</v>
      </c>
      <c r="D706" t="inlineStr">
        <is>
          <t>JÄMTLANDS LÄN</t>
        </is>
      </c>
      <c r="E706" t="inlineStr">
        <is>
          <t>ÅRE</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43449-2023</t>
        </is>
      </c>
      <c r="B707" s="1" t="n">
        <v>45184</v>
      </c>
      <c r="C707" s="1" t="n">
        <v>45837</v>
      </c>
      <c r="D707" t="inlineStr">
        <is>
          <t>JÄMTLANDS LÄN</t>
        </is>
      </c>
      <c r="E707" t="inlineStr">
        <is>
          <t>ÅRE</t>
        </is>
      </c>
      <c r="F707" t="inlineStr">
        <is>
          <t>Övriga Aktiebolag</t>
        </is>
      </c>
      <c r="G707" t="n">
        <v>3.1</v>
      </c>
      <c r="H707" t="n">
        <v>0</v>
      </c>
      <c r="I707" t="n">
        <v>0</v>
      </c>
      <c r="J707" t="n">
        <v>0</v>
      </c>
      <c r="K707" t="n">
        <v>0</v>
      </c>
      <c r="L707" t="n">
        <v>0</v>
      </c>
      <c r="M707" t="n">
        <v>0</v>
      </c>
      <c r="N707" t="n">
        <v>0</v>
      </c>
      <c r="O707" t="n">
        <v>0</v>
      </c>
      <c r="P707" t="n">
        <v>0</v>
      </c>
      <c r="Q707" t="n">
        <v>0</v>
      </c>
      <c r="R707" s="2" t="inlineStr"/>
    </row>
    <row r="708" ht="15" customHeight="1">
      <c r="A708" t="inlineStr">
        <is>
          <t>A 43456-2023</t>
        </is>
      </c>
      <c r="B708" s="1" t="n">
        <v>45184</v>
      </c>
      <c r="C708" s="1" t="n">
        <v>45837</v>
      </c>
      <c r="D708" t="inlineStr">
        <is>
          <t>JÄMTLANDS LÄN</t>
        </is>
      </c>
      <c r="E708" t="inlineStr">
        <is>
          <t>ÅRE</t>
        </is>
      </c>
      <c r="F708" t="inlineStr">
        <is>
          <t>Övriga Aktiebolag</t>
        </is>
      </c>
      <c r="G708" t="n">
        <v>8.9</v>
      </c>
      <c r="H708" t="n">
        <v>0</v>
      </c>
      <c r="I708" t="n">
        <v>0</v>
      </c>
      <c r="J708" t="n">
        <v>0</v>
      </c>
      <c r="K708" t="n">
        <v>0</v>
      </c>
      <c r="L708" t="n">
        <v>0</v>
      </c>
      <c r="M708" t="n">
        <v>0</v>
      </c>
      <c r="N708" t="n">
        <v>0</v>
      </c>
      <c r="O708" t="n">
        <v>0</v>
      </c>
      <c r="P708" t="n">
        <v>0</v>
      </c>
      <c r="Q708" t="n">
        <v>0</v>
      </c>
      <c r="R708" s="2" t="inlineStr"/>
    </row>
    <row r="709" ht="15" customHeight="1">
      <c r="A709" t="inlineStr">
        <is>
          <t>A 44512-2023</t>
        </is>
      </c>
      <c r="B709" s="1" t="n">
        <v>45184</v>
      </c>
      <c r="C709" s="1" t="n">
        <v>45837</v>
      </c>
      <c r="D709" t="inlineStr">
        <is>
          <t>JÄMTLANDS LÄN</t>
        </is>
      </c>
      <c r="E709" t="inlineStr">
        <is>
          <t>ÅRE</t>
        </is>
      </c>
      <c r="G709" t="n">
        <v>12.5</v>
      </c>
      <c r="H709" t="n">
        <v>0</v>
      </c>
      <c r="I709" t="n">
        <v>0</v>
      </c>
      <c r="J709" t="n">
        <v>0</v>
      </c>
      <c r="K709" t="n">
        <v>0</v>
      </c>
      <c r="L709" t="n">
        <v>0</v>
      </c>
      <c r="M709" t="n">
        <v>0</v>
      </c>
      <c r="N709" t="n">
        <v>0</v>
      </c>
      <c r="O709" t="n">
        <v>0</v>
      </c>
      <c r="P709" t="n">
        <v>0</v>
      </c>
      <c r="Q709" t="n">
        <v>0</v>
      </c>
      <c r="R709" s="2" t="inlineStr"/>
    </row>
    <row r="710" ht="15" customHeight="1">
      <c r="A710" t="inlineStr">
        <is>
          <t>A 45242-2023</t>
        </is>
      </c>
      <c r="B710" s="1" t="n">
        <v>45187</v>
      </c>
      <c r="C710" s="1" t="n">
        <v>45837</v>
      </c>
      <c r="D710" t="inlineStr">
        <is>
          <t>JÄMTLANDS LÄN</t>
        </is>
      </c>
      <c r="E710" t="inlineStr">
        <is>
          <t>ÅRE</t>
        </is>
      </c>
      <c r="G710" t="n">
        <v>2.9</v>
      </c>
      <c r="H710" t="n">
        <v>0</v>
      </c>
      <c r="I710" t="n">
        <v>0</v>
      </c>
      <c r="J710" t="n">
        <v>0</v>
      </c>
      <c r="K710" t="n">
        <v>0</v>
      </c>
      <c r="L710" t="n">
        <v>0</v>
      </c>
      <c r="M710" t="n">
        <v>0</v>
      </c>
      <c r="N710" t="n">
        <v>0</v>
      </c>
      <c r="O710" t="n">
        <v>0</v>
      </c>
      <c r="P710" t="n">
        <v>0</v>
      </c>
      <c r="Q710" t="n">
        <v>0</v>
      </c>
      <c r="R710" s="2" t="inlineStr"/>
    </row>
    <row r="711" ht="15" customHeight="1">
      <c r="A711" t="inlineStr">
        <is>
          <t>A 44889-2023</t>
        </is>
      </c>
      <c r="B711" s="1" t="n">
        <v>45190</v>
      </c>
      <c r="C711" s="1" t="n">
        <v>45837</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44898-2023</t>
        </is>
      </c>
      <c r="B712" s="1" t="n">
        <v>45190</v>
      </c>
      <c r="C712" s="1" t="n">
        <v>45837</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46510-2023</t>
        </is>
      </c>
      <c r="B713" s="1" t="n">
        <v>45197</v>
      </c>
      <c r="C713" s="1" t="n">
        <v>45837</v>
      </c>
      <c r="D713" t="inlineStr">
        <is>
          <t>JÄMTLANDS LÄN</t>
        </is>
      </c>
      <c r="E713" t="inlineStr">
        <is>
          <t>ÅRE</t>
        </is>
      </c>
      <c r="G713" t="n">
        <v>1.3</v>
      </c>
      <c r="H713" t="n">
        <v>0</v>
      </c>
      <c r="I713" t="n">
        <v>0</v>
      </c>
      <c r="J713" t="n">
        <v>0</v>
      </c>
      <c r="K713" t="n">
        <v>0</v>
      </c>
      <c r="L713" t="n">
        <v>0</v>
      </c>
      <c r="M713" t="n">
        <v>0</v>
      </c>
      <c r="N713" t="n">
        <v>0</v>
      </c>
      <c r="O713" t="n">
        <v>0</v>
      </c>
      <c r="P713" t="n">
        <v>0</v>
      </c>
      <c r="Q713" t="n">
        <v>0</v>
      </c>
      <c r="R713" s="2" t="inlineStr"/>
    </row>
    <row r="714" ht="15" customHeight="1">
      <c r="A714" t="inlineStr">
        <is>
          <t>A 47698-2023</t>
        </is>
      </c>
      <c r="B714" s="1" t="n">
        <v>45203</v>
      </c>
      <c r="C714" s="1" t="n">
        <v>45837</v>
      </c>
      <c r="D714" t="inlineStr">
        <is>
          <t>JÄMTLANDS LÄN</t>
        </is>
      </c>
      <c r="E714" t="inlineStr">
        <is>
          <t>ÅRE</t>
        </is>
      </c>
      <c r="G714" t="n">
        <v>12</v>
      </c>
      <c r="H714" t="n">
        <v>0</v>
      </c>
      <c r="I714" t="n">
        <v>0</v>
      </c>
      <c r="J714" t="n">
        <v>0</v>
      </c>
      <c r="K714" t="n">
        <v>0</v>
      </c>
      <c r="L714" t="n">
        <v>0</v>
      </c>
      <c r="M714" t="n">
        <v>0</v>
      </c>
      <c r="N714" t="n">
        <v>0</v>
      </c>
      <c r="O714" t="n">
        <v>0</v>
      </c>
      <c r="P714" t="n">
        <v>0</v>
      </c>
      <c r="Q714" t="n">
        <v>0</v>
      </c>
      <c r="R714" s="2" t="inlineStr"/>
    </row>
    <row r="715" ht="15" customHeight="1">
      <c r="A715" t="inlineStr">
        <is>
          <t>A 48599-2023</t>
        </is>
      </c>
      <c r="B715" s="1" t="n">
        <v>45208</v>
      </c>
      <c r="C715" s="1" t="n">
        <v>45837</v>
      </c>
      <c r="D715" t="inlineStr">
        <is>
          <t>JÄMTLANDS LÄN</t>
        </is>
      </c>
      <c r="E715" t="inlineStr">
        <is>
          <t>ÅRE</t>
        </is>
      </c>
      <c r="G715" t="n">
        <v>1.1</v>
      </c>
      <c r="H715" t="n">
        <v>0</v>
      </c>
      <c r="I715" t="n">
        <v>0</v>
      </c>
      <c r="J715" t="n">
        <v>0</v>
      </c>
      <c r="K715" t="n">
        <v>0</v>
      </c>
      <c r="L715" t="n">
        <v>0</v>
      </c>
      <c r="M715" t="n">
        <v>0</v>
      </c>
      <c r="N715" t="n">
        <v>0</v>
      </c>
      <c r="O715" t="n">
        <v>0</v>
      </c>
      <c r="P715" t="n">
        <v>0</v>
      </c>
      <c r="Q715" t="n">
        <v>0</v>
      </c>
      <c r="R715" s="2" t="inlineStr"/>
    </row>
    <row r="716" ht="15" customHeight="1">
      <c r="A716" t="inlineStr">
        <is>
          <t>A 52169-2023</t>
        </is>
      </c>
      <c r="B716" s="1" t="n">
        <v>45212</v>
      </c>
      <c r="C716" s="1" t="n">
        <v>45837</v>
      </c>
      <c r="D716" t="inlineStr">
        <is>
          <t>JÄMTLANDS LÄN</t>
        </is>
      </c>
      <c r="E716" t="inlineStr">
        <is>
          <t>ÅRE</t>
        </is>
      </c>
      <c r="F716" t="inlineStr">
        <is>
          <t>Övriga statliga verk och myndigheter</t>
        </is>
      </c>
      <c r="G716" t="n">
        <v>28.1</v>
      </c>
      <c r="H716" t="n">
        <v>0</v>
      </c>
      <c r="I716" t="n">
        <v>0</v>
      </c>
      <c r="J716" t="n">
        <v>0</v>
      </c>
      <c r="K716" t="n">
        <v>0</v>
      </c>
      <c r="L716" t="n">
        <v>0</v>
      </c>
      <c r="M716" t="n">
        <v>0</v>
      </c>
      <c r="N716" t="n">
        <v>0</v>
      </c>
      <c r="O716" t="n">
        <v>0</v>
      </c>
      <c r="P716" t="n">
        <v>0</v>
      </c>
      <c r="Q716" t="n">
        <v>0</v>
      </c>
      <c r="R716" s="2" t="inlineStr"/>
    </row>
    <row r="717" ht="15" customHeight="1">
      <c r="A717" t="inlineStr">
        <is>
          <t>A 50843-2023</t>
        </is>
      </c>
      <c r="B717" s="1" t="n">
        <v>45218</v>
      </c>
      <c r="C717" s="1" t="n">
        <v>45837</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50951-2023</t>
        </is>
      </c>
      <c r="B718" s="1" t="n">
        <v>45218</v>
      </c>
      <c r="C718" s="1" t="n">
        <v>45837</v>
      </c>
      <c r="D718" t="inlineStr">
        <is>
          <t>JÄMTLANDS LÄN</t>
        </is>
      </c>
      <c r="E718" t="inlineStr">
        <is>
          <t>ÅRE</t>
        </is>
      </c>
      <c r="G718" t="n">
        <v>1</v>
      </c>
      <c r="H718" t="n">
        <v>0</v>
      </c>
      <c r="I718" t="n">
        <v>0</v>
      </c>
      <c r="J718" t="n">
        <v>0</v>
      </c>
      <c r="K718" t="n">
        <v>0</v>
      </c>
      <c r="L718" t="n">
        <v>0</v>
      </c>
      <c r="M718" t="n">
        <v>0</v>
      </c>
      <c r="N718" t="n">
        <v>0</v>
      </c>
      <c r="O718" t="n">
        <v>0</v>
      </c>
      <c r="P718" t="n">
        <v>0</v>
      </c>
      <c r="Q718" t="n">
        <v>0</v>
      </c>
      <c r="R718" s="2" t="inlineStr"/>
    </row>
    <row r="719" ht="15" customHeight="1">
      <c r="A719" t="inlineStr">
        <is>
          <t>A 51317-2023</t>
        </is>
      </c>
      <c r="B719" s="1" t="n">
        <v>45219</v>
      </c>
      <c r="C719" s="1" t="n">
        <v>45837</v>
      </c>
      <c r="D719" t="inlineStr">
        <is>
          <t>JÄMTLANDS LÄN</t>
        </is>
      </c>
      <c r="E719" t="inlineStr">
        <is>
          <t>ÅRE</t>
        </is>
      </c>
      <c r="G719" t="n">
        <v>2.9</v>
      </c>
      <c r="H719" t="n">
        <v>0</v>
      </c>
      <c r="I719" t="n">
        <v>0</v>
      </c>
      <c r="J719" t="n">
        <v>0</v>
      </c>
      <c r="K719" t="n">
        <v>0</v>
      </c>
      <c r="L719" t="n">
        <v>0</v>
      </c>
      <c r="M719" t="n">
        <v>0</v>
      </c>
      <c r="N719" t="n">
        <v>0</v>
      </c>
      <c r="O719" t="n">
        <v>0</v>
      </c>
      <c r="P719" t="n">
        <v>0</v>
      </c>
      <c r="Q719" t="n">
        <v>0</v>
      </c>
      <c r="R719" s="2" t="inlineStr"/>
    </row>
    <row r="720" ht="15" customHeight="1">
      <c r="A720" t="inlineStr">
        <is>
          <t>A 51271-2023</t>
        </is>
      </c>
      <c r="B720" s="1" t="n">
        <v>45219</v>
      </c>
      <c r="C720" s="1" t="n">
        <v>45837</v>
      </c>
      <c r="D720" t="inlineStr">
        <is>
          <t>JÄMTLANDS LÄN</t>
        </is>
      </c>
      <c r="E720" t="inlineStr">
        <is>
          <t>ÅRE</t>
        </is>
      </c>
      <c r="G720" t="n">
        <v>4.8</v>
      </c>
      <c r="H720" t="n">
        <v>0</v>
      </c>
      <c r="I720" t="n">
        <v>0</v>
      </c>
      <c r="J720" t="n">
        <v>0</v>
      </c>
      <c r="K720" t="n">
        <v>0</v>
      </c>
      <c r="L720" t="n">
        <v>0</v>
      </c>
      <c r="M720" t="n">
        <v>0</v>
      </c>
      <c r="N720" t="n">
        <v>0</v>
      </c>
      <c r="O720" t="n">
        <v>0</v>
      </c>
      <c r="P720" t="n">
        <v>0</v>
      </c>
      <c r="Q720" t="n">
        <v>0</v>
      </c>
      <c r="R720" s="2" t="inlineStr"/>
    </row>
    <row r="721" ht="15" customHeight="1">
      <c r="A721" t="inlineStr">
        <is>
          <t>A 51311-2023</t>
        </is>
      </c>
      <c r="B721" s="1" t="n">
        <v>45219</v>
      </c>
      <c r="C721" s="1" t="n">
        <v>45837</v>
      </c>
      <c r="D721" t="inlineStr">
        <is>
          <t>JÄMTLANDS LÄN</t>
        </is>
      </c>
      <c r="E721" t="inlineStr">
        <is>
          <t>ÅRE</t>
        </is>
      </c>
      <c r="G721" t="n">
        <v>14.2</v>
      </c>
      <c r="H721" t="n">
        <v>0</v>
      </c>
      <c r="I721" t="n">
        <v>0</v>
      </c>
      <c r="J721" t="n">
        <v>0</v>
      </c>
      <c r="K721" t="n">
        <v>0</v>
      </c>
      <c r="L721" t="n">
        <v>0</v>
      </c>
      <c r="M721" t="n">
        <v>0</v>
      </c>
      <c r="N721" t="n">
        <v>0</v>
      </c>
      <c r="O721" t="n">
        <v>0</v>
      </c>
      <c r="P721" t="n">
        <v>0</v>
      </c>
      <c r="Q721" t="n">
        <v>0</v>
      </c>
      <c r="R721" s="2" t="inlineStr"/>
    </row>
    <row r="722" ht="15" customHeight="1">
      <c r="A722" t="inlineStr">
        <is>
          <t>A 51282-2023</t>
        </is>
      </c>
      <c r="B722" s="1" t="n">
        <v>45219</v>
      </c>
      <c r="C722" s="1" t="n">
        <v>45837</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51277-2023</t>
        </is>
      </c>
      <c r="B723" s="1" t="n">
        <v>45219</v>
      </c>
      <c r="C723" s="1" t="n">
        <v>45837</v>
      </c>
      <c r="D723" t="inlineStr">
        <is>
          <t>JÄMTLANDS LÄN</t>
        </is>
      </c>
      <c r="E723" t="inlineStr">
        <is>
          <t>ÅRE</t>
        </is>
      </c>
      <c r="G723" t="n">
        <v>0.9</v>
      </c>
      <c r="H723" t="n">
        <v>0</v>
      </c>
      <c r="I723" t="n">
        <v>0</v>
      </c>
      <c r="J723" t="n">
        <v>0</v>
      </c>
      <c r="K723" t="n">
        <v>0</v>
      </c>
      <c r="L723" t="n">
        <v>0</v>
      </c>
      <c r="M723" t="n">
        <v>0</v>
      </c>
      <c r="N723" t="n">
        <v>0</v>
      </c>
      <c r="O723" t="n">
        <v>0</v>
      </c>
      <c r="P723" t="n">
        <v>0</v>
      </c>
      <c r="Q723" t="n">
        <v>0</v>
      </c>
      <c r="R723" s="2" t="inlineStr"/>
    </row>
    <row r="724" ht="15" customHeight="1">
      <c r="A724" t="inlineStr">
        <is>
          <t>A 51831-2023</t>
        </is>
      </c>
      <c r="B724" s="1" t="n">
        <v>45222</v>
      </c>
      <c r="C724" s="1" t="n">
        <v>45837</v>
      </c>
      <c r="D724" t="inlineStr">
        <is>
          <t>JÄMTLANDS LÄN</t>
        </is>
      </c>
      <c r="E724" t="inlineStr">
        <is>
          <t>ÅRE</t>
        </is>
      </c>
      <c r="G724" t="n">
        <v>2</v>
      </c>
      <c r="H724" t="n">
        <v>0</v>
      </c>
      <c r="I724" t="n">
        <v>0</v>
      </c>
      <c r="J724" t="n">
        <v>0</v>
      </c>
      <c r="K724" t="n">
        <v>0</v>
      </c>
      <c r="L724" t="n">
        <v>0</v>
      </c>
      <c r="M724" t="n">
        <v>0</v>
      </c>
      <c r="N724" t="n">
        <v>0</v>
      </c>
      <c r="O724" t="n">
        <v>0</v>
      </c>
      <c r="P724" t="n">
        <v>0</v>
      </c>
      <c r="Q724" t="n">
        <v>0</v>
      </c>
      <c r="R724" s="2" t="inlineStr"/>
    </row>
    <row r="725" ht="15" customHeight="1">
      <c r="A725" t="inlineStr">
        <is>
          <t>A 52676-2023</t>
        </is>
      </c>
      <c r="B725" s="1" t="n">
        <v>45225</v>
      </c>
      <c r="C725" s="1" t="n">
        <v>45837</v>
      </c>
      <c r="D725" t="inlineStr">
        <is>
          <t>JÄMTLANDS LÄN</t>
        </is>
      </c>
      <c r="E725" t="inlineStr">
        <is>
          <t>ÅRE</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54303-2023</t>
        </is>
      </c>
      <c r="B726" s="1" t="n">
        <v>45225</v>
      </c>
      <c r="C726" s="1" t="n">
        <v>45837</v>
      </c>
      <c r="D726" t="inlineStr">
        <is>
          <t>JÄMTLANDS LÄN</t>
        </is>
      </c>
      <c r="E726" t="inlineStr">
        <is>
          <t>ÅRE</t>
        </is>
      </c>
      <c r="G726" t="n">
        <v>8.9</v>
      </c>
      <c r="H726" t="n">
        <v>0</v>
      </c>
      <c r="I726" t="n">
        <v>0</v>
      </c>
      <c r="J726" t="n">
        <v>0</v>
      </c>
      <c r="K726" t="n">
        <v>0</v>
      </c>
      <c r="L726" t="n">
        <v>0</v>
      </c>
      <c r="M726" t="n">
        <v>0</v>
      </c>
      <c r="N726" t="n">
        <v>0</v>
      </c>
      <c r="O726" t="n">
        <v>0</v>
      </c>
      <c r="P726" t="n">
        <v>0</v>
      </c>
      <c r="Q726" t="n">
        <v>0</v>
      </c>
      <c r="R726" s="2" t="inlineStr"/>
    </row>
    <row r="727" ht="15" customHeight="1">
      <c r="A727" t="inlineStr">
        <is>
          <t>A 54324-2023</t>
        </is>
      </c>
      <c r="B727" s="1" t="n">
        <v>45225</v>
      </c>
      <c r="C727" s="1" t="n">
        <v>45837</v>
      </c>
      <c r="D727" t="inlineStr">
        <is>
          <t>JÄMTLANDS LÄN</t>
        </is>
      </c>
      <c r="E727" t="inlineStr">
        <is>
          <t>ÅRE</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54847-2023</t>
        </is>
      </c>
      <c r="B728" s="1" t="n">
        <v>45229</v>
      </c>
      <c r="C728" s="1" t="n">
        <v>45837</v>
      </c>
      <c r="D728" t="inlineStr">
        <is>
          <t>JÄMTLANDS LÄN</t>
        </is>
      </c>
      <c r="E728" t="inlineStr">
        <is>
          <t>ÅRE</t>
        </is>
      </c>
      <c r="G728" t="n">
        <v>16.6</v>
      </c>
      <c r="H728" t="n">
        <v>0</v>
      </c>
      <c r="I728" t="n">
        <v>0</v>
      </c>
      <c r="J728" t="n">
        <v>0</v>
      </c>
      <c r="K728" t="n">
        <v>0</v>
      </c>
      <c r="L728" t="n">
        <v>0</v>
      </c>
      <c r="M728" t="n">
        <v>0</v>
      </c>
      <c r="N728" t="n">
        <v>0</v>
      </c>
      <c r="O728" t="n">
        <v>0</v>
      </c>
      <c r="P728" t="n">
        <v>0</v>
      </c>
      <c r="Q728" t="n">
        <v>0</v>
      </c>
      <c r="R728" s="2" t="inlineStr"/>
    </row>
    <row r="729" ht="15" customHeight="1">
      <c r="A729" t="inlineStr">
        <is>
          <t>A 55109-2023</t>
        </is>
      </c>
      <c r="B729" s="1" t="n">
        <v>45230</v>
      </c>
      <c r="C729" s="1" t="n">
        <v>45837</v>
      </c>
      <c r="D729" t="inlineStr">
        <is>
          <t>JÄMTLANDS LÄN</t>
        </is>
      </c>
      <c r="E729" t="inlineStr">
        <is>
          <t>ÅRE</t>
        </is>
      </c>
      <c r="G729" t="n">
        <v>1.7</v>
      </c>
      <c r="H729" t="n">
        <v>0</v>
      </c>
      <c r="I729" t="n">
        <v>0</v>
      </c>
      <c r="J729" t="n">
        <v>0</v>
      </c>
      <c r="K729" t="n">
        <v>0</v>
      </c>
      <c r="L729" t="n">
        <v>0</v>
      </c>
      <c r="M729" t="n">
        <v>0</v>
      </c>
      <c r="N729" t="n">
        <v>0</v>
      </c>
      <c r="O729" t="n">
        <v>0</v>
      </c>
      <c r="P729" t="n">
        <v>0</v>
      </c>
      <c r="Q729" t="n">
        <v>0</v>
      </c>
      <c r="R729" s="2" t="inlineStr"/>
    </row>
    <row r="730" ht="15" customHeight="1">
      <c r="A730" t="inlineStr">
        <is>
          <t>A 53899-2023</t>
        </is>
      </c>
      <c r="B730" s="1" t="n">
        <v>45231</v>
      </c>
      <c r="C730" s="1" t="n">
        <v>45837</v>
      </c>
      <c r="D730" t="inlineStr">
        <is>
          <t>JÄMTLANDS LÄN</t>
        </is>
      </c>
      <c r="E730" t="inlineStr">
        <is>
          <t>ÅRE</t>
        </is>
      </c>
      <c r="G730" t="n">
        <v>20.4</v>
      </c>
      <c r="H730" t="n">
        <v>0</v>
      </c>
      <c r="I730" t="n">
        <v>0</v>
      </c>
      <c r="J730" t="n">
        <v>0</v>
      </c>
      <c r="K730" t="n">
        <v>0</v>
      </c>
      <c r="L730" t="n">
        <v>0</v>
      </c>
      <c r="M730" t="n">
        <v>0</v>
      </c>
      <c r="N730" t="n">
        <v>0</v>
      </c>
      <c r="O730" t="n">
        <v>0</v>
      </c>
      <c r="P730" t="n">
        <v>0</v>
      </c>
      <c r="Q730" t="n">
        <v>0</v>
      </c>
      <c r="R730" s="2" t="inlineStr"/>
    </row>
    <row r="731" ht="15" customHeight="1">
      <c r="A731" t="inlineStr">
        <is>
          <t>A 54164-2023</t>
        </is>
      </c>
      <c r="B731" s="1" t="n">
        <v>45232</v>
      </c>
      <c r="C731" s="1" t="n">
        <v>45837</v>
      </c>
      <c r="D731" t="inlineStr">
        <is>
          <t>JÄMTLANDS LÄN</t>
        </is>
      </c>
      <c r="E731" t="inlineStr">
        <is>
          <t>ÅRE</t>
        </is>
      </c>
      <c r="G731" t="n">
        <v>2.6</v>
      </c>
      <c r="H731" t="n">
        <v>0</v>
      </c>
      <c r="I731" t="n">
        <v>0</v>
      </c>
      <c r="J731" t="n">
        <v>0</v>
      </c>
      <c r="K731" t="n">
        <v>0</v>
      </c>
      <c r="L731" t="n">
        <v>0</v>
      </c>
      <c r="M731" t="n">
        <v>0</v>
      </c>
      <c r="N731" t="n">
        <v>0</v>
      </c>
      <c r="O731" t="n">
        <v>0</v>
      </c>
      <c r="P731" t="n">
        <v>0</v>
      </c>
      <c r="Q731" t="n">
        <v>0</v>
      </c>
      <c r="R731" s="2" t="inlineStr"/>
    </row>
    <row r="732" ht="15" customHeight="1">
      <c r="A732" t="inlineStr">
        <is>
          <t>A 54116-2023</t>
        </is>
      </c>
      <c r="B732" s="1" t="n">
        <v>45232</v>
      </c>
      <c r="C732" s="1" t="n">
        <v>45837</v>
      </c>
      <c r="D732" t="inlineStr">
        <is>
          <t>JÄMTLANDS LÄN</t>
        </is>
      </c>
      <c r="E732" t="inlineStr">
        <is>
          <t>ÅRE</t>
        </is>
      </c>
      <c r="G732" t="n">
        <v>3.8</v>
      </c>
      <c r="H732" t="n">
        <v>0</v>
      </c>
      <c r="I732" t="n">
        <v>0</v>
      </c>
      <c r="J732" t="n">
        <v>0</v>
      </c>
      <c r="K732" t="n">
        <v>0</v>
      </c>
      <c r="L732" t="n">
        <v>0</v>
      </c>
      <c r="M732" t="n">
        <v>0</v>
      </c>
      <c r="N732" t="n">
        <v>0</v>
      </c>
      <c r="O732" t="n">
        <v>0</v>
      </c>
      <c r="P732" t="n">
        <v>0</v>
      </c>
      <c r="Q732" t="n">
        <v>0</v>
      </c>
      <c r="R732" s="2" t="inlineStr"/>
    </row>
    <row r="733" ht="15" customHeight="1">
      <c r="A733" t="inlineStr">
        <is>
          <t>A 54175-2023</t>
        </is>
      </c>
      <c r="B733" s="1" t="n">
        <v>45232</v>
      </c>
      <c r="C733" s="1" t="n">
        <v>45837</v>
      </c>
      <c r="D733" t="inlineStr">
        <is>
          <t>JÄMTLANDS LÄN</t>
        </is>
      </c>
      <c r="E733" t="inlineStr">
        <is>
          <t>ÅRE</t>
        </is>
      </c>
      <c r="G733" t="n">
        <v>0.1</v>
      </c>
      <c r="H733" t="n">
        <v>0</v>
      </c>
      <c r="I733" t="n">
        <v>0</v>
      </c>
      <c r="J733" t="n">
        <v>0</v>
      </c>
      <c r="K733" t="n">
        <v>0</v>
      </c>
      <c r="L733" t="n">
        <v>0</v>
      </c>
      <c r="M733" t="n">
        <v>0</v>
      </c>
      <c r="N733" t="n">
        <v>0</v>
      </c>
      <c r="O733" t="n">
        <v>0</v>
      </c>
      <c r="P733" t="n">
        <v>0</v>
      </c>
      <c r="Q733" t="n">
        <v>0</v>
      </c>
      <c r="R733" s="2" t="inlineStr"/>
    </row>
    <row r="734" ht="15" customHeight="1">
      <c r="A734" t="inlineStr">
        <is>
          <t>A 56044-2023</t>
        </is>
      </c>
      <c r="B734" s="1" t="n">
        <v>45233</v>
      </c>
      <c r="C734" s="1" t="n">
        <v>45837</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54385-2023</t>
        </is>
      </c>
      <c r="B735" s="1" t="n">
        <v>45233</v>
      </c>
      <c r="C735" s="1" t="n">
        <v>45837</v>
      </c>
      <c r="D735" t="inlineStr">
        <is>
          <t>JÄMTLANDS LÄN</t>
        </is>
      </c>
      <c r="E735" t="inlineStr">
        <is>
          <t>ÅRE</t>
        </is>
      </c>
      <c r="G735" t="n">
        <v>3.7</v>
      </c>
      <c r="H735" t="n">
        <v>0</v>
      </c>
      <c r="I735" t="n">
        <v>0</v>
      </c>
      <c r="J735" t="n">
        <v>0</v>
      </c>
      <c r="K735" t="n">
        <v>0</v>
      </c>
      <c r="L735" t="n">
        <v>0</v>
      </c>
      <c r="M735" t="n">
        <v>0</v>
      </c>
      <c r="N735" t="n">
        <v>0</v>
      </c>
      <c r="O735" t="n">
        <v>0</v>
      </c>
      <c r="P735" t="n">
        <v>0</v>
      </c>
      <c r="Q735" t="n">
        <v>0</v>
      </c>
      <c r="R735" s="2" t="inlineStr"/>
    </row>
    <row r="736" ht="15" customHeight="1">
      <c r="A736" t="inlineStr">
        <is>
          <t>A 54377-2023</t>
        </is>
      </c>
      <c r="B736" s="1" t="n">
        <v>45233</v>
      </c>
      <c r="C736" s="1" t="n">
        <v>45837</v>
      </c>
      <c r="D736" t="inlineStr">
        <is>
          <t>JÄMTLANDS LÄN</t>
        </is>
      </c>
      <c r="E736" t="inlineStr">
        <is>
          <t>ÅRE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54373-2023</t>
        </is>
      </c>
      <c r="B737" s="1" t="n">
        <v>45233</v>
      </c>
      <c r="C737" s="1" t="n">
        <v>45837</v>
      </c>
      <c r="D737" t="inlineStr">
        <is>
          <t>JÄMTLANDS LÄN</t>
        </is>
      </c>
      <c r="E737" t="inlineStr">
        <is>
          <t>ÅRE</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54781-2023</t>
        </is>
      </c>
      <c r="B738" s="1" t="n">
        <v>45236</v>
      </c>
      <c r="C738" s="1" t="n">
        <v>45837</v>
      </c>
      <c r="D738" t="inlineStr">
        <is>
          <t>JÄMTLANDS LÄN</t>
        </is>
      </c>
      <c r="E738" t="inlineStr">
        <is>
          <t>ÅRE</t>
        </is>
      </c>
      <c r="G738" t="n">
        <v>3.5</v>
      </c>
      <c r="H738" t="n">
        <v>0</v>
      </c>
      <c r="I738" t="n">
        <v>0</v>
      </c>
      <c r="J738" t="n">
        <v>0</v>
      </c>
      <c r="K738" t="n">
        <v>0</v>
      </c>
      <c r="L738" t="n">
        <v>0</v>
      </c>
      <c r="M738" t="n">
        <v>0</v>
      </c>
      <c r="N738" t="n">
        <v>0</v>
      </c>
      <c r="O738" t="n">
        <v>0</v>
      </c>
      <c r="P738" t="n">
        <v>0</v>
      </c>
      <c r="Q738" t="n">
        <v>0</v>
      </c>
      <c r="R738" s="2" t="inlineStr"/>
    </row>
    <row r="739" ht="15" customHeight="1">
      <c r="A739" t="inlineStr">
        <is>
          <t>A 54796-2023</t>
        </is>
      </c>
      <c r="B739" s="1" t="n">
        <v>45236</v>
      </c>
      <c r="C739" s="1" t="n">
        <v>45837</v>
      </c>
      <c r="D739" t="inlineStr">
        <is>
          <t>JÄMTLANDS LÄN</t>
        </is>
      </c>
      <c r="E739" t="inlineStr">
        <is>
          <t>ÅRE</t>
        </is>
      </c>
      <c r="G739" t="n">
        <v>9.1</v>
      </c>
      <c r="H739" t="n">
        <v>0</v>
      </c>
      <c r="I739" t="n">
        <v>0</v>
      </c>
      <c r="J739" t="n">
        <v>0</v>
      </c>
      <c r="K739" t="n">
        <v>0</v>
      </c>
      <c r="L739" t="n">
        <v>0</v>
      </c>
      <c r="M739" t="n">
        <v>0</v>
      </c>
      <c r="N739" t="n">
        <v>0</v>
      </c>
      <c r="O739" t="n">
        <v>0</v>
      </c>
      <c r="P739" t="n">
        <v>0</v>
      </c>
      <c r="Q739" t="n">
        <v>0</v>
      </c>
      <c r="R739" s="2" t="inlineStr"/>
    </row>
    <row r="740" ht="15" customHeight="1">
      <c r="A740" t="inlineStr">
        <is>
          <t>A 54898-2023</t>
        </is>
      </c>
      <c r="B740" s="1" t="n">
        <v>45236</v>
      </c>
      <c r="C740" s="1" t="n">
        <v>45837</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54907-2023</t>
        </is>
      </c>
      <c r="B741" s="1" t="n">
        <v>45236</v>
      </c>
      <c r="C741" s="1" t="n">
        <v>45837</v>
      </c>
      <c r="D741" t="inlineStr">
        <is>
          <t>JÄMTLANDS LÄN</t>
        </is>
      </c>
      <c r="E741" t="inlineStr">
        <is>
          <t>ÅRE</t>
        </is>
      </c>
      <c r="F741" t="inlineStr">
        <is>
          <t>Övriga Aktiebolag</t>
        </is>
      </c>
      <c r="G741" t="n">
        <v>2.6</v>
      </c>
      <c r="H741" t="n">
        <v>0</v>
      </c>
      <c r="I741" t="n">
        <v>0</v>
      </c>
      <c r="J741" t="n">
        <v>0</v>
      </c>
      <c r="K741" t="n">
        <v>0</v>
      </c>
      <c r="L741" t="n">
        <v>0</v>
      </c>
      <c r="M741" t="n">
        <v>0</v>
      </c>
      <c r="N741" t="n">
        <v>0</v>
      </c>
      <c r="O741" t="n">
        <v>0</v>
      </c>
      <c r="P741" t="n">
        <v>0</v>
      </c>
      <c r="Q741" t="n">
        <v>0</v>
      </c>
      <c r="R741" s="2" t="inlineStr"/>
    </row>
    <row r="742" ht="15" customHeight="1">
      <c r="A742" t="inlineStr">
        <is>
          <t>A 55860-2023</t>
        </is>
      </c>
      <c r="B742" s="1" t="n">
        <v>45239</v>
      </c>
      <c r="C742" s="1" t="n">
        <v>45837</v>
      </c>
      <c r="D742" t="inlineStr">
        <is>
          <t>JÄMTLANDS LÄN</t>
        </is>
      </c>
      <c r="E742" t="inlineStr">
        <is>
          <t>ÅRE</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56609-2023</t>
        </is>
      </c>
      <c r="B743" s="1" t="n">
        <v>45243</v>
      </c>
      <c r="C743" s="1" t="n">
        <v>45837</v>
      </c>
      <c r="D743" t="inlineStr">
        <is>
          <t>JÄMTLANDS LÄN</t>
        </is>
      </c>
      <c r="E743" t="inlineStr">
        <is>
          <t>ÅRE</t>
        </is>
      </c>
      <c r="G743" t="n">
        <v>17.9</v>
      </c>
      <c r="H743" t="n">
        <v>0</v>
      </c>
      <c r="I743" t="n">
        <v>0</v>
      </c>
      <c r="J743" t="n">
        <v>0</v>
      </c>
      <c r="K743" t="n">
        <v>0</v>
      </c>
      <c r="L743" t="n">
        <v>0</v>
      </c>
      <c r="M743" t="n">
        <v>0</v>
      </c>
      <c r="N743" t="n">
        <v>0</v>
      </c>
      <c r="O743" t="n">
        <v>0</v>
      </c>
      <c r="P743" t="n">
        <v>0</v>
      </c>
      <c r="Q743" t="n">
        <v>0</v>
      </c>
      <c r="R743" s="2" t="inlineStr"/>
    </row>
    <row r="744" ht="15" customHeight="1">
      <c r="A744" t="inlineStr">
        <is>
          <t>A 56679-2023</t>
        </is>
      </c>
      <c r="B744" s="1" t="n">
        <v>45243</v>
      </c>
      <c r="C744" s="1" t="n">
        <v>45837</v>
      </c>
      <c r="D744" t="inlineStr">
        <is>
          <t>JÄMTLANDS LÄN</t>
        </is>
      </c>
      <c r="E744" t="inlineStr">
        <is>
          <t>ÅRE</t>
        </is>
      </c>
      <c r="G744" t="n">
        <v>4.3</v>
      </c>
      <c r="H744" t="n">
        <v>0</v>
      </c>
      <c r="I744" t="n">
        <v>0</v>
      </c>
      <c r="J744" t="n">
        <v>0</v>
      </c>
      <c r="K744" t="n">
        <v>0</v>
      </c>
      <c r="L744" t="n">
        <v>0</v>
      </c>
      <c r="M744" t="n">
        <v>0</v>
      </c>
      <c r="N744" t="n">
        <v>0</v>
      </c>
      <c r="O744" t="n">
        <v>0</v>
      </c>
      <c r="P744" t="n">
        <v>0</v>
      </c>
      <c r="Q744" t="n">
        <v>0</v>
      </c>
      <c r="R744" s="2" t="inlineStr"/>
    </row>
    <row r="745" ht="15" customHeight="1">
      <c r="A745" t="inlineStr">
        <is>
          <t>A 56736-2023</t>
        </is>
      </c>
      <c r="B745" s="1" t="n">
        <v>45244</v>
      </c>
      <c r="C745" s="1" t="n">
        <v>45837</v>
      </c>
      <c r="D745" t="inlineStr">
        <is>
          <t>JÄMTLANDS LÄN</t>
        </is>
      </c>
      <c r="E745" t="inlineStr">
        <is>
          <t>ÅRE</t>
        </is>
      </c>
      <c r="F745" t="inlineStr">
        <is>
          <t>Övriga Aktiebolag</t>
        </is>
      </c>
      <c r="G745" t="n">
        <v>10.7</v>
      </c>
      <c r="H745" t="n">
        <v>0</v>
      </c>
      <c r="I745" t="n">
        <v>0</v>
      </c>
      <c r="J745" t="n">
        <v>0</v>
      </c>
      <c r="K745" t="n">
        <v>0</v>
      </c>
      <c r="L745" t="n">
        <v>0</v>
      </c>
      <c r="M745" t="n">
        <v>0</v>
      </c>
      <c r="N745" t="n">
        <v>0</v>
      </c>
      <c r="O745" t="n">
        <v>0</v>
      </c>
      <c r="P745" t="n">
        <v>0</v>
      </c>
      <c r="Q745" t="n">
        <v>0</v>
      </c>
      <c r="R745" s="2" t="inlineStr"/>
    </row>
    <row r="746" ht="15" customHeight="1">
      <c r="A746" t="inlineStr">
        <is>
          <t>A 56976-2023</t>
        </is>
      </c>
      <c r="B746" s="1" t="n">
        <v>45244</v>
      </c>
      <c r="C746" s="1" t="n">
        <v>45837</v>
      </c>
      <c r="D746" t="inlineStr">
        <is>
          <t>JÄMTLANDS LÄN</t>
        </is>
      </c>
      <c r="E746" t="inlineStr">
        <is>
          <t>ÅRE</t>
        </is>
      </c>
      <c r="F746" t="inlineStr">
        <is>
          <t>Övriga Aktiebolag</t>
        </is>
      </c>
      <c r="G746" t="n">
        <v>4.9</v>
      </c>
      <c r="H746" t="n">
        <v>0</v>
      </c>
      <c r="I746" t="n">
        <v>0</v>
      </c>
      <c r="J746" t="n">
        <v>0</v>
      </c>
      <c r="K746" t="n">
        <v>0</v>
      </c>
      <c r="L746" t="n">
        <v>0</v>
      </c>
      <c r="M746" t="n">
        <v>0</v>
      </c>
      <c r="N746" t="n">
        <v>0</v>
      </c>
      <c r="O746" t="n">
        <v>0</v>
      </c>
      <c r="P746" t="n">
        <v>0</v>
      </c>
      <c r="Q746" t="n">
        <v>0</v>
      </c>
      <c r="R746" s="2" t="inlineStr"/>
    </row>
    <row r="747" ht="15" customHeight="1">
      <c r="A747" t="inlineStr">
        <is>
          <t>A 57448-2023</t>
        </is>
      </c>
      <c r="B747" s="1" t="n">
        <v>45246</v>
      </c>
      <c r="C747" s="1" t="n">
        <v>45837</v>
      </c>
      <c r="D747" t="inlineStr">
        <is>
          <t>JÄMTLANDS LÄN</t>
        </is>
      </c>
      <c r="E747" t="inlineStr">
        <is>
          <t>ÅRE</t>
        </is>
      </c>
      <c r="G747" t="n">
        <v>11.9</v>
      </c>
      <c r="H747" t="n">
        <v>0</v>
      </c>
      <c r="I747" t="n">
        <v>0</v>
      </c>
      <c r="J747" t="n">
        <v>0</v>
      </c>
      <c r="K747" t="n">
        <v>0</v>
      </c>
      <c r="L747" t="n">
        <v>0</v>
      </c>
      <c r="M747" t="n">
        <v>0</v>
      </c>
      <c r="N747" t="n">
        <v>0</v>
      </c>
      <c r="O747" t="n">
        <v>0</v>
      </c>
      <c r="P747" t="n">
        <v>0</v>
      </c>
      <c r="Q747" t="n">
        <v>0</v>
      </c>
      <c r="R747" s="2" t="inlineStr"/>
    </row>
    <row r="748" ht="15" customHeight="1">
      <c r="A748" t="inlineStr">
        <is>
          <t>A 57772-2023</t>
        </is>
      </c>
      <c r="B748" s="1" t="n">
        <v>45246</v>
      </c>
      <c r="C748" s="1" t="n">
        <v>45837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57770-2023</t>
        </is>
      </c>
      <c r="B749" s="1" t="n">
        <v>45246</v>
      </c>
      <c r="C749" s="1" t="n">
        <v>45837</v>
      </c>
      <c r="D749" t="inlineStr">
        <is>
          <t>JÄMTLANDS LÄN</t>
        </is>
      </c>
      <c r="E749" t="inlineStr">
        <is>
          <t>ÅRE</t>
        </is>
      </c>
      <c r="G749" t="n">
        <v>0.9</v>
      </c>
      <c r="H749" t="n">
        <v>0</v>
      </c>
      <c r="I749" t="n">
        <v>0</v>
      </c>
      <c r="J749" t="n">
        <v>0</v>
      </c>
      <c r="K749" t="n">
        <v>0</v>
      </c>
      <c r="L749" t="n">
        <v>0</v>
      </c>
      <c r="M749" t="n">
        <v>0</v>
      </c>
      <c r="N749" t="n">
        <v>0</v>
      </c>
      <c r="O749" t="n">
        <v>0</v>
      </c>
      <c r="P749" t="n">
        <v>0</v>
      </c>
      <c r="Q749" t="n">
        <v>0</v>
      </c>
      <c r="R749" s="2" t="inlineStr"/>
    </row>
    <row r="750" ht="15" customHeight="1">
      <c r="A750" t="inlineStr">
        <is>
          <t>A 58508-2023</t>
        </is>
      </c>
      <c r="B750" s="1" t="n">
        <v>45246</v>
      </c>
      <c r="C750" s="1" t="n">
        <v>45837</v>
      </c>
      <c r="D750" t="inlineStr">
        <is>
          <t>JÄMTLANDS LÄN</t>
        </is>
      </c>
      <c r="E750" t="inlineStr">
        <is>
          <t>ÅRE</t>
        </is>
      </c>
      <c r="G750" t="n">
        <v>21.8</v>
      </c>
      <c r="H750" t="n">
        <v>0</v>
      </c>
      <c r="I750" t="n">
        <v>0</v>
      </c>
      <c r="J750" t="n">
        <v>0</v>
      </c>
      <c r="K750" t="n">
        <v>0</v>
      </c>
      <c r="L750" t="n">
        <v>0</v>
      </c>
      <c r="M750" t="n">
        <v>0</v>
      </c>
      <c r="N750" t="n">
        <v>0</v>
      </c>
      <c r="O750" t="n">
        <v>0</v>
      </c>
      <c r="P750" t="n">
        <v>0</v>
      </c>
      <c r="Q750" t="n">
        <v>0</v>
      </c>
      <c r="R750" s="2" t="inlineStr"/>
    </row>
    <row r="751" ht="15" customHeight="1">
      <c r="A751" t="inlineStr">
        <is>
          <t>A 58178-2023</t>
        </is>
      </c>
      <c r="B751" s="1" t="n">
        <v>45250</v>
      </c>
      <c r="C751" s="1" t="n">
        <v>45837</v>
      </c>
      <c r="D751" t="inlineStr">
        <is>
          <t>JÄMTLANDS LÄN</t>
        </is>
      </c>
      <c r="E751" t="inlineStr">
        <is>
          <t>ÅRE</t>
        </is>
      </c>
      <c r="G751" t="n">
        <v>2.9</v>
      </c>
      <c r="H751" t="n">
        <v>0</v>
      </c>
      <c r="I751" t="n">
        <v>0</v>
      </c>
      <c r="J751" t="n">
        <v>0</v>
      </c>
      <c r="K751" t="n">
        <v>0</v>
      </c>
      <c r="L751" t="n">
        <v>0</v>
      </c>
      <c r="M751" t="n">
        <v>0</v>
      </c>
      <c r="N751" t="n">
        <v>0</v>
      </c>
      <c r="O751" t="n">
        <v>0</v>
      </c>
      <c r="P751" t="n">
        <v>0</v>
      </c>
      <c r="Q751" t="n">
        <v>0</v>
      </c>
      <c r="R751" s="2" t="inlineStr"/>
    </row>
    <row r="752" ht="15" customHeight="1">
      <c r="A752" t="inlineStr">
        <is>
          <t>A 58196-2023</t>
        </is>
      </c>
      <c r="B752" s="1" t="n">
        <v>45250</v>
      </c>
      <c r="C752" s="1" t="n">
        <v>45837</v>
      </c>
      <c r="D752" t="inlineStr">
        <is>
          <t>JÄMTLANDS LÄN</t>
        </is>
      </c>
      <c r="E752" t="inlineStr">
        <is>
          <t>ÅRE</t>
        </is>
      </c>
      <c r="G752" t="n">
        <v>0.6</v>
      </c>
      <c r="H752" t="n">
        <v>0</v>
      </c>
      <c r="I752" t="n">
        <v>0</v>
      </c>
      <c r="J752" t="n">
        <v>0</v>
      </c>
      <c r="K752" t="n">
        <v>0</v>
      </c>
      <c r="L752" t="n">
        <v>0</v>
      </c>
      <c r="M752" t="n">
        <v>0</v>
      </c>
      <c r="N752" t="n">
        <v>0</v>
      </c>
      <c r="O752" t="n">
        <v>0</v>
      </c>
      <c r="P752" t="n">
        <v>0</v>
      </c>
      <c r="Q752" t="n">
        <v>0</v>
      </c>
      <c r="R752" s="2" t="inlineStr"/>
    </row>
    <row r="753" ht="15" customHeight="1">
      <c r="A753" t="inlineStr">
        <is>
          <t>A 58302-2023</t>
        </is>
      </c>
      <c r="B753" s="1" t="n">
        <v>45250</v>
      </c>
      <c r="C753" s="1" t="n">
        <v>45837</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58296-2023</t>
        </is>
      </c>
      <c r="B754" s="1" t="n">
        <v>45250</v>
      </c>
      <c r="C754" s="1" t="n">
        <v>45837</v>
      </c>
      <c r="D754" t="inlineStr">
        <is>
          <t>JÄMTLANDS LÄN</t>
        </is>
      </c>
      <c r="E754" t="inlineStr">
        <is>
          <t>ÅRE</t>
        </is>
      </c>
      <c r="G754" t="n">
        <v>6.3</v>
      </c>
      <c r="H754" t="n">
        <v>0</v>
      </c>
      <c r="I754" t="n">
        <v>0</v>
      </c>
      <c r="J754" t="n">
        <v>0</v>
      </c>
      <c r="K754" t="n">
        <v>0</v>
      </c>
      <c r="L754" t="n">
        <v>0</v>
      </c>
      <c r="M754" t="n">
        <v>0</v>
      </c>
      <c r="N754" t="n">
        <v>0</v>
      </c>
      <c r="O754" t="n">
        <v>0</v>
      </c>
      <c r="P754" t="n">
        <v>0</v>
      </c>
      <c r="Q754" t="n">
        <v>0</v>
      </c>
      <c r="R754" s="2" t="inlineStr"/>
    </row>
    <row r="755" ht="15" customHeight="1">
      <c r="A755" t="inlineStr">
        <is>
          <t>A 58299-2023</t>
        </is>
      </c>
      <c r="B755" s="1" t="n">
        <v>45250</v>
      </c>
      <c r="C755" s="1" t="n">
        <v>45837</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58907-2023</t>
        </is>
      </c>
      <c r="B756" s="1" t="n">
        <v>45252</v>
      </c>
      <c r="C756" s="1" t="n">
        <v>45837</v>
      </c>
      <c r="D756" t="inlineStr">
        <is>
          <t>JÄMTLANDS LÄN</t>
        </is>
      </c>
      <c r="E756" t="inlineStr">
        <is>
          <t>ÅRE</t>
        </is>
      </c>
      <c r="G756" t="n">
        <v>5.3</v>
      </c>
      <c r="H756" t="n">
        <v>0</v>
      </c>
      <c r="I756" t="n">
        <v>0</v>
      </c>
      <c r="J756" t="n">
        <v>0</v>
      </c>
      <c r="K756" t="n">
        <v>0</v>
      </c>
      <c r="L756" t="n">
        <v>0</v>
      </c>
      <c r="M756" t="n">
        <v>0</v>
      </c>
      <c r="N756" t="n">
        <v>0</v>
      </c>
      <c r="O756" t="n">
        <v>0</v>
      </c>
      <c r="P756" t="n">
        <v>0</v>
      </c>
      <c r="Q756" t="n">
        <v>0</v>
      </c>
      <c r="R756" s="2" t="inlineStr"/>
    </row>
    <row r="757" ht="15" customHeight="1">
      <c r="A757" t="inlineStr">
        <is>
          <t>A 59267-2023</t>
        </is>
      </c>
      <c r="B757" s="1" t="n">
        <v>45253</v>
      </c>
      <c r="C757" s="1" t="n">
        <v>45837</v>
      </c>
      <c r="D757" t="inlineStr">
        <is>
          <t>JÄMTLANDS LÄN</t>
        </is>
      </c>
      <c r="E757" t="inlineStr">
        <is>
          <t>ÅRE</t>
        </is>
      </c>
      <c r="G757" t="n">
        <v>2.7</v>
      </c>
      <c r="H757" t="n">
        <v>0</v>
      </c>
      <c r="I757" t="n">
        <v>0</v>
      </c>
      <c r="J757" t="n">
        <v>0</v>
      </c>
      <c r="K757" t="n">
        <v>0</v>
      </c>
      <c r="L757" t="n">
        <v>0</v>
      </c>
      <c r="M757" t="n">
        <v>0</v>
      </c>
      <c r="N757" t="n">
        <v>0</v>
      </c>
      <c r="O757" t="n">
        <v>0</v>
      </c>
      <c r="P757" t="n">
        <v>0</v>
      </c>
      <c r="Q757" t="n">
        <v>0</v>
      </c>
      <c r="R757" s="2" t="inlineStr"/>
    </row>
    <row r="758" ht="15" customHeight="1">
      <c r="A758" t="inlineStr">
        <is>
          <t>A 59274-2023</t>
        </is>
      </c>
      <c r="B758" s="1" t="n">
        <v>45253</v>
      </c>
      <c r="C758" s="1" t="n">
        <v>45837</v>
      </c>
      <c r="D758" t="inlineStr">
        <is>
          <t>JÄMTLANDS LÄN</t>
        </is>
      </c>
      <c r="E758" t="inlineStr">
        <is>
          <t>ÅRE</t>
        </is>
      </c>
      <c r="G758" t="n">
        <v>1.5</v>
      </c>
      <c r="H758" t="n">
        <v>0</v>
      </c>
      <c r="I758" t="n">
        <v>0</v>
      </c>
      <c r="J758" t="n">
        <v>0</v>
      </c>
      <c r="K758" t="n">
        <v>0</v>
      </c>
      <c r="L758" t="n">
        <v>0</v>
      </c>
      <c r="M758" t="n">
        <v>0</v>
      </c>
      <c r="N758" t="n">
        <v>0</v>
      </c>
      <c r="O758" t="n">
        <v>0</v>
      </c>
      <c r="P758" t="n">
        <v>0</v>
      </c>
      <c r="Q758" t="n">
        <v>0</v>
      </c>
      <c r="R758" s="2" t="inlineStr"/>
    </row>
    <row r="759" ht="15" customHeight="1">
      <c r="A759" t="inlineStr">
        <is>
          <t>A 59400-2023</t>
        </is>
      </c>
      <c r="B759" s="1" t="n">
        <v>45253</v>
      </c>
      <c r="C759" s="1" t="n">
        <v>45837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59398-2023</t>
        </is>
      </c>
      <c r="B760" s="1" t="n">
        <v>45253</v>
      </c>
      <c r="C760" s="1" t="n">
        <v>45837</v>
      </c>
      <c r="D760" t="inlineStr">
        <is>
          <t>JÄMTLANDS LÄN</t>
        </is>
      </c>
      <c r="E760" t="inlineStr">
        <is>
          <t>ÅRE</t>
        </is>
      </c>
      <c r="G760" t="n">
        <v>2.3</v>
      </c>
      <c r="H760" t="n">
        <v>0</v>
      </c>
      <c r="I760" t="n">
        <v>0</v>
      </c>
      <c r="J760" t="n">
        <v>0</v>
      </c>
      <c r="K760" t="n">
        <v>0</v>
      </c>
      <c r="L760" t="n">
        <v>0</v>
      </c>
      <c r="M760" t="n">
        <v>0</v>
      </c>
      <c r="N760" t="n">
        <v>0</v>
      </c>
      <c r="O760" t="n">
        <v>0</v>
      </c>
      <c r="P760" t="n">
        <v>0</v>
      </c>
      <c r="Q760" t="n">
        <v>0</v>
      </c>
      <c r="R760" s="2" t="inlineStr"/>
    </row>
    <row r="761" ht="15" customHeight="1">
      <c r="A761" t="inlineStr">
        <is>
          <t>A 59414-2023</t>
        </is>
      </c>
      <c r="B761" s="1" t="n">
        <v>45254</v>
      </c>
      <c r="C761" s="1" t="n">
        <v>45837</v>
      </c>
      <c r="D761" t="inlineStr">
        <is>
          <t>JÄMTLANDS LÄN</t>
        </is>
      </c>
      <c r="E761" t="inlineStr">
        <is>
          <t>ÅRE</t>
        </is>
      </c>
      <c r="G761" t="n">
        <v>3.6</v>
      </c>
      <c r="H761" t="n">
        <v>0</v>
      </c>
      <c r="I761" t="n">
        <v>0</v>
      </c>
      <c r="J761" t="n">
        <v>0</v>
      </c>
      <c r="K761" t="n">
        <v>0</v>
      </c>
      <c r="L761" t="n">
        <v>0</v>
      </c>
      <c r="M761" t="n">
        <v>0</v>
      </c>
      <c r="N761" t="n">
        <v>0</v>
      </c>
      <c r="O761" t="n">
        <v>0</v>
      </c>
      <c r="P761" t="n">
        <v>0</v>
      </c>
      <c r="Q761" t="n">
        <v>0</v>
      </c>
      <c r="R761" s="2" t="inlineStr"/>
    </row>
    <row r="762" ht="15" customHeight="1">
      <c r="A762" t="inlineStr">
        <is>
          <t>A 59413-2023</t>
        </is>
      </c>
      <c r="B762" s="1" t="n">
        <v>45254</v>
      </c>
      <c r="C762" s="1" t="n">
        <v>45837</v>
      </c>
      <c r="D762" t="inlineStr">
        <is>
          <t>JÄMTLANDS LÄN</t>
        </is>
      </c>
      <c r="E762" t="inlineStr">
        <is>
          <t>ÅRE</t>
        </is>
      </c>
      <c r="G762" t="n">
        <v>4</v>
      </c>
      <c r="H762" t="n">
        <v>0</v>
      </c>
      <c r="I762" t="n">
        <v>0</v>
      </c>
      <c r="J762" t="n">
        <v>0</v>
      </c>
      <c r="K762" t="n">
        <v>0</v>
      </c>
      <c r="L762" t="n">
        <v>0</v>
      </c>
      <c r="M762" t="n">
        <v>0</v>
      </c>
      <c r="N762" t="n">
        <v>0</v>
      </c>
      <c r="O762" t="n">
        <v>0</v>
      </c>
      <c r="P762" t="n">
        <v>0</v>
      </c>
      <c r="Q762" t="n">
        <v>0</v>
      </c>
      <c r="R762" s="2" t="inlineStr"/>
    </row>
    <row r="763" ht="15" customHeight="1">
      <c r="A763" t="inlineStr">
        <is>
          <t>A 59666-2023</t>
        </is>
      </c>
      <c r="B763" s="1" t="n">
        <v>45255</v>
      </c>
      <c r="C763" s="1" t="n">
        <v>45837</v>
      </c>
      <c r="D763" t="inlineStr">
        <is>
          <t>JÄMTLANDS LÄN</t>
        </is>
      </c>
      <c r="E763" t="inlineStr">
        <is>
          <t>ÅRE</t>
        </is>
      </c>
      <c r="G763" t="n">
        <v>6.6</v>
      </c>
      <c r="H763" t="n">
        <v>0</v>
      </c>
      <c r="I763" t="n">
        <v>0</v>
      </c>
      <c r="J763" t="n">
        <v>0</v>
      </c>
      <c r="K763" t="n">
        <v>0</v>
      </c>
      <c r="L763" t="n">
        <v>0</v>
      </c>
      <c r="M763" t="n">
        <v>0</v>
      </c>
      <c r="N763" t="n">
        <v>0</v>
      </c>
      <c r="O763" t="n">
        <v>0</v>
      </c>
      <c r="P763" t="n">
        <v>0</v>
      </c>
      <c r="Q763" t="n">
        <v>0</v>
      </c>
      <c r="R763" s="2" t="inlineStr"/>
    </row>
    <row r="764" ht="15" customHeight="1">
      <c r="A764" t="inlineStr">
        <is>
          <t>A 59753-2023</t>
        </is>
      </c>
      <c r="B764" s="1" t="n">
        <v>45254</v>
      </c>
      <c r="C764" s="1" t="n">
        <v>45837</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59968-2023</t>
        </is>
      </c>
      <c r="B765" s="1" t="n">
        <v>45254</v>
      </c>
      <c r="C765" s="1" t="n">
        <v>45837</v>
      </c>
      <c r="D765" t="inlineStr">
        <is>
          <t>JÄMTLANDS LÄN</t>
        </is>
      </c>
      <c r="E765" t="inlineStr">
        <is>
          <t>ÅRE</t>
        </is>
      </c>
      <c r="G765" t="n">
        <v>1.7</v>
      </c>
      <c r="H765" t="n">
        <v>0</v>
      </c>
      <c r="I765" t="n">
        <v>0</v>
      </c>
      <c r="J765" t="n">
        <v>0</v>
      </c>
      <c r="K765" t="n">
        <v>0</v>
      </c>
      <c r="L765" t="n">
        <v>0</v>
      </c>
      <c r="M765" t="n">
        <v>0</v>
      </c>
      <c r="N765" t="n">
        <v>0</v>
      </c>
      <c r="O765" t="n">
        <v>0</v>
      </c>
      <c r="P765" t="n">
        <v>0</v>
      </c>
      <c r="Q765" t="n">
        <v>0</v>
      </c>
      <c r="R765" s="2" t="inlineStr"/>
    </row>
    <row r="766" ht="15" customHeight="1">
      <c r="A766" t="inlineStr">
        <is>
          <t>A 59916-2023</t>
        </is>
      </c>
      <c r="B766" s="1" t="n">
        <v>45257</v>
      </c>
      <c r="C766" s="1" t="n">
        <v>45837</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59864-2023</t>
        </is>
      </c>
      <c r="B767" s="1" t="n">
        <v>45257</v>
      </c>
      <c r="C767" s="1" t="n">
        <v>45837</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59878-2023</t>
        </is>
      </c>
      <c r="B768" s="1" t="n">
        <v>45257</v>
      </c>
      <c r="C768" s="1" t="n">
        <v>45837</v>
      </c>
      <c r="D768" t="inlineStr">
        <is>
          <t>JÄMTLANDS LÄN</t>
        </is>
      </c>
      <c r="E768" t="inlineStr">
        <is>
          <t>ÅRE</t>
        </is>
      </c>
      <c r="G768" t="n">
        <v>0.6</v>
      </c>
      <c r="H768" t="n">
        <v>0</v>
      </c>
      <c r="I768" t="n">
        <v>0</v>
      </c>
      <c r="J768" t="n">
        <v>0</v>
      </c>
      <c r="K768" t="n">
        <v>0</v>
      </c>
      <c r="L768" t="n">
        <v>0</v>
      </c>
      <c r="M768" t="n">
        <v>0</v>
      </c>
      <c r="N768" t="n">
        <v>0</v>
      </c>
      <c r="O768" t="n">
        <v>0</v>
      </c>
      <c r="P768" t="n">
        <v>0</v>
      </c>
      <c r="Q768" t="n">
        <v>0</v>
      </c>
      <c r="R768" s="2" t="inlineStr"/>
    </row>
    <row r="769" ht="15" customHeight="1">
      <c r="A769" t="inlineStr">
        <is>
          <t>A 59892-2023</t>
        </is>
      </c>
      <c r="B769" s="1" t="n">
        <v>45257</v>
      </c>
      <c r="C769" s="1" t="n">
        <v>45837</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60332-2023</t>
        </is>
      </c>
      <c r="B770" s="1" t="n">
        <v>45258</v>
      </c>
      <c r="C770" s="1" t="n">
        <v>45837</v>
      </c>
      <c r="D770" t="inlineStr">
        <is>
          <t>JÄMTLANDS LÄN</t>
        </is>
      </c>
      <c r="E770" t="inlineStr">
        <is>
          <t>ÅRE</t>
        </is>
      </c>
      <c r="G770" t="n">
        <v>12.5</v>
      </c>
      <c r="H770" t="n">
        <v>0</v>
      </c>
      <c r="I770" t="n">
        <v>0</v>
      </c>
      <c r="J770" t="n">
        <v>0</v>
      </c>
      <c r="K770" t="n">
        <v>0</v>
      </c>
      <c r="L770" t="n">
        <v>0</v>
      </c>
      <c r="M770" t="n">
        <v>0</v>
      </c>
      <c r="N770" t="n">
        <v>0</v>
      </c>
      <c r="O770" t="n">
        <v>0</v>
      </c>
      <c r="P770" t="n">
        <v>0</v>
      </c>
      <c r="Q770" t="n">
        <v>0</v>
      </c>
      <c r="R770" s="2" t="inlineStr"/>
    </row>
    <row r="771" ht="15" customHeight="1">
      <c r="A771" t="inlineStr">
        <is>
          <t>A 60808-2023</t>
        </is>
      </c>
      <c r="B771" s="1" t="n">
        <v>45260</v>
      </c>
      <c r="C771" s="1" t="n">
        <v>45837</v>
      </c>
      <c r="D771" t="inlineStr">
        <is>
          <t>JÄMTLANDS LÄN</t>
        </is>
      </c>
      <c r="E771" t="inlineStr">
        <is>
          <t>ÅRE</t>
        </is>
      </c>
      <c r="G771" t="n">
        <v>10.4</v>
      </c>
      <c r="H771" t="n">
        <v>0</v>
      </c>
      <c r="I771" t="n">
        <v>0</v>
      </c>
      <c r="J771" t="n">
        <v>0</v>
      </c>
      <c r="K771" t="n">
        <v>0</v>
      </c>
      <c r="L771" t="n">
        <v>0</v>
      </c>
      <c r="M771" t="n">
        <v>0</v>
      </c>
      <c r="N771" t="n">
        <v>0</v>
      </c>
      <c r="O771" t="n">
        <v>0</v>
      </c>
      <c r="P771" t="n">
        <v>0</v>
      </c>
      <c r="Q771" t="n">
        <v>0</v>
      </c>
      <c r="R771" s="2" t="inlineStr"/>
    </row>
    <row r="772" ht="15" customHeight="1">
      <c r="A772" t="inlineStr">
        <is>
          <t>A 60973-2023</t>
        </is>
      </c>
      <c r="B772" s="1" t="n">
        <v>45261</v>
      </c>
      <c r="C772" s="1" t="n">
        <v>45837</v>
      </c>
      <c r="D772" t="inlineStr">
        <is>
          <t>JÄMTLANDS LÄN</t>
        </is>
      </c>
      <c r="E772" t="inlineStr">
        <is>
          <t>ÅRE</t>
        </is>
      </c>
      <c r="G772" t="n">
        <v>3.1</v>
      </c>
      <c r="H772" t="n">
        <v>0</v>
      </c>
      <c r="I772" t="n">
        <v>0</v>
      </c>
      <c r="J772" t="n">
        <v>0</v>
      </c>
      <c r="K772" t="n">
        <v>0</v>
      </c>
      <c r="L772" t="n">
        <v>0</v>
      </c>
      <c r="M772" t="n">
        <v>0</v>
      </c>
      <c r="N772" t="n">
        <v>0</v>
      </c>
      <c r="O772" t="n">
        <v>0</v>
      </c>
      <c r="P772" t="n">
        <v>0</v>
      </c>
      <c r="Q772" t="n">
        <v>0</v>
      </c>
      <c r="R772" s="2" t="inlineStr"/>
    </row>
    <row r="773" ht="15" customHeight="1">
      <c r="A773" t="inlineStr">
        <is>
          <t>A 60962-2023</t>
        </is>
      </c>
      <c r="B773" s="1" t="n">
        <v>45261</v>
      </c>
      <c r="C773" s="1" t="n">
        <v>45837</v>
      </c>
      <c r="D773" t="inlineStr">
        <is>
          <t>JÄMTLANDS LÄN</t>
        </is>
      </c>
      <c r="E773" t="inlineStr">
        <is>
          <t>ÅRE</t>
        </is>
      </c>
      <c r="G773" t="n">
        <v>3.2</v>
      </c>
      <c r="H773" t="n">
        <v>0</v>
      </c>
      <c r="I773" t="n">
        <v>0</v>
      </c>
      <c r="J773" t="n">
        <v>0</v>
      </c>
      <c r="K773" t="n">
        <v>0</v>
      </c>
      <c r="L773" t="n">
        <v>0</v>
      </c>
      <c r="M773" t="n">
        <v>0</v>
      </c>
      <c r="N773" t="n">
        <v>0</v>
      </c>
      <c r="O773" t="n">
        <v>0</v>
      </c>
      <c r="P773" t="n">
        <v>0</v>
      </c>
      <c r="Q773" t="n">
        <v>0</v>
      </c>
      <c r="R773" s="2" t="inlineStr"/>
    </row>
    <row r="774" ht="15" customHeight="1">
      <c r="A774" t="inlineStr">
        <is>
          <t>A 61622-2023</t>
        </is>
      </c>
      <c r="B774" s="1" t="n">
        <v>45261</v>
      </c>
      <c r="C774" s="1" t="n">
        <v>45837</v>
      </c>
      <c r="D774" t="inlineStr">
        <is>
          <t>JÄMTLANDS LÄN</t>
        </is>
      </c>
      <c r="E774" t="inlineStr">
        <is>
          <t>ÅRE</t>
        </is>
      </c>
      <c r="G774" t="n">
        <v>1.6</v>
      </c>
      <c r="H774" t="n">
        <v>0</v>
      </c>
      <c r="I774" t="n">
        <v>0</v>
      </c>
      <c r="J774" t="n">
        <v>0</v>
      </c>
      <c r="K774" t="n">
        <v>0</v>
      </c>
      <c r="L774" t="n">
        <v>0</v>
      </c>
      <c r="M774" t="n">
        <v>0</v>
      </c>
      <c r="N774" t="n">
        <v>0</v>
      </c>
      <c r="O774" t="n">
        <v>0</v>
      </c>
      <c r="P774" t="n">
        <v>0</v>
      </c>
      <c r="Q774" t="n">
        <v>0</v>
      </c>
      <c r="R774" s="2" t="inlineStr"/>
    </row>
    <row r="775" ht="15" customHeight="1">
      <c r="A775" t="inlineStr">
        <is>
          <t>A 61183-2023</t>
        </is>
      </c>
      <c r="B775" s="1" t="n">
        <v>45263</v>
      </c>
      <c r="C775" s="1" t="n">
        <v>45837</v>
      </c>
      <c r="D775" t="inlineStr">
        <is>
          <t>JÄMTLANDS LÄN</t>
        </is>
      </c>
      <c r="E775" t="inlineStr">
        <is>
          <t>ÅRE</t>
        </is>
      </c>
      <c r="G775" t="n">
        <v>8.4</v>
      </c>
      <c r="H775" t="n">
        <v>0</v>
      </c>
      <c r="I775" t="n">
        <v>0</v>
      </c>
      <c r="J775" t="n">
        <v>0</v>
      </c>
      <c r="K775" t="n">
        <v>0</v>
      </c>
      <c r="L775" t="n">
        <v>0</v>
      </c>
      <c r="M775" t="n">
        <v>0</v>
      </c>
      <c r="N775" t="n">
        <v>0</v>
      </c>
      <c r="O775" t="n">
        <v>0</v>
      </c>
      <c r="P775" t="n">
        <v>0</v>
      </c>
      <c r="Q775" t="n">
        <v>0</v>
      </c>
      <c r="R775" s="2" t="inlineStr"/>
    </row>
    <row r="776" ht="15" customHeight="1">
      <c r="A776" t="inlineStr">
        <is>
          <t>A 61295-2023</t>
        </is>
      </c>
      <c r="B776" s="1" t="n">
        <v>45264</v>
      </c>
      <c r="C776" s="1" t="n">
        <v>45837</v>
      </c>
      <c r="D776" t="inlineStr">
        <is>
          <t>JÄMTLANDS LÄN</t>
        </is>
      </c>
      <c r="E776" t="inlineStr">
        <is>
          <t>ÅRE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61477-2023</t>
        </is>
      </c>
      <c r="B777" s="1" t="n">
        <v>45264</v>
      </c>
      <c r="C777" s="1" t="n">
        <v>45837</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61479-2023</t>
        </is>
      </c>
      <c r="B778" s="1" t="n">
        <v>45264</v>
      </c>
      <c r="C778" s="1" t="n">
        <v>45837</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61482-2023</t>
        </is>
      </c>
      <c r="B779" s="1" t="n">
        <v>45264</v>
      </c>
      <c r="C779" s="1" t="n">
        <v>45837</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61480-2023</t>
        </is>
      </c>
      <c r="B780" s="1" t="n">
        <v>45264</v>
      </c>
      <c r="C780" s="1" t="n">
        <v>45837</v>
      </c>
      <c r="D780" t="inlineStr">
        <is>
          <t>JÄMTLANDS LÄN</t>
        </is>
      </c>
      <c r="E780" t="inlineStr">
        <is>
          <t>ÅRE</t>
        </is>
      </c>
      <c r="G780" t="n">
        <v>0.9</v>
      </c>
      <c r="H780" t="n">
        <v>0</v>
      </c>
      <c r="I780" t="n">
        <v>0</v>
      </c>
      <c r="J780" t="n">
        <v>0</v>
      </c>
      <c r="K780" t="n">
        <v>0</v>
      </c>
      <c r="L780" t="n">
        <v>0</v>
      </c>
      <c r="M780" t="n">
        <v>0</v>
      </c>
      <c r="N780" t="n">
        <v>0</v>
      </c>
      <c r="O780" t="n">
        <v>0</v>
      </c>
      <c r="P780" t="n">
        <v>0</v>
      </c>
      <c r="Q780" t="n">
        <v>0</v>
      </c>
      <c r="R780" s="2" t="inlineStr"/>
    </row>
    <row r="781" ht="15" customHeight="1">
      <c r="A781" t="inlineStr">
        <is>
          <t>A 61978-2023</t>
        </is>
      </c>
      <c r="B781" s="1" t="n">
        <v>45266</v>
      </c>
      <c r="C781" s="1" t="n">
        <v>45837</v>
      </c>
      <c r="D781" t="inlineStr">
        <is>
          <t>JÄMTLANDS LÄN</t>
        </is>
      </c>
      <c r="E781" t="inlineStr">
        <is>
          <t>ÅRE</t>
        </is>
      </c>
      <c r="G781" t="n">
        <v>5.5</v>
      </c>
      <c r="H781" t="n">
        <v>0</v>
      </c>
      <c r="I781" t="n">
        <v>0</v>
      </c>
      <c r="J781" t="n">
        <v>0</v>
      </c>
      <c r="K781" t="n">
        <v>0</v>
      </c>
      <c r="L781" t="n">
        <v>0</v>
      </c>
      <c r="M781" t="n">
        <v>0</v>
      </c>
      <c r="N781" t="n">
        <v>0</v>
      </c>
      <c r="O781" t="n">
        <v>0</v>
      </c>
      <c r="P781" t="n">
        <v>0</v>
      </c>
      <c r="Q781" t="n">
        <v>0</v>
      </c>
      <c r="R781" s="2" t="inlineStr"/>
    </row>
    <row r="782" ht="15" customHeight="1">
      <c r="A782" t="inlineStr">
        <is>
          <t>A 63906-2023</t>
        </is>
      </c>
      <c r="B782" s="1" t="n">
        <v>45278</v>
      </c>
      <c r="C782" s="1" t="n">
        <v>45837</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64312-2023</t>
        </is>
      </c>
      <c r="B783" s="1" t="n">
        <v>45279</v>
      </c>
      <c r="C783" s="1" t="n">
        <v>45837</v>
      </c>
      <c r="D783" t="inlineStr">
        <is>
          <t>JÄMTLANDS LÄN</t>
        </is>
      </c>
      <c r="E783" t="inlineStr">
        <is>
          <t>ÅRE</t>
        </is>
      </c>
      <c r="G783" t="n">
        <v>13.4</v>
      </c>
      <c r="H783" t="n">
        <v>0</v>
      </c>
      <c r="I783" t="n">
        <v>0</v>
      </c>
      <c r="J783" t="n">
        <v>0</v>
      </c>
      <c r="K783" t="n">
        <v>0</v>
      </c>
      <c r="L783" t="n">
        <v>0</v>
      </c>
      <c r="M783" t="n">
        <v>0</v>
      </c>
      <c r="N783" t="n">
        <v>0</v>
      </c>
      <c r="O783" t="n">
        <v>0</v>
      </c>
      <c r="P783" t="n">
        <v>0</v>
      </c>
      <c r="Q783" t="n">
        <v>0</v>
      </c>
      <c r="R783" s="2" t="inlineStr"/>
    </row>
    <row r="784" ht="15" customHeight="1">
      <c r="A784" t="inlineStr">
        <is>
          <t>A 64758-2023</t>
        </is>
      </c>
      <c r="B784" s="1" t="n">
        <v>45281</v>
      </c>
      <c r="C784" s="1" t="n">
        <v>45837</v>
      </c>
      <c r="D784" t="inlineStr">
        <is>
          <t>JÄMTLANDS LÄN</t>
        </is>
      </c>
      <c r="E784" t="inlineStr">
        <is>
          <t>ÅRE</t>
        </is>
      </c>
      <c r="F784" t="inlineStr">
        <is>
          <t>Övriga Aktiebolag</t>
        </is>
      </c>
      <c r="G784" t="n">
        <v>3.4</v>
      </c>
      <c r="H784" t="n">
        <v>0</v>
      </c>
      <c r="I784" t="n">
        <v>0</v>
      </c>
      <c r="J784" t="n">
        <v>0</v>
      </c>
      <c r="K784" t="n">
        <v>0</v>
      </c>
      <c r="L784" t="n">
        <v>0</v>
      </c>
      <c r="M784" t="n">
        <v>0</v>
      </c>
      <c r="N784" t="n">
        <v>0</v>
      </c>
      <c r="O784" t="n">
        <v>0</v>
      </c>
      <c r="P784" t="n">
        <v>0</v>
      </c>
      <c r="Q784" t="n">
        <v>0</v>
      </c>
      <c r="R784" s="2" t="inlineStr"/>
    </row>
    <row r="785" ht="15" customHeight="1">
      <c r="A785" t="inlineStr">
        <is>
          <t>A 65029-2023</t>
        </is>
      </c>
      <c r="B785" s="1" t="n">
        <v>45287</v>
      </c>
      <c r="C785" s="1" t="n">
        <v>45837</v>
      </c>
      <c r="D785" t="inlineStr">
        <is>
          <t>JÄMTLANDS LÄN</t>
        </is>
      </c>
      <c r="E785" t="inlineStr">
        <is>
          <t>ÅRE</t>
        </is>
      </c>
      <c r="G785" t="n">
        <v>18.2</v>
      </c>
      <c r="H785" t="n">
        <v>0</v>
      </c>
      <c r="I785" t="n">
        <v>0</v>
      </c>
      <c r="J785" t="n">
        <v>0</v>
      </c>
      <c r="K785" t="n">
        <v>0</v>
      </c>
      <c r="L785" t="n">
        <v>0</v>
      </c>
      <c r="M785" t="n">
        <v>0</v>
      </c>
      <c r="N785" t="n">
        <v>0</v>
      </c>
      <c r="O785" t="n">
        <v>0</v>
      </c>
      <c r="P785" t="n">
        <v>0</v>
      </c>
      <c r="Q785" t="n">
        <v>0</v>
      </c>
      <c r="R785" s="2" t="inlineStr"/>
    </row>
    <row r="786" ht="15" customHeight="1">
      <c r="A786" t="inlineStr">
        <is>
          <t>A 65079-2023</t>
        </is>
      </c>
      <c r="B786" s="1" t="n">
        <v>45288</v>
      </c>
      <c r="C786" s="1" t="n">
        <v>45837</v>
      </c>
      <c r="D786" t="inlineStr">
        <is>
          <t>JÄMTLANDS LÄN</t>
        </is>
      </c>
      <c r="E786" t="inlineStr">
        <is>
          <t>ÅRE</t>
        </is>
      </c>
      <c r="G786" t="n">
        <v>6</v>
      </c>
      <c r="H786" t="n">
        <v>0</v>
      </c>
      <c r="I786" t="n">
        <v>0</v>
      </c>
      <c r="J786" t="n">
        <v>0</v>
      </c>
      <c r="K786" t="n">
        <v>0</v>
      </c>
      <c r="L786" t="n">
        <v>0</v>
      </c>
      <c r="M786" t="n">
        <v>0</v>
      </c>
      <c r="N786" t="n">
        <v>0</v>
      </c>
      <c r="O786" t="n">
        <v>0</v>
      </c>
      <c r="P786" t="n">
        <v>0</v>
      </c>
      <c r="Q786" t="n">
        <v>0</v>
      </c>
      <c r="R786" s="2" t="inlineStr"/>
    </row>
    <row r="787" ht="15" customHeight="1">
      <c r="A787" t="inlineStr">
        <is>
          <t>A 65078-2023</t>
        </is>
      </c>
      <c r="B787" s="1" t="n">
        <v>45288</v>
      </c>
      <c r="C787" s="1" t="n">
        <v>45837</v>
      </c>
      <c r="D787" t="inlineStr">
        <is>
          <t>JÄMTLANDS LÄN</t>
        </is>
      </c>
      <c r="E787" t="inlineStr">
        <is>
          <t>ÅRE</t>
        </is>
      </c>
      <c r="G787" t="n">
        <v>2.2</v>
      </c>
      <c r="H787" t="n">
        <v>0</v>
      </c>
      <c r="I787" t="n">
        <v>0</v>
      </c>
      <c r="J787" t="n">
        <v>0</v>
      </c>
      <c r="K787" t="n">
        <v>0</v>
      </c>
      <c r="L787" t="n">
        <v>0</v>
      </c>
      <c r="M787" t="n">
        <v>0</v>
      </c>
      <c r="N787" t="n">
        <v>0</v>
      </c>
      <c r="O787" t="n">
        <v>0</v>
      </c>
      <c r="P787" t="n">
        <v>0</v>
      </c>
      <c r="Q787" t="n">
        <v>0</v>
      </c>
      <c r="R787" s="2" t="inlineStr"/>
    </row>
    <row r="788" ht="15" customHeight="1">
      <c r="A788" t="inlineStr">
        <is>
          <t>A 65033-2023</t>
        </is>
      </c>
      <c r="B788" s="1" t="n">
        <v>45287</v>
      </c>
      <c r="C788" s="1" t="n">
        <v>45837</v>
      </c>
      <c r="D788" t="inlineStr">
        <is>
          <t>JÄMTLANDS LÄN</t>
        </is>
      </c>
      <c r="E788" t="inlineStr">
        <is>
          <t>ÅRE</t>
        </is>
      </c>
      <c r="G788" t="n">
        <v>2.8</v>
      </c>
      <c r="H788" t="n">
        <v>0</v>
      </c>
      <c r="I788" t="n">
        <v>0</v>
      </c>
      <c r="J788" t="n">
        <v>0</v>
      </c>
      <c r="K788" t="n">
        <v>0</v>
      </c>
      <c r="L788" t="n">
        <v>0</v>
      </c>
      <c r="M788" t="n">
        <v>0</v>
      </c>
      <c r="N788" t="n">
        <v>0</v>
      </c>
      <c r="O788" t="n">
        <v>0</v>
      </c>
      <c r="P788" t="n">
        <v>0</v>
      </c>
      <c r="Q788" t="n">
        <v>0</v>
      </c>
      <c r="R788" s="2" t="inlineStr"/>
    </row>
    <row r="789" ht="15" customHeight="1">
      <c r="A789" t="inlineStr">
        <is>
          <t>A 376-2024</t>
        </is>
      </c>
      <c r="B789" s="1" t="n">
        <v>45296</v>
      </c>
      <c r="C789" s="1" t="n">
        <v>45837</v>
      </c>
      <c r="D789" t="inlineStr">
        <is>
          <t>JÄMTLANDS LÄN</t>
        </is>
      </c>
      <c r="E789" t="inlineStr">
        <is>
          <t>ÅRE</t>
        </is>
      </c>
      <c r="F789" t="inlineStr">
        <is>
          <t>Kyrkan</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393-2024</t>
        </is>
      </c>
      <c r="B790" s="1" t="n">
        <v>45296</v>
      </c>
      <c r="C790" s="1" t="n">
        <v>45837</v>
      </c>
      <c r="D790" t="inlineStr">
        <is>
          <t>JÄMTLANDS LÄN</t>
        </is>
      </c>
      <c r="E790" t="inlineStr">
        <is>
          <t>ÅRE</t>
        </is>
      </c>
      <c r="G790" t="n">
        <v>6.5</v>
      </c>
      <c r="H790" t="n">
        <v>0</v>
      </c>
      <c r="I790" t="n">
        <v>0</v>
      </c>
      <c r="J790" t="n">
        <v>0</v>
      </c>
      <c r="K790" t="n">
        <v>0</v>
      </c>
      <c r="L790" t="n">
        <v>0</v>
      </c>
      <c r="M790" t="n">
        <v>0</v>
      </c>
      <c r="N790" t="n">
        <v>0</v>
      </c>
      <c r="O790" t="n">
        <v>0</v>
      </c>
      <c r="P790" t="n">
        <v>0</v>
      </c>
      <c r="Q790" t="n">
        <v>0</v>
      </c>
      <c r="R790" s="2" t="inlineStr"/>
    </row>
    <row r="791" ht="15" customHeight="1">
      <c r="A791" t="inlineStr">
        <is>
          <t>A 747-2024</t>
        </is>
      </c>
      <c r="B791" s="1" t="n">
        <v>45300</v>
      </c>
      <c r="C791" s="1" t="n">
        <v>45837</v>
      </c>
      <c r="D791" t="inlineStr">
        <is>
          <t>JÄMTLANDS LÄN</t>
        </is>
      </c>
      <c r="E791" t="inlineStr">
        <is>
          <t>ÅRE</t>
        </is>
      </c>
      <c r="G791" t="n">
        <v>4.8</v>
      </c>
      <c r="H791" t="n">
        <v>0</v>
      </c>
      <c r="I791" t="n">
        <v>0</v>
      </c>
      <c r="J791" t="n">
        <v>0</v>
      </c>
      <c r="K791" t="n">
        <v>0</v>
      </c>
      <c r="L791" t="n">
        <v>0</v>
      </c>
      <c r="M791" t="n">
        <v>0</v>
      </c>
      <c r="N791" t="n">
        <v>0</v>
      </c>
      <c r="O791" t="n">
        <v>0</v>
      </c>
      <c r="P791" t="n">
        <v>0</v>
      </c>
      <c r="Q791" t="n">
        <v>0</v>
      </c>
      <c r="R791" s="2" t="inlineStr"/>
    </row>
    <row r="792" ht="15" customHeight="1">
      <c r="A792" t="inlineStr">
        <is>
          <t>A 1050-2024</t>
        </is>
      </c>
      <c r="B792" s="1" t="n">
        <v>45301</v>
      </c>
      <c r="C792" s="1" t="n">
        <v>45837</v>
      </c>
      <c r="D792" t="inlineStr">
        <is>
          <t>JÄMTLANDS LÄN</t>
        </is>
      </c>
      <c r="E792" t="inlineStr">
        <is>
          <t>ÅRE</t>
        </is>
      </c>
      <c r="G792" t="n">
        <v>1.8</v>
      </c>
      <c r="H792" t="n">
        <v>0</v>
      </c>
      <c r="I792" t="n">
        <v>0</v>
      </c>
      <c r="J792" t="n">
        <v>0</v>
      </c>
      <c r="K792" t="n">
        <v>0</v>
      </c>
      <c r="L792" t="n">
        <v>0</v>
      </c>
      <c r="M792" t="n">
        <v>0</v>
      </c>
      <c r="N792" t="n">
        <v>0</v>
      </c>
      <c r="O792" t="n">
        <v>0</v>
      </c>
      <c r="P792" t="n">
        <v>0</v>
      </c>
      <c r="Q792" t="n">
        <v>0</v>
      </c>
      <c r="R792" s="2" t="inlineStr"/>
    </row>
    <row r="793" ht="15" customHeight="1">
      <c r="A793" t="inlineStr">
        <is>
          <t>A 1378-2024</t>
        </is>
      </c>
      <c r="B793" s="1" t="n">
        <v>45303</v>
      </c>
      <c r="C793" s="1" t="n">
        <v>45837</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1460-2024</t>
        </is>
      </c>
      <c r="B794" s="1" t="n">
        <v>45303</v>
      </c>
      <c r="C794" s="1" t="n">
        <v>45837</v>
      </c>
      <c r="D794" t="inlineStr">
        <is>
          <t>JÄMTLANDS LÄN</t>
        </is>
      </c>
      <c r="E794" t="inlineStr">
        <is>
          <t>ÅRE</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1491-2024</t>
        </is>
      </c>
      <c r="B795" s="1" t="n">
        <v>45305</v>
      </c>
      <c r="C795" s="1" t="n">
        <v>45837</v>
      </c>
      <c r="D795" t="inlineStr">
        <is>
          <t>JÄMTLANDS LÄN</t>
        </is>
      </c>
      <c r="E795" t="inlineStr">
        <is>
          <t>ÅRE</t>
        </is>
      </c>
      <c r="G795" t="n">
        <v>31.4</v>
      </c>
      <c r="H795" t="n">
        <v>0</v>
      </c>
      <c r="I795" t="n">
        <v>0</v>
      </c>
      <c r="J795" t="n">
        <v>0</v>
      </c>
      <c r="K795" t="n">
        <v>0</v>
      </c>
      <c r="L795" t="n">
        <v>0</v>
      </c>
      <c r="M795" t="n">
        <v>0</v>
      </c>
      <c r="N795" t="n">
        <v>0</v>
      </c>
      <c r="O795" t="n">
        <v>0</v>
      </c>
      <c r="P795" t="n">
        <v>0</v>
      </c>
      <c r="Q795" t="n">
        <v>0</v>
      </c>
      <c r="R795" s="2" t="inlineStr"/>
    </row>
    <row r="796" ht="15" customHeight="1">
      <c r="A796" t="inlineStr">
        <is>
          <t>A 6825-2024</t>
        </is>
      </c>
      <c r="B796" s="1" t="n">
        <v>45342</v>
      </c>
      <c r="C796" s="1" t="n">
        <v>45837</v>
      </c>
      <c r="D796" t="inlineStr">
        <is>
          <t>JÄMTLANDS LÄN</t>
        </is>
      </c>
      <c r="E796" t="inlineStr">
        <is>
          <t>ÅRE</t>
        </is>
      </c>
      <c r="G796" t="n">
        <v>0.7</v>
      </c>
      <c r="H796" t="n">
        <v>0</v>
      </c>
      <c r="I796" t="n">
        <v>0</v>
      </c>
      <c r="J796" t="n">
        <v>0</v>
      </c>
      <c r="K796" t="n">
        <v>0</v>
      </c>
      <c r="L796" t="n">
        <v>0</v>
      </c>
      <c r="M796" t="n">
        <v>0</v>
      </c>
      <c r="N796" t="n">
        <v>0</v>
      </c>
      <c r="O796" t="n">
        <v>0</v>
      </c>
      <c r="P796" t="n">
        <v>0</v>
      </c>
      <c r="Q796" t="n">
        <v>0</v>
      </c>
      <c r="R796" s="2" t="inlineStr"/>
    </row>
    <row r="797" ht="15" customHeight="1">
      <c r="A797" t="inlineStr">
        <is>
          <t>A 7334-2024</t>
        </is>
      </c>
      <c r="B797" s="1" t="n">
        <v>45345</v>
      </c>
      <c r="C797" s="1" t="n">
        <v>45837</v>
      </c>
      <c r="D797" t="inlineStr">
        <is>
          <t>JÄMTLANDS LÄN</t>
        </is>
      </c>
      <c r="E797" t="inlineStr">
        <is>
          <t>ÅRE</t>
        </is>
      </c>
      <c r="G797" t="n">
        <v>12.7</v>
      </c>
      <c r="H797" t="n">
        <v>0</v>
      </c>
      <c r="I797" t="n">
        <v>0</v>
      </c>
      <c r="J797" t="n">
        <v>0</v>
      </c>
      <c r="K797" t="n">
        <v>0</v>
      </c>
      <c r="L797" t="n">
        <v>0</v>
      </c>
      <c r="M797" t="n">
        <v>0</v>
      </c>
      <c r="N797" t="n">
        <v>0</v>
      </c>
      <c r="O797" t="n">
        <v>0</v>
      </c>
      <c r="P797" t="n">
        <v>0</v>
      </c>
      <c r="Q797" t="n">
        <v>0</v>
      </c>
      <c r="R797" s="2" t="inlineStr"/>
    </row>
    <row r="798" ht="15" customHeight="1">
      <c r="A798" t="inlineStr">
        <is>
          <t>A 7323-2024</t>
        </is>
      </c>
      <c r="B798" s="1" t="n">
        <v>45345</v>
      </c>
      <c r="C798" s="1" t="n">
        <v>45837</v>
      </c>
      <c r="D798" t="inlineStr">
        <is>
          <t>JÄMTLANDS LÄN</t>
        </is>
      </c>
      <c r="E798" t="inlineStr">
        <is>
          <t>ÅRE</t>
        </is>
      </c>
      <c r="G798" t="n">
        <v>3.7</v>
      </c>
      <c r="H798" t="n">
        <v>0</v>
      </c>
      <c r="I798" t="n">
        <v>0</v>
      </c>
      <c r="J798" t="n">
        <v>0</v>
      </c>
      <c r="K798" t="n">
        <v>0</v>
      </c>
      <c r="L798" t="n">
        <v>0</v>
      </c>
      <c r="M798" t="n">
        <v>0</v>
      </c>
      <c r="N798" t="n">
        <v>0</v>
      </c>
      <c r="O798" t="n">
        <v>0</v>
      </c>
      <c r="P798" t="n">
        <v>0</v>
      </c>
      <c r="Q798" t="n">
        <v>0</v>
      </c>
      <c r="R798" s="2" t="inlineStr"/>
    </row>
    <row r="799" ht="15" customHeight="1">
      <c r="A799" t="inlineStr">
        <is>
          <t>A 8576-2024</t>
        </is>
      </c>
      <c r="B799" s="1" t="n">
        <v>45355</v>
      </c>
      <c r="C799" s="1" t="n">
        <v>45837</v>
      </c>
      <c r="D799" t="inlineStr">
        <is>
          <t>JÄMTLANDS LÄN</t>
        </is>
      </c>
      <c r="E799" t="inlineStr">
        <is>
          <t>ÅRE</t>
        </is>
      </c>
      <c r="G799" t="n">
        <v>21.7</v>
      </c>
      <c r="H799" t="n">
        <v>0</v>
      </c>
      <c r="I799" t="n">
        <v>0</v>
      </c>
      <c r="J799" t="n">
        <v>0</v>
      </c>
      <c r="K799" t="n">
        <v>0</v>
      </c>
      <c r="L799" t="n">
        <v>0</v>
      </c>
      <c r="M799" t="n">
        <v>0</v>
      </c>
      <c r="N799" t="n">
        <v>0</v>
      </c>
      <c r="O799" t="n">
        <v>0</v>
      </c>
      <c r="P799" t="n">
        <v>0</v>
      </c>
      <c r="Q799" t="n">
        <v>0</v>
      </c>
      <c r="R799" s="2" t="inlineStr"/>
    </row>
    <row r="800" ht="15" customHeight="1">
      <c r="A800" t="inlineStr">
        <is>
          <t>A 9926-2024</t>
        </is>
      </c>
      <c r="B800" s="1" t="n">
        <v>45363</v>
      </c>
      <c r="C800" s="1" t="n">
        <v>45837</v>
      </c>
      <c r="D800" t="inlineStr">
        <is>
          <t>JÄMTLANDS LÄN</t>
        </is>
      </c>
      <c r="E800" t="inlineStr">
        <is>
          <t>ÅRE</t>
        </is>
      </c>
      <c r="G800" t="n">
        <v>3.4</v>
      </c>
      <c r="H800" t="n">
        <v>0</v>
      </c>
      <c r="I800" t="n">
        <v>0</v>
      </c>
      <c r="J800" t="n">
        <v>0</v>
      </c>
      <c r="K800" t="n">
        <v>0</v>
      </c>
      <c r="L800" t="n">
        <v>0</v>
      </c>
      <c r="M800" t="n">
        <v>0</v>
      </c>
      <c r="N800" t="n">
        <v>0</v>
      </c>
      <c r="O800" t="n">
        <v>0</v>
      </c>
      <c r="P800" t="n">
        <v>0</v>
      </c>
      <c r="Q800" t="n">
        <v>0</v>
      </c>
      <c r="R800" s="2" t="inlineStr"/>
    </row>
    <row r="801" ht="15" customHeight="1">
      <c r="A801" t="inlineStr">
        <is>
          <t>A 9936-2024</t>
        </is>
      </c>
      <c r="B801" s="1" t="n">
        <v>45363</v>
      </c>
      <c r="C801" s="1" t="n">
        <v>45837</v>
      </c>
      <c r="D801" t="inlineStr">
        <is>
          <t>JÄMTLANDS LÄN</t>
        </is>
      </c>
      <c r="E801" t="inlineStr">
        <is>
          <t>ÅRE</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11291-2024</t>
        </is>
      </c>
      <c r="B802" s="1" t="n">
        <v>45371</v>
      </c>
      <c r="C802" s="1" t="n">
        <v>45837</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11292-2024</t>
        </is>
      </c>
      <c r="B803" s="1" t="n">
        <v>45371</v>
      </c>
      <c r="C803" s="1" t="n">
        <v>45837</v>
      </c>
      <c r="D803" t="inlineStr">
        <is>
          <t>JÄMTLANDS LÄN</t>
        </is>
      </c>
      <c r="E803" t="inlineStr">
        <is>
          <t>ÅRE</t>
        </is>
      </c>
      <c r="G803" t="n">
        <v>1.1</v>
      </c>
      <c r="H803" t="n">
        <v>0</v>
      </c>
      <c r="I803" t="n">
        <v>0</v>
      </c>
      <c r="J803" t="n">
        <v>0</v>
      </c>
      <c r="K803" t="n">
        <v>0</v>
      </c>
      <c r="L803" t="n">
        <v>0</v>
      </c>
      <c r="M803" t="n">
        <v>0</v>
      </c>
      <c r="N803" t="n">
        <v>0</v>
      </c>
      <c r="O803" t="n">
        <v>0</v>
      </c>
      <c r="P803" t="n">
        <v>0</v>
      </c>
      <c r="Q803" t="n">
        <v>0</v>
      </c>
      <c r="R803" s="2" t="inlineStr"/>
    </row>
    <row r="804" ht="15" customHeight="1">
      <c r="A804" t="inlineStr">
        <is>
          <t>A 11914-2024</t>
        </is>
      </c>
      <c r="B804" s="1" t="n">
        <v>45376</v>
      </c>
      <c r="C804" s="1" t="n">
        <v>45837</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11820-2024</t>
        </is>
      </c>
      <c r="B805" s="1" t="n">
        <v>45376</v>
      </c>
      <c r="C805" s="1" t="n">
        <v>45837</v>
      </c>
      <c r="D805" t="inlineStr">
        <is>
          <t>JÄMTLANDS LÄN</t>
        </is>
      </c>
      <c r="E805" t="inlineStr">
        <is>
          <t>ÅRE</t>
        </is>
      </c>
      <c r="G805" t="n">
        <v>9.9</v>
      </c>
      <c r="H805" t="n">
        <v>0</v>
      </c>
      <c r="I805" t="n">
        <v>0</v>
      </c>
      <c r="J805" t="n">
        <v>0</v>
      </c>
      <c r="K805" t="n">
        <v>0</v>
      </c>
      <c r="L805" t="n">
        <v>0</v>
      </c>
      <c r="M805" t="n">
        <v>0</v>
      </c>
      <c r="N805" t="n">
        <v>0</v>
      </c>
      <c r="O805" t="n">
        <v>0</v>
      </c>
      <c r="P805" t="n">
        <v>0</v>
      </c>
      <c r="Q805" t="n">
        <v>0</v>
      </c>
      <c r="R805" s="2" t="inlineStr"/>
    </row>
    <row r="806" ht="15" customHeight="1">
      <c r="A806" t="inlineStr">
        <is>
          <t>A 12427-2024</t>
        </is>
      </c>
      <c r="B806" s="1" t="n">
        <v>45379</v>
      </c>
      <c r="C806" s="1" t="n">
        <v>45837</v>
      </c>
      <c r="D806" t="inlineStr">
        <is>
          <t>JÄMTLANDS LÄN</t>
        </is>
      </c>
      <c r="E806" t="inlineStr">
        <is>
          <t>ÅRE</t>
        </is>
      </c>
      <c r="G806" t="n">
        <v>8.4</v>
      </c>
      <c r="H806" t="n">
        <v>0</v>
      </c>
      <c r="I806" t="n">
        <v>0</v>
      </c>
      <c r="J806" t="n">
        <v>0</v>
      </c>
      <c r="K806" t="n">
        <v>0</v>
      </c>
      <c r="L806" t="n">
        <v>0</v>
      </c>
      <c r="M806" t="n">
        <v>0</v>
      </c>
      <c r="N806" t="n">
        <v>0</v>
      </c>
      <c r="O806" t="n">
        <v>0</v>
      </c>
      <c r="P806" t="n">
        <v>0</v>
      </c>
      <c r="Q806" t="n">
        <v>0</v>
      </c>
      <c r="R806" s="2" t="inlineStr"/>
    </row>
    <row r="807" ht="15" customHeight="1">
      <c r="A807" t="inlineStr">
        <is>
          <t>A 12895-2024</t>
        </is>
      </c>
      <c r="B807" s="1" t="n">
        <v>45385</v>
      </c>
      <c r="C807" s="1" t="n">
        <v>45837</v>
      </c>
      <c r="D807" t="inlineStr">
        <is>
          <t>JÄMTLANDS LÄN</t>
        </is>
      </c>
      <c r="E807" t="inlineStr">
        <is>
          <t>ÅRE</t>
        </is>
      </c>
      <c r="G807" t="n">
        <v>7.1</v>
      </c>
      <c r="H807" t="n">
        <v>0</v>
      </c>
      <c r="I807" t="n">
        <v>0</v>
      </c>
      <c r="J807" t="n">
        <v>0</v>
      </c>
      <c r="K807" t="n">
        <v>0</v>
      </c>
      <c r="L807" t="n">
        <v>0</v>
      </c>
      <c r="M807" t="n">
        <v>0</v>
      </c>
      <c r="N807" t="n">
        <v>0</v>
      </c>
      <c r="O807" t="n">
        <v>0</v>
      </c>
      <c r="P807" t="n">
        <v>0</v>
      </c>
      <c r="Q807" t="n">
        <v>0</v>
      </c>
      <c r="R807" s="2" t="inlineStr"/>
    </row>
    <row r="808" ht="15" customHeight="1">
      <c r="A808" t="inlineStr">
        <is>
          <t>A 12933-2024</t>
        </is>
      </c>
      <c r="B808" s="1" t="n">
        <v>45385</v>
      </c>
      <c r="C808" s="1" t="n">
        <v>45837</v>
      </c>
      <c r="D808" t="inlineStr">
        <is>
          <t>JÄMTLANDS LÄN</t>
        </is>
      </c>
      <c r="E808" t="inlineStr">
        <is>
          <t>ÅRE</t>
        </is>
      </c>
      <c r="G808" t="n">
        <v>0.9</v>
      </c>
      <c r="H808" t="n">
        <v>0</v>
      </c>
      <c r="I808" t="n">
        <v>0</v>
      </c>
      <c r="J808" t="n">
        <v>0</v>
      </c>
      <c r="K808" t="n">
        <v>0</v>
      </c>
      <c r="L808" t="n">
        <v>0</v>
      </c>
      <c r="M808" t="n">
        <v>0</v>
      </c>
      <c r="N808" t="n">
        <v>0</v>
      </c>
      <c r="O808" t="n">
        <v>0</v>
      </c>
      <c r="P808" t="n">
        <v>0</v>
      </c>
      <c r="Q808" t="n">
        <v>0</v>
      </c>
      <c r="R808" s="2" t="inlineStr"/>
    </row>
    <row r="809" ht="15" customHeight="1">
      <c r="A809" t="inlineStr">
        <is>
          <t>A 12948-2024</t>
        </is>
      </c>
      <c r="B809" s="1" t="n">
        <v>45385</v>
      </c>
      <c r="C809" s="1" t="n">
        <v>45837</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13039-2024</t>
        </is>
      </c>
      <c r="B810" s="1" t="n">
        <v>45385</v>
      </c>
      <c r="C810" s="1" t="n">
        <v>45837</v>
      </c>
      <c r="D810" t="inlineStr">
        <is>
          <t>JÄMTLANDS LÄN</t>
        </is>
      </c>
      <c r="E810" t="inlineStr">
        <is>
          <t>ÅRE</t>
        </is>
      </c>
      <c r="G810" t="n">
        <v>1.8</v>
      </c>
      <c r="H810" t="n">
        <v>0</v>
      </c>
      <c r="I810" t="n">
        <v>0</v>
      </c>
      <c r="J810" t="n">
        <v>0</v>
      </c>
      <c r="K810" t="n">
        <v>0</v>
      </c>
      <c r="L810" t="n">
        <v>0</v>
      </c>
      <c r="M810" t="n">
        <v>0</v>
      </c>
      <c r="N810" t="n">
        <v>0</v>
      </c>
      <c r="O810" t="n">
        <v>0</v>
      </c>
      <c r="P810" t="n">
        <v>0</v>
      </c>
      <c r="Q810" t="n">
        <v>0</v>
      </c>
      <c r="R810" s="2" t="inlineStr"/>
    </row>
    <row r="811" ht="15" customHeight="1">
      <c r="A811" t="inlineStr">
        <is>
          <t>A 13033-2024</t>
        </is>
      </c>
      <c r="B811" s="1" t="n">
        <v>45385</v>
      </c>
      <c r="C811" s="1" t="n">
        <v>45837</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13062-2024</t>
        </is>
      </c>
      <c r="B812" s="1" t="n">
        <v>45385</v>
      </c>
      <c r="C812" s="1" t="n">
        <v>45837</v>
      </c>
      <c r="D812" t="inlineStr">
        <is>
          <t>JÄMTLANDS LÄN</t>
        </is>
      </c>
      <c r="E812" t="inlineStr">
        <is>
          <t>ÅRE</t>
        </is>
      </c>
      <c r="G812" t="n">
        <v>3.2</v>
      </c>
      <c r="H812" t="n">
        <v>0</v>
      </c>
      <c r="I812" t="n">
        <v>0</v>
      </c>
      <c r="J812" t="n">
        <v>0</v>
      </c>
      <c r="K812" t="n">
        <v>0</v>
      </c>
      <c r="L812" t="n">
        <v>0</v>
      </c>
      <c r="M812" t="n">
        <v>0</v>
      </c>
      <c r="N812" t="n">
        <v>0</v>
      </c>
      <c r="O812" t="n">
        <v>0</v>
      </c>
      <c r="P812" t="n">
        <v>0</v>
      </c>
      <c r="Q812" t="n">
        <v>0</v>
      </c>
      <c r="R812" s="2" t="inlineStr"/>
    </row>
    <row r="813" ht="15" customHeight="1">
      <c r="A813" t="inlineStr">
        <is>
          <t>A 12930-2024</t>
        </is>
      </c>
      <c r="B813" s="1" t="n">
        <v>45385</v>
      </c>
      <c r="C813" s="1" t="n">
        <v>45837</v>
      </c>
      <c r="D813" t="inlineStr">
        <is>
          <t>JÄMTLANDS LÄN</t>
        </is>
      </c>
      <c r="E813" t="inlineStr">
        <is>
          <t>ÅRE</t>
        </is>
      </c>
      <c r="G813" t="n">
        <v>4.4</v>
      </c>
      <c r="H813" t="n">
        <v>0</v>
      </c>
      <c r="I813" t="n">
        <v>0</v>
      </c>
      <c r="J813" t="n">
        <v>0</v>
      </c>
      <c r="K813" t="n">
        <v>0</v>
      </c>
      <c r="L813" t="n">
        <v>0</v>
      </c>
      <c r="M813" t="n">
        <v>0</v>
      </c>
      <c r="N813" t="n">
        <v>0</v>
      </c>
      <c r="O813" t="n">
        <v>0</v>
      </c>
      <c r="P813" t="n">
        <v>0</v>
      </c>
      <c r="Q813" t="n">
        <v>0</v>
      </c>
      <c r="R813" s="2" t="inlineStr"/>
    </row>
    <row r="814" ht="15" customHeight="1">
      <c r="A814" t="inlineStr">
        <is>
          <t>A 12951-2024</t>
        </is>
      </c>
      <c r="B814" s="1" t="n">
        <v>45385</v>
      </c>
      <c r="C814" s="1" t="n">
        <v>45837</v>
      </c>
      <c r="D814" t="inlineStr">
        <is>
          <t>JÄMTLANDS LÄN</t>
        </is>
      </c>
      <c r="E814" t="inlineStr">
        <is>
          <t>ÅRE</t>
        </is>
      </c>
      <c r="G814" t="n">
        <v>0.7</v>
      </c>
      <c r="H814" t="n">
        <v>0</v>
      </c>
      <c r="I814" t="n">
        <v>0</v>
      </c>
      <c r="J814" t="n">
        <v>0</v>
      </c>
      <c r="K814" t="n">
        <v>0</v>
      </c>
      <c r="L814" t="n">
        <v>0</v>
      </c>
      <c r="M814" t="n">
        <v>0</v>
      </c>
      <c r="N814" t="n">
        <v>0</v>
      </c>
      <c r="O814" t="n">
        <v>0</v>
      </c>
      <c r="P814" t="n">
        <v>0</v>
      </c>
      <c r="Q814" t="n">
        <v>0</v>
      </c>
      <c r="R814" s="2" t="inlineStr"/>
    </row>
    <row r="815" ht="15" customHeight="1">
      <c r="A815" t="inlineStr">
        <is>
          <t>A 13022-2024</t>
        </is>
      </c>
      <c r="B815" s="1" t="n">
        <v>45385</v>
      </c>
      <c r="C815" s="1" t="n">
        <v>45837</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12936-2024</t>
        </is>
      </c>
      <c r="B816" s="1" t="n">
        <v>45385</v>
      </c>
      <c r="C816" s="1" t="n">
        <v>45837</v>
      </c>
      <c r="D816" t="inlineStr">
        <is>
          <t>JÄMTLANDS LÄN</t>
        </is>
      </c>
      <c r="E816" t="inlineStr">
        <is>
          <t>ÅRE</t>
        </is>
      </c>
      <c r="G816" t="n">
        <v>4.9</v>
      </c>
      <c r="H816" t="n">
        <v>0</v>
      </c>
      <c r="I816" t="n">
        <v>0</v>
      </c>
      <c r="J816" t="n">
        <v>0</v>
      </c>
      <c r="K816" t="n">
        <v>0</v>
      </c>
      <c r="L816" t="n">
        <v>0</v>
      </c>
      <c r="M816" t="n">
        <v>0</v>
      </c>
      <c r="N816" t="n">
        <v>0</v>
      </c>
      <c r="O816" t="n">
        <v>0</v>
      </c>
      <c r="P816" t="n">
        <v>0</v>
      </c>
      <c r="Q816" t="n">
        <v>0</v>
      </c>
      <c r="R816" s="2" t="inlineStr"/>
    </row>
    <row r="817" ht="15" customHeight="1">
      <c r="A817" t="inlineStr">
        <is>
          <t>A 12940-2024</t>
        </is>
      </c>
      <c r="B817" s="1" t="n">
        <v>45385</v>
      </c>
      <c r="C817" s="1" t="n">
        <v>45837</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13301-2024</t>
        </is>
      </c>
      <c r="B818" s="1" t="n">
        <v>45386</v>
      </c>
      <c r="C818" s="1" t="n">
        <v>45837</v>
      </c>
      <c r="D818" t="inlineStr">
        <is>
          <t>JÄMTLANDS LÄN</t>
        </is>
      </c>
      <c r="E818" t="inlineStr">
        <is>
          <t>ÅRE</t>
        </is>
      </c>
      <c r="G818" t="n">
        <v>9</v>
      </c>
      <c r="H818" t="n">
        <v>0</v>
      </c>
      <c r="I818" t="n">
        <v>0</v>
      </c>
      <c r="J818" t="n">
        <v>0</v>
      </c>
      <c r="K818" t="n">
        <v>0</v>
      </c>
      <c r="L818" t="n">
        <v>0</v>
      </c>
      <c r="M818" t="n">
        <v>0</v>
      </c>
      <c r="N818" t="n">
        <v>0</v>
      </c>
      <c r="O818" t="n">
        <v>0</v>
      </c>
      <c r="P818" t="n">
        <v>0</v>
      </c>
      <c r="Q818" t="n">
        <v>0</v>
      </c>
      <c r="R818" s="2" t="inlineStr"/>
    </row>
    <row r="819" ht="15" customHeight="1">
      <c r="A819" t="inlineStr">
        <is>
          <t>A 13370-2024</t>
        </is>
      </c>
      <c r="B819" s="1" t="n">
        <v>45387</v>
      </c>
      <c r="C819" s="1" t="n">
        <v>45837</v>
      </c>
      <c r="D819" t="inlineStr">
        <is>
          <t>JÄMTLANDS LÄN</t>
        </is>
      </c>
      <c r="E819" t="inlineStr">
        <is>
          <t>ÅRE</t>
        </is>
      </c>
      <c r="G819" t="n">
        <v>8.5</v>
      </c>
      <c r="H819" t="n">
        <v>0</v>
      </c>
      <c r="I819" t="n">
        <v>0</v>
      </c>
      <c r="J819" t="n">
        <v>0</v>
      </c>
      <c r="K819" t="n">
        <v>0</v>
      </c>
      <c r="L819" t="n">
        <v>0</v>
      </c>
      <c r="M819" t="n">
        <v>0</v>
      </c>
      <c r="N819" t="n">
        <v>0</v>
      </c>
      <c r="O819" t="n">
        <v>0</v>
      </c>
      <c r="P819" t="n">
        <v>0</v>
      </c>
      <c r="Q819" t="n">
        <v>0</v>
      </c>
      <c r="R819" s="2" t="inlineStr"/>
    </row>
    <row r="820" ht="15" customHeight="1">
      <c r="A820" t="inlineStr">
        <is>
          <t>A 14497-2024</t>
        </is>
      </c>
      <c r="B820" s="1" t="n">
        <v>45394</v>
      </c>
      <c r="C820" s="1" t="n">
        <v>45837</v>
      </c>
      <c r="D820" t="inlineStr">
        <is>
          <t>JÄMTLANDS LÄN</t>
        </is>
      </c>
      <c r="E820" t="inlineStr">
        <is>
          <t>ÅRE</t>
        </is>
      </c>
      <c r="G820" t="n">
        <v>2.5</v>
      </c>
      <c r="H820" t="n">
        <v>0</v>
      </c>
      <c r="I820" t="n">
        <v>0</v>
      </c>
      <c r="J820" t="n">
        <v>0</v>
      </c>
      <c r="K820" t="n">
        <v>0</v>
      </c>
      <c r="L820" t="n">
        <v>0</v>
      </c>
      <c r="M820" t="n">
        <v>0</v>
      </c>
      <c r="N820" t="n">
        <v>0</v>
      </c>
      <c r="O820" t="n">
        <v>0</v>
      </c>
      <c r="P820" t="n">
        <v>0</v>
      </c>
      <c r="Q820" t="n">
        <v>0</v>
      </c>
      <c r="R820" s="2" t="inlineStr"/>
    </row>
    <row r="821" ht="15" customHeight="1">
      <c r="A821" t="inlineStr">
        <is>
          <t>A 14898-2024</t>
        </is>
      </c>
      <c r="B821" s="1" t="n">
        <v>45398</v>
      </c>
      <c r="C821" s="1" t="n">
        <v>45837</v>
      </c>
      <c r="D821" t="inlineStr">
        <is>
          <t>JÄMTLANDS LÄN</t>
        </is>
      </c>
      <c r="E821" t="inlineStr">
        <is>
          <t>ÅRE</t>
        </is>
      </c>
      <c r="G821" t="n">
        <v>7.3</v>
      </c>
      <c r="H821" t="n">
        <v>0</v>
      </c>
      <c r="I821" t="n">
        <v>0</v>
      </c>
      <c r="J821" t="n">
        <v>0</v>
      </c>
      <c r="K821" t="n">
        <v>0</v>
      </c>
      <c r="L821" t="n">
        <v>0</v>
      </c>
      <c r="M821" t="n">
        <v>0</v>
      </c>
      <c r="N821" t="n">
        <v>0</v>
      </c>
      <c r="O821" t="n">
        <v>0</v>
      </c>
      <c r="P821" t="n">
        <v>0</v>
      </c>
      <c r="Q821" t="n">
        <v>0</v>
      </c>
      <c r="R821" s="2" t="inlineStr"/>
    </row>
    <row r="822" ht="15" customHeight="1">
      <c r="A822" t="inlineStr">
        <is>
          <t>A 15517-2024</t>
        </is>
      </c>
      <c r="B822" s="1" t="n">
        <v>45401</v>
      </c>
      <c r="C822" s="1" t="n">
        <v>45837</v>
      </c>
      <c r="D822" t="inlineStr">
        <is>
          <t>JÄMTLANDS LÄN</t>
        </is>
      </c>
      <c r="E822" t="inlineStr">
        <is>
          <t>ÅRE</t>
        </is>
      </c>
      <c r="G822" t="n">
        <v>1.4</v>
      </c>
      <c r="H822" t="n">
        <v>0</v>
      </c>
      <c r="I822" t="n">
        <v>0</v>
      </c>
      <c r="J822" t="n">
        <v>0</v>
      </c>
      <c r="K822" t="n">
        <v>0</v>
      </c>
      <c r="L822" t="n">
        <v>0</v>
      </c>
      <c r="M822" t="n">
        <v>0</v>
      </c>
      <c r="N822" t="n">
        <v>0</v>
      </c>
      <c r="O822" t="n">
        <v>0</v>
      </c>
      <c r="P822" t="n">
        <v>0</v>
      </c>
      <c r="Q822" t="n">
        <v>0</v>
      </c>
      <c r="R822" s="2" t="inlineStr"/>
    </row>
    <row r="823" ht="15" customHeight="1">
      <c r="A823" t="inlineStr">
        <is>
          <t>A 15481-2024</t>
        </is>
      </c>
      <c r="B823" s="1" t="n">
        <v>45401</v>
      </c>
      <c r="C823" s="1" t="n">
        <v>45837</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15482-2024</t>
        </is>
      </c>
      <c r="B824" s="1" t="n">
        <v>45401</v>
      </c>
      <c r="C824" s="1" t="n">
        <v>45837</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15480-2024</t>
        </is>
      </c>
      <c r="B825" s="1" t="n">
        <v>45401</v>
      </c>
      <c r="C825" s="1" t="n">
        <v>45837</v>
      </c>
      <c r="D825" t="inlineStr">
        <is>
          <t>JÄMTLANDS LÄN</t>
        </is>
      </c>
      <c r="E825" t="inlineStr">
        <is>
          <t>ÅRE</t>
        </is>
      </c>
      <c r="G825" t="n">
        <v>11.8</v>
      </c>
      <c r="H825" t="n">
        <v>0</v>
      </c>
      <c r="I825" t="n">
        <v>0</v>
      </c>
      <c r="J825" t="n">
        <v>0</v>
      </c>
      <c r="K825" t="n">
        <v>0</v>
      </c>
      <c r="L825" t="n">
        <v>0</v>
      </c>
      <c r="M825" t="n">
        <v>0</v>
      </c>
      <c r="N825" t="n">
        <v>0</v>
      </c>
      <c r="O825" t="n">
        <v>0</v>
      </c>
      <c r="P825" t="n">
        <v>0</v>
      </c>
      <c r="Q825" t="n">
        <v>0</v>
      </c>
      <c r="R825" s="2" t="inlineStr"/>
    </row>
    <row r="826" ht="15" customHeight="1">
      <c r="A826" t="inlineStr">
        <is>
          <t>A 15521-2024</t>
        </is>
      </c>
      <c r="B826" s="1" t="n">
        <v>45401</v>
      </c>
      <c r="C826" s="1" t="n">
        <v>45837</v>
      </c>
      <c r="D826" t="inlineStr">
        <is>
          <t>JÄMTLANDS LÄN</t>
        </is>
      </c>
      <c r="E826" t="inlineStr">
        <is>
          <t>ÅRE</t>
        </is>
      </c>
      <c r="G826" t="n">
        <v>6.3</v>
      </c>
      <c r="H826" t="n">
        <v>0</v>
      </c>
      <c r="I826" t="n">
        <v>0</v>
      </c>
      <c r="J826" t="n">
        <v>0</v>
      </c>
      <c r="K826" t="n">
        <v>0</v>
      </c>
      <c r="L826" t="n">
        <v>0</v>
      </c>
      <c r="M826" t="n">
        <v>0</v>
      </c>
      <c r="N826" t="n">
        <v>0</v>
      </c>
      <c r="O826" t="n">
        <v>0</v>
      </c>
      <c r="P826" t="n">
        <v>0</v>
      </c>
      <c r="Q826" t="n">
        <v>0</v>
      </c>
      <c r="R826" s="2" t="inlineStr"/>
    </row>
    <row r="827" ht="15" customHeight="1">
      <c r="A827" t="inlineStr">
        <is>
          <t>A 15519-2024</t>
        </is>
      </c>
      <c r="B827" s="1" t="n">
        <v>45401</v>
      </c>
      <c r="C827" s="1" t="n">
        <v>45837</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16348-2024</t>
        </is>
      </c>
      <c r="B828" s="1" t="n">
        <v>45407</v>
      </c>
      <c r="C828" s="1" t="n">
        <v>45837</v>
      </c>
      <c r="D828" t="inlineStr">
        <is>
          <t>JÄMTLANDS LÄN</t>
        </is>
      </c>
      <c r="E828" t="inlineStr">
        <is>
          <t>ÅRE</t>
        </is>
      </c>
      <c r="G828" t="n">
        <v>4.6</v>
      </c>
      <c r="H828" t="n">
        <v>0</v>
      </c>
      <c r="I828" t="n">
        <v>0</v>
      </c>
      <c r="J828" t="n">
        <v>0</v>
      </c>
      <c r="K828" t="n">
        <v>0</v>
      </c>
      <c r="L828" t="n">
        <v>0</v>
      </c>
      <c r="M828" t="n">
        <v>0</v>
      </c>
      <c r="N828" t="n">
        <v>0</v>
      </c>
      <c r="O828" t="n">
        <v>0</v>
      </c>
      <c r="P828" t="n">
        <v>0</v>
      </c>
      <c r="Q828" t="n">
        <v>0</v>
      </c>
      <c r="R828" s="2" t="inlineStr"/>
    </row>
    <row r="829" ht="15" customHeight="1">
      <c r="A829" t="inlineStr">
        <is>
          <t>A 16885-2024</t>
        </is>
      </c>
      <c r="B829" s="1" t="n">
        <v>45411</v>
      </c>
      <c r="C829" s="1" t="n">
        <v>45837</v>
      </c>
      <c r="D829" t="inlineStr">
        <is>
          <t>JÄMTLANDS LÄN</t>
        </is>
      </c>
      <c r="E829" t="inlineStr">
        <is>
          <t>ÅRE</t>
        </is>
      </c>
      <c r="G829" t="n">
        <v>13.7</v>
      </c>
      <c r="H829" t="n">
        <v>0</v>
      </c>
      <c r="I829" t="n">
        <v>0</v>
      </c>
      <c r="J829" t="n">
        <v>0</v>
      </c>
      <c r="K829" t="n">
        <v>0</v>
      </c>
      <c r="L829" t="n">
        <v>0</v>
      </c>
      <c r="M829" t="n">
        <v>0</v>
      </c>
      <c r="N829" t="n">
        <v>0</v>
      </c>
      <c r="O829" t="n">
        <v>0</v>
      </c>
      <c r="P829" t="n">
        <v>0</v>
      </c>
      <c r="Q829" t="n">
        <v>0</v>
      </c>
      <c r="R829" s="2" t="inlineStr"/>
    </row>
    <row r="830" ht="15" customHeight="1">
      <c r="A830" t="inlineStr">
        <is>
          <t>A 17576-2024</t>
        </is>
      </c>
      <c r="B830" s="1" t="n">
        <v>45415</v>
      </c>
      <c r="C830" s="1" t="n">
        <v>45837</v>
      </c>
      <c r="D830" t="inlineStr">
        <is>
          <t>JÄMTLANDS LÄN</t>
        </is>
      </c>
      <c r="E830" t="inlineStr">
        <is>
          <t>ÅRE</t>
        </is>
      </c>
      <c r="G830" t="n">
        <v>0.1</v>
      </c>
      <c r="H830" t="n">
        <v>0</v>
      </c>
      <c r="I830" t="n">
        <v>0</v>
      </c>
      <c r="J830" t="n">
        <v>0</v>
      </c>
      <c r="K830" t="n">
        <v>0</v>
      </c>
      <c r="L830" t="n">
        <v>0</v>
      </c>
      <c r="M830" t="n">
        <v>0</v>
      </c>
      <c r="N830" t="n">
        <v>0</v>
      </c>
      <c r="O830" t="n">
        <v>0</v>
      </c>
      <c r="P830" t="n">
        <v>0</v>
      </c>
      <c r="Q830" t="n">
        <v>0</v>
      </c>
      <c r="R830" s="2" t="inlineStr"/>
    </row>
    <row r="831" ht="15" customHeight="1">
      <c r="A831" t="inlineStr">
        <is>
          <t>A 17777-2024</t>
        </is>
      </c>
      <c r="B831" s="1" t="n">
        <v>45418</v>
      </c>
      <c r="C831" s="1" t="n">
        <v>45837</v>
      </c>
      <c r="D831" t="inlineStr">
        <is>
          <t>JÄMTLANDS LÄN</t>
        </is>
      </c>
      <c r="E831" t="inlineStr">
        <is>
          <t>ÅRE</t>
        </is>
      </c>
      <c r="F831" t="inlineStr">
        <is>
          <t>Övriga Aktiebolag</t>
        </is>
      </c>
      <c r="G831" t="n">
        <v>2.7</v>
      </c>
      <c r="H831" t="n">
        <v>0</v>
      </c>
      <c r="I831" t="n">
        <v>0</v>
      </c>
      <c r="J831" t="n">
        <v>0</v>
      </c>
      <c r="K831" t="n">
        <v>0</v>
      </c>
      <c r="L831" t="n">
        <v>0</v>
      </c>
      <c r="M831" t="n">
        <v>0</v>
      </c>
      <c r="N831" t="n">
        <v>0</v>
      </c>
      <c r="O831" t="n">
        <v>0</v>
      </c>
      <c r="P831" t="n">
        <v>0</v>
      </c>
      <c r="Q831" t="n">
        <v>0</v>
      </c>
      <c r="R831" s="2" t="inlineStr"/>
    </row>
    <row r="832" ht="15" customHeight="1">
      <c r="A832" t="inlineStr">
        <is>
          <t>A 17630-2024</t>
        </is>
      </c>
      <c r="B832" s="1" t="n">
        <v>45418</v>
      </c>
      <c r="C832" s="1" t="n">
        <v>45837</v>
      </c>
      <c r="D832" t="inlineStr">
        <is>
          <t>JÄMTLANDS LÄN</t>
        </is>
      </c>
      <c r="E832" t="inlineStr">
        <is>
          <t>ÅRE</t>
        </is>
      </c>
      <c r="F832" t="inlineStr">
        <is>
          <t>Övriga Aktiebolag</t>
        </is>
      </c>
      <c r="G832" t="n">
        <v>29.2</v>
      </c>
      <c r="H832" t="n">
        <v>0</v>
      </c>
      <c r="I832" t="n">
        <v>0</v>
      </c>
      <c r="J832" t="n">
        <v>0</v>
      </c>
      <c r="K832" t="n">
        <v>0</v>
      </c>
      <c r="L832" t="n">
        <v>0</v>
      </c>
      <c r="M832" t="n">
        <v>0</v>
      </c>
      <c r="N832" t="n">
        <v>0</v>
      </c>
      <c r="O832" t="n">
        <v>0</v>
      </c>
      <c r="P832" t="n">
        <v>0</v>
      </c>
      <c r="Q832" t="n">
        <v>0</v>
      </c>
      <c r="R832" s="2" t="inlineStr"/>
    </row>
    <row r="833" ht="15" customHeight="1">
      <c r="A833" t="inlineStr">
        <is>
          <t>A 18072-2024</t>
        </is>
      </c>
      <c r="B833" s="1" t="n">
        <v>45420</v>
      </c>
      <c r="C833" s="1" t="n">
        <v>45837</v>
      </c>
      <c r="D833" t="inlineStr">
        <is>
          <t>JÄMTLANDS LÄN</t>
        </is>
      </c>
      <c r="E833" t="inlineStr">
        <is>
          <t>ÅRE</t>
        </is>
      </c>
      <c r="G833" t="n">
        <v>1.1</v>
      </c>
      <c r="H833" t="n">
        <v>0</v>
      </c>
      <c r="I833" t="n">
        <v>0</v>
      </c>
      <c r="J833" t="n">
        <v>0</v>
      </c>
      <c r="K833" t="n">
        <v>0</v>
      </c>
      <c r="L833" t="n">
        <v>0</v>
      </c>
      <c r="M833" t="n">
        <v>0</v>
      </c>
      <c r="N833" t="n">
        <v>0</v>
      </c>
      <c r="O833" t="n">
        <v>0</v>
      </c>
      <c r="P833" t="n">
        <v>0</v>
      </c>
      <c r="Q833" t="n">
        <v>0</v>
      </c>
      <c r="R833" s="2" t="inlineStr"/>
    </row>
    <row r="834" ht="15" customHeight="1">
      <c r="A834" t="inlineStr">
        <is>
          <t>A 18928-2024</t>
        </is>
      </c>
      <c r="B834" s="1" t="n">
        <v>45427</v>
      </c>
      <c r="C834" s="1" t="n">
        <v>45837</v>
      </c>
      <c r="D834" t="inlineStr">
        <is>
          <t>JÄMTLANDS LÄN</t>
        </is>
      </c>
      <c r="E834" t="inlineStr">
        <is>
          <t>ÅRE</t>
        </is>
      </c>
      <c r="G834" t="n">
        <v>0.8</v>
      </c>
      <c r="H834" t="n">
        <v>0</v>
      </c>
      <c r="I834" t="n">
        <v>0</v>
      </c>
      <c r="J834" t="n">
        <v>0</v>
      </c>
      <c r="K834" t="n">
        <v>0</v>
      </c>
      <c r="L834" t="n">
        <v>0</v>
      </c>
      <c r="M834" t="n">
        <v>0</v>
      </c>
      <c r="N834" t="n">
        <v>0</v>
      </c>
      <c r="O834" t="n">
        <v>0</v>
      </c>
      <c r="P834" t="n">
        <v>0</v>
      </c>
      <c r="Q834" t="n">
        <v>0</v>
      </c>
      <c r="R834" s="2" t="inlineStr"/>
    </row>
    <row r="835" ht="15" customHeight="1">
      <c r="A835" t="inlineStr">
        <is>
          <t>A 20202-2024</t>
        </is>
      </c>
      <c r="B835" s="1" t="n">
        <v>45434</v>
      </c>
      <c r="C835" s="1" t="n">
        <v>45837</v>
      </c>
      <c r="D835" t="inlineStr">
        <is>
          <t>JÄMTLANDS LÄN</t>
        </is>
      </c>
      <c r="E835" t="inlineStr">
        <is>
          <t>ÅRE</t>
        </is>
      </c>
      <c r="G835" t="n">
        <v>6.7</v>
      </c>
      <c r="H835" t="n">
        <v>0</v>
      </c>
      <c r="I835" t="n">
        <v>0</v>
      </c>
      <c r="J835" t="n">
        <v>0</v>
      </c>
      <c r="K835" t="n">
        <v>0</v>
      </c>
      <c r="L835" t="n">
        <v>0</v>
      </c>
      <c r="M835" t="n">
        <v>0</v>
      </c>
      <c r="N835" t="n">
        <v>0</v>
      </c>
      <c r="O835" t="n">
        <v>0</v>
      </c>
      <c r="P835" t="n">
        <v>0</v>
      </c>
      <c r="Q835" t="n">
        <v>0</v>
      </c>
      <c r="R835" s="2" t="inlineStr"/>
    </row>
    <row r="836" ht="15" customHeight="1">
      <c r="A836" t="inlineStr">
        <is>
          <t>A 20485-2024</t>
        </is>
      </c>
      <c r="B836" s="1" t="n">
        <v>45435</v>
      </c>
      <c r="C836" s="1" t="n">
        <v>45837</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20480-2024</t>
        </is>
      </c>
      <c r="B837" s="1" t="n">
        <v>45435</v>
      </c>
      <c r="C837" s="1" t="n">
        <v>45837</v>
      </c>
      <c r="D837" t="inlineStr">
        <is>
          <t>JÄMTLANDS LÄN</t>
        </is>
      </c>
      <c r="E837" t="inlineStr">
        <is>
          <t>ÅRE</t>
        </is>
      </c>
      <c r="G837" t="n">
        <v>2.7</v>
      </c>
      <c r="H837" t="n">
        <v>0</v>
      </c>
      <c r="I837" t="n">
        <v>0</v>
      </c>
      <c r="J837" t="n">
        <v>0</v>
      </c>
      <c r="K837" t="n">
        <v>0</v>
      </c>
      <c r="L837" t="n">
        <v>0</v>
      </c>
      <c r="M837" t="n">
        <v>0</v>
      </c>
      <c r="N837" t="n">
        <v>0</v>
      </c>
      <c r="O837" t="n">
        <v>0</v>
      </c>
      <c r="P837" t="n">
        <v>0</v>
      </c>
      <c r="Q837" t="n">
        <v>0</v>
      </c>
      <c r="R837" s="2" t="inlineStr"/>
    </row>
    <row r="838" ht="15" customHeight="1">
      <c r="A838" t="inlineStr">
        <is>
          <t>A 20804-2024</t>
        </is>
      </c>
      <c r="B838" s="1" t="n">
        <v>45439</v>
      </c>
      <c r="C838" s="1" t="n">
        <v>45837</v>
      </c>
      <c r="D838" t="inlineStr">
        <is>
          <t>JÄMTLANDS LÄN</t>
        </is>
      </c>
      <c r="E838" t="inlineStr">
        <is>
          <t>ÅRE</t>
        </is>
      </c>
      <c r="G838" t="n">
        <v>6.4</v>
      </c>
      <c r="H838" t="n">
        <v>0</v>
      </c>
      <c r="I838" t="n">
        <v>0</v>
      </c>
      <c r="J838" t="n">
        <v>0</v>
      </c>
      <c r="K838" t="n">
        <v>0</v>
      </c>
      <c r="L838" t="n">
        <v>0</v>
      </c>
      <c r="M838" t="n">
        <v>0</v>
      </c>
      <c r="N838" t="n">
        <v>0</v>
      </c>
      <c r="O838" t="n">
        <v>0</v>
      </c>
      <c r="P838" t="n">
        <v>0</v>
      </c>
      <c r="Q838" t="n">
        <v>0</v>
      </c>
      <c r="R838" s="2" t="inlineStr"/>
    </row>
    <row r="839" ht="15" customHeight="1">
      <c r="A839" t="inlineStr">
        <is>
          <t>A 20999-2024</t>
        </is>
      </c>
      <c r="B839" s="1" t="n">
        <v>45439</v>
      </c>
      <c r="C839" s="1" t="n">
        <v>45837</v>
      </c>
      <c r="D839" t="inlineStr">
        <is>
          <t>JÄMTLANDS LÄN</t>
        </is>
      </c>
      <c r="E839" t="inlineStr">
        <is>
          <t>ÅRE</t>
        </is>
      </c>
      <c r="G839" t="n">
        <v>5.7</v>
      </c>
      <c r="H839" t="n">
        <v>0</v>
      </c>
      <c r="I839" t="n">
        <v>0</v>
      </c>
      <c r="J839" t="n">
        <v>0</v>
      </c>
      <c r="K839" t="n">
        <v>0</v>
      </c>
      <c r="L839" t="n">
        <v>0</v>
      </c>
      <c r="M839" t="n">
        <v>0</v>
      </c>
      <c r="N839" t="n">
        <v>0</v>
      </c>
      <c r="O839" t="n">
        <v>0</v>
      </c>
      <c r="P839" t="n">
        <v>0</v>
      </c>
      <c r="Q839" t="n">
        <v>0</v>
      </c>
      <c r="R839" s="2" t="inlineStr"/>
    </row>
    <row r="840" ht="15" customHeight="1">
      <c r="A840" t="inlineStr">
        <is>
          <t>A 21640-2024</t>
        </is>
      </c>
      <c r="B840" s="1" t="n">
        <v>45442</v>
      </c>
      <c r="C840" s="1" t="n">
        <v>45837</v>
      </c>
      <c r="D840" t="inlineStr">
        <is>
          <t>JÄMTLANDS LÄN</t>
        </is>
      </c>
      <c r="E840" t="inlineStr">
        <is>
          <t>ÅRE</t>
        </is>
      </c>
      <c r="G840" t="n">
        <v>16.4</v>
      </c>
      <c r="H840" t="n">
        <v>0</v>
      </c>
      <c r="I840" t="n">
        <v>0</v>
      </c>
      <c r="J840" t="n">
        <v>0</v>
      </c>
      <c r="K840" t="n">
        <v>0</v>
      </c>
      <c r="L840" t="n">
        <v>0</v>
      </c>
      <c r="M840" t="n">
        <v>0</v>
      </c>
      <c r="N840" t="n">
        <v>0</v>
      </c>
      <c r="O840" t="n">
        <v>0</v>
      </c>
      <c r="P840" t="n">
        <v>0</v>
      </c>
      <c r="Q840" t="n">
        <v>0</v>
      </c>
      <c r="R840" s="2" t="inlineStr"/>
    </row>
    <row r="841" ht="15" customHeight="1">
      <c r="A841" t="inlineStr">
        <is>
          <t>A 22600-2024</t>
        </is>
      </c>
      <c r="B841" s="1" t="n">
        <v>45447</v>
      </c>
      <c r="C841" s="1" t="n">
        <v>45837</v>
      </c>
      <c r="D841" t="inlineStr">
        <is>
          <t>JÄMTLANDS LÄN</t>
        </is>
      </c>
      <c r="E841" t="inlineStr">
        <is>
          <t>ÅRE</t>
        </is>
      </c>
      <c r="G841" t="n">
        <v>22.5</v>
      </c>
      <c r="H841" t="n">
        <v>0</v>
      </c>
      <c r="I841" t="n">
        <v>0</v>
      </c>
      <c r="J841" t="n">
        <v>0</v>
      </c>
      <c r="K841" t="n">
        <v>0</v>
      </c>
      <c r="L841" t="n">
        <v>0</v>
      </c>
      <c r="M841" t="n">
        <v>0</v>
      </c>
      <c r="N841" t="n">
        <v>0</v>
      </c>
      <c r="O841" t="n">
        <v>0</v>
      </c>
      <c r="P841" t="n">
        <v>0</v>
      </c>
      <c r="Q841" t="n">
        <v>0</v>
      </c>
      <c r="R841" s="2" t="inlineStr"/>
    </row>
    <row r="842" ht="15" customHeight="1">
      <c r="A842" t="inlineStr">
        <is>
          <t>A 22687-2024</t>
        </is>
      </c>
      <c r="B842" s="1" t="n">
        <v>45448</v>
      </c>
      <c r="C842" s="1" t="n">
        <v>45837</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23159-2024</t>
        </is>
      </c>
      <c r="B843" s="1" t="n">
        <v>45450</v>
      </c>
      <c r="C843" s="1" t="n">
        <v>45837</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23805-2024</t>
        </is>
      </c>
      <c r="B844" s="1" t="n">
        <v>45455</v>
      </c>
      <c r="C844" s="1" t="n">
        <v>45837</v>
      </c>
      <c r="D844" t="inlineStr">
        <is>
          <t>JÄMTLANDS LÄN</t>
        </is>
      </c>
      <c r="E844" t="inlineStr">
        <is>
          <t>ÅRE</t>
        </is>
      </c>
      <c r="G844" t="n">
        <v>1.5</v>
      </c>
      <c r="H844" t="n">
        <v>0</v>
      </c>
      <c r="I844" t="n">
        <v>0</v>
      </c>
      <c r="J844" t="n">
        <v>0</v>
      </c>
      <c r="K844" t="n">
        <v>0</v>
      </c>
      <c r="L844" t="n">
        <v>0</v>
      </c>
      <c r="M844" t="n">
        <v>0</v>
      </c>
      <c r="N844" t="n">
        <v>0</v>
      </c>
      <c r="O844" t="n">
        <v>0</v>
      </c>
      <c r="P844" t="n">
        <v>0</v>
      </c>
      <c r="Q844" t="n">
        <v>0</v>
      </c>
      <c r="R844" s="2" t="inlineStr"/>
    </row>
    <row r="845" ht="15" customHeight="1">
      <c r="A845" t="inlineStr">
        <is>
          <t>A 24344-2024</t>
        </is>
      </c>
      <c r="B845" s="1" t="n">
        <v>45457</v>
      </c>
      <c r="C845" s="1" t="n">
        <v>45837</v>
      </c>
      <c r="D845" t="inlineStr">
        <is>
          <t>JÄMTLANDS LÄN</t>
        </is>
      </c>
      <c r="E845" t="inlineStr">
        <is>
          <t>ÅRE</t>
        </is>
      </c>
      <c r="G845" t="n">
        <v>1.4</v>
      </c>
      <c r="H845" t="n">
        <v>0</v>
      </c>
      <c r="I845" t="n">
        <v>0</v>
      </c>
      <c r="J845" t="n">
        <v>0</v>
      </c>
      <c r="K845" t="n">
        <v>0</v>
      </c>
      <c r="L845" t="n">
        <v>0</v>
      </c>
      <c r="M845" t="n">
        <v>0</v>
      </c>
      <c r="N845" t="n">
        <v>0</v>
      </c>
      <c r="O845" t="n">
        <v>0</v>
      </c>
      <c r="P845" t="n">
        <v>0</v>
      </c>
      <c r="Q845" t="n">
        <v>0</v>
      </c>
      <c r="R845" s="2" t="inlineStr"/>
    </row>
    <row r="846" ht="15" customHeight="1">
      <c r="A846" t="inlineStr">
        <is>
          <t>A 25379-2024</t>
        </is>
      </c>
      <c r="B846" s="1" t="n">
        <v>45462</v>
      </c>
      <c r="C846" s="1" t="n">
        <v>45837</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25710-2024</t>
        </is>
      </c>
      <c r="B847" s="1" t="n">
        <v>45463</v>
      </c>
      <c r="C847" s="1" t="n">
        <v>45837</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25517-2024</t>
        </is>
      </c>
      <c r="B848" s="1" t="n">
        <v>45463</v>
      </c>
      <c r="C848" s="1" t="n">
        <v>45837</v>
      </c>
      <c r="D848" t="inlineStr">
        <is>
          <t>JÄMTLANDS LÄN</t>
        </is>
      </c>
      <c r="E848" t="inlineStr">
        <is>
          <t>ÅRE</t>
        </is>
      </c>
      <c r="G848" t="n">
        <v>5.3</v>
      </c>
      <c r="H848" t="n">
        <v>0</v>
      </c>
      <c r="I848" t="n">
        <v>0</v>
      </c>
      <c r="J848" t="n">
        <v>0</v>
      </c>
      <c r="K848" t="n">
        <v>0</v>
      </c>
      <c r="L848" t="n">
        <v>0</v>
      </c>
      <c r="M848" t="n">
        <v>0</v>
      </c>
      <c r="N848" t="n">
        <v>0</v>
      </c>
      <c r="O848" t="n">
        <v>0</v>
      </c>
      <c r="P848" t="n">
        <v>0</v>
      </c>
      <c r="Q848" t="n">
        <v>0</v>
      </c>
      <c r="R848" s="2" t="inlineStr"/>
    </row>
    <row r="849" ht="15" customHeight="1">
      <c r="A849" t="inlineStr">
        <is>
          <t>A 26312-2024</t>
        </is>
      </c>
      <c r="B849" s="1" t="n">
        <v>45468</v>
      </c>
      <c r="C849" s="1" t="n">
        <v>45837</v>
      </c>
      <c r="D849" t="inlineStr">
        <is>
          <t>JÄMTLANDS LÄN</t>
        </is>
      </c>
      <c r="E849" t="inlineStr">
        <is>
          <t>ÅRE</t>
        </is>
      </c>
      <c r="G849" t="n">
        <v>4.5</v>
      </c>
      <c r="H849" t="n">
        <v>0</v>
      </c>
      <c r="I849" t="n">
        <v>0</v>
      </c>
      <c r="J849" t="n">
        <v>0</v>
      </c>
      <c r="K849" t="n">
        <v>0</v>
      </c>
      <c r="L849" t="n">
        <v>0</v>
      </c>
      <c r="M849" t="n">
        <v>0</v>
      </c>
      <c r="N849" t="n">
        <v>0</v>
      </c>
      <c r="O849" t="n">
        <v>0</v>
      </c>
      <c r="P849" t="n">
        <v>0</v>
      </c>
      <c r="Q849" t="n">
        <v>0</v>
      </c>
      <c r="R849" s="2" t="inlineStr"/>
    </row>
    <row r="850" ht="15" customHeight="1">
      <c r="A850" t="inlineStr">
        <is>
          <t>A 27500-2024</t>
        </is>
      </c>
      <c r="B850" s="1" t="n">
        <v>45474</v>
      </c>
      <c r="C850" s="1" t="n">
        <v>45837</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27456-2024</t>
        </is>
      </c>
      <c r="B851" s="1" t="n">
        <v>45474</v>
      </c>
      <c r="C851" s="1" t="n">
        <v>45837</v>
      </c>
      <c r="D851" t="inlineStr">
        <is>
          <t>JÄMTLANDS LÄN</t>
        </is>
      </c>
      <c r="E851" t="inlineStr">
        <is>
          <t>ÅRE</t>
        </is>
      </c>
      <c r="G851" t="n">
        <v>6.1</v>
      </c>
      <c r="H851" t="n">
        <v>0</v>
      </c>
      <c r="I851" t="n">
        <v>0</v>
      </c>
      <c r="J851" t="n">
        <v>0</v>
      </c>
      <c r="K851" t="n">
        <v>0</v>
      </c>
      <c r="L851" t="n">
        <v>0</v>
      </c>
      <c r="M851" t="n">
        <v>0</v>
      </c>
      <c r="N851" t="n">
        <v>0</v>
      </c>
      <c r="O851" t="n">
        <v>0</v>
      </c>
      <c r="P851" t="n">
        <v>0</v>
      </c>
      <c r="Q851" t="n">
        <v>0</v>
      </c>
      <c r="R851" s="2" t="inlineStr"/>
    </row>
    <row r="852" ht="15" customHeight="1">
      <c r="A852" t="inlineStr">
        <is>
          <t>A 28642-2024</t>
        </is>
      </c>
      <c r="B852" s="1" t="n">
        <v>45478</v>
      </c>
      <c r="C852" s="1" t="n">
        <v>45837</v>
      </c>
      <c r="D852" t="inlineStr">
        <is>
          <t>JÄMTLANDS LÄN</t>
        </is>
      </c>
      <c r="E852" t="inlineStr">
        <is>
          <t>ÅRE</t>
        </is>
      </c>
      <c r="G852" t="n">
        <v>3.2</v>
      </c>
      <c r="H852" t="n">
        <v>0</v>
      </c>
      <c r="I852" t="n">
        <v>0</v>
      </c>
      <c r="J852" t="n">
        <v>0</v>
      </c>
      <c r="K852" t="n">
        <v>0</v>
      </c>
      <c r="L852" t="n">
        <v>0</v>
      </c>
      <c r="M852" t="n">
        <v>0</v>
      </c>
      <c r="N852" t="n">
        <v>0</v>
      </c>
      <c r="O852" t="n">
        <v>0</v>
      </c>
      <c r="P852" t="n">
        <v>0</v>
      </c>
      <c r="Q852" t="n">
        <v>0</v>
      </c>
      <c r="R852" s="2" t="inlineStr"/>
    </row>
    <row r="853" ht="15" customHeight="1">
      <c r="A853" t="inlineStr">
        <is>
          <t>A 29177-2024</t>
        </is>
      </c>
      <c r="B853" s="1" t="n">
        <v>45482</v>
      </c>
      <c r="C853" s="1" t="n">
        <v>45837</v>
      </c>
      <c r="D853" t="inlineStr">
        <is>
          <t>JÄMTLANDS LÄN</t>
        </is>
      </c>
      <c r="E853" t="inlineStr">
        <is>
          <t>ÅRE</t>
        </is>
      </c>
      <c r="G853" t="n">
        <v>2.5</v>
      </c>
      <c r="H853" t="n">
        <v>0</v>
      </c>
      <c r="I853" t="n">
        <v>0</v>
      </c>
      <c r="J853" t="n">
        <v>0</v>
      </c>
      <c r="K853" t="n">
        <v>0</v>
      </c>
      <c r="L853" t="n">
        <v>0</v>
      </c>
      <c r="M853" t="n">
        <v>0</v>
      </c>
      <c r="N853" t="n">
        <v>0</v>
      </c>
      <c r="O853" t="n">
        <v>0</v>
      </c>
      <c r="P853" t="n">
        <v>0</v>
      </c>
      <c r="Q853" t="n">
        <v>0</v>
      </c>
      <c r="R853" s="2" t="inlineStr"/>
    </row>
    <row r="854" ht="15" customHeight="1">
      <c r="A854" t="inlineStr">
        <is>
          <t>A 30080-2024</t>
        </is>
      </c>
      <c r="B854" s="1" t="n">
        <v>45485</v>
      </c>
      <c r="C854" s="1" t="n">
        <v>45837</v>
      </c>
      <c r="D854" t="inlineStr">
        <is>
          <t>JÄMTLANDS LÄN</t>
        </is>
      </c>
      <c r="E854" t="inlineStr">
        <is>
          <t>ÅRE</t>
        </is>
      </c>
      <c r="G854" t="n">
        <v>24.6</v>
      </c>
      <c r="H854" t="n">
        <v>0</v>
      </c>
      <c r="I854" t="n">
        <v>0</v>
      </c>
      <c r="J854" t="n">
        <v>0</v>
      </c>
      <c r="K854" t="n">
        <v>0</v>
      </c>
      <c r="L854" t="n">
        <v>0</v>
      </c>
      <c r="M854" t="n">
        <v>0</v>
      </c>
      <c r="N854" t="n">
        <v>0</v>
      </c>
      <c r="O854" t="n">
        <v>0</v>
      </c>
      <c r="P854" t="n">
        <v>0</v>
      </c>
      <c r="Q854" t="n">
        <v>0</v>
      </c>
      <c r="R854" s="2" t="inlineStr"/>
    </row>
    <row r="855" ht="15" customHeight="1">
      <c r="A855" t="inlineStr">
        <is>
          <t>A 30081-2024</t>
        </is>
      </c>
      <c r="B855" s="1" t="n">
        <v>45485</v>
      </c>
      <c r="C855" s="1" t="n">
        <v>45837</v>
      </c>
      <c r="D855" t="inlineStr">
        <is>
          <t>JÄMTLANDS LÄN</t>
        </is>
      </c>
      <c r="E855" t="inlineStr">
        <is>
          <t>ÅRE</t>
        </is>
      </c>
      <c r="G855" t="n">
        <v>17.8</v>
      </c>
      <c r="H855" t="n">
        <v>0</v>
      </c>
      <c r="I855" t="n">
        <v>0</v>
      </c>
      <c r="J855" t="n">
        <v>0</v>
      </c>
      <c r="K855" t="n">
        <v>0</v>
      </c>
      <c r="L855" t="n">
        <v>0</v>
      </c>
      <c r="M855" t="n">
        <v>0</v>
      </c>
      <c r="N855" t="n">
        <v>0</v>
      </c>
      <c r="O855" t="n">
        <v>0</v>
      </c>
      <c r="P855" t="n">
        <v>0</v>
      </c>
      <c r="Q855" t="n">
        <v>0</v>
      </c>
      <c r="R855" s="2" t="inlineStr"/>
    </row>
    <row r="856" ht="15" customHeight="1">
      <c r="A856" t="inlineStr">
        <is>
          <t>A 30379-2024</t>
        </is>
      </c>
      <c r="B856" s="1" t="n">
        <v>45491</v>
      </c>
      <c r="C856" s="1" t="n">
        <v>45837</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33230-2024</t>
        </is>
      </c>
      <c r="B857" s="1" t="n">
        <v>45518</v>
      </c>
      <c r="C857" s="1" t="n">
        <v>45837</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33239-2024</t>
        </is>
      </c>
      <c r="B858" s="1" t="n">
        <v>45518</v>
      </c>
      <c r="C858" s="1" t="n">
        <v>45837</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33379-2024</t>
        </is>
      </c>
      <c r="B859" s="1" t="n">
        <v>45519</v>
      </c>
      <c r="C859" s="1" t="n">
        <v>45837</v>
      </c>
      <c r="D859" t="inlineStr">
        <is>
          <t>JÄMTLANDS LÄN</t>
        </is>
      </c>
      <c r="E859" t="inlineStr">
        <is>
          <t>ÅRE</t>
        </is>
      </c>
      <c r="G859" t="n">
        <v>1.5</v>
      </c>
      <c r="H859" t="n">
        <v>0</v>
      </c>
      <c r="I859" t="n">
        <v>0</v>
      </c>
      <c r="J859" t="n">
        <v>0</v>
      </c>
      <c r="K859" t="n">
        <v>0</v>
      </c>
      <c r="L859" t="n">
        <v>0</v>
      </c>
      <c r="M859" t="n">
        <v>0</v>
      </c>
      <c r="N859" t="n">
        <v>0</v>
      </c>
      <c r="O859" t="n">
        <v>0</v>
      </c>
      <c r="P859" t="n">
        <v>0</v>
      </c>
      <c r="Q859" t="n">
        <v>0</v>
      </c>
      <c r="R859" s="2" t="inlineStr"/>
    </row>
    <row r="860" ht="15" customHeight="1">
      <c r="A860" t="inlineStr">
        <is>
          <t>A 34149-2024</t>
        </is>
      </c>
      <c r="B860" s="1" t="n">
        <v>45524</v>
      </c>
      <c r="C860" s="1" t="n">
        <v>45837</v>
      </c>
      <c r="D860" t="inlineStr">
        <is>
          <t>JÄMTLANDS LÄN</t>
        </is>
      </c>
      <c r="E860" t="inlineStr">
        <is>
          <t>ÅRE</t>
        </is>
      </c>
      <c r="G860" t="n">
        <v>2.4</v>
      </c>
      <c r="H860" t="n">
        <v>0</v>
      </c>
      <c r="I860" t="n">
        <v>0</v>
      </c>
      <c r="J860" t="n">
        <v>0</v>
      </c>
      <c r="K860" t="n">
        <v>0</v>
      </c>
      <c r="L860" t="n">
        <v>0</v>
      </c>
      <c r="M860" t="n">
        <v>0</v>
      </c>
      <c r="N860" t="n">
        <v>0</v>
      </c>
      <c r="O860" t="n">
        <v>0</v>
      </c>
      <c r="P860" t="n">
        <v>0</v>
      </c>
      <c r="Q860" t="n">
        <v>0</v>
      </c>
      <c r="R860" s="2" t="inlineStr"/>
    </row>
    <row r="861" ht="15" customHeight="1">
      <c r="A861" t="inlineStr">
        <is>
          <t>A 35745-2024</t>
        </is>
      </c>
      <c r="B861" s="1" t="n">
        <v>45532</v>
      </c>
      <c r="C861" s="1" t="n">
        <v>45837</v>
      </c>
      <c r="D861" t="inlineStr">
        <is>
          <t>JÄMTLANDS LÄN</t>
        </is>
      </c>
      <c r="E861" t="inlineStr">
        <is>
          <t>ÅRE</t>
        </is>
      </c>
      <c r="G861" t="n">
        <v>4.2</v>
      </c>
      <c r="H861" t="n">
        <v>0</v>
      </c>
      <c r="I861" t="n">
        <v>0</v>
      </c>
      <c r="J861" t="n">
        <v>0</v>
      </c>
      <c r="K861" t="n">
        <v>0</v>
      </c>
      <c r="L861" t="n">
        <v>0</v>
      </c>
      <c r="M861" t="n">
        <v>0</v>
      </c>
      <c r="N861" t="n">
        <v>0</v>
      </c>
      <c r="O861" t="n">
        <v>0</v>
      </c>
      <c r="P861" t="n">
        <v>0</v>
      </c>
      <c r="Q861" t="n">
        <v>0</v>
      </c>
      <c r="R861" s="2" t="inlineStr"/>
    </row>
    <row r="862" ht="15" customHeight="1">
      <c r="A862" t="inlineStr">
        <is>
          <t>A 37718-2024</t>
        </is>
      </c>
      <c r="B862" s="1" t="n">
        <v>45541</v>
      </c>
      <c r="C862" s="1" t="n">
        <v>45837</v>
      </c>
      <c r="D862" t="inlineStr">
        <is>
          <t>JÄMTLANDS LÄN</t>
        </is>
      </c>
      <c r="E862" t="inlineStr">
        <is>
          <t>ÅRE</t>
        </is>
      </c>
      <c r="G862" t="n">
        <v>2.9</v>
      </c>
      <c r="H862" t="n">
        <v>0</v>
      </c>
      <c r="I862" t="n">
        <v>0</v>
      </c>
      <c r="J862" t="n">
        <v>0</v>
      </c>
      <c r="K862" t="n">
        <v>0</v>
      </c>
      <c r="L862" t="n">
        <v>0</v>
      </c>
      <c r="M862" t="n">
        <v>0</v>
      </c>
      <c r="N862" t="n">
        <v>0</v>
      </c>
      <c r="O862" t="n">
        <v>0</v>
      </c>
      <c r="P862" t="n">
        <v>0</v>
      </c>
      <c r="Q862" t="n">
        <v>0</v>
      </c>
      <c r="R862" s="2" t="inlineStr"/>
    </row>
    <row r="863" ht="15" customHeight="1">
      <c r="A863" t="inlineStr">
        <is>
          <t>A 38227-2024</t>
        </is>
      </c>
      <c r="B863" s="1" t="n">
        <v>45545</v>
      </c>
      <c r="C863" s="1" t="n">
        <v>45837</v>
      </c>
      <c r="D863" t="inlineStr">
        <is>
          <t>JÄMTLANDS LÄN</t>
        </is>
      </c>
      <c r="E863" t="inlineStr">
        <is>
          <t>ÅRE</t>
        </is>
      </c>
      <c r="G863" t="n">
        <v>3.9</v>
      </c>
      <c r="H863" t="n">
        <v>0</v>
      </c>
      <c r="I863" t="n">
        <v>0</v>
      </c>
      <c r="J863" t="n">
        <v>0</v>
      </c>
      <c r="K863" t="n">
        <v>0</v>
      </c>
      <c r="L863" t="n">
        <v>0</v>
      </c>
      <c r="M863" t="n">
        <v>0</v>
      </c>
      <c r="N863" t="n">
        <v>0</v>
      </c>
      <c r="O863" t="n">
        <v>0</v>
      </c>
      <c r="P863" t="n">
        <v>0</v>
      </c>
      <c r="Q863" t="n">
        <v>0</v>
      </c>
      <c r="R863" s="2" t="inlineStr"/>
    </row>
    <row r="864" ht="15" customHeight="1">
      <c r="A864" t="inlineStr">
        <is>
          <t>A 38263-2024</t>
        </is>
      </c>
      <c r="B864" s="1" t="n">
        <v>45545</v>
      </c>
      <c r="C864" s="1" t="n">
        <v>45837</v>
      </c>
      <c r="D864" t="inlineStr">
        <is>
          <t>JÄMTLANDS LÄN</t>
        </is>
      </c>
      <c r="E864" t="inlineStr">
        <is>
          <t>ÅRE</t>
        </is>
      </c>
      <c r="G864" t="n">
        <v>0.8</v>
      </c>
      <c r="H864" t="n">
        <v>0</v>
      </c>
      <c r="I864" t="n">
        <v>0</v>
      </c>
      <c r="J864" t="n">
        <v>0</v>
      </c>
      <c r="K864" t="n">
        <v>0</v>
      </c>
      <c r="L864" t="n">
        <v>0</v>
      </c>
      <c r="M864" t="n">
        <v>0</v>
      </c>
      <c r="N864" t="n">
        <v>0</v>
      </c>
      <c r="O864" t="n">
        <v>0</v>
      </c>
      <c r="P864" t="n">
        <v>0</v>
      </c>
      <c r="Q864" t="n">
        <v>0</v>
      </c>
      <c r="R864" s="2" t="inlineStr"/>
    </row>
    <row r="865" ht="15" customHeight="1">
      <c r="A865" t="inlineStr">
        <is>
          <t>A 38268-2024</t>
        </is>
      </c>
      <c r="B865" s="1" t="n">
        <v>45545</v>
      </c>
      <c r="C865" s="1" t="n">
        <v>45837</v>
      </c>
      <c r="D865" t="inlineStr">
        <is>
          <t>JÄMTLANDS LÄN</t>
        </is>
      </c>
      <c r="E865" t="inlineStr">
        <is>
          <t>ÅRE</t>
        </is>
      </c>
      <c r="G865" t="n">
        <v>1.2</v>
      </c>
      <c r="H865" t="n">
        <v>0</v>
      </c>
      <c r="I865" t="n">
        <v>0</v>
      </c>
      <c r="J865" t="n">
        <v>0</v>
      </c>
      <c r="K865" t="n">
        <v>0</v>
      </c>
      <c r="L865" t="n">
        <v>0</v>
      </c>
      <c r="M865" t="n">
        <v>0</v>
      </c>
      <c r="N865" t="n">
        <v>0</v>
      </c>
      <c r="O865" t="n">
        <v>0</v>
      </c>
      <c r="P865" t="n">
        <v>0</v>
      </c>
      <c r="Q865" t="n">
        <v>0</v>
      </c>
      <c r="R865" s="2" t="inlineStr"/>
    </row>
    <row r="866" ht="15" customHeight="1">
      <c r="A866" t="inlineStr">
        <is>
          <t>A 38276-2024</t>
        </is>
      </c>
      <c r="B866" s="1" t="n">
        <v>45545</v>
      </c>
      <c r="C866" s="1" t="n">
        <v>45837</v>
      </c>
      <c r="D866" t="inlineStr">
        <is>
          <t>JÄMTLANDS LÄN</t>
        </is>
      </c>
      <c r="E866" t="inlineStr">
        <is>
          <t>ÅRE</t>
        </is>
      </c>
      <c r="G866" t="n">
        <v>6.9</v>
      </c>
      <c r="H866" t="n">
        <v>0</v>
      </c>
      <c r="I866" t="n">
        <v>0</v>
      </c>
      <c r="J866" t="n">
        <v>0</v>
      </c>
      <c r="K866" t="n">
        <v>0</v>
      </c>
      <c r="L866" t="n">
        <v>0</v>
      </c>
      <c r="M866" t="n">
        <v>0</v>
      </c>
      <c r="N866" t="n">
        <v>0</v>
      </c>
      <c r="O866" t="n">
        <v>0</v>
      </c>
      <c r="P866" t="n">
        <v>0</v>
      </c>
      <c r="Q866" t="n">
        <v>0</v>
      </c>
      <c r="R866" s="2" t="inlineStr"/>
    </row>
    <row r="867" ht="15" customHeight="1">
      <c r="A867" t="inlineStr">
        <is>
          <t>A 38791-2024</t>
        </is>
      </c>
      <c r="B867" s="1" t="n">
        <v>45547</v>
      </c>
      <c r="C867" s="1" t="n">
        <v>45837</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39069-2024</t>
        </is>
      </c>
      <c r="B868" s="1" t="n">
        <v>45548</v>
      </c>
      <c r="C868" s="1" t="n">
        <v>45837</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39068-2024</t>
        </is>
      </c>
      <c r="B869" s="1" t="n">
        <v>45548</v>
      </c>
      <c r="C869" s="1" t="n">
        <v>45837</v>
      </c>
      <c r="D869" t="inlineStr">
        <is>
          <t>JÄMTLANDS LÄN</t>
        </is>
      </c>
      <c r="E869" t="inlineStr">
        <is>
          <t>ÅRE</t>
        </is>
      </c>
      <c r="G869" t="n">
        <v>14.8</v>
      </c>
      <c r="H869" t="n">
        <v>0</v>
      </c>
      <c r="I869" t="n">
        <v>0</v>
      </c>
      <c r="J869" t="n">
        <v>0</v>
      </c>
      <c r="K869" t="n">
        <v>0</v>
      </c>
      <c r="L869" t="n">
        <v>0</v>
      </c>
      <c r="M869" t="n">
        <v>0</v>
      </c>
      <c r="N869" t="n">
        <v>0</v>
      </c>
      <c r="O869" t="n">
        <v>0</v>
      </c>
      <c r="P869" t="n">
        <v>0</v>
      </c>
      <c r="Q869" t="n">
        <v>0</v>
      </c>
      <c r="R869" s="2" t="inlineStr"/>
    </row>
    <row r="870" ht="15" customHeight="1">
      <c r="A870" t="inlineStr">
        <is>
          <t>A 39072-2024</t>
        </is>
      </c>
      <c r="B870" s="1" t="n">
        <v>45548</v>
      </c>
      <c r="C870" s="1" t="n">
        <v>45837</v>
      </c>
      <c r="D870" t="inlineStr">
        <is>
          <t>JÄMTLANDS LÄN</t>
        </is>
      </c>
      <c r="E870" t="inlineStr">
        <is>
          <t>ÅRE</t>
        </is>
      </c>
      <c r="G870" t="n">
        <v>1.4</v>
      </c>
      <c r="H870" t="n">
        <v>0</v>
      </c>
      <c r="I870" t="n">
        <v>0</v>
      </c>
      <c r="J870" t="n">
        <v>0</v>
      </c>
      <c r="K870" t="n">
        <v>0</v>
      </c>
      <c r="L870" t="n">
        <v>0</v>
      </c>
      <c r="M870" t="n">
        <v>0</v>
      </c>
      <c r="N870" t="n">
        <v>0</v>
      </c>
      <c r="O870" t="n">
        <v>0</v>
      </c>
      <c r="P870" t="n">
        <v>0</v>
      </c>
      <c r="Q870" t="n">
        <v>0</v>
      </c>
      <c r="R870" s="2" t="inlineStr"/>
    </row>
    <row r="871" ht="15" customHeight="1">
      <c r="A871" t="inlineStr">
        <is>
          <t>A 39071-2024</t>
        </is>
      </c>
      <c r="B871" s="1" t="n">
        <v>45548</v>
      </c>
      <c r="C871" s="1" t="n">
        <v>45837</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39070-2024</t>
        </is>
      </c>
      <c r="B872" s="1" t="n">
        <v>45548</v>
      </c>
      <c r="C872" s="1" t="n">
        <v>45837</v>
      </c>
      <c r="D872" t="inlineStr">
        <is>
          <t>JÄMTLANDS LÄN</t>
        </is>
      </c>
      <c r="E872" t="inlineStr">
        <is>
          <t>ÅRE</t>
        </is>
      </c>
      <c r="G872" t="n">
        <v>2.1</v>
      </c>
      <c r="H872" t="n">
        <v>0</v>
      </c>
      <c r="I872" t="n">
        <v>0</v>
      </c>
      <c r="J872" t="n">
        <v>0</v>
      </c>
      <c r="K872" t="n">
        <v>0</v>
      </c>
      <c r="L872" t="n">
        <v>0</v>
      </c>
      <c r="M872" t="n">
        <v>0</v>
      </c>
      <c r="N872" t="n">
        <v>0</v>
      </c>
      <c r="O872" t="n">
        <v>0</v>
      </c>
      <c r="P872" t="n">
        <v>0</v>
      </c>
      <c r="Q872" t="n">
        <v>0</v>
      </c>
      <c r="R872" s="2" t="inlineStr"/>
    </row>
    <row r="873" ht="15" customHeight="1">
      <c r="A873" t="inlineStr">
        <is>
          <t>A 39195-2024</t>
        </is>
      </c>
      <c r="B873" s="1" t="n">
        <v>45548</v>
      </c>
      <c r="C873" s="1" t="n">
        <v>45837</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41268-2024</t>
        </is>
      </c>
      <c r="B874" s="1" t="n">
        <v>45559</v>
      </c>
      <c r="C874" s="1" t="n">
        <v>45837</v>
      </c>
      <c r="D874" t="inlineStr">
        <is>
          <t>JÄMTLANDS LÄN</t>
        </is>
      </c>
      <c r="E874" t="inlineStr">
        <is>
          <t>ÅRE</t>
        </is>
      </c>
      <c r="G874" t="n">
        <v>1.1</v>
      </c>
      <c r="H874" t="n">
        <v>0</v>
      </c>
      <c r="I874" t="n">
        <v>0</v>
      </c>
      <c r="J874" t="n">
        <v>0</v>
      </c>
      <c r="K874" t="n">
        <v>0</v>
      </c>
      <c r="L874" t="n">
        <v>0</v>
      </c>
      <c r="M874" t="n">
        <v>0</v>
      </c>
      <c r="N874" t="n">
        <v>0</v>
      </c>
      <c r="O874" t="n">
        <v>0</v>
      </c>
      <c r="P874" t="n">
        <v>0</v>
      </c>
      <c r="Q874" t="n">
        <v>0</v>
      </c>
      <c r="R874" s="2" t="inlineStr"/>
    </row>
    <row r="875" ht="15" customHeight="1">
      <c r="A875" t="inlineStr">
        <is>
          <t>A 41267-2024</t>
        </is>
      </c>
      <c r="B875" s="1" t="n">
        <v>45559</v>
      </c>
      <c r="C875" s="1" t="n">
        <v>45837</v>
      </c>
      <c r="D875" t="inlineStr">
        <is>
          <t>JÄMTLANDS LÄN</t>
        </is>
      </c>
      <c r="E875" t="inlineStr">
        <is>
          <t>ÅRE</t>
        </is>
      </c>
      <c r="G875" t="n">
        <v>3.4</v>
      </c>
      <c r="H875" t="n">
        <v>0</v>
      </c>
      <c r="I875" t="n">
        <v>0</v>
      </c>
      <c r="J875" t="n">
        <v>0</v>
      </c>
      <c r="K875" t="n">
        <v>0</v>
      </c>
      <c r="L875" t="n">
        <v>0</v>
      </c>
      <c r="M875" t="n">
        <v>0</v>
      </c>
      <c r="N875" t="n">
        <v>0</v>
      </c>
      <c r="O875" t="n">
        <v>0</v>
      </c>
      <c r="P875" t="n">
        <v>0</v>
      </c>
      <c r="Q875" t="n">
        <v>0</v>
      </c>
      <c r="R875" s="2" t="inlineStr"/>
    </row>
    <row r="876" ht="15" customHeight="1">
      <c r="A876" t="inlineStr">
        <is>
          <t>A 42274-2024</t>
        </is>
      </c>
      <c r="B876" s="1" t="n">
        <v>45559</v>
      </c>
      <c r="C876" s="1" t="n">
        <v>45837</v>
      </c>
      <c r="D876" t="inlineStr">
        <is>
          <t>JÄMTLANDS LÄN</t>
        </is>
      </c>
      <c r="E876" t="inlineStr">
        <is>
          <t>ÅRE</t>
        </is>
      </c>
      <c r="G876" t="n">
        <v>2.2</v>
      </c>
      <c r="H876" t="n">
        <v>0</v>
      </c>
      <c r="I876" t="n">
        <v>0</v>
      </c>
      <c r="J876" t="n">
        <v>0</v>
      </c>
      <c r="K876" t="n">
        <v>0</v>
      </c>
      <c r="L876" t="n">
        <v>0</v>
      </c>
      <c r="M876" t="n">
        <v>0</v>
      </c>
      <c r="N876" t="n">
        <v>0</v>
      </c>
      <c r="O876" t="n">
        <v>0</v>
      </c>
      <c r="P876" t="n">
        <v>0</v>
      </c>
      <c r="Q876" t="n">
        <v>0</v>
      </c>
      <c r="R876" s="2" t="inlineStr"/>
    </row>
    <row r="877" ht="15" customHeight="1">
      <c r="A877" t="inlineStr">
        <is>
          <t>A 41266-2024</t>
        </is>
      </c>
      <c r="B877" s="1" t="n">
        <v>45559</v>
      </c>
      <c r="C877" s="1" t="n">
        <v>45837</v>
      </c>
      <c r="D877" t="inlineStr">
        <is>
          <t>JÄMTLANDS LÄN</t>
        </is>
      </c>
      <c r="E877" t="inlineStr">
        <is>
          <t>ÅRE</t>
        </is>
      </c>
      <c r="G877" t="n">
        <v>1</v>
      </c>
      <c r="H877" t="n">
        <v>0</v>
      </c>
      <c r="I877" t="n">
        <v>0</v>
      </c>
      <c r="J877" t="n">
        <v>0</v>
      </c>
      <c r="K877" t="n">
        <v>0</v>
      </c>
      <c r="L877" t="n">
        <v>0</v>
      </c>
      <c r="M877" t="n">
        <v>0</v>
      </c>
      <c r="N877" t="n">
        <v>0</v>
      </c>
      <c r="O877" t="n">
        <v>0</v>
      </c>
      <c r="P877" t="n">
        <v>0</v>
      </c>
      <c r="Q877" t="n">
        <v>0</v>
      </c>
      <c r="R877" s="2" t="inlineStr"/>
    </row>
    <row r="878" ht="15" customHeight="1">
      <c r="A878" t="inlineStr">
        <is>
          <t>A 41677-2024</t>
        </is>
      </c>
      <c r="B878" s="1" t="n">
        <v>45560</v>
      </c>
      <c r="C878" s="1" t="n">
        <v>45837</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41653-2024</t>
        </is>
      </c>
      <c r="B879" s="1" t="n">
        <v>45560</v>
      </c>
      <c r="C879" s="1" t="n">
        <v>45837</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41686-2024</t>
        </is>
      </c>
      <c r="B880" s="1" t="n">
        <v>45560</v>
      </c>
      <c r="C880" s="1" t="n">
        <v>45837</v>
      </c>
      <c r="D880" t="inlineStr">
        <is>
          <t>JÄMTLANDS LÄN</t>
        </is>
      </c>
      <c r="E880" t="inlineStr">
        <is>
          <t>ÅRE</t>
        </is>
      </c>
      <c r="G880" t="n">
        <v>0.6</v>
      </c>
      <c r="H880" t="n">
        <v>0</v>
      </c>
      <c r="I880" t="n">
        <v>0</v>
      </c>
      <c r="J880" t="n">
        <v>0</v>
      </c>
      <c r="K880" t="n">
        <v>0</v>
      </c>
      <c r="L880" t="n">
        <v>0</v>
      </c>
      <c r="M880" t="n">
        <v>0</v>
      </c>
      <c r="N880" t="n">
        <v>0</v>
      </c>
      <c r="O880" t="n">
        <v>0</v>
      </c>
      <c r="P880" t="n">
        <v>0</v>
      </c>
      <c r="Q880" t="n">
        <v>0</v>
      </c>
      <c r="R880" s="2" t="inlineStr"/>
    </row>
    <row r="881" ht="15" customHeight="1">
      <c r="A881" t="inlineStr">
        <is>
          <t>A 41688-2024</t>
        </is>
      </c>
      <c r="B881" s="1" t="n">
        <v>45560</v>
      </c>
      <c r="C881" s="1" t="n">
        <v>45837</v>
      </c>
      <c r="D881" t="inlineStr">
        <is>
          <t>JÄMTLANDS LÄN</t>
        </is>
      </c>
      <c r="E881" t="inlineStr">
        <is>
          <t>ÅRE</t>
        </is>
      </c>
      <c r="G881" t="n">
        <v>0.8</v>
      </c>
      <c r="H881" t="n">
        <v>0</v>
      </c>
      <c r="I881" t="n">
        <v>0</v>
      </c>
      <c r="J881" t="n">
        <v>0</v>
      </c>
      <c r="K881" t="n">
        <v>0</v>
      </c>
      <c r="L881" t="n">
        <v>0</v>
      </c>
      <c r="M881" t="n">
        <v>0</v>
      </c>
      <c r="N881" t="n">
        <v>0</v>
      </c>
      <c r="O881" t="n">
        <v>0</v>
      </c>
      <c r="P881" t="n">
        <v>0</v>
      </c>
      <c r="Q881" t="n">
        <v>0</v>
      </c>
      <c r="R881" s="2" t="inlineStr"/>
    </row>
    <row r="882" ht="15" customHeight="1">
      <c r="A882" t="inlineStr">
        <is>
          <t>A 41814-2024</t>
        </is>
      </c>
      <c r="B882" s="1" t="n">
        <v>45561</v>
      </c>
      <c r="C882" s="1" t="n">
        <v>45837</v>
      </c>
      <c r="D882" t="inlineStr">
        <is>
          <t>JÄMTLANDS LÄN</t>
        </is>
      </c>
      <c r="E882" t="inlineStr">
        <is>
          <t>ÅRE</t>
        </is>
      </c>
      <c r="G882" t="n">
        <v>5.4</v>
      </c>
      <c r="H882" t="n">
        <v>0</v>
      </c>
      <c r="I882" t="n">
        <v>0</v>
      </c>
      <c r="J882" t="n">
        <v>0</v>
      </c>
      <c r="K882" t="n">
        <v>0</v>
      </c>
      <c r="L882" t="n">
        <v>0</v>
      </c>
      <c r="M882" t="n">
        <v>0</v>
      </c>
      <c r="N882" t="n">
        <v>0</v>
      </c>
      <c r="O882" t="n">
        <v>0</v>
      </c>
      <c r="P882" t="n">
        <v>0</v>
      </c>
      <c r="Q882" t="n">
        <v>0</v>
      </c>
      <c r="R882" s="2" t="inlineStr"/>
    </row>
    <row r="883" ht="15" customHeight="1">
      <c r="A883" t="inlineStr">
        <is>
          <t>A 41797-2024</t>
        </is>
      </c>
      <c r="B883" s="1" t="n">
        <v>45561</v>
      </c>
      <c r="C883" s="1" t="n">
        <v>45837</v>
      </c>
      <c r="D883" t="inlineStr">
        <is>
          <t>JÄMTLANDS LÄN</t>
        </is>
      </c>
      <c r="E883" t="inlineStr">
        <is>
          <t>ÅRE</t>
        </is>
      </c>
      <c r="G883" t="n">
        <v>10.5</v>
      </c>
      <c r="H883" t="n">
        <v>0</v>
      </c>
      <c r="I883" t="n">
        <v>0</v>
      </c>
      <c r="J883" t="n">
        <v>0</v>
      </c>
      <c r="K883" t="n">
        <v>0</v>
      </c>
      <c r="L883" t="n">
        <v>0</v>
      </c>
      <c r="M883" t="n">
        <v>0</v>
      </c>
      <c r="N883" t="n">
        <v>0</v>
      </c>
      <c r="O883" t="n">
        <v>0</v>
      </c>
      <c r="P883" t="n">
        <v>0</v>
      </c>
      <c r="Q883" t="n">
        <v>0</v>
      </c>
      <c r="R883" s="2" t="inlineStr"/>
    </row>
    <row r="884" ht="15" customHeight="1">
      <c r="A884" t="inlineStr">
        <is>
          <t>A 42244-2024</t>
        </is>
      </c>
      <c r="B884" s="1" t="n">
        <v>45562</v>
      </c>
      <c r="C884" s="1" t="n">
        <v>45837</v>
      </c>
      <c r="D884" t="inlineStr">
        <is>
          <t>JÄMTLANDS LÄN</t>
        </is>
      </c>
      <c r="E884" t="inlineStr">
        <is>
          <t>ÅRE</t>
        </is>
      </c>
      <c r="F884" t="inlineStr">
        <is>
          <t>Övriga Aktiebolag</t>
        </is>
      </c>
      <c r="G884" t="n">
        <v>6</v>
      </c>
      <c r="H884" t="n">
        <v>0</v>
      </c>
      <c r="I884" t="n">
        <v>0</v>
      </c>
      <c r="J884" t="n">
        <v>0</v>
      </c>
      <c r="K884" t="n">
        <v>0</v>
      </c>
      <c r="L884" t="n">
        <v>0</v>
      </c>
      <c r="M884" t="n">
        <v>0</v>
      </c>
      <c r="N884" t="n">
        <v>0</v>
      </c>
      <c r="O884" t="n">
        <v>0</v>
      </c>
      <c r="P884" t="n">
        <v>0</v>
      </c>
      <c r="Q884" t="n">
        <v>0</v>
      </c>
      <c r="R884" s="2" t="inlineStr"/>
    </row>
    <row r="885" ht="15" customHeight="1">
      <c r="A885" t="inlineStr">
        <is>
          <t>A 42592-2024</t>
        </is>
      </c>
      <c r="B885" s="1" t="n">
        <v>45565</v>
      </c>
      <c r="C885" s="1" t="n">
        <v>45837</v>
      </c>
      <c r="D885" t="inlineStr">
        <is>
          <t>JÄMTLANDS LÄN</t>
        </is>
      </c>
      <c r="E885" t="inlineStr">
        <is>
          <t>ÅRE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43307-2024</t>
        </is>
      </c>
      <c r="B886" s="1" t="n">
        <v>45568</v>
      </c>
      <c r="C886" s="1" t="n">
        <v>45837</v>
      </c>
      <c r="D886" t="inlineStr">
        <is>
          <t>JÄMTLANDS LÄN</t>
        </is>
      </c>
      <c r="E886" t="inlineStr">
        <is>
          <t>ÅRE</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43342-2024</t>
        </is>
      </c>
      <c r="B887" s="1" t="n">
        <v>45568</v>
      </c>
      <c r="C887" s="1" t="n">
        <v>45837</v>
      </c>
      <c r="D887" t="inlineStr">
        <is>
          <t>JÄMTLANDS LÄN</t>
        </is>
      </c>
      <c r="E887" t="inlineStr">
        <is>
          <t>ÅRE</t>
        </is>
      </c>
      <c r="F887" t="inlineStr">
        <is>
          <t>Övriga Aktiebolag</t>
        </is>
      </c>
      <c r="G887" t="n">
        <v>4.8</v>
      </c>
      <c r="H887" t="n">
        <v>0</v>
      </c>
      <c r="I887" t="n">
        <v>0</v>
      </c>
      <c r="J887" t="n">
        <v>0</v>
      </c>
      <c r="K887" t="n">
        <v>0</v>
      </c>
      <c r="L887" t="n">
        <v>0</v>
      </c>
      <c r="M887" t="n">
        <v>0</v>
      </c>
      <c r="N887" t="n">
        <v>0</v>
      </c>
      <c r="O887" t="n">
        <v>0</v>
      </c>
      <c r="P887" t="n">
        <v>0</v>
      </c>
      <c r="Q887" t="n">
        <v>0</v>
      </c>
      <c r="R887" s="2" t="inlineStr"/>
    </row>
    <row r="888" ht="15" customHeight="1">
      <c r="A888" t="inlineStr">
        <is>
          <t>A 44722-2024</t>
        </is>
      </c>
      <c r="B888" s="1" t="n">
        <v>45574</v>
      </c>
      <c r="C888" s="1" t="n">
        <v>45837</v>
      </c>
      <c r="D888" t="inlineStr">
        <is>
          <t>JÄMTLANDS LÄN</t>
        </is>
      </c>
      <c r="E888" t="inlineStr">
        <is>
          <t>ÅRE</t>
        </is>
      </c>
      <c r="G888" t="n">
        <v>4.1</v>
      </c>
      <c r="H888" t="n">
        <v>0</v>
      </c>
      <c r="I888" t="n">
        <v>0</v>
      </c>
      <c r="J888" t="n">
        <v>0</v>
      </c>
      <c r="K888" t="n">
        <v>0</v>
      </c>
      <c r="L888" t="n">
        <v>0</v>
      </c>
      <c r="M888" t="n">
        <v>0</v>
      </c>
      <c r="N888" t="n">
        <v>0</v>
      </c>
      <c r="O888" t="n">
        <v>0</v>
      </c>
      <c r="P888" t="n">
        <v>0</v>
      </c>
      <c r="Q888" t="n">
        <v>0</v>
      </c>
      <c r="R888" s="2" t="inlineStr"/>
    </row>
    <row r="889" ht="15" customHeight="1">
      <c r="A889" t="inlineStr">
        <is>
          <t>A 44609-2024</t>
        </is>
      </c>
      <c r="B889" s="1" t="n">
        <v>45574</v>
      </c>
      <c r="C889" s="1" t="n">
        <v>45837</v>
      </c>
      <c r="D889" t="inlineStr">
        <is>
          <t>JÄMTLANDS LÄN</t>
        </is>
      </c>
      <c r="E889" t="inlineStr">
        <is>
          <t>ÅRE</t>
        </is>
      </c>
      <c r="G889" t="n">
        <v>1.9</v>
      </c>
      <c r="H889" t="n">
        <v>0</v>
      </c>
      <c r="I889" t="n">
        <v>0</v>
      </c>
      <c r="J889" t="n">
        <v>0</v>
      </c>
      <c r="K889" t="n">
        <v>0</v>
      </c>
      <c r="L889" t="n">
        <v>0</v>
      </c>
      <c r="M889" t="n">
        <v>0</v>
      </c>
      <c r="N889" t="n">
        <v>0</v>
      </c>
      <c r="O889" t="n">
        <v>0</v>
      </c>
      <c r="P889" t="n">
        <v>0</v>
      </c>
      <c r="Q889" t="n">
        <v>0</v>
      </c>
      <c r="R889" s="2" t="inlineStr"/>
    </row>
    <row r="890" ht="15" customHeight="1">
      <c r="A890" t="inlineStr">
        <is>
          <t>A 44797-2024</t>
        </is>
      </c>
      <c r="B890" s="1" t="n">
        <v>45574</v>
      </c>
      <c r="C890" s="1" t="n">
        <v>45837</v>
      </c>
      <c r="D890" t="inlineStr">
        <is>
          <t>JÄMTLANDS LÄN</t>
        </is>
      </c>
      <c r="E890" t="inlineStr">
        <is>
          <t>ÅRE</t>
        </is>
      </c>
      <c r="G890" t="n">
        <v>21.4</v>
      </c>
      <c r="H890" t="n">
        <v>0</v>
      </c>
      <c r="I890" t="n">
        <v>0</v>
      </c>
      <c r="J890" t="n">
        <v>0</v>
      </c>
      <c r="K890" t="n">
        <v>0</v>
      </c>
      <c r="L890" t="n">
        <v>0</v>
      </c>
      <c r="M890" t="n">
        <v>0</v>
      </c>
      <c r="N890" t="n">
        <v>0</v>
      </c>
      <c r="O890" t="n">
        <v>0</v>
      </c>
      <c r="P890" t="n">
        <v>0</v>
      </c>
      <c r="Q890" t="n">
        <v>0</v>
      </c>
      <c r="R890" s="2" t="inlineStr"/>
    </row>
    <row r="891" ht="15" customHeight="1">
      <c r="A891" t="inlineStr">
        <is>
          <t>A 45113-2024</t>
        </is>
      </c>
      <c r="B891" s="1" t="n">
        <v>45575</v>
      </c>
      <c r="C891" s="1" t="n">
        <v>45837</v>
      </c>
      <c r="D891" t="inlineStr">
        <is>
          <t>JÄMTLANDS LÄN</t>
        </is>
      </c>
      <c r="E891" t="inlineStr">
        <is>
          <t>ÅRE</t>
        </is>
      </c>
      <c r="G891" t="n">
        <v>3.7</v>
      </c>
      <c r="H891" t="n">
        <v>0</v>
      </c>
      <c r="I891" t="n">
        <v>0</v>
      </c>
      <c r="J891" t="n">
        <v>0</v>
      </c>
      <c r="K891" t="n">
        <v>0</v>
      </c>
      <c r="L891" t="n">
        <v>0</v>
      </c>
      <c r="M891" t="n">
        <v>0</v>
      </c>
      <c r="N891" t="n">
        <v>0</v>
      </c>
      <c r="O891" t="n">
        <v>0</v>
      </c>
      <c r="P891" t="n">
        <v>0</v>
      </c>
      <c r="Q891" t="n">
        <v>0</v>
      </c>
      <c r="R891" s="2" t="inlineStr"/>
    </row>
    <row r="892" ht="15" customHeight="1">
      <c r="A892" t="inlineStr">
        <is>
          <t>A 45130-2024</t>
        </is>
      </c>
      <c r="B892" s="1" t="n">
        <v>45575</v>
      </c>
      <c r="C892" s="1" t="n">
        <v>45837</v>
      </c>
      <c r="D892" t="inlineStr">
        <is>
          <t>JÄMTLANDS LÄN</t>
        </is>
      </c>
      <c r="E892" t="inlineStr">
        <is>
          <t>ÅRE</t>
        </is>
      </c>
      <c r="G892" t="n">
        <v>5.2</v>
      </c>
      <c r="H892" t="n">
        <v>0</v>
      </c>
      <c r="I892" t="n">
        <v>0</v>
      </c>
      <c r="J892" t="n">
        <v>0</v>
      </c>
      <c r="K892" t="n">
        <v>0</v>
      </c>
      <c r="L892" t="n">
        <v>0</v>
      </c>
      <c r="M892" t="n">
        <v>0</v>
      </c>
      <c r="N892" t="n">
        <v>0</v>
      </c>
      <c r="O892" t="n">
        <v>0</v>
      </c>
      <c r="P892" t="n">
        <v>0</v>
      </c>
      <c r="Q892" t="n">
        <v>0</v>
      </c>
      <c r="R892" s="2" t="inlineStr"/>
    </row>
    <row r="893" ht="15" customHeight="1">
      <c r="A893" t="inlineStr">
        <is>
          <t>A 45105-2024</t>
        </is>
      </c>
      <c r="B893" s="1" t="n">
        <v>45575</v>
      </c>
      <c r="C893" s="1" t="n">
        <v>45837</v>
      </c>
      <c r="D893" t="inlineStr">
        <is>
          <t>JÄMTLANDS LÄN</t>
        </is>
      </c>
      <c r="E893" t="inlineStr">
        <is>
          <t>ÅRE</t>
        </is>
      </c>
      <c r="F893" t="inlineStr">
        <is>
          <t>Övriga Aktiebolag</t>
        </is>
      </c>
      <c r="G893" t="n">
        <v>5</v>
      </c>
      <c r="H893" t="n">
        <v>0</v>
      </c>
      <c r="I893" t="n">
        <v>0</v>
      </c>
      <c r="J893" t="n">
        <v>0</v>
      </c>
      <c r="K893" t="n">
        <v>0</v>
      </c>
      <c r="L893" t="n">
        <v>0</v>
      </c>
      <c r="M893" t="n">
        <v>0</v>
      </c>
      <c r="N893" t="n">
        <v>0</v>
      </c>
      <c r="O893" t="n">
        <v>0</v>
      </c>
      <c r="P893" t="n">
        <v>0</v>
      </c>
      <c r="Q893" t="n">
        <v>0</v>
      </c>
      <c r="R893" s="2" t="inlineStr"/>
    </row>
    <row r="894" ht="15" customHeight="1">
      <c r="A894" t="inlineStr">
        <is>
          <t>A 45161-2024</t>
        </is>
      </c>
      <c r="B894" s="1" t="n">
        <v>45575</v>
      </c>
      <c r="C894" s="1" t="n">
        <v>45837</v>
      </c>
      <c r="D894" t="inlineStr">
        <is>
          <t>JÄMTLANDS LÄN</t>
        </is>
      </c>
      <c r="E894" t="inlineStr">
        <is>
          <t>ÅRE</t>
        </is>
      </c>
      <c r="G894" t="n">
        <v>6.9</v>
      </c>
      <c r="H894" t="n">
        <v>0</v>
      </c>
      <c r="I894" t="n">
        <v>0</v>
      </c>
      <c r="J894" t="n">
        <v>0</v>
      </c>
      <c r="K894" t="n">
        <v>0</v>
      </c>
      <c r="L894" t="n">
        <v>0</v>
      </c>
      <c r="M894" t="n">
        <v>0</v>
      </c>
      <c r="N894" t="n">
        <v>0</v>
      </c>
      <c r="O894" t="n">
        <v>0</v>
      </c>
      <c r="P894" t="n">
        <v>0</v>
      </c>
      <c r="Q894" t="n">
        <v>0</v>
      </c>
      <c r="R894" s="2" t="inlineStr"/>
    </row>
    <row r="895" ht="15" customHeight="1">
      <c r="A895" t="inlineStr">
        <is>
          <t>A 44925-2024</t>
        </is>
      </c>
      <c r="B895" s="1" t="n">
        <v>45575</v>
      </c>
      <c r="C895" s="1" t="n">
        <v>45837</v>
      </c>
      <c r="D895" t="inlineStr">
        <is>
          <t>JÄMTLANDS LÄN</t>
        </is>
      </c>
      <c r="E895" t="inlineStr">
        <is>
          <t>ÅRE</t>
        </is>
      </c>
      <c r="F895" t="inlineStr">
        <is>
          <t>Övriga Aktiebolag</t>
        </is>
      </c>
      <c r="G895" t="n">
        <v>22.3</v>
      </c>
      <c r="H895" t="n">
        <v>0</v>
      </c>
      <c r="I895" t="n">
        <v>0</v>
      </c>
      <c r="J895" t="n">
        <v>0</v>
      </c>
      <c r="K895" t="n">
        <v>0</v>
      </c>
      <c r="L895" t="n">
        <v>0</v>
      </c>
      <c r="M895" t="n">
        <v>0</v>
      </c>
      <c r="N895" t="n">
        <v>0</v>
      </c>
      <c r="O895" t="n">
        <v>0</v>
      </c>
      <c r="P895" t="n">
        <v>0</v>
      </c>
      <c r="Q895" t="n">
        <v>0</v>
      </c>
      <c r="R895" s="2" t="inlineStr"/>
    </row>
    <row r="896" ht="15" customHeight="1">
      <c r="A896" t="inlineStr">
        <is>
          <t>A 45286-2024</t>
        </is>
      </c>
      <c r="B896" s="1" t="n">
        <v>45576</v>
      </c>
      <c r="C896" s="1" t="n">
        <v>45837</v>
      </c>
      <c r="D896" t="inlineStr">
        <is>
          <t>JÄMTLANDS LÄN</t>
        </is>
      </c>
      <c r="E896" t="inlineStr">
        <is>
          <t>ÅRE</t>
        </is>
      </c>
      <c r="G896" t="n">
        <v>0.7</v>
      </c>
      <c r="H896" t="n">
        <v>0</v>
      </c>
      <c r="I896" t="n">
        <v>0</v>
      </c>
      <c r="J896" t="n">
        <v>0</v>
      </c>
      <c r="K896" t="n">
        <v>0</v>
      </c>
      <c r="L896" t="n">
        <v>0</v>
      </c>
      <c r="M896" t="n">
        <v>0</v>
      </c>
      <c r="N896" t="n">
        <v>0</v>
      </c>
      <c r="O896" t="n">
        <v>0</v>
      </c>
      <c r="P896" t="n">
        <v>0</v>
      </c>
      <c r="Q896" t="n">
        <v>0</v>
      </c>
      <c r="R896" s="2" t="inlineStr"/>
    </row>
    <row r="897" ht="15" customHeight="1">
      <c r="A897" t="inlineStr">
        <is>
          <t>A 45453-2024</t>
        </is>
      </c>
      <c r="B897" s="1" t="n">
        <v>45576</v>
      </c>
      <c r="C897" s="1" t="n">
        <v>45837</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45324-2024</t>
        </is>
      </c>
      <c r="B898" s="1" t="n">
        <v>45576</v>
      </c>
      <c r="C898" s="1" t="n">
        <v>45837</v>
      </c>
      <c r="D898" t="inlineStr">
        <is>
          <t>JÄMTLANDS LÄN</t>
        </is>
      </c>
      <c r="E898" t="inlineStr">
        <is>
          <t>ÅRE</t>
        </is>
      </c>
      <c r="G898" t="n">
        <v>9.4</v>
      </c>
      <c r="H898" t="n">
        <v>0</v>
      </c>
      <c r="I898" t="n">
        <v>0</v>
      </c>
      <c r="J898" t="n">
        <v>0</v>
      </c>
      <c r="K898" t="n">
        <v>0</v>
      </c>
      <c r="L898" t="n">
        <v>0</v>
      </c>
      <c r="M898" t="n">
        <v>0</v>
      </c>
      <c r="N898" t="n">
        <v>0</v>
      </c>
      <c r="O898" t="n">
        <v>0</v>
      </c>
      <c r="P898" t="n">
        <v>0</v>
      </c>
      <c r="Q898" t="n">
        <v>0</v>
      </c>
      <c r="R898" s="2" t="inlineStr"/>
    </row>
    <row r="899" ht="15" customHeight="1">
      <c r="A899" t="inlineStr">
        <is>
          <t>A 45279-2024</t>
        </is>
      </c>
      <c r="B899" s="1" t="n">
        <v>45576</v>
      </c>
      <c r="C899" s="1" t="n">
        <v>45837</v>
      </c>
      <c r="D899" t="inlineStr">
        <is>
          <t>JÄMTLANDS LÄN</t>
        </is>
      </c>
      <c r="E899" t="inlineStr">
        <is>
          <t>ÅRE</t>
        </is>
      </c>
      <c r="G899" t="n">
        <v>17.2</v>
      </c>
      <c r="H899" t="n">
        <v>0</v>
      </c>
      <c r="I899" t="n">
        <v>0</v>
      </c>
      <c r="J899" t="n">
        <v>0</v>
      </c>
      <c r="K899" t="n">
        <v>0</v>
      </c>
      <c r="L899" t="n">
        <v>0</v>
      </c>
      <c r="M899" t="n">
        <v>0</v>
      </c>
      <c r="N899" t="n">
        <v>0</v>
      </c>
      <c r="O899" t="n">
        <v>0</v>
      </c>
      <c r="P899" t="n">
        <v>0</v>
      </c>
      <c r="Q899" t="n">
        <v>0</v>
      </c>
      <c r="R899" s="2" t="inlineStr"/>
    </row>
    <row r="900" ht="15" customHeight="1">
      <c r="A900" t="inlineStr">
        <is>
          <t>A 45833-2024</t>
        </is>
      </c>
      <c r="B900" s="1" t="n">
        <v>45579</v>
      </c>
      <c r="C900" s="1" t="n">
        <v>45837</v>
      </c>
      <c r="D900" t="inlineStr">
        <is>
          <t>JÄMTLANDS LÄN</t>
        </is>
      </c>
      <c r="E900" t="inlineStr">
        <is>
          <t>ÅRE</t>
        </is>
      </c>
      <c r="G900" t="n">
        <v>16.7</v>
      </c>
      <c r="H900" t="n">
        <v>0</v>
      </c>
      <c r="I900" t="n">
        <v>0</v>
      </c>
      <c r="J900" t="n">
        <v>0</v>
      </c>
      <c r="K900" t="n">
        <v>0</v>
      </c>
      <c r="L900" t="n">
        <v>0</v>
      </c>
      <c r="M900" t="n">
        <v>0</v>
      </c>
      <c r="N900" t="n">
        <v>0</v>
      </c>
      <c r="O900" t="n">
        <v>0</v>
      </c>
      <c r="P900" t="n">
        <v>0</v>
      </c>
      <c r="Q900" t="n">
        <v>0</v>
      </c>
      <c r="R900" s="2" t="inlineStr"/>
    </row>
    <row r="901" ht="15" customHeight="1">
      <c r="A901" t="inlineStr">
        <is>
          <t>A 45796-2024</t>
        </is>
      </c>
      <c r="B901" s="1" t="n">
        <v>45579</v>
      </c>
      <c r="C901" s="1" t="n">
        <v>45837</v>
      </c>
      <c r="D901" t="inlineStr">
        <is>
          <t>JÄMTLANDS LÄN</t>
        </is>
      </c>
      <c r="E901" t="inlineStr">
        <is>
          <t>ÅRE</t>
        </is>
      </c>
      <c r="G901" t="n">
        <v>5</v>
      </c>
      <c r="H901" t="n">
        <v>0</v>
      </c>
      <c r="I901" t="n">
        <v>0</v>
      </c>
      <c r="J901" t="n">
        <v>0</v>
      </c>
      <c r="K901" t="n">
        <v>0</v>
      </c>
      <c r="L901" t="n">
        <v>0</v>
      </c>
      <c r="M901" t="n">
        <v>0</v>
      </c>
      <c r="N901" t="n">
        <v>0</v>
      </c>
      <c r="O901" t="n">
        <v>0</v>
      </c>
      <c r="P901" t="n">
        <v>0</v>
      </c>
      <c r="Q901" t="n">
        <v>0</v>
      </c>
      <c r="R901" s="2" t="inlineStr"/>
    </row>
    <row r="902" ht="15" customHeight="1">
      <c r="A902" t="inlineStr">
        <is>
          <t>A 45736-2024</t>
        </is>
      </c>
      <c r="B902" s="1" t="n">
        <v>45579</v>
      </c>
      <c r="C902" s="1" t="n">
        <v>45837</v>
      </c>
      <c r="D902" t="inlineStr">
        <is>
          <t>JÄMTLANDS LÄN</t>
        </is>
      </c>
      <c r="E902" t="inlineStr">
        <is>
          <t>ÅRE</t>
        </is>
      </c>
      <c r="G902" t="n">
        <v>14.3</v>
      </c>
      <c r="H902" t="n">
        <v>0</v>
      </c>
      <c r="I902" t="n">
        <v>0</v>
      </c>
      <c r="J902" t="n">
        <v>0</v>
      </c>
      <c r="K902" t="n">
        <v>0</v>
      </c>
      <c r="L902" t="n">
        <v>0</v>
      </c>
      <c r="M902" t="n">
        <v>0</v>
      </c>
      <c r="N902" t="n">
        <v>0</v>
      </c>
      <c r="O902" t="n">
        <v>0</v>
      </c>
      <c r="P902" t="n">
        <v>0</v>
      </c>
      <c r="Q902" t="n">
        <v>0</v>
      </c>
      <c r="R902" s="2" t="inlineStr"/>
    </row>
    <row r="903" ht="15" customHeight="1">
      <c r="A903" t="inlineStr">
        <is>
          <t>A 45834-2024</t>
        </is>
      </c>
      <c r="B903" s="1" t="n">
        <v>45579</v>
      </c>
      <c r="C903" s="1" t="n">
        <v>45837</v>
      </c>
      <c r="D903" t="inlineStr">
        <is>
          <t>JÄMTLANDS LÄN</t>
        </is>
      </c>
      <c r="E903" t="inlineStr">
        <is>
          <t>ÅRE</t>
        </is>
      </c>
      <c r="G903" t="n">
        <v>3.9</v>
      </c>
      <c r="H903" t="n">
        <v>0</v>
      </c>
      <c r="I903" t="n">
        <v>0</v>
      </c>
      <c r="J903" t="n">
        <v>0</v>
      </c>
      <c r="K903" t="n">
        <v>0</v>
      </c>
      <c r="L903" t="n">
        <v>0</v>
      </c>
      <c r="M903" t="n">
        <v>0</v>
      </c>
      <c r="N903" t="n">
        <v>0</v>
      </c>
      <c r="O903" t="n">
        <v>0</v>
      </c>
      <c r="P903" t="n">
        <v>0</v>
      </c>
      <c r="Q903" t="n">
        <v>0</v>
      </c>
      <c r="R903" s="2" t="inlineStr"/>
    </row>
    <row r="904" ht="15" customHeight="1">
      <c r="A904" t="inlineStr">
        <is>
          <t>A 45946-2024</t>
        </is>
      </c>
      <c r="B904" s="1" t="n">
        <v>45580</v>
      </c>
      <c r="C904" s="1" t="n">
        <v>45837</v>
      </c>
      <c r="D904" t="inlineStr">
        <is>
          <t>JÄMTLANDS LÄN</t>
        </is>
      </c>
      <c r="E904" t="inlineStr">
        <is>
          <t>ÅRE</t>
        </is>
      </c>
      <c r="G904" t="n">
        <v>32</v>
      </c>
      <c r="H904" t="n">
        <v>0</v>
      </c>
      <c r="I904" t="n">
        <v>0</v>
      </c>
      <c r="J904" t="n">
        <v>0</v>
      </c>
      <c r="K904" t="n">
        <v>0</v>
      </c>
      <c r="L904" t="n">
        <v>0</v>
      </c>
      <c r="M904" t="n">
        <v>0</v>
      </c>
      <c r="N904" t="n">
        <v>0</v>
      </c>
      <c r="O904" t="n">
        <v>0</v>
      </c>
      <c r="P904" t="n">
        <v>0</v>
      </c>
      <c r="Q904" t="n">
        <v>0</v>
      </c>
      <c r="R904" s="2" t="inlineStr"/>
    </row>
    <row r="905" ht="15" customHeight="1">
      <c r="A905" t="inlineStr">
        <is>
          <t>A 46259-2024</t>
        </is>
      </c>
      <c r="B905" s="1" t="n">
        <v>45581</v>
      </c>
      <c r="C905" s="1" t="n">
        <v>45837</v>
      </c>
      <c r="D905" t="inlineStr">
        <is>
          <t>JÄMTLANDS LÄN</t>
        </is>
      </c>
      <c r="E905" t="inlineStr">
        <is>
          <t>ÅRE</t>
        </is>
      </c>
      <c r="G905" t="n">
        <v>4.7</v>
      </c>
      <c r="H905" t="n">
        <v>0</v>
      </c>
      <c r="I905" t="n">
        <v>0</v>
      </c>
      <c r="J905" t="n">
        <v>0</v>
      </c>
      <c r="K905" t="n">
        <v>0</v>
      </c>
      <c r="L905" t="n">
        <v>0</v>
      </c>
      <c r="M905" t="n">
        <v>0</v>
      </c>
      <c r="N905" t="n">
        <v>0</v>
      </c>
      <c r="O905" t="n">
        <v>0</v>
      </c>
      <c r="P905" t="n">
        <v>0</v>
      </c>
      <c r="Q905" t="n">
        <v>0</v>
      </c>
      <c r="R905" s="2" t="inlineStr"/>
    </row>
    <row r="906" ht="15" customHeight="1">
      <c r="A906" t="inlineStr">
        <is>
          <t>A 46546-2024</t>
        </is>
      </c>
      <c r="B906" s="1" t="n">
        <v>45582</v>
      </c>
      <c r="C906" s="1" t="n">
        <v>45837</v>
      </c>
      <c r="D906" t="inlineStr">
        <is>
          <t>JÄMTLANDS LÄN</t>
        </is>
      </c>
      <c r="E906" t="inlineStr">
        <is>
          <t>ÅRE</t>
        </is>
      </c>
      <c r="G906" t="n">
        <v>7.5</v>
      </c>
      <c r="H906" t="n">
        <v>0</v>
      </c>
      <c r="I906" t="n">
        <v>0</v>
      </c>
      <c r="J906" t="n">
        <v>0</v>
      </c>
      <c r="K906" t="n">
        <v>0</v>
      </c>
      <c r="L906" t="n">
        <v>0</v>
      </c>
      <c r="M906" t="n">
        <v>0</v>
      </c>
      <c r="N906" t="n">
        <v>0</v>
      </c>
      <c r="O906" t="n">
        <v>0</v>
      </c>
      <c r="P906" t="n">
        <v>0</v>
      </c>
      <c r="Q906" t="n">
        <v>0</v>
      </c>
      <c r="R906" s="2" t="inlineStr"/>
    </row>
    <row r="907" ht="15" customHeight="1">
      <c r="A907" t="inlineStr">
        <is>
          <t>A 46559-2024</t>
        </is>
      </c>
      <c r="B907" s="1" t="n">
        <v>45582</v>
      </c>
      <c r="C907" s="1" t="n">
        <v>45837</v>
      </c>
      <c r="D907" t="inlineStr">
        <is>
          <t>JÄMTLANDS LÄN</t>
        </is>
      </c>
      <c r="E907" t="inlineStr">
        <is>
          <t>ÅRE</t>
        </is>
      </c>
      <c r="G907" t="n">
        <v>6.2</v>
      </c>
      <c r="H907" t="n">
        <v>0</v>
      </c>
      <c r="I907" t="n">
        <v>0</v>
      </c>
      <c r="J907" t="n">
        <v>0</v>
      </c>
      <c r="K907" t="n">
        <v>0</v>
      </c>
      <c r="L907" t="n">
        <v>0</v>
      </c>
      <c r="M907" t="n">
        <v>0</v>
      </c>
      <c r="N907" t="n">
        <v>0</v>
      </c>
      <c r="O907" t="n">
        <v>0</v>
      </c>
      <c r="P907" t="n">
        <v>0</v>
      </c>
      <c r="Q907" t="n">
        <v>0</v>
      </c>
      <c r="R907" s="2" t="inlineStr"/>
    </row>
    <row r="908" ht="15" customHeight="1">
      <c r="A908" t="inlineStr">
        <is>
          <t>A 46444-2024</t>
        </is>
      </c>
      <c r="B908" s="1" t="n">
        <v>45582</v>
      </c>
      <c r="C908" s="1" t="n">
        <v>45837</v>
      </c>
      <c r="D908" t="inlineStr">
        <is>
          <t>JÄMTLANDS LÄN</t>
        </is>
      </c>
      <c r="E908" t="inlineStr">
        <is>
          <t>ÅRE</t>
        </is>
      </c>
      <c r="G908" t="n">
        <v>19.6</v>
      </c>
      <c r="H908" t="n">
        <v>0</v>
      </c>
      <c r="I908" t="n">
        <v>0</v>
      </c>
      <c r="J908" t="n">
        <v>0</v>
      </c>
      <c r="K908" t="n">
        <v>0</v>
      </c>
      <c r="L908" t="n">
        <v>0</v>
      </c>
      <c r="M908" t="n">
        <v>0</v>
      </c>
      <c r="N908" t="n">
        <v>0</v>
      </c>
      <c r="O908" t="n">
        <v>0</v>
      </c>
      <c r="P908" t="n">
        <v>0</v>
      </c>
      <c r="Q908" t="n">
        <v>0</v>
      </c>
      <c r="R908" s="2" t="inlineStr"/>
    </row>
    <row r="909" ht="15" customHeight="1">
      <c r="A909" t="inlineStr">
        <is>
          <t>A 46788-2024</t>
        </is>
      </c>
      <c r="B909" s="1" t="n">
        <v>45583</v>
      </c>
      <c r="C909" s="1" t="n">
        <v>45837</v>
      </c>
      <c r="D909" t="inlineStr">
        <is>
          <t>JÄMTLANDS LÄN</t>
        </is>
      </c>
      <c r="E909" t="inlineStr">
        <is>
          <t>ÅRE</t>
        </is>
      </c>
      <c r="F909" t="inlineStr">
        <is>
          <t>Övriga Aktiebolag</t>
        </is>
      </c>
      <c r="G909" t="n">
        <v>0.3</v>
      </c>
      <c r="H909" t="n">
        <v>0</v>
      </c>
      <c r="I909" t="n">
        <v>0</v>
      </c>
      <c r="J909" t="n">
        <v>0</v>
      </c>
      <c r="K909" t="n">
        <v>0</v>
      </c>
      <c r="L909" t="n">
        <v>0</v>
      </c>
      <c r="M909" t="n">
        <v>0</v>
      </c>
      <c r="N909" t="n">
        <v>0</v>
      </c>
      <c r="O909" t="n">
        <v>0</v>
      </c>
      <c r="P909" t="n">
        <v>0</v>
      </c>
      <c r="Q909" t="n">
        <v>0</v>
      </c>
      <c r="R909" s="2" t="inlineStr"/>
    </row>
    <row r="910" ht="15" customHeight="1">
      <c r="A910" t="inlineStr">
        <is>
          <t>A 46789-2024</t>
        </is>
      </c>
      <c r="B910" s="1" t="n">
        <v>45583</v>
      </c>
      <c r="C910" s="1" t="n">
        <v>45837</v>
      </c>
      <c r="D910" t="inlineStr">
        <is>
          <t>JÄMTLANDS LÄN</t>
        </is>
      </c>
      <c r="E910" t="inlineStr">
        <is>
          <t>ÅRE</t>
        </is>
      </c>
      <c r="F910" t="inlineStr">
        <is>
          <t>Övriga Aktiebolag</t>
        </is>
      </c>
      <c r="G910" t="n">
        <v>2.7</v>
      </c>
      <c r="H910" t="n">
        <v>0</v>
      </c>
      <c r="I910" t="n">
        <v>0</v>
      </c>
      <c r="J910" t="n">
        <v>0</v>
      </c>
      <c r="K910" t="n">
        <v>0</v>
      </c>
      <c r="L910" t="n">
        <v>0</v>
      </c>
      <c r="M910" t="n">
        <v>0</v>
      </c>
      <c r="N910" t="n">
        <v>0</v>
      </c>
      <c r="O910" t="n">
        <v>0</v>
      </c>
      <c r="P910" t="n">
        <v>0</v>
      </c>
      <c r="Q910" t="n">
        <v>0</v>
      </c>
      <c r="R910" s="2" t="inlineStr"/>
    </row>
    <row r="911" ht="15" customHeight="1">
      <c r="A911" t="inlineStr">
        <is>
          <t>A 47094-2024</t>
        </is>
      </c>
      <c r="B911" s="1" t="n">
        <v>45586</v>
      </c>
      <c r="C911" s="1" t="n">
        <v>45837</v>
      </c>
      <c r="D911" t="inlineStr">
        <is>
          <t>JÄMTLANDS LÄN</t>
        </is>
      </c>
      <c r="E911" t="inlineStr">
        <is>
          <t>ÅRE</t>
        </is>
      </c>
      <c r="G911" t="n">
        <v>0.6</v>
      </c>
      <c r="H911" t="n">
        <v>0</v>
      </c>
      <c r="I911" t="n">
        <v>0</v>
      </c>
      <c r="J911" t="n">
        <v>0</v>
      </c>
      <c r="K911" t="n">
        <v>0</v>
      </c>
      <c r="L911" t="n">
        <v>0</v>
      </c>
      <c r="M911" t="n">
        <v>0</v>
      </c>
      <c r="N911" t="n">
        <v>0</v>
      </c>
      <c r="O911" t="n">
        <v>0</v>
      </c>
      <c r="P911" t="n">
        <v>0</v>
      </c>
      <c r="Q911" t="n">
        <v>0</v>
      </c>
      <c r="R911" s="2" t="inlineStr"/>
    </row>
    <row r="912" ht="15" customHeight="1">
      <c r="A912" t="inlineStr">
        <is>
          <t>A 47076-2024</t>
        </is>
      </c>
      <c r="B912" s="1" t="n">
        <v>45586</v>
      </c>
      <c r="C912" s="1" t="n">
        <v>45837</v>
      </c>
      <c r="D912" t="inlineStr">
        <is>
          <t>JÄMTLANDS LÄN</t>
        </is>
      </c>
      <c r="E912" t="inlineStr">
        <is>
          <t>ÅRE</t>
        </is>
      </c>
      <c r="G912" t="n">
        <v>6.5</v>
      </c>
      <c r="H912" t="n">
        <v>0</v>
      </c>
      <c r="I912" t="n">
        <v>0</v>
      </c>
      <c r="J912" t="n">
        <v>0</v>
      </c>
      <c r="K912" t="n">
        <v>0</v>
      </c>
      <c r="L912" t="n">
        <v>0</v>
      </c>
      <c r="M912" t="n">
        <v>0</v>
      </c>
      <c r="N912" t="n">
        <v>0</v>
      </c>
      <c r="O912" t="n">
        <v>0</v>
      </c>
      <c r="P912" t="n">
        <v>0</v>
      </c>
      <c r="Q912" t="n">
        <v>0</v>
      </c>
      <c r="R912" s="2" t="inlineStr"/>
    </row>
    <row r="913" ht="15" customHeight="1">
      <c r="A913" t="inlineStr">
        <is>
          <t>A 47064-2024</t>
        </is>
      </c>
      <c r="B913" s="1" t="n">
        <v>45586</v>
      </c>
      <c r="C913" s="1" t="n">
        <v>45837</v>
      </c>
      <c r="D913" t="inlineStr">
        <is>
          <t>JÄMTLANDS LÄN</t>
        </is>
      </c>
      <c r="E913" t="inlineStr">
        <is>
          <t>ÅRE</t>
        </is>
      </c>
      <c r="G913" t="n">
        <v>2.8</v>
      </c>
      <c r="H913" t="n">
        <v>0</v>
      </c>
      <c r="I913" t="n">
        <v>0</v>
      </c>
      <c r="J913" t="n">
        <v>0</v>
      </c>
      <c r="K913" t="n">
        <v>0</v>
      </c>
      <c r="L913" t="n">
        <v>0</v>
      </c>
      <c r="M913" t="n">
        <v>0</v>
      </c>
      <c r="N913" t="n">
        <v>0</v>
      </c>
      <c r="O913" t="n">
        <v>0</v>
      </c>
      <c r="P913" t="n">
        <v>0</v>
      </c>
      <c r="Q913" t="n">
        <v>0</v>
      </c>
      <c r="R913" s="2" t="inlineStr"/>
    </row>
    <row r="914" ht="15" customHeight="1">
      <c r="A914" t="inlineStr">
        <is>
          <t>A 47075-2024</t>
        </is>
      </c>
      <c r="B914" s="1" t="n">
        <v>45586</v>
      </c>
      <c r="C914" s="1" t="n">
        <v>45837</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47069-2024</t>
        </is>
      </c>
      <c r="B915" s="1" t="n">
        <v>45586</v>
      </c>
      <c r="C915" s="1" t="n">
        <v>45837</v>
      </c>
      <c r="D915" t="inlineStr">
        <is>
          <t>JÄMTLANDS LÄN</t>
        </is>
      </c>
      <c r="E915" t="inlineStr">
        <is>
          <t>ÅRE</t>
        </is>
      </c>
      <c r="G915" t="n">
        <v>7.1</v>
      </c>
      <c r="H915" t="n">
        <v>0</v>
      </c>
      <c r="I915" t="n">
        <v>0</v>
      </c>
      <c r="J915" t="n">
        <v>0</v>
      </c>
      <c r="K915" t="n">
        <v>0</v>
      </c>
      <c r="L915" t="n">
        <v>0</v>
      </c>
      <c r="M915" t="n">
        <v>0</v>
      </c>
      <c r="N915" t="n">
        <v>0</v>
      </c>
      <c r="O915" t="n">
        <v>0</v>
      </c>
      <c r="P915" t="n">
        <v>0</v>
      </c>
      <c r="Q915" t="n">
        <v>0</v>
      </c>
      <c r="R915" s="2" t="inlineStr"/>
    </row>
    <row r="916" ht="15" customHeight="1">
      <c r="A916" t="inlineStr">
        <is>
          <t>A 47279-2024</t>
        </is>
      </c>
      <c r="B916" s="1" t="n">
        <v>45587</v>
      </c>
      <c r="C916" s="1" t="n">
        <v>45837</v>
      </c>
      <c r="D916" t="inlineStr">
        <is>
          <t>JÄMTLANDS LÄN</t>
        </is>
      </c>
      <c r="E916" t="inlineStr">
        <is>
          <t>ÅRE</t>
        </is>
      </c>
      <c r="G916" t="n">
        <v>11.9</v>
      </c>
      <c r="H916" t="n">
        <v>0</v>
      </c>
      <c r="I916" t="n">
        <v>0</v>
      </c>
      <c r="J916" t="n">
        <v>0</v>
      </c>
      <c r="K916" t="n">
        <v>0</v>
      </c>
      <c r="L916" t="n">
        <v>0</v>
      </c>
      <c r="M916" t="n">
        <v>0</v>
      </c>
      <c r="N916" t="n">
        <v>0</v>
      </c>
      <c r="O916" t="n">
        <v>0</v>
      </c>
      <c r="P916" t="n">
        <v>0</v>
      </c>
      <c r="Q916" t="n">
        <v>0</v>
      </c>
      <c r="R916" s="2" t="inlineStr"/>
    </row>
    <row r="917" ht="15" customHeight="1">
      <c r="A917" t="inlineStr">
        <is>
          <t>A 47556-2024</t>
        </is>
      </c>
      <c r="B917" s="1" t="n">
        <v>45587</v>
      </c>
      <c r="C917" s="1" t="n">
        <v>45837</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48766-2024</t>
        </is>
      </c>
      <c r="B918" s="1" t="n">
        <v>45593</v>
      </c>
      <c r="C918" s="1" t="n">
        <v>45837</v>
      </c>
      <c r="D918" t="inlineStr">
        <is>
          <t>JÄMTLANDS LÄN</t>
        </is>
      </c>
      <c r="E918" t="inlineStr">
        <is>
          <t>ÅRE</t>
        </is>
      </c>
      <c r="G918" t="n">
        <v>3.3</v>
      </c>
      <c r="H918" t="n">
        <v>0</v>
      </c>
      <c r="I918" t="n">
        <v>0</v>
      </c>
      <c r="J918" t="n">
        <v>0</v>
      </c>
      <c r="K918" t="n">
        <v>0</v>
      </c>
      <c r="L918" t="n">
        <v>0</v>
      </c>
      <c r="M918" t="n">
        <v>0</v>
      </c>
      <c r="N918" t="n">
        <v>0</v>
      </c>
      <c r="O918" t="n">
        <v>0</v>
      </c>
      <c r="P918" t="n">
        <v>0</v>
      </c>
      <c r="Q918" t="n">
        <v>0</v>
      </c>
      <c r="R918" s="2" t="inlineStr"/>
    </row>
    <row r="919" ht="15" customHeight="1">
      <c r="A919" t="inlineStr">
        <is>
          <t>A 48839-2024</t>
        </is>
      </c>
      <c r="B919" s="1" t="n">
        <v>45593</v>
      </c>
      <c r="C919" s="1" t="n">
        <v>45837</v>
      </c>
      <c r="D919" t="inlineStr">
        <is>
          <t>JÄMTLANDS LÄN</t>
        </is>
      </c>
      <c r="E919" t="inlineStr">
        <is>
          <t>ÅRE</t>
        </is>
      </c>
      <c r="G919" t="n">
        <v>9.6</v>
      </c>
      <c r="H919" t="n">
        <v>0</v>
      </c>
      <c r="I919" t="n">
        <v>0</v>
      </c>
      <c r="J919" t="n">
        <v>0</v>
      </c>
      <c r="K919" t="n">
        <v>0</v>
      </c>
      <c r="L919" t="n">
        <v>0</v>
      </c>
      <c r="M919" t="n">
        <v>0</v>
      </c>
      <c r="N919" t="n">
        <v>0</v>
      </c>
      <c r="O919" t="n">
        <v>0</v>
      </c>
      <c r="P919" t="n">
        <v>0</v>
      </c>
      <c r="Q919" t="n">
        <v>0</v>
      </c>
      <c r="R919" s="2" t="inlineStr"/>
    </row>
    <row r="920" ht="15" customHeight="1">
      <c r="A920" t="inlineStr">
        <is>
          <t>A 48769-2024</t>
        </is>
      </c>
      <c r="B920" s="1" t="n">
        <v>45593</v>
      </c>
      <c r="C920" s="1" t="n">
        <v>45837</v>
      </c>
      <c r="D920" t="inlineStr">
        <is>
          <t>JÄMTLANDS LÄN</t>
        </is>
      </c>
      <c r="E920" t="inlineStr">
        <is>
          <t>ÅRE</t>
        </is>
      </c>
      <c r="G920" t="n">
        <v>3</v>
      </c>
      <c r="H920" t="n">
        <v>0</v>
      </c>
      <c r="I920" t="n">
        <v>0</v>
      </c>
      <c r="J920" t="n">
        <v>0</v>
      </c>
      <c r="K920" t="n">
        <v>0</v>
      </c>
      <c r="L920" t="n">
        <v>0</v>
      </c>
      <c r="M920" t="n">
        <v>0</v>
      </c>
      <c r="N920" t="n">
        <v>0</v>
      </c>
      <c r="O920" t="n">
        <v>0</v>
      </c>
      <c r="P920" t="n">
        <v>0</v>
      </c>
      <c r="Q920" t="n">
        <v>0</v>
      </c>
      <c r="R920" s="2" t="inlineStr"/>
    </row>
    <row r="921" ht="15" customHeight="1">
      <c r="A921" t="inlineStr">
        <is>
          <t>A 49110-2024</t>
        </is>
      </c>
      <c r="B921" s="1" t="n">
        <v>45594</v>
      </c>
      <c r="C921" s="1" t="n">
        <v>45837</v>
      </c>
      <c r="D921" t="inlineStr">
        <is>
          <t>JÄMTLANDS LÄN</t>
        </is>
      </c>
      <c r="E921" t="inlineStr">
        <is>
          <t>ÅRE</t>
        </is>
      </c>
      <c r="G921" t="n">
        <v>10</v>
      </c>
      <c r="H921" t="n">
        <v>0</v>
      </c>
      <c r="I921" t="n">
        <v>0</v>
      </c>
      <c r="J921" t="n">
        <v>0</v>
      </c>
      <c r="K921" t="n">
        <v>0</v>
      </c>
      <c r="L921" t="n">
        <v>0</v>
      </c>
      <c r="M921" t="n">
        <v>0</v>
      </c>
      <c r="N921" t="n">
        <v>0</v>
      </c>
      <c r="O921" t="n">
        <v>0</v>
      </c>
      <c r="P921" t="n">
        <v>0</v>
      </c>
      <c r="Q921" t="n">
        <v>0</v>
      </c>
      <c r="R921" s="2" t="inlineStr"/>
    </row>
    <row r="922" ht="15" customHeight="1">
      <c r="A922" t="inlineStr">
        <is>
          <t>A 49267-2024</t>
        </is>
      </c>
      <c r="B922" s="1" t="n">
        <v>45595</v>
      </c>
      <c r="C922" s="1" t="n">
        <v>45837</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49296-2024</t>
        </is>
      </c>
      <c r="B923" s="1" t="n">
        <v>45595</v>
      </c>
      <c r="C923" s="1" t="n">
        <v>45837</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49313-2024</t>
        </is>
      </c>
      <c r="B924" s="1" t="n">
        <v>45595</v>
      </c>
      <c r="C924" s="1" t="n">
        <v>45837</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49320-2024</t>
        </is>
      </c>
      <c r="B925" s="1" t="n">
        <v>45595</v>
      </c>
      <c r="C925" s="1" t="n">
        <v>45837</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49303-2024</t>
        </is>
      </c>
      <c r="B926" s="1" t="n">
        <v>45595</v>
      </c>
      <c r="C926" s="1" t="n">
        <v>45837</v>
      </c>
      <c r="D926" t="inlineStr">
        <is>
          <t>JÄMTLANDS LÄN</t>
        </is>
      </c>
      <c r="E926" t="inlineStr">
        <is>
          <t>ÅRE</t>
        </is>
      </c>
      <c r="G926" t="n">
        <v>1.2</v>
      </c>
      <c r="H926" t="n">
        <v>0</v>
      </c>
      <c r="I926" t="n">
        <v>0</v>
      </c>
      <c r="J926" t="n">
        <v>0</v>
      </c>
      <c r="K926" t="n">
        <v>0</v>
      </c>
      <c r="L926" t="n">
        <v>0</v>
      </c>
      <c r="M926" t="n">
        <v>0</v>
      </c>
      <c r="N926" t="n">
        <v>0</v>
      </c>
      <c r="O926" t="n">
        <v>0</v>
      </c>
      <c r="P926" t="n">
        <v>0</v>
      </c>
      <c r="Q926" t="n">
        <v>0</v>
      </c>
      <c r="R926" s="2" t="inlineStr"/>
    </row>
    <row r="927" ht="15" customHeight="1">
      <c r="A927" t="inlineStr">
        <is>
          <t>A 49678-2024</t>
        </is>
      </c>
      <c r="B927" s="1" t="n">
        <v>45596</v>
      </c>
      <c r="C927" s="1" t="n">
        <v>45837</v>
      </c>
      <c r="D927" t="inlineStr">
        <is>
          <t>JÄMTLANDS LÄN</t>
        </is>
      </c>
      <c r="E927" t="inlineStr">
        <is>
          <t>ÅRE</t>
        </is>
      </c>
      <c r="G927" t="n">
        <v>2.6</v>
      </c>
      <c r="H927" t="n">
        <v>0</v>
      </c>
      <c r="I927" t="n">
        <v>0</v>
      </c>
      <c r="J927" t="n">
        <v>0</v>
      </c>
      <c r="K927" t="n">
        <v>0</v>
      </c>
      <c r="L927" t="n">
        <v>0</v>
      </c>
      <c r="M927" t="n">
        <v>0</v>
      </c>
      <c r="N927" t="n">
        <v>0</v>
      </c>
      <c r="O927" t="n">
        <v>0</v>
      </c>
      <c r="P927" t="n">
        <v>0</v>
      </c>
      <c r="Q927" t="n">
        <v>0</v>
      </c>
      <c r="R927" s="2" t="inlineStr"/>
    </row>
    <row r="928" ht="15" customHeight="1">
      <c r="A928" t="inlineStr">
        <is>
          <t>A 49702-2024</t>
        </is>
      </c>
      <c r="B928" s="1" t="n">
        <v>45596</v>
      </c>
      <c r="C928" s="1" t="n">
        <v>45837</v>
      </c>
      <c r="D928" t="inlineStr">
        <is>
          <t>JÄMTLANDS LÄN</t>
        </is>
      </c>
      <c r="E928" t="inlineStr">
        <is>
          <t>ÅRE</t>
        </is>
      </c>
      <c r="F928" t="inlineStr">
        <is>
          <t>Övriga Aktiebolag</t>
        </is>
      </c>
      <c r="G928" t="n">
        <v>1.6</v>
      </c>
      <c r="H928" t="n">
        <v>0</v>
      </c>
      <c r="I928" t="n">
        <v>0</v>
      </c>
      <c r="J928" t="n">
        <v>0</v>
      </c>
      <c r="K928" t="n">
        <v>0</v>
      </c>
      <c r="L928" t="n">
        <v>0</v>
      </c>
      <c r="M928" t="n">
        <v>0</v>
      </c>
      <c r="N928" t="n">
        <v>0</v>
      </c>
      <c r="O928" t="n">
        <v>0</v>
      </c>
      <c r="P928" t="n">
        <v>0</v>
      </c>
      <c r="Q928" t="n">
        <v>0</v>
      </c>
      <c r="R928" s="2" t="inlineStr"/>
    </row>
    <row r="929" ht="15" customHeight="1">
      <c r="A929" t="inlineStr">
        <is>
          <t>A 49799-2024</t>
        </is>
      </c>
      <c r="B929" s="1" t="n">
        <v>45596</v>
      </c>
      <c r="C929" s="1" t="n">
        <v>45837</v>
      </c>
      <c r="D929" t="inlineStr">
        <is>
          <t>JÄMTLANDS LÄN</t>
        </is>
      </c>
      <c r="E929" t="inlineStr">
        <is>
          <t>ÅRE</t>
        </is>
      </c>
      <c r="G929" t="n">
        <v>7.2</v>
      </c>
      <c r="H929" t="n">
        <v>0</v>
      </c>
      <c r="I929" t="n">
        <v>0</v>
      </c>
      <c r="J929" t="n">
        <v>0</v>
      </c>
      <c r="K929" t="n">
        <v>0</v>
      </c>
      <c r="L929" t="n">
        <v>0</v>
      </c>
      <c r="M929" t="n">
        <v>0</v>
      </c>
      <c r="N929" t="n">
        <v>0</v>
      </c>
      <c r="O929" t="n">
        <v>0</v>
      </c>
      <c r="P929" t="n">
        <v>0</v>
      </c>
      <c r="Q929" t="n">
        <v>0</v>
      </c>
      <c r="R929" s="2" t="inlineStr"/>
    </row>
    <row r="930" ht="15" customHeight="1">
      <c r="A930" t="inlineStr">
        <is>
          <t>A 49778-2024</t>
        </is>
      </c>
      <c r="B930" s="1" t="n">
        <v>45596</v>
      </c>
      <c r="C930" s="1" t="n">
        <v>45837</v>
      </c>
      <c r="D930" t="inlineStr">
        <is>
          <t>JÄMTLANDS LÄN</t>
        </is>
      </c>
      <c r="E930" t="inlineStr">
        <is>
          <t>ÅRE</t>
        </is>
      </c>
      <c r="G930" t="n">
        <v>34.5</v>
      </c>
      <c r="H930" t="n">
        <v>0</v>
      </c>
      <c r="I930" t="n">
        <v>0</v>
      </c>
      <c r="J930" t="n">
        <v>0</v>
      </c>
      <c r="K930" t="n">
        <v>0</v>
      </c>
      <c r="L930" t="n">
        <v>0</v>
      </c>
      <c r="M930" t="n">
        <v>0</v>
      </c>
      <c r="N930" t="n">
        <v>0</v>
      </c>
      <c r="O930" t="n">
        <v>0</v>
      </c>
      <c r="P930" t="n">
        <v>0</v>
      </c>
      <c r="Q930" t="n">
        <v>0</v>
      </c>
      <c r="R930" s="2" t="inlineStr"/>
    </row>
    <row r="931" ht="15" customHeight="1">
      <c r="A931" t="inlineStr">
        <is>
          <t>A 49805-2024</t>
        </is>
      </c>
      <c r="B931" s="1" t="n">
        <v>45596</v>
      </c>
      <c r="C931" s="1" t="n">
        <v>45837</v>
      </c>
      <c r="D931" t="inlineStr">
        <is>
          <t>JÄMTLANDS LÄN</t>
        </is>
      </c>
      <c r="E931" t="inlineStr">
        <is>
          <t>ÅRE</t>
        </is>
      </c>
      <c r="G931" t="n">
        <v>3.5</v>
      </c>
      <c r="H931" t="n">
        <v>0</v>
      </c>
      <c r="I931" t="n">
        <v>0</v>
      </c>
      <c r="J931" t="n">
        <v>0</v>
      </c>
      <c r="K931" t="n">
        <v>0</v>
      </c>
      <c r="L931" t="n">
        <v>0</v>
      </c>
      <c r="M931" t="n">
        <v>0</v>
      </c>
      <c r="N931" t="n">
        <v>0</v>
      </c>
      <c r="O931" t="n">
        <v>0</v>
      </c>
      <c r="P931" t="n">
        <v>0</v>
      </c>
      <c r="Q931" t="n">
        <v>0</v>
      </c>
      <c r="R931" s="2" t="inlineStr"/>
    </row>
    <row r="932" ht="15" customHeight="1">
      <c r="A932" t="inlineStr">
        <is>
          <t>A 49834-2024</t>
        </is>
      </c>
      <c r="B932" s="1" t="n">
        <v>45597</v>
      </c>
      <c r="C932" s="1" t="n">
        <v>45837</v>
      </c>
      <c r="D932" t="inlineStr">
        <is>
          <t>JÄMTLANDS LÄN</t>
        </is>
      </c>
      <c r="E932" t="inlineStr">
        <is>
          <t>ÅRE</t>
        </is>
      </c>
      <c r="G932" t="n">
        <v>0.9</v>
      </c>
      <c r="H932" t="n">
        <v>0</v>
      </c>
      <c r="I932" t="n">
        <v>0</v>
      </c>
      <c r="J932" t="n">
        <v>0</v>
      </c>
      <c r="K932" t="n">
        <v>0</v>
      </c>
      <c r="L932" t="n">
        <v>0</v>
      </c>
      <c r="M932" t="n">
        <v>0</v>
      </c>
      <c r="N932" t="n">
        <v>0</v>
      </c>
      <c r="O932" t="n">
        <v>0</v>
      </c>
      <c r="P932" t="n">
        <v>0</v>
      </c>
      <c r="Q932" t="n">
        <v>0</v>
      </c>
      <c r="R932" s="2" t="inlineStr"/>
    </row>
    <row r="933" ht="15" customHeight="1">
      <c r="A933" t="inlineStr">
        <is>
          <t>A 50034-2024</t>
        </is>
      </c>
      <c r="B933" s="1" t="n">
        <v>45599</v>
      </c>
      <c r="C933" s="1" t="n">
        <v>45837</v>
      </c>
      <c r="D933" t="inlineStr">
        <is>
          <t>JÄMTLANDS LÄN</t>
        </is>
      </c>
      <c r="E933" t="inlineStr">
        <is>
          <t>ÅRE</t>
        </is>
      </c>
      <c r="G933" t="n">
        <v>1.5</v>
      </c>
      <c r="H933" t="n">
        <v>0</v>
      </c>
      <c r="I933" t="n">
        <v>0</v>
      </c>
      <c r="J933" t="n">
        <v>0</v>
      </c>
      <c r="K933" t="n">
        <v>0</v>
      </c>
      <c r="L933" t="n">
        <v>0</v>
      </c>
      <c r="M933" t="n">
        <v>0</v>
      </c>
      <c r="N933" t="n">
        <v>0</v>
      </c>
      <c r="O933" t="n">
        <v>0</v>
      </c>
      <c r="P933" t="n">
        <v>0</v>
      </c>
      <c r="Q933" t="n">
        <v>0</v>
      </c>
      <c r="R933" s="2" t="inlineStr"/>
    </row>
    <row r="934" ht="15" customHeight="1">
      <c r="A934" t="inlineStr">
        <is>
          <t>A 50344-2024</t>
        </is>
      </c>
      <c r="B934" s="1" t="n">
        <v>45600</v>
      </c>
      <c r="C934" s="1" t="n">
        <v>45837</v>
      </c>
      <c r="D934" t="inlineStr">
        <is>
          <t>JÄMTLANDS LÄN</t>
        </is>
      </c>
      <c r="E934" t="inlineStr">
        <is>
          <t>ÅRE</t>
        </is>
      </c>
      <c r="G934" t="n">
        <v>4</v>
      </c>
      <c r="H934" t="n">
        <v>0</v>
      </c>
      <c r="I934" t="n">
        <v>0</v>
      </c>
      <c r="J934" t="n">
        <v>0</v>
      </c>
      <c r="K934" t="n">
        <v>0</v>
      </c>
      <c r="L934" t="n">
        <v>0</v>
      </c>
      <c r="M934" t="n">
        <v>0</v>
      </c>
      <c r="N934" t="n">
        <v>0</v>
      </c>
      <c r="O934" t="n">
        <v>0</v>
      </c>
      <c r="P934" t="n">
        <v>0</v>
      </c>
      <c r="Q934" t="n">
        <v>0</v>
      </c>
      <c r="R934" s="2" t="inlineStr"/>
    </row>
    <row r="935" ht="15" customHeight="1">
      <c r="A935" t="inlineStr">
        <is>
          <t>A 50397-2024</t>
        </is>
      </c>
      <c r="B935" s="1" t="n">
        <v>45601</v>
      </c>
      <c r="C935" s="1" t="n">
        <v>45837</v>
      </c>
      <c r="D935" t="inlineStr">
        <is>
          <t>JÄMTLANDS LÄN</t>
        </is>
      </c>
      <c r="E935" t="inlineStr">
        <is>
          <t>ÅRE</t>
        </is>
      </c>
      <c r="G935" t="n">
        <v>4.3</v>
      </c>
      <c r="H935" t="n">
        <v>0</v>
      </c>
      <c r="I935" t="n">
        <v>0</v>
      </c>
      <c r="J935" t="n">
        <v>0</v>
      </c>
      <c r="K935" t="n">
        <v>0</v>
      </c>
      <c r="L935" t="n">
        <v>0</v>
      </c>
      <c r="M935" t="n">
        <v>0</v>
      </c>
      <c r="N935" t="n">
        <v>0</v>
      </c>
      <c r="O935" t="n">
        <v>0</v>
      </c>
      <c r="P935" t="n">
        <v>0</v>
      </c>
      <c r="Q935" t="n">
        <v>0</v>
      </c>
      <c r="R935" s="2" t="inlineStr"/>
    </row>
    <row r="936" ht="15" customHeight="1">
      <c r="A936" t="inlineStr">
        <is>
          <t>A 50920-2024</t>
        </is>
      </c>
      <c r="B936" s="1" t="n">
        <v>45602</v>
      </c>
      <c r="C936" s="1" t="n">
        <v>45837</v>
      </c>
      <c r="D936" t="inlineStr">
        <is>
          <t>JÄMTLANDS LÄN</t>
        </is>
      </c>
      <c r="E936" t="inlineStr">
        <is>
          <t>ÅRE</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51444-2024</t>
        </is>
      </c>
      <c r="B937" s="1" t="n">
        <v>45604</v>
      </c>
      <c r="C937" s="1" t="n">
        <v>45837</v>
      </c>
      <c r="D937" t="inlineStr">
        <is>
          <t>JÄMTLANDS LÄN</t>
        </is>
      </c>
      <c r="E937" t="inlineStr">
        <is>
          <t>ÅRE</t>
        </is>
      </c>
      <c r="G937" t="n">
        <v>2.2</v>
      </c>
      <c r="H937" t="n">
        <v>0</v>
      </c>
      <c r="I937" t="n">
        <v>0</v>
      </c>
      <c r="J937" t="n">
        <v>0</v>
      </c>
      <c r="K937" t="n">
        <v>0</v>
      </c>
      <c r="L937" t="n">
        <v>0</v>
      </c>
      <c r="M937" t="n">
        <v>0</v>
      </c>
      <c r="N937" t="n">
        <v>0</v>
      </c>
      <c r="O937" t="n">
        <v>0</v>
      </c>
      <c r="P937" t="n">
        <v>0</v>
      </c>
      <c r="Q937" t="n">
        <v>0</v>
      </c>
      <c r="R937" s="2" t="inlineStr"/>
    </row>
    <row r="938" ht="15" customHeight="1">
      <c r="A938" t="inlineStr">
        <is>
          <t>A 51452-2024</t>
        </is>
      </c>
      <c r="B938" s="1" t="n">
        <v>45604</v>
      </c>
      <c r="C938" s="1" t="n">
        <v>45837</v>
      </c>
      <c r="D938" t="inlineStr">
        <is>
          <t>JÄMTLANDS LÄN</t>
        </is>
      </c>
      <c r="E938" t="inlineStr">
        <is>
          <t>ÅRE</t>
        </is>
      </c>
      <c r="G938" t="n">
        <v>8</v>
      </c>
      <c r="H938" t="n">
        <v>0</v>
      </c>
      <c r="I938" t="n">
        <v>0</v>
      </c>
      <c r="J938" t="n">
        <v>0</v>
      </c>
      <c r="K938" t="n">
        <v>0</v>
      </c>
      <c r="L938" t="n">
        <v>0</v>
      </c>
      <c r="M938" t="n">
        <v>0</v>
      </c>
      <c r="N938" t="n">
        <v>0</v>
      </c>
      <c r="O938" t="n">
        <v>0</v>
      </c>
      <c r="P938" t="n">
        <v>0</v>
      </c>
      <c r="Q938" t="n">
        <v>0</v>
      </c>
      <c r="R938" s="2" t="inlineStr"/>
    </row>
    <row r="939" ht="15" customHeight="1">
      <c r="A939" t="inlineStr">
        <is>
          <t>A 51500-2024</t>
        </is>
      </c>
      <c r="B939" s="1" t="n">
        <v>45604</v>
      </c>
      <c r="C939" s="1" t="n">
        <v>45837</v>
      </c>
      <c r="D939" t="inlineStr">
        <is>
          <t>JÄMTLANDS LÄN</t>
        </is>
      </c>
      <c r="E939" t="inlineStr">
        <is>
          <t>ÅRE</t>
        </is>
      </c>
      <c r="G939" t="n">
        <v>1.7</v>
      </c>
      <c r="H939" t="n">
        <v>0</v>
      </c>
      <c r="I939" t="n">
        <v>0</v>
      </c>
      <c r="J939" t="n">
        <v>0</v>
      </c>
      <c r="K939" t="n">
        <v>0</v>
      </c>
      <c r="L939" t="n">
        <v>0</v>
      </c>
      <c r="M939" t="n">
        <v>0</v>
      </c>
      <c r="N939" t="n">
        <v>0</v>
      </c>
      <c r="O939" t="n">
        <v>0</v>
      </c>
      <c r="P939" t="n">
        <v>0</v>
      </c>
      <c r="Q939" t="n">
        <v>0</v>
      </c>
      <c r="R939" s="2" t="inlineStr"/>
    </row>
    <row r="940" ht="15" customHeight="1">
      <c r="A940" t="inlineStr">
        <is>
          <t>A 51925-2024</t>
        </is>
      </c>
      <c r="B940" s="1" t="n">
        <v>45607</v>
      </c>
      <c r="C940" s="1" t="n">
        <v>45837</v>
      </c>
      <c r="D940" t="inlineStr">
        <is>
          <t>JÄMTLANDS LÄN</t>
        </is>
      </c>
      <c r="E940" t="inlineStr">
        <is>
          <t>ÅRE</t>
        </is>
      </c>
      <c r="G940" t="n">
        <v>6.1</v>
      </c>
      <c r="H940" t="n">
        <v>0</v>
      </c>
      <c r="I940" t="n">
        <v>0</v>
      </c>
      <c r="J940" t="n">
        <v>0</v>
      </c>
      <c r="K940" t="n">
        <v>0</v>
      </c>
      <c r="L940" t="n">
        <v>0</v>
      </c>
      <c r="M940" t="n">
        <v>0</v>
      </c>
      <c r="N940" t="n">
        <v>0</v>
      </c>
      <c r="O940" t="n">
        <v>0</v>
      </c>
      <c r="P940" t="n">
        <v>0</v>
      </c>
      <c r="Q940" t="n">
        <v>0</v>
      </c>
      <c r="R940" s="2" t="inlineStr"/>
    </row>
    <row r="941" ht="15" customHeight="1">
      <c r="A941" t="inlineStr">
        <is>
          <t>A 51894-2024</t>
        </is>
      </c>
      <c r="B941" s="1" t="n">
        <v>45607</v>
      </c>
      <c r="C941" s="1" t="n">
        <v>45837</v>
      </c>
      <c r="D941" t="inlineStr">
        <is>
          <t>JÄMTLANDS LÄN</t>
        </is>
      </c>
      <c r="E941" t="inlineStr">
        <is>
          <t>ÅRE</t>
        </is>
      </c>
      <c r="G941" t="n">
        <v>6.8</v>
      </c>
      <c r="H941" t="n">
        <v>0</v>
      </c>
      <c r="I941" t="n">
        <v>0</v>
      </c>
      <c r="J941" t="n">
        <v>0</v>
      </c>
      <c r="K941" t="n">
        <v>0</v>
      </c>
      <c r="L941" t="n">
        <v>0</v>
      </c>
      <c r="M941" t="n">
        <v>0</v>
      </c>
      <c r="N941" t="n">
        <v>0</v>
      </c>
      <c r="O941" t="n">
        <v>0</v>
      </c>
      <c r="P941" t="n">
        <v>0</v>
      </c>
      <c r="Q941" t="n">
        <v>0</v>
      </c>
      <c r="R941" s="2" t="inlineStr"/>
    </row>
    <row r="942" ht="15" customHeight="1">
      <c r="A942" t="inlineStr">
        <is>
          <t>A 52677-2024</t>
        </is>
      </c>
      <c r="B942" s="1" t="n">
        <v>45610</v>
      </c>
      <c r="C942" s="1" t="n">
        <v>45837</v>
      </c>
      <c r="D942" t="inlineStr">
        <is>
          <t>JÄMTLANDS LÄN</t>
        </is>
      </c>
      <c r="E942" t="inlineStr">
        <is>
          <t>ÅRE</t>
        </is>
      </c>
      <c r="F942" t="inlineStr">
        <is>
          <t>Övriga Aktiebolag</t>
        </is>
      </c>
      <c r="G942" t="n">
        <v>3</v>
      </c>
      <c r="H942" t="n">
        <v>0</v>
      </c>
      <c r="I942" t="n">
        <v>0</v>
      </c>
      <c r="J942" t="n">
        <v>0</v>
      </c>
      <c r="K942" t="n">
        <v>0</v>
      </c>
      <c r="L942" t="n">
        <v>0</v>
      </c>
      <c r="M942" t="n">
        <v>0</v>
      </c>
      <c r="N942" t="n">
        <v>0</v>
      </c>
      <c r="O942" t="n">
        <v>0</v>
      </c>
      <c r="P942" t="n">
        <v>0</v>
      </c>
      <c r="Q942" t="n">
        <v>0</v>
      </c>
      <c r="R942" s="2" t="inlineStr"/>
    </row>
    <row r="943" ht="15" customHeight="1">
      <c r="A943" t="inlineStr">
        <is>
          <t>A 53500-2024</t>
        </is>
      </c>
      <c r="B943" s="1" t="n">
        <v>45614</v>
      </c>
      <c r="C943" s="1" t="n">
        <v>45837</v>
      </c>
      <c r="D943" t="inlineStr">
        <is>
          <t>JÄMTLANDS LÄN</t>
        </is>
      </c>
      <c r="E943" t="inlineStr">
        <is>
          <t>ÅRE</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53611-2024</t>
        </is>
      </c>
      <c r="B944" s="1" t="n">
        <v>45614</v>
      </c>
      <c r="C944" s="1" t="n">
        <v>45837</v>
      </c>
      <c r="D944" t="inlineStr">
        <is>
          <t>JÄMTLANDS LÄN</t>
        </is>
      </c>
      <c r="E944" t="inlineStr">
        <is>
          <t>ÅRE</t>
        </is>
      </c>
      <c r="F944" t="inlineStr">
        <is>
          <t>Övriga Aktiebolag</t>
        </is>
      </c>
      <c r="G944" t="n">
        <v>2.2</v>
      </c>
      <c r="H944" t="n">
        <v>0</v>
      </c>
      <c r="I944" t="n">
        <v>0</v>
      </c>
      <c r="J944" t="n">
        <v>0</v>
      </c>
      <c r="K944" t="n">
        <v>0</v>
      </c>
      <c r="L944" t="n">
        <v>0</v>
      </c>
      <c r="M944" t="n">
        <v>0</v>
      </c>
      <c r="N944" t="n">
        <v>0</v>
      </c>
      <c r="O944" t="n">
        <v>0</v>
      </c>
      <c r="P944" t="n">
        <v>0</v>
      </c>
      <c r="Q944" t="n">
        <v>0</v>
      </c>
      <c r="R944" s="2" t="inlineStr"/>
    </row>
    <row r="945" ht="15" customHeight="1">
      <c r="A945" t="inlineStr">
        <is>
          <t>A 53308-2024</t>
        </is>
      </c>
      <c r="B945" s="1" t="n">
        <v>45614</v>
      </c>
      <c r="C945" s="1" t="n">
        <v>45837</v>
      </c>
      <c r="D945" t="inlineStr">
        <is>
          <t>JÄMTLANDS LÄN</t>
        </is>
      </c>
      <c r="E945" t="inlineStr">
        <is>
          <t>ÅRE</t>
        </is>
      </c>
      <c r="G945" t="n">
        <v>5</v>
      </c>
      <c r="H945" t="n">
        <v>0</v>
      </c>
      <c r="I945" t="n">
        <v>0</v>
      </c>
      <c r="J945" t="n">
        <v>0</v>
      </c>
      <c r="K945" t="n">
        <v>0</v>
      </c>
      <c r="L945" t="n">
        <v>0</v>
      </c>
      <c r="M945" t="n">
        <v>0</v>
      </c>
      <c r="N945" t="n">
        <v>0</v>
      </c>
      <c r="O945" t="n">
        <v>0</v>
      </c>
      <c r="P945" t="n">
        <v>0</v>
      </c>
      <c r="Q945" t="n">
        <v>0</v>
      </c>
      <c r="R945" s="2" t="inlineStr"/>
    </row>
    <row r="946" ht="15" customHeight="1">
      <c r="A946" t="inlineStr">
        <is>
          <t>A 54253-2024</t>
        </is>
      </c>
      <c r="B946" s="1" t="n">
        <v>45616</v>
      </c>
      <c r="C946" s="1" t="n">
        <v>45837</v>
      </c>
      <c r="D946" t="inlineStr">
        <is>
          <t>JÄMTLANDS LÄN</t>
        </is>
      </c>
      <c r="E946" t="inlineStr">
        <is>
          <t>ÅRE</t>
        </is>
      </c>
      <c r="G946" t="n">
        <v>1.8</v>
      </c>
      <c r="H946" t="n">
        <v>0</v>
      </c>
      <c r="I946" t="n">
        <v>0</v>
      </c>
      <c r="J946" t="n">
        <v>0</v>
      </c>
      <c r="K946" t="n">
        <v>0</v>
      </c>
      <c r="L946" t="n">
        <v>0</v>
      </c>
      <c r="M946" t="n">
        <v>0</v>
      </c>
      <c r="N946" t="n">
        <v>0</v>
      </c>
      <c r="O946" t="n">
        <v>0</v>
      </c>
      <c r="P946" t="n">
        <v>0</v>
      </c>
      <c r="Q946" t="n">
        <v>0</v>
      </c>
      <c r="R946" s="2" t="inlineStr"/>
    </row>
    <row r="947" ht="15" customHeight="1">
      <c r="A947" t="inlineStr">
        <is>
          <t>A 54179-2024</t>
        </is>
      </c>
      <c r="B947" s="1" t="n">
        <v>45616</v>
      </c>
      <c r="C947" s="1" t="n">
        <v>45837</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54247-2024</t>
        </is>
      </c>
      <c r="B948" s="1" t="n">
        <v>45616</v>
      </c>
      <c r="C948" s="1" t="n">
        <v>45837</v>
      </c>
      <c r="D948" t="inlineStr">
        <is>
          <t>JÄMTLANDS LÄN</t>
        </is>
      </c>
      <c r="E948" t="inlineStr">
        <is>
          <t>ÅRE</t>
        </is>
      </c>
      <c r="G948" t="n">
        <v>0.5</v>
      </c>
      <c r="H948" t="n">
        <v>0</v>
      </c>
      <c r="I948" t="n">
        <v>0</v>
      </c>
      <c r="J948" t="n">
        <v>0</v>
      </c>
      <c r="K948" t="n">
        <v>0</v>
      </c>
      <c r="L948" t="n">
        <v>0</v>
      </c>
      <c r="M948" t="n">
        <v>0</v>
      </c>
      <c r="N948" t="n">
        <v>0</v>
      </c>
      <c r="O948" t="n">
        <v>0</v>
      </c>
      <c r="P948" t="n">
        <v>0</v>
      </c>
      <c r="Q948" t="n">
        <v>0</v>
      </c>
      <c r="R948" s="2" t="inlineStr"/>
    </row>
    <row r="949" ht="15" customHeight="1">
      <c r="A949" t="inlineStr">
        <is>
          <t>A 54182-2024</t>
        </is>
      </c>
      <c r="B949" s="1" t="n">
        <v>45616</v>
      </c>
      <c r="C949" s="1" t="n">
        <v>45837</v>
      </c>
      <c r="D949" t="inlineStr">
        <is>
          <t>JÄMTLANDS LÄN</t>
        </is>
      </c>
      <c r="E949" t="inlineStr">
        <is>
          <t>ÅRE</t>
        </is>
      </c>
      <c r="G949" t="n">
        <v>4.4</v>
      </c>
      <c r="H949" t="n">
        <v>0</v>
      </c>
      <c r="I949" t="n">
        <v>0</v>
      </c>
      <c r="J949" t="n">
        <v>0</v>
      </c>
      <c r="K949" t="n">
        <v>0</v>
      </c>
      <c r="L949" t="n">
        <v>0</v>
      </c>
      <c r="M949" t="n">
        <v>0</v>
      </c>
      <c r="N949" t="n">
        <v>0</v>
      </c>
      <c r="O949" t="n">
        <v>0</v>
      </c>
      <c r="P949" t="n">
        <v>0</v>
      </c>
      <c r="Q949" t="n">
        <v>0</v>
      </c>
      <c r="R949" s="2" t="inlineStr"/>
    </row>
    <row r="950" ht="15" customHeight="1">
      <c r="A950" t="inlineStr">
        <is>
          <t>A 54186-2024</t>
        </is>
      </c>
      <c r="B950" s="1" t="n">
        <v>45616</v>
      </c>
      <c r="C950" s="1" t="n">
        <v>45837</v>
      </c>
      <c r="D950" t="inlineStr">
        <is>
          <t>JÄMTLANDS LÄN</t>
        </is>
      </c>
      <c r="E950" t="inlineStr">
        <is>
          <t>ÅRE</t>
        </is>
      </c>
      <c r="G950" t="n">
        <v>2.9</v>
      </c>
      <c r="H950" t="n">
        <v>0</v>
      </c>
      <c r="I950" t="n">
        <v>0</v>
      </c>
      <c r="J950" t="n">
        <v>0</v>
      </c>
      <c r="K950" t="n">
        <v>0</v>
      </c>
      <c r="L950" t="n">
        <v>0</v>
      </c>
      <c r="M950" t="n">
        <v>0</v>
      </c>
      <c r="N950" t="n">
        <v>0</v>
      </c>
      <c r="O950" t="n">
        <v>0</v>
      </c>
      <c r="P950" t="n">
        <v>0</v>
      </c>
      <c r="Q950" t="n">
        <v>0</v>
      </c>
      <c r="R950" s="2" t="inlineStr"/>
    </row>
    <row r="951" ht="15" customHeight="1">
      <c r="A951" t="inlineStr">
        <is>
          <t>A 54226-2024</t>
        </is>
      </c>
      <c r="B951" s="1" t="n">
        <v>45616</v>
      </c>
      <c r="C951" s="1" t="n">
        <v>45837</v>
      </c>
      <c r="D951" t="inlineStr">
        <is>
          <t>JÄMTLANDS LÄN</t>
        </is>
      </c>
      <c r="E951" t="inlineStr">
        <is>
          <t>ÅRE</t>
        </is>
      </c>
      <c r="G951" t="n">
        <v>1.2</v>
      </c>
      <c r="H951" t="n">
        <v>0</v>
      </c>
      <c r="I951" t="n">
        <v>0</v>
      </c>
      <c r="J951" t="n">
        <v>0</v>
      </c>
      <c r="K951" t="n">
        <v>0</v>
      </c>
      <c r="L951" t="n">
        <v>0</v>
      </c>
      <c r="M951" t="n">
        <v>0</v>
      </c>
      <c r="N951" t="n">
        <v>0</v>
      </c>
      <c r="O951" t="n">
        <v>0</v>
      </c>
      <c r="P951" t="n">
        <v>0</v>
      </c>
      <c r="Q951" t="n">
        <v>0</v>
      </c>
      <c r="R951" s="2" t="inlineStr"/>
    </row>
    <row r="952" ht="15" customHeight="1">
      <c r="A952" t="inlineStr">
        <is>
          <t>A 54250-2024</t>
        </is>
      </c>
      <c r="B952" s="1" t="n">
        <v>45616</v>
      </c>
      <c r="C952" s="1" t="n">
        <v>45837</v>
      </c>
      <c r="D952" t="inlineStr">
        <is>
          <t>JÄMTLANDS LÄN</t>
        </is>
      </c>
      <c r="E952" t="inlineStr">
        <is>
          <t>ÅRE</t>
        </is>
      </c>
      <c r="G952" t="n">
        <v>2.8</v>
      </c>
      <c r="H952" t="n">
        <v>0</v>
      </c>
      <c r="I952" t="n">
        <v>0</v>
      </c>
      <c r="J952" t="n">
        <v>0</v>
      </c>
      <c r="K952" t="n">
        <v>0</v>
      </c>
      <c r="L952" t="n">
        <v>0</v>
      </c>
      <c r="M952" t="n">
        <v>0</v>
      </c>
      <c r="N952" t="n">
        <v>0</v>
      </c>
      <c r="O952" t="n">
        <v>0</v>
      </c>
      <c r="P952" t="n">
        <v>0</v>
      </c>
      <c r="Q952" t="n">
        <v>0</v>
      </c>
      <c r="R952" s="2" t="inlineStr"/>
    </row>
    <row r="953" ht="15" customHeight="1">
      <c r="A953" t="inlineStr">
        <is>
          <t>A 54180-2024</t>
        </is>
      </c>
      <c r="B953" s="1" t="n">
        <v>45616</v>
      </c>
      <c r="C953" s="1" t="n">
        <v>45837</v>
      </c>
      <c r="D953" t="inlineStr">
        <is>
          <t>JÄMTLANDS LÄN</t>
        </is>
      </c>
      <c r="E953" t="inlineStr">
        <is>
          <t>ÅRE</t>
        </is>
      </c>
      <c r="G953" t="n">
        <v>2.3</v>
      </c>
      <c r="H953" t="n">
        <v>0</v>
      </c>
      <c r="I953" t="n">
        <v>0</v>
      </c>
      <c r="J953" t="n">
        <v>0</v>
      </c>
      <c r="K953" t="n">
        <v>0</v>
      </c>
      <c r="L953" t="n">
        <v>0</v>
      </c>
      <c r="M953" t="n">
        <v>0</v>
      </c>
      <c r="N953" t="n">
        <v>0</v>
      </c>
      <c r="O953" t="n">
        <v>0</v>
      </c>
      <c r="P953" t="n">
        <v>0</v>
      </c>
      <c r="Q953" t="n">
        <v>0</v>
      </c>
      <c r="R953" s="2" t="inlineStr"/>
    </row>
    <row r="954" ht="15" customHeight="1">
      <c r="A954" t="inlineStr">
        <is>
          <t>A 54649-2024</t>
        </is>
      </c>
      <c r="B954" s="1" t="n">
        <v>45617</v>
      </c>
      <c r="C954" s="1" t="n">
        <v>45837</v>
      </c>
      <c r="D954" t="inlineStr">
        <is>
          <t>JÄMTLANDS LÄN</t>
        </is>
      </c>
      <c r="E954" t="inlineStr">
        <is>
          <t>ÅRE</t>
        </is>
      </c>
      <c r="G954" t="n">
        <v>0.9</v>
      </c>
      <c r="H954" t="n">
        <v>0</v>
      </c>
      <c r="I954" t="n">
        <v>0</v>
      </c>
      <c r="J954" t="n">
        <v>0</v>
      </c>
      <c r="K954" t="n">
        <v>0</v>
      </c>
      <c r="L954" t="n">
        <v>0</v>
      </c>
      <c r="M954" t="n">
        <v>0</v>
      </c>
      <c r="N954" t="n">
        <v>0</v>
      </c>
      <c r="O954" t="n">
        <v>0</v>
      </c>
      <c r="P954" t="n">
        <v>0</v>
      </c>
      <c r="Q954" t="n">
        <v>0</v>
      </c>
      <c r="R954" s="2" t="inlineStr"/>
    </row>
    <row r="955" ht="15" customHeight="1">
      <c r="A955" t="inlineStr">
        <is>
          <t>A 55056-2024</t>
        </is>
      </c>
      <c r="B955" s="1" t="n">
        <v>45621</v>
      </c>
      <c r="C955" s="1" t="n">
        <v>45837</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55033-2024</t>
        </is>
      </c>
      <c r="B956" s="1" t="n">
        <v>45621</v>
      </c>
      <c r="C956" s="1" t="n">
        <v>45837</v>
      </c>
      <c r="D956" t="inlineStr">
        <is>
          <t>JÄMTLANDS LÄN</t>
        </is>
      </c>
      <c r="E956" t="inlineStr">
        <is>
          <t>ÅRE</t>
        </is>
      </c>
      <c r="G956" t="n">
        <v>1.1</v>
      </c>
      <c r="H956" t="n">
        <v>0</v>
      </c>
      <c r="I956" t="n">
        <v>0</v>
      </c>
      <c r="J956" t="n">
        <v>0</v>
      </c>
      <c r="K956" t="n">
        <v>0</v>
      </c>
      <c r="L956" t="n">
        <v>0</v>
      </c>
      <c r="M956" t="n">
        <v>0</v>
      </c>
      <c r="N956" t="n">
        <v>0</v>
      </c>
      <c r="O956" t="n">
        <v>0</v>
      </c>
      <c r="P956" t="n">
        <v>0</v>
      </c>
      <c r="Q956" t="n">
        <v>0</v>
      </c>
      <c r="R956" s="2" t="inlineStr"/>
    </row>
    <row r="957" ht="15" customHeight="1">
      <c r="A957" t="inlineStr">
        <is>
          <t>A 56568-2024</t>
        </is>
      </c>
      <c r="B957" s="1" t="n">
        <v>45625</v>
      </c>
      <c r="C957" s="1" t="n">
        <v>45837</v>
      </c>
      <c r="D957" t="inlineStr">
        <is>
          <t>JÄMTLANDS LÄN</t>
        </is>
      </c>
      <c r="E957" t="inlineStr">
        <is>
          <t>ÅRE</t>
        </is>
      </c>
      <c r="G957" t="n">
        <v>3.4</v>
      </c>
      <c r="H957" t="n">
        <v>0</v>
      </c>
      <c r="I957" t="n">
        <v>0</v>
      </c>
      <c r="J957" t="n">
        <v>0</v>
      </c>
      <c r="K957" t="n">
        <v>0</v>
      </c>
      <c r="L957" t="n">
        <v>0</v>
      </c>
      <c r="M957" t="n">
        <v>0</v>
      </c>
      <c r="N957" t="n">
        <v>0</v>
      </c>
      <c r="O957" t="n">
        <v>0</v>
      </c>
      <c r="P957" t="n">
        <v>0</v>
      </c>
      <c r="Q957" t="n">
        <v>0</v>
      </c>
      <c r="R957" s="2" t="inlineStr"/>
    </row>
    <row r="958" ht="15" customHeight="1">
      <c r="A958" t="inlineStr">
        <is>
          <t>A 56575-2024</t>
        </is>
      </c>
      <c r="B958" s="1" t="n">
        <v>45625</v>
      </c>
      <c r="C958" s="1" t="n">
        <v>45837</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56607-2024</t>
        </is>
      </c>
      <c r="B959" s="1" t="n">
        <v>45625</v>
      </c>
      <c r="C959" s="1" t="n">
        <v>45837</v>
      </c>
      <c r="D959" t="inlineStr">
        <is>
          <t>JÄMTLANDS LÄN</t>
        </is>
      </c>
      <c r="E959" t="inlineStr">
        <is>
          <t>ÅRE</t>
        </is>
      </c>
      <c r="G959" t="n">
        <v>5.3</v>
      </c>
      <c r="H959" t="n">
        <v>0</v>
      </c>
      <c r="I959" t="n">
        <v>0</v>
      </c>
      <c r="J959" t="n">
        <v>0</v>
      </c>
      <c r="K959" t="n">
        <v>0</v>
      </c>
      <c r="L959" t="n">
        <v>0</v>
      </c>
      <c r="M959" t="n">
        <v>0</v>
      </c>
      <c r="N959" t="n">
        <v>0</v>
      </c>
      <c r="O959" t="n">
        <v>0</v>
      </c>
      <c r="P959" t="n">
        <v>0</v>
      </c>
      <c r="Q959" t="n">
        <v>0</v>
      </c>
      <c r="R959" s="2" t="inlineStr"/>
    </row>
    <row r="960" ht="15" customHeight="1">
      <c r="A960" t="inlineStr">
        <is>
          <t>A 57102-2024</t>
        </is>
      </c>
      <c r="B960" s="1" t="n">
        <v>45629</v>
      </c>
      <c r="C960" s="1" t="n">
        <v>45837</v>
      </c>
      <c r="D960" t="inlineStr">
        <is>
          <t>JÄMTLANDS LÄN</t>
        </is>
      </c>
      <c r="E960" t="inlineStr">
        <is>
          <t>ÅRE</t>
        </is>
      </c>
      <c r="G960" t="n">
        <v>3.3</v>
      </c>
      <c r="H960" t="n">
        <v>0</v>
      </c>
      <c r="I960" t="n">
        <v>0</v>
      </c>
      <c r="J960" t="n">
        <v>0</v>
      </c>
      <c r="K960" t="n">
        <v>0</v>
      </c>
      <c r="L960" t="n">
        <v>0</v>
      </c>
      <c r="M960" t="n">
        <v>0</v>
      </c>
      <c r="N960" t="n">
        <v>0</v>
      </c>
      <c r="O960" t="n">
        <v>0</v>
      </c>
      <c r="P960" t="n">
        <v>0</v>
      </c>
      <c r="Q960" t="n">
        <v>0</v>
      </c>
      <c r="R960" s="2" t="inlineStr"/>
    </row>
    <row r="961" ht="15" customHeight="1">
      <c r="A961" t="inlineStr">
        <is>
          <t>A 57143-2024</t>
        </is>
      </c>
      <c r="B961" s="1" t="n">
        <v>45629</v>
      </c>
      <c r="C961" s="1" t="n">
        <v>45837</v>
      </c>
      <c r="D961" t="inlineStr">
        <is>
          <t>JÄMTLANDS LÄN</t>
        </is>
      </c>
      <c r="E961" t="inlineStr">
        <is>
          <t>ÅRE</t>
        </is>
      </c>
      <c r="G961" t="n">
        <v>0.8</v>
      </c>
      <c r="H961" t="n">
        <v>0</v>
      </c>
      <c r="I961" t="n">
        <v>0</v>
      </c>
      <c r="J961" t="n">
        <v>0</v>
      </c>
      <c r="K961" t="n">
        <v>0</v>
      </c>
      <c r="L961" t="n">
        <v>0</v>
      </c>
      <c r="M961" t="n">
        <v>0</v>
      </c>
      <c r="N961" t="n">
        <v>0</v>
      </c>
      <c r="O961" t="n">
        <v>0</v>
      </c>
      <c r="P961" t="n">
        <v>0</v>
      </c>
      <c r="Q961" t="n">
        <v>0</v>
      </c>
      <c r="R961" s="2" t="inlineStr"/>
    </row>
    <row r="962" ht="15" customHeight="1">
      <c r="A962" t="inlineStr">
        <is>
          <t>A 57125-2024</t>
        </is>
      </c>
      <c r="B962" s="1" t="n">
        <v>45629</v>
      </c>
      <c r="C962" s="1" t="n">
        <v>45837</v>
      </c>
      <c r="D962" t="inlineStr">
        <is>
          <t>JÄMTLANDS LÄN</t>
        </is>
      </c>
      <c r="E962" t="inlineStr">
        <is>
          <t>ÅRE</t>
        </is>
      </c>
      <c r="G962" t="n">
        <v>1.9</v>
      </c>
      <c r="H962" t="n">
        <v>0</v>
      </c>
      <c r="I962" t="n">
        <v>0</v>
      </c>
      <c r="J962" t="n">
        <v>0</v>
      </c>
      <c r="K962" t="n">
        <v>0</v>
      </c>
      <c r="L962" t="n">
        <v>0</v>
      </c>
      <c r="M962" t="n">
        <v>0</v>
      </c>
      <c r="N962" t="n">
        <v>0</v>
      </c>
      <c r="O962" t="n">
        <v>0</v>
      </c>
      <c r="P962" t="n">
        <v>0</v>
      </c>
      <c r="Q962" t="n">
        <v>0</v>
      </c>
      <c r="R962" s="2" t="inlineStr"/>
    </row>
    <row r="963" ht="15" customHeight="1">
      <c r="A963" t="inlineStr">
        <is>
          <t>A 57253-2024</t>
        </is>
      </c>
      <c r="B963" s="1" t="n">
        <v>45629</v>
      </c>
      <c r="C963" s="1" t="n">
        <v>45837</v>
      </c>
      <c r="D963" t="inlineStr">
        <is>
          <t>JÄMTLANDS LÄN</t>
        </is>
      </c>
      <c r="E963" t="inlineStr">
        <is>
          <t>ÅRE</t>
        </is>
      </c>
      <c r="G963" t="n">
        <v>2.7</v>
      </c>
      <c r="H963" t="n">
        <v>0</v>
      </c>
      <c r="I963" t="n">
        <v>0</v>
      </c>
      <c r="J963" t="n">
        <v>0</v>
      </c>
      <c r="K963" t="n">
        <v>0</v>
      </c>
      <c r="L963" t="n">
        <v>0</v>
      </c>
      <c r="M963" t="n">
        <v>0</v>
      </c>
      <c r="N963" t="n">
        <v>0</v>
      </c>
      <c r="O963" t="n">
        <v>0</v>
      </c>
      <c r="P963" t="n">
        <v>0</v>
      </c>
      <c r="Q963" t="n">
        <v>0</v>
      </c>
      <c r="R963" s="2" t="inlineStr"/>
    </row>
    <row r="964" ht="15" customHeight="1">
      <c r="A964" t="inlineStr">
        <is>
          <t>A 57260-2024</t>
        </is>
      </c>
      <c r="B964" s="1" t="n">
        <v>45629</v>
      </c>
      <c r="C964" s="1" t="n">
        <v>45837</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57283-2024</t>
        </is>
      </c>
      <c r="B965" s="1" t="n">
        <v>45629</v>
      </c>
      <c r="C965" s="1" t="n">
        <v>45837</v>
      </c>
      <c r="D965" t="inlineStr">
        <is>
          <t>JÄMTLANDS LÄN</t>
        </is>
      </c>
      <c r="E965" t="inlineStr">
        <is>
          <t>ÅRE</t>
        </is>
      </c>
      <c r="G965" t="n">
        <v>2.9</v>
      </c>
      <c r="H965" t="n">
        <v>0</v>
      </c>
      <c r="I965" t="n">
        <v>0</v>
      </c>
      <c r="J965" t="n">
        <v>0</v>
      </c>
      <c r="K965" t="n">
        <v>0</v>
      </c>
      <c r="L965" t="n">
        <v>0</v>
      </c>
      <c r="M965" t="n">
        <v>0</v>
      </c>
      <c r="N965" t="n">
        <v>0</v>
      </c>
      <c r="O965" t="n">
        <v>0</v>
      </c>
      <c r="P965" t="n">
        <v>0</v>
      </c>
      <c r="Q965" t="n">
        <v>0</v>
      </c>
      <c r="R965" s="2" t="inlineStr"/>
    </row>
    <row r="966" ht="15" customHeight="1">
      <c r="A966" t="inlineStr">
        <is>
          <t>A 57814-2024</t>
        </is>
      </c>
      <c r="B966" s="1" t="n">
        <v>45631</v>
      </c>
      <c r="C966" s="1" t="n">
        <v>45837</v>
      </c>
      <c r="D966" t="inlineStr">
        <is>
          <t>JÄMTLANDS LÄN</t>
        </is>
      </c>
      <c r="E966" t="inlineStr">
        <is>
          <t>ÅRE</t>
        </is>
      </c>
      <c r="G966" t="n">
        <v>4.4</v>
      </c>
      <c r="H966" t="n">
        <v>0</v>
      </c>
      <c r="I966" t="n">
        <v>0</v>
      </c>
      <c r="J966" t="n">
        <v>0</v>
      </c>
      <c r="K966" t="n">
        <v>0</v>
      </c>
      <c r="L966" t="n">
        <v>0</v>
      </c>
      <c r="M966" t="n">
        <v>0</v>
      </c>
      <c r="N966" t="n">
        <v>0</v>
      </c>
      <c r="O966" t="n">
        <v>0</v>
      </c>
      <c r="P966" t="n">
        <v>0</v>
      </c>
      <c r="Q966" t="n">
        <v>0</v>
      </c>
      <c r="R966" s="2" t="inlineStr"/>
    </row>
    <row r="967" ht="15" customHeight="1">
      <c r="A967" t="inlineStr">
        <is>
          <t>A 57910-2024</t>
        </is>
      </c>
      <c r="B967" s="1" t="n">
        <v>45631</v>
      </c>
      <c r="C967" s="1" t="n">
        <v>45837</v>
      </c>
      <c r="D967" t="inlineStr">
        <is>
          <t>JÄMTLANDS LÄN</t>
        </is>
      </c>
      <c r="E967" t="inlineStr">
        <is>
          <t>ÅRE</t>
        </is>
      </c>
      <c r="G967" t="n">
        <v>10.3</v>
      </c>
      <c r="H967" t="n">
        <v>0</v>
      </c>
      <c r="I967" t="n">
        <v>0</v>
      </c>
      <c r="J967" t="n">
        <v>0</v>
      </c>
      <c r="K967" t="n">
        <v>0</v>
      </c>
      <c r="L967" t="n">
        <v>0</v>
      </c>
      <c r="M967" t="n">
        <v>0</v>
      </c>
      <c r="N967" t="n">
        <v>0</v>
      </c>
      <c r="O967" t="n">
        <v>0</v>
      </c>
      <c r="P967" t="n">
        <v>0</v>
      </c>
      <c r="Q967" t="n">
        <v>0</v>
      </c>
      <c r="R967" s="2" t="inlineStr"/>
    </row>
    <row r="968" ht="15" customHeight="1">
      <c r="A968" t="inlineStr">
        <is>
          <t>A 57864-2024</t>
        </is>
      </c>
      <c r="B968" s="1" t="n">
        <v>45631</v>
      </c>
      <c r="C968" s="1" t="n">
        <v>45837</v>
      </c>
      <c r="D968" t="inlineStr">
        <is>
          <t>JÄMTLANDS LÄN</t>
        </is>
      </c>
      <c r="E968" t="inlineStr">
        <is>
          <t>ÅRE</t>
        </is>
      </c>
      <c r="G968" t="n">
        <v>1.5</v>
      </c>
      <c r="H968" t="n">
        <v>0</v>
      </c>
      <c r="I968" t="n">
        <v>0</v>
      </c>
      <c r="J968" t="n">
        <v>0</v>
      </c>
      <c r="K968" t="n">
        <v>0</v>
      </c>
      <c r="L968" t="n">
        <v>0</v>
      </c>
      <c r="M968" t="n">
        <v>0</v>
      </c>
      <c r="N968" t="n">
        <v>0</v>
      </c>
      <c r="O968" t="n">
        <v>0</v>
      </c>
      <c r="P968" t="n">
        <v>0</v>
      </c>
      <c r="Q968" t="n">
        <v>0</v>
      </c>
      <c r="R968" s="2" t="inlineStr"/>
    </row>
    <row r="969" ht="15" customHeight="1">
      <c r="A969" t="inlineStr">
        <is>
          <t>A 58433-2024</t>
        </is>
      </c>
      <c r="B969" s="1" t="n">
        <v>45634</v>
      </c>
      <c r="C969" s="1" t="n">
        <v>45837</v>
      </c>
      <c r="D969" t="inlineStr">
        <is>
          <t>JÄMTLANDS LÄN</t>
        </is>
      </c>
      <c r="E969" t="inlineStr">
        <is>
          <t>ÅRE</t>
        </is>
      </c>
      <c r="G969" t="n">
        <v>2.2</v>
      </c>
      <c r="H969" t="n">
        <v>0</v>
      </c>
      <c r="I969" t="n">
        <v>0</v>
      </c>
      <c r="J969" t="n">
        <v>0</v>
      </c>
      <c r="K969" t="n">
        <v>0</v>
      </c>
      <c r="L969" t="n">
        <v>0</v>
      </c>
      <c r="M969" t="n">
        <v>0</v>
      </c>
      <c r="N969" t="n">
        <v>0</v>
      </c>
      <c r="O969" t="n">
        <v>0</v>
      </c>
      <c r="P969" t="n">
        <v>0</v>
      </c>
      <c r="Q969" t="n">
        <v>0</v>
      </c>
      <c r="R969" s="2" t="inlineStr"/>
    </row>
    <row r="970" ht="15" customHeight="1">
      <c r="A970" t="inlineStr">
        <is>
          <t>A 58431-2024</t>
        </is>
      </c>
      <c r="B970" s="1" t="n">
        <v>45634</v>
      </c>
      <c r="C970" s="1" t="n">
        <v>45837</v>
      </c>
      <c r="D970" t="inlineStr">
        <is>
          <t>JÄMTLANDS LÄN</t>
        </is>
      </c>
      <c r="E970" t="inlineStr">
        <is>
          <t>ÅRE</t>
        </is>
      </c>
      <c r="G970" t="n">
        <v>1.6</v>
      </c>
      <c r="H970" t="n">
        <v>0</v>
      </c>
      <c r="I970" t="n">
        <v>0</v>
      </c>
      <c r="J970" t="n">
        <v>0</v>
      </c>
      <c r="K970" t="n">
        <v>0</v>
      </c>
      <c r="L970" t="n">
        <v>0</v>
      </c>
      <c r="M970" t="n">
        <v>0</v>
      </c>
      <c r="N970" t="n">
        <v>0</v>
      </c>
      <c r="O970" t="n">
        <v>0</v>
      </c>
      <c r="P970" t="n">
        <v>0</v>
      </c>
      <c r="Q970" t="n">
        <v>0</v>
      </c>
      <c r="R970" s="2" t="inlineStr"/>
    </row>
    <row r="971" ht="15" customHeight="1">
      <c r="A971" t="inlineStr">
        <is>
          <t>A 59325-2024</t>
        </is>
      </c>
      <c r="B971" s="1" t="n">
        <v>45636</v>
      </c>
      <c r="C971" s="1" t="n">
        <v>45837</v>
      </c>
      <c r="D971" t="inlineStr">
        <is>
          <t>JÄMTLANDS LÄN</t>
        </is>
      </c>
      <c r="E971" t="inlineStr">
        <is>
          <t>ÅRE</t>
        </is>
      </c>
      <c r="G971" t="n">
        <v>0.6</v>
      </c>
      <c r="H971" t="n">
        <v>0</v>
      </c>
      <c r="I971" t="n">
        <v>0</v>
      </c>
      <c r="J971" t="n">
        <v>0</v>
      </c>
      <c r="K971" t="n">
        <v>0</v>
      </c>
      <c r="L971" t="n">
        <v>0</v>
      </c>
      <c r="M971" t="n">
        <v>0</v>
      </c>
      <c r="N971" t="n">
        <v>0</v>
      </c>
      <c r="O971" t="n">
        <v>0</v>
      </c>
      <c r="P971" t="n">
        <v>0</v>
      </c>
      <c r="Q971" t="n">
        <v>0</v>
      </c>
      <c r="R971" s="2" t="inlineStr"/>
    </row>
    <row r="972" ht="15" customHeight="1">
      <c r="A972" t="inlineStr">
        <is>
          <t>A 59215-2024</t>
        </is>
      </c>
      <c r="B972" s="1" t="n">
        <v>45636</v>
      </c>
      <c r="C972" s="1" t="n">
        <v>45837</v>
      </c>
      <c r="D972" t="inlineStr">
        <is>
          <t>JÄMTLANDS LÄN</t>
        </is>
      </c>
      <c r="E972" t="inlineStr">
        <is>
          <t>ÅRE</t>
        </is>
      </c>
      <c r="G972" t="n">
        <v>0.8</v>
      </c>
      <c r="H972" t="n">
        <v>0</v>
      </c>
      <c r="I972" t="n">
        <v>0</v>
      </c>
      <c r="J972" t="n">
        <v>0</v>
      </c>
      <c r="K972" t="n">
        <v>0</v>
      </c>
      <c r="L972" t="n">
        <v>0</v>
      </c>
      <c r="M972" t="n">
        <v>0</v>
      </c>
      <c r="N972" t="n">
        <v>0</v>
      </c>
      <c r="O972" t="n">
        <v>0</v>
      </c>
      <c r="P972" t="n">
        <v>0</v>
      </c>
      <c r="Q972" t="n">
        <v>0</v>
      </c>
      <c r="R972" s="2" t="inlineStr"/>
    </row>
    <row r="973" ht="15" customHeight="1">
      <c r="A973" t="inlineStr">
        <is>
          <t>A 59784-2024</t>
        </is>
      </c>
      <c r="B973" s="1" t="n">
        <v>45639</v>
      </c>
      <c r="C973" s="1" t="n">
        <v>45837</v>
      </c>
      <c r="D973" t="inlineStr">
        <is>
          <t>JÄMTLANDS LÄN</t>
        </is>
      </c>
      <c r="E973" t="inlineStr">
        <is>
          <t>ÅRE</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60133-2024</t>
        </is>
      </c>
      <c r="B974" s="1" t="n">
        <v>45639</v>
      </c>
      <c r="C974" s="1" t="n">
        <v>45837</v>
      </c>
      <c r="D974" t="inlineStr">
        <is>
          <t>JÄMTLANDS LÄN</t>
        </is>
      </c>
      <c r="E974" t="inlineStr">
        <is>
          <t>ÅRE</t>
        </is>
      </c>
      <c r="G974" t="n">
        <v>6.1</v>
      </c>
      <c r="H974" t="n">
        <v>0</v>
      </c>
      <c r="I974" t="n">
        <v>0</v>
      </c>
      <c r="J974" t="n">
        <v>0</v>
      </c>
      <c r="K974" t="n">
        <v>0</v>
      </c>
      <c r="L974" t="n">
        <v>0</v>
      </c>
      <c r="M974" t="n">
        <v>0</v>
      </c>
      <c r="N974" t="n">
        <v>0</v>
      </c>
      <c r="O974" t="n">
        <v>0</v>
      </c>
      <c r="P974" t="n">
        <v>0</v>
      </c>
      <c r="Q974" t="n">
        <v>0</v>
      </c>
      <c r="R974" s="2" t="inlineStr"/>
    </row>
    <row r="975" ht="15" customHeight="1">
      <c r="A975" t="inlineStr">
        <is>
          <t>A 60137-2024</t>
        </is>
      </c>
      <c r="B975" s="1" t="n">
        <v>45639</v>
      </c>
      <c r="C975" s="1" t="n">
        <v>45837</v>
      </c>
      <c r="D975" t="inlineStr">
        <is>
          <t>JÄMTLANDS LÄN</t>
        </is>
      </c>
      <c r="E975" t="inlineStr">
        <is>
          <t>ÅRE</t>
        </is>
      </c>
      <c r="G975" t="n">
        <v>7</v>
      </c>
      <c r="H975" t="n">
        <v>0</v>
      </c>
      <c r="I975" t="n">
        <v>0</v>
      </c>
      <c r="J975" t="n">
        <v>0</v>
      </c>
      <c r="K975" t="n">
        <v>0</v>
      </c>
      <c r="L975" t="n">
        <v>0</v>
      </c>
      <c r="M975" t="n">
        <v>0</v>
      </c>
      <c r="N975" t="n">
        <v>0</v>
      </c>
      <c r="O975" t="n">
        <v>0</v>
      </c>
      <c r="P975" t="n">
        <v>0</v>
      </c>
      <c r="Q975" t="n">
        <v>0</v>
      </c>
      <c r="R975" s="2" t="inlineStr"/>
    </row>
    <row r="976" ht="15" customHeight="1">
      <c r="A976" t="inlineStr">
        <is>
          <t>A 61014-2024</t>
        </is>
      </c>
      <c r="B976" s="1" t="n">
        <v>45645</v>
      </c>
      <c r="C976" s="1" t="n">
        <v>45837</v>
      </c>
      <c r="D976" t="inlineStr">
        <is>
          <t>JÄMTLANDS LÄN</t>
        </is>
      </c>
      <c r="E976" t="inlineStr">
        <is>
          <t>ÅRE</t>
        </is>
      </c>
      <c r="F976" t="inlineStr">
        <is>
          <t>Övriga Aktiebolag</t>
        </is>
      </c>
      <c r="G976" t="n">
        <v>4.9</v>
      </c>
      <c r="H976" t="n">
        <v>0</v>
      </c>
      <c r="I976" t="n">
        <v>0</v>
      </c>
      <c r="J976" t="n">
        <v>0</v>
      </c>
      <c r="K976" t="n">
        <v>0</v>
      </c>
      <c r="L976" t="n">
        <v>0</v>
      </c>
      <c r="M976" t="n">
        <v>0</v>
      </c>
      <c r="N976" t="n">
        <v>0</v>
      </c>
      <c r="O976" t="n">
        <v>0</v>
      </c>
      <c r="P976" t="n">
        <v>0</v>
      </c>
      <c r="Q976" t="n">
        <v>0</v>
      </c>
      <c r="R976" s="2" t="inlineStr"/>
    </row>
    <row r="977" ht="15" customHeight="1">
      <c r="A977" t="inlineStr">
        <is>
          <t>A 1112-2025</t>
        </is>
      </c>
      <c r="B977" s="1" t="n">
        <v>45666</v>
      </c>
      <c r="C977" s="1" t="n">
        <v>45837</v>
      </c>
      <c r="D977" t="inlineStr">
        <is>
          <t>JÄMTLANDS LÄN</t>
        </is>
      </c>
      <c r="E977" t="inlineStr">
        <is>
          <t>ÅRE</t>
        </is>
      </c>
      <c r="F977" t="inlineStr">
        <is>
          <t>Övriga Aktiebolag</t>
        </is>
      </c>
      <c r="G977" t="n">
        <v>17.7</v>
      </c>
      <c r="H977" t="n">
        <v>0</v>
      </c>
      <c r="I977" t="n">
        <v>0</v>
      </c>
      <c r="J977" t="n">
        <v>0</v>
      </c>
      <c r="K977" t="n">
        <v>0</v>
      </c>
      <c r="L977" t="n">
        <v>0</v>
      </c>
      <c r="M977" t="n">
        <v>0</v>
      </c>
      <c r="N977" t="n">
        <v>0</v>
      </c>
      <c r="O977" t="n">
        <v>0</v>
      </c>
      <c r="P977" t="n">
        <v>0</v>
      </c>
      <c r="Q977" t="n">
        <v>0</v>
      </c>
      <c r="R977" s="2" t="inlineStr"/>
    </row>
    <row r="978" ht="15" customHeight="1">
      <c r="A978" t="inlineStr">
        <is>
          <t>A 1541-2025</t>
        </is>
      </c>
      <c r="B978" s="1" t="n">
        <v>45670</v>
      </c>
      <c r="C978" s="1" t="n">
        <v>45837</v>
      </c>
      <c r="D978" t="inlineStr">
        <is>
          <t>JÄMTLANDS LÄN</t>
        </is>
      </c>
      <c r="E978" t="inlineStr">
        <is>
          <t>ÅRE</t>
        </is>
      </c>
      <c r="G978" t="n">
        <v>16.4</v>
      </c>
      <c r="H978" t="n">
        <v>0</v>
      </c>
      <c r="I978" t="n">
        <v>0</v>
      </c>
      <c r="J978" t="n">
        <v>0</v>
      </c>
      <c r="K978" t="n">
        <v>0</v>
      </c>
      <c r="L978" t="n">
        <v>0</v>
      </c>
      <c r="M978" t="n">
        <v>0</v>
      </c>
      <c r="N978" t="n">
        <v>0</v>
      </c>
      <c r="O978" t="n">
        <v>0</v>
      </c>
      <c r="P978" t="n">
        <v>0</v>
      </c>
      <c r="Q978" t="n">
        <v>0</v>
      </c>
      <c r="R978" s="2" t="inlineStr"/>
    </row>
    <row r="979" ht="15" customHeight="1">
      <c r="A979" t="inlineStr">
        <is>
          <t>A 1529-2025</t>
        </is>
      </c>
      <c r="B979" s="1" t="n">
        <v>45670</v>
      </c>
      <c r="C979" s="1" t="n">
        <v>45837</v>
      </c>
      <c r="D979" t="inlineStr">
        <is>
          <t>JÄMTLANDS LÄN</t>
        </is>
      </c>
      <c r="E979" t="inlineStr">
        <is>
          <t>ÅRE</t>
        </is>
      </c>
      <c r="G979" t="n">
        <v>13.3</v>
      </c>
      <c r="H979" t="n">
        <v>0</v>
      </c>
      <c r="I979" t="n">
        <v>0</v>
      </c>
      <c r="J979" t="n">
        <v>0</v>
      </c>
      <c r="K979" t="n">
        <v>0</v>
      </c>
      <c r="L979" t="n">
        <v>0</v>
      </c>
      <c r="M979" t="n">
        <v>0</v>
      </c>
      <c r="N979" t="n">
        <v>0</v>
      </c>
      <c r="O979" t="n">
        <v>0</v>
      </c>
      <c r="P979" t="n">
        <v>0</v>
      </c>
      <c r="Q979" t="n">
        <v>0</v>
      </c>
      <c r="R979" s="2" t="inlineStr"/>
    </row>
    <row r="980" ht="15" customHeight="1">
      <c r="A980" t="inlineStr">
        <is>
          <t>A 3521-2025</t>
        </is>
      </c>
      <c r="B980" s="1" t="n">
        <v>45680</v>
      </c>
      <c r="C980" s="1" t="n">
        <v>45837</v>
      </c>
      <c r="D980" t="inlineStr">
        <is>
          <t>JÄMTLANDS LÄN</t>
        </is>
      </c>
      <c r="E980" t="inlineStr">
        <is>
          <t>ÅRE</t>
        </is>
      </c>
      <c r="G980" t="n">
        <v>19.9</v>
      </c>
      <c r="H980" t="n">
        <v>0</v>
      </c>
      <c r="I980" t="n">
        <v>0</v>
      </c>
      <c r="J980" t="n">
        <v>0</v>
      </c>
      <c r="K980" t="n">
        <v>0</v>
      </c>
      <c r="L980" t="n">
        <v>0</v>
      </c>
      <c r="M980" t="n">
        <v>0</v>
      </c>
      <c r="N980" t="n">
        <v>0</v>
      </c>
      <c r="O980" t="n">
        <v>0</v>
      </c>
      <c r="P980" t="n">
        <v>0</v>
      </c>
      <c r="Q980" t="n">
        <v>0</v>
      </c>
      <c r="R980" s="2" t="inlineStr"/>
    </row>
    <row r="981" ht="15" customHeight="1">
      <c r="A981" t="inlineStr">
        <is>
          <t>A 4272-2025</t>
        </is>
      </c>
      <c r="B981" s="1" t="n">
        <v>45685</v>
      </c>
      <c r="C981" s="1" t="n">
        <v>45837</v>
      </c>
      <c r="D981" t="inlineStr">
        <is>
          <t>JÄMTLANDS LÄN</t>
        </is>
      </c>
      <c r="E981" t="inlineStr">
        <is>
          <t>ÅRE</t>
        </is>
      </c>
      <c r="F981" t="inlineStr">
        <is>
          <t>Övriga Aktiebolag</t>
        </is>
      </c>
      <c r="G981" t="n">
        <v>16.6</v>
      </c>
      <c r="H981" t="n">
        <v>0</v>
      </c>
      <c r="I981" t="n">
        <v>0</v>
      </c>
      <c r="J981" t="n">
        <v>0</v>
      </c>
      <c r="K981" t="n">
        <v>0</v>
      </c>
      <c r="L981" t="n">
        <v>0</v>
      </c>
      <c r="M981" t="n">
        <v>0</v>
      </c>
      <c r="N981" t="n">
        <v>0</v>
      </c>
      <c r="O981" t="n">
        <v>0</v>
      </c>
      <c r="P981" t="n">
        <v>0</v>
      </c>
      <c r="Q981" t="n">
        <v>0</v>
      </c>
      <c r="R981" s="2" t="inlineStr"/>
    </row>
    <row r="982" ht="15" customHeight="1">
      <c r="A982" t="inlineStr">
        <is>
          <t>A 4218-2025</t>
        </is>
      </c>
      <c r="B982" s="1" t="n">
        <v>45685</v>
      </c>
      <c r="C982" s="1" t="n">
        <v>45837</v>
      </c>
      <c r="D982" t="inlineStr">
        <is>
          <t>JÄMTLANDS LÄN</t>
        </is>
      </c>
      <c r="E982" t="inlineStr">
        <is>
          <t>ÅRE</t>
        </is>
      </c>
      <c r="F982" t="inlineStr">
        <is>
          <t>Övriga Aktiebolag</t>
        </is>
      </c>
      <c r="G982" t="n">
        <v>10.1</v>
      </c>
      <c r="H982" t="n">
        <v>0</v>
      </c>
      <c r="I982" t="n">
        <v>0</v>
      </c>
      <c r="J982" t="n">
        <v>0</v>
      </c>
      <c r="K982" t="n">
        <v>0</v>
      </c>
      <c r="L982" t="n">
        <v>0</v>
      </c>
      <c r="M982" t="n">
        <v>0</v>
      </c>
      <c r="N982" t="n">
        <v>0</v>
      </c>
      <c r="O982" t="n">
        <v>0</v>
      </c>
      <c r="P982" t="n">
        <v>0</v>
      </c>
      <c r="Q982" t="n">
        <v>0</v>
      </c>
      <c r="R982" s="2" t="inlineStr"/>
    </row>
    <row r="983" ht="15" customHeight="1">
      <c r="A983" t="inlineStr">
        <is>
          <t>A 4181-2025</t>
        </is>
      </c>
      <c r="B983" s="1" t="n">
        <v>45685</v>
      </c>
      <c r="C983" s="1" t="n">
        <v>45837</v>
      </c>
      <c r="D983" t="inlineStr">
        <is>
          <t>JÄMTLANDS LÄN</t>
        </is>
      </c>
      <c r="E983" t="inlineStr">
        <is>
          <t>ÅRE</t>
        </is>
      </c>
      <c r="F983" t="inlineStr">
        <is>
          <t>Övriga Aktiebolag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4216-2025</t>
        </is>
      </c>
      <c r="B984" s="1" t="n">
        <v>45685</v>
      </c>
      <c r="C984" s="1" t="n">
        <v>45837</v>
      </c>
      <c r="D984" t="inlineStr">
        <is>
          <t>JÄMTLANDS LÄN</t>
        </is>
      </c>
      <c r="E984" t="inlineStr">
        <is>
          <t>ÅRE</t>
        </is>
      </c>
      <c r="F984" t="inlineStr">
        <is>
          <t>Övriga Aktiebolag</t>
        </is>
      </c>
      <c r="G984" t="n">
        <v>14.6</v>
      </c>
      <c r="H984" t="n">
        <v>0</v>
      </c>
      <c r="I984" t="n">
        <v>0</v>
      </c>
      <c r="J984" t="n">
        <v>0</v>
      </c>
      <c r="K984" t="n">
        <v>0</v>
      </c>
      <c r="L984" t="n">
        <v>0</v>
      </c>
      <c r="M984" t="n">
        <v>0</v>
      </c>
      <c r="N984" t="n">
        <v>0</v>
      </c>
      <c r="O984" t="n">
        <v>0</v>
      </c>
      <c r="P984" t="n">
        <v>0</v>
      </c>
      <c r="Q984" t="n">
        <v>0</v>
      </c>
      <c r="R984" s="2" t="inlineStr"/>
    </row>
    <row r="985" ht="15" customHeight="1">
      <c r="A985" t="inlineStr">
        <is>
          <t>A 4777-2025</t>
        </is>
      </c>
      <c r="B985" s="1" t="n">
        <v>45688</v>
      </c>
      <c r="C985" s="1" t="n">
        <v>45837</v>
      </c>
      <c r="D985" t="inlineStr">
        <is>
          <t>JÄMTLANDS LÄN</t>
        </is>
      </c>
      <c r="E985" t="inlineStr">
        <is>
          <t>ÅRE</t>
        </is>
      </c>
      <c r="G985" t="n">
        <v>0.7</v>
      </c>
      <c r="H985" t="n">
        <v>0</v>
      </c>
      <c r="I985" t="n">
        <v>0</v>
      </c>
      <c r="J985" t="n">
        <v>0</v>
      </c>
      <c r="K985" t="n">
        <v>0</v>
      </c>
      <c r="L985" t="n">
        <v>0</v>
      </c>
      <c r="M985" t="n">
        <v>0</v>
      </c>
      <c r="N985" t="n">
        <v>0</v>
      </c>
      <c r="O985" t="n">
        <v>0</v>
      </c>
      <c r="P985" t="n">
        <v>0</v>
      </c>
      <c r="Q985" t="n">
        <v>0</v>
      </c>
      <c r="R985" s="2" t="inlineStr"/>
    </row>
    <row r="986" ht="15" customHeight="1">
      <c r="A986" t="inlineStr">
        <is>
          <t>A 4938-2025</t>
        </is>
      </c>
      <c r="B986" s="1" t="n">
        <v>45688</v>
      </c>
      <c r="C986" s="1" t="n">
        <v>45837</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4937-2025</t>
        </is>
      </c>
      <c r="B987" s="1" t="n">
        <v>45688</v>
      </c>
      <c r="C987" s="1" t="n">
        <v>45837</v>
      </c>
      <c r="D987" t="inlineStr">
        <is>
          <t>JÄMTLANDS LÄN</t>
        </is>
      </c>
      <c r="E987" t="inlineStr">
        <is>
          <t>ÅRE</t>
        </is>
      </c>
      <c r="G987" t="n">
        <v>1.8</v>
      </c>
      <c r="H987" t="n">
        <v>0</v>
      </c>
      <c r="I987" t="n">
        <v>0</v>
      </c>
      <c r="J987" t="n">
        <v>0</v>
      </c>
      <c r="K987" t="n">
        <v>0</v>
      </c>
      <c r="L987" t="n">
        <v>0</v>
      </c>
      <c r="M987" t="n">
        <v>0</v>
      </c>
      <c r="N987" t="n">
        <v>0</v>
      </c>
      <c r="O987" t="n">
        <v>0</v>
      </c>
      <c r="P987" t="n">
        <v>0</v>
      </c>
      <c r="Q987" t="n">
        <v>0</v>
      </c>
      <c r="R987" s="2" t="inlineStr"/>
    </row>
    <row r="988" ht="15" customHeight="1">
      <c r="A988" t="inlineStr">
        <is>
          <t>A 4978-2025</t>
        </is>
      </c>
      <c r="B988" s="1" t="n">
        <v>45690</v>
      </c>
      <c r="C988" s="1" t="n">
        <v>45837</v>
      </c>
      <c r="D988" t="inlineStr">
        <is>
          <t>JÄMTLANDS LÄN</t>
        </is>
      </c>
      <c r="E988" t="inlineStr">
        <is>
          <t>ÅRE</t>
        </is>
      </c>
      <c r="G988" t="n">
        <v>1.5</v>
      </c>
      <c r="H988" t="n">
        <v>0</v>
      </c>
      <c r="I988" t="n">
        <v>0</v>
      </c>
      <c r="J988" t="n">
        <v>0</v>
      </c>
      <c r="K988" t="n">
        <v>0</v>
      </c>
      <c r="L988" t="n">
        <v>0</v>
      </c>
      <c r="M988" t="n">
        <v>0</v>
      </c>
      <c r="N988" t="n">
        <v>0</v>
      </c>
      <c r="O988" t="n">
        <v>0</v>
      </c>
      <c r="P988" t="n">
        <v>0</v>
      </c>
      <c r="Q988" t="n">
        <v>0</v>
      </c>
      <c r="R988" s="2" t="inlineStr"/>
    </row>
    <row r="989" ht="15" customHeight="1">
      <c r="A989" t="inlineStr">
        <is>
          <t>A 5611-2025</t>
        </is>
      </c>
      <c r="B989" s="1" t="n">
        <v>45693</v>
      </c>
      <c r="C989" s="1" t="n">
        <v>45837</v>
      </c>
      <c r="D989" t="inlineStr">
        <is>
          <t>JÄMTLANDS LÄN</t>
        </is>
      </c>
      <c r="E989" t="inlineStr">
        <is>
          <t>ÅRE</t>
        </is>
      </c>
      <c r="G989" t="n">
        <v>2.9</v>
      </c>
      <c r="H989" t="n">
        <v>0</v>
      </c>
      <c r="I989" t="n">
        <v>0</v>
      </c>
      <c r="J989" t="n">
        <v>0</v>
      </c>
      <c r="K989" t="n">
        <v>0</v>
      </c>
      <c r="L989" t="n">
        <v>0</v>
      </c>
      <c r="M989" t="n">
        <v>0</v>
      </c>
      <c r="N989" t="n">
        <v>0</v>
      </c>
      <c r="O989" t="n">
        <v>0</v>
      </c>
      <c r="P989" t="n">
        <v>0</v>
      </c>
      <c r="Q989" t="n">
        <v>0</v>
      </c>
      <c r="R989" s="2" t="inlineStr"/>
    </row>
    <row r="990" ht="15" customHeight="1">
      <c r="A990" t="inlineStr">
        <is>
          <t>A 5610-2025</t>
        </is>
      </c>
      <c r="B990" s="1" t="n">
        <v>45693</v>
      </c>
      <c r="C990" s="1" t="n">
        <v>45837</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6049-2025</t>
        </is>
      </c>
      <c r="B991" s="1" t="n">
        <v>45695</v>
      </c>
      <c r="C991" s="1" t="n">
        <v>45837</v>
      </c>
      <c r="D991" t="inlineStr">
        <is>
          <t>JÄMTLANDS LÄN</t>
        </is>
      </c>
      <c r="E991" t="inlineStr">
        <is>
          <t>ÅRE</t>
        </is>
      </c>
      <c r="G991" t="n">
        <v>58.3</v>
      </c>
      <c r="H991" t="n">
        <v>0</v>
      </c>
      <c r="I991" t="n">
        <v>0</v>
      </c>
      <c r="J991" t="n">
        <v>0</v>
      </c>
      <c r="K991" t="n">
        <v>0</v>
      </c>
      <c r="L991" t="n">
        <v>0</v>
      </c>
      <c r="M991" t="n">
        <v>0</v>
      </c>
      <c r="N991" t="n">
        <v>0</v>
      </c>
      <c r="O991" t="n">
        <v>0</v>
      </c>
      <c r="P991" t="n">
        <v>0</v>
      </c>
      <c r="Q991" t="n">
        <v>0</v>
      </c>
      <c r="R991" s="2" t="inlineStr"/>
    </row>
    <row r="992" ht="15" customHeight="1">
      <c r="A992" t="inlineStr">
        <is>
          <t>A 6358-2025</t>
        </is>
      </c>
      <c r="B992" s="1" t="n">
        <v>45699</v>
      </c>
      <c r="C992" s="1" t="n">
        <v>45837</v>
      </c>
      <c r="D992" t="inlineStr">
        <is>
          <t>JÄMTLANDS LÄN</t>
        </is>
      </c>
      <c r="E992" t="inlineStr">
        <is>
          <t>ÅRE</t>
        </is>
      </c>
      <c r="G992" t="n">
        <v>5.6</v>
      </c>
      <c r="H992" t="n">
        <v>0</v>
      </c>
      <c r="I992" t="n">
        <v>0</v>
      </c>
      <c r="J992" t="n">
        <v>0</v>
      </c>
      <c r="K992" t="n">
        <v>0</v>
      </c>
      <c r="L992" t="n">
        <v>0</v>
      </c>
      <c r="M992" t="n">
        <v>0</v>
      </c>
      <c r="N992" t="n">
        <v>0</v>
      </c>
      <c r="O992" t="n">
        <v>0</v>
      </c>
      <c r="P992" t="n">
        <v>0</v>
      </c>
      <c r="Q992" t="n">
        <v>0</v>
      </c>
      <c r="R992" s="2" t="inlineStr"/>
    </row>
    <row r="993" ht="15" customHeight="1">
      <c r="A993" t="inlineStr">
        <is>
          <t>A 7614-2025</t>
        </is>
      </c>
      <c r="B993" s="1" t="n">
        <v>45705</v>
      </c>
      <c r="C993" s="1" t="n">
        <v>45837</v>
      </c>
      <c r="D993" t="inlineStr">
        <is>
          <t>JÄMTLANDS LÄN</t>
        </is>
      </c>
      <c r="E993" t="inlineStr">
        <is>
          <t>ÅRE</t>
        </is>
      </c>
      <c r="G993" t="n">
        <v>0.9</v>
      </c>
      <c r="H993" t="n">
        <v>0</v>
      </c>
      <c r="I993" t="n">
        <v>0</v>
      </c>
      <c r="J993" t="n">
        <v>0</v>
      </c>
      <c r="K993" t="n">
        <v>0</v>
      </c>
      <c r="L993" t="n">
        <v>0</v>
      </c>
      <c r="M993" t="n">
        <v>0</v>
      </c>
      <c r="N993" t="n">
        <v>0</v>
      </c>
      <c r="O993" t="n">
        <v>0</v>
      </c>
      <c r="P993" t="n">
        <v>0</v>
      </c>
      <c r="Q993" t="n">
        <v>0</v>
      </c>
      <c r="R993" s="2" t="inlineStr"/>
    </row>
    <row r="994" ht="15" customHeight="1">
      <c r="A994" t="inlineStr">
        <is>
          <t>A 7776-2025</t>
        </is>
      </c>
      <c r="B994" s="1" t="n">
        <v>45706</v>
      </c>
      <c r="C994" s="1" t="n">
        <v>45837</v>
      </c>
      <c r="D994" t="inlineStr">
        <is>
          <t>JÄMTLANDS LÄN</t>
        </is>
      </c>
      <c r="E994" t="inlineStr">
        <is>
          <t>ÅRE</t>
        </is>
      </c>
      <c r="G994" t="n">
        <v>0.8</v>
      </c>
      <c r="H994" t="n">
        <v>0</v>
      </c>
      <c r="I994" t="n">
        <v>0</v>
      </c>
      <c r="J994" t="n">
        <v>0</v>
      </c>
      <c r="K994" t="n">
        <v>0</v>
      </c>
      <c r="L994" t="n">
        <v>0</v>
      </c>
      <c r="M994" t="n">
        <v>0</v>
      </c>
      <c r="N994" t="n">
        <v>0</v>
      </c>
      <c r="O994" t="n">
        <v>0</v>
      </c>
      <c r="P994" t="n">
        <v>0</v>
      </c>
      <c r="Q994" t="n">
        <v>0</v>
      </c>
      <c r="R994" s="2" t="inlineStr"/>
    </row>
    <row r="995" ht="15" customHeight="1">
      <c r="A995" t="inlineStr">
        <is>
          <t>A 8788-2025</t>
        </is>
      </c>
      <c r="B995" s="1" t="n">
        <v>45712</v>
      </c>
      <c r="C995" s="1" t="n">
        <v>45837</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8798-2025</t>
        </is>
      </c>
      <c r="B996" s="1" t="n">
        <v>45712</v>
      </c>
      <c r="C996" s="1" t="n">
        <v>45837</v>
      </c>
      <c r="D996" t="inlineStr">
        <is>
          <t>JÄMTLANDS LÄN</t>
        </is>
      </c>
      <c r="E996" t="inlineStr">
        <is>
          <t>ÅRE</t>
        </is>
      </c>
      <c r="G996" t="n">
        <v>1.6</v>
      </c>
      <c r="H996" t="n">
        <v>0</v>
      </c>
      <c r="I996" t="n">
        <v>0</v>
      </c>
      <c r="J996" t="n">
        <v>0</v>
      </c>
      <c r="K996" t="n">
        <v>0</v>
      </c>
      <c r="L996" t="n">
        <v>0</v>
      </c>
      <c r="M996" t="n">
        <v>0</v>
      </c>
      <c r="N996" t="n">
        <v>0</v>
      </c>
      <c r="O996" t="n">
        <v>0</v>
      </c>
      <c r="P996" t="n">
        <v>0</v>
      </c>
      <c r="Q996" t="n">
        <v>0</v>
      </c>
      <c r="R996" s="2" t="inlineStr"/>
    </row>
    <row r="997" ht="15" customHeight="1">
      <c r="A997" t="inlineStr">
        <is>
          <t>A 9126-2025</t>
        </is>
      </c>
      <c r="B997" s="1" t="n">
        <v>45713</v>
      </c>
      <c r="C997" s="1" t="n">
        <v>45837</v>
      </c>
      <c r="D997" t="inlineStr">
        <is>
          <t>JÄMTLANDS LÄN</t>
        </is>
      </c>
      <c r="E997" t="inlineStr">
        <is>
          <t>ÅRE</t>
        </is>
      </c>
      <c r="G997" t="n">
        <v>2</v>
      </c>
      <c r="H997" t="n">
        <v>0</v>
      </c>
      <c r="I997" t="n">
        <v>0</v>
      </c>
      <c r="J997" t="n">
        <v>0</v>
      </c>
      <c r="K997" t="n">
        <v>0</v>
      </c>
      <c r="L997" t="n">
        <v>0</v>
      </c>
      <c r="M997" t="n">
        <v>0</v>
      </c>
      <c r="N997" t="n">
        <v>0</v>
      </c>
      <c r="O997" t="n">
        <v>0</v>
      </c>
      <c r="P997" t="n">
        <v>0</v>
      </c>
      <c r="Q997" t="n">
        <v>0</v>
      </c>
      <c r="R997" s="2" t="inlineStr"/>
    </row>
    <row r="998" ht="15" customHeight="1">
      <c r="A998" t="inlineStr">
        <is>
          <t>A 9312-2025</t>
        </is>
      </c>
      <c r="B998" s="1" t="n">
        <v>45714</v>
      </c>
      <c r="C998" s="1" t="n">
        <v>45837</v>
      </c>
      <c r="D998" t="inlineStr">
        <is>
          <t>JÄMTLANDS LÄN</t>
        </is>
      </c>
      <c r="E998" t="inlineStr">
        <is>
          <t>ÅRE</t>
        </is>
      </c>
      <c r="G998" t="n">
        <v>1.2</v>
      </c>
      <c r="H998" t="n">
        <v>0</v>
      </c>
      <c r="I998" t="n">
        <v>0</v>
      </c>
      <c r="J998" t="n">
        <v>0</v>
      </c>
      <c r="K998" t="n">
        <v>0</v>
      </c>
      <c r="L998" t="n">
        <v>0</v>
      </c>
      <c r="M998" t="n">
        <v>0</v>
      </c>
      <c r="N998" t="n">
        <v>0</v>
      </c>
      <c r="O998" t="n">
        <v>0</v>
      </c>
      <c r="P998" t="n">
        <v>0</v>
      </c>
      <c r="Q998" t="n">
        <v>0</v>
      </c>
      <c r="R998" s="2" t="inlineStr"/>
    </row>
    <row r="999" ht="15" customHeight="1">
      <c r="A999" t="inlineStr">
        <is>
          <t>A 12177-2025</t>
        </is>
      </c>
      <c r="B999" s="1" t="n">
        <v>45729</v>
      </c>
      <c r="C999" s="1" t="n">
        <v>45837</v>
      </c>
      <c r="D999" t="inlineStr">
        <is>
          <t>JÄMTLANDS LÄN</t>
        </is>
      </c>
      <c r="E999" t="inlineStr">
        <is>
          <t>ÅRE</t>
        </is>
      </c>
      <c r="F999" t="inlineStr">
        <is>
          <t>Övriga Aktiebolag</t>
        </is>
      </c>
      <c r="G999" t="n">
        <v>13.2</v>
      </c>
      <c r="H999" t="n">
        <v>0</v>
      </c>
      <c r="I999" t="n">
        <v>0</v>
      </c>
      <c r="J999" t="n">
        <v>0</v>
      </c>
      <c r="K999" t="n">
        <v>0</v>
      </c>
      <c r="L999" t="n">
        <v>0</v>
      </c>
      <c r="M999" t="n">
        <v>0</v>
      </c>
      <c r="N999" t="n">
        <v>0</v>
      </c>
      <c r="O999" t="n">
        <v>0</v>
      </c>
      <c r="P999" t="n">
        <v>0</v>
      </c>
      <c r="Q999" t="n">
        <v>0</v>
      </c>
      <c r="R999" s="2" t="inlineStr"/>
    </row>
    <row r="1000" ht="15" customHeight="1">
      <c r="A1000" t="inlineStr">
        <is>
          <t>A 13082-2025</t>
        </is>
      </c>
      <c r="B1000" s="1" t="n">
        <v>45734</v>
      </c>
      <c r="C1000" s="1" t="n">
        <v>45837</v>
      </c>
      <c r="D1000" t="inlineStr">
        <is>
          <t>JÄMTLANDS LÄN</t>
        </is>
      </c>
      <c r="E1000" t="inlineStr">
        <is>
          <t>ÅRE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13559-2025</t>
        </is>
      </c>
      <c r="B1001" s="1" t="n">
        <v>45736</v>
      </c>
      <c r="C1001" s="1" t="n">
        <v>45837</v>
      </c>
      <c r="D1001" t="inlineStr">
        <is>
          <t>JÄMTLANDS LÄN</t>
        </is>
      </c>
      <c r="E1001" t="inlineStr">
        <is>
          <t>ÅRE</t>
        </is>
      </c>
      <c r="F1001" t="inlineStr">
        <is>
          <t>Övriga statliga verk och myndigheter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13561-2025</t>
        </is>
      </c>
      <c r="B1002" s="1" t="n">
        <v>45736</v>
      </c>
      <c r="C1002" s="1" t="n">
        <v>45837</v>
      </c>
      <c r="D1002" t="inlineStr">
        <is>
          <t>JÄMTLANDS LÄN</t>
        </is>
      </c>
      <c r="E1002" t="inlineStr">
        <is>
          <t>ÅRE</t>
        </is>
      </c>
      <c r="F1002" t="inlineStr">
        <is>
          <t>Övriga statliga verk och myndigheter</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14283-2025</t>
        </is>
      </c>
      <c r="B1003" s="1" t="n">
        <v>45740</v>
      </c>
      <c r="C1003" s="1" t="n">
        <v>45837</v>
      </c>
      <c r="D1003" t="inlineStr">
        <is>
          <t>JÄMTLANDS LÄN</t>
        </is>
      </c>
      <c r="E1003" t="inlineStr">
        <is>
          <t>ÅRE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15692-2025</t>
        </is>
      </c>
      <c r="B1004" s="1" t="n">
        <v>45748</v>
      </c>
      <c r="C1004" s="1" t="n">
        <v>45837</v>
      </c>
      <c r="D1004" t="inlineStr">
        <is>
          <t>JÄMTLANDS LÄN</t>
        </is>
      </c>
      <c r="E1004" t="inlineStr">
        <is>
          <t>ÅRE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15889-2025</t>
        </is>
      </c>
      <c r="B1005" s="1" t="n">
        <v>45749</v>
      </c>
      <c r="C1005" s="1" t="n">
        <v>45837</v>
      </c>
      <c r="D1005" t="inlineStr">
        <is>
          <t>JÄMTLANDS LÄN</t>
        </is>
      </c>
      <c r="E1005" t="inlineStr">
        <is>
          <t>ÅRE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16667-2025</t>
        </is>
      </c>
      <c r="B1006" s="1" t="n">
        <v>45754</v>
      </c>
      <c r="C1006" s="1" t="n">
        <v>45837</v>
      </c>
      <c r="D1006" t="inlineStr">
        <is>
          <t>JÄMTLANDS LÄN</t>
        </is>
      </c>
      <c r="E1006" t="inlineStr">
        <is>
          <t>ÅRE</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16681-2025</t>
        </is>
      </c>
      <c r="B1007" s="1" t="n">
        <v>45754</v>
      </c>
      <c r="C1007" s="1" t="n">
        <v>45837</v>
      </c>
      <c r="D1007" t="inlineStr">
        <is>
          <t>JÄMTLANDS LÄN</t>
        </is>
      </c>
      <c r="E1007" t="inlineStr">
        <is>
          <t>ÅRE</t>
        </is>
      </c>
      <c r="G1007" t="n">
        <v>9.9</v>
      </c>
      <c r="H1007" t="n">
        <v>0</v>
      </c>
      <c r="I1007" t="n">
        <v>0</v>
      </c>
      <c r="J1007" t="n">
        <v>0</v>
      </c>
      <c r="K1007" t="n">
        <v>0</v>
      </c>
      <c r="L1007" t="n">
        <v>0</v>
      </c>
      <c r="M1007" t="n">
        <v>0</v>
      </c>
      <c r="N1007" t="n">
        <v>0</v>
      </c>
      <c r="O1007" t="n">
        <v>0</v>
      </c>
      <c r="P1007" t="n">
        <v>0</v>
      </c>
      <c r="Q1007" t="n">
        <v>0</v>
      </c>
      <c r="R1007" s="2" t="inlineStr"/>
    </row>
    <row r="1008" ht="15" customHeight="1">
      <c r="A1008" t="inlineStr">
        <is>
          <t>A 17095-2025</t>
        </is>
      </c>
      <c r="B1008" s="1" t="n">
        <v>45755</v>
      </c>
      <c r="C1008" s="1" t="n">
        <v>45837</v>
      </c>
      <c r="D1008" t="inlineStr">
        <is>
          <t>JÄMTLANDS LÄN</t>
        </is>
      </c>
      <c r="E1008" t="inlineStr">
        <is>
          <t>ÅRE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17751-2025</t>
        </is>
      </c>
      <c r="B1009" s="1" t="n">
        <v>45758</v>
      </c>
      <c r="C1009" s="1" t="n">
        <v>45837</v>
      </c>
      <c r="D1009" t="inlineStr">
        <is>
          <t>JÄMTLANDS LÄN</t>
        </is>
      </c>
      <c r="E1009" t="inlineStr">
        <is>
          <t>ÅRE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18472-2025</t>
        </is>
      </c>
      <c r="B1010" s="1" t="n">
        <v>45762</v>
      </c>
      <c r="C1010" s="1" t="n">
        <v>45837</v>
      </c>
      <c r="D1010" t="inlineStr">
        <is>
          <t>JÄMTLANDS LÄN</t>
        </is>
      </c>
      <c r="E1010" t="inlineStr">
        <is>
          <t>ÅRE</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19879-2025</t>
        </is>
      </c>
      <c r="B1011" s="1" t="n">
        <v>45771</v>
      </c>
      <c r="C1011" s="1" t="n">
        <v>45837</v>
      </c>
      <c r="D1011" t="inlineStr">
        <is>
          <t>JÄMTLANDS LÄN</t>
        </is>
      </c>
      <c r="E1011" t="inlineStr">
        <is>
          <t>ÅRE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19800-2025</t>
        </is>
      </c>
      <c r="B1012" s="1" t="n">
        <v>45771</v>
      </c>
      <c r="C1012" s="1" t="n">
        <v>45837</v>
      </c>
      <c r="D1012" t="inlineStr">
        <is>
          <t>JÄMTLANDS LÄN</t>
        </is>
      </c>
      <c r="E1012" t="inlineStr">
        <is>
          <t>ÅRE</t>
        </is>
      </c>
      <c r="F1012" t="inlineStr">
        <is>
          <t>Övriga Aktiebolag</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20160-2025</t>
        </is>
      </c>
      <c r="B1013" s="1" t="n">
        <v>45772</v>
      </c>
      <c r="C1013" s="1" t="n">
        <v>45837</v>
      </c>
      <c r="D1013" t="inlineStr">
        <is>
          <t>JÄMTLANDS LÄN</t>
        </is>
      </c>
      <c r="E1013" t="inlineStr">
        <is>
          <t>ÅRE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20170-2025</t>
        </is>
      </c>
      <c r="B1014" s="1" t="n">
        <v>45772</v>
      </c>
      <c r="C1014" s="1" t="n">
        <v>45837</v>
      </c>
      <c r="D1014" t="inlineStr">
        <is>
          <t>JÄMTLANDS LÄN</t>
        </is>
      </c>
      <c r="E1014" t="inlineStr">
        <is>
          <t>ÅRE</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20442-2025</t>
        </is>
      </c>
      <c r="B1015" s="1" t="n">
        <v>45775</v>
      </c>
      <c r="C1015" s="1" t="n">
        <v>45837</v>
      </c>
      <c r="D1015" t="inlineStr">
        <is>
          <t>JÄMTLANDS LÄN</t>
        </is>
      </c>
      <c r="E1015" t="inlineStr">
        <is>
          <t>ÅRE</t>
        </is>
      </c>
      <c r="G1015" t="n">
        <v>25.1</v>
      </c>
      <c r="H1015" t="n">
        <v>0</v>
      </c>
      <c r="I1015" t="n">
        <v>0</v>
      </c>
      <c r="J1015" t="n">
        <v>0</v>
      </c>
      <c r="K1015" t="n">
        <v>0</v>
      </c>
      <c r="L1015" t="n">
        <v>0</v>
      </c>
      <c r="M1015" t="n">
        <v>0</v>
      </c>
      <c r="N1015" t="n">
        <v>0</v>
      </c>
      <c r="O1015" t="n">
        <v>0</v>
      </c>
      <c r="P1015" t="n">
        <v>0</v>
      </c>
      <c r="Q1015" t="n">
        <v>0</v>
      </c>
      <c r="R1015" s="2" t="inlineStr"/>
    </row>
    <row r="1016" ht="15" customHeight="1">
      <c r="A1016" t="inlineStr">
        <is>
          <t>A 21167-2025</t>
        </is>
      </c>
      <c r="B1016" s="1" t="n">
        <v>45779</v>
      </c>
      <c r="C1016" s="1" t="n">
        <v>45837</v>
      </c>
      <c r="D1016" t="inlineStr">
        <is>
          <t>JÄMTLANDS LÄN</t>
        </is>
      </c>
      <c r="E1016" t="inlineStr">
        <is>
          <t>ÅRE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21181-2025</t>
        </is>
      </c>
      <c r="B1017" s="1" t="n">
        <v>45779</v>
      </c>
      <c r="C1017" s="1" t="n">
        <v>45837</v>
      </c>
      <c r="D1017" t="inlineStr">
        <is>
          <t>JÄMTLANDS LÄN</t>
        </is>
      </c>
      <c r="E1017" t="inlineStr">
        <is>
          <t>ÅRE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22603-2025</t>
        </is>
      </c>
      <c r="B1018" s="1" t="n">
        <v>45786</v>
      </c>
      <c r="C1018" s="1" t="n">
        <v>45837</v>
      </c>
      <c r="D1018" t="inlineStr">
        <is>
          <t>JÄMTLANDS LÄN</t>
        </is>
      </c>
      <c r="E1018" t="inlineStr">
        <is>
          <t>ÅRE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22602-2025</t>
        </is>
      </c>
      <c r="B1019" s="1" t="n">
        <v>45786</v>
      </c>
      <c r="C1019" s="1" t="n">
        <v>45837</v>
      </c>
      <c r="D1019" t="inlineStr">
        <is>
          <t>JÄMTLANDS LÄN</t>
        </is>
      </c>
      <c r="E1019" t="inlineStr">
        <is>
          <t>ÅRE</t>
        </is>
      </c>
      <c r="G1019" t="n">
        <v>13.1</v>
      </c>
      <c r="H1019" t="n">
        <v>0</v>
      </c>
      <c r="I1019" t="n">
        <v>0</v>
      </c>
      <c r="J1019" t="n">
        <v>0</v>
      </c>
      <c r="K1019" t="n">
        <v>0</v>
      </c>
      <c r="L1019" t="n">
        <v>0</v>
      </c>
      <c r="M1019" t="n">
        <v>0</v>
      </c>
      <c r="N1019" t="n">
        <v>0</v>
      </c>
      <c r="O1019" t="n">
        <v>0</v>
      </c>
      <c r="P1019" t="n">
        <v>0</v>
      </c>
      <c r="Q1019" t="n">
        <v>0</v>
      </c>
      <c r="R1019" s="2" t="inlineStr"/>
    </row>
    <row r="1020" ht="15" customHeight="1">
      <c r="A1020" t="inlineStr">
        <is>
          <t>A 23651-2025</t>
        </is>
      </c>
      <c r="B1020" s="1" t="n">
        <v>45792</v>
      </c>
      <c r="C1020" s="1" t="n">
        <v>45837</v>
      </c>
      <c r="D1020" t="inlineStr">
        <is>
          <t>JÄMTLANDS LÄN</t>
        </is>
      </c>
      <c r="E1020" t="inlineStr">
        <is>
          <t>ÅRE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45837</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25267-2025</t>
        </is>
      </c>
      <c r="B1022" s="1" t="n">
        <v>45800</v>
      </c>
      <c r="C1022" s="1" t="n">
        <v>45837</v>
      </c>
      <c r="D1022" t="inlineStr">
        <is>
          <t>JÄMTLANDS LÄN</t>
        </is>
      </c>
      <c r="E1022" t="inlineStr">
        <is>
          <t>ÅRE</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25275-2025</t>
        </is>
      </c>
      <c r="B1023" s="1" t="n">
        <v>45800</v>
      </c>
      <c r="C1023" s="1" t="n">
        <v>45837</v>
      </c>
      <c r="D1023" t="inlineStr">
        <is>
          <t>JÄMTLANDS LÄN</t>
        </is>
      </c>
      <c r="E1023" t="inlineStr">
        <is>
          <t>ÅRE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45837</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25200-2025</t>
        </is>
      </c>
      <c r="B1025" s="1" t="n">
        <v>45800</v>
      </c>
      <c r="C1025" s="1" t="n">
        <v>45837</v>
      </c>
      <c r="D1025" t="inlineStr">
        <is>
          <t>JÄMTLANDS LÄN</t>
        </is>
      </c>
      <c r="E1025" t="inlineStr">
        <is>
          <t>ÅRE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27630-2025</t>
        </is>
      </c>
      <c r="B1026" s="1" t="n">
        <v>45813</v>
      </c>
      <c r="C1026" s="1" t="n">
        <v>45837</v>
      </c>
      <c r="D1026" t="inlineStr">
        <is>
          <t>JÄMTLANDS LÄN</t>
        </is>
      </c>
      <c r="E1026" t="inlineStr">
        <is>
          <t>ÅRE</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32097-2025</t>
        </is>
      </c>
      <c r="B1027" s="1" t="n">
        <v>45835</v>
      </c>
      <c r="C1027" s="1" t="n">
        <v>45837</v>
      </c>
      <c r="D1027" t="inlineStr">
        <is>
          <t>JÄMTLANDS LÄN</t>
        </is>
      </c>
      <c r="E1027" t="inlineStr">
        <is>
          <t>ÅRE</t>
        </is>
      </c>
      <c r="G1027" t="n">
        <v>6.2</v>
      </c>
      <c r="H1027" t="n">
        <v>0</v>
      </c>
      <c r="I1027" t="n">
        <v>0</v>
      </c>
      <c r="J1027" t="n">
        <v>0</v>
      </c>
      <c r="K1027" t="n">
        <v>0</v>
      </c>
      <c r="L1027" t="n">
        <v>0</v>
      </c>
      <c r="M1027" t="n">
        <v>0</v>
      </c>
      <c r="N1027" t="n">
        <v>0</v>
      </c>
      <c r="O1027" t="n">
        <v>0</v>
      </c>
      <c r="P1027" t="n">
        <v>0</v>
      </c>
      <c r="Q1027" t="n">
        <v>0</v>
      </c>
      <c r="R1027" s="2" t="inlineStr"/>
    </row>
    <row r="1028">
      <c r="A1028" t="inlineStr">
        <is>
          <t>A 32114-2025</t>
        </is>
      </c>
      <c r="B1028" s="1" t="n">
        <v>45835</v>
      </c>
      <c r="C1028" s="1" t="n">
        <v>45837</v>
      </c>
      <c r="D1028" t="inlineStr">
        <is>
          <t>JÄMTLANDS LÄN</t>
        </is>
      </c>
      <c r="E1028" t="inlineStr">
        <is>
          <t>ÅRE</t>
        </is>
      </c>
      <c r="G1028" t="n">
        <v>1.6</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2025-06-29T19:22:55Z</dcterms:created>
  <dcterms:modified xmlns:dcterms="http://purl.org/dc/terms/" xmlns:xsi="http://www.w3.org/2001/XMLSchema-instance" xsi:type="dcterms:W3CDTF">2025-06-29T19:22:56Z</dcterms:modified>
</cp:coreProperties>
</file>