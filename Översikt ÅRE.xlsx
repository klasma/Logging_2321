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45505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45505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45505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45505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45505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45505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45505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45505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45505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45505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45505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45505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45505</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45505</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45505</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45505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45505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45505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45505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45505</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45505</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45505</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45505</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45505</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45505</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45505</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45505</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45505</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45505</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45505</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45505</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45505</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45505</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45505</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45505</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45505</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45505</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45505</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45505</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45505</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45505</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45505</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45505</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45505</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45505</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45505</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45505</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45505</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45505</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45505</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45505</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45505</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45505</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45505</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45505</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45505</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45505</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45505</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45505</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45505</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45505</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45505</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45505</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45505</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45505</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45505</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45505</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45505</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45505</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45505</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45505</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45505</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45505</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45505</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45505</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45505</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45505</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45505</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45505</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45505</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45505</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45505</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24163-2019</t>
        </is>
      </c>
      <c r="B84" s="1" t="n">
        <v>43598</v>
      </c>
      <c r="C84" s="1" t="n">
        <v>45505</v>
      </c>
      <c r="D84" t="inlineStr">
        <is>
          <t>JÄMTLANDS LÄN</t>
        </is>
      </c>
      <c r="E84" t="inlineStr">
        <is>
          <t>ÅRE</t>
        </is>
      </c>
      <c r="G84" t="n">
        <v>16.5</v>
      </c>
      <c r="H84" t="n">
        <v>0</v>
      </c>
      <c r="I84" t="n">
        <v>0</v>
      </c>
      <c r="J84" t="n">
        <v>3</v>
      </c>
      <c r="K84" t="n">
        <v>0</v>
      </c>
      <c r="L84" t="n">
        <v>0</v>
      </c>
      <c r="M84" t="n">
        <v>0</v>
      </c>
      <c r="N84" t="n">
        <v>0</v>
      </c>
      <c r="O84" t="n">
        <v>3</v>
      </c>
      <c r="P84" t="n">
        <v>0</v>
      </c>
      <c r="Q84" t="n">
        <v>3</v>
      </c>
      <c r="R84" s="2" t="inlineStr">
        <is>
          <t>Garnlav
Lunglav
Rosenticka</t>
        </is>
      </c>
      <c r="S84">
        <f>HYPERLINK("https://klasma.github.io/Logging_2321/artfynd/A 24163-2019 artfynd.xlsx", "A 24163-2019")</f>
        <v/>
      </c>
      <c r="T84">
        <f>HYPERLINK("https://klasma.github.io/Logging_2321/kartor/A 24163-2019 karta.png", "A 24163-2019")</f>
        <v/>
      </c>
      <c r="V84">
        <f>HYPERLINK("https://klasma.github.io/Logging_2321/klagomål/A 24163-2019 FSC-klagomål.docx", "A 24163-2019")</f>
        <v/>
      </c>
      <c r="W84">
        <f>HYPERLINK("https://klasma.github.io/Logging_2321/klagomålsmail/A 24163-2019 FSC-klagomål mail.docx", "A 24163-2019")</f>
        <v/>
      </c>
      <c r="X84">
        <f>HYPERLINK("https://klasma.github.io/Logging_2321/tillsyn/A 24163-2019 tillsynsbegäran.docx", "A 24163-2019")</f>
        <v/>
      </c>
      <c r="Y84">
        <f>HYPERLINK("https://klasma.github.io/Logging_2321/tillsynsmail/A 24163-2019 tillsynsbegäran mail.docx", "A 24163-2019")</f>
        <v/>
      </c>
    </row>
    <row r="85" ht="15" customHeight="1">
      <c r="A85" t="inlineStr">
        <is>
          <t>A 29082-2020</t>
        </is>
      </c>
      <c r="B85" s="1" t="n">
        <v>44002</v>
      </c>
      <c r="C85" s="1" t="n">
        <v>45505</v>
      </c>
      <c r="D85" t="inlineStr">
        <is>
          <t>JÄMTLANDS LÄN</t>
        </is>
      </c>
      <c r="E85" t="inlineStr">
        <is>
          <t>ÅRE</t>
        </is>
      </c>
      <c r="G85" t="n">
        <v>3.1</v>
      </c>
      <c r="H85" t="n">
        <v>1</v>
      </c>
      <c r="I85" t="n">
        <v>0</v>
      </c>
      <c r="J85" t="n">
        <v>2</v>
      </c>
      <c r="K85" t="n">
        <v>0</v>
      </c>
      <c r="L85" t="n">
        <v>0</v>
      </c>
      <c r="M85" t="n">
        <v>0</v>
      </c>
      <c r="N85" t="n">
        <v>0</v>
      </c>
      <c r="O85" t="n">
        <v>2</v>
      </c>
      <c r="P85" t="n">
        <v>0</v>
      </c>
      <c r="Q85" t="n">
        <v>3</v>
      </c>
      <c r="R85" s="2" t="inlineStr">
        <is>
          <t>Garnlav
Granticka
Fläcknycklar</t>
        </is>
      </c>
      <c r="S85">
        <f>HYPERLINK("https://klasma.github.io/Logging_2321/artfynd/A 29082-2020 artfynd.xlsx", "A 29082-2020")</f>
        <v/>
      </c>
      <c r="T85">
        <f>HYPERLINK("https://klasma.github.io/Logging_2321/kartor/A 29082-2020 karta.png", "A 29082-2020")</f>
        <v/>
      </c>
      <c r="V85">
        <f>HYPERLINK("https://klasma.github.io/Logging_2321/klagomål/A 29082-2020 FSC-klagomål.docx", "A 29082-2020")</f>
        <v/>
      </c>
      <c r="W85">
        <f>HYPERLINK("https://klasma.github.io/Logging_2321/klagomålsmail/A 29082-2020 FSC-klagomål mail.docx", "A 29082-2020")</f>
        <v/>
      </c>
      <c r="X85">
        <f>HYPERLINK("https://klasma.github.io/Logging_2321/tillsyn/A 29082-2020 tillsynsbegäran.docx", "A 29082-2020")</f>
        <v/>
      </c>
      <c r="Y85">
        <f>HYPERLINK("https://klasma.github.io/Logging_2321/tillsynsmail/A 29082-2020 tillsynsbegäran mail.docx", "A 29082-2020")</f>
        <v/>
      </c>
    </row>
    <row r="86" ht="15" customHeight="1">
      <c r="A86" t="inlineStr">
        <is>
          <t>A 54743-2020</t>
        </is>
      </c>
      <c r="B86" s="1" t="n">
        <v>44127</v>
      </c>
      <c r="C86" s="1" t="n">
        <v>45505</v>
      </c>
      <c r="D86" t="inlineStr">
        <is>
          <t>JÄMTLANDS LÄN</t>
        </is>
      </c>
      <c r="E86" t="inlineStr">
        <is>
          <t>ÅRE</t>
        </is>
      </c>
      <c r="G86" t="n">
        <v>3.4</v>
      </c>
      <c r="H86" t="n">
        <v>0</v>
      </c>
      <c r="I86" t="n">
        <v>2</v>
      </c>
      <c r="J86" t="n">
        <v>1</v>
      </c>
      <c r="K86" t="n">
        <v>0</v>
      </c>
      <c r="L86" t="n">
        <v>0</v>
      </c>
      <c r="M86" t="n">
        <v>0</v>
      </c>
      <c r="N86" t="n">
        <v>0</v>
      </c>
      <c r="O86" t="n">
        <v>1</v>
      </c>
      <c r="P86" t="n">
        <v>0</v>
      </c>
      <c r="Q86" t="n">
        <v>3</v>
      </c>
      <c r="R86" s="2" t="inlineStr">
        <is>
          <t>Dofttaggsvamp
Kryddspindling
Svavelriska</t>
        </is>
      </c>
      <c r="S86">
        <f>HYPERLINK("https://klasma.github.io/Logging_2321/artfynd/A 54743-2020 artfynd.xlsx", "A 54743-2020")</f>
        <v/>
      </c>
      <c r="T86">
        <f>HYPERLINK("https://klasma.github.io/Logging_2321/kartor/A 54743-2020 karta.png", "A 54743-2020")</f>
        <v/>
      </c>
      <c r="V86">
        <f>HYPERLINK("https://klasma.github.io/Logging_2321/klagomål/A 54743-2020 FSC-klagomål.docx", "A 54743-2020")</f>
        <v/>
      </c>
      <c r="W86">
        <f>HYPERLINK("https://klasma.github.io/Logging_2321/klagomålsmail/A 54743-2020 FSC-klagomål mail.docx", "A 54743-2020")</f>
        <v/>
      </c>
      <c r="X86">
        <f>HYPERLINK("https://klasma.github.io/Logging_2321/tillsyn/A 54743-2020 tillsynsbegäran.docx", "A 54743-2020")</f>
        <v/>
      </c>
      <c r="Y86">
        <f>HYPERLINK("https://klasma.github.io/Logging_2321/tillsynsmail/A 54743-2020 tillsynsbegäran mail.docx", "A 54743-2020")</f>
        <v/>
      </c>
    </row>
    <row r="87" ht="15" customHeight="1">
      <c r="A87" t="inlineStr">
        <is>
          <t>A 54988-2020</t>
        </is>
      </c>
      <c r="B87" s="1" t="n">
        <v>44130</v>
      </c>
      <c r="C87" s="1" t="n">
        <v>45505</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61189-2020</t>
        </is>
      </c>
      <c r="B88" s="1" t="n">
        <v>44155</v>
      </c>
      <c r="C88" s="1" t="n">
        <v>45505</v>
      </c>
      <c r="D88" t="inlineStr">
        <is>
          <t>JÄMTLANDS LÄN</t>
        </is>
      </c>
      <c r="E88" t="inlineStr">
        <is>
          <t>ÅRE</t>
        </is>
      </c>
      <c r="F88" t="inlineStr">
        <is>
          <t>Övriga Aktiebolag</t>
        </is>
      </c>
      <c r="G88" t="n">
        <v>26.5</v>
      </c>
      <c r="H88" t="n">
        <v>0</v>
      </c>
      <c r="I88" t="n">
        <v>0</v>
      </c>
      <c r="J88" t="n">
        <v>3</v>
      </c>
      <c r="K88" t="n">
        <v>0</v>
      </c>
      <c r="L88" t="n">
        <v>0</v>
      </c>
      <c r="M88" t="n">
        <v>0</v>
      </c>
      <c r="N88" t="n">
        <v>0</v>
      </c>
      <c r="O88" t="n">
        <v>3</v>
      </c>
      <c r="P88" t="n">
        <v>0</v>
      </c>
      <c r="Q88" t="n">
        <v>3</v>
      </c>
      <c r="R88" s="2" t="inlineStr">
        <is>
          <t>Gammelgransskål
Garnlav
Gränsticka</t>
        </is>
      </c>
      <c r="S88">
        <f>HYPERLINK("https://klasma.github.io/Logging_2321/artfynd/A 61189-2020 artfynd.xlsx", "A 61189-2020")</f>
        <v/>
      </c>
      <c r="T88">
        <f>HYPERLINK("https://klasma.github.io/Logging_2321/kartor/A 61189-2020 karta.png", "A 61189-2020")</f>
        <v/>
      </c>
      <c r="V88">
        <f>HYPERLINK("https://klasma.github.io/Logging_2321/klagomål/A 61189-2020 FSC-klagomål.docx", "A 61189-2020")</f>
        <v/>
      </c>
      <c r="W88">
        <f>HYPERLINK("https://klasma.github.io/Logging_2321/klagomålsmail/A 61189-2020 FSC-klagomål mail.docx", "A 61189-2020")</f>
        <v/>
      </c>
      <c r="X88">
        <f>HYPERLINK("https://klasma.github.io/Logging_2321/tillsyn/A 61189-2020 tillsynsbegäran.docx", "A 61189-2020")</f>
        <v/>
      </c>
      <c r="Y88">
        <f>HYPERLINK("https://klasma.github.io/Logging_2321/tillsynsmail/A 61189-2020 tillsynsbegäran mail.docx", "A 61189-2020")</f>
        <v/>
      </c>
    </row>
    <row r="89" ht="15" customHeight="1">
      <c r="A89" t="inlineStr">
        <is>
          <t>A 61510-2020</t>
        </is>
      </c>
      <c r="B89" s="1" t="n">
        <v>44158</v>
      </c>
      <c r="C89" s="1" t="n">
        <v>45505</v>
      </c>
      <c r="D89" t="inlineStr">
        <is>
          <t>JÄMTLANDS LÄN</t>
        </is>
      </c>
      <c r="E89" t="inlineStr">
        <is>
          <t>ÅRE</t>
        </is>
      </c>
      <c r="F89" t="inlineStr">
        <is>
          <t>Övriga Aktiebolag</t>
        </is>
      </c>
      <c r="G89" t="n">
        <v>5.9</v>
      </c>
      <c r="H89" t="n">
        <v>2</v>
      </c>
      <c r="I89" t="n">
        <v>0</v>
      </c>
      <c r="J89" t="n">
        <v>2</v>
      </c>
      <c r="K89" t="n">
        <v>0</v>
      </c>
      <c r="L89" t="n">
        <v>0</v>
      </c>
      <c r="M89" t="n">
        <v>0</v>
      </c>
      <c r="N89" t="n">
        <v>0</v>
      </c>
      <c r="O89" t="n">
        <v>2</v>
      </c>
      <c r="P89" t="n">
        <v>0</v>
      </c>
      <c r="Q89" t="n">
        <v>3</v>
      </c>
      <c r="R89" s="2" t="inlineStr">
        <is>
          <t>Garnlav
Tretåig hackspett
Enkelbeckasin</t>
        </is>
      </c>
      <c r="S89">
        <f>HYPERLINK("https://klasma.github.io/Logging_2321/artfynd/A 61510-2020 artfynd.xlsx", "A 61510-2020")</f>
        <v/>
      </c>
      <c r="T89">
        <f>HYPERLINK("https://klasma.github.io/Logging_2321/kartor/A 61510-2020 karta.png", "A 61510-2020")</f>
        <v/>
      </c>
      <c r="V89">
        <f>HYPERLINK("https://klasma.github.io/Logging_2321/klagomål/A 61510-2020 FSC-klagomål.docx", "A 61510-2020")</f>
        <v/>
      </c>
      <c r="W89">
        <f>HYPERLINK("https://klasma.github.io/Logging_2321/klagomålsmail/A 61510-2020 FSC-klagomål mail.docx", "A 61510-2020")</f>
        <v/>
      </c>
      <c r="X89">
        <f>HYPERLINK("https://klasma.github.io/Logging_2321/tillsyn/A 61510-2020 tillsynsbegäran.docx", "A 61510-2020")</f>
        <v/>
      </c>
      <c r="Y89">
        <f>HYPERLINK("https://klasma.github.io/Logging_2321/tillsynsmail/A 61510-2020 tillsynsbegäran mail.docx", "A 61510-2020")</f>
        <v/>
      </c>
      <c r="Z89">
        <f>HYPERLINK("https://klasma.github.io/Logging_2321/fåglar/A 61510-2020 prioriterade fågelarter.docx", "A 61510-2020")</f>
        <v/>
      </c>
    </row>
    <row r="90" ht="15" customHeight="1">
      <c r="A90" t="inlineStr">
        <is>
          <t>A 10773-2021</t>
        </is>
      </c>
      <c r="B90" s="1" t="n">
        <v>44259</v>
      </c>
      <c r="C90" s="1" t="n">
        <v>45505</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14198-2021</t>
        </is>
      </c>
      <c r="B91" s="1" t="n">
        <v>44278</v>
      </c>
      <c r="C91" s="1" t="n">
        <v>45505</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23572-2021</t>
        </is>
      </c>
      <c r="B92" s="1" t="n">
        <v>44334</v>
      </c>
      <c r="C92" s="1" t="n">
        <v>45505</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72934-2021</t>
        </is>
      </c>
      <c r="B93" s="1" t="n">
        <v>44547</v>
      </c>
      <c r="C93" s="1" t="n">
        <v>45505</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12269-2022</t>
        </is>
      </c>
      <c r="B94" s="1" t="n">
        <v>44637</v>
      </c>
      <c r="C94" s="1" t="n">
        <v>45505</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21006-2022</t>
        </is>
      </c>
      <c r="B95" s="1" t="n">
        <v>44701</v>
      </c>
      <c r="C95" s="1" t="n">
        <v>45505</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58082-2022</t>
        </is>
      </c>
      <c r="B96" s="1" t="n">
        <v>44900</v>
      </c>
      <c r="C96" s="1" t="n">
        <v>45505</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59237-2022</t>
        </is>
      </c>
      <c r="B97" s="1" t="n">
        <v>44904</v>
      </c>
      <c r="C97" s="1" t="n">
        <v>45505</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8438-2023</t>
        </is>
      </c>
      <c r="B98" s="1" t="n">
        <v>44977</v>
      </c>
      <c r="C98" s="1" t="n">
        <v>45505</v>
      </c>
      <c r="D98" t="inlineStr">
        <is>
          <t>JÄMTLANDS LÄN</t>
        </is>
      </c>
      <c r="E98" t="inlineStr">
        <is>
          <t>ÅRE</t>
        </is>
      </c>
      <c r="F98" t="inlineStr">
        <is>
          <t>Övriga Aktiebolag</t>
        </is>
      </c>
      <c r="G98" t="n">
        <v>0.6</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8438-2023 artfynd.xlsx", "A 8438-2023")</f>
        <v/>
      </c>
      <c r="T98">
        <f>HYPERLINK("https://klasma.github.io/Logging_2321/kartor/A 8438-2023 karta.png", "A 8438-2023")</f>
        <v/>
      </c>
      <c r="V98">
        <f>HYPERLINK("https://klasma.github.io/Logging_2321/klagomål/A 8438-2023 FSC-klagomål.docx", "A 8438-2023")</f>
        <v/>
      </c>
      <c r="W98">
        <f>HYPERLINK("https://klasma.github.io/Logging_2321/klagomålsmail/A 8438-2023 FSC-klagomål mail.docx", "A 8438-2023")</f>
        <v/>
      </c>
      <c r="X98">
        <f>HYPERLINK("https://klasma.github.io/Logging_2321/tillsyn/A 8438-2023 tillsynsbegäran.docx", "A 8438-2023")</f>
        <v/>
      </c>
      <c r="Y98">
        <f>HYPERLINK("https://klasma.github.io/Logging_2321/tillsynsmail/A 8438-2023 tillsynsbegäran mail.docx", "A 8438-2023")</f>
        <v/>
      </c>
      <c r="Z98">
        <f>HYPERLINK("https://klasma.github.io/Logging_2321/fåglar/A 8438-2023 prioriterade fågelarter.docx", "A 8438-2023")</f>
        <v/>
      </c>
    </row>
    <row r="99" ht="15" customHeight="1">
      <c r="A99" t="inlineStr">
        <is>
          <t>A 8470-2023</t>
        </is>
      </c>
      <c r="B99" s="1" t="n">
        <v>44977</v>
      </c>
      <c r="C99" s="1" t="n">
        <v>45505</v>
      </c>
      <c r="D99" t="inlineStr">
        <is>
          <t>JÄMTLANDS LÄN</t>
        </is>
      </c>
      <c r="E99" t="inlineStr">
        <is>
          <t>ÅRE</t>
        </is>
      </c>
      <c r="F99" t="inlineStr">
        <is>
          <t>Övriga Aktiebolag</t>
        </is>
      </c>
      <c r="G99" t="n">
        <v>8.699999999999999</v>
      </c>
      <c r="H99" t="n">
        <v>1</v>
      </c>
      <c r="I99" t="n">
        <v>1</v>
      </c>
      <c r="J99" t="n">
        <v>2</v>
      </c>
      <c r="K99" t="n">
        <v>0</v>
      </c>
      <c r="L99" t="n">
        <v>0</v>
      </c>
      <c r="M99" t="n">
        <v>0</v>
      </c>
      <c r="N99" t="n">
        <v>0</v>
      </c>
      <c r="O99" t="n">
        <v>2</v>
      </c>
      <c r="P99" t="n">
        <v>0</v>
      </c>
      <c r="Q99" t="n">
        <v>3</v>
      </c>
      <c r="R99" s="2" t="inlineStr">
        <is>
          <t>Granticka
Tretåig hackspett
Skinnlav</t>
        </is>
      </c>
      <c r="S99">
        <f>HYPERLINK("https://klasma.github.io/Logging_2321/artfynd/A 8470-2023 artfynd.xlsx", "A 8470-2023")</f>
        <v/>
      </c>
      <c r="T99">
        <f>HYPERLINK("https://klasma.github.io/Logging_2321/kartor/A 8470-2023 karta.png", "A 8470-2023")</f>
        <v/>
      </c>
      <c r="V99">
        <f>HYPERLINK("https://klasma.github.io/Logging_2321/klagomål/A 8470-2023 FSC-klagomål.docx", "A 8470-2023")</f>
        <v/>
      </c>
      <c r="W99">
        <f>HYPERLINK("https://klasma.github.io/Logging_2321/klagomålsmail/A 8470-2023 FSC-klagomål mail.docx", "A 8470-2023")</f>
        <v/>
      </c>
      <c r="X99">
        <f>HYPERLINK("https://klasma.github.io/Logging_2321/tillsyn/A 8470-2023 tillsynsbegäran.docx", "A 8470-2023")</f>
        <v/>
      </c>
      <c r="Y99">
        <f>HYPERLINK("https://klasma.github.io/Logging_2321/tillsynsmail/A 8470-2023 tillsynsbegäran mail.docx", "A 8470-2023")</f>
        <v/>
      </c>
      <c r="Z99">
        <f>HYPERLINK("https://klasma.github.io/Logging_2321/fåglar/A 8470-2023 prioriterade fågelarter.docx", "A 8470-2023")</f>
        <v/>
      </c>
    </row>
    <row r="100" ht="15" customHeight="1">
      <c r="A100" t="inlineStr">
        <is>
          <t>A 10627-2023</t>
        </is>
      </c>
      <c r="B100" s="1" t="n">
        <v>44984</v>
      </c>
      <c r="C100" s="1" t="n">
        <v>45505</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20124-2023</t>
        </is>
      </c>
      <c r="B101" s="1" t="n">
        <v>45055</v>
      </c>
      <c r="C101" s="1" t="n">
        <v>45505</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23638-2023</t>
        </is>
      </c>
      <c r="B102" s="1" t="n">
        <v>45072</v>
      </c>
      <c r="C102" s="1" t="n">
        <v>45505</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23729-2023</t>
        </is>
      </c>
      <c r="B103" s="1" t="n">
        <v>45072</v>
      </c>
      <c r="C103" s="1" t="n">
        <v>45505</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24549-2023</t>
        </is>
      </c>
      <c r="B104" s="1" t="n">
        <v>45082</v>
      </c>
      <c r="C104" s="1" t="n">
        <v>45505</v>
      </c>
      <c r="D104" t="inlineStr">
        <is>
          <t>JÄMTLANDS LÄN</t>
        </is>
      </c>
      <c r="E104" t="inlineStr">
        <is>
          <t>ÅRE</t>
        </is>
      </c>
      <c r="G104" t="n">
        <v>6.4</v>
      </c>
      <c r="H104" t="n">
        <v>2</v>
      </c>
      <c r="I104" t="n">
        <v>2</v>
      </c>
      <c r="J104" t="n">
        <v>0</v>
      </c>
      <c r="K104" t="n">
        <v>0</v>
      </c>
      <c r="L104" t="n">
        <v>0</v>
      </c>
      <c r="M104" t="n">
        <v>0</v>
      </c>
      <c r="N104" t="n">
        <v>0</v>
      </c>
      <c r="O104" t="n">
        <v>0</v>
      </c>
      <c r="P104" t="n">
        <v>0</v>
      </c>
      <c r="Q104" t="n">
        <v>3</v>
      </c>
      <c r="R104" s="2" t="inlineStr">
        <is>
          <t>Spindelblomster
Ögonpyrola
Revlummer</t>
        </is>
      </c>
      <c r="S104">
        <f>HYPERLINK("https://klasma.github.io/Logging_2321/artfynd/A 24549-2023 artfynd.xlsx", "A 24549-2023")</f>
        <v/>
      </c>
      <c r="T104">
        <f>HYPERLINK("https://klasma.github.io/Logging_2321/kartor/A 24549-2023 karta.png", "A 24549-2023")</f>
        <v/>
      </c>
      <c r="V104">
        <f>HYPERLINK("https://klasma.github.io/Logging_2321/klagomål/A 24549-2023 FSC-klagomål.docx", "A 24549-2023")</f>
        <v/>
      </c>
      <c r="W104">
        <f>HYPERLINK("https://klasma.github.io/Logging_2321/klagomålsmail/A 24549-2023 FSC-klagomål mail.docx", "A 24549-2023")</f>
        <v/>
      </c>
      <c r="X104">
        <f>HYPERLINK("https://klasma.github.io/Logging_2321/tillsyn/A 24549-2023 tillsynsbegäran.docx", "A 24549-2023")</f>
        <v/>
      </c>
      <c r="Y104">
        <f>HYPERLINK("https://klasma.github.io/Logging_2321/tillsynsmail/A 24549-2023 tillsynsbegäran mail.docx", "A 24549-2023")</f>
        <v/>
      </c>
    </row>
    <row r="105" ht="15" customHeight="1">
      <c r="A105" t="inlineStr">
        <is>
          <t>A 36260-2023</t>
        </is>
      </c>
      <c r="B105" s="1" t="n">
        <v>45151</v>
      </c>
      <c r="C105" s="1" t="n">
        <v>45505</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40245-2023</t>
        </is>
      </c>
      <c r="B106" s="1" t="n">
        <v>45167</v>
      </c>
      <c r="C106" s="1" t="n">
        <v>45505</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58387-2023</t>
        </is>
      </c>
      <c r="B107" s="1" t="n">
        <v>45250</v>
      </c>
      <c r="C107" s="1" t="n">
        <v>45505</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8121-2024</t>
        </is>
      </c>
      <c r="B108" s="1" t="n">
        <v>45351</v>
      </c>
      <c r="C108" s="1" t="n">
        <v>45505</v>
      </c>
      <c r="D108" t="inlineStr">
        <is>
          <t>JÄMTLANDS LÄN</t>
        </is>
      </c>
      <c r="E108" t="inlineStr">
        <is>
          <t>ÅRE</t>
        </is>
      </c>
      <c r="F108" t="inlineStr">
        <is>
          <t>Övriga Aktiebolag</t>
        </is>
      </c>
      <c r="G108" t="n">
        <v>14.7</v>
      </c>
      <c r="H108" t="n">
        <v>0</v>
      </c>
      <c r="I108" t="n">
        <v>0</v>
      </c>
      <c r="J108" t="n">
        <v>3</v>
      </c>
      <c r="K108" t="n">
        <v>0</v>
      </c>
      <c r="L108" t="n">
        <v>0</v>
      </c>
      <c r="M108" t="n">
        <v>0</v>
      </c>
      <c r="N108" t="n">
        <v>0</v>
      </c>
      <c r="O108" t="n">
        <v>3</v>
      </c>
      <c r="P108" t="n">
        <v>0</v>
      </c>
      <c r="Q108" t="n">
        <v>3</v>
      </c>
      <c r="R108" s="2" t="inlineStr">
        <is>
          <t>Dvärgbägarlav
Nordtagging
Skrovellav</t>
        </is>
      </c>
      <c r="S108">
        <f>HYPERLINK("https://klasma.github.io/Logging_2321/artfynd/A 8121-2024 artfynd.xlsx", "A 8121-2024")</f>
        <v/>
      </c>
      <c r="T108">
        <f>HYPERLINK("https://klasma.github.io/Logging_2321/kartor/A 8121-2024 karta.png", "A 8121-2024")</f>
        <v/>
      </c>
      <c r="V108">
        <f>HYPERLINK("https://klasma.github.io/Logging_2321/klagomål/A 8121-2024 FSC-klagomål.docx", "A 8121-2024")</f>
        <v/>
      </c>
      <c r="W108">
        <f>HYPERLINK("https://klasma.github.io/Logging_2321/klagomålsmail/A 8121-2024 FSC-klagomål mail.docx", "A 8121-2024")</f>
        <v/>
      </c>
      <c r="X108">
        <f>HYPERLINK("https://klasma.github.io/Logging_2321/tillsyn/A 8121-2024 tillsynsbegäran.docx", "A 8121-2024")</f>
        <v/>
      </c>
      <c r="Y108">
        <f>HYPERLINK("https://klasma.github.io/Logging_2321/tillsynsmail/A 8121-2024 tillsynsbegäran mail.docx", "A 8121-2024")</f>
        <v/>
      </c>
    </row>
    <row r="109" ht="15" customHeight="1">
      <c r="A109" t="inlineStr">
        <is>
          <t>A 10501-2024</t>
        </is>
      </c>
      <c r="B109" s="1" t="n">
        <v>45366</v>
      </c>
      <c r="C109" s="1" t="n">
        <v>45505</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17637-2024</t>
        </is>
      </c>
      <c r="B110" s="1" t="n">
        <v>45418</v>
      </c>
      <c r="C110" s="1" t="n">
        <v>45505</v>
      </c>
      <c r="D110" t="inlineStr">
        <is>
          <t>JÄMTLANDS LÄN</t>
        </is>
      </c>
      <c r="E110" t="inlineStr">
        <is>
          <t>ÅRE</t>
        </is>
      </c>
      <c r="F110" t="inlineStr">
        <is>
          <t>Övriga Aktiebolag</t>
        </is>
      </c>
      <c r="G110" t="n">
        <v>16.1</v>
      </c>
      <c r="H110" t="n">
        <v>1</v>
      </c>
      <c r="I110" t="n">
        <v>0</v>
      </c>
      <c r="J110" t="n">
        <v>2</v>
      </c>
      <c r="K110" t="n">
        <v>0</v>
      </c>
      <c r="L110" t="n">
        <v>0</v>
      </c>
      <c r="M110" t="n">
        <v>0</v>
      </c>
      <c r="N110" t="n">
        <v>0</v>
      </c>
      <c r="O110" t="n">
        <v>2</v>
      </c>
      <c r="P110" t="n">
        <v>0</v>
      </c>
      <c r="Q110" t="n">
        <v>3</v>
      </c>
      <c r="R110" s="2" t="inlineStr">
        <is>
          <t>Doftskinn
Garnlav
Fläcknycklar</t>
        </is>
      </c>
      <c r="S110">
        <f>HYPERLINK("https://klasma.github.io/Logging_2321/artfynd/A 17637-2024 artfynd.xlsx", "A 17637-2024")</f>
        <v/>
      </c>
      <c r="T110">
        <f>HYPERLINK("https://klasma.github.io/Logging_2321/kartor/A 17637-2024 karta.png", "A 17637-2024")</f>
        <v/>
      </c>
      <c r="V110">
        <f>HYPERLINK("https://klasma.github.io/Logging_2321/klagomål/A 17637-2024 FSC-klagomål.docx", "A 17637-2024")</f>
        <v/>
      </c>
      <c r="W110">
        <f>HYPERLINK("https://klasma.github.io/Logging_2321/klagomålsmail/A 17637-2024 FSC-klagomål mail.docx", "A 17637-2024")</f>
        <v/>
      </c>
      <c r="X110">
        <f>HYPERLINK("https://klasma.github.io/Logging_2321/tillsyn/A 17637-2024 tillsynsbegäran.docx", "A 17637-2024")</f>
        <v/>
      </c>
      <c r="Y110">
        <f>HYPERLINK("https://klasma.github.io/Logging_2321/tillsynsmail/A 17637-2024 tillsynsbegäran mail.docx", "A 17637-2024")</f>
        <v/>
      </c>
    </row>
    <row r="111" ht="15" customHeight="1">
      <c r="A111" t="inlineStr">
        <is>
          <t>A 18716-2024</t>
        </is>
      </c>
      <c r="B111" s="1" t="n">
        <v>45426</v>
      </c>
      <c r="C111" s="1" t="n">
        <v>45505</v>
      </c>
      <c r="D111" t="inlineStr">
        <is>
          <t>JÄMTLANDS LÄN</t>
        </is>
      </c>
      <c r="E111" t="inlineStr">
        <is>
          <t>ÅRE</t>
        </is>
      </c>
      <c r="F111" t="inlineStr">
        <is>
          <t>Övriga Aktiebolag</t>
        </is>
      </c>
      <c r="G111" t="n">
        <v>1.3</v>
      </c>
      <c r="H111" t="n">
        <v>1</v>
      </c>
      <c r="I111" t="n">
        <v>0</v>
      </c>
      <c r="J111" t="n">
        <v>3</v>
      </c>
      <c r="K111" t="n">
        <v>0</v>
      </c>
      <c r="L111" t="n">
        <v>0</v>
      </c>
      <c r="M111" t="n">
        <v>0</v>
      </c>
      <c r="N111" t="n">
        <v>0</v>
      </c>
      <c r="O111" t="n">
        <v>3</v>
      </c>
      <c r="P111" t="n">
        <v>0</v>
      </c>
      <c r="Q111" t="n">
        <v>3</v>
      </c>
      <c r="R111" s="2" t="inlineStr">
        <is>
          <t>Doftskinn
Granticka
Tretåig hackspett</t>
        </is>
      </c>
      <c r="S111">
        <f>HYPERLINK("https://klasma.github.io/Logging_2321/artfynd/A 18716-2024 artfynd.xlsx", "A 18716-2024")</f>
        <v/>
      </c>
      <c r="T111">
        <f>HYPERLINK("https://klasma.github.io/Logging_2321/kartor/A 18716-2024 karta.png", "A 18716-2024")</f>
        <v/>
      </c>
      <c r="V111">
        <f>HYPERLINK("https://klasma.github.io/Logging_2321/klagomål/A 18716-2024 FSC-klagomål.docx", "A 18716-2024")</f>
        <v/>
      </c>
      <c r="W111">
        <f>HYPERLINK("https://klasma.github.io/Logging_2321/klagomålsmail/A 18716-2024 FSC-klagomål mail.docx", "A 18716-2024")</f>
        <v/>
      </c>
      <c r="X111">
        <f>HYPERLINK("https://klasma.github.io/Logging_2321/tillsyn/A 18716-2024 tillsynsbegäran.docx", "A 18716-2024")</f>
        <v/>
      </c>
      <c r="Y111">
        <f>HYPERLINK("https://klasma.github.io/Logging_2321/tillsynsmail/A 18716-2024 tillsynsbegäran mail.docx", "A 18716-2024")</f>
        <v/>
      </c>
      <c r="Z111">
        <f>HYPERLINK("https://klasma.github.io/Logging_2321/fåglar/A 18716-2024 prioriterade fågelarter.docx", "A 18716-2024")</f>
        <v/>
      </c>
    </row>
    <row r="112" ht="15" customHeight="1">
      <c r="A112" t="inlineStr">
        <is>
          <t>A 35409-2019</t>
        </is>
      </c>
      <c r="B112" s="1" t="n">
        <v>43661</v>
      </c>
      <c r="C112" s="1" t="n">
        <v>45505</v>
      </c>
      <c r="D112" t="inlineStr">
        <is>
          <t>JÄMTLANDS LÄN</t>
        </is>
      </c>
      <c r="E112" t="inlineStr">
        <is>
          <t>ÅRE</t>
        </is>
      </c>
      <c r="G112" t="n">
        <v>2.5</v>
      </c>
      <c r="H112" t="n">
        <v>0</v>
      </c>
      <c r="I112" t="n">
        <v>1</v>
      </c>
      <c r="J112" t="n">
        <v>1</v>
      </c>
      <c r="K112" t="n">
        <v>0</v>
      </c>
      <c r="L112" t="n">
        <v>0</v>
      </c>
      <c r="M112" t="n">
        <v>0</v>
      </c>
      <c r="N112" t="n">
        <v>0</v>
      </c>
      <c r="O112" t="n">
        <v>1</v>
      </c>
      <c r="P112" t="n">
        <v>0</v>
      </c>
      <c r="Q112" t="n">
        <v>2</v>
      </c>
      <c r="R112" s="2" t="inlineStr">
        <is>
          <t>Garnlav
Trådticka</t>
        </is>
      </c>
      <c r="S112">
        <f>HYPERLINK("https://klasma.github.io/Logging_2321/artfynd/A 35409-2019 artfynd.xlsx", "A 35409-2019")</f>
        <v/>
      </c>
      <c r="T112">
        <f>HYPERLINK("https://klasma.github.io/Logging_2321/kartor/A 35409-2019 karta.png", "A 35409-2019")</f>
        <v/>
      </c>
      <c r="V112">
        <f>HYPERLINK("https://klasma.github.io/Logging_2321/klagomål/A 35409-2019 FSC-klagomål.docx", "A 35409-2019")</f>
        <v/>
      </c>
      <c r="W112">
        <f>HYPERLINK("https://klasma.github.io/Logging_2321/klagomålsmail/A 35409-2019 FSC-klagomål mail.docx", "A 35409-2019")</f>
        <v/>
      </c>
      <c r="X112">
        <f>HYPERLINK("https://klasma.github.io/Logging_2321/tillsyn/A 35409-2019 tillsynsbegäran.docx", "A 35409-2019")</f>
        <v/>
      </c>
      <c r="Y112">
        <f>HYPERLINK("https://klasma.github.io/Logging_2321/tillsynsmail/A 35409-2019 tillsynsbegäran mail.docx", "A 35409-2019")</f>
        <v/>
      </c>
    </row>
    <row r="113" ht="15" customHeight="1">
      <c r="A113" t="inlineStr">
        <is>
          <t>A 46012-2019</t>
        </is>
      </c>
      <c r="B113" s="1" t="n">
        <v>43718</v>
      </c>
      <c r="C113" s="1" t="n">
        <v>45505</v>
      </c>
      <c r="D113" t="inlineStr">
        <is>
          <t>JÄMTLANDS LÄN</t>
        </is>
      </c>
      <c r="E113" t="inlineStr">
        <is>
          <t>ÅRE</t>
        </is>
      </c>
      <c r="F113" t="inlineStr">
        <is>
          <t>Kommuner</t>
        </is>
      </c>
      <c r="G113" t="n">
        <v>13.4</v>
      </c>
      <c r="H113" t="n">
        <v>1</v>
      </c>
      <c r="I113" t="n">
        <v>0</v>
      </c>
      <c r="J113" t="n">
        <v>1</v>
      </c>
      <c r="K113" t="n">
        <v>1</v>
      </c>
      <c r="L113" t="n">
        <v>0</v>
      </c>
      <c r="M113" t="n">
        <v>0</v>
      </c>
      <c r="N113" t="n">
        <v>0</v>
      </c>
      <c r="O113" t="n">
        <v>2</v>
      </c>
      <c r="P113" t="n">
        <v>1</v>
      </c>
      <c r="Q113" t="n">
        <v>2</v>
      </c>
      <c r="R113" s="2" t="inlineStr">
        <is>
          <t>Knärot
Ullticka</t>
        </is>
      </c>
      <c r="S113">
        <f>HYPERLINK("https://klasma.github.io/Logging_2321/artfynd/A 46012-2019 artfynd.xlsx", "A 46012-2019")</f>
        <v/>
      </c>
      <c r="T113">
        <f>HYPERLINK("https://klasma.github.io/Logging_2321/kartor/A 46012-2019 karta.png", "A 46012-2019")</f>
        <v/>
      </c>
      <c r="U113">
        <f>HYPERLINK("https://klasma.github.io/Logging_2321/knärot/A 46012-2019 karta knärot.png", "A 46012-2019")</f>
        <v/>
      </c>
      <c r="V113">
        <f>HYPERLINK("https://klasma.github.io/Logging_2321/klagomål/A 46012-2019 FSC-klagomål.docx", "A 46012-2019")</f>
        <v/>
      </c>
      <c r="W113">
        <f>HYPERLINK("https://klasma.github.io/Logging_2321/klagomålsmail/A 46012-2019 FSC-klagomål mail.docx", "A 46012-2019")</f>
        <v/>
      </c>
      <c r="X113">
        <f>HYPERLINK("https://klasma.github.io/Logging_2321/tillsyn/A 46012-2019 tillsynsbegäran.docx", "A 46012-2019")</f>
        <v/>
      </c>
      <c r="Y113">
        <f>HYPERLINK("https://klasma.github.io/Logging_2321/tillsynsmail/A 46012-2019 tillsynsbegäran mail.docx", "A 46012-2019")</f>
        <v/>
      </c>
    </row>
    <row r="114" ht="15" customHeight="1">
      <c r="A114" t="inlineStr">
        <is>
          <t>A 32661-2020</t>
        </is>
      </c>
      <c r="B114" s="1" t="n">
        <v>44018</v>
      </c>
      <c r="C114" s="1" t="n">
        <v>45505</v>
      </c>
      <c r="D114" t="inlineStr">
        <is>
          <t>JÄMTLANDS LÄN</t>
        </is>
      </c>
      <c r="E114" t="inlineStr">
        <is>
          <t>ÅRE</t>
        </is>
      </c>
      <c r="G114" t="n">
        <v>1.8</v>
      </c>
      <c r="H114" t="n">
        <v>0</v>
      </c>
      <c r="I114" t="n">
        <v>1</v>
      </c>
      <c r="J114" t="n">
        <v>1</v>
      </c>
      <c r="K114" t="n">
        <v>0</v>
      </c>
      <c r="L114" t="n">
        <v>0</v>
      </c>
      <c r="M114" t="n">
        <v>0</v>
      </c>
      <c r="N114" t="n">
        <v>0</v>
      </c>
      <c r="O114" t="n">
        <v>1</v>
      </c>
      <c r="P114" t="n">
        <v>0</v>
      </c>
      <c r="Q114" t="n">
        <v>2</v>
      </c>
      <c r="R114" s="2" t="inlineStr">
        <is>
          <t>Garnlav
Luddlav</t>
        </is>
      </c>
      <c r="S114">
        <f>HYPERLINK("https://klasma.github.io/Logging_2321/artfynd/A 32661-2020 artfynd.xlsx", "A 32661-2020")</f>
        <v/>
      </c>
      <c r="T114">
        <f>HYPERLINK("https://klasma.github.io/Logging_2321/kartor/A 32661-2020 karta.png", "A 32661-2020")</f>
        <v/>
      </c>
      <c r="V114">
        <f>HYPERLINK("https://klasma.github.io/Logging_2321/klagomål/A 32661-2020 FSC-klagomål.docx", "A 32661-2020")</f>
        <v/>
      </c>
      <c r="W114">
        <f>HYPERLINK("https://klasma.github.io/Logging_2321/klagomålsmail/A 32661-2020 FSC-klagomål mail.docx", "A 32661-2020")</f>
        <v/>
      </c>
      <c r="X114">
        <f>HYPERLINK("https://klasma.github.io/Logging_2321/tillsyn/A 32661-2020 tillsynsbegäran.docx", "A 32661-2020")</f>
        <v/>
      </c>
      <c r="Y114">
        <f>HYPERLINK("https://klasma.github.io/Logging_2321/tillsynsmail/A 32661-2020 tillsynsbegäran mail.docx", "A 32661-2020")</f>
        <v/>
      </c>
    </row>
    <row r="115" ht="15" customHeight="1">
      <c r="A115" t="inlineStr">
        <is>
          <t>A 35623-2020</t>
        </is>
      </c>
      <c r="B115" s="1" t="n">
        <v>44046</v>
      </c>
      <c r="C115" s="1" t="n">
        <v>45505</v>
      </c>
      <c r="D115" t="inlineStr">
        <is>
          <t>JÄMTLANDS LÄN</t>
        </is>
      </c>
      <c r="E115" t="inlineStr">
        <is>
          <t>ÅRE</t>
        </is>
      </c>
      <c r="G115" t="n">
        <v>15.8</v>
      </c>
      <c r="H115" t="n">
        <v>0</v>
      </c>
      <c r="I115" t="n">
        <v>0</v>
      </c>
      <c r="J115" t="n">
        <v>1</v>
      </c>
      <c r="K115" t="n">
        <v>1</v>
      </c>
      <c r="L115" t="n">
        <v>0</v>
      </c>
      <c r="M115" t="n">
        <v>0</v>
      </c>
      <c r="N115" t="n">
        <v>0</v>
      </c>
      <c r="O115" t="n">
        <v>2</v>
      </c>
      <c r="P115" t="n">
        <v>1</v>
      </c>
      <c r="Q115" t="n">
        <v>2</v>
      </c>
      <c r="R115" s="2" t="inlineStr">
        <is>
          <t>Norsk näverlav
Gammelgransskål</t>
        </is>
      </c>
      <c r="S115">
        <f>HYPERLINK("https://klasma.github.io/Logging_2321/artfynd/A 35623-2020 artfynd.xlsx", "A 35623-2020")</f>
        <v/>
      </c>
      <c r="T115">
        <f>HYPERLINK("https://klasma.github.io/Logging_2321/kartor/A 35623-2020 karta.png", "A 35623-2020")</f>
        <v/>
      </c>
      <c r="V115">
        <f>HYPERLINK("https://klasma.github.io/Logging_2321/klagomål/A 35623-2020 FSC-klagomål.docx", "A 35623-2020")</f>
        <v/>
      </c>
      <c r="W115">
        <f>HYPERLINK("https://klasma.github.io/Logging_2321/klagomålsmail/A 35623-2020 FSC-klagomål mail.docx", "A 35623-2020")</f>
        <v/>
      </c>
      <c r="X115">
        <f>HYPERLINK("https://klasma.github.io/Logging_2321/tillsyn/A 35623-2020 tillsynsbegäran.docx", "A 35623-2020")</f>
        <v/>
      </c>
      <c r="Y115">
        <f>HYPERLINK("https://klasma.github.io/Logging_2321/tillsynsmail/A 35623-2020 tillsynsbegäran mail.docx", "A 35623-2020")</f>
        <v/>
      </c>
    </row>
    <row r="116" ht="15" customHeight="1">
      <c r="A116" t="inlineStr">
        <is>
          <t>A 52778-2020</t>
        </is>
      </c>
      <c r="B116" s="1" t="n">
        <v>44119</v>
      </c>
      <c r="C116" s="1" t="n">
        <v>45505</v>
      </c>
      <c r="D116" t="inlineStr">
        <is>
          <t>JÄMTLANDS LÄN</t>
        </is>
      </c>
      <c r="E116" t="inlineStr">
        <is>
          <t>ÅRE</t>
        </is>
      </c>
      <c r="G116" t="n">
        <v>16.5</v>
      </c>
      <c r="H116" t="n">
        <v>0</v>
      </c>
      <c r="I116" t="n">
        <v>0</v>
      </c>
      <c r="J116" t="n">
        <v>2</v>
      </c>
      <c r="K116" t="n">
        <v>0</v>
      </c>
      <c r="L116" t="n">
        <v>0</v>
      </c>
      <c r="M116" t="n">
        <v>0</v>
      </c>
      <c r="N116" t="n">
        <v>0</v>
      </c>
      <c r="O116" t="n">
        <v>2</v>
      </c>
      <c r="P116" t="n">
        <v>0</v>
      </c>
      <c r="Q116" t="n">
        <v>2</v>
      </c>
      <c r="R116" s="2" t="inlineStr">
        <is>
          <t>Garnlav
Granticka</t>
        </is>
      </c>
      <c r="S116">
        <f>HYPERLINK("https://klasma.github.io/Logging_2321/artfynd/A 52778-2020 artfynd.xlsx", "A 52778-2020")</f>
        <v/>
      </c>
      <c r="T116">
        <f>HYPERLINK("https://klasma.github.io/Logging_2321/kartor/A 52778-2020 karta.png", "A 52778-2020")</f>
        <v/>
      </c>
      <c r="V116">
        <f>HYPERLINK("https://klasma.github.io/Logging_2321/klagomål/A 52778-2020 FSC-klagomål.docx", "A 52778-2020")</f>
        <v/>
      </c>
      <c r="W116">
        <f>HYPERLINK("https://klasma.github.io/Logging_2321/klagomålsmail/A 52778-2020 FSC-klagomål mail.docx", "A 52778-2020")</f>
        <v/>
      </c>
      <c r="X116">
        <f>HYPERLINK("https://klasma.github.io/Logging_2321/tillsyn/A 52778-2020 tillsynsbegäran.docx", "A 52778-2020")</f>
        <v/>
      </c>
      <c r="Y116">
        <f>HYPERLINK("https://klasma.github.io/Logging_2321/tillsynsmail/A 52778-2020 tillsynsbegäran mail.docx", "A 52778-2020")</f>
        <v/>
      </c>
    </row>
    <row r="117" ht="15" customHeight="1">
      <c r="A117" t="inlineStr">
        <is>
          <t>A 5388-2021</t>
        </is>
      </c>
      <c r="B117" s="1" t="n">
        <v>44229</v>
      </c>
      <c r="C117" s="1" t="n">
        <v>45505</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18792-2021</t>
        </is>
      </c>
      <c r="B118" s="1" t="n">
        <v>44307</v>
      </c>
      <c r="C118" s="1" t="n">
        <v>45505</v>
      </c>
      <c r="D118" t="inlineStr">
        <is>
          <t>JÄMTLANDS LÄN</t>
        </is>
      </c>
      <c r="E118" t="inlineStr">
        <is>
          <t>ÅRE</t>
        </is>
      </c>
      <c r="G118" t="n">
        <v>16.6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18792-2021 artfynd.xlsx", "A 18792-2021")</f>
        <v/>
      </c>
      <c r="T118">
        <f>HYPERLINK("https://klasma.github.io/Logging_2321/kartor/A 18792-2021 karta.png", "A 18792-2021")</f>
        <v/>
      </c>
      <c r="V118">
        <f>HYPERLINK("https://klasma.github.io/Logging_2321/klagomål/A 18792-2021 FSC-klagomål.docx", "A 18792-2021")</f>
        <v/>
      </c>
      <c r="W118">
        <f>HYPERLINK("https://klasma.github.io/Logging_2321/klagomålsmail/A 18792-2021 FSC-klagomål mail.docx", "A 18792-2021")</f>
        <v/>
      </c>
      <c r="X118">
        <f>HYPERLINK("https://klasma.github.io/Logging_2321/tillsyn/A 18792-2021 tillsynsbegäran.docx", "A 18792-2021")</f>
        <v/>
      </c>
      <c r="Y118">
        <f>HYPERLINK("https://klasma.github.io/Logging_2321/tillsynsmail/A 18792-2021 tillsynsbegäran mail.docx", "A 18792-2021")</f>
        <v/>
      </c>
      <c r="Z118">
        <f>HYPERLINK("https://klasma.github.io/Logging_2321/fåglar/A 18792-2021 prioriterade fågelarter.docx", "A 18792-2021")</f>
        <v/>
      </c>
    </row>
    <row r="119" ht="15" customHeight="1">
      <c r="A119" t="inlineStr">
        <is>
          <t>A 23566-2021</t>
        </is>
      </c>
      <c r="B119" s="1" t="n">
        <v>44334</v>
      </c>
      <c r="C119" s="1" t="n">
        <v>45505</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46984-2021</t>
        </is>
      </c>
      <c r="B120" s="1" t="n">
        <v>44446</v>
      </c>
      <c r="C120" s="1" t="n">
        <v>45505</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64663-2021</t>
        </is>
      </c>
      <c r="B121" s="1" t="n">
        <v>44512</v>
      </c>
      <c r="C121" s="1" t="n">
        <v>45505</v>
      </c>
      <c r="D121" t="inlineStr">
        <is>
          <t>JÄMTLANDS LÄN</t>
        </is>
      </c>
      <c r="E121" t="inlineStr">
        <is>
          <t>ÅRE</t>
        </is>
      </c>
      <c r="G121" t="n">
        <v>14.5</v>
      </c>
      <c r="H121" t="n">
        <v>0</v>
      </c>
      <c r="I121" t="n">
        <v>0</v>
      </c>
      <c r="J121" t="n">
        <v>1</v>
      </c>
      <c r="K121" t="n">
        <v>1</v>
      </c>
      <c r="L121" t="n">
        <v>0</v>
      </c>
      <c r="M121" t="n">
        <v>0</v>
      </c>
      <c r="N121" t="n">
        <v>0</v>
      </c>
      <c r="O121" t="n">
        <v>2</v>
      </c>
      <c r="P121" t="n">
        <v>1</v>
      </c>
      <c r="Q121" t="n">
        <v>2</v>
      </c>
      <c r="R121" s="2" t="inlineStr">
        <is>
          <t>Sotbandad spindling
Vitterspindling</t>
        </is>
      </c>
      <c r="S121">
        <f>HYPERLINK("https://klasma.github.io/Logging_2321/artfynd/A 64663-2021 artfynd.xlsx", "A 64663-2021")</f>
        <v/>
      </c>
      <c r="T121">
        <f>HYPERLINK("https://klasma.github.io/Logging_2321/kartor/A 64663-2021 karta.png", "A 64663-2021")</f>
        <v/>
      </c>
      <c r="V121">
        <f>HYPERLINK("https://klasma.github.io/Logging_2321/klagomål/A 64663-2021 FSC-klagomål.docx", "A 64663-2021")</f>
        <v/>
      </c>
      <c r="W121">
        <f>HYPERLINK("https://klasma.github.io/Logging_2321/klagomålsmail/A 64663-2021 FSC-klagomål mail.docx", "A 64663-2021")</f>
        <v/>
      </c>
      <c r="X121">
        <f>HYPERLINK("https://klasma.github.io/Logging_2321/tillsyn/A 64663-2021 tillsynsbegäran.docx", "A 64663-2021")</f>
        <v/>
      </c>
      <c r="Y121">
        <f>HYPERLINK("https://klasma.github.io/Logging_2321/tillsynsmail/A 64663-2021 tillsynsbegäran mail.docx", "A 64663-2021")</f>
        <v/>
      </c>
    </row>
    <row r="122" ht="15" customHeight="1">
      <c r="A122" t="inlineStr">
        <is>
          <t>A 64668-2021</t>
        </is>
      </c>
      <c r="B122" s="1" t="n">
        <v>44512</v>
      </c>
      <c r="C122" s="1" t="n">
        <v>45505</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5160-2022</t>
        </is>
      </c>
      <c r="B123" s="1" t="n">
        <v>44593</v>
      </c>
      <c r="C123" s="1" t="n">
        <v>45505</v>
      </c>
      <c r="D123" t="inlineStr">
        <is>
          <t>JÄMTLANDS LÄN</t>
        </is>
      </c>
      <c r="E123" t="inlineStr">
        <is>
          <t>ÅRE</t>
        </is>
      </c>
      <c r="G123" t="n">
        <v>11.4</v>
      </c>
      <c r="H123" t="n">
        <v>2</v>
      </c>
      <c r="I123" t="n">
        <v>0</v>
      </c>
      <c r="J123" t="n">
        <v>1</v>
      </c>
      <c r="K123" t="n">
        <v>0</v>
      </c>
      <c r="L123" t="n">
        <v>0</v>
      </c>
      <c r="M123" t="n">
        <v>0</v>
      </c>
      <c r="N123" t="n">
        <v>0</v>
      </c>
      <c r="O123" t="n">
        <v>1</v>
      </c>
      <c r="P123" t="n">
        <v>0</v>
      </c>
      <c r="Q123" t="n">
        <v>2</v>
      </c>
      <c r="R123" s="2" t="inlineStr">
        <is>
          <t>Tretåig hackspett
Vanlig groda</t>
        </is>
      </c>
      <c r="S123">
        <f>HYPERLINK("https://klasma.github.io/Logging_2321/artfynd/A 5160-2022 artfynd.xlsx", "A 5160-2022")</f>
        <v/>
      </c>
      <c r="T123">
        <f>HYPERLINK("https://klasma.github.io/Logging_2321/kartor/A 5160-2022 karta.png", "A 5160-2022")</f>
        <v/>
      </c>
      <c r="V123">
        <f>HYPERLINK("https://klasma.github.io/Logging_2321/klagomål/A 5160-2022 FSC-klagomål.docx", "A 5160-2022")</f>
        <v/>
      </c>
      <c r="W123">
        <f>HYPERLINK("https://klasma.github.io/Logging_2321/klagomålsmail/A 5160-2022 FSC-klagomål mail.docx", "A 5160-2022")</f>
        <v/>
      </c>
      <c r="X123">
        <f>HYPERLINK("https://klasma.github.io/Logging_2321/tillsyn/A 5160-2022 tillsynsbegäran.docx", "A 5160-2022")</f>
        <v/>
      </c>
      <c r="Y123">
        <f>HYPERLINK("https://klasma.github.io/Logging_2321/tillsynsmail/A 5160-2022 tillsynsbegäran mail.docx", "A 5160-2022")</f>
        <v/>
      </c>
      <c r="Z123">
        <f>HYPERLINK("https://klasma.github.io/Logging_2321/fåglar/A 5160-2022 prioriterade fågelarter.docx", "A 5160-2022")</f>
        <v/>
      </c>
    </row>
    <row r="124" ht="15" customHeight="1">
      <c r="A124" t="inlineStr">
        <is>
          <t>A 22231-2022</t>
        </is>
      </c>
      <c r="B124" s="1" t="n">
        <v>44712</v>
      </c>
      <c r="C124" s="1" t="n">
        <v>45505</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22974-2022</t>
        </is>
      </c>
      <c r="B125" s="1" t="n">
        <v>44716</v>
      </c>
      <c r="C125" s="1" t="n">
        <v>45505</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32207-2022</t>
        </is>
      </c>
      <c r="B126" s="1" t="n">
        <v>44781</v>
      </c>
      <c r="C126" s="1" t="n">
        <v>45505</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55739-2022</t>
        </is>
      </c>
      <c r="B127" s="1" t="n">
        <v>44888</v>
      </c>
      <c r="C127" s="1" t="n">
        <v>45505</v>
      </c>
      <c r="D127" t="inlineStr">
        <is>
          <t>JÄMTLANDS LÄN</t>
        </is>
      </c>
      <c r="E127" t="inlineStr">
        <is>
          <t>ÅRE</t>
        </is>
      </c>
      <c r="F127" t="inlineStr">
        <is>
          <t>Övriga Aktiebolag</t>
        </is>
      </c>
      <c r="G127" t="n">
        <v>10.2</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55739-2022 artfynd.xlsx", "A 55739-2022")</f>
        <v/>
      </c>
      <c r="T127">
        <f>HYPERLINK("https://klasma.github.io/Logging_2321/kartor/A 55739-2022 karta.png", "A 55739-2022")</f>
        <v/>
      </c>
      <c r="V127">
        <f>HYPERLINK("https://klasma.github.io/Logging_2321/klagomål/A 55739-2022 FSC-klagomål.docx", "A 55739-2022")</f>
        <v/>
      </c>
      <c r="W127">
        <f>HYPERLINK("https://klasma.github.io/Logging_2321/klagomålsmail/A 55739-2022 FSC-klagomål mail.docx", "A 55739-2022")</f>
        <v/>
      </c>
      <c r="X127">
        <f>HYPERLINK("https://klasma.github.io/Logging_2321/tillsyn/A 55739-2022 tillsynsbegäran.docx", "A 55739-2022")</f>
        <v/>
      </c>
      <c r="Y127">
        <f>HYPERLINK("https://klasma.github.io/Logging_2321/tillsynsmail/A 55739-2022 tillsynsbegäran mail.docx", "A 55739-2022")</f>
        <v/>
      </c>
      <c r="Z127">
        <f>HYPERLINK("https://klasma.github.io/Logging_2321/fåglar/A 55739-2022 prioriterade fågelarter.docx", "A 55739-2022")</f>
        <v/>
      </c>
    </row>
    <row r="128" ht="15" customHeight="1">
      <c r="A128" t="inlineStr">
        <is>
          <t>A 56472-2022</t>
        </is>
      </c>
      <c r="B128" s="1" t="n">
        <v>44893</v>
      </c>
      <c r="C128" s="1" t="n">
        <v>45505</v>
      </c>
      <c r="D128" t="inlineStr">
        <is>
          <t>JÄMTLANDS LÄN</t>
        </is>
      </c>
      <c r="E128" t="inlineStr">
        <is>
          <t>ÅRE</t>
        </is>
      </c>
      <c r="F128" t="inlineStr">
        <is>
          <t>Övriga Aktiebolag</t>
        </is>
      </c>
      <c r="G128" t="n">
        <v>22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56472-2022 artfynd.xlsx", "A 56472-2022")</f>
        <v/>
      </c>
      <c r="T128">
        <f>HYPERLINK("https://klasma.github.io/Logging_2321/kartor/A 56472-2022 karta.png", "A 56472-2022")</f>
        <v/>
      </c>
      <c r="V128">
        <f>HYPERLINK("https://klasma.github.io/Logging_2321/klagomål/A 56472-2022 FSC-klagomål.docx", "A 56472-2022")</f>
        <v/>
      </c>
      <c r="W128">
        <f>HYPERLINK("https://klasma.github.io/Logging_2321/klagomålsmail/A 56472-2022 FSC-klagomål mail.docx", "A 56472-2022")</f>
        <v/>
      </c>
      <c r="X128">
        <f>HYPERLINK("https://klasma.github.io/Logging_2321/tillsyn/A 56472-2022 tillsynsbegäran.docx", "A 56472-2022")</f>
        <v/>
      </c>
      <c r="Y128">
        <f>HYPERLINK("https://klasma.github.io/Logging_2321/tillsynsmail/A 56472-2022 tillsynsbegäran mail.docx", "A 56472-2022")</f>
        <v/>
      </c>
      <c r="Z128">
        <f>HYPERLINK("https://klasma.github.io/Logging_2321/fåglar/A 56472-2022 prioriterade fågelarter.docx", "A 56472-2022")</f>
        <v/>
      </c>
    </row>
    <row r="129" ht="15" customHeight="1">
      <c r="A129" t="inlineStr">
        <is>
          <t>A 60533-2022</t>
        </is>
      </c>
      <c r="B129" s="1" t="n">
        <v>44904</v>
      </c>
      <c r="C129" s="1" t="n">
        <v>45505</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45505</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5531-2023</t>
        </is>
      </c>
      <c r="B131" s="1" t="n">
        <v>44957</v>
      </c>
      <c r="C131" s="1" t="n">
        <v>45505</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5418-2023</t>
        </is>
      </c>
      <c r="B132" s="1" t="n">
        <v>44957</v>
      </c>
      <c r="C132" s="1" t="n">
        <v>45505</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6107-2023</t>
        </is>
      </c>
      <c r="B133" s="1" t="n">
        <v>44964</v>
      </c>
      <c r="C133" s="1" t="n">
        <v>45505</v>
      </c>
      <c r="D133" t="inlineStr">
        <is>
          <t>JÄMTLANDS LÄN</t>
        </is>
      </c>
      <c r="E133" t="inlineStr">
        <is>
          <t>ÅRE</t>
        </is>
      </c>
      <c r="G133" t="n">
        <v>1.9</v>
      </c>
      <c r="H133" t="n">
        <v>0</v>
      </c>
      <c r="I133" t="n">
        <v>1</v>
      </c>
      <c r="J133" t="n">
        <v>1</v>
      </c>
      <c r="K133" t="n">
        <v>0</v>
      </c>
      <c r="L133" t="n">
        <v>0</v>
      </c>
      <c r="M133" t="n">
        <v>0</v>
      </c>
      <c r="N133" t="n">
        <v>0</v>
      </c>
      <c r="O133" t="n">
        <v>1</v>
      </c>
      <c r="P133" t="n">
        <v>0</v>
      </c>
      <c r="Q133" t="n">
        <v>2</v>
      </c>
      <c r="R133" s="2" t="inlineStr">
        <is>
          <t>Skrovellav
Stuplav</t>
        </is>
      </c>
      <c r="S133">
        <f>HYPERLINK("https://klasma.github.io/Logging_2321/artfynd/A 6107-2023 artfynd.xlsx", "A 6107-2023")</f>
        <v/>
      </c>
      <c r="T133">
        <f>HYPERLINK("https://klasma.github.io/Logging_2321/kartor/A 6107-2023 karta.png", "A 6107-2023")</f>
        <v/>
      </c>
      <c r="V133">
        <f>HYPERLINK("https://klasma.github.io/Logging_2321/klagomål/A 6107-2023 FSC-klagomål.docx", "A 6107-2023")</f>
        <v/>
      </c>
      <c r="W133">
        <f>HYPERLINK("https://klasma.github.io/Logging_2321/klagomålsmail/A 6107-2023 FSC-klagomål mail.docx", "A 6107-2023")</f>
        <v/>
      </c>
      <c r="X133">
        <f>HYPERLINK("https://klasma.github.io/Logging_2321/tillsyn/A 6107-2023 tillsynsbegäran.docx", "A 6107-2023")</f>
        <v/>
      </c>
      <c r="Y133">
        <f>HYPERLINK("https://klasma.github.io/Logging_2321/tillsynsmail/A 6107-2023 tillsynsbegäran mail.docx", "A 6107-2023")</f>
        <v/>
      </c>
    </row>
    <row r="134" ht="15" customHeight="1">
      <c r="A134" t="inlineStr">
        <is>
          <t>A 6108-2023</t>
        </is>
      </c>
      <c r="B134" s="1" t="n">
        <v>44964</v>
      </c>
      <c r="C134" s="1" t="n">
        <v>45505</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7401-2023</t>
        </is>
      </c>
      <c r="B135" s="1" t="n">
        <v>44966</v>
      </c>
      <c r="C135" s="1" t="n">
        <v>45505</v>
      </c>
      <c r="D135" t="inlineStr">
        <is>
          <t>JÄMTLANDS LÄN</t>
        </is>
      </c>
      <c r="E135" t="inlineStr">
        <is>
          <t>ÅRE</t>
        </is>
      </c>
      <c r="G135" t="n">
        <v>3.5</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7401-2023 artfynd.xlsx", "A 7401-2023")</f>
        <v/>
      </c>
      <c r="T135">
        <f>HYPERLINK("https://klasma.github.io/Logging_2321/kartor/A 7401-2023 karta.png", "A 7401-2023")</f>
        <v/>
      </c>
      <c r="V135">
        <f>HYPERLINK("https://klasma.github.io/Logging_2321/klagomål/A 7401-2023 FSC-klagomål.docx", "A 7401-2023")</f>
        <v/>
      </c>
      <c r="W135">
        <f>HYPERLINK("https://klasma.github.io/Logging_2321/klagomålsmail/A 7401-2023 FSC-klagomål mail.docx", "A 7401-2023")</f>
        <v/>
      </c>
      <c r="X135">
        <f>HYPERLINK("https://klasma.github.io/Logging_2321/tillsyn/A 7401-2023 tillsynsbegäran.docx", "A 7401-2023")</f>
        <v/>
      </c>
      <c r="Y135">
        <f>HYPERLINK("https://klasma.github.io/Logging_2321/tillsynsmail/A 7401-2023 tillsynsbegäran mail.docx", "A 7401-2023")</f>
        <v/>
      </c>
    </row>
    <row r="136" ht="15" customHeight="1">
      <c r="A136" t="inlineStr">
        <is>
          <t>A 13625-2023</t>
        </is>
      </c>
      <c r="B136" s="1" t="n">
        <v>45006</v>
      </c>
      <c r="C136" s="1" t="n">
        <v>45505</v>
      </c>
      <c r="D136" t="inlineStr">
        <is>
          <t>JÄMTLANDS LÄN</t>
        </is>
      </c>
      <c r="E136" t="inlineStr">
        <is>
          <t>ÅRE</t>
        </is>
      </c>
      <c r="G136" t="n">
        <v>22.9</v>
      </c>
      <c r="H136" t="n">
        <v>1</v>
      </c>
      <c r="I136" t="n">
        <v>0</v>
      </c>
      <c r="J136" t="n">
        <v>2</v>
      </c>
      <c r="K136" t="n">
        <v>0</v>
      </c>
      <c r="L136" t="n">
        <v>0</v>
      </c>
      <c r="M136" t="n">
        <v>0</v>
      </c>
      <c r="N136" t="n">
        <v>0</v>
      </c>
      <c r="O136" t="n">
        <v>2</v>
      </c>
      <c r="P136" t="n">
        <v>0</v>
      </c>
      <c r="Q136" t="n">
        <v>2</v>
      </c>
      <c r="R136" s="2" t="inlineStr">
        <is>
          <t>Tretåig hackspett
Vitskaftad svartspik</t>
        </is>
      </c>
      <c r="S136">
        <f>HYPERLINK("https://klasma.github.io/Logging_2321/artfynd/A 13625-2023 artfynd.xlsx", "A 13625-2023")</f>
        <v/>
      </c>
      <c r="T136">
        <f>HYPERLINK("https://klasma.github.io/Logging_2321/kartor/A 13625-2023 karta.png", "A 13625-2023")</f>
        <v/>
      </c>
      <c r="V136">
        <f>HYPERLINK("https://klasma.github.io/Logging_2321/klagomål/A 13625-2023 FSC-klagomål.docx", "A 13625-2023")</f>
        <v/>
      </c>
      <c r="W136">
        <f>HYPERLINK("https://klasma.github.io/Logging_2321/klagomålsmail/A 13625-2023 FSC-klagomål mail.docx", "A 13625-2023")</f>
        <v/>
      </c>
      <c r="X136">
        <f>HYPERLINK("https://klasma.github.io/Logging_2321/tillsyn/A 13625-2023 tillsynsbegäran.docx", "A 13625-2023")</f>
        <v/>
      </c>
      <c r="Y136">
        <f>HYPERLINK("https://klasma.github.io/Logging_2321/tillsynsmail/A 13625-2023 tillsynsbegäran mail.docx", "A 13625-2023")</f>
        <v/>
      </c>
      <c r="Z136">
        <f>HYPERLINK("https://klasma.github.io/Logging_2321/fåglar/A 13625-2023 prioriterade fågelarter.docx", "A 13625-2023")</f>
        <v/>
      </c>
    </row>
    <row r="137" ht="15" customHeight="1">
      <c r="A137" t="inlineStr">
        <is>
          <t>A 19699-2023</t>
        </is>
      </c>
      <c r="B137" s="1" t="n">
        <v>45051</v>
      </c>
      <c r="C137" s="1" t="n">
        <v>45505</v>
      </c>
      <c r="D137" t="inlineStr">
        <is>
          <t>JÄMTLANDS LÄN</t>
        </is>
      </c>
      <c r="E137" t="inlineStr">
        <is>
          <t>ÅRE</t>
        </is>
      </c>
      <c r="G137" t="n">
        <v>0.7</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19699-2023 artfynd.xlsx", "A 19699-2023")</f>
        <v/>
      </c>
      <c r="T137">
        <f>HYPERLINK("https://klasma.github.io/Logging_2321/kartor/A 19699-2023 karta.png", "A 19699-2023")</f>
        <v/>
      </c>
      <c r="V137">
        <f>HYPERLINK("https://klasma.github.io/Logging_2321/klagomål/A 19699-2023 FSC-klagomål.docx", "A 19699-2023")</f>
        <v/>
      </c>
      <c r="W137">
        <f>HYPERLINK("https://klasma.github.io/Logging_2321/klagomålsmail/A 19699-2023 FSC-klagomål mail.docx", "A 19699-2023")</f>
        <v/>
      </c>
      <c r="X137">
        <f>HYPERLINK("https://klasma.github.io/Logging_2321/tillsyn/A 19699-2023 tillsynsbegäran.docx", "A 19699-2023")</f>
        <v/>
      </c>
      <c r="Y137">
        <f>HYPERLINK("https://klasma.github.io/Logging_2321/tillsynsmail/A 19699-2023 tillsynsbegäran mail.docx", "A 19699-2023")</f>
        <v/>
      </c>
    </row>
    <row r="138" ht="15" customHeight="1">
      <c r="A138" t="inlineStr">
        <is>
          <t>A 23706-2023</t>
        </is>
      </c>
      <c r="B138" s="1" t="n">
        <v>45072</v>
      </c>
      <c r="C138" s="1" t="n">
        <v>45505</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26098-2023</t>
        </is>
      </c>
      <c r="B139" s="1" t="n">
        <v>45091</v>
      </c>
      <c r="C139" s="1" t="n">
        <v>45505</v>
      </c>
      <c r="D139" t="inlineStr">
        <is>
          <t>JÄMTLANDS LÄN</t>
        </is>
      </c>
      <c r="E139" t="inlineStr">
        <is>
          <t>ÅRE</t>
        </is>
      </c>
      <c r="G139" t="n">
        <v>15.7</v>
      </c>
      <c r="H139" t="n">
        <v>0</v>
      </c>
      <c r="I139" t="n">
        <v>0</v>
      </c>
      <c r="J139" t="n">
        <v>2</v>
      </c>
      <c r="K139" t="n">
        <v>0</v>
      </c>
      <c r="L139" t="n">
        <v>0</v>
      </c>
      <c r="M139" t="n">
        <v>0</v>
      </c>
      <c r="N139" t="n">
        <v>0</v>
      </c>
      <c r="O139" t="n">
        <v>2</v>
      </c>
      <c r="P139" t="n">
        <v>0</v>
      </c>
      <c r="Q139" t="n">
        <v>2</v>
      </c>
      <c r="R139" s="2" t="inlineStr">
        <is>
          <t>Lunglav
Skrovellav</t>
        </is>
      </c>
      <c r="S139">
        <f>HYPERLINK("https://klasma.github.io/Logging_2321/artfynd/A 26098-2023 artfynd.xlsx", "A 26098-2023")</f>
        <v/>
      </c>
      <c r="T139">
        <f>HYPERLINK("https://klasma.github.io/Logging_2321/kartor/A 26098-2023 karta.png", "A 26098-2023")</f>
        <v/>
      </c>
      <c r="V139">
        <f>HYPERLINK("https://klasma.github.io/Logging_2321/klagomål/A 26098-2023 FSC-klagomål.docx", "A 26098-2023")</f>
        <v/>
      </c>
      <c r="W139">
        <f>HYPERLINK("https://klasma.github.io/Logging_2321/klagomålsmail/A 26098-2023 FSC-klagomål mail.docx", "A 26098-2023")</f>
        <v/>
      </c>
      <c r="X139">
        <f>HYPERLINK("https://klasma.github.io/Logging_2321/tillsyn/A 26098-2023 tillsynsbegäran.docx", "A 26098-2023")</f>
        <v/>
      </c>
      <c r="Y139">
        <f>HYPERLINK("https://klasma.github.io/Logging_2321/tillsynsmail/A 26098-2023 tillsynsbegäran mail.docx", "A 26098-2023")</f>
        <v/>
      </c>
    </row>
    <row r="140" ht="15" customHeight="1">
      <c r="A140" t="inlineStr">
        <is>
          <t>A 53014-2023</t>
        </is>
      </c>
      <c r="B140" s="1" t="n">
        <v>45226</v>
      </c>
      <c r="C140" s="1" t="n">
        <v>45505</v>
      </c>
      <c r="D140" t="inlineStr">
        <is>
          <t>JÄMTLANDS LÄN</t>
        </is>
      </c>
      <c r="E140" t="inlineStr">
        <is>
          <t>ÅRE</t>
        </is>
      </c>
      <c r="F140" t="inlineStr">
        <is>
          <t>Övriga Aktiebolag</t>
        </is>
      </c>
      <c r="G140" t="n">
        <v>9.4</v>
      </c>
      <c r="H140" t="n">
        <v>1</v>
      </c>
      <c r="I140" t="n">
        <v>1</v>
      </c>
      <c r="J140" t="n">
        <v>1</v>
      </c>
      <c r="K140" t="n">
        <v>0</v>
      </c>
      <c r="L140" t="n">
        <v>0</v>
      </c>
      <c r="M140" t="n">
        <v>0</v>
      </c>
      <c r="N140" t="n">
        <v>0</v>
      </c>
      <c r="O140" t="n">
        <v>1</v>
      </c>
      <c r="P140" t="n">
        <v>0</v>
      </c>
      <c r="Q140" t="n">
        <v>2</v>
      </c>
      <c r="R140" s="2" t="inlineStr">
        <is>
          <t>Vedflikmossa
Spindelblomster</t>
        </is>
      </c>
      <c r="S140">
        <f>HYPERLINK("https://klasma.github.io/Logging_2321/artfynd/A 53014-2023 artfynd.xlsx", "A 53014-2023")</f>
        <v/>
      </c>
      <c r="T140">
        <f>HYPERLINK("https://klasma.github.io/Logging_2321/kartor/A 53014-2023 karta.png", "A 53014-2023")</f>
        <v/>
      </c>
      <c r="V140">
        <f>HYPERLINK("https://klasma.github.io/Logging_2321/klagomål/A 53014-2023 FSC-klagomål.docx", "A 53014-2023")</f>
        <v/>
      </c>
      <c r="W140">
        <f>HYPERLINK("https://klasma.github.io/Logging_2321/klagomålsmail/A 53014-2023 FSC-klagomål mail.docx", "A 53014-2023")</f>
        <v/>
      </c>
      <c r="X140">
        <f>HYPERLINK("https://klasma.github.io/Logging_2321/tillsyn/A 53014-2023 tillsynsbegäran.docx", "A 53014-2023")</f>
        <v/>
      </c>
      <c r="Y140">
        <f>HYPERLINK("https://klasma.github.io/Logging_2321/tillsynsmail/A 53014-2023 tillsynsbegäran mail.docx", "A 53014-2023")</f>
        <v/>
      </c>
    </row>
    <row r="141" ht="15" customHeight="1">
      <c r="A141" t="inlineStr">
        <is>
          <t>A 54055-2023</t>
        </is>
      </c>
      <c r="B141" s="1" t="n">
        <v>45231</v>
      </c>
      <c r="C141" s="1" t="n">
        <v>45505</v>
      </c>
      <c r="D141" t="inlineStr">
        <is>
          <t>JÄMTLANDS LÄN</t>
        </is>
      </c>
      <c r="E141" t="inlineStr">
        <is>
          <t>ÅRE</t>
        </is>
      </c>
      <c r="F141" t="inlineStr">
        <is>
          <t>Övriga Aktiebolag</t>
        </is>
      </c>
      <c r="G141" t="n">
        <v>14.1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54055-2023 artfynd.xlsx", "A 54055-2023")</f>
        <v/>
      </c>
      <c r="T141">
        <f>HYPERLINK("https://klasma.github.io/Logging_2321/kartor/A 54055-2023 karta.png", "A 54055-2023")</f>
        <v/>
      </c>
      <c r="V141">
        <f>HYPERLINK("https://klasma.github.io/Logging_2321/klagomål/A 54055-2023 FSC-klagomål.docx", "A 54055-2023")</f>
        <v/>
      </c>
      <c r="W141">
        <f>HYPERLINK("https://klasma.github.io/Logging_2321/klagomålsmail/A 54055-2023 FSC-klagomål mail.docx", "A 54055-2023")</f>
        <v/>
      </c>
      <c r="X141">
        <f>HYPERLINK("https://klasma.github.io/Logging_2321/tillsyn/A 54055-2023 tillsynsbegäran.docx", "A 54055-2023")</f>
        <v/>
      </c>
      <c r="Y141">
        <f>HYPERLINK("https://klasma.github.io/Logging_2321/tillsynsmail/A 54055-2023 tillsynsbegäran mail.docx", "A 54055-2023")</f>
        <v/>
      </c>
      <c r="Z141">
        <f>HYPERLINK("https://klasma.github.io/Logging_2321/fåglar/A 54055-2023 prioriterade fågelarter.docx", "A 54055-2023")</f>
        <v/>
      </c>
    </row>
    <row r="142" ht="15" customHeight="1">
      <c r="A142" t="inlineStr">
        <is>
          <t>A 54128-2023</t>
        </is>
      </c>
      <c r="B142" s="1" t="n">
        <v>45232</v>
      </c>
      <c r="C142" s="1" t="n">
        <v>45505</v>
      </c>
      <c r="D142" t="inlineStr">
        <is>
          <t>JÄMTLANDS LÄN</t>
        </is>
      </c>
      <c r="E142" t="inlineStr">
        <is>
          <t>ÅRE</t>
        </is>
      </c>
      <c r="G142" t="n">
        <v>3.9</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57771-2023</t>
        </is>
      </c>
      <c r="B143" s="1" t="n">
        <v>45246</v>
      </c>
      <c r="C143" s="1" t="n">
        <v>45505</v>
      </c>
      <c r="D143" t="inlineStr">
        <is>
          <t>JÄMTLANDS LÄN</t>
        </is>
      </c>
      <c r="E143" t="inlineStr">
        <is>
          <t>ÅRE</t>
        </is>
      </c>
      <c r="G143" t="n">
        <v>2.1</v>
      </c>
      <c r="H143" t="n">
        <v>0</v>
      </c>
      <c r="I143" t="n">
        <v>0</v>
      </c>
      <c r="J143" t="n">
        <v>2</v>
      </c>
      <c r="K143" t="n">
        <v>0</v>
      </c>
      <c r="L143" t="n">
        <v>0</v>
      </c>
      <c r="M143" t="n">
        <v>0</v>
      </c>
      <c r="N143" t="n">
        <v>0</v>
      </c>
      <c r="O143" t="n">
        <v>2</v>
      </c>
      <c r="P143" t="n">
        <v>0</v>
      </c>
      <c r="Q143" t="n">
        <v>2</v>
      </c>
      <c r="R143" s="2" t="inlineStr">
        <is>
          <t>Granticka
Harticka</t>
        </is>
      </c>
      <c r="S143">
        <f>HYPERLINK("https://klasma.github.io/Logging_2321/artfynd/A 57771-2023 artfynd.xlsx", "A 57771-2023")</f>
        <v/>
      </c>
      <c r="T143">
        <f>HYPERLINK("https://klasma.github.io/Logging_2321/kartor/A 57771-2023 karta.png", "A 57771-2023")</f>
        <v/>
      </c>
      <c r="V143">
        <f>HYPERLINK("https://klasma.github.io/Logging_2321/klagomål/A 57771-2023 FSC-klagomål.docx", "A 57771-2023")</f>
        <v/>
      </c>
      <c r="W143">
        <f>HYPERLINK("https://klasma.github.io/Logging_2321/klagomålsmail/A 57771-2023 FSC-klagomål mail.docx", "A 57771-2023")</f>
        <v/>
      </c>
      <c r="X143">
        <f>HYPERLINK("https://klasma.github.io/Logging_2321/tillsyn/A 57771-2023 tillsynsbegäran.docx", "A 57771-2023")</f>
        <v/>
      </c>
      <c r="Y143">
        <f>HYPERLINK("https://klasma.github.io/Logging_2321/tillsynsmail/A 57771-2023 tillsynsbegäran mail.docx", "A 57771-2023")</f>
        <v/>
      </c>
    </row>
    <row r="144" ht="15" customHeight="1">
      <c r="A144" t="inlineStr">
        <is>
          <t>A 12466-2024</t>
        </is>
      </c>
      <c r="B144" s="1" t="n">
        <v>45379</v>
      </c>
      <c r="C144" s="1" t="n">
        <v>45505</v>
      </c>
      <c r="D144" t="inlineStr">
        <is>
          <t>JÄMTLANDS LÄN</t>
        </is>
      </c>
      <c r="E144" t="inlineStr">
        <is>
          <t>ÅRE</t>
        </is>
      </c>
      <c r="G144" t="n">
        <v>7.1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12466-2024 artfynd.xlsx", "A 12466-2024")</f>
        <v/>
      </c>
      <c r="T144">
        <f>HYPERLINK("https://klasma.github.io/Logging_2321/kartor/A 12466-2024 karta.png", "A 12466-2024")</f>
        <v/>
      </c>
      <c r="V144">
        <f>HYPERLINK("https://klasma.github.io/Logging_2321/klagomål/A 12466-2024 FSC-klagomål.docx", "A 12466-2024")</f>
        <v/>
      </c>
      <c r="W144">
        <f>HYPERLINK("https://klasma.github.io/Logging_2321/klagomålsmail/A 12466-2024 FSC-klagomål mail.docx", "A 12466-2024")</f>
        <v/>
      </c>
      <c r="X144">
        <f>HYPERLINK("https://klasma.github.io/Logging_2321/tillsyn/A 12466-2024 tillsynsbegäran.docx", "A 12466-2024")</f>
        <v/>
      </c>
      <c r="Y144">
        <f>HYPERLINK("https://klasma.github.io/Logging_2321/tillsynsmail/A 12466-2024 tillsynsbegäran mail.docx", "A 12466-2024")</f>
        <v/>
      </c>
      <c r="Z144">
        <f>HYPERLINK("https://klasma.github.io/Logging_2321/fåglar/A 12466-2024 prioriterade fågelarter.docx", "A 12466-2024")</f>
        <v/>
      </c>
    </row>
    <row r="145" ht="15" customHeight="1">
      <c r="A145" t="inlineStr">
        <is>
          <t>A 17489-2024</t>
        </is>
      </c>
      <c r="B145" s="1" t="n">
        <v>45415</v>
      </c>
      <c r="C145" s="1" t="n">
        <v>45505</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18719-2024</t>
        </is>
      </c>
      <c r="B146" s="1" t="n">
        <v>45426</v>
      </c>
      <c r="C146" s="1" t="n">
        <v>45505</v>
      </c>
      <c r="D146" t="inlineStr">
        <is>
          <t>JÄMTLANDS LÄN</t>
        </is>
      </c>
      <c r="E146" t="inlineStr">
        <is>
          <t>ÅRE</t>
        </is>
      </c>
      <c r="F146" t="inlineStr">
        <is>
          <t>Övriga Aktiebolag</t>
        </is>
      </c>
      <c r="G146" t="n">
        <v>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18719-2024 artfynd.xlsx", "A 18719-2024")</f>
        <v/>
      </c>
      <c r="T146">
        <f>HYPERLINK("https://klasma.github.io/Logging_2321/kartor/A 18719-2024 karta.png", "A 18719-2024")</f>
        <v/>
      </c>
      <c r="V146">
        <f>HYPERLINK("https://klasma.github.io/Logging_2321/klagomål/A 18719-2024 FSC-klagomål.docx", "A 18719-2024")</f>
        <v/>
      </c>
      <c r="W146">
        <f>HYPERLINK("https://klasma.github.io/Logging_2321/klagomålsmail/A 18719-2024 FSC-klagomål mail.docx", "A 18719-2024")</f>
        <v/>
      </c>
      <c r="X146">
        <f>HYPERLINK("https://klasma.github.io/Logging_2321/tillsyn/A 18719-2024 tillsynsbegäran.docx", "A 18719-2024")</f>
        <v/>
      </c>
      <c r="Y146">
        <f>HYPERLINK("https://klasma.github.io/Logging_2321/tillsynsmail/A 18719-2024 tillsynsbegäran mail.docx", "A 18719-2024")</f>
        <v/>
      </c>
      <c r="Z146">
        <f>HYPERLINK("https://klasma.github.io/Logging_2321/fåglar/A 18719-2024 prioriterade fågelarter.docx", "A 18719-2024")</f>
        <v/>
      </c>
    </row>
    <row r="147" ht="15" customHeight="1">
      <c r="A147" t="inlineStr">
        <is>
          <t>A 23625-2024</t>
        </is>
      </c>
      <c r="B147" s="1" t="n">
        <v>45454</v>
      </c>
      <c r="C147" s="1" t="n">
        <v>45505</v>
      </c>
      <c r="D147" t="inlineStr">
        <is>
          <t>JÄMTLANDS LÄN</t>
        </is>
      </c>
      <c r="E147" t="inlineStr">
        <is>
          <t>ÅRE</t>
        </is>
      </c>
      <c r="G147" t="n">
        <v>15.2</v>
      </c>
      <c r="H147" t="n">
        <v>2</v>
      </c>
      <c r="I147" t="n">
        <v>0</v>
      </c>
      <c r="J147" t="n">
        <v>1</v>
      </c>
      <c r="K147" t="n">
        <v>0</v>
      </c>
      <c r="L147" t="n">
        <v>0</v>
      </c>
      <c r="M147" t="n">
        <v>0</v>
      </c>
      <c r="N147" t="n">
        <v>0</v>
      </c>
      <c r="O147" t="n">
        <v>1</v>
      </c>
      <c r="P147" t="n">
        <v>0</v>
      </c>
      <c r="Q147" t="n">
        <v>2</v>
      </c>
      <c r="R147" s="2" t="inlineStr">
        <is>
          <t>Tretåig hackspett
Lavskrika</t>
        </is>
      </c>
      <c r="S147">
        <f>HYPERLINK("https://klasma.github.io/Logging_2321/artfynd/A 23625-2024 artfynd.xlsx", "A 23625-2024")</f>
        <v/>
      </c>
      <c r="T147">
        <f>HYPERLINK("https://klasma.github.io/Logging_2321/kartor/A 23625-2024 karta.png", "A 23625-2024")</f>
        <v/>
      </c>
      <c r="V147">
        <f>HYPERLINK("https://klasma.github.io/Logging_2321/klagomål/A 23625-2024 FSC-klagomål.docx", "A 23625-2024")</f>
        <v/>
      </c>
      <c r="W147">
        <f>HYPERLINK("https://klasma.github.io/Logging_2321/klagomålsmail/A 23625-2024 FSC-klagomål mail.docx", "A 23625-2024")</f>
        <v/>
      </c>
      <c r="X147">
        <f>HYPERLINK("https://klasma.github.io/Logging_2321/tillsyn/A 23625-2024 tillsynsbegäran.docx", "A 23625-2024")</f>
        <v/>
      </c>
      <c r="Y147">
        <f>HYPERLINK("https://klasma.github.io/Logging_2321/tillsynsmail/A 23625-2024 tillsynsbegäran mail.docx", "A 23625-2024")</f>
        <v/>
      </c>
      <c r="Z147">
        <f>HYPERLINK("https://klasma.github.io/Logging_2321/fåglar/A 23625-2024 prioriterade fågelarter.docx", "A 23625-2024")</f>
        <v/>
      </c>
    </row>
    <row r="148" ht="15" customHeight="1">
      <c r="A148" t="inlineStr">
        <is>
          <t>A 59825-2019</t>
        </is>
      </c>
      <c r="B148" s="1" t="n">
        <v>43774</v>
      </c>
      <c r="C148" s="1" t="n">
        <v>45505</v>
      </c>
      <c r="D148" t="inlineStr">
        <is>
          <t>JÄMTLANDS LÄN</t>
        </is>
      </c>
      <c r="E148" t="inlineStr">
        <is>
          <t>ÅRE</t>
        </is>
      </c>
      <c r="G148" t="n">
        <v>6.8</v>
      </c>
      <c r="H148" t="n">
        <v>0</v>
      </c>
      <c r="I148" t="n">
        <v>0</v>
      </c>
      <c r="J148" t="n">
        <v>1</v>
      </c>
      <c r="K148" t="n">
        <v>0</v>
      </c>
      <c r="L148" t="n">
        <v>0</v>
      </c>
      <c r="M148" t="n">
        <v>0</v>
      </c>
      <c r="N148" t="n">
        <v>0</v>
      </c>
      <c r="O148" t="n">
        <v>1</v>
      </c>
      <c r="P148" t="n">
        <v>0</v>
      </c>
      <c r="Q148" t="n">
        <v>1</v>
      </c>
      <c r="R148" s="2" t="inlineStr">
        <is>
          <t>Lunglav</t>
        </is>
      </c>
      <c r="S148">
        <f>HYPERLINK("https://klasma.github.io/Logging_2321/artfynd/A 59825-2019 artfynd.xlsx", "A 59825-2019")</f>
        <v/>
      </c>
      <c r="T148">
        <f>HYPERLINK("https://klasma.github.io/Logging_2321/kartor/A 59825-2019 karta.png", "A 59825-2019")</f>
        <v/>
      </c>
      <c r="V148">
        <f>HYPERLINK("https://klasma.github.io/Logging_2321/klagomål/A 59825-2019 FSC-klagomål.docx", "A 59825-2019")</f>
        <v/>
      </c>
      <c r="W148">
        <f>HYPERLINK("https://klasma.github.io/Logging_2321/klagomålsmail/A 59825-2019 FSC-klagomål mail.docx", "A 59825-2019")</f>
        <v/>
      </c>
      <c r="X148">
        <f>HYPERLINK("https://klasma.github.io/Logging_2321/tillsyn/A 59825-2019 tillsynsbegäran.docx", "A 59825-2019")</f>
        <v/>
      </c>
      <c r="Y148">
        <f>HYPERLINK("https://klasma.github.io/Logging_2321/tillsynsmail/A 59825-2019 tillsynsbegäran mail.docx", "A 59825-2019")</f>
        <v/>
      </c>
    </row>
    <row r="149" ht="15" customHeight="1">
      <c r="A149" t="inlineStr">
        <is>
          <t>A 20979-2020</t>
        </is>
      </c>
      <c r="B149" s="1" t="n">
        <v>43950</v>
      </c>
      <c r="C149" s="1" t="n">
        <v>45505</v>
      </c>
      <c r="D149" t="inlineStr">
        <is>
          <t>JÄMTLANDS LÄN</t>
        </is>
      </c>
      <c r="E149" t="inlineStr">
        <is>
          <t>ÅRE</t>
        </is>
      </c>
      <c r="G149" t="n">
        <v>16.5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20979-2020 artfynd.xlsx", "A 20979-2020")</f>
        <v/>
      </c>
      <c r="T149">
        <f>HYPERLINK("https://klasma.github.io/Logging_2321/kartor/A 20979-2020 karta.png", "A 20979-2020")</f>
        <v/>
      </c>
      <c r="V149">
        <f>HYPERLINK("https://klasma.github.io/Logging_2321/klagomål/A 20979-2020 FSC-klagomål.docx", "A 20979-2020")</f>
        <v/>
      </c>
      <c r="W149">
        <f>HYPERLINK("https://klasma.github.io/Logging_2321/klagomålsmail/A 20979-2020 FSC-klagomål mail.docx", "A 20979-2020")</f>
        <v/>
      </c>
      <c r="X149">
        <f>HYPERLINK("https://klasma.github.io/Logging_2321/tillsyn/A 20979-2020 tillsynsbegäran.docx", "A 20979-2020")</f>
        <v/>
      </c>
      <c r="Y149">
        <f>HYPERLINK("https://klasma.github.io/Logging_2321/tillsynsmail/A 20979-2020 tillsynsbegäran mail.docx", "A 20979-2020")</f>
        <v/>
      </c>
      <c r="Z149">
        <f>HYPERLINK("https://klasma.github.io/Logging_2321/fåglar/A 20979-2020 prioriterade fågelarter.docx", "A 20979-2020")</f>
        <v/>
      </c>
    </row>
    <row r="150" ht="15" customHeight="1">
      <c r="A150" t="inlineStr">
        <is>
          <t>A 29084-2020</t>
        </is>
      </c>
      <c r="B150" s="1" t="n">
        <v>44002</v>
      </c>
      <c r="C150" s="1" t="n">
        <v>45505</v>
      </c>
      <c r="D150" t="inlineStr">
        <is>
          <t>JÄMTLANDS LÄN</t>
        </is>
      </c>
      <c r="E150" t="inlineStr">
        <is>
          <t>ÅRE</t>
        </is>
      </c>
      <c r="G150" t="n">
        <v>15.5</v>
      </c>
      <c r="H150" t="n">
        <v>0</v>
      </c>
      <c r="I150" t="n">
        <v>0</v>
      </c>
      <c r="J150" t="n">
        <v>1</v>
      </c>
      <c r="K150" t="n">
        <v>0</v>
      </c>
      <c r="L150" t="n">
        <v>0</v>
      </c>
      <c r="M150" t="n">
        <v>0</v>
      </c>
      <c r="N150" t="n">
        <v>0</v>
      </c>
      <c r="O150" t="n">
        <v>1</v>
      </c>
      <c r="P150" t="n">
        <v>0</v>
      </c>
      <c r="Q150" t="n">
        <v>1</v>
      </c>
      <c r="R150" s="2" t="inlineStr">
        <is>
          <t>Gränsticka</t>
        </is>
      </c>
      <c r="S150">
        <f>HYPERLINK("https://klasma.github.io/Logging_2321/artfynd/A 29084-2020 artfynd.xlsx", "A 29084-2020")</f>
        <v/>
      </c>
      <c r="T150">
        <f>HYPERLINK("https://klasma.github.io/Logging_2321/kartor/A 29084-2020 karta.png", "A 29084-2020")</f>
        <v/>
      </c>
      <c r="V150">
        <f>HYPERLINK("https://klasma.github.io/Logging_2321/klagomål/A 29084-2020 FSC-klagomål.docx", "A 29084-2020")</f>
        <v/>
      </c>
      <c r="W150">
        <f>HYPERLINK("https://klasma.github.io/Logging_2321/klagomålsmail/A 29084-2020 FSC-klagomål mail.docx", "A 29084-2020")</f>
        <v/>
      </c>
      <c r="X150">
        <f>HYPERLINK("https://klasma.github.io/Logging_2321/tillsyn/A 29084-2020 tillsynsbegäran.docx", "A 29084-2020")</f>
        <v/>
      </c>
      <c r="Y150">
        <f>HYPERLINK("https://klasma.github.io/Logging_2321/tillsynsmail/A 29084-2020 tillsynsbegäran mail.docx", "A 29084-2020")</f>
        <v/>
      </c>
    </row>
    <row r="151" ht="15" customHeight="1">
      <c r="A151" t="inlineStr">
        <is>
          <t>A 46966-2020</t>
        </is>
      </c>
      <c r="B151" s="1" t="n">
        <v>44090</v>
      </c>
      <c r="C151" s="1" t="n">
        <v>45505</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46959-2020</t>
        </is>
      </c>
      <c r="B152" s="1" t="n">
        <v>44090</v>
      </c>
      <c r="C152" s="1" t="n">
        <v>45505</v>
      </c>
      <c r="D152" t="inlineStr">
        <is>
          <t>JÄMTLANDS LÄN</t>
        </is>
      </c>
      <c r="E152" t="inlineStr">
        <is>
          <t>ÅRE</t>
        </is>
      </c>
      <c r="G152" t="n">
        <v>4.7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46959-2020 artfynd.xlsx", "A 46959-2020")</f>
        <v/>
      </c>
      <c r="T152">
        <f>HYPERLINK("https://klasma.github.io/Logging_2321/kartor/A 46959-2020 karta.png", "A 46959-2020")</f>
        <v/>
      </c>
      <c r="V152">
        <f>HYPERLINK("https://klasma.github.io/Logging_2321/klagomål/A 46959-2020 FSC-klagomål.docx", "A 46959-2020")</f>
        <v/>
      </c>
      <c r="W152">
        <f>HYPERLINK("https://klasma.github.io/Logging_2321/klagomålsmail/A 46959-2020 FSC-klagomål mail.docx", "A 46959-2020")</f>
        <v/>
      </c>
      <c r="X152">
        <f>HYPERLINK("https://klasma.github.io/Logging_2321/tillsyn/A 46959-2020 tillsynsbegäran.docx", "A 46959-2020")</f>
        <v/>
      </c>
      <c r="Y152">
        <f>HYPERLINK("https://klasma.github.io/Logging_2321/tillsynsmail/A 46959-2020 tillsynsbegäran mail.docx", "A 46959-2020")</f>
        <v/>
      </c>
      <c r="Z152">
        <f>HYPERLINK("https://klasma.github.io/Logging_2321/fåglar/A 46959-2020 prioriterade fågelarter.docx", "A 46959-2020")</f>
        <v/>
      </c>
    </row>
    <row r="153" ht="15" customHeight="1">
      <c r="A153" t="inlineStr">
        <is>
          <t>A 52542-2020</t>
        </is>
      </c>
      <c r="B153" s="1" t="n">
        <v>44116</v>
      </c>
      <c r="C153" s="1" t="n">
        <v>45505</v>
      </c>
      <c r="D153" t="inlineStr">
        <is>
          <t>JÄMTLANDS LÄN</t>
        </is>
      </c>
      <c r="E153" t="inlineStr">
        <is>
          <t>ÅRE</t>
        </is>
      </c>
      <c r="G153" t="n">
        <v>5.5</v>
      </c>
      <c r="H153" t="n">
        <v>0</v>
      </c>
      <c r="I153" t="n">
        <v>0</v>
      </c>
      <c r="J153" t="n">
        <v>1</v>
      </c>
      <c r="K153" t="n">
        <v>0</v>
      </c>
      <c r="L153" t="n">
        <v>0</v>
      </c>
      <c r="M153" t="n">
        <v>0</v>
      </c>
      <c r="N153" t="n">
        <v>0</v>
      </c>
      <c r="O153" t="n">
        <v>1</v>
      </c>
      <c r="P153" t="n">
        <v>0</v>
      </c>
      <c r="Q153" t="n">
        <v>1</v>
      </c>
      <c r="R153" s="2" t="inlineStr">
        <is>
          <t>Skrovellav</t>
        </is>
      </c>
      <c r="S153">
        <f>HYPERLINK("https://klasma.github.io/Logging_2321/artfynd/A 52542-2020 artfynd.xlsx", "A 52542-2020")</f>
        <v/>
      </c>
      <c r="T153">
        <f>HYPERLINK("https://klasma.github.io/Logging_2321/kartor/A 52542-2020 karta.png", "A 52542-2020")</f>
        <v/>
      </c>
      <c r="V153">
        <f>HYPERLINK("https://klasma.github.io/Logging_2321/klagomål/A 52542-2020 FSC-klagomål.docx", "A 52542-2020")</f>
        <v/>
      </c>
      <c r="W153">
        <f>HYPERLINK("https://klasma.github.io/Logging_2321/klagomålsmail/A 52542-2020 FSC-klagomål mail.docx", "A 52542-2020")</f>
        <v/>
      </c>
      <c r="X153">
        <f>HYPERLINK("https://klasma.github.io/Logging_2321/tillsyn/A 52542-2020 tillsynsbegäran.docx", "A 52542-2020")</f>
        <v/>
      </c>
      <c r="Y153">
        <f>HYPERLINK("https://klasma.github.io/Logging_2321/tillsynsmail/A 52542-2020 tillsynsbegäran mail.docx", "A 52542-2020")</f>
        <v/>
      </c>
    </row>
    <row r="154" ht="15" customHeight="1">
      <c r="A154" t="inlineStr">
        <is>
          <t>A 53598-2020</t>
        </is>
      </c>
      <c r="B154" s="1" t="n">
        <v>44124</v>
      </c>
      <c r="C154" s="1" t="n">
        <v>45505</v>
      </c>
      <c r="D154" t="inlineStr">
        <is>
          <t>JÄMTLANDS LÄN</t>
        </is>
      </c>
      <c r="E154" t="inlineStr">
        <is>
          <t>ÅRE</t>
        </is>
      </c>
      <c r="G154" t="n">
        <v>11.7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53598-2020 artfynd.xlsx", "A 53598-2020")</f>
        <v/>
      </c>
      <c r="T154">
        <f>HYPERLINK("https://klasma.github.io/Logging_2321/kartor/A 53598-2020 karta.png", "A 53598-2020")</f>
        <v/>
      </c>
      <c r="V154">
        <f>HYPERLINK("https://klasma.github.io/Logging_2321/klagomål/A 53598-2020 FSC-klagomål.docx", "A 53598-2020")</f>
        <v/>
      </c>
      <c r="W154">
        <f>HYPERLINK("https://klasma.github.io/Logging_2321/klagomålsmail/A 53598-2020 FSC-klagomål mail.docx", "A 53598-2020")</f>
        <v/>
      </c>
      <c r="X154">
        <f>HYPERLINK("https://klasma.github.io/Logging_2321/tillsyn/A 53598-2020 tillsynsbegäran.docx", "A 53598-2020")</f>
        <v/>
      </c>
      <c r="Y154">
        <f>HYPERLINK("https://klasma.github.io/Logging_2321/tillsynsmail/A 53598-2020 tillsynsbegäran mail.docx", "A 53598-2020")</f>
        <v/>
      </c>
      <c r="Z154">
        <f>HYPERLINK("https://klasma.github.io/Logging_2321/fåglar/A 53598-2020 prioriterade fågelarter.docx", "A 53598-2020")</f>
        <v/>
      </c>
    </row>
    <row r="155" ht="15" customHeight="1">
      <c r="A155" t="inlineStr">
        <is>
          <t>A 65517-2020</t>
        </is>
      </c>
      <c r="B155" s="1" t="n">
        <v>44173</v>
      </c>
      <c r="C155" s="1" t="n">
        <v>45505</v>
      </c>
      <c r="D155" t="inlineStr">
        <is>
          <t>JÄMTLANDS LÄN</t>
        </is>
      </c>
      <c r="E155" t="inlineStr">
        <is>
          <t>ÅRE</t>
        </is>
      </c>
      <c r="G155" t="n">
        <v>4.6</v>
      </c>
      <c r="H155" t="n">
        <v>0</v>
      </c>
      <c r="I155" t="n">
        <v>0</v>
      </c>
      <c r="J155" t="n">
        <v>1</v>
      </c>
      <c r="K155" t="n">
        <v>0</v>
      </c>
      <c r="L155" t="n">
        <v>0</v>
      </c>
      <c r="M155" t="n">
        <v>0</v>
      </c>
      <c r="N155" t="n">
        <v>0</v>
      </c>
      <c r="O155" t="n">
        <v>1</v>
      </c>
      <c r="P155" t="n">
        <v>0</v>
      </c>
      <c r="Q155" t="n">
        <v>1</v>
      </c>
      <c r="R155" s="2" t="inlineStr">
        <is>
          <t>Doftskinn</t>
        </is>
      </c>
      <c r="S155">
        <f>HYPERLINK("https://klasma.github.io/Logging_2321/artfynd/A 65517-2020 artfynd.xlsx", "A 65517-2020")</f>
        <v/>
      </c>
      <c r="T155">
        <f>HYPERLINK("https://klasma.github.io/Logging_2321/kartor/A 65517-2020 karta.png", "A 65517-2020")</f>
        <v/>
      </c>
      <c r="V155">
        <f>HYPERLINK("https://klasma.github.io/Logging_2321/klagomål/A 65517-2020 FSC-klagomål.docx", "A 65517-2020")</f>
        <v/>
      </c>
      <c r="W155">
        <f>HYPERLINK("https://klasma.github.io/Logging_2321/klagomålsmail/A 65517-2020 FSC-klagomål mail.docx", "A 65517-2020")</f>
        <v/>
      </c>
      <c r="X155">
        <f>HYPERLINK("https://klasma.github.io/Logging_2321/tillsyn/A 65517-2020 tillsynsbegäran.docx", "A 65517-2020")</f>
        <v/>
      </c>
      <c r="Y155">
        <f>HYPERLINK("https://klasma.github.io/Logging_2321/tillsynsmail/A 65517-2020 tillsynsbegäran mail.docx", "A 65517-2020")</f>
        <v/>
      </c>
    </row>
    <row r="156" ht="15" customHeight="1">
      <c r="A156" t="inlineStr">
        <is>
          <t>A 65446-2020</t>
        </is>
      </c>
      <c r="B156" s="1" t="n">
        <v>44173</v>
      </c>
      <c r="C156" s="1" t="n">
        <v>45505</v>
      </c>
      <c r="D156" t="inlineStr">
        <is>
          <t>JÄMTLANDS LÄN</t>
        </is>
      </c>
      <c r="E156" t="inlineStr">
        <is>
          <t>ÅRE</t>
        </is>
      </c>
      <c r="G156" t="n">
        <v>7.2</v>
      </c>
      <c r="H156" t="n">
        <v>0</v>
      </c>
      <c r="I156" t="n">
        <v>0</v>
      </c>
      <c r="J156" t="n">
        <v>1</v>
      </c>
      <c r="K156" t="n">
        <v>0</v>
      </c>
      <c r="L156" t="n">
        <v>0</v>
      </c>
      <c r="M156" t="n">
        <v>0</v>
      </c>
      <c r="N156" t="n">
        <v>0</v>
      </c>
      <c r="O156" t="n">
        <v>1</v>
      </c>
      <c r="P156" t="n">
        <v>0</v>
      </c>
      <c r="Q156" t="n">
        <v>1</v>
      </c>
      <c r="R156" s="2" t="inlineStr">
        <is>
          <t>Ullticka</t>
        </is>
      </c>
      <c r="S156">
        <f>HYPERLINK("https://klasma.github.io/Logging_2321/artfynd/A 65446-2020 artfynd.xlsx", "A 65446-2020")</f>
        <v/>
      </c>
      <c r="T156">
        <f>HYPERLINK("https://klasma.github.io/Logging_2321/kartor/A 65446-2020 karta.png", "A 65446-2020")</f>
        <v/>
      </c>
      <c r="V156">
        <f>HYPERLINK("https://klasma.github.io/Logging_2321/klagomål/A 65446-2020 FSC-klagomål.docx", "A 65446-2020")</f>
        <v/>
      </c>
      <c r="W156">
        <f>HYPERLINK("https://klasma.github.io/Logging_2321/klagomålsmail/A 65446-2020 FSC-klagomål mail.docx", "A 65446-2020")</f>
        <v/>
      </c>
      <c r="X156">
        <f>HYPERLINK("https://klasma.github.io/Logging_2321/tillsyn/A 65446-2020 tillsynsbegäran.docx", "A 65446-2020")</f>
        <v/>
      </c>
      <c r="Y156">
        <f>HYPERLINK("https://klasma.github.io/Logging_2321/tillsynsmail/A 65446-2020 tillsynsbegäran mail.docx", "A 65446-2020")</f>
        <v/>
      </c>
    </row>
    <row r="157" ht="15" customHeight="1">
      <c r="A157" t="inlineStr">
        <is>
          <t>A 2422-2021</t>
        </is>
      </c>
      <c r="B157" s="1" t="n">
        <v>44214</v>
      </c>
      <c r="C157" s="1" t="n">
        <v>45505</v>
      </c>
      <c r="D157" t="inlineStr">
        <is>
          <t>JÄMTLANDS LÄN</t>
        </is>
      </c>
      <c r="E157" t="inlineStr">
        <is>
          <t>ÅRE</t>
        </is>
      </c>
      <c r="G157" t="n">
        <v>3.3</v>
      </c>
      <c r="H157" t="n">
        <v>1</v>
      </c>
      <c r="I157" t="n">
        <v>0</v>
      </c>
      <c r="J157" t="n">
        <v>0</v>
      </c>
      <c r="K157" t="n">
        <v>0</v>
      </c>
      <c r="L157" t="n">
        <v>0</v>
      </c>
      <c r="M157" t="n">
        <v>0</v>
      </c>
      <c r="N157" t="n">
        <v>0</v>
      </c>
      <c r="O157" t="n">
        <v>0</v>
      </c>
      <c r="P157" t="n">
        <v>0</v>
      </c>
      <c r="Q157" t="n">
        <v>1</v>
      </c>
      <c r="R157" s="2" t="inlineStr">
        <is>
          <t>Fläcknycklar</t>
        </is>
      </c>
      <c r="S157">
        <f>HYPERLINK("https://klasma.github.io/Logging_2321/artfynd/A 2422-2021 artfynd.xlsx", "A 2422-2021")</f>
        <v/>
      </c>
      <c r="T157">
        <f>HYPERLINK("https://klasma.github.io/Logging_2321/kartor/A 2422-2021 karta.png", "A 2422-2021")</f>
        <v/>
      </c>
      <c r="V157">
        <f>HYPERLINK("https://klasma.github.io/Logging_2321/klagomål/A 2422-2021 FSC-klagomål.docx", "A 2422-2021")</f>
        <v/>
      </c>
      <c r="W157">
        <f>HYPERLINK("https://klasma.github.io/Logging_2321/klagomålsmail/A 2422-2021 FSC-klagomål mail.docx", "A 2422-2021")</f>
        <v/>
      </c>
      <c r="X157">
        <f>HYPERLINK("https://klasma.github.io/Logging_2321/tillsyn/A 2422-2021 tillsynsbegäran.docx", "A 2422-2021")</f>
        <v/>
      </c>
      <c r="Y157">
        <f>HYPERLINK("https://klasma.github.io/Logging_2321/tillsynsmail/A 2422-2021 tillsynsbegäran mail.docx", "A 2422-2021")</f>
        <v/>
      </c>
    </row>
    <row r="158" ht="15" customHeight="1">
      <c r="A158" t="inlineStr">
        <is>
          <t>A 11781-2021</t>
        </is>
      </c>
      <c r="B158" s="1" t="n">
        <v>44265</v>
      </c>
      <c r="C158" s="1" t="n">
        <v>45505</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11767-2021</t>
        </is>
      </c>
      <c r="B159" s="1" t="n">
        <v>44265</v>
      </c>
      <c r="C159" s="1" t="n">
        <v>45505</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11767-2021 artfynd.xlsx", "A 11767-2021")</f>
        <v/>
      </c>
      <c r="T159">
        <f>HYPERLINK("https://klasma.github.io/Logging_2321/kartor/A 11767-2021 karta.png", "A 11767-2021")</f>
        <v/>
      </c>
      <c r="V159">
        <f>HYPERLINK("https://klasma.github.io/Logging_2321/klagomål/A 11767-2021 FSC-klagomål.docx", "A 11767-2021")</f>
        <v/>
      </c>
      <c r="W159">
        <f>HYPERLINK("https://klasma.github.io/Logging_2321/klagomålsmail/A 11767-2021 FSC-klagomål mail.docx", "A 11767-2021")</f>
        <v/>
      </c>
      <c r="X159">
        <f>HYPERLINK("https://klasma.github.io/Logging_2321/tillsyn/A 11767-2021 tillsynsbegäran.docx", "A 11767-2021")</f>
        <v/>
      </c>
      <c r="Y159">
        <f>HYPERLINK("https://klasma.github.io/Logging_2321/tillsynsmail/A 11767-2021 tillsynsbegäran mail.docx", "A 11767-2021")</f>
        <v/>
      </c>
      <c r="Z159">
        <f>HYPERLINK("https://klasma.github.io/Logging_2321/fåglar/A 11767-2021 prioriterade fågelarter.docx", "A 11767-2021")</f>
        <v/>
      </c>
    </row>
    <row r="160" ht="15" customHeight="1">
      <c r="A160" t="inlineStr">
        <is>
          <t>A 12970-2021</t>
        </is>
      </c>
      <c r="B160" s="1" t="n">
        <v>44271</v>
      </c>
      <c r="C160" s="1" t="n">
        <v>45505</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12970-2021 artfynd.xlsx", "A 12970-2021")</f>
        <v/>
      </c>
      <c r="T160">
        <f>HYPERLINK("https://klasma.github.io/Logging_2321/kartor/A 12970-2021 karta.png", "A 12970-2021")</f>
        <v/>
      </c>
      <c r="V160">
        <f>HYPERLINK("https://klasma.github.io/Logging_2321/klagomål/A 12970-2021 FSC-klagomål.docx", "A 12970-2021")</f>
        <v/>
      </c>
      <c r="W160">
        <f>HYPERLINK("https://klasma.github.io/Logging_2321/klagomålsmail/A 12970-2021 FSC-klagomål mail.docx", "A 12970-2021")</f>
        <v/>
      </c>
      <c r="X160">
        <f>HYPERLINK("https://klasma.github.io/Logging_2321/tillsyn/A 12970-2021 tillsynsbegäran.docx", "A 12970-2021")</f>
        <v/>
      </c>
      <c r="Y160">
        <f>HYPERLINK("https://klasma.github.io/Logging_2321/tillsynsmail/A 12970-2021 tillsynsbegäran mail.docx", "A 12970-2021")</f>
        <v/>
      </c>
    </row>
    <row r="161" ht="15" customHeight="1">
      <c r="A161" t="inlineStr">
        <is>
          <t>A 18543-2021</t>
        </is>
      </c>
      <c r="B161" s="1" t="n">
        <v>44306</v>
      </c>
      <c r="C161" s="1" t="n">
        <v>45505</v>
      </c>
      <c r="D161" t="inlineStr">
        <is>
          <t>JÄMTLANDS LÄN</t>
        </is>
      </c>
      <c r="E161" t="inlineStr">
        <is>
          <t>ÅRE</t>
        </is>
      </c>
      <c r="G161" t="n">
        <v>1.7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18543-2021 artfynd.xlsx", "A 18543-2021")</f>
        <v/>
      </c>
      <c r="T161">
        <f>HYPERLINK("https://klasma.github.io/Logging_2321/kartor/A 18543-2021 karta.png", "A 18543-2021")</f>
        <v/>
      </c>
      <c r="V161">
        <f>HYPERLINK("https://klasma.github.io/Logging_2321/klagomål/A 18543-2021 FSC-klagomål.docx", "A 18543-2021")</f>
        <v/>
      </c>
      <c r="W161">
        <f>HYPERLINK("https://klasma.github.io/Logging_2321/klagomålsmail/A 18543-2021 FSC-klagomål mail.docx", "A 18543-2021")</f>
        <v/>
      </c>
      <c r="X161">
        <f>HYPERLINK("https://klasma.github.io/Logging_2321/tillsyn/A 18543-2021 tillsynsbegäran.docx", "A 18543-2021")</f>
        <v/>
      </c>
      <c r="Y161">
        <f>HYPERLINK("https://klasma.github.io/Logging_2321/tillsynsmail/A 18543-2021 tillsynsbegäran mail.docx", "A 18543-2021")</f>
        <v/>
      </c>
      <c r="Z161">
        <f>HYPERLINK("https://klasma.github.io/Logging_2321/fåglar/A 18543-2021 prioriterade fågelarter.docx", "A 18543-2021")</f>
        <v/>
      </c>
    </row>
    <row r="162" ht="15" customHeight="1">
      <c r="A162" t="inlineStr">
        <is>
          <t>A 20500-2021</t>
        </is>
      </c>
      <c r="B162" s="1" t="n">
        <v>44315</v>
      </c>
      <c r="C162" s="1" t="n">
        <v>45505</v>
      </c>
      <c r="D162" t="inlineStr">
        <is>
          <t>JÄMTLANDS LÄN</t>
        </is>
      </c>
      <c r="E162" t="inlineStr">
        <is>
          <t>ÅRE</t>
        </is>
      </c>
      <c r="G162" t="n">
        <v>3</v>
      </c>
      <c r="H162" t="n">
        <v>0</v>
      </c>
      <c r="I162" t="n">
        <v>1</v>
      </c>
      <c r="J162" t="n">
        <v>0</v>
      </c>
      <c r="K162" t="n">
        <v>0</v>
      </c>
      <c r="L162" t="n">
        <v>0</v>
      </c>
      <c r="M162" t="n">
        <v>0</v>
      </c>
      <c r="N162" t="n">
        <v>0</v>
      </c>
      <c r="O162" t="n">
        <v>0</v>
      </c>
      <c r="P162" t="n">
        <v>0</v>
      </c>
      <c r="Q162" t="n">
        <v>1</v>
      </c>
      <c r="R162" s="2" t="inlineStr">
        <is>
          <t>Svart trolldruva</t>
        </is>
      </c>
      <c r="S162">
        <f>HYPERLINK("https://klasma.github.io/Logging_2321/artfynd/A 20500-2021 artfynd.xlsx", "A 20500-2021")</f>
        <v/>
      </c>
      <c r="T162">
        <f>HYPERLINK("https://klasma.github.io/Logging_2321/kartor/A 20500-2021 karta.png", "A 20500-2021")</f>
        <v/>
      </c>
      <c r="V162">
        <f>HYPERLINK("https://klasma.github.io/Logging_2321/klagomål/A 20500-2021 FSC-klagomål.docx", "A 20500-2021")</f>
        <v/>
      </c>
      <c r="W162">
        <f>HYPERLINK("https://klasma.github.io/Logging_2321/klagomålsmail/A 20500-2021 FSC-klagomål mail.docx", "A 20500-2021")</f>
        <v/>
      </c>
      <c r="X162">
        <f>HYPERLINK("https://klasma.github.io/Logging_2321/tillsyn/A 20500-2021 tillsynsbegäran.docx", "A 20500-2021")</f>
        <v/>
      </c>
      <c r="Y162">
        <f>HYPERLINK("https://klasma.github.io/Logging_2321/tillsynsmail/A 20500-2021 tillsynsbegäran mail.docx", "A 20500-2021")</f>
        <v/>
      </c>
    </row>
    <row r="163" ht="15" customHeight="1">
      <c r="A163" t="inlineStr">
        <is>
          <t>A 23556-2021</t>
        </is>
      </c>
      <c r="B163" s="1" t="n">
        <v>44334</v>
      </c>
      <c r="C163" s="1" t="n">
        <v>45505</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37082-2021</t>
        </is>
      </c>
      <c r="B164" s="1" t="n">
        <v>44395</v>
      </c>
      <c r="C164" s="1" t="n">
        <v>45505</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56193-2021</t>
        </is>
      </c>
      <c r="B165" s="1" t="n">
        <v>44477</v>
      </c>
      <c r="C165" s="1" t="n">
        <v>45505</v>
      </c>
      <c r="D165" t="inlineStr">
        <is>
          <t>JÄMTLANDS LÄN</t>
        </is>
      </c>
      <c r="E165" t="inlineStr">
        <is>
          <t>ÅRE</t>
        </is>
      </c>
      <c r="F165" t="inlineStr">
        <is>
          <t>Övriga Aktiebolag</t>
        </is>
      </c>
      <c r="G165" t="n">
        <v>15.5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56193-2021 artfynd.xlsx", "A 56193-2021")</f>
        <v/>
      </c>
      <c r="T165">
        <f>HYPERLINK("https://klasma.github.io/Logging_2321/kartor/A 56193-2021 karta.png", "A 56193-2021")</f>
        <v/>
      </c>
      <c r="V165">
        <f>HYPERLINK("https://klasma.github.io/Logging_2321/klagomål/A 56193-2021 FSC-klagomål.docx", "A 56193-2021")</f>
        <v/>
      </c>
      <c r="W165">
        <f>HYPERLINK("https://klasma.github.io/Logging_2321/klagomålsmail/A 56193-2021 FSC-klagomål mail.docx", "A 56193-2021")</f>
        <v/>
      </c>
      <c r="X165">
        <f>HYPERLINK("https://klasma.github.io/Logging_2321/tillsyn/A 56193-2021 tillsynsbegäran.docx", "A 56193-2021")</f>
        <v/>
      </c>
      <c r="Y165">
        <f>HYPERLINK("https://klasma.github.io/Logging_2321/tillsynsmail/A 56193-2021 tillsynsbegäran mail.docx", "A 56193-2021")</f>
        <v/>
      </c>
      <c r="Z165">
        <f>HYPERLINK("https://klasma.github.io/Logging_2321/fåglar/A 56193-2021 prioriterade fågelarter.docx", "A 56193-2021")</f>
        <v/>
      </c>
    </row>
    <row r="166" ht="15" customHeight="1">
      <c r="A166" t="inlineStr">
        <is>
          <t>A 58117-2021</t>
        </is>
      </c>
      <c r="B166" s="1" t="n">
        <v>44487</v>
      </c>
      <c r="C166" s="1" t="n">
        <v>45505</v>
      </c>
      <c r="D166" t="inlineStr">
        <is>
          <t>JÄMTLANDS LÄN</t>
        </is>
      </c>
      <c r="E166" t="inlineStr">
        <is>
          <t>ÅRE</t>
        </is>
      </c>
      <c r="G166" t="n">
        <v>40.9</v>
      </c>
      <c r="H166" t="n">
        <v>0</v>
      </c>
      <c r="I166" t="n">
        <v>1</v>
      </c>
      <c r="J166" t="n">
        <v>0</v>
      </c>
      <c r="K166" t="n">
        <v>0</v>
      </c>
      <c r="L166" t="n">
        <v>0</v>
      </c>
      <c r="M166" t="n">
        <v>0</v>
      </c>
      <c r="N166" t="n">
        <v>0</v>
      </c>
      <c r="O166" t="n">
        <v>0</v>
      </c>
      <c r="P166" t="n">
        <v>0</v>
      </c>
      <c r="Q166" t="n">
        <v>1</v>
      </c>
      <c r="R166" s="2" t="inlineStr">
        <is>
          <t>Stuplav</t>
        </is>
      </c>
      <c r="S166">
        <f>HYPERLINK("https://klasma.github.io/Logging_2321/artfynd/A 58117-2021 artfynd.xlsx", "A 58117-2021")</f>
        <v/>
      </c>
      <c r="T166">
        <f>HYPERLINK("https://klasma.github.io/Logging_2321/kartor/A 58117-2021 karta.png", "A 58117-2021")</f>
        <v/>
      </c>
      <c r="V166">
        <f>HYPERLINK("https://klasma.github.io/Logging_2321/klagomål/A 58117-2021 FSC-klagomål.docx", "A 58117-2021")</f>
        <v/>
      </c>
      <c r="W166">
        <f>HYPERLINK("https://klasma.github.io/Logging_2321/klagomålsmail/A 58117-2021 FSC-klagomål mail.docx", "A 58117-2021")</f>
        <v/>
      </c>
      <c r="X166">
        <f>HYPERLINK("https://klasma.github.io/Logging_2321/tillsyn/A 58117-2021 tillsynsbegäran.docx", "A 58117-2021")</f>
        <v/>
      </c>
      <c r="Y166">
        <f>HYPERLINK("https://klasma.github.io/Logging_2321/tillsynsmail/A 58117-2021 tillsynsbegäran mail.docx", "A 58117-2021")</f>
        <v/>
      </c>
    </row>
    <row r="167" ht="15" customHeight="1">
      <c r="A167" t="inlineStr">
        <is>
          <t>A 58239-2021</t>
        </is>
      </c>
      <c r="B167" s="1" t="n">
        <v>44487</v>
      </c>
      <c r="C167" s="1" t="n">
        <v>45505</v>
      </c>
      <c r="D167" t="inlineStr">
        <is>
          <t>JÄMTLANDS LÄN</t>
        </is>
      </c>
      <c r="E167" t="inlineStr">
        <is>
          <t>ÅRE</t>
        </is>
      </c>
      <c r="G167" t="n">
        <v>25</v>
      </c>
      <c r="H167" t="n">
        <v>0</v>
      </c>
      <c r="I167" t="n">
        <v>0</v>
      </c>
      <c r="J167" t="n">
        <v>0</v>
      </c>
      <c r="K167" t="n">
        <v>1</v>
      </c>
      <c r="L167" t="n">
        <v>0</v>
      </c>
      <c r="M167" t="n">
        <v>0</v>
      </c>
      <c r="N167" t="n">
        <v>0</v>
      </c>
      <c r="O167" t="n">
        <v>1</v>
      </c>
      <c r="P167" t="n">
        <v>1</v>
      </c>
      <c r="Q167" t="n">
        <v>1</v>
      </c>
      <c r="R167" s="2" t="inlineStr">
        <is>
          <t>Rynkskinn</t>
        </is>
      </c>
      <c r="S167">
        <f>HYPERLINK("https://klasma.github.io/Logging_2321/artfynd/A 58239-2021 artfynd.xlsx", "A 58239-2021")</f>
        <v/>
      </c>
      <c r="T167">
        <f>HYPERLINK("https://klasma.github.io/Logging_2321/kartor/A 58239-2021 karta.png", "A 58239-2021")</f>
        <v/>
      </c>
      <c r="V167">
        <f>HYPERLINK("https://klasma.github.io/Logging_2321/klagomål/A 58239-2021 FSC-klagomål.docx", "A 58239-2021")</f>
        <v/>
      </c>
      <c r="W167">
        <f>HYPERLINK("https://klasma.github.io/Logging_2321/klagomålsmail/A 58239-2021 FSC-klagomål mail.docx", "A 58239-2021")</f>
        <v/>
      </c>
      <c r="X167">
        <f>HYPERLINK("https://klasma.github.io/Logging_2321/tillsyn/A 58239-2021 tillsynsbegäran.docx", "A 58239-2021")</f>
        <v/>
      </c>
      <c r="Y167">
        <f>HYPERLINK("https://klasma.github.io/Logging_2321/tillsynsmail/A 58239-2021 tillsynsbegäran mail.docx", "A 58239-2021")</f>
        <v/>
      </c>
    </row>
    <row r="168" ht="15" customHeight="1">
      <c r="A168" t="inlineStr">
        <is>
          <t>A 58226-2021</t>
        </is>
      </c>
      <c r="B168" s="1" t="n">
        <v>44487</v>
      </c>
      <c r="C168" s="1" t="n">
        <v>45505</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62188-2021</t>
        </is>
      </c>
      <c r="B169" s="1" t="n">
        <v>44502</v>
      </c>
      <c r="C169" s="1" t="n">
        <v>45505</v>
      </c>
      <c r="D169" t="inlineStr">
        <is>
          <t>JÄMTLANDS LÄN</t>
        </is>
      </c>
      <c r="E169" t="inlineStr">
        <is>
          <t>ÅRE</t>
        </is>
      </c>
      <c r="G169" t="n">
        <v>2.5</v>
      </c>
      <c r="H169" t="n">
        <v>0</v>
      </c>
      <c r="I169" t="n">
        <v>1</v>
      </c>
      <c r="J169" t="n">
        <v>0</v>
      </c>
      <c r="K169" t="n">
        <v>0</v>
      </c>
      <c r="L169" t="n">
        <v>0</v>
      </c>
      <c r="M169" t="n">
        <v>0</v>
      </c>
      <c r="N169" t="n">
        <v>0</v>
      </c>
      <c r="O169" t="n">
        <v>0</v>
      </c>
      <c r="P169" t="n">
        <v>0</v>
      </c>
      <c r="Q169" t="n">
        <v>1</v>
      </c>
      <c r="R169" s="2" t="inlineStr">
        <is>
          <t>Svart trolldruva</t>
        </is>
      </c>
      <c r="S169">
        <f>HYPERLINK("https://klasma.github.io/Logging_2321/artfynd/A 62188-2021 artfynd.xlsx", "A 62188-2021")</f>
        <v/>
      </c>
      <c r="T169">
        <f>HYPERLINK("https://klasma.github.io/Logging_2321/kartor/A 62188-2021 karta.png", "A 62188-2021")</f>
        <v/>
      </c>
      <c r="V169">
        <f>HYPERLINK("https://klasma.github.io/Logging_2321/klagomål/A 62188-2021 FSC-klagomål.docx", "A 62188-2021")</f>
        <v/>
      </c>
      <c r="W169">
        <f>HYPERLINK("https://klasma.github.io/Logging_2321/klagomålsmail/A 62188-2021 FSC-klagomål mail.docx", "A 62188-2021")</f>
        <v/>
      </c>
      <c r="X169">
        <f>HYPERLINK("https://klasma.github.io/Logging_2321/tillsyn/A 62188-2021 tillsynsbegäran.docx", "A 62188-2021")</f>
        <v/>
      </c>
      <c r="Y169">
        <f>HYPERLINK("https://klasma.github.io/Logging_2321/tillsynsmail/A 62188-2021 tillsynsbegäran mail.docx", "A 62188-2021")</f>
        <v/>
      </c>
    </row>
    <row r="170" ht="15" customHeight="1">
      <c r="A170" t="inlineStr">
        <is>
          <t>A 63975-2021</t>
        </is>
      </c>
      <c r="B170" s="1" t="n">
        <v>44509</v>
      </c>
      <c r="C170" s="1" t="n">
        <v>45505</v>
      </c>
      <c r="D170" t="inlineStr">
        <is>
          <t>JÄMTLANDS LÄN</t>
        </is>
      </c>
      <c r="E170" t="inlineStr">
        <is>
          <t>ÅRE</t>
        </is>
      </c>
      <c r="G170" t="n">
        <v>2.4</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63975-2021 artfynd.xlsx", "A 63975-2021")</f>
        <v/>
      </c>
      <c r="T170">
        <f>HYPERLINK("https://klasma.github.io/Logging_2321/kartor/A 63975-2021 karta.png", "A 63975-2021")</f>
        <v/>
      </c>
      <c r="V170">
        <f>HYPERLINK("https://klasma.github.io/Logging_2321/klagomål/A 63975-2021 FSC-klagomål.docx", "A 63975-2021")</f>
        <v/>
      </c>
      <c r="W170">
        <f>HYPERLINK("https://klasma.github.io/Logging_2321/klagomålsmail/A 63975-2021 FSC-klagomål mail.docx", "A 63975-2021")</f>
        <v/>
      </c>
      <c r="X170">
        <f>HYPERLINK("https://klasma.github.io/Logging_2321/tillsyn/A 63975-2021 tillsynsbegäran.docx", "A 63975-2021")</f>
        <v/>
      </c>
      <c r="Y170">
        <f>HYPERLINK("https://klasma.github.io/Logging_2321/tillsynsmail/A 63975-2021 tillsynsbegäran mail.docx", "A 63975-2021")</f>
        <v/>
      </c>
    </row>
    <row r="171" ht="15" customHeight="1">
      <c r="A171" t="inlineStr">
        <is>
          <t>A 74392-2021</t>
        </is>
      </c>
      <c r="B171" s="1" t="n">
        <v>44559</v>
      </c>
      <c r="C171" s="1" t="n">
        <v>45505</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12242-2022</t>
        </is>
      </c>
      <c r="B172" s="1" t="n">
        <v>44637</v>
      </c>
      <c r="C172" s="1" t="n">
        <v>45505</v>
      </c>
      <c r="D172" t="inlineStr">
        <is>
          <t>JÄMTLANDS LÄN</t>
        </is>
      </c>
      <c r="E172" t="inlineStr">
        <is>
          <t>ÅRE</t>
        </is>
      </c>
      <c r="G172" t="n">
        <v>53.4</v>
      </c>
      <c r="H172" t="n">
        <v>0</v>
      </c>
      <c r="I172" t="n">
        <v>0</v>
      </c>
      <c r="J172" t="n">
        <v>1</v>
      </c>
      <c r="K172" t="n">
        <v>0</v>
      </c>
      <c r="L172" t="n">
        <v>0</v>
      </c>
      <c r="M172" t="n">
        <v>0</v>
      </c>
      <c r="N172" t="n">
        <v>0</v>
      </c>
      <c r="O172" t="n">
        <v>1</v>
      </c>
      <c r="P172" t="n">
        <v>0</v>
      </c>
      <c r="Q172" t="n">
        <v>1</v>
      </c>
      <c r="R172" s="2" t="inlineStr">
        <is>
          <t>Granticka</t>
        </is>
      </c>
      <c r="S172">
        <f>HYPERLINK("https://klasma.github.io/Logging_2321/artfynd/A 12242-2022 artfynd.xlsx", "A 12242-2022")</f>
        <v/>
      </c>
      <c r="T172">
        <f>HYPERLINK("https://klasma.github.io/Logging_2321/kartor/A 12242-2022 karta.png", "A 12242-2022")</f>
        <v/>
      </c>
      <c r="V172">
        <f>HYPERLINK("https://klasma.github.io/Logging_2321/klagomål/A 12242-2022 FSC-klagomål.docx", "A 12242-2022")</f>
        <v/>
      </c>
      <c r="W172">
        <f>HYPERLINK("https://klasma.github.io/Logging_2321/klagomålsmail/A 12242-2022 FSC-klagomål mail.docx", "A 12242-2022")</f>
        <v/>
      </c>
      <c r="X172">
        <f>HYPERLINK("https://klasma.github.io/Logging_2321/tillsyn/A 12242-2022 tillsynsbegäran.docx", "A 12242-2022")</f>
        <v/>
      </c>
      <c r="Y172">
        <f>HYPERLINK("https://klasma.github.io/Logging_2321/tillsynsmail/A 12242-2022 tillsynsbegäran mail.docx", "A 12242-2022")</f>
        <v/>
      </c>
    </row>
    <row r="173" ht="15" customHeight="1">
      <c r="A173" t="inlineStr">
        <is>
          <t>A 17692-2022</t>
        </is>
      </c>
      <c r="B173" s="1" t="n">
        <v>44680</v>
      </c>
      <c r="C173" s="1" t="n">
        <v>45505</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18851-2022</t>
        </is>
      </c>
      <c r="B174" s="1" t="n">
        <v>44690</v>
      </c>
      <c r="C174" s="1" t="n">
        <v>45505</v>
      </c>
      <c r="D174" t="inlineStr">
        <is>
          <t>JÄMTLANDS LÄN</t>
        </is>
      </c>
      <c r="E174" t="inlineStr">
        <is>
          <t>ÅRE</t>
        </is>
      </c>
      <c r="G174" t="n">
        <v>10.4</v>
      </c>
      <c r="H174" t="n">
        <v>0</v>
      </c>
      <c r="I174" t="n">
        <v>0</v>
      </c>
      <c r="J174" t="n">
        <v>1</v>
      </c>
      <c r="K174" t="n">
        <v>0</v>
      </c>
      <c r="L174" t="n">
        <v>0</v>
      </c>
      <c r="M174" t="n">
        <v>0</v>
      </c>
      <c r="N174" t="n">
        <v>0</v>
      </c>
      <c r="O174" t="n">
        <v>1</v>
      </c>
      <c r="P174" t="n">
        <v>0</v>
      </c>
      <c r="Q174" t="n">
        <v>1</v>
      </c>
      <c r="R174" s="2" t="inlineStr">
        <is>
          <t>Garnlav</t>
        </is>
      </c>
      <c r="S174">
        <f>HYPERLINK("https://klasma.github.io/Logging_2321/artfynd/A 18851-2022 artfynd.xlsx", "A 18851-2022")</f>
        <v/>
      </c>
      <c r="T174">
        <f>HYPERLINK("https://klasma.github.io/Logging_2321/kartor/A 18851-2022 karta.png", "A 18851-2022")</f>
        <v/>
      </c>
      <c r="V174">
        <f>HYPERLINK("https://klasma.github.io/Logging_2321/klagomål/A 18851-2022 FSC-klagomål.docx", "A 18851-2022")</f>
        <v/>
      </c>
      <c r="W174">
        <f>HYPERLINK("https://klasma.github.io/Logging_2321/klagomålsmail/A 18851-2022 FSC-klagomål mail.docx", "A 18851-2022")</f>
        <v/>
      </c>
      <c r="X174">
        <f>HYPERLINK("https://klasma.github.io/Logging_2321/tillsyn/A 18851-2022 tillsynsbegäran.docx", "A 18851-2022")</f>
        <v/>
      </c>
      <c r="Y174">
        <f>HYPERLINK("https://klasma.github.io/Logging_2321/tillsynsmail/A 18851-2022 tillsynsbegäran mail.docx", "A 18851-2022")</f>
        <v/>
      </c>
    </row>
    <row r="175" ht="15" customHeight="1">
      <c r="A175" t="inlineStr">
        <is>
          <t>A 32216-2022</t>
        </is>
      </c>
      <c r="B175" s="1" t="n">
        <v>44781</v>
      </c>
      <c r="C175" s="1" t="n">
        <v>45505</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40614-2022</t>
        </is>
      </c>
      <c r="B176" s="1" t="n">
        <v>44824</v>
      </c>
      <c r="C176" s="1" t="n">
        <v>45505</v>
      </c>
      <c r="D176" t="inlineStr">
        <is>
          <t>JÄMTLANDS LÄN</t>
        </is>
      </c>
      <c r="E176" t="inlineStr">
        <is>
          <t>ÅRE</t>
        </is>
      </c>
      <c r="F176" t="inlineStr">
        <is>
          <t>Övriga Aktiebolag</t>
        </is>
      </c>
      <c r="G176" t="n">
        <v>23.2</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40614-2022 artfynd.xlsx", "A 40614-2022")</f>
        <v/>
      </c>
      <c r="T176">
        <f>HYPERLINK("https://klasma.github.io/Logging_2321/kartor/A 40614-2022 karta.png", "A 40614-2022")</f>
        <v/>
      </c>
      <c r="V176">
        <f>HYPERLINK("https://klasma.github.io/Logging_2321/klagomål/A 40614-2022 FSC-klagomål.docx", "A 40614-2022")</f>
        <v/>
      </c>
      <c r="W176">
        <f>HYPERLINK("https://klasma.github.io/Logging_2321/klagomålsmail/A 40614-2022 FSC-klagomål mail.docx", "A 40614-2022")</f>
        <v/>
      </c>
      <c r="X176">
        <f>HYPERLINK("https://klasma.github.io/Logging_2321/tillsyn/A 40614-2022 tillsynsbegäran.docx", "A 40614-2022")</f>
        <v/>
      </c>
      <c r="Y176">
        <f>HYPERLINK("https://klasma.github.io/Logging_2321/tillsynsmail/A 40614-2022 tillsynsbegäran mail.docx", "A 40614-2022")</f>
        <v/>
      </c>
      <c r="Z176">
        <f>HYPERLINK("https://klasma.github.io/Logging_2321/fåglar/A 40614-2022 prioriterade fågelarter.docx", "A 40614-2022")</f>
        <v/>
      </c>
    </row>
    <row r="177" ht="15" customHeight="1">
      <c r="A177" t="inlineStr">
        <is>
          <t>A 55194-2022</t>
        </is>
      </c>
      <c r="B177" s="1" t="n">
        <v>44886</v>
      </c>
      <c r="C177" s="1" t="n">
        <v>45505</v>
      </c>
      <c r="D177" t="inlineStr">
        <is>
          <t>JÄMTLANDS LÄN</t>
        </is>
      </c>
      <c r="E177" t="inlineStr">
        <is>
          <t>ÅRE</t>
        </is>
      </c>
      <c r="F177" t="inlineStr">
        <is>
          <t>Övriga Aktiebolag</t>
        </is>
      </c>
      <c r="G177" t="n">
        <v>1.7</v>
      </c>
      <c r="H177" t="n">
        <v>0</v>
      </c>
      <c r="I177" t="n">
        <v>0</v>
      </c>
      <c r="J177" t="n">
        <v>1</v>
      </c>
      <c r="K177" t="n">
        <v>0</v>
      </c>
      <c r="L177" t="n">
        <v>0</v>
      </c>
      <c r="M177" t="n">
        <v>0</v>
      </c>
      <c r="N177" t="n">
        <v>0</v>
      </c>
      <c r="O177" t="n">
        <v>1</v>
      </c>
      <c r="P177" t="n">
        <v>0</v>
      </c>
      <c r="Q177" t="n">
        <v>1</v>
      </c>
      <c r="R177" s="2" t="inlineStr">
        <is>
          <t>Vitskaftad svartspik</t>
        </is>
      </c>
      <c r="S177">
        <f>HYPERLINK("https://klasma.github.io/Logging_2321/artfynd/A 55194-2022 artfynd.xlsx", "A 55194-2022")</f>
        <v/>
      </c>
      <c r="T177">
        <f>HYPERLINK("https://klasma.github.io/Logging_2321/kartor/A 55194-2022 karta.png", "A 55194-2022")</f>
        <v/>
      </c>
      <c r="V177">
        <f>HYPERLINK("https://klasma.github.io/Logging_2321/klagomål/A 55194-2022 FSC-klagomål.docx", "A 55194-2022")</f>
        <v/>
      </c>
      <c r="W177">
        <f>HYPERLINK("https://klasma.github.io/Logging_2321/klagomålsmail/A 55194-2022 FSC-klagomål mail.docx", "A 55194-2022")</f>
        <v/>
      </c>
      <c r="X177">
        <f>HYPERLINK("https://klasma.github.io/Logging_2321/tillsyn/A 55194-2022 tillsynsbegäran.docx", "A 55194-2022")</f>
        <v/>
      </c>
      <c r="Y177">
        <f>HYPERLINK("https://klasma.github.io/Logging_2321/tillsynsmail/A 55194-2022 tillsynsbegäran mail.docx", "A 55194-2022")</f>
        <v/>
      </c>
    </row>
    <row r="178" ht="15" customHeight="1">
      <c r="A178" t="inlineStr">
        <is>
          <t>A 55805-2022</t>
        </is>
      </c>
      <c r="B178" s="1" t="n">
        <v>44888</v>
      </c>
      <c r="C178" s="1" t="n">
        <v>45505</v>
      </c>
      <c r="D178" t="inlineStr">
        <is>
          <t>JÄMTLANDS LÄN</t>
        </is>
      </c>
      <c r="E178" t="inlineStr">
        <is>
          <t>ÅRE</t>
        </is>
      </c>
      <c r="F178" t="inlineStr">
        <is>
          <t>Övriga Aktiebolag</t>
        </is>
      </c>
      <c r="G178" t="n">
        <v>17.7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55805-2022 artfynd.xlsx", "A 55805-2022")</f>
        <v/>
      </c>
      <c r="T178">
        <f>HYPERLINK("https://klasma.github.io/Logging_2321/kartor/A 55805-2022 karta.png", "A 55805-2022")</f>
        <v/>
      </c>
      <c r="V178">
        <f>HYPERLINK("https://klasma.github.io/Logging_2321/klagomål/A 55805-2022 FSC-klagomål.docx", "A 55805-2022")</f>
        <v/>
      </c>
      <c r="W178">
        <f>HYPERLINK("https://klasma.github.io/Logging_2321/klagomålsmail/A 55805-2022 FSC-klagomål mail.docx", "A 55805-2022")</f>
        <v/>
      </c>
      <c r="X178">
        <f>HYPERLINK("https://klasma.github.io/Logging_2321/tillsyn/A 55805-2022 tillsynsbegäran.docx", "A 55805-2022")</f>
        <v/>
      </c>
      <c r="Y178">
        <f>HYPERLINK("https://klasma.github.io/Logging_2321/tillsynsmail/A 55805-2022 tillsynsbegäran mail.docx", "A 55805-2022")</f>
        <v/>
      </c>
      <c r="Z178">
        <f>HYPERLINK("https://klasma.github.io/Logging_2321/fåglar/A 55805-2022 prioriterade fågelarter.docx", "A 55805-2022")</f>
        <v/>
      </c>
    </row>
    <row r="179" ht="15" customHeight="1">
      <c r="A179" t="inlineStr">
        <is>
          <t>A 56493-2022</t>
        </is>
      </c>
      <c r="B179" s="1" t="n">
        <v>44893</v>
      </c>
      <c r="C179" s="1" t="n">
        <v>45505</v>
      </c>
      <c r="D179" t="inlineStr">
        <is>
          <t>JÄMTLANDS LÄN</t>
        </is>
      </c>
      <c r="E179" t="inlineStr">
        <is>
          <t>ÅRE</t>
        </is>
      </c>
      <c r="F179" t="inlineStr">
        <is>
          <t>Övriga Aktiebolag</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HYPERLINK("https://klasma.github.io/Logging_2321/artfynd/A 56493-2022 artfynd.xlsx", "A 56493-2022")</f>
        <v/>
      </c>
      <c r="T179">
        <f>HYPERLINK("https://klasma.github.io/Logging_2321/kartor/A 56493-2022 karta.png", "A 56493-2022")</f>
        <v/>
      </c>
      <c r="V179">
        <f>HYPERLINK("https://klasma.github.io/Logging_2321/klagomål/A 56493-2022 FSC-klagomål.docx", "A 56493-2022")</f>
        <v/>
      </c>
      <c r="W179">
        <f>HYPERLINK("https://klasma.github.io/Logging_2321/klagomålsmail/A 56493-2022 FSC-klagomål mail.docx", "A 56493-2022")</f>
        <v/>
      </c>
      <c r="X179">
        <f>HYPERLINK("https://klasma.github.io/Logging_2321/tillsyn/A 56493-2022 tillsynsbegäran.docx", "A 56493-2022")</f>
        <v/>
      </c>
      <c r="Y179">
        <f>HYPERLINK("https://klasma.github.io/Logging_2321/tillsynsmail/A 56493-2022 tillsynsbegäran mail.docx", "A 56493-2022")</f>
        <v/>
      </c>
    </row>
    <row r="180" ht="15" customHeight="1">
      <c r="A180" t="inlineStr">
        <is>
          <t>A 56603-2022</t>
        </is>
      </c>
      <c r="B180" s="1" t="n">
        <v>44893</v>
      </c>
      <c r="C180" s="1" t="n">
        <v>45505</v>
      </c>
      <c r="D180" t="inlineStr">
        <is>
          <t>JÄMTLANDS LÄN</t>
        </is>
      </c>
      <c r="E180" t="inlineStr">
        <is>
          <t>ÅRE</t>
        </is>
      </c>
      <c r="F180" t="inlineStr">
        <is>
          <t>Övriga Aktiebolag</t>
        </is>
      </c>
      <c r="G180" t="n">
        <v>14.3</v>
      </c>
      <c r="H180" t="n">
        <v>1</v>
      </c>
      <c r="I180" t="n">
        <v>0</v>
      </c>
      <c r="J180" t="n">
        <v>1</v>
      </c>
      <c r="K180" t="n">
        <v>0</v>
      </c>
      <c r="L180" t="n">
        <v>0</v>
      </c>
      <c r="M180" t="n">
        <v>0</v>
      </c>
      <c r="N180" t="n">
        <v>0</v>
      </c>
      <c r="O180" t="n">
        <v>1</v>
      </c>
      <c r="P180" t="n">
        <v>0</v>
      </c>
      <c r="Q180" t="n">
        <v>1</v>
      </c>
      <c r="R180" s="2" t="inlineStr">
        <is>
          <t>Talltita</t>
        </is>
      </c>
      <c r="S180">
        <f>HYPERLINK("https://klasma.github.io/Logging_2321/artfynd/A 56603-2022 artfynd.xlsx", "A 56603-2022")</f>
        <v/>
      </c>
      <c r="T180">
        <f>HYPERLINK("https://klasma.github.io/Logging_2321/kartor/A 56603-2022 karta.png", "A 56603-2022")</f>
        <v/>
      </c>
      <c r="V180">
        <f>HYPERLINK("https://klasma.github.io/Logging_2321/klagomål/A 56603-2022 FSC-klagomål.docx", "A 56603-2022")</f>
        <v/>
      </c>
      <c r="W180">
        <f>HYPERLINK("https://klasma.github.io/Logging_2321/klagomålsmail/A 56603-2022 FSC-klagomål mail.docx", "A 56603-2022")</f>
        <v/>
      </c>
      <c r="X180">
        <f>HYPERLINK("https://klasma.github.io/Logging_2321/tillsyn/A 56603-2022 tillsynsbegäran.docx", "A 56603-2022")</f>
        <v/>
      </c>
      <c r="Y180">
        <f>HYPERLINK("https://klasma.github.io/Logging_2321/tillsynsmail/A 56603-2022 tillsynsbegäran mail.docx", "A 56603-2022")</f>
        <v/>
      </c>
      <c r="Z180">
        <f>HYPERLINK("https://klasma.github.io/Logging_2321/fåglar/A 56603-2022 prioriterade fågelarter.docx", "A 56603-2022")</f>
        <v/>
      </c>
    </row>
    <row r="181" ht="15" customHeight="1">
      <c r="A181" t="inlineStr">
        <is>
          <t>A 57396-2022</t>
        </is>
      </c>
      <c r="B181" s="1" t="n">
        <v>44896</v>
      </c>
      <c r="C181" s="1" t="n">
        <v>45505</v>
      </c>
      <c r="D181" t="inlineStr">
        <is>
          <t>JÄMTLANDS LÄN</t>
        </is>
      </c>
      <c r="E181" t="inlineStr">
        <is>
          <t>ÅRE</t>
        </is>
      </c>
      <c r="G181" t="n">
        <v>3.1</v>
      </c>
      <c r="H181" t="n">
        <v>0</v>
      </c>
      <c r="I181" t="n">
        <v>0</v>
      </c>
      <c r="J181" t="n">
        <v>1</v>
      </c>
      <c r="K181" t="n">
        <v>0</v>
      </c>
      <c r="L181" t="n">
        <v>0</v>
      </c>
      <c r="M181" t="n">
        <v>0</v>
      </c>
      <c r="N181" t="n">
        <v>0</v>
      </c>
      <c r="O181" t="n">
        <v>1</v>
      </c>
      <c r="P181" t="n">
        <v>0</v>
      </c>
      <c r="Q181" t="n">
        <v>1</v>
      </c>
      <c r="R181" s="2" t="inlineStr">
        <is>
          <t>Granticka</t>
        </is>
      </c>
      <c r="S181">
        <f>HYPERLINK("https://klasma.github.io/Logging_2321/artfynd/A 57396-2022 artfynd.xlsx", "A 57396-2022")</f>
        <v/>
      </c>
      <c r="T181">
        <f>HYPERLINK("https://klasma.github.io/Logging_2321/kartor/A 57396-2022 karta.png", "A 57396-2022")</f>
        <v/>
      </c>
      <c r="V181">
        <f>HYPERLINK("https://klasma.github.io/Logging_2321/klagomål/A 57396-2022 FSC-klagomål.docx", "A 57396-2022")</f>
        <v/>
      </c>
      <c r="W181">
        <f>HYPERLINK("https://klasma.github.io/Logging_2321/klagomålsmail/A 57396-2022 FSC-klagomål mail.docx", "A 57396-2022")</f>
        <v/>
      </c>
      <c r="X181">
        <f>HYPERLINK("https://klasma.github.io/Logging_2321/tillsyn/A 57396-2022 tillsynsbegäran.docx", "A 57396-2022")</f>
        <v/>
      </c>
      <c r="Y181">
        <f>HYPERLINK("https://klasma.github.io/Logging_2321/tillsynsmail/A 57396-2022 tillsynsbegäran mail.docx", "A 57396-2022")</f>
        <v/>
      </c>
    </row>
    <row r="182" ht="15" customHeight="1">
      <c r="A182" t="inlineStr">
        <is>
          <t>A 60544-2022</t>
        </is>
      </c>
      <c r="B182" s="1" t="n">
        <v>44904</v>
      </c>
      <c r="C182" s="1" t="n">
        <v>45505</v>
      </c>
      <c r="D182" t="inlineStr">
        <is>
          <t>JÄMTLANDS LÄN</t>
        </is>
      </c>
      <c r="E182" t="inlineStr">
        <is>
          <t>ÅRE</t>
        </is>
      </c>
      <c r="G182" t="n">
        <v>1.2</v>
      </c>
      <c r="H182" t="n">
        <v>1</v>
      </c>
      <c r="I182" t="n">
        <v>0</v>
      </c>
      <c r="J182" t="n">
        <v>1</v>
      </c>
      <c r="K182" t="n">
        <v>0</v>
      </c>
      <c r="L182" t="n">
        <v>0</v>
      </c>
      <c r="M182" t="n">
        <v>0</v>
      </c>
      <c r="N182" t="n">
        <v>0</v>
      </c>
      <c r="O182" t="n">
        <v>1</v>
      </c>
      <c r="P182" t="n">
        <v>0</v>
      </c>
      <c r="Q182" t="n">
        <v>1</v>
      </c>
      <c r="R182" s="2" t="inlineStr">
        <is>
          <t>Järpe</t>
        </is>
      </c>
      <c r="S182">
        <f>HYPERLINK("https://klasma.github.io/Logging_2321/artfynd/A 60544-2022 artfynd.xlsx", "A 60544-2022")</f>
        <v/>
      </c>
      <c r="T182">
        <f>HYPERLINK("https://klasma.github.io/Logging_2321/kartor/A 60544-2022 karta.png", "A 60544-2022")</f>
        <v/>
      </c>
      <c r="V182">
        <f>HYPERLINK("https://klasma.github.io/Logging_2321/klagomål/A 60544-2022 FSC-klagomål.docx", "A 60544-2022")</f>
        <v/>
      </c>
      <c r="W182">
        <f>HYPERLINK("https://klasma.github.io/Logging_2321/klagomålsmail/A 60544-2022 FSC-klagomål mail.docx", "A 60544-2022")</f>
        <v/>
      </c>
      <c r="X182">
        <f>HYPERLINK("https://klasma.github.io/Logging_2321/tillsyn/A 60544-2022 tillsynsbegäran.docx", "A 60544-2022")</f>
        <v/>
      </c>
      <c r="Y182">
        <f>HYPERLINK("https://klasma.github.io/Logging_2321/tillsynsmail/A 60544-2022 tillsynsbegäran mail.docx", "A 60544-2022")</f>
        <v/>
      </c>
      <c r="Z182">
        <f>HYPERLINK("https://klasma.github.io/Logging_2321/fåglar/A 60544-2022 prioriterade fågelarter.docx", "A 60544-2022")</f>
        <v/>
      </c>
    </row>
    <row r="183" ht="15" customHeight="1">
      <c r="A183" t="inlineStr">
        <is>
          <t>A 60435-2022</t>
        </is>
      </c>
      <c r="B183" s="1" t="n">
        <v>44911</v>
      </c>
      <c r="C183" s="1" t="n">
        <v>45505</v>
      </c>
      <c r="D183" t="inlineStr">
        <is>
          <t>JÄMTLANDS LÄN</t>
        </is>
      </c>
      <c r="E183" t="inlineStr">
        <is>
          <t>ÅRE</t>
        </is>
      </c>
      <c r="F183" t="inlineStr">
        <is>
          <t>Övriga Aktiebolag</t>
        </is>
      </c>
      <c r="G183" t="n">
        <v>7.9</v>
      </c>
      <c r="H183" t="n">
        <v>0</v>
      </c>
      <c r="I183" t="n">
        <v>1</v>
      </c>
      <c r="J183" t="n">
        <v>0</v>
      </c>
      <c r="K183" t="n">
        <v>0</v>
      </c>
      <c r="L183" t="n">
        <v>0</v>
      </c>
      <c r="M183" t="n">
        <v>0</v>
      </c>
      <c r="N183" t="n">
        <v>0</v>
      </c>
      <c r="O183" t="n">
        <v>0</v>
      </c>
      <c r="P183" t="n">
        <v>0</v>
      </c>
      <c r="Q183" t="n">
        <v>1</v>
      </c>
      <c r="R183" s="2" t="inlineStr">
        <is>
          <t>Kransrams</t>
        </is>
      </c>
      <c r="S183">
        <f>HYPERLINK("https://klasma.github.io/Logging_2321/artfynd/A 60435-2022 artfynd.xlsx", "A 60435-2022")</f>
        <v/>
      </c>
      <c r="T183">
        <f>HYPERLINK("https://klasma.github.io/Logging_2321/kartor/A 60435-2022 karta.png", "A 60435-2022")</f>
        <v/>
      </c>
      <c r="V183">
        <f>HYPERLINK("https://klasma.github.io/Logging_2321/klagomål/A 60435-2022 FSC-klagomål.docx", "A 60435-2022")</f>
        <v/>
      </c>
      <c r="W183">
        <f>HYPERLINK("https://klasma.github.io/Logging_2321/klagomålsmail/A 60435-2022 FSC-klagomål mail.docx", "A 60435-2022")</f>
        <v/>
      </c>
      <c r="X183">
        <f>HYPERLINK("https://klasma.github.io/Logging_2321/tillsyn/A 60435-2022 tillsynsbegäran.docx", "A 60435-2022")</f>
        <v/>
      </c>
      <c r="Y183">
        <f>HYPERLINK("https://klasma.github.io/Logging_2321/tillsynsmail/A 60435-2022 tillsynsbegäran mail.docx", "A 60435-2022")</f>
        <v/>
      </c>
    </row>
    <row r="184" ht="15" customHeight="1">
      <c r="A184" t="inlineStr">
        <is>
          <t>A 5480-2023</t>
        </is>
      </c>
      <c r="B184" s="1" t="n">
        <v>44957</v>
      </c>
      <c r="C184" s="1" t="n">
        <v>45505</v>
      </c>
      <c r="D184" t="inlineStr">
        <is>
          <t>JÄMTLANDS LÄN</t>
        </is>
      </c>
      <c r="E184" t="inlineStr">
        <is>
          <t>ÅRE</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5480-2023 artfynd.xlsx", "A 5480-2023")</f>
        <v/>
      </c>
      <c r="T184">
        <f>HYPERLINK("https://klasma.github.io/Logging_2321/kartor/A 5480-2023 karta.png", "A 5480-2023")</f>
        <v/>
      </c>
      <c r="V184">
        <f>HYPERLINK("https://klasma.github.io/Logging_2321/klagomål/A 5480-2023 FSC-klagomål.docx", "A 5480-2023")</f>
        <v/>
      </c>
      <c r="W184">
        <f>HYPERLINK("https://klasma.github.io/Logging_2321/klagomålsmail/A 5480-2023 FSC-klagomål mail.docx", "A 5480-2023")</f>
        <v/>
      </c>
      <c r="X184">
        <f>HYPERLINK("https://klasma.github.io/Logging_2321/tillsyn/A 5480-2023 tillsynsbegäran.docx", "A 5480-2023")</f>
        <v/>
      </c>
      <c r="Y184">
        <f>HYPERLINK("https://klasma.github.io/Logging_2321/tillsynsmail/A 5480-2023 tillsynsbegäran mail.docx", "A 5480-2023")</f>
        <v/>
      </c>
      <c r="Z184">
        <f>HYPERLINK("https://klasma.github.io/Logging_2321/fåglar/A 5480-2023 prioriterade fågelarter.docx", "A 5480-2023")</f>
        <v/>
      </c>
    </row>
    <row r="185" ht="15" customHeight="1">
      <c r="A185" t="inlineStr">
        <is>
          <t>A 5611-2023</t>
        </is>
      </c>
      <c r="B185" s="1" t="n">
        <v>44958</v>
      </c>
      <c r="C185" s="1" t="n">
        <v>45505</v>
      </c>
      <c r="D185" t="inlineStr">
        <is>
          <t>JÄMTLANDS LÄN</t>
        </is>
      </c>
      <c r="E185" t="inlineStr">
        <is>
          <t>ÅRE</t>
        </is>
      </c>
      <c r="G185" t="n">
        <v>10.5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5611-2023 artfynd.xlsx", "A 5611-2023")</f>
        <v/>
      </c>
      <c r="T185">
        <f>HYPERLINK("https://klasma.github.io/Logging_2321/kartor/A 5611-2023 karta.png", "A 5611-2023")</f>
        <v/>
      </c>
      <c r="V185">
        <f>HYPERLINK("https://klasma.github.io/Logging_2321/klagomål/A 5611-2023 FSC-klagomål.docx", "A 5611-2023")</f>
        <v/>
      </c>
      <c r="W185">
        <f>HYPERLINK("https://klasma.github.io/Logging_2321/klagomålsmail/A 5611-2023 FSC-klagomål mail.docx", "A 5611-2023")</f>
        <v/>
      </c>
      <c r="X185">
        <f>HYPERLINK("https://klasma.github.io/Logging_2321/tillsyn/A 5611-2023 tillsynsbegäran.docx", "A 5611-2023")</f>
        <v/>
      </c>
      <c r="Y185">
        <f>HYPERLINK("https://klasma.github.io/Logging_2321/tillsynsmail/A 5611-2023 tillsynsbegäran mail.docx", "A 5611-2023")</f>
        <v/>
      </c>
      <c r="Z185">
        <f>HYPERLINK("https://klasma.github.io/Logging_2321/fåglar/A 5611-2023 prioriterade fågelarter.docx", "A 5611-2023")</f>
        <v/>
      </c>
    </row>
    <row r="186" ht="15" customHeight="1">
      <c r="A186" t="inlineStr">
        <is>
          <t>A 10632-2023</t>
        </is>
      </c>
      <c r="B186" s="1" t="n">
        <v>44984</v>
      </c>
      <c r="C186" s="1" t="n">
        <v>45505</v>
      </c>
      <c r="D186" t="inlineStr">
        <is>
          <t>JÄMTLANDS LÄN</t>
        </is>
      </c>
      <c r="E186" t="inlineStr">
        <is>
          <t>ÅRE</t>
        </is>
      </c>
      <c r="G186" t="n">
        <v>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10632-2023 artfynd.xlsx", "A 10632-2023")</f>
        <v/>
      </c>
      <c r="T186">
        <f>HYPERLINK("https://klasma.github.io/Logging_2321/kartor/A 10632-2023 karta.png", "A 10632-2023")</f>
        <v/>
      </c>
      <c r="V186">
        <f>HYPERLINK("https://klasma.github.io/Logging_2321/klagomål/A 10632-2023 FSC-klagomål.docx", "A 10632-2023")</f>
        <v/>
      </c>
      <c r="W186">
        <f>HYPERLINK("https://klasma.github.io/Logging_2321/klagomålsmail/A 10632-2023 FSC-klagomål mail.docx", "A 10632-2023")</f>
        <v/>
      </c>
      <c r="X186">
        <f>HYPERLINK("https://klasma.github.io/Logging_2321/tillsyn/A 10632-2023 tillsynsbegäran.docx", "A 10632-2023")</f>
        <v/>
      </c>
      <c r="Y186">
        <f>HYPERLINK("https://klasma.github.io/Logging_2321/tillsynsmail/A 10632-2023 tillsynsbegäran mail.docx", "A 10632-2023")</f>
        <v/>
      </c>
      <c r="Z186">
        <f>HYPERLINK("https://klasma.github.io/Logging_2321/fåglar/A 10632-2023 prioriterade fågelarter.docx", "A 10632-2023")</f>
        <v/>
      </c>
    </row>
    <row r="187" ht="15" customHeight="1">
      <c r="A187" t="inlineStr">
        <is>
          <t>A 41405-2023</t>
        </is>
      </c>
      <c r="B187" s="1" t="n">
        <v>45174</v>
      </c>
      <c r="C187" s="1" t="n">
        <v>45505</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Ögonpyrola</t>
        </is>
      </c>
      <c r="S187">
        <f>HYPERLINK("https://klasma.github.io/Logging_2321/artfynd/A 41405-2023 artfynd.xlsx", "A 41405-2023")</f>
        <v/>
      </c>
      <c r="T187">
        <f>HYPERLINK("https://klasma.github.io/Logging_2321/kartor/A 41405-2023 karta.png", "A 41405-2023")</f>
        <v/>
      </c>
      <c r="V187">
        <f>HYPERLINK("https://klasma.github.io/Logging_2321/klagomål/A 41405-2023 FSC-klagomål.docx", "A 41405-2023")</f>
        <v/>
      </c>
      <c r="W187">
        <f>HYPERLINK("https://klasma.github.io/Logging_2321/klagomålsmail/A 41405-2023 FSC-klagomål mail.docx", "A 41405-2023")</f>
        <v/>
      </c>
      <c r="X187">
        <f>HYPERLINK("https://klasma.github.io/Logging_2321/tillsyn/A 41405-2023 tillsynsbegäran.docx", "A 41405-2023")</f>
        <v/>
      </c>
      <c r="Y187">
        <f>HYPERLINK("https://klasma.github.io/Logging_2321/tillsynsmail/A 41405-2023 tillsynsbegäran mail.docx", "A 41405-2023")</f>
        <v/>
      </c>
    </row>
    <row r="188" ht="15" customHeight="1">
      <c r="A188" t="inlineStr">
        <is>
          <t>A 55105-2023</t>
        </is>
      </c>
      <c r="B188" s="1" t="n">
        <v>45237</v>
      </c>
      <c r="C188" s="1" t="n">
        <v>45505</v>
      </c>
      <c r="D188" t="inlineStr">
        <is>
          <t>JÄMTLANDS LÄN</t>
        </is>
      </c>
      <c r="E188" t="inlineStr">
        <is>
          <t>ÅRE</t>
        </is>
      </c>
      <c r="G188" t="n">
        <v>15.8</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55105-2023 artfynd.xlsx", "A 55105-2023")</f>
        <v/>
      </c>
      <c r="T188">
        <f>HYPERLINK("https://klasma.github.io/Logging_2321/kartor/A 55105-2023 karta.png", "A 55105-2023")</f>
        <v/>
      </c>
      <c r="V188">
        <f>HYPERLINK("https://klasma.github.io/Logging_2321/klagomål/A 55105-2023 FSC-klagomål.docx", "A 55105-2023")</f>
        <v/>
      </c>
      <c r="W188">
        <f>HYPERLINK("https://klasma.github.io/Logging_2321/klagomålsmail/A 55105-2023 FSC-klagomål mail.docx", "A 55105-2023")</f>
        <v/>
      </c>
      <c r="X188">
        <f>HYPERLINK("https://klasma.github.io/Logging_2321/tillsyn/A 55105-2023 tillsynsbegäran.docx", "A 55105-2023")</f>
        <v/>
      </c>
      <c r="Y188">
        <f>HYPERLINK("https://klasma.github.io/Logging_2321/tillsynsmail/A 55105-2023 tillsynsbegäran mail.docx", "A 55105-2023")</f>
        <v/>
      </c>
      <c r="Z188">
        <f>HYPERLINK("https://klasma.github.io/Logging_2321/fåglar/A 55105-2023 prioriterade fågelarter.docx", "A 55105-2023")</f>
        <v/>
      </c>
    </row>
    <row r="189" ht="15" customHeight="1">
      <c r="A189" t="inlineStr">
        <is>
          <t>A 59402-2023</t>
        </is>
      </c>
      <c r="B189" s="1" t="n">
        <v>45253</v>
      </c>
      <c r="C189" s="1" t="n">
        <v>45505</v>
      </c>
      <c r="D189" t="inlineStr">
        <is>
          <t>JÄMTLANDS LÄN</t>
        </is>
      </c>
      <c r="E189" t="inlineStr">
        <is>
          <t>ÅRE</t>
        </is>
      </c>
      <c r="G189" t="n">
        <v>2.3</v>
      </c>
      <c r="H189" t="n">
        <v>0</v>
      </c>
      <c r="I189" t="n">
        <v>0</v>
      </c>
      <c r="J189" t="n">
        <v>1</v>
      </c>
      <c r="K189" t="n">
        <v>0</v>
      </c>
      <c r="L189" t="n">
        <v>0</v>
      </c>
      <c r="M189" t="n">
        <v>0</v>
      </c>
      <c r="N189" t="n">
        <v>0</v>
      </c>
      <c r="O189" t="n">
        <v>1</v>
      </c>
      <c r="P189" t="n">
        <v>0</v>
      </c>
      <c r="Q189" t="n">
        <v>1</v>
      </c>
      <c r="R189" s="2" t="inlineStr">
        <is>
          <t>Garnlav</t>
        </is>
      </c>
      <c r="S189">
        <f>HYPERLINK("https://klasma.github.io/Logging_2321/artfynd/A 59402-2023 artfynd.xlsx", "A 59402-2023")</f>
        <v/>
      </c>
      <c r="T189">
        <f>HYPERLINK("https://klasma.github.io/Logging_2321/kartor/A 59402-2023 karta.png", "A 59402-2023")</f>
        <v/>
      </c>
      <c r="V189">
        <f>HYPERLINK("https://klasma.github.io/Logging_2321/klagomål/A 59402-2023 FSC-klagomål.docx", "A 59402-2023")</f>
        <v/>
      </c>
      <c r="W189">
        <f>HYPERLINK("https://klasma.github.io/Logging_2321/klagomålsmail/A 59402-2023 FSC-klagomål mail.docx", "A 59402-2023")</f>
        <v/>
      </c>
      <c r="X189">
        <f>HYPERLINK("https://klasma.github.io/Logging_2321/tillsyn/A 59402-2023 tillsynsbegäran.docx", "A 59402-2023")</f>
        <v/>
      </c>
      <c r="Y189">
        <f>HYPERLINK("https://klasma.github.io/Logging_2321/tillsynsmail/A 59402-2023 tillsynsbegäran mail.docx", "A 59402-2023")</f>
        <v/>
      </c>
    </row>
    <row r="190" ht="15" customHeight="1">
      <c r="A190" t="inlineStr">
        <is>
          <t>A 61471-2023</t>
        </is>
      </c>
      <c r="B190" s="1" t="n">
        <v>45264</v>
      </c>
      <c r="C190" s="1" t="n">
        <v>45505</v>
      </c>
      <c r="D190" t="inlineStr">
        <is>
          <t>JÄMTLANDS LÄN</t>
        </is>
      </c>
      <c r="E190" t="inlineStr">
        <is>
          <t>ÅRE</t>
        </is>
      </c>
      <c r="G190" t="n">
        <v>1</v>
      </c>
      <c r="H190" t="n">
        <v>0</v>
      </c>
      <c r="I190" t="n">
        <v>0</v>
      </c>
      <c r="J190" t="n">
        <v>1</v>
      </c>
      <c r="K190" t="n">
        <v>0</v>
      </c>
      <c r="L190" t="n">
        <v>0</v>
      </c>
      <c r="M190" t="n">
        <v>0</v>
      </c>
      <c r="N190" t="n">
        <v>0</v>
      </c>
      <c r="O190" t="n">
        <v>1</v>
      </c>
      <c r="P190" t="n">
        <v>0</v>
      </c>
      <c r="Q190" t="n">
        <v>1</v>
      </c>
      <c r="R190" s="2" t="inlineStr">
        <is>
          <t>Skrovellav</t>
        </is>
      </c>
      <c r="S190">
        <f>HYPERLINK("https://klasma.github.io/Logging_2321/artfynd/A 61471-2023 artfynd.xlsx", "A 61471-2023")</f>
        <v/>
      </c>
      <c r="T190">
        <f>HYPERLINK("https://klasma.github.io/Logging_2321/kartor/A 61471-2023 karta.png", "A 61471-2023")</f>
        <v/>
      </c>
      <c r="V190">
        <f>HYPERLINK("https://klasma.github.io/Logging_2321/klagomål/A 61471-2023 FSC-klagomål.docx", "A 61471-2023")</f>
        <v/>
      </c>
      <c r="W190">
        <f>HYPERLINK("https://klasma.github.io/Logging_2321/klagomålsmail/A 61471-2023 FSC-klagomål mail.docx", "A 61471-2023")</f>
        <v/>
      </c>
      <c r="X190">
        <f>HYPERLINK("https://klasma.github.io/Logging_2321/tillsyn/A 61471-2023 tillsynsbegäran.docx", "A 61471-2023")</f>
        <v/>
      </c>
      <c r="Y190">
        <f>HYPERLINK("https://klasma.github.io/Logging_2321/tillsynsmail/A 61471-2023 tillsynsbegäran mail.docx", "A 61471-2023")</f>
        <v/>
      </c>
    </row>
    <row r="191" ht="15" customHeight="1">
      <c r="A191" t="inlineStr">
        <is>
          <t>A 61828-2023</t>
        </is>
      </c>
      <c r="B191" s="1" t="n">
        <v>45264</v>
      </c>
      <c r="C191" s="1" t="n">
        <v>45505</v>
      </c>
      <c r="D191" t="inlineStr">
        <is>
          <t>JÄMTLANDS LÄN</t>
        </is>
      </c>
      <c r="E191" t="inlineStr">
        <is>
          <t>ÅRE</t>
        </is>
      </c>
      <c r="F191" t="inlineStr">
        <is>
          <t>Övriga Aktiebolag</t>
        </is>
      </c>
      <c r="G191" t="n">
        <v>6.2</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61828-2023 artfynd.xlsx", "A 61828-2023")</f>
        <v/>
      </c>
      <c r="T191">
        <f>HYPERLINK("https://klasma.github.io/Logging_2321/kartor/A 61828-2023 karta.png", "A 61828-2023")</f>
        <v/>
      </c>
      <c r="V191">
        <f>HYPERLINK("https://klasma.github.io/Logging_2321/klagomål/A 61828-2023 FSC-klagomål.docx", "A 61828-2023")</f>
        <v/>
      </c>
      <c r="W191">
        <f>HYPERLINK("https://klasma.github.io/Logging_2321/klagomålsmail/A 61828-2023 FSC-klagomål mail.docx", "A 61828-2023")</f>
        <v/>
      </c>
      <c r="X191">
        <f>HYPERLINK("https://klasma.github.io/Logging_2321/tillsyn/A 61828-2023 tillsynsbegäran.docx", "A 61828-2023")</f>
        <v/>
      </c>
      <c r="Y191">
        <f>HYPERLINK("https://klasma.github.io/Logging_2321/tillsynsmail/A 61828-2023 tillsynsbegäran mail.docx", "A 61828-2023")</f>
        <v/>
      </c>
      <c r="Z191">
        <f>HYPERLINK("https://klasma.github.io/Logging_2321/fåglar/A 61828-2023 prioriterade fågelarter.docx", "A 61828-2023")</f>
        <v/>
      </c>
    </row>
    <row r="192" ht="15" customHeight="1">
      <c r="A192" t="inlineStr">
        <is>
          <t>A 64026-2023</t>
        </is>
      </c>
      <c r="B192" s="1" t="n">
        <v>45278</v>
      </c>
      <c r="C192" s="1" t="n">
        <v>45505</v>
      </c>
      <c r="D192" t="inlineStr">
        <is>
          <t>JÄMTLANDS LÄN</t>
        </is>
      </c>
      <c r="E192" t="inlineStr">
        <is>
          <t>ÅRE</t>
        </is>
      </c>
      <c r="F192" t="inlineStr">
        <is>
          <t>Övriga Aktiebolag</t>
        </is>
      </c>
      <c r="G192" t="n">
        <v>9.800000000000001</v>
      </c>
      <c r="H192" t="n">
        <v>0</v>
      </c>
      <c r="I192" t="n">
        <v>1</v>
      </c>
      <c r="J192" t="n">
        <v>0</v>
      </c>
      <c r="K192" t="n">
        <v>0</v>
      </c>
      <c r="L192" t="n">
        <v>0</v>
      </c>
      <c r="M192" t="n">
        <v>0</v>
      </c>
      <c r="N192" t="n">
        <v>0</v>
      </c>
      <c r="O192" t="n">
        <v>0</v>
      </c>
      <c r="P192" t="n">
        <v>0</v>
      </c>
      <c r="Q192" t="n">
        <v>1</v>
      </c>
      <c r="R192" s="2" t="inlineStr">
        <is>
          <t>Svavelriska</t>
        </is>
      </c>
      <c r="S192">
        <f>HYPERLINK("https://klasma.github.io/Logging_2321/artfynd/A 64026-2023 artfynd.xlsx", "A 64026-2023")</f>
        <v/>
      </c>
      <c r="T192">
        <f>HYPERLINK("https://klasma.github.io/Logging_2321/kartor/A 64026-2023 karta.png", "A 64026-2023")</f>
        <v/>
      </c>
      <c r="V192">
        <f>HYPERLINK("https://klasma.github.io/Logging_2321/klagomål/A 64026-2023 FSC-klagomål.docx", "A 64026-2023")</f>
        <v/>
      </c>
      <c r="W192">
        <f>HYPERLINK("https://klasma.github.io/Logging_2321/klagomålsmail/A 64026-2023 FSC-klagomål mail.docx", "A 64026-2023")</f>
        <v/>
      </c>
      <c r="X192">
        <f>HYPERLINK("https://klasma.github.io/Logging_2321/tillsyn/A 64026-2023 tillsynsbegäran.docx", "A 64026-2023")</f>
        <v/>
      </c>
      <c r="Y192">
        <f>HYPERLINK("https://klasma.github.io/Logging_2321/tillsynsmail/A 64026-2023 tillsynsbegäran mail.docx", "A 64026-2023")</f>
        <v/>
      </c>
    </row>
    <row r="193" ht="15" customHeight="1">
      <c r="A193" t="inlineStr">
        <is>
          <t>A 8131-2024</t>
        </is>
      </c>
      <c r="B193" s="1" t="n">
        <v>45351</v>
      </c>
      <c r="C193" s="1" t="n">
        <v>45505</v>
      </c>
      <c r="D193" t="inlineStr">
        <is>
          <t>JÄMTLANDS LÄN</t>
        </is>
      </c>
      <c r="E193" t="inlineStr">
        <is>
          <t>ÅRE</t>
        </is>
      </c>
      <c r="F193" t="inlineStr">
        <is>
          <t>Övriga Aktiebolag</t>
        </is>
      </c>
      <c r="G193" t="n">
        <v>3.1</v>
      </c>
      <c r="H193" t="n">
        <v>0</v>
      </c>
      <c r="I193" t="n">
        <v>0</v>
      </c>
      <c r="J193" t="n">
        <v>0</v>
      </c>
      <c r="K193" t="n">
        <v>1</v>
      </c>
      <c r="L193" t="n">
        <v>0</v>
      </c>
      <c r="M193" t="n">
        <v>0</v>
      </c>
      <c r="N193" t="n">
        <v>0</v>
      </c>
      <c r="O193" t="n">
        <v>1</v>
      </c>
      <c r="P193" t="n">
        <v>1</v>
      </c>
      <c r="Q193" t="n">
        <v>1</v>
      </c>
      <c r="R193" s="2" t="inlineStr">
        <is>
          <t>Gräddporing</t>
        </is>
      </c>
      <c r="S193">
        <f>HYPERLINK("https://klasma.github.io/Logging_2321/artfynd/A 8131-2024 artfynd.xlsx", "A 8131-2024")</f>
        <v/>
      </c>
      <c r="T193">
        <f>HYPERLINK("https://klasma.github.io/Logging_2321/kartor/A 8131-2024 karta.png", "A 8131-2024")</f>
        <v/>
      </c>
      <c r="V193">
        <f>HYPERLINK("https://klasma.github.io/Logging_2321/klagomål/A 8131-2024 FSC-klagomål.docx", "A 8131-2024")</f>
        <v/>
      </c>
      <c r="W193">
        <f>HYPERLINK("https://klasma.github.io/Logging_2321/klagomålsmail/A 8131-2024 FSC-klagomål mail.docx", "A 8131-2024")</f>
        <v/>
      </c>
      <c r="X193">
        <f>HYPERLINK("https://klasma.github.io/Logging_2321/tillsyn/A 8131-2024 tillsynsbegäran.docx", "A 8131-2024")</f>
        <v/>
      </c>
      <c r="Y193">
        <f>HYPERLINK("https://klasma.github.io/Logging_2321/tillsynsmail/A 8131-2024 tillsynsbegäran mail.docx", "A 8131-2024")</f>
        <v/>
      </c>
    </row>
    <row r="194" ht="15" customHeight="1">
      <c r="A194" t="inlineStr">
        <is>
          <t>A 17636-2024</t>
        </is>
      </c>
      <c r="B194" s="1" t="n">
        <v>45418</v>
      </c>
      <c r="C194" s="1" t="n">
        <v>45505</v>
      </c>
      <c r="D194" t="inlineStr">
        <is>
          <t>JÄMTLANDS LÄN</t>
        </is>
      </c>
      <c r="E194" t="inlineStr">
        <is>
          <t>ÅRE</t>
        </is>
      </c>
      <c r="F194" t="inlineStr">
        <is>
          <t>Övriga Aktiebolag</t>
        </is>
      </c>
      <c r="G194" t="n">
        <v>12.4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17636-2024 artfynd.xlsx", "A 17636-2024")</f>
        <v/>
      </c>
      <c r="T194">
        <f>HYPERLINK("https://klasma.github.io/Logging_2321/kartor/A 17636-2024 karta.png", "A 17636-2024")</f>
        <v/>
      </c>
      <c r="V194">
        <f>HYPERLINK("https://klasma.github.io/Logging_2321/klagomål/A 17636-2024 FSC-klagomål.docx", "A 17636-2024")</f>
        <v/>
      </c>
      <c r="W194">
        <f>HYPERLINK("https://klasma.github.io/Logging_2321/klagomålsmail/A 17636-2024 FSC-klagomål mail.docx", "A 17636-2024")</f>
        <v/>
      </c>
      <c r="X194">
        <f>HYPERLINK("https://klasma.github.io/Logging_2321/tillsyn/A 17636-2024 tillsynsbegäran.docx", "A 17636-2024")</f>
        <v/>
      </c>
      <c r="Y194">
        <f>HYPERLINK("https://klasma.github.io/Logging_2321/tillsynsmail/A 17636-2024 tillsynsbegäran mail.docx", "A 17636-2024")</f>
        <v/>
      </c>
      <c r="Z194">
        <f>HYPERLINK("https://klasma.github.io/Logging_2321/fåglar/A 17636-2024 prioriterade fågelarter.docx", "A 17636-2024")</f>
        <v/>
      </c>
    </row>
    <row r="195" ht="15" customHeight="1">
      <c r="A195" t="inlineStr">
        <is>
          <t>A 23426-2024</t>
        </is>
      </c>
      <c r="B195" s="1" t="n">
        <v>45453</v>
      </c>
      <c r="C195" s="1" t="n">
        <v>45505</v>
      </c>
      <c r="D195" t="inlineStr">
        <is>
          <t>JÄMTLANDS LÄN</t>
        </is>
      </c>
      <c r="E195" t="inlineStr">
        <is>
          <t>ÅRE</t>
        </is>
      </c>
      <c r="F195" t="inlineStr">
        <is>
          <t>Övriga Aktiebolag</t>
        </is>
      </c>
      <c r="G195" t="n">
        <v>2.3</v>
      </c>
      <c r="H195" t="n">
        <v>0</v>
      </c>
      <c r="I195" t="n">
        <v>0</v>
      </c>
      <c r="J195" t="n">
        <v>1</v>
      </c>
      <c r="K195" t="n">
        <v>0</v>
      </c>
      <c r="L195" t="n">
        <v>0</v>
      </c>
      <c r="M195" t="n">
        <v>0</v>
      </c>
      <c r="N195" t="n">
        <v>0</v>
      </c>
      <c r="O195" t="n">
        <v>1</v>
      </c>
      <c r="P195" t="n">
        <v>0</v>
      </c>
      <c r="Q195" t="n">
        <v>1</v>
      </c>
      <c r="R195" s="2" t="inlineStr">
        <is>
          <t>Doftskinn</t>
        </is>
      </c>
      <c r="S195">
        <f>HYPERLINK("https://klasma.github.io/Logging_2321/artfynd/A 23426-2024 artfynd.xlsx", "A 23426-2024")</f>
        <v/>
      </c>
      <c r="T195">
        <f>HYPERLINK("https://klasma.github.io/Logging_2321/kartor/A 23426-2024 karta.png", "A 23426-2024")</f>
        <v/>
      </c>
      <c r="V195">
        <f>HYPERLINK("https://klasma.github.io/Logging_2321/klagomål/A 23426-2024 FSC-klagomål.docx", "A 23426-2024")</f>
        <v/>
      </c>
      <c r="W195">
        <f>HYPERLINK("https://klasma.github.io/Logging_2321/klagomålsmail/A 23426-2024 FSC-klagomål mail.docx", "A 23426-2024")</f>
        <v/>
      </c>
      <c r="X195">
        <f>HYPERLINK("https://klasma.github.io/Logging_2321/tillsyn/A 23426-2024 tillsynsbegäran.docx", "A 23426-2024")</f>
        <v/>
      </c>
      <c r="Y195">
        <f>HYPERLINK("https://klasma.github.io/Logging_2321/tillsynsmail/A 23426-2024 tillsynsbegäran mail.docx", "A 23426-2024")</f>
        <v/>
      </c>
    </row>
    <row r="196" ht="15" customHeight="1">
      <c r="A196" t="inlineStr">
        <is>
          <t>A 30032-2024</t>
        </is>
      </c>
      <c r="B196" s="1" t="n">
        <v>45485</v>
      </c>
      <c r="C196" s="1" t="n">
        <v>45505</v>
      </c>
      <c r="D196" t="inlineStr">
        <is>
          <t>JÄMTLANDS LÄN</t>
        </is>
      </c>
      <c r="E196" t="inlineStr">
        <is>
          <t>ÅRE</t>
        </is>
      </c>
      <c r="G196" t="n">
        <v>20.5</v>
      </c>
      <c r="H196" t="n">
        <v>1</v>
      </c>
      <c r="I196" t="n">
        <v>1</v>
      </c>
      <c r="J196" t="n">
        <v>0</v>
      </c>
      <c r="K196" t="n">
        <v>0</v>
      </c>
      <c r="L196" t="n">
        <v>0</v>
      </c>
      <c r="M196" t="n">
        <v>0</v>
      </c>
      <c r="N196" t="n">
        <v>0</v>
      </c>
      <c r="O196" t="n">
        <v>0</v>
      </c>
      <c r="P196" t="n">
        <v>0</v>
      </c>
      <c r="Q196" t="n">
        <v>1</v>
      </c>
      <c r="R196" s="2" t="inlineStr">
        <is>
          <t>Spindelblomster</t>
        </is>
      </c>
      <c r="S196">
        <f>HYPERLINK("https://klasma.github.io/Logging_2321/artfynd/A 30032-2024 artfynd.xlsx", "A 30032-2024")</f>
        <v/>
      </c>
      <c r="T196">
        <f>HYPERLINK("https://klasma.github.io/Logging_2321/kartor/A 30032-2024 karta.png", "A 30032-2024")</f>
        <v/>
      </c>
      <c r="V196">
        <f>HYPERLINK("https://klasma.github.io/Logging_2321/klagomål/A 30032-2024 FSC-klagomål.docx", "A 30032-2024")</f>
        <v/>
      </c>
      <c r="W196">
        <f>HYPERLINK("https://klasma.github.io/Logging_2321/klagomålsmail/A 30032-2024 FSC-klagomål mail.docx", "A 30032-2024")</f>
        <v/>
      </c>
      <c r="X196">
        <f>HYPERLINK("https://klasma.github.io/Logging_2321/tillsyn/A 30032-2024 tillsynsbegäran.docx", "A 30032-2024")</f>
        <v/>
      </c>
      <c r="Y196">
        <f>HYPERLINK("https://klasma.github.io/Logging_2321/tillsynsmail/A 30032-2024 tillsynsbegäran mail.docx", "A 30032-2024")</f>
        <v/>
      </c>
    </row>
    <row r="197" ht="15" customHeight="1">
      <c r="A197" t="inlineStr">
        <is>
          <t>A 21532-2019</t>
        </is>
      </c>
      <c r="B197" s="1" t="n">
        <v>43580</v>
      </c>
      <c r="C197" s="1" t="n">
        <v>45505</v>
      </c>
      <c r="D197" t="inlineStr">
        <is>
          <t>JÄMTLANDS LÄN</t>
        </is>
      </c>
      <c r="E197" t="inlineStr">
        <is>
          <t>ÅRE</t>
        </is>
      </c>
      <c r="G197" t="n">
        <v>20.1</v>
      </c>
      <c r="H197" t="n">
        <v>0</v>
      </c>
      <c r="I197" t="n">
        <v>0</v>
      </c>
      <c r="J197" t="n">
        <v>0</v>
      </c>
      <c r="K197" t="n">
        <v>0</v>
      </c>
      <c r="L197" t="n">
        <v>0</v>
      </c>
      <c r="M197" t="n">
        <v>0</v>
      </c>
      <c r="N197" t="n">
        <v>0</v>
      </c>
      <c r="O197" t="n">
        <v>0</v>
      </c>
      <c r="P197" t="n">
        <v>0</v>
      </c>
      <c r="Q197" t="n">
        <v>0</v>
      </c>
      <c r="R197" s="2" t="inlineStr"/>
    </row>
    <row r="198" ht="15" customHeight="1">
      <c r="A198" t="inlineStr">
        <is>
          <t>A 21883-2019</t>
        </is>
      </c>
      <c r="B198" s="1" t="n">
        <v>43584</v>
      </c>
      <c r="C198" s="1" t="n">
        <v>45505</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22558-2019</t>
        </is>
      </c>
      <c r="B199" s="1" t="n">
        <v>43587</v>
      </c>
      <c r="C199" s="1" t="n">
        <v>45505</v>
      </c>
      <c r="D199" t="inlineStr">
        <is>
          <t>JÄMTLANDS LÄN</t>
        </is>
      </c>
      <c r="E199" t="inlineStr">
        <is>
          <t>ÅRE</t>
        </is>
      </c>
      <c r="G199" t="n">
        <v>79.09999999999999</v>
      </c>
      <c r="H199" t="n">
        <v>0</v>
      </c>
      <c r="I199" t="n">
        <v>0</v>
      </c>
      <c r="J199" t="n">
        <v>0</v>
      </c>
      <c r="K199" t="n">
        <v>0</v>
      </c>
      <c r="L199" t="n">
        <v>0</v>
      </c>
      <c r="M199" t="n">
        <v>0</v>
      </c>
      <c r="N199" t="n">
        <v>0</v>
      </c>
      <c r="O199" t="n">
        <v>0</v>
      </c>
      <c r="P199" t="n">
        <v>0</v>
      </c>
      <c r="Q199" t="n">
        <v>0</v>
      </c>
      <c r="R199" s="2" t="inlineStr"/>
    </row>
    <row r="200" ht="15" customHeight="1">
      <c r="A200" t="inlineStr">
        <is>
          <t>A 25099-2019</t>
        </is>
      </c>
      <c r="B200" s="1" t="n">
        <v>43605</v>
      </c>
      <c r="C200" s="1" t="n">
        <v>45505</v>
      </c>
      <c r="D200" t="inlineStr">
        <is>
          <t>JÄMTLANDS LÄN</t>
        </is>
      </c>
      <c r="E200" t="inlineStr">
        <is>
          <t>ÅRE</t>
        </is>
      </c>
      <c r="G200" t="n">
        <v>8.9</v>
      </c>
      <c r="H200" t="n">
        <v>0</v>
      </c>
      <c r="I200" t="n">
        <v>0</v>
      </c>
      <c r="J200" t="n">
        <v>0</v>
      </c>
      <c r="K200" t="n">
        <v>0</v>
      </c>
      <c r="L200" t="n">
        <v>0</v>
      </c>
      <c r="M200" t="n">
        <v>0</v>
      </c>
      <c r="N200" t="n">
        <v>0</v>
      </c>
      <c r="O200" t="n">
        <v>0</v>
      </c>
      <c r="P200" t="n">
        <v>0</v>
      </c>
      <c r="Q200" t="n">
        <v>0</v>
      </c>
      <c r="R200" s="2" t="inlineStr"/>
    </row>
    <row r="201" ht="15" customHeight="1">
      <c r="A201" t="inlineStr">
        <is>
          <t>A 26624-2019</t>
        </is>
      </c>
      <c r="B201" s="1" t="n">
        <v>43612</v>
      </c>
      <c r="C201" s="1" t="n">
        <v>45505</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26626-2019</t>
        </is>
      </c>
      <c r="B202" s="1" t="n">
        <v>43612</v>
      </c>
      <c r="C202" s="1" t="n">
        <v>45505</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28793-2019</t>
        </is>
      </c>
      <c r="B203" s="1" t="n">
        <v>43627</v>
      </c>
      <c r="C203" s="1" t="n">
        <v>45505</v>
      </c>
      <c r="D203" t="inlineStr">
        <is>
          <t>JÄMTLANDS LÄN</t>
        </is>
      </c>
      <c r="E203" t="inlineStr">
        <is>
          <t>ÅRE</t>
        </is>
      </c>
      <c r="G203" t="n">
        <v>7.8</v>
      </c>
      <c r="H203" t="n">
        <v>0</v>
      </c>
      <c r="I203" t="n">
        <v>0</v>
      </c>
      <c r="J203" t="n">
        <v>0</v>
      </c>
      <c r="K203" t="n">
        <v>0</v>
      </c>
      <c r="L203" t="n">
        <v>0</v>
      </c>
      <c r="M203" t="n">
        <v>0</v>
      </c>
      <c r="N203" t="n">
        <v>0</v>
      </c>
      <c r="O203" t="n">
        <v>0</v>
      </c>
      <c r="P203" t="n">
        <v>0</v>
      </c>
      <c r="Q203" t="n">
        <v>0</v>
      </c>
      <c r="R203" s="2" t="inlineStr"/>
    </row>
    <row r="204" ht="15" customHeight="1">
      <c r="A204" t="inlineStr">
        <is>
          <t>A 29272-2019</t>
        </is>
      </c>
      <c r="B204" s="1" t="n">
        <v>43629</v>
      </c>
      <c r="C204" s="1" t="n">
        <v>45505</v>
      </c>
      <c r="D204" t="inlineStr">
        <is>
          <t>JÄMTLANDS LÄN</t>
        </is>
      </c>
      <c r="E204" t="inlineStr">
        <is>
          <t>ÅRE</t>
        </is>
      </c>
      <c r="G204" t="n">
        <v>10.9</v>
      </c>
      <c r="H204" t="n">
        <v>0</v>
      </c>
      <c r="I204" t="n">
        <v>0</v>
      </c>
      <c r="J204" t="n">
        <v>0</v>
      </c>
      <c r="K204" t="n">
        <v>0</v>
      </c>
      <c r="L204" t="n">
        <v>0</v>
      </c>
      <c r="M204" t="n">
        <v>0</v>
      </c>
      <c r="N204" t="n">
        <v>0</v>
      </c>
      <c r="O204" t="n">
        <v>0</v>
      </c>
      <c r="P204" t="n">
        <v>0</v>
      </c>
      <c r="Q204" t="n">
        <v>0</v>
      </c>
      <c r="R204" s="2" t="inlineStr"/>
    </row>
    <row r="205" ht="15" customHeight="1">
      <c r="A205" t="inlineStr">
        <is>
          <t>A 29769-2019</t>
        </is>
      </c>
      <c r="B205" s="1" t="n">
        <v>43632</v>
      </c>
      <c r="C205" s="1" t="n">
        <v>45505</v>
      </c>
      <c r="D205" t="inlineStr">
        <is>
          <t>JÄMTLANDS LÄN</t>
        </is>
      </c>
      <c r="E205" t="inlineStr">
        <is>
          <t>ÅRE</t>
        </is>
      </c>
      <c r="G205" t="n">
        <v>1.8</v>
      </c>
      <c r="H205" t="n">
        <v>0</v>
      </c>
      <c r="I205" t="n">
        <v>0</v>
      </c>
      <c r="J205" t="n">
        <v>0</v>
      </c>
      <c r="K205" t="n">
        <v>0</v>
      </c>
      <c r="L205" t="n">
        <v>0</v>
      </c>
      <c r="M205" t="n">
        <v>0</v>
      </c>
      <c r="N205" t="n">
        <v>0</v>
      </c>
      <c r="O205" t="n">
        <v>0</v>
      </c>
      <c r="P205" t="n">
        <v>0</v>
      </c>
      <c r="Q205" t="n">
        <v>0</v>
      </c>
      <c r="R205" s="2" t="inlineStr"/>
    </row>
    <row r="206" ht="15" customHeight="1">
      <c r="A206" t="inlineStr">
        <is>
          <t>A 29916-2019</t>
        </is>
      </c>
      <c r="B206" s="1" t="n">
        <v>43633</v>
      </c>
      <c r="C206" s="1" t="n">
        <v>45505</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30384-2019</t>
        </is>
      </c>
      <c r="B207" s="1" t="n">
        <v>43634</v>
      </c>
      <c r="C207" s="1" t="n">
        <v>45505</v>
      </c>
      <c r="D207" t="inlineStr">
        <is>
          <t>JÄMTLANDS LÄN</t>
        </is>
      </c>
      <c r="E207" t="inlineStr">
        <is>
          <t>ÅRE</t>
        </is>
      </c>
      <c r="G207" t="n">
        <v>19</v>
      </c>
      <c r="H207" t="n">
        <v>0</v>
      </c>
      <c r="I207" t="n">
        <v>0</v>
      </c>
      <c r="J207" t="n">
        <v>0</v>
      </c>
      <c r="K207" t="n">
        <v>0</v>
      </c>
      <c r="L207" t="n">
        <v>0</v>
      </c>
      <c r="M207" t="n">
        <v>0</v>
      </c>
      <c r="N207" t="n">
        <v>0</v>
      </c>
      <c r="O207" t="n">
        <v>0</v>
      </c>
      <c r="P207" t="n">
        <v>0</v>
      </c>
      <c r="Q207" t="n">
        <v>0</v>
      </c>
      <c r="R207" s="2" t="inlineStr"/>
    </row>
    <row r="208" ht="15" customHeight="1">
      <c r="A208" t="inlineStr">
        <is>
          <t>A 33856-2019</t>
        </is>
      </c>
      <c r="B208" s="1" t="n">
        <v>43652</v>
      </c>
      <c r="C208" s="1" t="n">
        <v>45505</v>
      </c>
      <c r="D208" t="inlineStr">
        <is>
          <t>JÄMTLANDS LÄN</t>
        </is>
      </c>
      <c r="E208" t="inlineStr">
        <is>
          <t>ÅRE</t>
        </is>
      </c>
      <c r="G208" t="n">
        <v>9.6</v>
      </c>
      <c r="H208" t="n">
        <v>0</v>
      </c>
      <c r="I208" t="n">
        <v>0</v>
      </c>
      <c r="J208" t="n">
        <v>0</v>
      </c>
      <c r="K208" t="n">
        <v>0</v>
      </c>
      <c r="L208" t="n">
        <v>0</v>
      </c>
      <c r="M208" t="n">
        <v>0</v>
      </c>
      <c r="N208" t="n">
        <v>0</v>
      </c>
      <c r="O208" t="n">
        <v>0</v>
      </c>
      <c r="P208" t="n">
        <v>0</v>
      </c>
      <c r="Q208" t="n">
        <v>0</v>
      </c>
      <c r="R208" s="2" t="inlineStr"/>
    </row>
    <row r="209" ht="15" customHeight="1">
      <c r="A209" t="inlineStr">
        <is>
          <t>A 35391-2019</t>
        </is>
      </c>
      <c r="B209" s="1" t="n">
        <v>43661</v>
      </c>
      <c r="C209" s="1" t="n">
        <v>45505</v>
      </c>
      <c r="D209" t="inlineStr">
        <is>
          <t>JÄMTLANDS LÄN</t>
        </is>
      </c>
      <c r="E209" t="inlineStr">
        <is>
          <t>ÅRE</t>
        </is>
      </c>
      <c r="G209" t="n">
        <v>19.7</v>
      </c>
      <c r="H209" t="n">
        <v>0</v>
      </c>
      <c r="I209" t="n">
        <v>0</v>
      </c>
      <c r="J209" t="n">
        <v>0</v>
      </c>
      <c r="K209" t="n">
        <v>0</v>
      </c>
      <c r="L209" t="n">
        <v>0</v>
      </c>
      <c r="M209" t="n">
        <v>0</v>
      </c>
      <c r="N209" t="n">
        <v>0</v>
      </c>
      <c r="O209" t="n">
        <v>0</v>
      </c>
      <c r="P209" t="n">
        <v>0</v>
      </c>
      <c r="Q209" t="n">
        <v>0</v>
      </c>
      <c r="R209" s="2" t="inlineStr"/>
    </row>
    <row r="210" ht="15" customHeight="1">
      <c r="A210" t="inlineStr">
        <is>
          <t>A 35485-2019</t>
        </is>
      </c>
      <c r="B210" s="1" t="n">
        <v>43661</v>
      </c>
      <c r="C210" s="1" t="n">
        <v>45505</v>
      </c>
      <c r="D210" t="inlineStr">
        <is>
          <t>JÄMTLANDS LÄN</t>
        </is>
      </c>
      <c r="E210" t="inlineStr">
        <is>
          <t>ÅRE</t>
        </is>
      </c>
      <c r="G210" t="n">
        <v>5.5</v>
      </c>
      <c r="H210" t="n">
        <v>0</v>
      </c>
      <c r="I210" t="n">
        <v>0</v>
      </c>
      <c r="J210" t="n">
        <v>0</v>
      </c>
      <c r="K210" t="n">
        <v>0</v>
      </c>
      <c r="L210" t="n">
        <v>0</v>
      </c>
      <c r="M210" t="n">
        <v>0</v>
      </c>
      <c r="N210" t="n">
        <v>0</v>
      </c>
      <c r="O210" t="n">
        <v>0</v>
      </c>
      <c r="P210" t="n">
        <v>0</v>
      </c>
      <c r="Q210" t="n">
        <v>0</v>
      </c>
      <c r="R210" s="2" t="inlineStr"/>
    </row>
    <row r="211" ht="15" customHeight="1">
      <c r="A211" t="inlineStr">
        <is>
          <t>A 36975-2019</t>
        </is>
      </c>
      <c r="B211" s="1" t="n">
        <v>43676</v>
      </c>
      <c r="C211" s="1" t="n">
        <v>45505</v>
      </c>
      <c r="D211" t="inlineStr">
        <is>
          <t>JÄMTLANDS LÄN</t>
        </is>
      </c>
      <c r="E211" t="inlineStr">
        <is>
          <t>ÅRE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41107-2019</t>
        </is>
      </c>
      <c r="B212" s="1" t="n">
        <v>43698</v>
      </c>
      <c r="C212" s="1" t="n">
        <v>45505</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42311-2019</t>
        </is>
      </c>
      <c r="B213" s="1" t="n">
        <v>43699</v>
      </c>
      <c r="C213" s="1" t="n">
        <v>45505</v>
      </c>
      <c r="D213" t="inlineStr">
        <is>
          <t>JÄMTLANDS LÄN</t>
        </is>
      </c>
      <c r="E213" t="inlineStr">
        <is>
          <t>ÅRE</t>
        </is>
      </c>
      <c r="G213" t="n">
        <v>13.7</v>
      </c>
      <c r="H213" t="n">
        <v>0</v>
      </c>
      <c r="I213" t="n">
        <v>0</v>
      </c>
      <c r="J213" t="n">
        <v>0</v>
      </c>
      <c r="K213" t="n">
        <v>0</v>
      </c>
      <c r="L213" t="n">
        <v>0</v>
      </c>
      <c r="M213" t="n">
        <v>0</v>
      </c>
      <c r="N213" t="n">
        <v>0</v>
      </c>
      <c r="O213" t="n">
        <v>0</v>
      </c>
      <c r="P213" t="n">
        <v>0</v>
      </c>
      <c r="Q213" t="n">
        <v>0</v>
      </c>
      <c r="R213" s="2" t="inlineStr"/>
    </row>
    <row r="214" ht="15" customHeight="1">
      <c r="A214" t="inlineStr">
        <is>
          <t>A 43678-2019</t>
        </is>
      </c>
      <c r="B214" s="1" t="n">
        <v>43707</v>
      </c>
      <c r="C214" s="1" t="n">
        <v>45505</v>
      </c>
      <c r="D214" t="inlineStr">
        <is>
          <t>JÄMTLANDS LÄN</t>
        </is>
      </c>
      <c r="E214" t="inlineStr">
        <is>
          <t>ÅRE</t>
        </is>
      </c>
      <c r="G214" t="n">
        <v>7.9</v>
      </c>
      <c r="H214" t="n">
        <v>0</v>
      </c>
      <c r="I214" t="n">
        <v>0</v>
      </c>
      <c r="J214" t="n">
        <v>0</v>
      </c>
      <c r="K214" t="n">
        <v>0</v>
      </c>
      <c r="L214" t="n">
        <v>0</v>
      </c>
      <c r="M214" t="n">
        <v>0</v>
      </c>
      <c r="N214" t="n">
        <v>0</v>
      </c>
      <c r="O214" t="n">
        <v>0</v>
      </c>
      <c r="P214" t="n">
        <v>0</v>
      </c>
      <c r="Q214" t="n">
        <v>0</v>
      </c>
      <c r="R214" s="2" t="inlineStr"/>
    </row>
    <row r="215" ht="15" customHeight="1">
      <c r="A215" t="inlineStr">
        <is>
          <t>A 43683-2019</t>
        </is>
      </c>
      <c r="B215" s="1" t="n">
        <v>43707</v>
      </c>
      <c r="C215" s="1" t="n">
        <v>45505</v>
      </c>
      <c r="D215" t="inlineStr">
        <is>
          <t>JÄMTLANDS LÄN</t>
        </is>
      </c>
      <c r="E215" t="inlineStr">
        <is>
          <t>ÅRE</t>
        </is>
      </c>
      <c r="G215" t="n">
        <v>1.7</v>
      </c>
      <c r="H215" t="n">
        <v>0</v>
      </c>
      <c r="I215" t="n">
        <v>0</v>
      </c>
      <c r="J215" t="n">
        <v>0</v>
      </c>
      <c r="K215" t="n">
        <v>0</v>
      </c>
      <c r="L215" t="n">
        <v>0</v>
      </c>
      <c r="M215" t="n">
        <v>0</v>
      </c>
      <c r="N215" t="n">
        <v>0</v>
      </c>
      <c r="O215" t="n">
        <v>0</v>
      </c>
      <c r="P215" t="n">
        <v>0</v>
      </c>
      <c r="Q215" t="n">
        <v>0</v>
      </c>
      <c r="R215" s="2" t="inlineStr"/>
    </row>
    <row r="216" ht="15" customHeight="1">
      <c r="A216" t="inlineStr">
        <is>
          <t>A 44329-2019</t>
        </is>
      </c>
      <c r="B216" s="1" t="n">
        <v>43710</v>
      </c>
      <c r="C216" s="1" t="n">
        <v>45505</v>
      </c>
      <c r="D216" t="inlineStr">
        <is>
          <t>JÄMTLANDS LÄN</t>
        </is>
      </c>
      <c r="E216" t="inlineStr">
        <is>
          <t>ÅRE</t>
        </is>
      </c>
      <c r="G216" t="n">
        <v>2.1</v>
      </c>
      <c r="H216" t="n">
        <v>0</v>
      </c>
      <c r="I216" t="n">
        <v>0</v>
      </c>
      <c r="J216" t="n">
        <v>0</v>
      </c>
      <c r="K216" t="n">
        <v>0</v>
      </c>
      <c r="L216" t="n">
        <v>0</v>
      </c>
      <c r="M216" t="n">
        <v>0</v>
      </c>
      <c r="N216" t="n">
        <v>0</v>
      </c>
      <c r="O216" t="n">
        <v>0</v>
      </c>
      <c r="P216" t="n">
        <v>0</v>
      </c>
      <c r="Q216" t="n">
        <v>0</v>
      </c>
      <c r="R216" s="2" t="inlineStr"/>
    </row>
    <row r="217" ht="15" customHeight="1">
      <c r="A217" t="inlineStr">
        <is>
          <t>A 45794-2019</t>
        </is>
      </c>
      <c r="B217" s="1" t="n">
        <v>43717</v>
      </c>
      <c r="C217" s="1" t="n">
        <v>45505</v>
      </c>
      <c r="D217" t="inlineStr">
        <is>
          <t>JÄMTLANDS LÄN</t>
        </is>
      </c>
      <c r="E217" t="inlineStr">
        <is>
          <t>ÅRE</t>
        </is>
      </c>
      <c r="G217" t="n">
        <v>37.7</v>
      </c>
      <c r="H217" t="n">
        <v>0</v>
      </c>
      <c r="I217" t="n">
        <v>0</v>
      </c>
      <c r="J217" t="n">
        <v>0</v>
      </c>
      <c r="K217" t="n">
        <v>0</v>
      </c>
      <c r="L217" t="n">
        <v>0</v>
      </c>
      <c r="M217" t="n">
        <v>0</v>
      </c>
      <c r="N217" t="n">
        <v>0</v>
      </c>
      <c r="O217" t="n">
        <v>0</v>
      </c>
      <c r="P217" t="n">
        <v>0</v>
      </c>
      <c r="Q217" t="n">
        <v>0</v>
      </c>
      <c r="R217" s="2" t="inlineStr"/>
    </row>
    <row r="218" ht="15" customHeight="1">
      <c r="A218" t="inlineStr">
        <is>
          <t>A 45798-2019</t>
        </is>
      </c>
      <c r="B218" s="1" t="n">
        <v>43717</v>
      </c>
      <c r="C218" s="1" t="n">
        <v>45505</v>
      </c>
      <c r="D218" t="inlineStr">
        <is>
          <t>JÄMTLANDS LÄN</t>
        </is>
      </c>
      <c r="E218" t="inlineStr">
        <is>
          <t>ÅRE</t>
        </is>
      </c>
      <c r="G218" t="n">
        <v>14.6</v>
      </c>
      <c r="H218" t="n">
        <v>0</v>
      </c>
      <c r="I218" t="n">
        <v>0</v>
      </c>
      <c r="J218" t="n">
        <v>0</v>
      </c>
      <c r="K218" t="n">
        <v>0</v>
      </c>
      <c r="L218" t="n">
        <v>0</v>
      </c>
      <c r="M218" t="n">
        <v>0</v>
      </c>
      <c r="N218" t="n">
        <v>0</v>
      </c>
      <c r="O218" t="n">
        <v>0</v>
      </c>
      <c r="P218" t="n">
        <v>0</v>
      </c>
      <c r="Q218" t="n">
        <v>0</v>
      </c>
      <c r="R218" s="2" t="inlineStr"/>
    </row>
    <row r="219" ht="15" customHeight="1">
      <c r="A219" t="inlineStr">
        <is>
          <t>A 47259-2019</t>
        </is>
      </c>
      <c r="B219" s="1" t="n">
        <v>43721</v>
      </c>
      <c r="C219" s="1" t="n">
        <v>45505</v>
      </c>
      <c r="D219" t="inlineStr">
        <is>
          <t>JÄMTLANDS LÄN</t>
        </is>
      </c>
      <c r="E219" t="inlineStr">
        <is>
          <t>ÅRE</t>
        </is>
      </c>
      <c r="G219" t="n">
        <v>12.7</v>
      </c>
      <c r="H219" t="n">
        <v>0</v>
      </c>
      <c r="I219" t="n">
        <v>0</v>
      </c>
      <c r="J219" t="n">
        <v>0</v>
      </c>
      <c r="K219" t="n">
        <v>0</v>
      </c>
      <c r="L219" t="n">
        <v>0</v>
      </c>
      <c r="M219" t="n">
        <v>0</v>
      </c>
      <c r="N219" t="n">
        <v>0</v>
      </c>
      <c r="O219" t="n">
        <v>0</v>
      </c>
      <c r="P219" t="n">
        <v>0</v>
      </c>
      <c r="Q219" t="n">
        <v>0</v>
      </c>
      <c r="R219" s="2" t="inlineStr"/>
    </row>
    <row r="220" ht="15" customHeight="1">
      <c r="A220" t="inlineStr">
        <is>
          <t>A 48291-2019</t>
        </is>
      </c>
      <c r="B220" s="1" t="n">
        <v>43726</v>
      </c>
      <c r="C220" s="1" t="n">
        <v>45505</v>
      </c>
      <c r="D220" t="inlineStr">
        <is>
          <t>JÄMTLANDS LÄN</t>
        </is>
      </c>
      <c r="E220" t="inlineStr">
        <is>
          <t>ÅRE</t>
        </is>
      </c>
      <c r="G220" t="n">
        <v>1.7</v>
      </c>
      <c r="H220" t="n">
        <v>0</v>
      </c>
      <c r="I220" t="n">
        <v>0</v>
      </c>
      <c r="J220" t="n">
        <v>0</v>
      </c>
      <c r="K220" t="n">
        <v>0</v>
      </c>
      <c r="L220" t="n">
        <v>0</v>
      </c>
      <c r="M220" t="n">
        <v>0</v>
      </c>
      <c r="N220" t="n">
        <v>0</v>
      </c>
      <c r="O220" t="n">
        <v>0</v>
      </c>
      <c r="P220" t="n">
        <v>0</v>
      </c>
      <c r="Q220" t="n">
        <v>0</v>
      </c>
      <c r="R220" s="2" t="inlineStr"/>
    </row>
    <row r="221" ht="15" customHeight="1">
      <c r="A221" t="inlineStr">
        <is>
          <t>A 49867-2019</t>
        </is>
      </c>
      <c r="B221" s="1" t="n">
        <v>43733</v>
      </c>
      <c r="C221" s="1" t="n">
        <v>45505</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49863-2019</t>
        </is>
      </c>
      <c r="B222" s="1" t="n">
        <v>43733</v>
      </c>
      <c r="C222" s="1" t="n">
        <v>45505</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49858-2019</t>
        </is>
      </c>
      <c r="B223" s="1" t="n">
        <v>43733</v>
      </c>
      <c r="C223" s="1" t="n">
        <v>45505</v>
      </c>
      <c r="D223" t="inlineStr">
        <is>
          <t>JÄMTLANDS LÄN</t>
        </is>
      </c>
      <c r="E223" t="inlineStr">
        <is>
          <t>ÅRE</t>
        </is>
      </c>
      <c r="G223" t="n">
        <v>0.9</v>
      </c>
      <c r="H223" t="n">
        <v>0</v>
      </c>
      <c r="I223" t="n">
        <v>0</v>
      </c>
      <c r="J223" t="n">
        <v>0</v>
      </c>
      <c r="K223" t="n">
        <v>0</v>
      </c>
      <c r="L223" t="n">
        <v>0</v>
      </c>
      <c r="M223" t="n">
        <v>0</v>
      </c>
      <c r="N223" t="n">
        <v>0</v>
      </c>
      <c r="O223" t="n">
        <v>0</v>
      </c>
      <c r="P223" t="n">
        <v>0</v>
      </c>
      <c r="Q223" t="n">
        <v>0</v>
      </c>
      <c r="R223" s="2" t="inlineStr"/>
    </row>
    <row r="224" ht="15" customHeight="1">
      <c r="A224" t="inlineStr">
        <is>
          <t>A 50012-2019</t>
        </is>
      </c>
      <c r="B224" s="1" t="n">
        <v>43733</v>
      </c>
      <c r="C224" s="1" t="n">
        <v>45505</v>
      </c>
      <c r="D224" t="inlineStr">
        <is>
          <t>JÄMTLANDS LÄN</t>
        </is>
      </c>
      <c r="E224" t="inlineStr">
        <is>
          <t>ÅRE</t>
        </is>
      </c>
      <c r="G224" t="n">
        <v>5.8</v>
      </c>
      <c r="H224" t="n">
        <v>0</v>
      </c>
      <c r="I224" t="n">
        <v>0</v>
      </c>
      <c r="J224" t="n">
        <v>0</v>
      </c>
      <c r="K224" t="n">
        <v>0</v>
      </c>
      <c r="L224" t="n">
        <v>0</v>
      </c>
      <c r="M224" t="n">
        <v>0</v>
      </c>
      <c r="N224" t="n">
        <v>0</v>
      </c>
      <c r="O224" t="n">
        <v>0</v>
      </c>
      <c r="P224" t="n">
        <v>0</v>
      </c>
      <c r="Q224" t="n">
        <v>0</v>
      </c>
      <c r="R224" s="2" t="inlineStr"/>
    </row>
    <row r="225" ht="15" customHeight="1">
      <c r="A225" t="inlineStr">
        <is>
          <t>A 52056-2019</t>
        </is>
      </c>
      <c r="B225" s="1" t="n">
        <v>43734</v>
      </c>
      <c r="C225" s="1" t="n">
        <v>45505</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52047-2019</t>
        </is>
      </c>
      <c r="B226" s="1" t="n">
        <v>43734</v>
      </c>
      <c r="C226" s="1" t="n">
        <v>45505</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51818-2019</t>
        </is>
      </c>
      <c r="B227" s="1" t="n">
        <v>43741</v>
      </c>
      <c r="C227" s="1" t="n">
        <v>45505</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55358-2019</t>
        </is>
      </c>
      <c r="B228" s="1" t="n">
        <v>43756</v>
      </c>
      <c r="C228" s="1" t="n">
        <v>45505</v>
      </c>
      <c r="D228" t="inlineStr">
        <is>
          <t>JÄMTLANDS LÄN</t>
        </is>
      </c>
      <c r="E228" t="inlineStr">
        <is>
          <t>ÅRE</t>
        </is>
      </c>
      <c r="G228" t="n">
        <v>4.9</v>
      </c>
      <c r="H228" t="n">
        <v>0</v>
      </c>
      <c r="I228" t="n">
        <v>0</v>
      </c>
      <c r="J228" t="n">
        <v>0</v>
      </c>
      <c r="K228" t="n">
        <v>0</v>
      </c>
      <c r="L228" t="n">
        <v>0</v>
      </c>
      <c r="M228" t="n">
        <v>0</v>
      </c>
      <c r="N228" t="n">
        <v>0</v>
      </c>
      <c r="O228" t="n">
        <v>0</v>
      </c>
      <c r="P228" t="n">
        <v>0</v>
      </c>
      <c r="Q228" t="n">
        <v>0</v>
      </c>
      <c r="R228" s="2" t="inlineStr"/>
    </row>
    <row r="229" ht="15" customHeight="1">
      <c r="A229" t="inlineStr">
        <is>
          <t>A 57825-2019</t>
        </is>
      </c>
      <c r="B229" s="1" t="n">
        <v>43768</v>
      </c>
      <c r="C229" s="1" t="n">
        <v>45505</v>
      </c>
      <c r="D229" t="inlineStr">
        <is>
          <t>JÄMTLANDS LÄN</t>
        </is>
      </c>
      <c r="E229" t="inlineStr">
        <is>
          <t>ÅRE</t>
        </is>
      </c>
      <c r="G229" t="n">
        <v>3.1</v>
      </c>
      <c r="H229" t="n">
        <v>0</v>
      </c>
      <c r="I229" t="n">
        <v>0</v>
      </c>
      <c r="J229" t="n">
        <v>0</v>
      </c>
      <c r="K229" t="n">
        <v>0</v>
      </c>
      <c r="L229" t="n">
        <v>0</v>
      </c>
      <c r="M229" t="n">
        <v>0</v>
      </c>
      <c r="N229" t="n">
        <v>0</v>
      </c>
      <c r="O229" t="n">
        <v>0</v>
      </c>
      <c r="P229" t="n">
        <v>0</v>
      </c>
      <c r="Q229" t="n">
        <v>0</v>
      </c>
      <c r="R229" s="2" t="inlineStr"/>
    </row>
    <row r="230" ht="15" customHeight="1">
      <c r="A230" t="inlineStr">
        <is>
          <t>A 59815-2019</t>
        </is>
      </c>
      <c r="B230" s="1" t="n">
        <v>43774</v>
      </c>
      <c r="C230" s="1" t="n">
        <v>45505</v>
      </c>
      <c r="D230" t="inlineStr">
        <is>
          <t>JÄMTLANDS LÄN</t>
        </is>
      </c>
      <c r="E230" t="inlineStr">
        <is>
          <t>ÅRE</t>
        </is>
      </c>
      <c r="G230" t="n">
        <v>2.8</v>
      </c>
      <c r="H230" t="n">
        <v>0</v>
      </c>
      <c r="I230" t="n">
        <v>0</v>
      </c>
      <c r="J230" t="n">
        <v>0</v>
      </c>
      <c r="K230" t="n">
        <v>0</v>
      </c>
      <c r="L230" t="n">
        <v>0</v>
      </c>
      <c r="M230" t="n">
        <v>0</v>
      </c>
      <c r="N230" t="n">
        <v>0</v>
      </c>
      <c r="O230" t="n">
        <v>0</v>
      </c>
      <c r="P230" t="n">
        <v>0</v>
      </c>
      <c r="Q230" t="n">
        <v>0</v>
      </c>
      <c r="R230" s="2" t="inlineStr"/>
    </row>
    <row r="231" ht="15" customHeight="1">
      <c r="A231" t="inlineStr">
        <is>
          <t>A 60093-2019</t>
        </is>
      </c>
      <c r="B231" s="1" t="n">
        <v>43777</v>
      </c>
      <c r="C231" s="1" t="n">
        <v>45505</v>
      </c>
      <c r="D231" t="inlineStr">
        <is>
          <t>JÄMTLANDS LÄN</t>
        </is>
      </c>
      <c r="E231" t="inlineStr">
        <is>
          <t>ÅRE</t>
        </is>
      </c>
      <c r="G231" t="n">
        <v>8.6</v>
      </c>
      <c r="H231" t="n">
        <v>0</v>
      </c>
      <c r="I231" t="n">
        <v>0</v>
      </c>
      <c r="J231" t="n">
        <v>0</v>
      </c>
      <c r="K231" t="n">
        <v>0</v>
      </c>
      <c r="L231" t="n">
        <v>0</v>
      </c>
      <c r="M231" t="n">
        <v>0</v>
      </c>
      <c r="N231" t="n">
        <v>0</v>
      </c>
      <c r="O231" t="n">
        <v>0</v>
      </c>
      <c r="P231" t="n">
        <v>0</v>
      </c>
      <c r="Q231" t="n">
        <v>0</v>
      </c>
      <c r="R231" s="2" t="inlineStr"/>
    </row>
    <row r="232" ht="15" customHeight="1">
      <c r="A232" t="inlineStr">
        <is>
          <t>A 62359-2019</t>
        </is>
      </c>
      <c r="B232" s="1" t="n">
        <v>43788</v>
      </c>
      <c r="C232" s="1" t="n">
        <v>45505</v>
      </c>
      <c r="D232" t="inlineStr">
        <is>
          <t>JÄMTLANDS LÄN</t>
        </is>
      </c>
      <c r="E232" t="inlineStr">
        <is>
          <t>ÅRE</t>
        </is>
      </c>
      <c r="F232" t="inlineStr">
        <is>
          <t>Övriga Aktiebolag</t>
        </is>
      </c>
      <c r="G232" t="n">
        <v>7</v>
      </c>
      <c r="H232" t="n">
        <v>0</v>
      </c>
      <c r="I232" t="n">
        <v>0</v>
      </c>
      <c r="J232" t="n">
        <v>0</v>
      </c>
      <c r="K232" t="n">
        <v>0</v>
      </c>
      <c r="L232" t="n">
        <v>0</v>
      </c>
      <c r="M232" t="n">
        <v>0</v>
      </c>
      <c r="N232" t="n">
        <v>0</v>
      </c>
      <c r="O232" t="n">
        <v>0</v>
      </c>
      <c r="P232" t="n">
        <v>0</v>
      </c>
      <c r="Q232" t="n">
        <v>0</v>
      </c>
      <c r="R232" s="2" t="inlineStr"/>
    </row>
    <row r="233" ht="15" customHeight="1">
      <c r="A233" t="inlineStr">
        <is>
          <t>A 62326-2019</t>
        </is>
      </c>
      <c r="B233" s="1" t="n">
        <v>43788</v>
      </c>
      <c r="C233" s="1" t="n">
        <v>45505</v>
      </c>
      <c r="D233" t="inlineStr">
        <is>
          <t>JÄMTLANDS LÄN</t>
        </is>
      </c>
      <c r="E233" t="inlineStr">
        <is>
          <t>ÅRE</t>
        </is>
      </c>
      <c r="G233" t="n">
        <v>3.7</v>
      </c>
      <c r="H233" t="n">
        <v>0</v>
      </c>
      <c r="I233" t="n">
        <v>0</v>
      </c>
      <c r="J233" t="n">
        <v>0</v>
      </c>
      <c r="K233" t="n">
        <v>0</v>
      </c>
      <c r="L233" t="n">
        <v>0</v>
      </c>
      <c r="M233" t="n">
        <v>0</v>
      </c>
      <c r="N233" t="n">
        <v>0</v>
      </c>
      <c r="O233" t="n">
        <v>0</v>
      </c>
      <c r="P233" t="n">
        <v>0</v>
      </c>
      <c r="Q233" t="n">
        <v>0</v>
      </c>
      <c r="R233" s="2" t="inlineStr"/>
    </row>
    <row r="234" ht="15" customHeight="1">
      <c r="A234" t="inlineStr">
        <is>
          <t>A 63729-2019</t>
        </is>
      </c>
      <c r="B234" s="1" t="n">
        <v>43788</v>
      </c>
      <c r="C234" s="1" t="n">
        <v>45505</v>
      </c>
      <c r="D234" t="inlineStr">
        <is>
          <t>JÄMTLANDS LÄN</t>
        </is>
      </c>
      <c r="E234" t="inlineStr">
        <is>
          <t>ÅRE</t>
        </is>
      </c>
      <c r="F234" t="inlineStr">
        <is>
          <t>Övriga Aktiebolag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65986-2019</t>
        </is>
      </c>
      <c r="B235" s="1" t="n">
        <v>43801</v>
      </c>
      <c r="C235" s="1" t="n">
        <v>45505</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66395-2019</t>
        </is>
      </c>
      <c r="B236" s="1" t="n">
        <v>43808</v>
      </c>
      <c r="C236" s="1" t="n">
        <v>45505</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66774-2019</t>
        </is>
      </c>
      <c r="B237" s="1" t="n">
        <v>43810</v>
      </c>
      <c r="C237" s="1" t="n">
        <v>45505</v>
      </c>
      <c r="D237" t="inlineStr">
        <is>
          <t>JÄMTLANDS LÄN</t>
        </is>
      </c>
      <c r="E237" t="inlineStr">
        <is>
          <t>ÅRE</t>
        </is>
      </c>
      <c r="G237" t="n">
        <v>7.4</v>
      </c>
      <c r="H237" t="n">
        <v>0</v>
      </c>
      <c r="I237" t="n">
        <v>0</v>
      </c>
      <c r="J237" t="n">
        <v>0</v>
      </c>
      <c r="K237" t="n">
        <v>0</v>
      </c>
      <c r="L237" t="n">
        <v>0</v>
      </c>
      <c r="M237" t="n">
        <v>0</v>
      </c>
      <c r="N237" t="n">
        <v>0</v>
      </c>
      <c r="O237" t="n">
        <v>0</v>
      </c>
      <c r="P237" t="n">
        <v>0</v>
      </c>
      <c r="Q237" t="n">
        <v>0</v>
      </c>
      <c r="R237" s="2" t="inlineStr"/>
    </row>
    <row r="238" ht="15" customHeight="1">
      <c r="A238" t="inlineStr">
        <is>
          <t>A 66787-2019</t>
        </is>
      </c>
      <c r="B238" s="1" t="n">
        <v>43810</v>
      </c>
      <c r="C238" s="1" t="n">
        <v>45505</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67988-2019</t>
        </is>
      </c>
      <c r="B239" s="1" t="n">
        <v>43811</v>
      </c>
      <c r="C239" s="1" t="n">
        <v>45505</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68076-2019</t>
        </is>
      </c>
      <c r="B240" s="1" t="n">
        <v>43816</v>
      </c>
      <c r="C240" s="1" t="n">
        <v>45505</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68315-2019</t>
        </is>
      </c>
      <c r="B241" s="1" t="n">
        <v>43817</v>
      </c>
      <c r="C241" s="1" t="n">
        <v>45505</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824-2020</t>
        </is>
      </c>
      <c r="B242" s="1" t="n">
        <v>43818</v>
      </c>
      <c r="C242" s="1" t="n">
        <v>45505</v>
      </c>
      <c r="D242" t="inlineStr">
        <is>
          <t>JÄMTLANDS LÄN</t>
        </is>
      </c>
      <c r="E242" t="inlineStr">
        <is>
          <t>ÅRE</t>
        </is>
      </c>
      <c r="G242" t="n">
        <v>1.8</v>
      </c>
      <c r="H242" t="n">
        <v>0</v>
      </c>
      <c r="I242" t="n">
        <v>0</v>
      </c>
      <c r="J242" t="n">
        <v>0</v>
      </c>
      <c r="K242" t="n">
        <v>0</v>
      </c>
      <c r="L242" t="n">
        <v>0</v>
      </c>
      <c r="M242" t="n">
        <v>0</v>
      </c>
      <c r="N242" t="n">
        <v>0</v>
      </c>
      <c r="O242" t="n">
        <v>0</v>
      </c>
      <c r="P242" t="n">
        <v>0</v>
      </c>
      <c r="Q242" t="n">
        <v>0</v>
      </c>
      <c r="R242" s="2" t="inlineStr"/>
    </row>
    <row r="243" ht="15" customHeight="1">
      <c r="A243" t="inlineStr">
        <is>
          <t>A 70-2020</t>
        </is>
      </c>
      <c r="B243" s="1" t="n">
        <v>43832</v>
      </c>
      <c r="C243" s="1" t="n">
        <v>45505</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72-2020</t>
        </is>
      </c>
      <c r="B244" s="1" t="n">
        <v>43832</v>
      </c>
      <c r="C244" s="1" t="n">
        <v>45505</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67-2020</t>
        </is>
      </c>
      <c r="B245" s="1" t="n">
        <v>43832</v>
      </c>
      <c r="C245" s="1" t="n">
        <v>45505</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1819-2020</t>
        </is>
      </c>
      <c r="B246" s="1" t="n">
        <v>43833</v>
      </c>
      <c r="C246" s="1" t="n">
        <v>45505</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3838-2020</t>
        </is>
      </c>
      <c r="B247" s="1" t="n">
        <v>43854</v>
      </c>
      <c r="C247" s="1" t="n">
        <v>45505</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13402-2020</t>
        </is>
      </c>
      <c r="B248" s="1" t="n">
        <v>43902</v>
      </c>
      <c r="C248" s="1" t="n">
        <v>45505</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13408-2020</t>
        </is>
      </c>
      <c r="B249" s="1" t="n">
        <v>43902</v>
      </c>
      <c r="C249" s="1" t="n">
        <v>45505</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14753-2020</t>
        </is>
      </c>
      <c r="B250" s="1" t="n">
        <v>43909</v>
      </c>
      <c r="C250" s="1" t="n">
        <v>45505</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20538-2020</t>
        </is>
      </c>
      <c r="B251" s="1" t="n">
        <v>43948</v>
      </c>
      <c r="C251" s="1" t="n">
        <v>45505</v>
      </c>
      <c r="D251" t="inlineStr">
        <is>
          <t>JÄMTLANDS LÄN</t>
        </is>
      </c>
      <c r="E251" t="inlineStr">
        <is>
          <t>ÅRE</t>
        </is>
      </c>
      <c r="G251" t="n">
        <v>3.7</v>
      </c>
      <c r="H251" t="n">
        <v>0</v>
      </c>
      <c r="I251" t="n">
        <v>0</v>
      </c>
      <c r="J251" t="n">
        <v>0</v>
      </c>
      <c r="K251" t="n">
        <v>0</v>
      </c>
      <c r="L251" t="n">
        <v>0</v>
      </c>
      <c r="M251" t="n">
        <v>0</v>
      </c>
      <c r="N251" t="n">
        <v>0</v>
      </c>
      <c r="O251" t="n">
        <v>0</v>
      </c>
      <c r="P251" t="n">
        <v>0</v>
      </c>
      <c r="Q251" t="n">
        <v>0</v>
      </c>
      <c r="R251" s="2" t="inlineStr"/>
    </row>
    <row r="252" ht="15" customHeight="1">
      <c r="A252" t="inlineStr">
        <is>
          <t>A 21448-2020</t>
        </is>
      </c>
      <c r="B252" s="1" t="n">
        <v>43956</v>
      </c>
      <c r="C252" s="1" t="n">
        <v>45505</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23393-2020</t>
        </is>
      </c>
      <c r="B253" s="1" t="n">
        <v>43968</v>
      </c>
      <c r="C253" s="1" t="n">
        <v>45505</v>
      </c>
      <c r="D253" t="inlineStr">
        <is>
          <t>JÄMTLANDS LÄN</t>
        </is>
      </c>
      <c r="E253" t="inlineStr">
        <is>
          <t>ÅRE</t>
        </is>
      </c>
      <c r="G253" t="n">
        <v>5</v>
      </c>
      <c r="H253" t="n">
        <v>0</v>
      </c>
      <c r="I253" t="n">
        <v>0</v>
      </c>
      <c r="J253" t="n">
        <v>0</v>
      </c>
      <c r="K253" t="n">
        <v>0</v>
      </c>
      <c r="L253" t="n">
        <v>0</v>
      </c>
      <c r="M253" t="n">
        <v>0</v>
      </c>
      <c r="N253" t="n">
        <v>0</v>
      </c>
      <c r="O253" t="n">
        <v>0</v>
      </c>
      <c r="P253" t="n">
        <v>0</v>
      </c>
      <c r="Q253" t="n">
        <v>0</v>
      </c>
      <c r="R253" s="2" t="inlineStr"/>
    </row>
    <row r="254" ht="15" customHeight="1">
      <c r="A254" t="inlineStr">
        <is>
          <t>A 24436-2020</t>
        </is>
      </c>
      <c r="B254" s="1" t="n">
        <v>43976</v>
      </c>
      <c r="C254" s="1" t="n">
        <v>45505</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25587-2020</t>
        </is>
      </c>
      <c r="B255" s="1" t="n">
        <v>43983</v>
      </c>
      <c r="C255" s="1" t="n">
        <v>45505</v>
      </c>
      <c r="D255" t="inlineStr">
        <is>
          <t>JÄMTLANDS LÄN</t>
        </is>
      </c>
      <c r="E255" t="inlineStr">
        <is>
          <t>ÅRE</t>
        </is>
      </c>
      <c r="G255" t="n">
        <v>10.3</v>
      </c>
      <c r="H255" t="n">
        <v>0</v>
      </c>
      <c r="I255" t="n">
        <v>0</v>
      </c>
      <c r="J255" t="n">
        <v>0</v>
      </c>
      <c r="K255" t="n">
        <v>0</v>
      </c>
      <c r="L255" t="n">
        <v>0</v>
      </c>
      <c r="M255" t="n">
        <v>0</v>
      </c>
      <c r="N255" t="n">
        <v>0</v>
      </c>
      <c r="O255" t="n">
        <v>0</v>
      </c>
      <c r="P255" t="n">
        <v>0</v>
      </c>
      <c r="Q255" t="n">
        <v>0</v>
      </c>
      <c r="R255" s="2" t="inlineStr"/>
    </row>
    <row r="256" ht="15" customHeight="1">
      <c r="A256" t="inlineStr">
        <is>
          <t>A 25592-2020</t>
        </is>
      </c>
      <c r="B256" s="1" t="n">
        <v>43983</v>
      </c>
      <c r="C256" s="1" t="n">
        <v>45505</v>
      </c>
      <c r="D256" t="inlineStr">
        <is>
          <t>JÄMTLANDS LÄN</t>
        </is>
      </c>
      <c r="E256" t="inlineStr">
        <is>
          <t>ÅRE</t>
        </is>
      </c>
      <c r="G256" t="n">
        <v>6.6</v>
      </c>
      <c r="H256" t="n">
        <v>0</v>
      </c>
      <c r="I256" t="n">
        <v>0</v>
      </c>
      <c r="J256" t="n">
        <v>0</v>
      </c>
      <c r="K256" t="n">
        <v>0</v>
      </c>
      <c r="L256" t="n">
        <v>0</v>
      </c>
      <c r="M256" t="n">
        <v>0</v>
      </c>
      <c r="N256" t="n">
        <v>0</v>
      </c>
      <c r="O256" t="n">
        <v>0</v>
      </c>
      <c r="P256" t="n">
        <v>0</v>
      </c>
      <c r="Q256" t="n">
        <v>0</v>
      </c>
      <c r="R256" s="2" t="inlineStr"/>
    </row>
    <row r="257" ht="15" customHeight="1">
      <c r="A257" t="inlineStr">
        <is>
          <t>A 27292-2020</t>
        </is>
      </c>
      <c r="B257" s="1" t="n">
        <v>43992</v>
      </c>
      <c r="C257" s="1" t="n">
        <v>45505</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27369-2020</t>
        </is>
      </c>
      <c r="B258" s="1" t="n">
        <v>43992</v>
      </c>
      <c r="C258" s="1" t="n">
        <v>45505</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28422-2020</t>
        </is>
      </c>
      <c r="B259" s="1" t="n">
        <v>43998</v>
      </c>
      <c r="C259" s="1" t="n">
        <v>45505</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28385-2020</t>
        </is>
      </c>
      <c r="B260" s="1" t="n">
        <v>43998</v>
      </c>
      <c r="C260" s="1" t="n">
        <v>45505</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28869-2020</t>
        </is>
      </c>
      <c r="B261" s="1" t="n">
        <v>44000</v>
      </c>
      <c r="C261" s="1" t="n">
        <v>45505</v>
      </c>
      <c r="D261" t="inlineStr">
        <is>
          <t>JÄMTLANDS LÄN</t>
        </is>
      </c>
      <c r="E261" t="inlineStr">
        <is>
          <t>ÅRE</t>
        </is>
      </c>
      <c r="F261" t="inlineStr">
        <is>
          <t>Kyrkan</t>
        </is>
      </c>
      <c r="G261" t="n">
        <v>1.7</v>
      </c>
      <c r="H261" t="n">
        <v>0</v>
      </c>
      <c r="I261" t="n">
        <v>0</v>
      </c>
      <c r="J261" t="n">
        <v>0</v>
      </c>
      <c r="K261" t="n">
        <v>0</v>
      </c>
      <c r="L261" t="n">
        <v>0</v>
      </c>
      <c r="M261" t="n">
        <v>0</v>
      </c>
      <c r="N261" t="n">
        <v>0</v>
      </c>
      <c r="O261" t="n">
        <v>0</v>
      </c>
      <c r="P261" t="n">
        <v>0</v>
      </c>
      <c r="Q261" t="n">
        <v>0</v>
      </c>
      <c r="R261" s="2" t="inlineStr"/>
    </row>
    <row r="262" ht="15" customHeight="1">
      <c r="A262" t="inlineStr">
        <is>
          <t>A 29083-2020</t>
        </is>
      </c>
      <c r="B262" s="1" t="n">
        <v>44002</v>
      </c>
      <c r="C262" s="1" t="n">
        <v>45505</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29080-2020</t>
        </is>
      </c>
      <c r="B263" s="1" t="n">
        <v>44002</v>
      </c>
      <c r="C263" s="1" t="n">
        <v>45505</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33239-2020</t>
        </is>
      </c>
      <c r="B264" s="1" t="n">
        <v>44022</v>
      </c>
      <c r="C264" s="1" t="n">
        <v>45505</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33530-2020</t>
        </is>
      </c>
      <c r="B265" s="1" t="n">
        <v>44025</v>
      </c>
      <c r="C265" s="1" t="n">
        <v>45505</v>
      </c>
      <c r="D265" t="inlineStr">
        <is>
          <t>JÄMTLANDS LÄN</t>
        </is>
      </c>
      <c r="E265" t="inlineStr">
        <is>
          <t>ÅRE</t>
        </is>
      </c>
      <c r="G265" t="n">
        <v>3.1</v>
      </c>
      <c r="H265" t="n">
        <v>0</v>
      </c>
      <c r="I265" t="n">
        <v>0</v>
      </c>
      <c r="J265" t="n">
        <v>0</v>
      </c>
      <c r="K265" t="n">
        <v>0</v>
      </c>
      <c r="L265" t="n">
        <v>0</v>
      </c>
      <c r="M265" t="n">
        <v>0</v>
      </c>
      <c r="N265" t="n">
        <v>0</v>
      </c>
      <c r="O265" t="n">
        <v>0</v>
      </c>
      <c r="P265" t="n">
        <v>0</v>
      </c>
      <c r="Q265" t="n">
        <v>0</v>
      </c>
      <c r="R265" s="2" t="inlineStr"/>
    </row>
    <row r="266" ht="15" customHeight="1">
      <c r="A266" t="inlineStr">
        <is>
          <t>A 34013-2020</t>
        </is>
      </c>
      <c r="B266" s="1" t="n">
        <v>44028</v>
      </c>
      <c r="C266" s="1" t="n">
        <v>45505</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34207-2020</t>
        </is>
      </c>
      <c r="B267" s="1" t="n">
        <v>44029</v>
      </c>
      <c r="C267" s="1" t="n">
        <v>45505</v>
      </c>
      <c r="D267" t="inlineStr">
        <is>
          <t>JÄMTLANDS LÄN</t>
        </is>
      </c>
      <c r="E267" t="inlineStr">
        <is>
          <t>ÅRE</t>
        </is>
      </c>
      <c r="G267" t="n">
        <v>10.2</v>
      </c>
      <c r="H267" t="n">
        <v>0</v>
      </c>
      <c r="I267" t="n">
        <v>0</v>
      </c>
      <c r="J267" t="n">
        <v>0</v>
      </c>
      <c r="K267" t="n">
        <v>0</v>
      </c>
      <c r="L267" t="n">
        <v>0</v>
      </c>
      <c r="M267" t="n">
        <v>0</v>
      </c>
      <c r="N267" t="n">
        <v>0</v>
      </c>
      <c r="O267" t="n">
        <v>0</v>
      </c>
      <c r="P267" t="n">
        <v>0</v>
      </c>
      <c r="Q267" t="n">
        <v>0</v>
      </c>
      <c r="R267" s="2" t="inlineStr"/>
    </row>
    <row r="268" ht="15" customHeight="1">
      <c r="A268" t="inlineStr">
        <is>
          <t>A 34529-2020</t>
        </is>
      </c>
      <c r="B268" s="1" t="n">
        <v>44033</v>
      </c>
      <c r="C268" s="1" t="n">
        <v>45505</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34678-2020</t>
        </is>
      </c>
      <c r="B269" s="1" t="n">
        <v>44033</v>
      </c>
      <c r="C269" s="1" t="n">
        <v>45505</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34640-2020</t>
        </is>
      </c>
      <c r="B270" s="1" t="n">
        <v>44034</v>
      </c>
      <c r="C270" s="1" t="n">
        <v>45505</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35849-2020</t>
        </is>
      </c>
      <c r="B271" s="1" t="n">
        <v>44047</v>
      </c>
      <c r="C271" s="1" t="n">
        <v>45505</v>
      </c>
      <c r="D271" t="inlineStr">
        <is>
          <t>JÄMTLANDS LÄN</t>
        </is>
      </c>
      <c r="E271" t="inlineStr">
        <is>
          <t>ÅRE</t>
        </is>
      </c>
      <c r="G271" t="n">
        <v>21.3</v>
      </c>
      <c r="H271" t="n">
        <v>0</v>
      </c>
      <c r="I271" t="n">
        <v>0</v>
      </c>
      <c r="J271" t="n">
        <v>0</v>
      </c>
      <c r="K271" t="n">
        <v>0</v>
      </c>
      <c r="L271" t="n">
        <v>0</v>
      </c>
      <c r="M271" t="n">
        <v>0</v>
      </c>
      <c r="N271" t="n">
        <v>0</v>
      </c>
      <c r="O271" t="n">
        <v>0</v>
      </c>
      <c r="P271" t="n">
        <v>0</v>
      </c>
      <c r="Q271" t="n">
        <v>0</v>
      </c>
      <c r="R271" s="2" t="inlineStr"/>
    </row>
    <row r="272" ht="15" customHeight="1">
      <c r="A272" t="inlineStr">
        <is>
          <t>A 36506-2020</t>
        </is>
      </c>
      <c r="B272" s="1" t="n">
        <v>44050</v>
      </c>
      <c r="C272" s="1" t="n">
        <v>45505</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36501-2020</t>
        </is>
      </c>
      <c r="B273" s="1" t="n">
        <v>44050</v>
      </c>
      <c r="C273" s="1" t="n">
        <v>45505</v>
      </c>
      <c r="D273" t="inlineStr">
        <is>
          <t>JÄMTLANDS LÄN</t>
        </is>
      </c>
      <c r="E273" t="inlineStr">
        <is>
          <t>ÅRE</t>
        </is>
      </c>
      <c r="G273" t="n">
        <v>5.1</v>
      </c>
      <c r="H273" t="n">
        <v>0</v>
      </c>
      <c r="I273" t="n">
        <v>0</v>
      </c>
      <c r="J273" t="n">
        <v>0</v>
      </c>
      <c r="K273" t="n">
        <v>0</v>
      </c>
      <c r="L273" t="n">
        <v>0</v>
      </c>
      <c r="M273" t="n">
        <v>0</v>
      </c>
      <c r="N273" t="n">
        <v>0</v>
      </c>
      <c r="O273" t="n">
        <v>0</v>
      </c>
      <c r="P273" t="n">
        <v>0</v>
      </c>
      <c r="Q273" t="n">
        <v>0</v>
      </c>
      <c r="R273" s="2" t="inlineStr"/>
    </row>
    <row r="274" ht="15" customHeight="1">
      <c r="A274" t="inlineStr">
        <is>
          <t>A 38454-2020</t>
        </is>
      </c>
      <c r="B274" s="1" t="n">
        <v>44060</v>
      </c>
      <c r="C274" s="1" t="n">
        <v>45505</v>
      </c>
      <c r="D274" t="inlineStr">
        <is>
          <t>JÄMTLANDS LÄN</t>
        </is>
      </c>
      <c r="E274" t="inlineStr">
        <is>
          <t>ÅRE</t>
        </is>
      </c>
      <c r="G274" t="n">
        <v>6.9</v>
      </c>
      <c r="H274" t="n">
        <v>0</v>
      </c>
      <c r="I274" t="n">
        <v>0</v>
      </c>
      <c r="J274" t="n">
        <v>0</v>
      </c>
      <c r="K274" t="n">
        <v>0</v>
      </c>
      <c r="L274" t="n">
        <v>0</v>
      </c>
      <c r="M274" t="n">
        <v>0</v>
      </c>
      <c r="N274" t="n">
        <v>0</v>
      </c>
      <c r="O274" t="n">
        <v>0</v>
      </c>
      <c r="P274" t="n">
        <v>0</v>
      </c>
      <c r="Q274" t="n">
        <v>0</v>
      </c>
      <c r="R274" s="2" t="inlineStr"/>
    </row>
    <row r="275" ht="15" customHeight="1">
      <c r="A275" t="inlineStr">
        <is>
          <t>A 38455-2020</t>
        </is>
      </c>
      <c r="B275" s="1" t="n">
        <v>44060</v>
      </c>
      <c r="C275" s="1" t="n">
        <v>45505</v>
      </c>
      <c r="D275" t="inlineStr">
        <is>
          <t>JÄMTLANDS LÄN</t>
        </is>
      </c>
      <c r="E275" t="inlineStr">
        <is>
          <t>ÅRE</t>
        </is>
      </c>
      <c r="G275" t="n">
        <v>2.1</v>
      </c>
      <c r="H275" t="n">
        <v>0</v>
      </c>
      <c r="I275" t="n">
        <v>0</v>
      </c>
      <c r="J275" t="n">
        <v>0</v>
      </c>
      <c r="K275" t="n">
        <v>0</v>
      </c>
      <c r="L275" t="n">
        <v>0</v>
      </c>
      <c r="M275" t="n">
        <v>0</v>
      </c>
      <c r="N275" t="n">
        <v>0</v>
      </c>
      <c r="O275" t="n">
        <v>0</v>
      </c>
      <c r="P275" t="n">
        <v>0</v>
      </c>
      <c r="Q275" t="n">
        <v>0</v>
      </c>
      <c r="R275" s="2" t="inlineStr"/>
    </row>
    <row r="276" ht="15" customHeight="1">
      <c r="A276" t="inlineStr">
        <is>
          <t>A 40148-2020</t>
        </is>
      </c>
      <c r="B276" s="1" t="n">
        <v>44068</v>
      </c>
      <c r="C276" s="1" t="n">
        <v>45505</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42337-2020</t>
        </is>
      </c>
      <c r="B277" s="1" t="n">
        <v>44076</v>
      </c>
      <c r="C277" s="1" t="n">
        <v>45505</v>
      </c>
      <c r="D277" t="inlineStr">
        <is>
          <t>JÄMTLANDS LÄN</t>
        </is>
      </c>
      <c r="E277" t="inlineStr">
        <is>
          <t>ÅRE</t>
        </is>
      </c>
      <c r="G277" t="n">
        <v>3.6</v>
      </c>
      <c r="H277" t="n">
        <v>0</v>
      </c>
      <c r="I277" t="n">
        <v>0</v>
      </c>
      <c r="J277" t="n">
        <v>0</v>
      </c>
      <c r="K277" t="n">
        <v>0</v>
      </c>
      <c r="L277" t="n">
        <v>0</v>
      </c>
      <c r="M277" t="n">
        <v>0</v>
      </c>
      <c r="N277" t="n">
        <v>0</v>
      </c>
      <c r="O277" t="n">
        <v>0</v>
      </c>
      <c r="P277" t="n">
        <v>0</v>
      </c>
      <c r="Q277" t="n">
        <v>0</v>
      </c>
      <c r="R277" s="2" t="inlineStr"/>
    </row>
    <row r="278" ht="15" customHeight="1">
      <c r="A278" t="inlineStr">
        <is>
          <t>A 42643-2020</t>
        </is>
      </c>
      <c r="B278" s="1" t="n">
        <v>44077</v>
      </c>
      <c r="C278" s="1" t="n">
        <v>45505</v>
      </c>
      <c r="D278" t="inlineStr">
        <is>
          <t>JÄMTLANDS LÄN</t>
        </is>
      </c>
      <c r="E278" t="inlineStr">
        <is>
          <t>ÅRE</t>
        </is>
      </c>
      <c r="G278" t="n">
        <v>7.5</v>
      </c>
      <c r="H278" t="n">
        <v>0</v>
      </c>
      <c r="I278" t="n">
        <v>0</v>
      </c>
      <c r="J278" t="n">
        <v>0</v>
      </c>
      <c r="K278" t="n">
        <v>0</v>
      </c>
      <c r="L278" t="n">
        <v>0</v>
      </c>
      <c r="M278" t="n">
        <v>0</v>
      </c>
      <c r="N278" t="n">
        <v>0</v>
      </c>
      <c r="O278" t="n">
        <v>0</v>
      </c>
      <c r="P278" t="n">
        <v>0</v>
      </c>
      <c r="Q278" t="n">
        <v>0</v>
      </c>
      <c r="R278" s="2" t="inlineStr"/>
    </row>
    <row r="279" ht="15" customHeight="1">
      <c r="A279" t="inlineStr">
        <is>
          <t>A 42634-2020</t>
        </is>
      </c>
      <c r="B279" s="1" t="n">
        <v>44077</v>
      </c>
      <c r="C279" s="1" t="n">
        <v>45505</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43167-2020</t>
        </is>
      </c>
      <c r="B280" s="1" t="n">
        <v>44077</v>
      </c>
      <c r="C280" s="1" t="n">
        <v>45505</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42650-2020</t>
        </is>
      </c>
      <c r="B281" s="1" t="n">
        <v>44077</v>
      </c>
      <c r="C281" s="1" t="n">
        <v>45505</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46982-2020</t>
        </is>
      </c>
      <c r="B282" s="1" t="n">
        <v>44096</v>
      </c>
      <c r="C282" s="1" t="n">
        <v>45505</v>
      </c>
      <c r="D282" t="inlineStr">
        <is>
          <t>JÄMTLANDS LÄN</t>
        </is>
      </c>
      <c r="E282" t="inlineStr">
        <is>
          <t>ÅRE</t>
        </is>
      </c>
      <c r="G282" t="n">
        <v>2</v>
      </c>
      <c r="H282" t="n">
        <v>0</v>
      </c>
      <c r="I282" t="n">
        <v>0</v>
      </c>
      <c r="J282" t="n">
        <v>0</v>
      </c>
      <c r="K282" t="n">
        <v>0</v>
      </c>
      <c r="L282" t="n">
        <v>0</v>
      </c>
      <c r="M282" t="n">
        <v>0</v>
      </c>
      <c r="N282" t="n">
        <v>0</v>
      </c>
      <c r="O282" t="n">
        <v>0</v>
      </c>
      <c r="P282" t="n">
        <v>0</v>
      </c>
      <c r="Q282" t="n">
        <v>0</v>
      </c>
      <c r="R282" s="2" t="inlineStr"/>
    </row>
    <row r="283" ht="15" customHeight="1">
      <c r="A283" t="inlineStr">
        <is>
          <t>A 48177-2020</t>
        </is>
      </c>
      <c r="B283" s="1" t="n">
        <v>44102</v>
      </c>
      <c r="C283" s="1" t="n">
        <v>45505</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49661-2020</t>
        </is>
      </c>
      <c r="B284" s="1" t="n">
        <v>44105</v>
      </c>
      <c r="C284" s="1" t="n">
        <v>45505</v>
      </c>
      <c r="D284" t="inlineStr">
        <is>
          <t>JÄMTLANDS LÄN</t>
        </is>
      </c>
      <c r="E284" t="inlineStr">
        <is>
          <t>ÅRE</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49744-2020</t>
        </is>
      </c>
      <c r="B285" s="1" t="n">
        <v>44106</v>
      </c>
      <c r="C285" s="1" t="n">
        <v>45505</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49748-2020</t>
        </is>
      </c>
      <c r="B286" s="1" t="n">
        <v>44106</v>
      </c>
      <c r="C286" s="1" t="n">
        <v>45505</v>
      </c>
      <c r="D286" t="inlineStr">
        <is>
          <t>JÄMTLANDS LÄN</t>
        </is>
      </c>
      <c r="E286" t="inlineStr">
        <is>
          <t>ÅRE</t>
        </is>
      </c>
      <c r="G286" t="n">
        <v>13.4</v>
      </c>
      <c r="H286" t="n">
        <v>0</v>
      </c>
      <c r="I286" t="n">
        <v>0</v>
      </c>
      <c r="J286" t="n">
        <v>0</v>
      </c>
      <c r="K286" t="n">
        <v>0</v>
      </c>
      <c r="L286" t="n">
        <v>0</v>
      </c>
      <c r="M286" t="n">
        <v>0</v>
      </c>
      <c r="N286" t="n">
        <v>0</v>
      </c>
      <c r="O286" t="n">
        <v>0</v>
      </c>
      <c r="P286" t="n">
        <v>0</v>
      </c>
      <c r="Q286" t="n">
        <v>0</v>
      </c>
      <c r="R286" s="2" t="inlineStr"/>
    </row>
    <row r="287" ht="15" customHeight="1">
      <c r="A287" t="inlineStr">
        <is>
          <t>A 49747-2020</t>
        </is>
      </c>
      <c r="B287" s="1" t="n">
        <v>44106</v>
      </c>
      <c r="C287" s="1" t="n">
        <v>45505</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52548-2020</t>
        </is>
      </c>
      <c r="B288" s="1" t="n">
        <v>44116</v>
      </c>
      <c r="C288" s="1" t="n">
        <v>45505</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53042-2020</t>
        </is>
      </c>
      <c r="B289" s="1" t="n">
        <v>44120</v>
      </c>
      <c r="C289" s="1" t="n">
        <v>45505</v>
      </c>
      <c r="D289" t="inlineStr">
        <is>
          <t>JÄMTLANDS LÄN</t>
        </is>
      </c>
      <c r="E289" t="inlineStr">
        <is>
          <t>ÅRE</t>
        </is>
      </c>
      <c r="G289" t="n">
        <v>17.1</v>
      </c>
      <c r="H289" t="n">
        <v>0</v>
      </c>
      <c r="I289" t="n">
        <v>0</v>
      </c>
      <c r="J289" t="n">
        <v>0</v>
      </c>
      <c r="K289" t="n">
        <v>0</v>
      </c>
      <c r="L289" t="n">
        <v>0</v>
      </c>
      <c r="M289" t="n">
        <v>0</v>
      </c>
      <c r="N289" t="n">
        <v>0</v>
      </c>
      <c r="O289" t="n">
        <v>0</v>
      </c>
      <c r="P289" t="n">
        <v>0</v>
      </c>
      <c r="Q289" t="n">
        <v>0</v>
      </c>
      <c r="R289" s="2" t="inlineStr"/>
    </row>
    <row r="290" ht="15" customHeight="1">
      <c r="A290" t="inlineStr">
        <is>
          <t>A 54015-2020</t>
        </is>
      </c>
      <c r="B290" s="1" t="n">
        <v>44125</v>
      </c>
      <c r="C290" s="1" t="n">
        <v>45505</v>
      </c>
      <c r="D290" t="inlineStr">
        <is>
          <t>JÄMTLANDS LÄN</t>
        </is>
      </c>
      <c r="E290" t="inlineStr">
        <is>
          <t>ÅRE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54945-2020</t>
        </is>
      </c>
      <c r="B291" s="1" t="n">
        <v>44129</v>
      </c>
      <c r="C291" s="1" t="n">
        <v>45505</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54944-2020</t>
        </is>
      </c>
      <c r="B292" s="1" t="n">
        <v>44129</v>
      </c>
      <c r="C292" s="1" t="n">
        <v>45505</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45505</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57578-2020</t>
        </is>
      </c>
      <c r="B294" s="1" t="n">
        <v>44140</v>
      </c>
      <c r="C294" s="1" t="n">
        <v>45505</v>
      </c>
      <c r="D294" t="inlineStr">
        <is>
          <t>JÄMTLANDS LÄN</t>
        </is>
      </c>
      <c r="E294" t="inlineStr">
        <is>
          <t>ÅRE</t>
        </is>
      </c>
      <c r="G294" t="n">
        <v>94.40000000000001</v>
      </c>
      <c r="H294" t="n">
        <v>0</v>
      </c>
      <c r="I294" t="n">
        <v>0</v>
      </c>
      <c r="J294" t="n">
        <v>0</v>
      </c>
      <c r="K294" t="n">
        <v>0</v>
      </c>
      <c r="L294" t="n">
        <v>0</v>
      </c>
      <c r="M294" t="n">
        <v>0</v>
      </c>
      <c r="N294" t="n">
        <v>0</v>
      </c>
      <c r="O294" t="n">
        <v>0</v>
      </c>
      <c r="P294" t="n">
        <v>0</v>
      </c>
      <c r="Q294" t="n">
        <v>0</v>
      </c>
      <c r="R294" s="2" t="inlineStr"/>
    </row>
    <row r="295" ht="15" customHeight="1">
      <c r="A295" t="inlineStr">
        <is>
          <t>A 57594-2020</t>
        </is>
      </c>
      <c r="B295" s="1" t="n">
        <v>44140</v>
      </c>
      <c r="C295" s="1" t="n">
        <v>45505</v>
      </c>
      <c r="D295" t="inlineStr">
        <is>
          <t>JÄMTLANDS LÄN</t>
        </is>
      </c>
      <c r="E295" t="inlineStr">
        <is>
          <t>ÅRE</t>
        </is>
      </c>
      <c r="G295" t="n">
        <v>14.9</v>
      </c>
      <c r="H295" t="n">
        <v>0</v>
      </c>
      <c r="I295" t="n">
        <v>0</v>
      </c>
      <c r="J295" t="n">
        <v>0</v>
      </c>
      <c r="K295" t="n">
        <v>0</v>
      </c>
      <c r="L295" t="n">
        <v>0</v>
      </c>
      <c r="M295" t="n">
        <v>0</v>
      </c>
      <c r="N295" t="n">
        <v>0</v>
      </c>
      <c r="O295" t="n">
        <v>0</v>
      </c>
      <c r="P295" t="n">
        <v>0</v>
      </c>
      <c r="Q295" t="n">
        <v>0</v>
      </c>
      <c r="R295" s="2" t="inlineStr"/>
    </row>
    <row r="296" ht="15" customHeight="1">
      <c r="A296" t="inlineStr">
        <is>
          <t>A 57586-2020</t>
        </is>
      </c>
      <c r="B296" s="1" t="n">
        <v>44140</v>
      </c>
      <c r="C296" s="1" t="n">
        <v>45505</v>
      </c>
      <c r="D296" t="inlineStr">
        <is>
          <t>JÄMTLANDS LÄN</t>
        </is>
      </c>
      <c r="E296" t="inlineStr">
        <is>
          <t>ÅRE</t>
        </is>
      </c>
      <c r="G296" t="n">
        <v>9.5</v>
      </c>
      <c r="H296" t="n">
        <v>0</v>
      </c>
      <c r="I296" t="n">
        <v>0</v>
      </c>
      <c r="J296" t="n">
        <v>0</v>
      </c>
      <c r="K296" t="n">
        <v>0</v>
      </c>
      <c r="L296" t="n">
        <v>0</v>
      </c>
      <c r="M296" t="n">
        <v>0</v>
      </c>
      <c r="N296" t="n">
        <v>0</v>
      </c>
      <c r="O296" t="n">
        <v>0</v>
      </c>
      <c r="P296" t="n">
        <v>0</v>
      </c>
      <c r="Q296" t="n">
        <v>0</v>
      </c>
      <c r="R296" s="2" t="inlineStr"/>
    </row>
    <row r="297" ht="15" customHeight="1">
      <c r="A297" t="inlineStr">
        <is>
          <t>A 58960-2020</t>
        </is>
      </c>
      <c r="B297" s="1" t="n">
        <v>44146</v>
      </c>
      <c r="C297" s="1" t="n">
        <v>45505</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45505</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61347-2020</t>
        </is>
      </c>
      <c r="B299" s="1" t="n">
        <v>44155</v>
      </c>
      <c r="C299" s="1" t="n">
        <v>45505</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61595-2020</t>
        </is>
      </c>
      <c r="B300" s="1" t="n">
        <v>44158</v>
      </c>
      <c r="C300" s="1" t="n">
        <v>45505</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64355-2020</t>
        </is>
      </c>
      <c r="B301" s="1" t="n">
        <v>44168</v>
      </c>
      <c r="C301" s="1" t="n">
        <v>45505</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66083-2020</t>
        </is>
      </c>
      <c r="B302" s="1" t="n">
        <v>44172</v>
      </c>
      <c r="C302" s="1" t="n">
        <v>45505</v>
      </c>
      <c r="D302" t="inlineStr">
        <is>
          <t>JÄMTLANDS LÄN</t>
        </is>
      </c>
      <c r="E302" t="inlineStr">
        <is>
          <t>ÅRE</t>
        </is>
      </c>
      <c r="G302" t="n">
        <v>563.3</v>
      </c>
      <c r="H302" t="n">
        <v>0</v>
      </c>
      <c r="I302" t="n">
        <v>0</v>
      </c>
      <c r="J302" t="n">
        <v>0</v>
      </c>
      <c r="K302" t="n">
        <v>0</v>
      </c>
      <c r="L302" t="n">
        <v>0</v>
      </c>
      <c r="M302" t="n">
        <v>0</v>
      </c>
      <c r="N302" t="n">
        <v>0</v>
      </c>
      <c r="O302" t="n">
        <v>0</v>
      </c>
      <c r="P302" t="n">
        <v>0</v>
      </c>
      <c r="Q302" t="n">
        <v>0</v>
      </c>
      <c r="R302" s="2" t="inlineStr"/>
    </row>
    <row r="303" ht="15" customHeight="1">
      <c r="A303" t="inlineStr">
        <is>
          <t>A 65439-2020</t>
        </is>
      </c>
      <c r="B303" s="1" t="n">
        <v>44173</v>
      </c>
      <c r="C303" s="1" t="n">
        <v>45505</v>
      </c>
      <c r="D303" t="inlineStr">
        <is>
          <t>JÄMTLANDS LÄN</t>
        </is>
      </c>
      <c r="E303" t="inlineStr">
        <is>
          <t>ÅRE</t>
        </is>
      </c>
      <c r="G303" t="n">
        <v>6.2</v>
      </c>
      <c r="H303" t="n">
        <v>0</v>
      </c>
      <c r="I303" t="n">
        <v>0</v>
      </c>
      <c r="J303" t="n">
        <v>0</v>
      </c>
      <c r="K303" t="n">
        <v>0</v>
      </c>
      <c r="L303" t="n">
        <v>0</v>
      </c>
      <c r="M303" t="n">
        <v>0</v>
      </c>
      <c r="N303" t="n">
        <v>0</v>
      </c>
      <c r="O303" t="n">
        <v>0</v>
      </c>
      <c r="P303" t="n">
        <v>0</v>
      </c>
      <c r="Q303" t="n">
        <v>0</v>
      </c>
      <c r="R303" s="2" t="inlineStr"/>
    </row>
    <row r="304" ht="15" customHeight="1">
      <c r="A304" t="inlineStr">
        <is>
          <t>A 65512-2020</t>
        </is>
      </c>
      <c r="B304" s="1" t="n">
        <v>44173</v>
      </c>
      <c r="C304" s="1" t="n">
        <v>45505</v>
      </c>
      <c r="D304" t="inlineStr">
        <is>
          <t>JÄMTLANDS LÄN</t>
        </is>
      </c>
      <c r="E304" t="inlineStr">
        <is>
          <t>ÅRE</t>
        </is>
      </c>
      <c r="G304" t="n">
        <v>5.6</v>
      </c>
      <c r="H304" t="n">
        <v>0</v>
      </c>
      <c r="I304" t="n">
        <v>0</v>
      </c>
      <c r="J304" t="n">
        <v>0</v>
      </c>
      <c r="K304" t="n">
        <v>0</v>
      </c>
      <c r="L304" t="n">
        <v>0</v>
      </c>
      <c r="M304" t="n">
        <v>0</v>
      </c>
      <c r="N304" t="n">
        <v>0</v>
      </c>
      <c r="O304" t="n">
        <v>0</v>
      </c>
      <c r="P304" t="n">
        <v>0</v>
      </c>
      <c r="Q304" t="n">
        <v>0</v>
      </c>
      <c r="R304" s="2" t="inlineStr"/>
    </row>
    <row r="305" ht="15" customHeight="1">
      <c r="A305" t="inlineStr">
        <is>
          <t>A 65519-2020</t>
        </is>
      </c>
      <c r="B305" s="1" t="n">
        <v>44173</v>
      </c>
      <c r="C305" s="1" t="n">
        <v>45505</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66755-2020</t>
        </is>
      </c>
      <c r="B306" s="1" t="n">
        <v>44179</v>
      </c>
      <c r="C306" s="1" t="n">
        <v>45505</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66790-2020</t>
        </is>
      </c>
      <c r="B307" s="1" t="n">
        <v>44179</v>
      </c>
      <c r="C307" s="1" t="n">
        <v>45505</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67270-2020</t>
        </is>
      </c>
      <c r="B308" s="1" t="n">
        <v>44179</v>
      </c>
      <c r="C308" s="1" t="n">
        <v>45505</v>
      </c>
      <c r="D308" t="inlineStr">
        <is>
          <t>JÄMTLANDS LÄN</t>
        </is>
      </c>
      <c r="E308" t="inlineStr">
        <is>
          <t>ÅRE</t>
        </is>
      </c>
      <c r="G308" t="n">
        <v>4.2</v>
      </c>
      <c r="H308" t="n">
        <v>0</v>
      </c>
      <c r="I308" t="n">
        <v>0</v>
      </c>
      <c r="J308" t="n">
        <v>0</v>
      </c>
      <c r="K308" t="n">
        <v>0</v>
      </c>
      <c r="L308" t="n">
        <v>0</v>
      </c>
      <c r="M308" t="n">
        <v>0</v>
      </c>
      <c r="N308" t="n">
        <v>0</v>
      </c>
      <c r="O308" t="n">
        <v>0</v>
      </c>
      <c r="P308" t="n">
        <v>0</v>
      </c>
      <c r="Q308" t="n">
        <v>0</v>
      </c>
      <c r="R308" s="2" t="inlineStr"/>
    </row>
    <row r="309" ht="15" customHeight="1">
      <c r="A309" t="inlineStr">
        <is>
          <t>A 67972-2020</t>
        </is>
      </c>
      <c r="B309" s="1" t="n">
        <v>44182</v>
      </c>
      <c r="C309" s="1" t="n">
        <v>45505</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68545-2020</t>
        </is>
      </c>
      <c r="B310" s="1" t="n">
        <v>44186</v>
      </c>
      <c r="C310" s="1" t="n">
        <v>45505</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68537-2020</t>
        </is>
      </c>
      <c r="B311" s="1" t="n">
        <v>44186</v>
      </c>
      <c r="C311" s="1" t="n">
        <v>45505</v>
      </c>
      <c r="D311" t="inlineStr">
        <is>
          <t>JÄMTLANDS LÄN</t>
        </is>
      </c>
      <c r="E311" t="inlineStr">
        <is>
          <t>ÅRE</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68518-2020</t>
        </is>
      </c>
      <c r="B312" s="1" t="n">
        <v>44186</v>
      </c>
      <c r="C312" s="1" t="n">
        <v>45505</v>
      </c>
      <c r="D312" t="inlineStr">
        <is>
          <t>JÄMTLANDS LÄN</t>
        </is>
      </c>
      <c r="E312" t="inlineStr">
        <is>
          <t>ÅRE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68594-2020</t>
        </is>
      </c>
      <c r="B313" s="1" t="n">
        <v>44186</v>
      </c>
      <c r="C313" s="1" t="n">
        <v>45505</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1339-2021</t>
        </is>
      </c>
      <c r="B314" s="1" t="n">
        <v>44208</v>
      </c>
      <c r="C314" s="1" t="n">
        <v>45505</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4838-2021</t>
        </is>
      </c>
      <c r="B315" s="1" t="n">
        <v>44225</v>
      </c>
      <c r="C315" s="1" t="n">
        <v>45505</v>
      </c>
      <c r="D315" t="inlineStr">
        <is>
          <t>JÄMTLANDS LÄN</t>
        </is>
      </c>
      <c r="E315" t="inlineStr">
        <is>
          <t>ÅRE</t>
        </is>
      </c>
      <c r="G315" t="n">
        <v>12.4</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45505</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5401-2021</t>
        </is>
      </c>
      <c r="B317" s="1" t="n">
        <v>44229</v>
      </c>
      <c r="C317" s="1" t="n">
        <v>45505</v>
      </c>
      <c r="D317" t="inlineStr">
        <is>
          <t>JÄMTLANDS LÄN</t>
        </is>
      </c>
      <c r="E317" t="inlineStr">
        <is>
          <t>ÅRE</t>
        </is>
      </c>
      <c r="G317" t="n">
        <v>10</v>
      </c>
      <c r="H317" t="n">
        <v>0</v>
      </c>
      <c r="I317" t="n">
        <v>0</v>
      </c>
      <c r="J317" t="n">
        <v>0</v>
      </c>
      <c r="K317" t="n">
        <v>0</v>
      </c>
      <c r="L317" t="n">
        <v>0</v>
      </c>
      <c r="M317" t="n">
        <v>0</v>
      </c>
      <c r="N317" t="n">
        <v>0</v>
      </c>
      <c r="O317" t="n">
        <v>0</v>
      </c>
      <c r="P317" t="n">
        <v>0</v>
      </c>
      <c r="Q317" t="n">
        <v>0</v>
      </c>
      <c r="R317" s="2" t="inlineStr"/>
    </row>
    <row r="318" ht="15" customHeight="1">
      <c r="A318" t="inlineStr">
        <is>
          <t>A 5753-2021</t>
        </is>
      </c>
      <c r="B318" s="1" t="n">
        <v>44230</v>
      </c>
      <c r="C318" s="1" t="n">
        <v>45505</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8983-2021</t>
        </is>
      </c>
      <c r="B319" s="1" t="n">
        <v>44231</v>
      </c>
      <c r="C319" s="1" t="n">
        <v>45505</v>
      </c>
      <c r="D319" t="inlineStr">
        <is>
          <t>JÄMTLANDS LÄN</t>
        </is>
      </c>
      <c r="E319" t="inlineStr">
        <is>
          <t>ÅRE</t>
        </is>
      </c>
      <c r="G319" t="n">
        <v>4.1</v>
      </c>
      <c r="H319" t="n">
        <v>0</v>
      </c>
      <c r="I319" t="n">
        <v>0</v>
      </c>
      <c r="J319" t="n">
        <v>0</v>
      </c>
      <c r="K319" t="n">
        <v>0</v>
      </c>
      <c r="L319" t="n">
        <v>0</v>
      </c>
      <c r="M319" t="n">
        <v>0</v>
      </c>
      <c r="N319" t="n">
        <v>0</v>
      </c>
      <c r="O319" t="n">
        <v>0</v>
      </c>
      <c r="P319" t="n">
        <v>0</v>
      </c>
      <c r="Q319" t="n">
        <v>0</v>
      </c>
      <c r="R319" s="2" t="inlineStr"/>
    </row>
    <row r="320" ht="15" customHeight="1">
      <c r="A320" t="inlineStr">
        <is>
          <t>A 6232-2021</t>
        </is>
      </c>
      <c r="B320" s="1" t="n">
        <v>44231</v>
      </c>
      <c r="C320" s="1" t="n">
        <v>45505</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8294-2021</t>
        </is>
      </c>
      <c r="B321" s="1" t="n">
        <v>44243</v>
      </c>
      <c r="C321" s="1" t="n">
        <v>45505</v>
      </c>
      <c r="D321" t="inlineStr">
        <is>
          <t>JÄMTLANDS LÄN</t>
        </is>
      </c>
      <c r="E321" t="inlineStr">
        <is>
          <t>ÅRE</t>
        </is>
      </c>
      <c r="G321" t="n">
        <v>16.5</v>
      </c>
      <c r="H321" t="n">
        <v>0</v>
      </c>
      <c r="I321" t="n">
        <v>0</v>
      </c>
      <c r="J321" t="n">
        <v>0</v>
      </c>
      <c r="K321" t="n">
        <v>0</v>
      </c>
      <c r="L321" t="n">
        <v>0</v>
      </c>
      <c r="M321" t="n">
        <v>0</v>
      </c>
      <c r="N321" t="n">
        <v>0</v>
      </c>
      <c r="O321" t="n">
        <v>0</v>
      </c>
      <c r="P321" t="n">
        <v>0</v>
      </c>
      <c r="Q321" t="n">
        <v>0</v>
      </c>
      <c r="R321" s="2" t="inlineStr"/>
    </row>
    <row r="322" ht="15" customHeight="1">
      <c r="A322" t="inlineStr">
        <is>
          <t>A 8217-2021</t>
        </is>
      </c>
      <c r="B322" s="1" t="n">
        <v>44244</v>
      </c>
      <c r="C322" s="1" t="n">
        <v>45505</v>
      </c>
      <c r="D322" t="inlineStr">
        <is>
          <t>JÄMTLANDS LÄN</t>
        </is>
      </c>
      <c r="E322" t="inlineStr">
        <is>
          <t>ÅRE</t>
        </is>
      </c>
      <c r="G322" t="n">
        <v>51.8</v>
      </c>
      <c r="H322" t="n">
        <v>0</v>
      </c>
      <c r="I322" t="n">
        <v>0</v>
      </c>
      <c r="J322" t="n">
        <v>0</v>
      </c>
      <c r="K322" t="n">
        <v>0</v>
      </c>
      <c r="L322" t="n">
        <v>0</v>
      </c>
      <c r="M322" t="n">
        <v>0</v>
      </c>
      <c r="N322" t="n">
        <v>0</v>
      </c>
      <c r="O322" t="n">
        <v>0</v>
      </c>
      <c r="P322" t="n">
        <v>0</v>
      </c>
      <c r="Q322" t="n">
        <v>0</v>
      </c>
      <c r="R322" s="2" t="inlineStr"/>
    </row>
    <row r="323" ht="15" customHeight="1">
      <c r="A323" t="inlineStr">
        <is>
          <t>A 8668-2021</t>
        </is>
      </c>
      <c r="B323" s="1" t="n">
        <v>44246</v>
      </c>
      <c r="C323" s="1" t="n">
        <v>45505</v>
      </c>
      <c r="D323" t="inlineStr">
        <is>
          <t>JÄMTLANDS LÄN</t>
        </is>
      </c>
      <c r="E323" t="inlineStr">
        <is>
          <t>ÅRE</t>
        </is>
      </c>
      <c r="G323" t="n">
        <v>19.5</v>
      </c>
      <c r="H323" t="n">
        <v>0</v>
      </c>
      <c r="I323" t="n">
        <v>0</v>
      </c>
      <c r="J323" t="n">
        <v>0</v>
      </c>
      <c r="K323" t="n">
        <v>0</v>
      </c>
      <c r="L323" t="n">
        <v>0</v>
      </c>
      <c r="M323" t="n">
        <v>0</v>
      </c>
      <c r="N323" t="n">
        <v>0</v>
      </c>
      <c r="O323" t="n">
        <v>0</v>
      </c>
      <c r="P323" t="n">
        <v>0</v>
      </c>
      <c r="Q323" t="n">
        <v>0</v>
      </c>
      <c r="R323" s="2" t="inlineStr"/>
    </row>
    <row r="324" ht="15" customHeight="1">
      <c r="A324" t="inlineStr">
        <is>
          <t>A 9613-2021</t>
        </is>
      </c>
      <c r="B324" s="1" t="n">
        <v>44251</v>
      </c>
      <c r="C324" s="1" t="n">
        <v>45505</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9777-2021</t>
        </is>
      </c>
      <c r="B325" s="1" t="n">
        <v>44252</v>
      </c>
      <c r="C325" s="1" t="n">
        <v>45505</v>
      </c>
      <c r="D325" t="inlineStr">
        <is>
          <t>JÄMTLANDS LÄN</t>
        </is>
      </c>
      <c r="E325" t="inlineStr">
        <is>
          <t>ÅRE</t>
        </is>
      </c>
      <c r="G325" t="n">
        <v>4.2</v>
      </c>
      <c r="H325" t="n">
        <v>0</v>
      </c>
      <c r="I325" t="n">
        <v>0</v>
      </c>
      <c r="J325" t="n">
        <v>0</v>
      </c>
      <c r="K325" t="n">
        <v>0</v>
      </c>
      <c r="L325" t="n">
        <v>0</v>
      </c>
      <c r="M325" t="n">
        <v>0</v>
      </c>
      <c r="N325" t="n">
        <v>0</v>
      </c>
      <c r="O325" t="n">
        <v>0</v>
      </c>
      <c r="P325" t="n">
        <v>0</v>
      </c>
      <c r="Q325" t="n">
        <v>0</v>
      </c>
      <c r="R325" s="2" t="inlineStr"/>
    </row>
    <row r="326" ht="15" customHeight="1">
      <c r="A326" t="inlineStr">
        <is>
          <t>A 10191-2021</t>
        </is>
      </c>
      <c r="B326" s="1" t="n">
        <v>44256</v>
      </c>
      <c r="C326" s="1" t="n">
        <v>45505</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10285-2021</t>
        </is>
      </c>
      <c r="B327" s="1" t="n">
        <v>44257</v>
      </c>
      <c r="C327" s="1" t="n">
        <v>45505</v>
      </c>
      <c r="D327" t="inlineStr">
        <is>
          <t>JÄMTLANDS LÄN</t>
        </is>
      </c>
      <c r="E327" t="inlineStr">
        <is>
          <t>ÅRE</t>
        </is>
      </c>
      <c r="G327" t="n">
        <v>2.9</v>
      </c>
      <c r="H327" t="n">
        <v>0</v>
      </c>
      <c r="I327" t="n">
        <v>0</v>
      </c>
      <c r="J327" t="n">
        <v>0</v>
      </c>
      <c r="K327" t="n">
        <v>0</v>
      </c>
      <c r="L327" t="n">
        <v>0</v>
      </c>
      <c r="M327" t="n">
        <v>0</v>
      </c>
      <c r="N327" t="n">
        <v>0</v>
      </c>
      <c r="O327" t="n">
        <v>0</v>
      </c>
      <c r="P327" t="n">
        <v>0</v>
      </c>
      <c r="Q327" t="n">
        <v>0</v>
      </c>
      <c r="R327" s="2" t="inlineStr"/>
    </row>
    <row r="328" ht="15" customHeight="1">
      <c r="A328" t="inlineStr">
        <is>
          <t>A 10283-2021</t>
        </is>
      </c>
      <c r="B328" s="1" t="n">
        <v>44257</v>
      </c>
      <c r="C328" s="1" t="n">
        <v>45505</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12387-2021</t>
        </is>
      </c>
      <c r="B329" s="1" t="n">
        <v>44267</v>
      </c>
      <c r="C329" s="1" t="n">
        <v>45505</v>
      </c>
      <c r="D329" t="inlineStr">
        <is>
          <t>JÄMTLANDS LÄN</t>
        </is>
      </c>
      <c r="E329" t="inlineStr">
        <is>
          <t>ÅRE</t>
        </is>
      </c>
      <c r="G329" t="n">
        <v>3.4</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45505</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12827-2021</t>
        </is>
      </c>
      <c r="B331" s="1" t="n">
        <v>44271</v>
      </c>
      <c r="C331" s="1" t="n">
        <v>45505</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14202-2021</t>
        </is>
      </c>
      <c r="B332" s="1" t="n">
        <v>44278</v>
      </c>
      <c r="C332" s="1" t="n">
        <v>45505</v>
      </c>
      <c r="D332" t="inlineStr">
        <is>
          <t>JÄMTLANDS LÄN</t>
        </is>
      </c>
      <c r="E332" t="inlineStr">
        <is>
          <t>ÅRE</t>
        </is>
      </c>
      <c r="G332" t="n">
        <v>17.8</v>
      </c>
      <c r="H332" t="n">
        <v>0</v>
      </c>
      <c r="I332" t="n">
        <v>0</v>
      </c>
      <c r="J332" t="n">
        <v>0</v>
      </c>
      <c r="K332" t="n">
        <v>0</v>
      </c>
      <c r="L332" t="n">
        <v>0</v>
      </c>
      <c r="M332" t="n">
        <v>0</v>
      </c>
      <c r="N332" t="n">
        <v>0</v>
      </c>
      <c r="O332" t="n">
        <v>0</v>
      </c>
      <c r="P332" t="n">
        <v>0</v>
      </c>
      <c r="Q332" t="n">
        <v>0</v>
      </c>
      <c r="R332" s="2" t="inlineStr"/>
    </row>
    <row r="333" ht="15" customHeight="1">
      <c r="A333" t="inlineStr">
        <is>
          <t>A 14210-2021</t>
        </is>
      </c>
      <c r="B333" s="1" t="n">
        <v>44278</v>
      </c>
      <c r="C333" s="1" t="n">
        <v>45505</v>
      </c>
      <c r="D333" t="inlineStr">
        <is>
          <t>JÄMTLANDS LÄN</t>
        </is>
      </c>
      <c r="E333" t="inlineStr">
        <is>
          <t>ÅRE</t>
        </is>
      </c>
      <c r="G333" t="n">
        <v>5.3</v>
      </c>
      <c r="H333" t="n">
        <v>0</v>
      </c>
      <c r="I333" t="n">
        <v>0</v>
      </c>
      <c r="J333" t="n">
        <v>0</v>
      </c>
      <c r="K333" t="n">
        <v>0</v>
      </c>
      <c r="L333" t="n">
        <v>0</v>
      </c>
      <c r="M333" t="n">
        <v>0</v>
      </c>
      <c r="N333" t="n">
        <v>0</v>
      </c>
      <c r="O333" t="n">
        <v>0</v>
      </c>
      <c r="P333" t="n">
        <v>0</v>
      </c>
      <c r="Q333" t="n">
        <v>0</v>
      </c>
      <c r="R333" s="2" t="inlineStr"/>
    </row>
    <row r="334" ht="15" customHeight="1">
      <c r="A334" t="inlineStr">
        <is>
          <t>A 14204-2021</t>
        </is>
      </c>
      <c r="B334" s="1" t="n">
        <v>44278</v>
      </c>
      <c r="C334" s="1" t="n">
        <v>45505</v>
      </c>
      <c r="D334" t="inlineStr">
        <is>
          <t>JÄMTLANDS LÄN</t>
        </is>
      </c>
      <c r="E334" t="inlineStr">
        <is>
          <t>ÅRE</t>
        </is>
      </c>
      <c r="G334" t="n">
        <v>24.6</v>
      </c>
      <c r="H334" t="n">
        <v>0</v>
      </c>
      <c r="I334" t="n">
        <v>0</v>
      </c>
      <c r="J334" t="n">
        <v>0</v>
      </c>
      <c r="K334" t="n">
        <v>0</v>
      </c>
      <c r="L334" t="n">
        <v>0</v>
      </c>
      <c r="M334" t="n">
        <v>0</v>
      </c>
      <c r="N334" t="n">
        <v>0</v>
      </c>
      <c r="O334" t="n">
        <v>0</v>
      </c>
      <c r="P334" t="n">
        <v>0</v>
      </c>
      <c r="Q334" t="n">
        <v>0</v>
      </c>
      <c r="R334" s="2" t="inlineStr"/>
    </row>
    <row r="335" ht="15" customHeight="1">
      <c r="A335" t="inlineStr">
        <is>
          <t>A 14826-2021</t>
        </is>
      </c>
      <c r="B335" s="1" t="n">
        <v>44280</v>
      </c>
      <c r="C335" s="1" t="n">
        <v>45505</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45505</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16625-2021</t>
        </is>
      </c>
      <c r="B337" s="1" t="n">
        <v>44294</v>
      </c>
      <c r="C337" s="1" t="n">
        <v>45505</v>
      </c>
      <c r="D337" t="inlineStr">
        <is>
          <t>JÄMTLANDS LÄN</t>
        </is>
      </c>
      <c r="E337" t="inlineStr">
        <is>
          <t>ÅRE</t>
        </is>
      </c>
      <c r="F337" t="inlineStr">
        <is>
          <t>Övriga Aktiebolag</t>
        </is>
      </c>
      <c r="G337" t="n">
        <v>0.1</v>
      </c>
      <c r="H337" t="n">
        <v>0</v>
      </c>
      <c r="I337" t="n">
        <v>0</v>
      </c>
      <c r="J337" t="n">
        <v>0</v>
      </c>
      <c r="K337" t="n">
        <v>0</v>
      </c>
      <c r="L337" t="n">
        <v>0</v>
      </c>
      <c r="M337" t="n">
        <v>0</v>
      </c>
      <c r="N337" t="n">
        <v>0</v>
      </c>
      <c r="O337" t="n">
        <v>0</v>
      </c>
      <c r="P337" t="n">
        <v>0</v>
      </c>
      <c r="Q337" t="n">
        <v>0</v>
      </c>
      <c r="R337" s="2" t="inlineStr"/>
    </row>
    <row r="338" ht="15" customHeight="1">
      <c r="A338" t="inlineStr">
        <is>
          <t>A 17883-2021</t>
        </is>
      </c>
      <c r="B338" s="1" t="n">
        <v>44301</v>
      </c>
      <c r="C338" s="1" t="n">
        <v>45505</v>
      </c>
      <c r="D338" t="inlineStr">
        <is>
          <t>JÄMTLANDS LÄN</t>
        </is>
      </c>
      <c r="E338" t="inlineStr">
        <is>
          <t>ÅRE</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18374-2021</t>
        </is>
      </c>
      <c r="B339" s="1" t="n">
        <v>44305</v>
      </c>
      <c r="C339" s="1" t="n">
        <v>45505</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18531-2021</t>
        </is>
      </c>
      <c r="B340" s="1" t="n">
        <v>44306</v>
      </c>
      <c r="C340" s="1" t="n">
        <v>45505</v>
      </c>
      <c r="D340" t="inlineStr">
        <is>
          <t>JÄMTLANDS LÄN</t>
        </is>
      </c>
      <c r="E340" t="inlineStr">
        <is>
          <t>ÅRE</t>
        </is>
      </c>
      <c r="G340" t="n">
        <v>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45505</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20501-2021</t>
        </is>
      </c>
      <c r="B342" s="1" t="n">
        <v>44315</v>
      </c>
      <c r="C342" s="1" t="n">
        <v>45505</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21897-2021</t>
        </is>
      </c>
      <c r="B343" s="1" t="n">
        <v>44322</v>
      </c>
      <c r="C343" s="1" t="n">
        <v>45505</v>
      </c>
      <c r="D343" t="inlineStr">
        <is>
          <t>JÄMTLANDS LÄN</t>
        </is>
      </c>
      <c r="E343" t="inlineStr">
        <is>
          <t>ÅRE</t>
        </is>
      </c>
      <c r="G343" t="n">
        <v>41.4</v>
      </c>
      <c r="H343" t="n">
        <v>0</v>
      </c>
      <c r="I343" t="n">
        <v>0</v>
      </c>
      <c r="J343" t="n">
        <v>0</v>
      </c>
      <c r="K343" t="n">
        <v>0</v>
      </c>
      <c r="L343" t="n">
        <v>0</v>
      </c>
      <c r="M343" t="n">
        <v>0</v>
      </c>
      <c r="N343" t="n">
        <v>0</v>
      </c>
      <c r="O343" t="n">
        <v>0</v>
      </c>
      <c r="P343" t="n">
        <v>0</v>
      </c>
      <c r="Q343" t="n">
        <v>0</v>
      </c>
      <c r="R343" s="2" t="inlineStr"/>
    </row>
    <row r="344" ht="15" customHeight="1">
      <c r="A344" t="inlineStr">
        <is>
          <t>A 21905-2021</t>
        </is>
      </c>
      <c r="B344" s="1" t="n">
        <v>44322</v>
      </c>
      <c r="C344" s="1" t="n">
        <v>45505</v>
      </c>
      <c r="D344" t="inlineStr">
        <is>
          <t>JÄMTLANDS LÄN</t>
        </is>
      </c>
      <c r="E344" t="inlineStr">
        <is>
          <t>ÅRE</t>
        </is>
      </c>
      <c r="G344" t="n">
        <v>14.3</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45505</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22505-2021</t>
        </is>
      </c>
      <c r="B346" s="1" t="n">
        <v>44326</v>
      </c>
      <c r="C346" s="1" t="n">
        <v>45505</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23561-2021</t>
        </is>
      </c>
      <c r="B347" s="1" t="n">
        <v>44334</v>
      </c>
      <c r="C347" s="1" t="n">
        <v>45505</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24585-2021</t>
        </is>
      </c>
      <c r="B348" s="1" t="n">
        <v>44337</v>
      </c>
      <c r="C348" s="1" t="n">
        <v>45505</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45505</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27010-2021</t>
        </is>
      </c>
      <c r="B350" s="1" t="n">
        <v>44350</v>
      </c>
      <c r="C350" s="1" t="n">
        <v>45505</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27375-2021</t>
        </is>
      </c>
      <c r="B351" s="1" t="n">
        <v>44351</v>
      </c>
      <c r="C351" s="1" t="n">
        <v>45505</v>
      </c>
      <c r="D351" t="inlineStr">
        <is>
          <t>JÄMTLANDS LÄN</t>
        </is>
      </c>
      <c r="E351" t="inlineStr">
        <is>
          <t>ÅRE</t>
        </is>
      </c>
      <c r="G351" t="n">
        <v>7.4</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45505</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27946-2021</t>
        </is>
      </c>
      <c r="B353" s="1" t="n">
        <v>44354</v>
      </c>
      <c r="C353" s="1" t="n">
        <v>45505</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28881-2021</t>
        </is>
      </c>
      <c r="B354" s="1" t="n">
        <v>44357</v>
      </c>
      <c r="C354" s="1" t="n">
        <v>45505</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28817-2021</t>
        </is>
      </c>
      <c r="B355" s="1" t="n">
        <v>44357</v>
      </c>
      <c r="C355" s="1" t="n">
        <v>45505</v>
      </c>
      <c r="D355" t="inlineStr">
        <is>
          <t>JÄMTLANDS LÄN</t>
        </is>
      </c>
      <c r="E355" t="inlineStr">
        <is>
          <t>ÅRE</t>
        </is>
      </c>
      <c r="G355" t="n">
        <v>21.4</v>
      </c>
      <c r="H355" t="n">
        <v>0</v>
      </c>
      <c r="I355" t="n">
        <v>0</v>
      </c>
      <c r="J355" t="n">
        <v>0</v>
      </c>
      <c r="K355" t="n">
        <v>0</v>
      </c>
      <c r="L355" t="n">
        <v>0</v>
      </c>
      <c r="M355" t="n">
        <v>0</v>
      </c>
      <c r="N355" t="n">
        <v>0</v>
      </c>
      <c r="O355" t="n">
        <v>0</v>
      </c>
      <c r="P355" t="n">
        <v>0</v>
      </c>
      <c r="Q355" t="n">
        <v>0</v>
      </c>
      <c r="R355" s="2" t="inlineStr"/>
    </row>
    <row r="356" ht="15" customHeight="1">
      <c r="A356" t="inlineStr">
        <is>
          <t>A 31388-2021</t>
        </is>
      </c>
      <c r="B356" s="1" t="n">
        <v>44369</v>
      </c>
      <c r="C356" s="1" t="n">
        <v>45505</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32241-2021</t>
        </is>
      </c>
      <c r="B357" s="1" t="n">
        <v>44371</v>
      </c>
      <c r="C357" s="1" t="n">
        <v>45505</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34357-2021</t>
        </is>
      </c>
      <c r="B358" s="1" t="n">
        <v>44379</v>
      </c>
      <c r="C358" s="1" t="n">
        <v>45505</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36868-2021</t>
        </is>
      </c>
      <c r="B359" s="1" t="n">
        <v>44393</v>
      </c>
      <c r="C359" s="1" t="n">
        <v>45505</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37086-2021</t>
        </is>
      </c>
      <c r="B360" s="1" t="n">
        <v>44395</v>
      </c>
      <c r="C360" s="1" t="n">
        <v>45505</v>
      </c>
      <c r="D360" t="inlineStr">
        <is>
          <t>JÄMTLANDS LÄN</t>
        </is>
      </c>
      <c r="E360" t="inlineStr">
        <is>
          <t>ÅRE</t>
        </is>
      </c>
      <c r="G360" t="n">
        <v>34.1</v>
      </c>
      <c r="H360" t="n">
        <v>0</v>
      </c>
      <c r="I360" t="n">
        <v>0</v>
      </c>
      <c r="J360" t="n">
        <v>0</v>
      </c>
      <c r="K360" t="n">
        <v>0</v>
      </c>
      <c r="L360" t="n">
        <v>0</v>
      </c>
      <c r="M360" t="n">
        <v>0</v>
      </c>
      <c r="N360" t="n">
        <v>0</v>
      </c>
      <c r="O360" t="n">
        <v>0</v>
      </c>
      <c r="P360" t="n">
        <v>0</v>
      </c>
      <c r="Q360" t="n">
        <v>0</v>
      </c>
      <c r="R360" s="2" t="inlineStr"/>
    </row>
    <row r="361" ht="15" customHeight="1">
      <c r="A361" t="inlineStr">
        <is>
          <t>A 37156-2021</t>
        </is>
      </c>
      <c r="B361" s="1" t="n">
        <v>44396</v>
      </c>
      <c r="C361" s="1" t="n">
        <v>45505</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37461-2021</t>
        </is>
      </c>
      <c r="B362" s="1" t="n">
        <v>44398</v>
      </c>
      <c r="C362" s="1" t="n">
        <v>45505</v>
      </c>
      <c r="D362" t="inlineStr">
        <is>
          <t>JÄMTLANDS LÄN</t>
        </is>
      </c>
      <c r="E362" t="inlineStr">
        <is>
          <t>ÅRE</t>
        </is>
      </c>
      <c r="G362" t="n">
        <v>11.7</v>
      </c>
      <c r="H362" t="n">
        <v>0</v>
      </c>
      <c r="I362" t="n">
        <v>0</v>
      </c>
      <c r="J362" t="n">
        <v>0</v>
      </c>
      <c r="K362" t="n">
        <v>0</v>
      </c>
      <c r="L362" t="n">
        <v>0</v>
      </c>
      <c r="M362" t="n">
        <v>0</v>
      </c>
      <c r="N362" t="n">
        <v>0</v>
      </c>
      <c r="O362" t="n">
        <v>0</v>
      </c>
      <c r="P362" t="n">
        <v>0</v>
      </c>
      <c r="Q362" t="n">
        <v>0</v>
      </c>
      <c r="R362" s="2" t="inlineStr"/>
    </row>
    <row r="363" ht="15" customHeight="1">
      <c r="A363" t="inlineStr">
        <is>
          <t>A 38450-2021</t>
        </is>
      </c>
      <c r="B363" s="1" t="n">
        <v>44406</v>
      </c>
      <c r="C363" s="1" t="n">
        <v>45505</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38456-2021</t>
        </is>
      </c>
      <c r="B364" s="1" t="n">
        <v>44406</v>
      </c>
      <c r="C364" s="1" t="n">
        <v>45505</v>
      </c>
      <c r="D364" t="inlineStr">
        <is>
          <t>JÄMTLANDS LÄN</t>
        </is>
      </c>
      <c r="E364" t="inlineStr">
        <is>
          <t>ÅRE</t>
        </is>
      </c>
      <c r="G364" t="n">
        <v>19.8</v>
      </c>
      <c r="H364" t="n">
        <v>0</v>
      </c>
      <c r="I364" t="n">
        <v>0</v>
      </c>
      <c r="J364" t="n">
        <v>0</v>
      </c>
      <c r="K364" t="n">
        <v>0</v>
      </c>
      <c r="L364" t="n">
        <v>0</v>
      </c>
      <c r="M364" t="n">
        <v>0</v>
      </c>
      <c r="N364" t="n">
        <v>0</v>
      </c>
      <c r="O364" t="n">
        <v>0</v>
      </c>
      <c r="P364" t="n">
        <v>0</v>
      </c>
      <c r="Q364" t="n">
        <v>0</v>
      </c>
      <c r="R364" s="2" t="inlineStr"/>
    </row>
    <row r="365" ht="15" customHeight="1">
      <c r="A365" t="inlineStr">
        <is>
          <t>A 40336-2021</t>
        </is>
      </c>
      <c r="B365" s="1" t="n">
        <v>44419</v>
      </c>
      <c r="C365" s="1" t="n">
        <v>45505</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45505</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40341-2021</t>
        </is>
      </c>
      <c r="B367" s="1" t="n">
        <v>44419</v>
      </c>
      <c r="C367" s="1" t="n">
        <v>45505</v>
      </c>
      <c r="D367" t="inlineStr">
        <is>
          <t>JÄMTLANDS LÄN</t>
        </is>
      </c>
      <c r="E367" t="inlineStr">
        <is>
          <t>ÅRE</t>
        </is>
      </c>
      <c r="G367" t="n">
        <v>3</v>
      </c>
      <c r="H367" t="n">
        <v>0</v>
      </c>
      <c r="I367" t="n">
        <v>0</v>
      </c>
      <c r="J367" t="n">
        <v>0</v>
      </c>
      <c r="K367" t="n">
        <v>0</v>
      </c>
      <c r="L367" t="n">
        <v>0</v>
      </c>
      <c r="M367" t="n">
        <v>0</v>
      </c>
      <c r="N367" t="n">
        <v>0</v>
      </c>
      <c r="O367" t="n">
        <v>0</v>
      </c>
      <c r="P367" t="n">
        <v>0</v>
      </c>
      <c r="Q367" t="n">
        <v>0</v>
      </c>
      <c r="R367" s="2" t="inlineStr"/>
    </row>
    <row r="368" ht="15" customHeight="1">
      <c r="A368" t="inlineStr">
        <is>
          <t>A 50099-2021</t>
        </is>
      </c>
      <c r="B368" s="1" t="n">
        <v>44456</v>
      </c>
      <c r="C368" s="1" t="n">
        <v>45505</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51042-2021</t>
        </is>
      </c>
      <c r="B369" s="1" t="n">
        <v>44461</v>
      </c>
      <c r="C369" s="1" t="n">
        <v>45505</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51040-2021</t>
        </is>
      </c>
      <c r="B370" s="1" t="n">
        <v>44461</v>
      </c>
      <c r="C370" s="1" t="n">
        <v>45505</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52427-2021</t>
        </is>
      </c>
      <c r="B371" s="1" t="n">
        <v>44466</v>
      </c>
      <c r="C371" s="1" t="n">
        <v>45505</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56197-2021</t>
        </is>
      </c>
      <c r="B372" s="1" t="n">
        <v>44478</v>
      </c>
      <c r="C372" s="1" t="n">
        <v>45505</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56192-2021</t>
        </is>
      </c>
      <c r="B373" s="1" t="n">
        <v>44477</v>
      </c>
      <c r="C373" s="1" t="n">
        <v>45505</v>
      </c>
      <c r="D373" t="inlineStr">
        <is>
          <t>JÄMTLANDS LÄN</t>
        </is>
      </c>
      <c r="E373" t="inlineStr">
        <is>
          <t>ÅRE</t>
        </is>
      </c>
      <c r="F373" t="inlineStr">
        <is>
          <t>Övriga Aktiebolag</t>
        </is>
      </c>
      <c r="G373" t="n">
        <v>21.5</v>
      </c>
      <c r="H373" t="n">
        <v>0</v>
      </c>
      <c r="I373" t="n">
        <v>0</v>
      </c>
      <c r="J373" t="n">
        <v>0</v>
      </c>
      <c r="K373" t="n">
        <v>0</v>
      </c>
      <c r="L373" t="n">
        <v>0</v>
      </c>
      <c r="M373" t="n">
        <v>0</v>
      </c>
      <c r="N373" t="n">
        <v>0</v>
      </c>
      <c r="O373" t="n">
        <v>0</v>
      </c>
      <c r="P373" t="n">
        <v>0</v>
      </c>
      <c r="Q373" t="n">
        <v>0</v>
      </c>
      <c r="R373" s="2" t="inlineStr"/>
    </row>
    <row r="374" ht="15" customHeight="1">
      <c r="A374" t="inlineStr">
        <is>
          <t>A 57150-2021</t>
        </is>
      </c>
      <c r="B374" s="1" t="n">
        <v>44482</v>
      </c>
      <c r="C374" s="1" t="n">
        <v>45505</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45505</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57512-2021</t>
        </is>
      </c>
      <c r="B376" s="1" t="n">
        <v>44483</v>
      </c>
      <c r="C376" s="1" t="n">
        <v>45505</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57710-2021</t>
        </is>
      </c>
      <c r="B377" s="1" t="n">
        <v>44484</v>
      </c>
      <c r="C377" s="1" t="n">
        <v>45505</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58230-2021</t>
        </is>
      </c>
      <c r="B378" s="1" t="n">
        <v>44487</v>
      </c>
      <c r="C378" s="1" t="n">
        <v>45505</v>
      </c>
      <c r="D378" t="inlineStr">
        <is>
          <t>JÄMTLANDS LÄN</t>
        </is>
      </c>
      <c r="E378" t="inlineStr">
        <is>
          <t>ÅRE</t>
        </is>
      </c>
      <c r="G378" t="n">
        <v>19.3</v>
      </c>
      <c r="H378" t="n">
        <v>0</v>
      </c>
      <c r="I378" t="n">
        <v>0</v>
      </c>
      <c r="J378" t="n">
        <v>0</v>
      </c>
      <c r="K378" t="n">
        <v>0</v>
      </c>
      <c r="L378" t="n">
        <v>0</v>
      </c>
      <c r="M378" t="n">
        <v>0</v>
      </c>
      <c r="N378" t="n">
        <v>0</v>
      </c>
      <c r="O378" t="n">
        <v>0</v>
      </c>
      <c r="P378" t="n">
        <v>0</v>
      </c>
      <c r="Q378" t="n">
        <v>0</v>
      </c>
      <c r="R378" s="2" t="inlineStr"/>
    </row>
    <row r="379" ht="15" customHeight="1">
      <c r="A379" t="inlineStr">
        <is>
          <t>A 58232-2021</t>
        </is>
      </c>
      <c r="B379" s="1" t="n">
        <v>44487</v>
      </c>
      <c r="C379" s="1" t="n">
        <v>45505</v>
      </c>
      <c r="D379" t="inlineStr">
        <is>
          <t>JÄMTLANDS LÄN</t>
        </is>
      </c>
      <c r="E379" t="inlineStr">
        <is>
          <t>ÅRE</t>
        </is>
      </c>
      <c r="G379" t="n">
        <v>43.7</v>
      </c>
      <c r="H379" t="n">
        <v>0</v>
      </c>
      <c r="I379" t="n">
        <v>0</v>
      </c>
      <c r="J379" t="n">
        <v>0</v>
      </c>
      <c r="K379" t="n">
        <v>0</v>
      </c>
      <c r="L379" t="n">
        <v>0</v>
      </c>
      <c r="M379" t="n">
        <v>0</v>
      </c>
      <c r="N379" t="n">
        <v>0</v>
      </c>
      <c r="O379" t="n">
        <v>0</v>
      </c>
      <c r="P379" t="n">
        <v>0</v>
      </c>
      <c r="Q379" t="n">
        <v>0</v>
      </c>
      <c r="R379" s="2" t="inlineStr"/>
    </row>
    <row r="380" ht="15" customHeight="1">
      <c r="A380" t="inlineStr">
        <is>
          <t>A 58228-2021</t>
        </is>
      </c>
      <c r="B380" s="1" t="n">
        <v>44487</v>
      </c>
      <c r="C380" s="1" t="n">
        <v>45505</v>
      </c>
      <c r="D380" t="inlineStr">
        <is>
          <t>JÄMTLANDS LÄN</t>
        </is>
      </c>
      <c r="E380" t="inlineStr">
        <is>
          <t>ÅRE</t>
        </is>
      </c>
      <c r="G380" t="n">
        <v>46.2</v>
      </c>
      <c r="H380" t="n">
        <v>0</v>
      </c>
      <c r="I380" t="n">
        <v>0</v>
      </c>
      <c r="J380" t="n">
        <v>0</v>
      </c>
      <c r="K380" t="n">
        <v>0</v>
      </c>
      <c r="L380" t="n">
        <v>0</v>
      </c>
      <c r="M380" t="n">
        <v>0</v>
      </c>
      <c r="N380" t="n">
        <v>0</v>
      </c>
      <c r="O380" t="n">
        <v>0</v>
      </c>
      <c r="P380" t="n">
        <v>0</v>
      </c>
      <c r="Q380" t="n">
        <v>0</v>
      </c>
      <c r="R380" s="2" t="inlineStr"/>
    </row>
    <row r="381" ht="15" customHeight="1">
      <c r="A381" t="inlineStr">
        <is>
          <t>A 58940-2021</t>
        </is>
      </c>
      <c r="B381" s="1" t="n">
        <v>44489</v>
      </c>
      <c r="C381" s="1" t="n">
        <v>45505</v>
      </c>
      <c r="D381" t="inlineStr">
        <is>
          <t>JÄMTLANDS LÄN</t>
        </is>
      </c>
      <c r="E381" t="inlineStr">
        <is>
          <t>ÅRE</t>
        </is>
      </c>
      <c r="G381" t="n">
        <v>5.8</v>
      </c>
      <c r="H381" t="n">
        <v>0</v>
      </c>
      <c r="I381" t="n">
        <v>0</v>
      </c>
      <c r="J381" t="n">
        <v>0</v>
      </c>
      <c r="K381" t="n">
        <v>0</v>
      </c>
      <c r="L381" t="n">
        <v>0</v>
      </c>
      <c r="M381" t="n">
        <v>0</v>
      </c>
      <c r="N381" t="n">
        <v>0</v>
      </c>
      <c r="O381" t="n">
        <v>0</v>
      </c>
      <c r="P381" t="n">
        <v>0</v>
      </c>
      <c r="Q381" t="n">
        <v>0</v>
      </c>
      <c r="R381" s="2" t="inlineStr"/>
    </row>
    <row r="382" ht="15" customHeight="1">
      <c r="A382" t="inlineStr">
        <is>
          <t>A 59352-2021</t>
        </is>
      </c>
      <c r="B382" s="1" t="n">
        <v>44490</v>
      </c>
      <c r="C382" s="1" t="n">
        <v>45505</v>
      </c>
      <c r="D382" t="inlineStr">
        <is>
          <t>JÄMTLANDS LÄN</t>
        </is>
      </c>
      <c r="E382" t="inlineStr">
        <is>
          <t>ÅRE</t>
        </is>
      </c>
      <c r="G382" t="n">
        <v>0.4</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45505</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60132-2021</t>
        </is>
      </c>
      <c r="B384" s="1" t="n">
        <v>44495</v>
      </c>
      <c r="C384" s="1" t="n">
        <v>45505</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60122-2021</t>
        </is>
      </c>
      <c r="B385" s="1" t="n">
        <v>44495</v>
      </c>
      <c r="C385" s="1" t="n">
        <v>45505</v>
      </c>
      <c r="D385" t="inlineStr">
        <is>
          <t>JÄMTLANDS LÄN</t>
        </is>
      </c>
      <c r="E385" t="inlineStr">
        <is>
          <t>ÅRE</t>
        </is>
      </c>
      <c r="G385" t="n">
        <v>46.7</v>
      </c>
      <c r="H385" t="n">
        <v>0</v>
      </c>
      <c r="I385" t="n">
        <v>0</v>
      </c>
      <c r="J385" t="n">
        <v>0</v>
      </c>
      <c r="K385" t="n">
        <v>0</v>
      </c>
      <c r="L385" t="n">
        <v>0</v>
      </c>
      <c r="M385" t="n">
        <v>0</v>
      </c>
      <c r="N385" t="n">
        <v>0</v>
      </c>
      <c r="O385" t="n">
        <v>0</v>
      </c>
      <c r="P385" t="n">
        <v>0</v>
      </c>
      <c r="Q385" t="n">
        <v>0</v>
      </c>
      <c r="R385" s="2" t="inlineStr"/>
    </row>
    <row r="386" ht="15" customHeight="1">
      <c r="A386" t="inlineStr">
        <is>
          <t>A 61566-2021</t>
        </is>
      </c>
      <c r="B386" s="1" t="n">
        <v>44496</v>
      </c>
      <c r="C386" s="1" t="n">
        <v>45505</v>
      </c>
      <c r="D386" t="inlineStr">
        <is>
          <t>JÄMTLANDS LÄN</t>
        </is>
      </c>
      <c r="E386" t="inlineStr">
        <is>
          <t>ÅRE</t>
        </is>
      </c>
      <c r="F386" t="inlineStr">
        <is>
          <t>Övriga statliga verk och myndigheter</t>
        </is>
      </c>
      <c r="G386" t="n">
        <v>10.9</v>
      </c>
      <c r="H386" t="n">
        <v>0</v>
      </c>
      <c r="I386" t="n">
        <v>0</v>
      </c>
      <c r="J386" t="n">
        <v>0</v>
      </c>
      <c r="K386" t="n">
        <v>0</v>
      </c>
      <c r="L386" t="n">
        <v>0</v>
      </c>
      <c r="M386" t="n">
        <v>0</v>
      </c>
      <c r="N386" t="n">
        <v>0</v>
      </c>
      <c r="O386" t="n">
        <v>0</v>
      </c>
      <c r="P386" t="n">
        <v>0</v>
      </c>
      <c r="Q386" t="n">
        <v>0</v>
      </c>
      <c r="R386" s="2" t="inlineStr"/>
    </row>
    <row r="387" ht="15" customHeight="1">
      <c r="A387" t="inlineStr">
        <is>
          <t>A 61524-2021</t>
        </is>
      </c>
      <c r="B387" s="1" t="n">
        <v>44496</v>
      </c>
      <c r="C387" s="1" t="n">
        <v>45505</v>
      </c>
      <c r="D387" t="inlineStr">
        <is>
          <t>JÄMTLANDS LÄN</t>
        </is>
      </c>
      <c r="E387" t="inlineStr">
        <is>
          <t>ÅRE</t>
        </is>
      </c>
      <c r="F387" t="inlineStr">
        <is>
          <t>Övriga statliga verk och myndigheter</t>
        </is>
      </c>
      <c r="G387" t="n">
        <v>15</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45505</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61803-2021</t>
        </is>
      </c>
      <c r="B389" s="1" t="n">
        <v>44498</v>
      </c>
      <c r="C389" s="1" t="n">
        <v>45505</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61806-2021</t>
        </is>
      </c>
      <c r="B390" s="1" t="n">
        <v>44498</v>
      </c>
      <c r="C390" s="1" t="n">
        <v>45505</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61815-2021</t>
        </is>
      </c>
      <c r="B391" s="1" t="n">
        <v>44498</v>
      </c>
      <c r="C391" s="1" t="n">
        <v>45505</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61375-2021</t>
        </is>
      </c>
      <c r="B392" s="1" t="n">
        <v>44499</v>
      </c>
      <c r="C392" s="1" t="n">
        <v>45505</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62183-2021</t>
        </is>
      </c>
      <c r="B393" s="1" t="n">
        <v>44502</v>
      </c>
      <c r="C393" s="1" t="n">
        <v>45505</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62352-2021</t>
        </is>
      </c>
      <c r="B394" s="1" t="n">
        <v>44502</v>
      </c>
      <c r="C394" s="1" t="n">
        <v>45505</v>
      </c>
      <c r="D394" t="inlineStr">
        <is>
          <t>JÄMTLANDS LÄN</t>
        </is>
      </c>
      <c r="E394" t="inlineStr">
        <is>
          <t>ÅRE</t>
        </is>
      </c>
      <c r="F394" t="inlineStr">
        <is>
          <t>Övriga statliga verk och myndigheter</t>
        </is>
      </c>
      <c r="G394" t="n">
        <v>64.90000000000001</v>
      </c>
      <c r="H394" t="n">
        <v>0</v>
      </c>
      <c r="I394" t="n">
        <v>0</v>
      </c>
      <c r="J394" t="n">
        <v>0</v>
      </c>
      <c r="K394" t="n">
        <v>0</v>
      </c>
      <c r="L394" t="n">
        <v>0</v>
      </c>
      <c r="M394" t="n">
        <v>0</v>
      </c>
      <c r="N394" t="n">
        <v>0</v>
      </c>
      <c r="O394" t="n">
        <v>0</v>
      </c>
      <c r="P394" t="n">
        <v>0</v>
      </c>
      <c r="Q394" t="n">
        <v>0</v>
      </c>
      <c r="R394" s="2" t="inlineStr"/>
    </row>
    <row r="395" ht="15" customHeight="1">
      <c r="A395" t="inlineStr">
        <is>
          <t>A 63226-2021</t>
        </is>
      </c>
      <c r="B395" s="1" t="n">
        <v>44504</v>
      </c>
      <c r="C395" s="1" t="n">
        <v>45505</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64196-2021</t>
        </is>
      </c>
      <c r="B396" s="1" t="n">
        <v>44510</v>
      </c>
      <c r="C396" s="1" t="n">
        <v>45505</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64237-2021</t>
        </is>
      </c>
      <c r="B397" s="1" t="n">
        <v>44510</v>
      </c>
      <c r="C397" s="1" t="n">
        <v>45505</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64219-2021</t>
        </is>
      </c>
      <c r="B398" s="1" t="n">
        <v>44510</v>
      </c>
      <c r="C398" s="1" t="n">
        <v>45505</v>
      </c>
      <c r="D398" t="inlineStr">
        <is>
          <t>JÄMTLANDS LÄN</t>
        </is>
      </c>
      <c r="E398" t="inlineStr">
        <is>
          <t>ÅRE</t>
        </is>
      </c>
      <c r="G398" t="n">
        <v>5.1</v>
      </c>
      <c r="H398" t="n">
        <v>0</v>
      </c>
      <c r="I398" t="n">
        <v>0</v>
      </c>
      <c r="J398" t="n">
        <v>0</v>
      </c>
      <c r="K398" t="n">
        <v>0</v>
      </c>
      <c r="L398" t="n">
        <v>0</v>
      </c>
      <c r="M398" t="n">
        <v>0</v>
      </c>
      <c r="N398" t="n">
        <v>0</v>
      </c>
      <c r="O398" t="n">
        <v>0</v>
      </c>
      <c r="P398" t="n">
        <v>0</v>
      </c>
      <c r="Q398" t="n">
        <v>0</v>
      </c>
      <c r="R398" s="2" t="inlineStr"/>
    </row>
    <row r="399" ht="15" customHeight="1">
      <c r="A399" t="inlineStr">
        <is>
          <t>A 64245-2021</t>
        </is>
      </c>
      <c r="B399" s="1" t="n">
        <v>44510</v>
      </c>
      <c r="C399" s="1" t="n">
        <v>45505</v>
      </c>
      <c r="D399" t="inlineStr">
        <is>
          <t>JÄMTLANDS LÄN</t>
        </is>
      </c>
      <c r="E399" t="inlineStr">
        <is>
          <t>ÅRE</t>
        </is>
      </c>
      <c r="G399" t="n">
        <v>1.8</v>
      </c>
      <c r="H399" t="n">
        <v>0</v>
      </c>
      <c r="I399" t="n">
        <v>0</v>
      </c>
      <c r="J399" t="n">
        <v>0</v>
      </c>
      <c r="K399" t="n">
        <v>0</v>
      </c>
      <c r="L399" t="n">
        <v>0</v>
      </c>
      <c r="M399" t="n">
        <v>0</v>
      </c>
      <c r="N399" t="n">
        <v>0</v>
      </c>
      <c r="O399" t="n">
        <v>0</v>
      </c>
      <c r="P399" t="n">
        <v>0</v>
      </c>
      <c r="Q399" t="n">
        <v>0</v>
      </c>
      <c r="R399" s="2" t="inlineStr"/>
    </row>
    <row r="400" ht="15" customHeight="1">
      <c r="A400" t="inlineStr">
        <is>
          <t>A 65239-2021</t>
        </is>
      </c>
      <c r="B400" s="1" t="n">
        <v>44515</v>
      </c>
      <c r="C400" s="1" t="n">
        <v>45505</v>
      </c>
      <c r="D400" t="inlineStr">
        <is>
          <t>JÄMTLANDS LÄN</t>
        </is>
      </c>
      <c r="E400" t="inlineStr">
        <is>
          <t>ÅRE</t>
        </is>
      </c>
      <c r="G400" t="n">
        <v>0</v>
      </c>
      <c r="H400" t="n">
        <v>0</v>
      </c>
      <c r="I400" t="n">
        <v>0</v>
      </c>
      <c r="J400" t="n">
        <v>0</v>
      </c>
      <c r="K400" t="n">
        <v>0</v>
      </c>
      <c r="L400" t="n">
        <v>0</v>
      </c>
      <c r="M400" t="n">
        <v>0</v>
      </c>
      <c r="N400" t="n">
        <v>0</v>
      </c>
      <c r="O400" t="n">
        <v>0</v>
      </c>
      <c r="P400" t="n">
        <v>0</v>
      </c>
      <c r="Q400" t="n">
        <v>0</v>
      </c>
      <c r="R400" s="2" t="inlineStr"/>
    </row>
    <row r="401" ht="15" customHeight="1">
      <c r="A401" t="inlineStr">
        <is>
          <t>A 65415-2021</t>
        </is>
      </c>
      <c r="B401" s="1" t="n">
        <v>44515</v>
      </c>
      <c r="C401" s="1" t="n">
        <v>45505</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65782-2021</t>
        </is>
      </c>
      <c r="B402" s="1" t="n">
        <v>44516</v>
      </c>
      <c r="C402" s="1" t="n">
        <v>45505</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65784-2021</t>
        </is>
      </c>
      <c r="B403" s="1" t="n">
        <v>44516</v>
      </c>
      <c r="C403" s="1" t="n">
        <v>45505</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67541-2021</t>
        </is>
      </c>
      <c r="B404" s="1" t="n">
        <v>44524</v>
      </c>
      <c r="C404" s="1" t="n">
        <v>45505</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69170-2021</t>
        </is>
      </c>
      <c r="B405" s="1" t="n">
        <v>44529</v>
      </c>
      <c r="C405" s="1" t="n">
        <v>45505</v>
      </c>
      <c r="D405" t="inlineStr">
        <is>
          <t>JÄMTLANDS LÄN</t>
        </is>
      </c>
      <c r="E405" t="inlineStr">
        <is>
          <t>ÅRE</t>
        </is>
      </c>
      <c r="G405" t="n">
        <v>114.4</v>
      </c>
      <c r="H405" t="n">
        <v>0</v>
      </c>
      <c r="I405" t="n">
        <v>0</v>
      </c>
      <c r="J405" t="n">
        <v>0</v>
      </c>
      <c r="K405" t="n">
        <v>0</v>
      </c>
      <c r="L405" t="n">
        <v>0</v>
      </c>
      <c r="M405" t="n">
        <v>0</v>
      </c>
      <c r="N405" t="n">
        <v>0</v>
      </c>
      <c r="O405" t="n">
        <v>0</v>
      </c>
      <c r="P405" t="n">
        <v>0</v>
      </c>
      <c r="Q405" t="n">
        <v>0</v>
      </c>
      <c r="R405" s="2" t="inlineStr"/>
    </row>
    <row r="406" ht="15" customHeight="1">
      <c r="A406" t="inlineStr">
        <is>
          <t>A 69568-2021</t>
        </is>
      </c>
      <c r="B406" s="1" t="n">
        <v>44531</v>
      </c>
      <c r="C406" s="1" t="n">
        <v>45505</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69592-2021</t>
        </is>
      </c>
      <c r="B407" s="1" t="n">
        <v>44531</v>
      </c>
      <c r="C407" s="1" t="n">
        <v>45505</v>
      </c>
      <c r="D407" t="inlineStr">
        <is>
          <t>JÄMTLANDS LÄN</t>
        </is>
      </c>
      <c r="E407" t="inlineStr">
        <is>
          <t>ÅRE</t>
        </is>
      </c>
      <c r="G407" t="n">
        <v>4.7</v>
      </c>
      <c r="H407" t="n">
        <v>0</v>
      </c>
      <c r="I407" t="n">
        <v>0</v>
      </c>
      <c r="J407" t="n">
        <v>0</v>
      </c>
      <c r="K407" t="n">
        <v>0</v>
      </c>
      <c r="L407" t="n">
        <v>0</v>
      </c>
      <c r="M407" t="n">
        <v>0</v>
      </c>
      <c r="N407" t="n">
        <v>0</v>
      </c>
      <c r="O407" t="n">
        <v>0</v>
      </c>
      <c r="P407" t="n">
        <v>0</v>
      </c>
      <c r="Q407" t="n">
        <v>0</v>
      </c>
      <c r="R407" s="2" t="inlineStr"/>
    </row>
    <row r="408" ht="15" customHeight="1">
      <c r="A408" t="inlineStr">
        <is>
          <t>A 69801-2021</t>
        </is>
      </c>
      <c r="B408" s="1" t="n">
        <v>44532</v>
      </c>
      <c r="C408" s="1" t="n">
        <v>45505</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70523-2021</t>
        </is>
      </c>
      <c r="B409" s="1" t="n">
        <v>44536</v>
      </c>
      <c r="C409" s="1" t="n">
        <v>45505</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70522-2021</t>
        </is>
      </c>
      <c r="B410" s="1" t="n">
        <v>44536</v>
      </c>
      <c r="C410" s="1" t="n">
        <v>45505</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71005-2021</t>
        </is>
      </c>
      <c r="B411" s="1" t="n">
        <v>44538</v>
      </c>
      <c r="C411" s="1" t="n">
        <v>45505</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71043-2021</t>
        </is>
      </c>
      <c r="B412" s="1" t="n">
        <v>44538</v>
      </c>
      <c r="C412" s="1" t="n">
        <v>45505</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45505</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71900-2021</t>
        </is>
      </c>
      <c r="B414" s="1" t="n">
        <v>44543</v>
      </c>
      <c r="C414" s="1" t="n">
        <v>45505</v>
      </c>
      <c r="D414" t="inlineStr">
        <is>
          <t>JÄMTLANDS LÄN</t>
        </is>
      </c>
      <c r="E414" t="inlineStr">
        <is>
          <t>ÅRE</t>
        </is>
      </c>
      <c r="G414" t="n">
        <v>7.7</v>
      </c>
      <c r="H414" t="n">
        <v>0</v>
      </c>
      <c r="I414" t="n">
        <v>0</v>
      </c>
      <c r="J414" t="n">
        <v>0</v>
      </c>
      <c r="K414" t="n">
        <v>0</v>
      </c>
      <c r="L414" t="n">
        <v>0</v>
      </c>
      <c r="M414" t="n">
        <v>0</v>
      </c>
      <c r="N414" t="n">
        <v>0</v>
      </c>
      <c r="O414" t="n">
        <v>0</v>
      </c>
      <c r="P414" t="n">
        <v>0</v>
      </c>
      <c r="Q414" t="n">
        <v>0</v>
      </c>
      <c r="R414" s="2" t="inlineStr"/>
    </row>
    <row r="415" ht="15" customHeight="1">
      <c r="A415" t="inlineStr">
        <is>
          <t>A 72214-2021</t>
        </is>
      </c>
      <c r="B415" s="1" t="n">
        <v>44544</v>
      </c>
      <c r="C415" s="1" t="n">
        <v>45505</v>
      </c>
      <c r="D415" t="inlineStr">
        <is>
          <t>JÄMTLANDS LÄN</t>
        </is>
      </c>
      <c r="E415" t="inlineStr">
        <is>
          <t>ÅRE</t>
        </is>
      </c>
      <c r="G415" t="n">
        <v>14.1</v>
      </c>
      <c r="H415" t="n">
        <v>0</v>
      </c>
      <c r="I415" t="n">
        <v>0</v>
      </c>
      <c r="J415" t="n">
        <v>0</v>
      </c>
      <c r="K415" t="n">
        <v>0</v>
      </c>
      <c r="L415" t="n">
        <v>0</v>
      </c>
      <c r="M415" t="n">
        <v>0</v>
      </c>
      <c r="N415" t="n">
        <v>0</v>
      </c>
      <c r="O415" t="n">
        <v>0</v>
      </c>
      <c r="P415" t="n">
        <v>0</v>
      </c>
      <c r="Q415" t="n">
        <v>0</v>
      </c>
      <c r="R415" s="2" t="inlineStr"/>
    </row>
    <row r="416" ht="15" customHeight="1">
      <c r="A416" t="inlineStr">
        <is>
          <t>A 72215-2021</t>
        </is>
      </c>
      <c r="B416" s="1" t="n">
        <v>44544</v>
      </c>
      <c r="C416" s="1" t="n">
        <v>45505</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73086-2021</t>
        </is>
      </c>
      <c r="B417" s="1" t="n">
        <v>44550</v>
      </c>
      <c r="C417" s="1" t="n">
        <v>45505</v>
      </c>
      <c r="D417" t="inlineStr">
        <is>
          <t>JÄMTLANDS LÄN</t>
        </is>
      </c>
      <c r="E417" t="inlineStr">
        <is>
          <t>ÅRE</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73738-2021</t>
        </is>
      </c>
      <c r="B418" s="1" t="n">
        <v>44551</v>
      </c>
      <c r="C418" s="1" t="n">
        <v>45505</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73629-2021</t>
        </is>
      </c>
      <c r="B419" s="1" t="n">
        <v>44552</v>
      </c>
      <c r="C419" s="1" t="n">
        <v>45505</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73800-2021</t>
        </is>
      </c>
      <c r="B420" s="1" t="n">
        <v>44552</v>
      </c>
      <c r="C420" s="1" t="n">
        <v>45505</v>
      </c>
      <c r="D420" t="inlineStr">
        <is>
          <t>JÄMTLANDS LÄN</t>
        </is>
      </c>
      <c r="E420" t="inlineStr">
        <is>
          <t>ÅRE</t>
        </is>
      </c>
      <c r="G420" t="n">
        <v>8.6</v>
      </c>
      <c r="H420" t="n">
        <v>0</v>
      </c>
      <c r="I420" t="n">
        <v>0</v>
      </c>
      <c r="J420" t="n">
        <v>0</v>
      </c>
      <c r="K420" t="n">
        <v>0</v>
      </c>
      <c r="L420" t="n">
        <v>0</v>
      </c>
      <c r="M420" t="n">
        <v>0</v>
      </c>
      <c r="N420" t="n">
        <v>0</v>
      </c>
      <c r="O420" t="n">
        <v>0</v>
      </c>
      <c r="P420" t="n">
        <v>0</v>
      </c>
      <c r="Q420" t="n">
        <v>0</v>
      </c>
      <c r="R420" s="2" t="inlineStr"/>
    </row>
    <row r="421" ht="15" customHeight="1">
      <c r="A421" t="inlineStr">
        <is>
          <t>A 73798-2021</t>
        </is>
      </c>
      <c r="B421" s="1" t="n">
        <v>44552</v>
      </c>
      <c r="C421" s="1" t="n">
        <v>45505</v>
      </c>
      <c r="D421" t="inlineStr">
        <is>
          <t>JÄMTLANDS LÄN</t>
        </is>
      </c>
      <c r="E421" t="inlineStr">
        <is>
          <t>ÅRE</t>
        </is>
      </c>
      <c r="G421" t="n">
        <v>2.5</v>
      </c>
      <c r="H421" t="n">
        <v>0</v>
      </c>
      <c r="I421" t="n">
        <v>0</v>
      </c>
      <c r="J421" t="n">
        <v>0</v>
      </c>
      <c r="K421" t="n">
        <v>0</v>
      </c>
      <c r="L421" t="n">
        <v>0</v>
      </c>
      <c r="M421" t="n">
        <v>0</v>
      </c>
      <c r="N421" t="n">
        <v>0</v>
      </c>
      <c r="O421" t="n">
        <v>0</v>
      </c>
      <c r="P421" t="n">
        <v>0</v>
      </c>
      <c r="Q421" t="n">
        <v>0</v>
      </c>
      <c r="R421" s="2" t="inlineStr"/>
    </row>
    <row r="422" ht="15" customHeight="1">
      <c r="A422" t="inlineStr">
        <is>
          <t>A 74046-2021</t>
        </is>
      </c>
      <c r="B422" s="1" t="n">
        <v>44553</v>
      </c>
      <c r="C422" s="1" t="n">
        <v>45505</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911-2022</t>
        </is>
      </c>
      <c r="B423" s="1" t="n">
        <v>44570</v>
      </c>
      <c r="C423" s="1" t="n">
        <v>45505</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2230-2022</t>
        </is>
      </c>
      <c r="B424" s="1" t="n">
        <v>44578</v>
      </c>
      <c r="C424" s="1" t="n">
        <v>45505</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2571-2022</t>
        </is>
      </c>
      <c r="B425" s="1" t="n">
        <v>44580</v>
      </c>
      <c r="C425" s="1" t="n">
        <v>45505</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5250-2022</t>
        </is>
      </c>
      <c r="B426" s="1" t="n">
        <v>44594</v>
      </c>
      <c r="C426" s="1" t="n">
        <v>45505</v>
      </c>
      <c r="D426" t="inlineStr">
        <is>
          <t>JÄMTLANDS LÄN</t>
        </is>
      </c>
      <c r="E426" t="inlineStr">
        <is>
          <t>ÅRE</t>
        </is>
      </c>
      <c r="G426" t="n">
        <v>2.1</v>
      </c>
      <c r="H426" t="n">
        <v>0</v>
      </c>
      <c r="I426" t="n">
        <v>0</v>
      </c>
      <c r="J426" t="n">
        <v>0</v>
      </c>
      <c r="K426" t="n">
        <v>0</v>
      </c>
      <c r="L426" t="n">
        <v>0</v>
      </c>
      <c r="M426" t="n">
        <v>0</v>
      </c>
      <c r="N426" t="n">
        <v>0</v>
      </c>
      <c r="O426" t="n">
        <v>0</v>
      </c>
      <c r="P426" t="n">
        <v>0</v>
      </c>
      <c r="Q426" t="n">
        <v>0</v>
      </c>
      <c r="R426" s="2" t="inlineStr"/>
    </row>
    <row r="427" ht="15" customHeight="1">
      <c r="A427" t="inlineStr">
        <is>
          <t>A 5923-2022</t>
        </is>
      </c>
      <c r="B427" s="1" t="n">
        <v>44598</v>
      </c>
      <c r="C427" s="1" t="n">
        <v>45505</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45505</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11500-2022</t>
        </is>
      </c>
      <c r="B429" s="1" t="n">
        <v>44631</v>
      </c>
      <c r="C429" s="1" t="n">
        <v>45505</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13383-2022</t>
        </is>
      </c>
      <c r="B430" s="1" t="n">
        <v>44637</v>
      </c>
      <c r="C430" s="1" t="n">
        <v>45505</v>
      </c>
      <c r="D430" t="inlineStr">
        <is>
          <t>JÄMTLANDS LÄN</t>
        </is>
      </c>
      <c r="E430" t="inlineStr">
        <is>
          <t>ÅRE</t>
        </is>
      </c>
      <c r="G430" t="n">
        <v>2.2</v>
      </c>
      <c r="H430" t="n">
        <v>0</v>
      </c>
      <c r="I430" t="n">
        <v>0</v>
      </c>
      <c r="J430" t="n">
        <v>0</v>
      </c>
      <c r="K430" t="n">
        <v>0</v>
      </c>
      <c r="L430" t="n">
        <v>0</v>
      </c>
      <c r="M430" t="n">
        <v>0</v>
      </c>
      <c r="N430" t="n">
        <v>0</v>
      </c>
      <c r="O430" t="n">
        <v>0</v>
      </c>
      <c r="P430" t="n">
        <v>0</v>
      </c>
      <c r="Q430" t="n">
        <v>0</v>
      </c>
      <c r="R430" s="2" t="inlineStr"/>
    </row>
    <row r="431" ht="15" customHeight="1">
      <c r="A431" t="inlineStr">
        <is>
          <t>A 13221-2022</t>
        </is>
      </c>
      <c r="B431" s="1" t="n">
        <v>44644</v>
      </c>
      <c r="C431" s="1" t="n">
        <v>45505</v>
      </c>
      <c r="D431" t="inlineStr">
        <is>
          <t>JÄMTLANDS LÄN</t>
        </is>
      </c>
      <c r="E431" t="inlineStr">
        <is>
          <t>ÅRE</t>
        </is>
      </c>
      <c r="F431" t="inlineStr">
        <is>
          <t>Övriga Aktiebolag</t>
        </is>
      </c>
      <c r="G431" t="n">
        <v>13.7</v>
      </c>
      <c r="H431" t="n">
        <v>0</v>
      </c>
      <c r="I431" t="n">
        <v>0</v>
      </c>
      <c r="J431" t="n">
        <v>0</v>
      </c>
      <c r="K431" t="n">
        <v>0</v>
      </c>
      <c r="L431" t="n">
        <v>0</v>
      </c>
      <c r="M431" t="n">
        <v>0</v>
      </c>
      <c r="N431" t="n">
        <v>0</v>
      </c>
      <c r="O431" t="n">
        <v>0</v>
      </c>
      <c r="P431" t="n">
        <v>0</v>
      </c>
      <c r="Q431" t="n">
        <v>0</v>
      </c>
      <c r="R431" s="2" t="inlineStr"/>
    </row>
    <row r="432" ht="15" customHeight="1">
      <c r="A432" t="inlineStr">
        <is>
          <t>A 13324-2022</t>
        </is>
      </c>
      <c r="B432" s="1" t="n">
        <v>44645</v>
      </c>
      <c r="C432" s="1" t="n">
        <v>45505</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18443-2022</t>
        </is>
      </c>
      <c r="B433" s="1" t="n">
        <v>44686</v>
      </c>
      <c r="C433" s="1" t="n">
        <v>45505</v>
      </c>
      <c r="D433" t="inlineStr">
        <is>
          <t>JÄMTLANDS LÄN</t>
        </is>
      </c>
      <c r="E433" t="inlineStr">
        <is>
          <t>ÅRE</t>
        </is>
      </c>
      <c r="G433" t="n">
        <v>5.1</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45505</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20827-2022</t>
        </is>
      </c>
      <c r="B435" s="1" t="n">
        <v>44700</v>
      </c>
      <c r="C435" s="1" t="n">
        <v>45505</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20816-2022</t>
        </is>
      </c>
      <c r="B436" s="1" t="n">
        <v>44700</v>
      </c>
      <c r="C436" s="1" t="n">
        <v>45505</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21464-2022</t>
        </is>
      </c>
      <c r="B437" s="1" t="n">
        <v>44706</v>
      </c>
      <c r="C437" s="1" t="n">
        <v>45505</v>
      </c>
      <c r="D437" t="inlineStr">
        <is>
          <t>JÄMTLANDS LÄN</t>
        </is>
      </c>
      <c r="E437" t="inlineStr">
        <is>
          <t>ÅRE</t>
        </is>
      </c>
      <c r="G437" t="n">
        <v>10.9</v>
      </c>
      <c r="H437" t="n">
        <v>0</v>
      </c>
      <c r="I437" t="n">
        <v>0</v>
      </c>
      <c r="J437" t="n">
        <v>0</v>
      </c>
      <c r="K437" t="n">
        <v>0</v>
      </c>
      <c r="L437" t="n">
        <v>0</v>
      </c>
      <c r="M437" t="n">
        <v>0</v>
      </c>
      <c r="N437" t="n">
        <v>0</v>
      </c>
      <c r="O437" t="n">
        <v>0</v>
      </c>
      <c r="P437" t="n">
        <v>0</v>
      </c>
      <c r="Q437" t="n">
        <v>0</v>
      </c>
      <c r="R437" s="2" t="inlineStr"/>
    </row>
    <row r="438" ht="15" customHeight="1">
      <c r="A438" t="inlineStr">
        <is>
          <t>A 22473-2022</t>
        </is>
      </c>
      <c r="B438" s="1" t="n">
        <v>44713</v>
      </c>
      <c r="C438" s="1" t="n">
        <v>45505</v>
      </c>
      <c r="D438" t="inlineStr">
        <is>
          <t>JÄMTLANDS LÄN</t>
        </is>
      </c>
      <c r="E438" t="inlineStr">
        <is>
          <t>ÅRE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23117-2022</t>
        </is>
      </c>
      <c r="B439" s="1" t="n">
        <v>44719</v>
      </c>
      <c r="C439" s="1" t="n">
        <v>45505</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23118-2022</t>
        </is>
      </c>
      <c r="B440" s="1" t="n">
        <v>44719</v>
      </c>
      <c r="C440" s="1" t="n">
        <v>45505</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24539-2022</t>
        </is>
      </c>
      <c r="B441" s="1" t="n">
        <v>44727</v>
      </c>
      <c r="C441" s="1" t="n">
        <v>45505</v>
      </c>
      <c r="D441" t="inlineStr">
        <is>
          <t>JÄMTLANDS LÄN</t>
        </is>
      </c>
      <c r="E441" t="inlineStr">
        <is>
          <t>ÅRE</t>
        </is>
      </c>
      <c r="G441" t="n">
        <v>0.3</v>
      </c>
      <c r="H441" t="n">
        <v>0</v>
      </c>
      <c r="I441" t="n">
        <v>0</v>
      </c>
      <c r="J441" t="n">
        <v>0</v>
      </c>
      <c r="K441" t="n">
        <v>0</v>
      </c>
      <c r="L441" t="n">
        <v>0</v>
      </c>
      <c r="M441" t="n">
        <v>0</v>
      </c>
      <c r="N441" t="n">
        <v>0</v>
      </c>
      <c r="O441" t="n">
        <v>0</v>
      </c>
      <c r="P441" t="n">
        <v>0</v>
      </c>
      <c r="Q441" t="n">
        <v>0</v>
      </c>
      <c r="R441" s="2" t="inlineStr"/>
    </row>
    <row r="442" ht="15" customHeight="1">
      <c r="A442" t="inlineStr">
        <is>
          <t>A 25122-2022</t>
        </is>
      </c>
      <c r="B442" s="1" t="n">
        <v>44729</v>
      </c>
      <c r="C442" s="1" t="n">
        <v>45505</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25248-2022</t>
        </is>
      </c>
      <c r="B443" s="1" t="n">
        <v>44729</v>
      </c>
      <c r="C443" s="1" t="n">
        <v>45505</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26533-2022</t>
        </is>
      </c>
      <c r="B444" s="1" t="n">
        <v>44739</v>
      </c>
      <c r="C444" s="1" t="n">
        <v>45505</v>
      </c>
      <c r="D444" t="inlineStr">
        <is>
          <t>JÄMTLANDS LÄN</t>
        </is>
      </c>
      <c r="E444" t="inlineStr">
        <is>
          <t>ÅRE</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26546-2022</t>
        </is>
      </c>
      <c r="B445" s="1" t="n">
        <v>44739</v>
      </c>
      <c r="C445" s="1" t="n">
        <v>45505</v>
      </c>
      <c r="D445" t="inlineStr">
        <is>
          <t>JÄMTLANDS LÄN</t>
        </is>
      </c>
      <c r="E445" t="inlineStr">
        <is>
          <t>ÅRE</t>
        </is>
      </c>
      <c r="F445" t="inlineStr">
        <is>
          <t>Övriga Aktiebolag</t>
        </is>
      </c>
      <c r="G445" t="n">
        <v>7</v>
      </c>
      <c r="H445" t="n">
        <v>0</v>
      </c>
      <c r="I445" t="n">
        <v>0</v>
      </c>
      <c r="J445" t="n">
        <v>0</v>
      </c>
      <c r="K445" t="n">
        <v>0</v>
      </c>
      <c r="L445" t="n">
        <v>0</v>
      </c>
      <c r="M445" t="n">
        <v>0</v>
      </c>
      <c r="N445" t="n">
        <v>0</v>
      </c>
      <c r="O445" t="n">
        <v>0</v>
      </c>
      <c r="P445" t="n">
        <v>0</v>
      </c>
      <c r="Q445" t="n">
        <v>0</v>
      </c>
      <c r="R445" s="2" t="inlineStr"/>
    </row>
    <row r="446" ht="15" customHeight="1">
      <c r="A446" t="inlineStr">
        <is>
          <t>A 27805-2022</t>
        </is>
      </c>
      <c r="B446" s="1" t="n">
        <v>44743</v>
      </c>
      <c r="C446" s="1" t="n">
        <v>45505</v>
      </c>
      <c r="D446" t="inlineStr">
        <is>
          <t>JÄMTLANDS LÄN</t>
        </is>
      </c>
      <c r="E446" t="inlineStr">
        <is>
          <t>ÅRE</t>
        </is>
      </c>
      <c r="G446" t="n">
        <v>106.2</v>
      </c>
      <c r="H446" t="n">
        <v>0</v>
      </c>
      <c r="I446" t="n">
        <v>0</v>
      </c>
      <c r="J446" t="n">
        <v>0</v>
      </c>
      <c r="K446" t="n">
        <v>0</v>
      </c>
      <c r="L446" t="n">
        <v>0</v>
      </c>
      <c r="M446" t="n">
        <v>0</v>
      </c>
      <c r="N446" t="n">
        <v>0</v>
      </c>
      <c r="O446" t="n">
        <v>0</v>
      </c>
      <c r="P446" t="n">
        <v>0</v>
      </c>
      <c r="Q446" t="n">
        <v>0</v>
      </c>
      <c r="R446" s="2" t="inlineStr"/>
    </row>
    <row r="447" ht="15" customHeight="1">
      <c r="A447" t="inlineStr">
        <is>
          <t>A 29385-2022</t>
        </is>
      </c>
      <c r="B447" s="1" t="n">
        <v>44753</v>
      </c>
      <c r="C447" s="1" t="n">
        <v>45505</v>
      </c>
      <c r="D447" t="inlineStr">
        <is>
          <t>JÄMTLANDS LÄN</t>
        </is>
      </c>
      <c r="E447" t="inlineStr">
        <is>
          <t>ÅRE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29383-2022</t>
        </is>
      </c>
      <c r="B448" s="1" t="n">
        <v>44753</v>
      </c>
      <c r="C448" s="1" t="n">
        <v>45505</v>
      </c>
      <c r="D448" t="inlineStr">
        <is>
          <t>JÄMTLANDS LÄN</t>
        </is>
      </c>
      <c r="E448" t="inlineStr">
        <is>
          <t>ÅRE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31776-2022</t>
        </is>
      </c>
      <c r="B449" s="1" t="n">
        <v>44776</v>
      </c>
      <c r="C449" s="1" t="n">
        <v>45505</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32212-2022</t>
        </is>
      </c>
      <c r="B450" s="1" t="n">
        <v>44781</v>
      </c>
      <c r="C450" s="1" t="n">
        <v>45505</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32210-2022</t>
        </is>
      </c>
      <c r="B451" s="1" t="n">
        <v>44781</v>
      </c>
      <c r="C451" s="1" t="n">
        <v>45505</v>
      </c>
      <c r="D451" t="inlineStr">
        <is>
          <t>JÄMTLANDS LÄN</t>
        </is>
      </c>
      <c r="E451" t="inlineStr">
        <is>
          <t>ÅRE</t>
        </is>
      </c>
      <c r="G451" t="n">
        <v>17.3</v>
      </c>
      <c r="H451" t="n">
        <v>0</v>
      </c>
      <c r="I451" t="n">
        <v>0</v>
      </c>
      <c r="J451" t="n">
        <v>0</v>
      </c>
      <c r="K451" t="n">
        <v>0</v>
      </c>
      <c r="L451" t="n">
        <v>0</v>
      </c>
      <c r="M451" t="n">
        <v>0</v>
      </c>
      <c r="N451" t="n">
        <v>0</v>
      </c>
      <c r="O451" t="n">
        <v>0</v>
      </c>
      <c r="P451" t="n">
        <v>0</v>
      </c>
      <c r="Q451" t="n">
        <v>0</v>
      </c>
      <c r="R451" s="2" t="inlineStr"/>
    </row>
    <row r="452" ht="15" customHeight="1">
      <c r="A452" t="inlineStr">
        <is>
          <t>A 32758-2022</t>
        </is>
      </c>
      <c r="B452" s="1" t="n">
        <v>44783</v>
      </c>
      <c r="C452" s="1" t="n">
        <v>45505</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33023-2022</t>
        </is>
      </c>
      <c r="B453" s="1" t="n">
        <v>44784</v>
      </c>
      <c r="C453" s="1" t="n">
        <v>45505</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33003-2022</t>
        </is>
      </c>
      <c r="B454" s="1" t="n">
        <v>44784</v>
      </c>
      <c r="C454" s="1" t="n">
        <v>45505</v>
      </c>
      <c r="D454" t="inlineStr">
        <is>
          <t>JÄMTLANDS LÄN</t>
        </is>
      </c>
      <c r="E454" t="inlineStr">
        <is>
          <t>ÅRE</t>
        </is>
      </c>
      <c r="G454" t="n">
        <v>6.1</v>
      </c>
      <c r="H454" t="n">
        <v>0</v>
      </c>
      <c r="I454" t="n">
        <v>0</v>
      </c>
      <c r="J454" t="n">
        <v>0</v>
      </c>
      <c r="K454" t="n">
        <v>0</v>
      </c>
      <c r="L454" t="n">
        <v>0</v>
      </c>
      <c r="M454" t="n">
        <v>0</v>
      </c>
      <c r="N454" t="n">
        <v>0</v>
      </c>
      <c r="O454" t="n">
        <v>0</v>
      </c>
      <c r="P454" t="n">
        <v>0</v>
      </c>
      <c r="Q454" t="n">
        <v>0</v>
      </c>
      <c r="R454" s="2" t="inlineStr"/>
    </row>
    <row r="455" ht="15" customHeight="1">
      <c r="A455" t="inlineStr">
        <is>
          <t>A 33015-2022</t>
        </is>
      </c>
      <c r="B455" s="1" t="n">
        <v>44784</v>
      </c>
      <c r="C455" s="1" t="n">
        <v>45505</v>
      </c>
      <c r="D455" t="inlineStr">
        <is>
          <t>JÄMTLANDS LÄN</t>
        </is>
      </c>
      <c r="E455" t="inlineStr">
        <is>
          <t>ÅRE</t>
        </is>
      </c>
      <c r="G455" t="n">
        <v>5.1</v>
      </c>
      <c r="H455" t="n">
        <v>0</v>
      </c>
      <c r="I455" t="n">
        <v>0</v>
      </c>
      <c r="J455" t="n">
        <v>0</v>
      </c>
      <c r="K455" t="n">
        <v>0</v>
      </c>
      <c r="L455" t="n">
        <v>0</v>
      </c>
      <c r="M455" t="n">
        <v>0</v>
      </c>
      <c r="N455" t="n">
        <v>0</v>
      </c>
      <c r="O455" t="n">
        <v>0</v>
      </c>
      <c r="P455" t="n">
        <v>0</v>
      </c>
      <c r="Q455" t="n">
        <v>0</v>
      </c>
      <c r="R455" s="2" t="inlineStr"/>
    </row>
    <row r="456" ht="15" customHeight="1">
      <c r="A456" t="inlineStr">
        <is>
          <t>A 33479-2022</t>
        </is>
      </c>
      <c r="B456" s="1" t="n">
        <v>44788</v>
      </c>
      <c r="C456" s="1" t="n">
        <v>45505</v>
      </c>
      <c r="D456" t="inlineStr">
        <is>
          <t>JÄMTLANDS LÄN</t>
        </is>
      </c>
      <c r="E456" t="inlineStr">
        <is>
          <t>ÅRE</t>
        </is>
      </c>
      <c r="F456" t="inlineStr">
        <is>
          <t>Sveaskog</t>
        </is>
      </c>
      <c r="G456" t="n">
        <v>5.3</v>
      </c>
      <c r="H456" t="n">
        <v>0</v>
      </c>
      <c r="I456" t="n">
        <v>0</v>
      </c>
      <c r="J456" t="n">
        <v>0</v>
      </c>
      <c r="K456" t="n">
        <v>0</v>
      </c>
      <c r="L456" t="n">
        <v>0</v>
      </c>
      <c r="M456" t="n">
        <v>0</v>
      </c>
      <c r="N456" t="n">
        <v>0</v>
      </c>
      <c r="O456" t="n">
        <v>0</v>
      </c>
      <c r="P456" t="n">
        <v>0</v>
      </c>
      <c r="Q456" t="n">
        <v>0</v>
      </c>
      <c r="R456" s="2" t="inlineStr"/>
    </row>
    <row r="457" ht="15" customHeight="1">
      <c r="A457" t="inlineStr">
        <is>
          <t>A 33480-2022</t>
        </is>
      </c>
      <c r="B457" s="1" t="n">
        <v>44788</v>
      </c>
      <c r="C457" s="1" t="n">
        <v>45505</v>
      </c>
      <c r="D457" t="inlineStr">
        <is>
          <t>JÄMTLANDS LÄN</t>
        </is>
      </c>
      <c r="E457" t="inlineStr">
        <is>
          <t>ÅRE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33625-2022</t>
        </is>
      </c>
      <c r="B458" s="1" t="n">
        <v>44789</v>
      </c>
      <c r="C458" s="1" t="n">
        <v>45505</v>
      </c>
      <c r="D458" t="inlineStr">
        <is>
          <t>JÄMTLANDS LÄN</t>
        </is>
      </c>
      <c r="E458" t="inlineStr">
        <is>
          <t>ÅRE</t>
        </is>
      </c>
      <c r="G458" t="n">
        <v>20.7</v>
      </c>
      <c r="H458" t="n">
        <v>0</v>
      </c>
      <c r="I458" t="n">
        <v>0</v>
      </c>
      <c r="J458" t="n">
        <v>0</v>
      </c>
      <c r="K458" t="n">
        <v>0</v>
      </c>
      <c r="L458" t="n">
        <v>0</v>
      </c>
      <c r="M458" t="n">
        <v>0</v>
      </c>
      <c r="N458" t="n">
        <v>0</v>
      </c>
      <c r="O458" t="n">
        <v>0</v>
      </c>
      <c r="P458" t="n">
        <v>0</v>
      </c>
      <c r="Q458" t="n">
        <v>0</v>
      </c>
      <c r="R458" s="2" t="inlineStr"/>
    </row>
    <row r="459" ht="15" customHeight="1">
      <c r="A459" t="inlineStr">
        <is>
          <t>A 33565-2022</t>
        </is>
      </c>
      <c r="B459" s="1" t="n">
        <v>44789</v>
      </c>
      <c r="C459" s="1" t="n">
        <v>45505</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34033-2022</t>
        </is>
      </c>
      <c r="B460" s="1" t="n">
        <v>44790</v>
      </c>
      <c r="C460" s="1" t="n">
        <v>45505</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34916-2022</t>
        </is>
      </c>
      <c r="B461" s="1" t="n">
        <v>44796</v>
      </c>
      <c r="C461" s="1" t="n">
        <v>45505</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36219-2022</t>
        </is>
      </c>
      <c r="B462" s="1" t="n">
        <v>44803</v>
      </c>
      <c r="C462" s="1" t="n">
        <v>45505</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37645-2022</t>
        </is>
      </c>
      <c r="B463" s="1" t="n">
        <v>44810</v>
      </c>
      <c r="C463" s="1" t="n">
        <v>45505</v>
      </c>
      <c r="D463" t="inlineStr">
        <is>
          <t>JÄMTLANDS LÄN</t>
        </is>
      </c>
      <c r="E463" t="inlineStr">
        <is>
          <t>ÅRE</t>
        </is>
      </c>
      <c r="G463" t="n">
        <v>5.3</v>
      </c>
      <c r="H463" t="n">
        <v>0</v>
      </c>
      <c r="I463" t="n">
        <v>0</v>
      </c>
      <c r="J463" t="n">
        <v>0</v>
      </c>
      <c r="K463" t="n">
        <v>0</v>
      </c>
      <c r="L463" t="n">
        <v>0</v>
      </c>
      <c r="M463" t="n">
        <v>0</v>
      </c>
      <c r="N463" t="n">
        <v>0</v>
      </c>
      <c r="O463" t="n">
        <v>0</v>
      </c>
      <c r="P463" t="n">
        <v>0</v>
      </c>
      <c r="Q463" t="n">
        <v>0</v>
      </c>
      <c r="R463" s="2" t="inlineStr"/>
    </row>
    <row r="464" ht="15" customHeight="1">
      <c r="A464" t="inlineStr">
        <is>
          <t>A 38265-2022</t>
        </is>
      </c>
      <c r="B464" s="1" t="n">
        <v>44812</v>
      </c>
      <c r="C464" s="1" t="n">
        <v>45505</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40159-2022</t>
        </is>
      </c>
      <c r="B465" s="1" t="n">
        <v>44818</v>
      </c>
      <c r="C465" s="1" t="n">
        <v>45505</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40653-2022</t>
        </is>
      </c>
      <c r="B466" s="1" t="n">
        <v>44818</v>
      </c>
      <c r="C466" s="1" t="n">
        <v>45505</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39713-2022</t>
        </is>
      </c>
      <c r="B467" s="1" t="n">
        <v>44819</v>
      </c>
      <c r="C467" s="1" t="n">
        <v>45505</v>
      </c>
      <c r="D467" t="inlineStr">
        <is>
          <t>JÄMTLANDS LÄN</t>
        </is>
      </c>
      <c r="E467" t="inlineStr">
        <is>
          <t>ÅRE</t>
        </is>
      </c>
      <c r="G467" t="n">
        <v>10.4</v>
      </c>
      <c r="H467" t="n">
        <v>0</v>
      </c>
      <c r="I467" t="n">
        <v>0</v>
      </c>
      <c r="J467" t="n">
        <v>0</v>
      </c>
      <c r="K467" t="n">
        <v>0</v>
      </c>
      <c r="L467" t="n">
        <v>0</v>
      </c>
      <c r="M467" t="n">
        <v>0</v>
      </c>
      <c r="N467" t="n">
        <v>0</v>
      </c>
      <c r="O467" t="n">
        <v>0</v>
      </c>
      <c r="P467" t="n">
        <v>0</v>
      </c>
      <c r="Q467" t="n">
        <v>0</v>
      </c>
      <c r="R467" s="2" t="inlineStr"/>
    </row>
    <row r="468" ht="15" customHeight="1">
      <c r="A468" t="inlineStr">
        <is>
          <t>A 41015-2022</t>
        </is>
      </c>
      <c r="B468" s="1" t="n">
        <v>44820</v>
      </c>
      <c r="C468" s="1" t="n">
        <v>45505</v>
      </c>
      <c r="D468" t="inlineStr">
        <is>
          <t>JÄMTLANDS LÄN</t>
        </is>
      </c>
      <c r="E468" t="inlineStr">
        <is>
          <t>ÅRE</t>
        </is>
      </c>
      <c r="F468" t="inlineStr">
        <is>
          <t>Övriga statliga verk och myndigheter</t>
        </is>
      </c>
      <c r="G468" t="n">
        <v>8</v>
      </c>
      <c r="H468" t="n">
        <v>0</v>
      </c>
      <c r="I468" t="n">
        <v>0</v>
      </c>
      <c r="J468" t="n">
        <v>0</v>
      </c>
      <c r="K468" t="n">
        <v>0</v>
      </c>
      <c r="L468" t="n">
        <v>0</v>
      </c>
      <c r="M468" t="n">
        <v>0</v>
      </c>
      <c r="N468" t="n">
        <v>0</v>
      </c>
      <c r="O468" t="n">
        <v>0</v>
      </c>
      <c r="P468" t="n">
        <v>0</v>
      </c>
      <c r="Q468" t="n">
        <v>0</v>
      </c>
      <c r="R468" s="2" t="inlineStr"/>
    </row>
    <row r="469" ht="15" customHeight="1">
      <c r="A469" t="inlineStr">
        <is>
          <t>A 41162-2022</t>
        </is>
      </c>
      <c r="B469" s="1" t="n">
        <v>44825</v>
      </c>
      <c r="C469" s="1" t="n">
        <v>45505</v>
      </c>
      <c r="D469" t="inlineStr">
        <is>
          <t>JÄMTLANDS LÄN</t>
        </is>
      </c>
      <c r="E469" t="inlineStr">
        <is>
          <t>ÅRE</t>
        </is>
      </c>
      <c r="G469" t="n">
        <v>11.3</v>
      </c>
      <c r="H469" t="n">
        <v>0</v>
      </c>
      <c r="I469" t="n">
        <v>0</v>
      </c>
      <c r="J469" t="n">
        <v>0</v>
      </c>
      <c r="K469" t="n">
        <v>0</v>
      </c>
      <c r="L469" t="n">
        <v>0</v>
      </c>
      <c r="M469" t="n">
        <v>0</v>
      </c>
      <c r="N469" t="n">
        <v>0</v>
      </c>
      <c r="O469" t="n">
        <v>0</v>
      </c>
      <c r="P469" t="n">
        <v>0</v>
      </c>
      <c r="Q469" t="n">
        <v>0</v>
      </c>
      <c r="R469" s="2" t="inlineStr"/>
    </row>
    <row r="470" ht="15" customHeight="1">
      <c r="A470" t="inlineStr">
        <is>
          <t>A 41655-2022</t>
        </is>
      </c>
      <c r="B470" s="1" t="n">
        <v>44827</v>
      </c>
      <c r="C470" s="1" t="n">
        <v>45505</v>
      </c>
      <c r="D470" t="inlineStr">
        <is>
          <t>JÄMTLANDS LÄN</t>
        </is>
      </c>
      <c r="E470" t="inlineStr">
        <is>
          <t>ÅRE</t>
        </is>
      </c>
      <c r="G470" t="n">
        <v>2.4</v>
      </c>
      <c r="H470" t="n">
        <v>0</v>
      </c>
      <c r="I470" t="n">
        <v>0</v>
      </c>
      <c r="J470" t="n">
        <v>0</v>
      </c>
      <c r="K470" t="n">
        <v>0</v>
      </c>
      <c r="L470" t="n">
        <v>0</v>
      </c>
      <c r="M470" t="n">
        <v>0</v>
      </c>
      <c r="N470" t="n">
        <v>0</v>
      </c>
      <c r="O470" t="n">
        <v>0</v>
      </c>
      <c r="P470" t="n">
        <v>0</v>
      </c>
      <c r="Q470" t="n">
        <v>0</v>
      </c>
      <c r="R470" s="2" t="inlineStr"/>
    </row>
    <row r="471" ht="15" customHeight="1">
      <c r="A471" t="inlineStr">
        <is>
          <t>A 41654-2022</t>
        </is>
      </c>
      <c r="B471" s="1" t="n">
        <v>44827</v>
      </c>
      <c r="C471" s="1" t="n">
        <v>45505</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41657-2022</t>
        </is>
      </c>
      <c r="B472" s="1" t="n">
        <v>44827</v>
      </c>
      <c r="C472" s="1" t="n">
        <v>45505</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45505</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43180-2022</t>
        </is>
      </c>
      <c r="B474" s="1" t="n">
        <v>44833</v>
      </c>
      <c r="C474" s="1" t="n">
        <v>45505</v>
      </c>
      <c r="D474" t="inlineStr">
        <is>
          <t>JÄMTLANDS LÄN</t>
        </is>
      </c>
      <c r="E474" t="inlineStr">
        <is>
          <t>ÅRE</t>
        </is>
      </c>
      <c r="G474" t="n">
        <v>17.9</v>
      </c>
      <c r="H474" t="n">
        <v>0</v>
      </c>
      <c r="I474" t="n">
        <v>0</v>
      </c>
      <c r="J474" t="n">
        <v>0</v>
      </c>
      <c r="K474" t="n">
        <v>0</v>
      </c>
      <c r="L474" t="n">
        <v>0</v>
      </c>
      <c r="M474" t="n">
        <v>0</v>
      </c>
      <c r="N474" t="n">
        <v>0</v>
      </c>
      <c r="O474" t="n">
        <v>0</v>
      </c>
      <c r="P474" t="n">
        <v>0</v>
      </c>
      <c r="Q474" t="n">
        <v>0</v>
      </c>
      <c r="R474" s="2" t="inlineStr"/>
    </row>
    <row r="475" ht="15" customHeight="1">
      <c r="A475" t="inlineStr">
        <is>
          <t>A 43324-2022</t>
        </is>
      </c>
      <c r="B475" s="1" t="n">
        <v>44834</v>
      </c>
      <c r="C475" s="1" t="n">
        <v>45505</v>
      </c>
      <c r="D475" t="inlineStr">
        <is>
          <t>JÄMTLANDS LÄN</t>
        </is>
      </c>
      <c r="E475" t="inlineStr">
        <is>
          <t>ÅRE</t>
        </is>
      </c>
      <c r="F475" t="inlineStr">
        <is>
          <t>Bergvik skog öst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43583-2022</t>
        </is>
      </c>
      <c r="B476" s="1" t="n">
        <v>44834</v>
      </c>
      <c r="C476" s="1" t="n">
        <v>45505</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44502-2022</t>
        </is>
      </c>
      <c r="B477" s="1" t="n">
        <v>44840</v>
      </c>
      <c r="C477" s="1" t="n">
        <v>45505</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45461-2022</t>
        </is>
      </c>
      <c r="B478" s="1" t="n">
        <v>44841</v>
      </c>
      <c r="C478" s="1" t="n">
        <v>45505</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45660-2022</t>
        </is>
      </c>
      <c r="B479" s="1" t="n">
        <v>44845</v>
      </c>
      <c r="C479" s="1" t="n">
        <v>45505</v>
      </c>
      <c r="D479" t="inlineStr">
        <is>
          <t>JÄMTLANDS LÄN</t>
        </is>
      </c>
      <c r="E479" t="inlineStr">
        <is>
          <t>ÅRE</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46491-2022</t>
        </is>
      </c>
      <c r="B480" s="1" t="n">
        <v>44848</v>
      </c>
      <c r="C480" s="1" t="n">
        <v>45505</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46497-2022</t>
        </is>
      </c>
      <c r="B481" s="1" t="n">
        <v>44848</v>
      </c>
      <c r="C481" s="1" t="n">
        <v>45505</v>
      </c>
      <c r="D481" t="inlineStr">
        <is>
          <t>JÄMTLANDS LÄN</t>
        </is>
      </c>
      <c r="E481" t="inlineStr">
        <is>
          <t>ÅRE</t>
        </is>
      </c>
      <c r="G481" t="n">
        <v>1.6</v>
      </c>
      <c r="H481" t="n">
        <v>0</v>
      </c>
      <c r="I481" t="n">
        <v>0</v>
      </c>
      <c r="J481" t="n">
        <v>0</v>
      </c>
      <c r="K481" t="n">
        <v>0</v>
      </c>
      <c r="L481" t="n">
        <v>0</v>
      </c>
      <c r="M481" t="n">
        <v>0</v>
      </c>
      <c r="N481" t="n">
        <v>0</v>
      </c>
      <c r="O481" t="n">
        <v>0</v>
      </c>
      <c r="P481" t="n">
        <v>0</v>
      </c>
      <c r="Q481" t="n">
        <v>0</v>
      </c>
      <c r="R481" s="2" t="inlineStr"/>
    </row>
    <row r="482" ht="15" customHeight="1">
      <c r="A482" t="inlineStr">
        <is>
          <t>A 46488-2022</t>
        </is>
      </c>
      <c r="B482" s="1" t="n">
        <v>44848</v>
      </c>
      <c r="C482" s="1" t="n">
        <v>45505</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46494-2022</t>
        </is>
      </c>
      <c r="B483" s="1" t="n">
        <v>44848</v>
      </c>
      <c r="C483" s="1" t="n">
        <v>45505</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46744-2022</t>
        </is>
      </c>
      <c r="B484" s="1" t="n">
        <v>44851</v>
      </c>
      <c r="C484" s="1" t="n">
        <v>45505</v>
      </c>
      <c r="D484" t="inlineStr">
        <is>
          <t>JÄMTLANDS LÄN</t>
        </is>
      </c>
      <c r="E484" t="inlineStr">
        <is>
          <t>ÅRE</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47052-2022</t>
        </is>
      </c>
      <c r="B485" s="1" t="n">
        <v>44851</v>
      </c>
      <c r="C485" s="1" t="n">
        <v>45505</v>
      </c>
      <c r="D485" t="inlineStr">
        <is>
          <t>JÄMTLANDS LÄN</t>
        </is>
      </c>
      <c r="E485" t="inlineStr">
        <is>
          <t>ÅRE</t>
        </is>
      </c>
      <c r="G485" t="n">
        <v>90.8</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v>
      </c>
      <c r="C486" s="1" t="n">
        <v>45505</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47873-2022</t>
        </is>
      </c>
      <c r="B487" s="1" t="n">
        <v>44855</v>
      </c>
      <c r="C487" s="1" t="n">
        <v>45505</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48898-2022</t>
        </is>
      </c>
      <c r="B488" s="1" t="n">
        <v>44860</v>
      </c>
      <c r="C488" s="1" t="n">
        <v>45505</v>
      </c>
      <c r="D488" t="inlineStr">
        <is>
          <t>JÄMTLANDS LÄN</t>
        </is>
      </c>
      <c r="E488" t="inlineStr">
        <is>
          <t>ÅRE</t>
        </is>
      </c>
      <c r="F488" t="inlineStr">
        <is>
          <t>Övriga Aktiebolag</t>
        </is>
      </c>
      <c r="G488" t="n">
        <v>4.6</v>
      </c>
      <c r="H488" t="n">
        <v>0</v>
      </c>
      <c r="I488" t="n">
        <v>0</v>
      </c>
      <c r="J488" t="n">
        <v>0</v>
      </c>
      <c r="K488" t="n">
        <v>0</v>
      </c>
      <c r="L488" t="n">
        <v>0</v>
      </c>
      <c r="M488" t="n">
        <v>0</v>
      </c>
      <c r="N488" t="n">
        <v>0</v>
      </c>
      <c r="O488" t="n">
        <v>0</v>
      </c>
      <c r="P488" t="n">
        <v>0</v>
      </c>
      <c r="Q488" t="n">
        <v>0</v>
      </c>
      <c r="R488" s="2" t="inlineStr"/>
    </row>
    <row r="489" ht="15" customHeight="1">
      <c r="A489" t="inlineStr">
        <is>
          <t>A 49818-2022</t>
        </is>
      </c>
      <c r="B489" s="1" t="n">
        <v>44859</v>
      </c>
      <c r="C489" s="1" t="n">
        <v>45505</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49610-2022</t>
        </is>
      </c>
      <c r="B490" s="1" t="n">
        <v>44859</v>
      </c>
      <c r="C490" s="1" t="n">
        <v>45505</v>
      </c>
      <c r="D490" t="inlineStr">
        <is>
          <t>JÄMTLANDS LÄN</t>
        </is>
      </c>
      <c r="E490" t="inlineStr">
        <is>
          <t>ÅRE</t>
        </is>
      </c>
      <c r="G490" t="n">
        <v>26.2</v>
      </c>
      <c r="H490" t="n">
        <v>0</v>
      </c>
      <c r="I490" t="n">
        <v>0</v>
      </c>
      <c r="J490" t="n">
        <v>0</v>
      </c>
      <c r="K490" t="n">
        <v>0</v>
      </c>
      <c r="L490" t="n">
        <v>0</v>
      </c>
      <c r="M490" t="n">
        <v>0</v>
      </c>
      <c r="N490" t="n">
        <v>0</v>
      </c>
      <c r="O490" t="n">
        <v>0</v>
      </c>
      <c r="P490" t="n">
        <v>0</v>
      </c>
      <c r="Q490" t="n">
        <v>0</v>
      </c>
      <c r="R490" s="2" t="inlineStr"/>
    </row>
    <row r="491" ht="15" customHeight="1">
      <c r="A491" t="inlineStr">
        <is>
          <t>A 50307-2022</t>
        </is>
      </c>
      <c r="B491" s="1" t="n">
        <v>44865</v>
      </c>
      <c r="C491" s="1" t="n">
        <v>45505</v>
      </c>
      <c r="D491" t="inlineStr">
        <is>
          <t>JÄMTLANDS LÄN</t>
        </is>
      </c>
      <c r="E491" t="inlineStr">
        <is>
          <t>ÅRE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52313-2022</t>
        </is>
      </c>
      <c r="B492" s="1" t="n">
        <v>44873</v>
      </c>
      <c r="C492" s="1" t="n">
        <v>45505</v>
      </c>
      <c r="D492" t="inlineStr">
        <is>
          <t>JÄMTLANDS LÄN</t>
        </is>
      </c>
      <c r="E492" t="inlineStr">
        <is>
          <t>ÅRE</t>
        </is>
      </c>
      <c r="G492" t="n">
        <v>3.4</v>
      </c>
      <c r="H492" t="n">
        <v>0</v>
      </c>
      <c r="I492" t="n">
        <v>0</v>
      </c>
      <c r="J492" t="n">
        <v>0</v>
      </c>
      <c r="K492" t="n">
        <v>0</v>
      </c>
      <c r="L492" t="n">
        <v>0</v>
      </c>
      <c r="M492" t="n">
        <v>0</v>
      </c>
      <c r="N492" t="n">
        <v>0</v>
      </c>
      <c r="O492" t="n">
        <v>0</v>
      </c>
      <c r="P492" t="n">
        <v>0</v>
      </c>
      <c r="Q492" t="n">
        <v>0</v>
      </c>
      <c r="R492" s="2" t="inlineStr"/>
    </row>
    <row r="493" ht="15" customHeight="1">
      <c r="A493" t="inlineStr">
        <is>
          <t>A 52470-2022</t>
        </is>
      </c>
      <c r="B493" s="1" t="n">
        <v>44874</v>
      </c>
      <c r="C493" s="1" t="n">
        <v>45505</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52485-2022</t>
        </is>
      </c>
      <c r="B494" s="1" t="n">
        <v>44874</v>
      </c>
      <c r="C494" s="1" t="n">
        <v>45505</v>
      </c>
      <c r="D494" t="inlineStr">
        <is>
          <t>JÄMTLANDS LÄN</t>
        </is>
      </c>
      <c r="E494" t="inlineStr">
        <is>
          <t>ÅRE</t>
        </is>
      </c>
      <c r="G494" t="n">
        <v>3.2</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45505</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54615-2022</t>
        </is>
      </c>
      <c r="B496" s="1" t="n">
        <v>44883</v>
      </c>
      <c r="C496" s="1" t="n">
        <v>45505</v>
      </c>
      <c r="D496" t="inlineStr">
        <is>
          <t>JÄMTLANDS LÄN</t>
        </is>
      </c>
      <c r="E496" t="inlineStr">
        <is>
          <t>ÅRE</t>
        </is>
      </c>
      <c r="F496" t="inlineStr">
        <is>
          <t>Övriga Aktiebolag</t>
        </is>
      </c>
      <c r="G496" t="n">
        <v>5.1</v>
      </c>
      <c r="H496" t="n">
        <v>0</v>
      </c>
      <c r="I496" t="n">
        <v>0</v>
      </c>
      <c r="J496" t="n">
        <v>0</v>
      </c>
      <c r="K496" t="n">
        <v>0</v>
      </c>
      <c r="L496" t="n">
        <v>0</v>
      </c>
      <c r="M496" t="n">
        <v>0</v>
      </c>
      <c r="N496" t="n">
        <v>0</v>
      </c>
      <c r="O496" t="n">
        <v>0</v>
      </c>
      <c r="P496" t="n">
        <v>0</v>
      </c>
      <c r="Q496" t="n">
        <v>0</v>
      </c>
      <c r="R496" s="2" t="inlineStr"/>
    </row>
    <row r="497" ht="15" customHeight="1">
      <c r="A497" t="inlineStr">
        <is>
          <t>A 54611-2022</t>
        </is>
      </c>
      <c r="B497" s="1" t="n">
        <v>44883</v>
      </c>
      <c r="C497" s="1" t="n">
        <v>45505</v>
      </c>
      <c r="D497" t="inlineStr">
        <is>
          <t>JÄMTLANDS LÄN</t>
        </is>
      </c>
      <c r="E497" t="inlineStr">
        <is>
          <t>ÅRE</t>
        </is>
      </c>
      <c r="F497" t="inlineStr">
        <is>
          <t>Övriga Aktiebolag</t>
        </is>
      </c>
      <c r="G497" t="n">
        <v>11.7</v>
      </c>
      <c r="H497" t="n">
        <v>0</v>
      </c>
      <c r="I497" t="n">
        <v>0</v>
      </c>
      <c r="J497" t="n">
        <v>0</v>
      </c>
      <c r="K497" t="n">
        <v>0</v>
      </c>
      <c r="L497" t="n">
        <v>0</v>
      </c>
      <c r="M497" t="n">
        <v>0</v>
      </c>
      <c r="N497" t="n">
        <v>0</v>
      </c>
      <c r="O497" t="n">
        <v>0</v>
      </c>
      <c r="P497" t="n">
        <v>0</v>
      </c>
      <c r="Q497" t="n">
        <v>0</v>
      </c>
      <c r="R497" s="2" t="inlineStr"/>
    </row>
    <row r="498" ht="15" customHeight="1">
      <c r="A498" t="inlineStr">
        <is>
          <t>A 54904-2022</t>
        </is>
      </c>
      <c r="B498" s="1" t="n">
        <v>44886</v>
      </c>
      <c r="C498" s="1" t="n">
        <v>45505</v>
      </c>
      <c r="D498" t="inlineStr">
        <is>
          <t>JÄMTLANDS LÄN</t>
        </is>
      </c>
      <c r="E498" t="inlineStr">
        <is>
          <t>ÅRE</t>
        </is>
      </c>
      <c r="F498" t="inlineStr">
        <is>
          <t>Övriga Aktiebolag</t>
        </is>
      </c>
      <c r="G498" t="n">
        <v>12.2</v>
      </c>
      <c r="H498" t="n">
        <v>0</v>
      </c>
      <c r="I498" t="n">
        <v>0</v>
      </c>
      <c r="J498" t="n">
        <v>0</v>
      </c>
      <c r="K498" t="n">
        <v>0</v>
      </c>
      <c r="L498" t="n">
        <v>0</v>
      </c>
      <c r="M498" t="n">
        <v>0</v>
      </c>
      <c r="N498" t="n">
        <v>0</v>
      </c>
      <c r="O498" t="n">
        <v>0</v>
      </c>
      <c r="P498" t="n">
        <v>0</v>
      </c>
      <c r="Q498" t="n">
        <v>0</v>
      </c>
      <c r="R498" s="2" t="inlineStr"/>
    </row>
    <row r="499" ht="15" customHeight="1">
      <c r="A499" t="inlineStr">
        <is>
          <t>A 55230-2022</t>
        </is>
      </c>
      <c r="B499" s="1" t="n">
        <v>44887</v>
      </c>
      <c r="C499" s="1" t="n">
        <v>45505</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55235-2022</t>
        </is>
      </c>
      <c r="B500" s="1" t="n">
        <v>44887</v>
      </c>
      <c r="C500" s="1" t="n">
        <v>45505</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55229-2022</t>
        </is>
      </c>
      <c r="B501" s="1" t="n">
        <v>44887</v>
      </c>
      <c r="C501" s="1" t="n">
        <v>45505</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55234-2022</t>
        </is>
      </c>
      <c r="B502" s="1" t="n">
        <v>44887</v>
      </c>
      <c r="C502" s="1" t="n">
        <v>45505</v>
      </c>
      <c r="D502" t="inlineStr">
        <is>
          <t>JÄMTLANDS LÄN</t>
        </is>
      </c>
      <c r="E502" t="inlineStr">
        <is>
          <t>ÅRE</t>
        </is>
      </c>
      <c r="G502" t="n">
        <v>1.6</v>
      </c>
      <c r="H502" t="n">
        <v>0</v>
      </c>
      <c r="I502" t="n">
        <v>0</v>
      </c>
      <c r="J502" t="n">
        <v>0</v>
      </c>
      <c r="K502" t="n">
        <v>0</v>
      </c>
      <c r="L502" t="n">
        <v>0</v>
      </c>
      <c r="M502" t="n">
        <v>0</v>
      </c>
      <c r="N502" t="n">
        <v>0</v>
      </c>
      <c r="O502" t="n">
        <v>0</v>
      </c>
      <c r="P502" t="n">
        <v>0</v>
      </c>
      <c r="Q502" t="n">
        <v>0</v>
      </c>
      <c r="R502" s="2" t="inlineStr"/>
    </row>
    <row r="503" ht="15" customHeight="1">
      <c r="A503" t="inlineStr">
        <is>
          <t>A 55233-2022</t>
        </is>
      </c>
      <c r="B503" s="1" t="n">
        <v>44887</v>
      </c>
      <c r="C503" s="1" t="n">
        <v>45505</v>
      </c>
      <c r="D503" t="inlineStr">
        <is>
          <t>JÄMTLANDS LÄN</t>
        </is>
      </c>
      <c r="E503" t="inlineStr">
        <is>
          <t>ÅRE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55237-2022</t>
        </is>
      </c>
      <c r="B504" s="1" t="n">
        <v>44887</v>
      </c>
      <c r="C504" s="1" t="n">
        <v>45505</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55232-2022</t>
        </is>
      </c>
      <c r="B505" s="1" t="n">
        <v>44887</v>
      </c>
      <c r="C505" s="1" t="n">
        <v>45505</v>
      </c>
      <c r="D505" t="inlineStr">
        <is>
          <t>JÄMTLANDS LÄN</t>
        </is>
      </c>
      <c r="E505" t="inlineStr">
        <is>
          <t>ÅRE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55236-2022</t>
        </is>
      </c>
      <c r="B506" s="1" t="n">
        <v>44887</v>
      </c>
      <c r="C506" s="1" t="n">
        <v>45505</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56182-2022</t>
        </is>
      </c>
      <c r="B507" s="1" t="n">
        <v>44889</v>
      </c>
      <c r="C507" s="1" t="n">
        <v>45505</v>
      </c>
      <c r="D507" t="inlineStr">
        <is>
          <t>JÄMTLANDS LÄN</t>
        </is>
      </c>
      <c r="E507" t="inlineStr">
        <is>
          <t>ÅRE</t>
        </is>
      </c>
      <c r="G507" t="n">
        <v>42.3</v>
      </c>
      <c r="H507" t="n">
        <v>0</v>
      </c>
      <c r="I507" t="n">
        <v>0</v>
      </c>
      <c r="J507" t="n">
        <v>0</v>
      </c>
      <c r="K507" t="n">
        <v>0</v>
      </c>
      <c r="L507" t="n">
        <v>0</v>
      </c>
      <c r="M507" t="n">
        <v>0</v>
      </c>
      <c r="N507" t="n">
        <v>0</v>
      </c>
      <c r="O507" t="n">
        <v>0</v>
      </c>
      <c r="P507" t="n">
        <v>0</v>
      </c>
      <c r="Q507" t="n">
        <v>0</v>
      </c>
      <c r="R507" s="2" t="inlineStr"/>
    </row>
    <row r="508" ht="15" customHeight="1">
      <c r="A508" t="inlineStr">
        <is>
          <t>A 55944-2022</t>
        </is>
      </c>
      <c r="B508" s="1" t="n">
        <v>44889</v>
      </c>
      <c r="C508" s="1" t="n">
        <v>45505</v>
      </c>
      <c r="D508" t="inlineStr">
        <is>
          <t>JÄMTLANDS LÄN</t>
        </is>
      </c>
      <c r="E508" t="inlineStr">
        <is>
          <t>ÅRE</t>
        </is>
      </c>
      <c r="G508" t="n">
        <v>11.1</v>
      </c>
      <c r="H508" t="n">
        <v>0</v>
      </c>
      <c r="I508" t="n">
        <v>0</v>
      </c>
      <c r="J508" t="n">
        <v>0</v>
      </c>
      <c r="K508" t="n">
        <v>0</v>
      </c>
      <c r="L508" t="n">
        <v>0</v>
      </c>
      <c r="M508" t="n">
        <v>0</v>
      </c>
      <c r="N508" t="n">
        <v>0</v>
      </c>
      <c r="O508" t="n">
        <v>0</v>
      </c>
      <c r="P508" t="n">
        <v>0</v>
      </c>
      <c r="Q508" t="n">
        <v>0</v>
      </c>
      <c r="R508" s="2" t="inlineStr"/>
    </row>
    <row r="509" ht="15" customHeight="1">
      <c r="A509" t="inlineStr">
        <is>
          <t>A 56254-2022</t>
        </is>
      </c>
      <c r="B509" s="1" t="n">
        <v>44890</v>
      </c>
      <c r="C509" s="1" t="n">
        <v>45505</v>
      </c>
      <c r="D509" t="inlineStr">
        <is>
          <t>JÄMTLANDS LÄN</t>
        </is>
      </c>
      <c r="E509" t="inlineStr">
        <is>
          <t>ÅRE</t>
        </is>
      </c>
      <c r="F509" t="inlineStr">
        <is>
          <t>Övriga Aktiebolag</t>
        </is>
      </c>
      <c r="G509" t="n">
        <v>7.7</v>
      </c>
      <c r="H509" t="n">
        <v>0</v>
      </c>
      <c r="I509" t="n">
        <v>0</v>
      </c>
      <c r="J509" t="n">
        <v>0</v>
      </c>
      <c r="K509" t="n">
        <v>0</v>
      </c>
      <c r="L509" t="n">
        <v>0</v>
      </c>
      <c r="M509" t="n">
        <v>0</v>
      </c>
      <c r="N509" t="n">
        <v>0</v>
      </c>
      <c r="O509" t="n">
        <v>0</v>
      </c>
      <c r="P509" t="n">
        <v>0</v>
      </c>
      <c r="Q509" t="n">
        <v>0</v>
      </c>
      <c r="R509" s="2" t="inlineStr"/>
    </row>
    <row r="510" ht="15" customHeight="1">
      <c r="A510" t="inlineStr">
        <is>
          <t>A 56659-2022</t>
        </is>
      </c>
      <c r="B510" s="1" t="n">
        <v>44893</v>
      </c>
      <c r="C510" s="1" t="n">
        <v>45505</v>
      </c>
      <c r="D510" t="inlineStr">
        <is>
          <t>JÄMTLANDS LÄN</t>
        </is>
      </c>
      <c r="E510" t="inlineStr">
        <is>
          <t>ÅRE</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56508-2022</t>
        </is>
      </c>
      <c r="B511" s="1" t="n">
        <v>44893</v>
      </c>
      <c r="C511" s="1" t="n">
        <v>45505</v>
      </c>
      <c r="D511" t="inlineStr">
        <is>
          <t>JÄMTLANDS LÄN</t>
        </is>
      </c>
      <c r="E511" t="inlineStr">
        <is>
          <t>ÅRE</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56576-2022</t>
        </is>
      </c>
      <c r="B512" s="1" t="n">
        <v>44893</v>
      </c>
      <c r="C512" s="1" t="n">
        <v>45505</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56556-2022</t>
        </is>
      </c>
      <c r="B513" s="1" t="n">
        <v>44893</v>
      </c>
      <c r="C513" s="1" t="n">
        <v>45505</v>
      </c>
      <c r="D513" t="inlineStr">
        <is>
          <t>JÄMTLANDS LÄN</t>
        </is>
      </c>
      <c r="E513" t="inlineStr">
        <is>
          <t>ÅRE</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56650-2022</t>
        </is>
      </c>
      <c r="B514" s="1" t="n">
        <v>44893</v>
      </c>
      <c r="C514" s="1" t="n">
        <v>45505</v>
      </c>
      <c r="D514" t="inlineStr">
        <is>
          <t>JÄMTLANDS LÄN</t>
        </is>
      </c>
      <c r="E514" t="inlineStr">
        <is>
          <t>ÅRE</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56581-2022</t>
        </is>
      </c>
      <c r="B515" s="1" t="n">
        <v>44893</v>
      </c>
      <c r="C515" s="1" t="n">
        <v>45505</v>
      </c>
      <c r="D515" t="inlineStr">
        <is>
          <t>JÄMTLANDS LÄN</t>
        </is>
      </c>
      <c r="E515" t="inlineStr">
        <is>
          <t>ÅRE</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56673-2022</t>
        </is>
      </c>
      <c r="B516" s="1" t="n">
        <v>44893</v>
      </c>
      <c r="C516" s="1" t="n">
        <v>45505</v>
      </c>
      <c r="D516" t="inlineStr">
        <is>
          <t>JÄMTLANDS LÄN</t>
        </is>
      </c>
      <c r="E516" t="inlineStr">
        <is>
          <t>ÅRE</t>
        </is>
      </c>
      <c r="F516" t="inlineStr">
        <is>
          <t>Övriga Aktiebolag</t>
        </is>
      </c>
      <c r="G516" t="n">
        <v>5.6</v>
      </c>
      <c r="H516" t="n">
        <v>0</v>
      </c>
      <c r="I516" t="n">
        <v>0</v>
      </c>
      <c r="J516" t="n">
        <v>0</v>
      </c>
      <c r="K516" t="n">
        <v>0</v>
      </c>
      <c r="L516" t="n">
        <v>0</v>
      </c>
      <c r="M516" t="n">
        <v>0</v>
      </c>
      <c r="N516" t="n">
        <v>0</v>
      </c>
      <c r="O516" t="n">
        <v>0</v>
      </c>
      <c r="P516" t="n">
        <v>0</v>
      </c>
      <c r="Q516" t="n">
        <v>0</v>
      </c>
      <c r="R516" s="2" t="inlineStr"/>
    </row>
    <row r="517" ht="15" customHeight="1">
      <c r="A517" t="inlineStr">
        <is>
          <t>A 58337-2022</t>
        </is>
      </c>
      <c r="B517" s="1" t="n">
        <v>44893</v>
      </c>
      <c r="C517" s="1" t="n">
        <v>45505</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56811-2022</t>
        </is>
      </c>
      <c r="B518" s="1" t="n">
        <v>44894</v>
      </c>
      <c r="C518" s="1" t="n">
        <v>45505</v>
      </c>
      <c r="D518" t="inlineStr">
        <is>
          <t>JÄMTLANDS LÄN</t>
        </is>
      </c>
      <c r="E518" t="inlineStr">
        <is>
          <t>ÅRE</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56910-2022</t>
        </is>
      </c>
      <c r="B519" s="1" t="n">
        <v>44894</v>
      </c>
      <c r="C519" s="1" t="n">
        <v>45505</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56828-2022</t>
        </is>
      </c>
      <c r="B520" s="1" t="n">
        <v>44894</v>
      </c>
      <c r="C520" s="1" t="n">
        <v>45505</v>
      </c>
      <c r="D520" t="inlineStr">
        <is>
          <t>JÄMTLANDS LÄN</t>
        </is>
      </c>
      <c r="E520" t="inlineStr">
        <is>
          <t>ÅRE</t>
        </is>
      </c>
      <c r="F520" t="inlineStr">
        <is>
          <t>Övriga Aktiebolag</t>
        </is>
      </c>
      <c r="G520" t="n">
        <v>9.9</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v>
      </c>
      <c r="C521" s="1" t="n">
        <v>45505</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56835-2022</t>
        </is>
      </c>
      <c r="B522" s="1" t="n">
        <v>44894</v>
      </c>
      <c r="C522" s="1" t="n">
        <v>45505</v>
      </c>
      <c r="D522" t="inlineStr">
        <is>
          <t>JÄMTLANDS LÄN</t>
        </is>
      </c>
      <c r="E522" t="inlineStr">
        <is>
          <t>ÅRE</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56837-2022</t>
        </is>
      </c>
      <c r="B523" s="1" t="n">
        <v>44894</v>
      </c>
      <c r="C523" s="1" t="n">
        <v>45505</v>
      </c>
      <c r="D523" t="inlineStr">
        <is>
          <t>JÄMTLANDS LÄN</t>
        </is>
      </c>
      <c r="E523" t="inlineStr">
        <is>
          <t>ÅRE</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57394-2022</t>
        </is>
      </c>
      <c r="B524" s="1" t="n">
        <v>44896</v>
      </c>
      <c r="C524" s="1" t="n">
        <v>45505</v>
      </c>
      <c r="D524" t="inlineStr">
        <is>
          <t>JÄMTLANDS LÄN</t>
        </is>
      </c>
      <c r="E524" t="inlineStr">
        <is>
          <t>ÅRE</t>
        </is>
      </c>
      <c r="G524" t="n">
        <v>5.8</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45505</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58882-2022</t>
        </is>
      </c>
      <c r="B526" s="1" t="n">
        <v>44896</v>
      </c>
      <c r="C526" s="1" t="n">
        <v>45505</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58513-2022</t>
        </is>
      </c>
      <c r="B527" s="1" t="n">
        <v>44902</v>
      </c>
      <c r="C527" s="1" t="n">
        <v>45505</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58516-2022</t>
        </is>
      </c>
      <c r="B528" s="1" t="n">
        <v>44902</v>
      </c>
      <c r="C528" s="1" t="n">
        <v>45505</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58758-2022</t>
        </is>
      </c>
      <c r="B529" s="1" t="n">
        <v>44903</v>
      </c>
      <c r="C529" s="1" t="n">
        <v>45505</v>
      </c>
      <c r="D529" t="inlineStr">
        <is>
          <t>JÄMTLANDS LÄN</t>
        </is>
      </c>
      <c r="E529" t="inlineStr">
        <is>
          <t>ÅRE</t>
        </is>
      </c>
      <c r="F529" t="inlineStr">
        <is>
          <t>Övriga Aktiebolag</t>
        </is>
      </c>
      <c r="G529" t="n">
        <v>42.9</v>
      </c>
      <c r="H529" t="n">
        <v>0</v>
      </c>
      <c r="I529" t="n">
        <v>0</v>
      </c>
      <c r="J529" t="n">
        <v>0</v>
      </c>
      <c r="K529" t="n">
        <v>0</v>
      </c>
      <c r="L529" t="n">
        <v>0</v>
      </c>
      <c r="M529" t="n">
        <v>0</v>
      </c>
      <c r="N529" t="n">
        <v>0</v>
      </c>
      <c r="O529" t="n">
        <v>0</v>
      </c>
      <c r="P529" t="n">
        <v>0</v>
      </c>
      <c r="Q529" t="n">
        <v>0</v>
      </c>
      <c r="R529" s="2" t="inlineStr"/>
    </row>
    <row r="530" ht="15" customHeight="1">
      <c r="A530" t="inlineStr">
        <is>
          <t>A 58856-2022</t>
        </is>
      </c>
      <c r="B530" s="1" t="n">
        <v>44903</v>
      </c>
      <c r="C530" s="1" t="n">
        <v>45505</v>
      </c>
      <c r="D530" t="inlineStr">
        <is>
          <t>JÄMTLANDS LÄN</t>
        </is>
      </c>
      <c r="E530" t="inlineStr">
        <is>
          <t>ÅRE</t>
        </is>
      </c>
      <c r="F530" t="inlineStr">
        <is>
          <t>Övriga Aktiebolag</t>
        </is>
      </c>
      <c r="G530" t="n">
        <v>10.2</v>
      </c>
      <c r="H530" t="n">
        <v>0</v>
      </c>
      <c r="I530" t="n">
        <v>0</v>
      </c>
      <c r="J530" t="n">
        <v>0</v>
      </c>
      <c r="K530" t="n">
        <v>0</v>
      </c>
      <c r="L530" t="n">
        <v>0</v>
      </c>
      <c r="M530" t="n">
        <v>0</v>
      </c>
      <c r="N530" t="n">
        <v>0</v>
      </c>
      <c r="O530" t="n">
        <v>0</v>
      </c>
      <c r="P530" t="n">
        <v>0</v>
      </c>
      <c r="Q530" t="n">
        <v>0</v>
      </c>
      <c r="R530" s="2" t="inlineStr"/>
    </row>
    <row r="531" ht="15" customHeight="1">
      <c r="A531" t="inlineStr">
        <is>
          <t>A 58917-2022</t>
        </is>
      </c>
      <c r="B531" s="1" t="n">
        <v>44903</v>
      </c>
      <c r="C531" s="1" t="n">
        <v>45505</v>
      </c>
      <c r="D531" t="inlineStr">
        <is>
          <t>JÄMTLANDS LÄN</t>
        </is>
      </c>
      <c r="E531" t="inlineStr">
        <is>
          <t>ÅRE</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58845-2022</t>
        </is>
      </c>
      <c r="B532" s="1" t="n">
        <v>44903</v>
      </c>
      <c r="C532" s="1" t="n">
        <v>45505</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59163-2022</t>
        </is>
      </c>
      <c r="B533" s="1" t="n">
        <v>44904</v>
      </c>
      <c r="C533" s="1" t="n">
        <v>45505</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60540-2022</t>
        </is>
      </c>
      <c r="B534" s="1" t="n">
        <v>44904</v>
      </c>
      <c r="C534" s="1" t="n">
        <v>45505</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59387-2022</t>
        </is>
      </c>
      <c r="B535" s="1" t="n">
        <v>44905</v>
      </c>
      <c r="C535" s="1" t="n">
        <v>45505</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60935-2022</t>
        </is>
      </c>
      <c r="B536" s="1" t="n">
        <v>44908</v>
      </c>
      <c r="C536" s="1" t="n">
        <v>45505</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60899-2022</t>
        </is>
      </c>
      <c r="B537" s="1" t="n">
        <v>44908</v>
      </c>
      <c r="C537" s="1" t="n">
        <v>45505</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60944-2022</t>
        </is>
      </c>
      <c r="B538" s="1" t="n">
        <v>44908</v>
      </c>
      <c r="C538" s="1" t="n">
        <v>45505</v>
      </c>
      <c r="D538" t="inlineStr">
        <is>
          <t>JÄMTLANDS LÄN</t>
        </is>
      </c>
      <c r="E538" t="inlineStr">
        <is>
          <t>ÅRE</t>
        </is>
      </c>
      <c r="G538" t="n">
        <v>6</v>
      </c>
      <c r="H538" t="n">
        <v>0</v>
      </c>
      <c r="I538" t="n">
        <v>0</v>
      </c>
      <c r="J538" t="n">
        <v>0</v>
      </c>
      <c r="K538" t="n">
        <v>0</v>
      </c>
      <c r="L538" t="n">
        <v>0</v>
      </c>
      <c r="M538" t="n">
        <v>0</v>
      </c>
      <c r="N538" t="n">
        <v>0</v>
      </c>
      <c r="O538" t="n">
        <v>0</v>
      </c>
      <c r="P538" t="n">
        <v>0</v>
      </c>
      <c r="Q538" t="n">
        <v>0</v>
      </c>
      <c r="R538" s="2" t="inlineStr"/>
    </row>
    <row r="539" ht="15" customHeight="1">
      <c r="A539" t="inlineStr">
        <is>
          <t>A 60921-2022</t>
        </is>
      </c>
      <c r="B539" s="1" t="n">
        <v>44908</v>
      </c>
      <c r="C539" s="1" t="n">
        <v>45505</v>
      </c>
      <c r="D539" t="inlineStr">
        <is>
          <t>JÄMTLANDS LÄN</t>
        </is>
      </c>
      <c r="E539" t="inlineStr">
        <is>
          <t>ÅRE</t>
        </is>
      </c>
      <c r="G539" t="n">
        <v>4.4</v>
      </c>
      <c r="H539" t="n">
        <v>0</v>
      </c>
      <c r="I539" t="n">
        <v>0</v>
      </c>
      <c r="J539" t="n">
        <v>0</v>
      </c>
      <c r="K539" t="n">
        <v>0</v>
      </c>
      <c r="L539" t="n">
        <v>0</v>
      </c>
      <c r="M539" t="n">
        <v>0</v>
      </c>
      <c r="N539" t="n">
        <v>0</v>
      </c>
      <c r="O539" t="n">
        <v>0</v>
      </c>
      <c r="P539" t="n">
        <v>0</v>
      </c>
      <c r="Q539" t="n">
        <v>0</v>
      </c>
      <c r="R539" s="2" t="inlineStr"/>
    </row>
    <row r="540" ht="15" customHeight="1">
      <c r="A540" t="inlineStr">
        <is>
          <t>A 60941-2022</t>
        </is>
      </c>
      <c r="B540" s="1" t="n">
        <v>44908</v>
      </c>
      <c r="C540" s="1" t="n">
        <v>45505</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61340-2022</t>
        </is>
      </c>
      <c r="B541" s="1" t="n">
        <v>44909</v>
      </c>
      <c r="C541" s="1" t="n">
        <v>45505</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61481-2022</t>
        </is>
      </c>
      <c r="B542" s="1" t="n">
        <v>44910</v>
      </c>
      <c r="C542" s="1" t="n">
        <v>45505</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60426-2022</t>
        </is>
      </c>
      <c r="B543" s="1" t="n">
        <v>44911</v>
      </c>
      <c r="C543" s="1" t="n">
        <v>45505</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60437-2022</t>
        </is>
      </c>
      <c r="B544" s="1" t="n">
        <v>44911</v>
      </c>
      <c r="C544" s="1" t="n">
        <v>45505</v>
      </c>
      <c r="D544" t="inlineStr">
        <is>
          <t>JÄMTLANDS LÄN</t>
        </is>
      </c>
      <c r="E544" t="inlineStr">
        <is>
          <t>ÅRE</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61789-2022</t>
        </is>
      </c>
      <c r="B545" s="1" t="n">
        <v>44917</v>
      </c>
      <c r="C545" s="1" t="n">
        <v>45505</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61784-2022</t>
        </is>
      </c>
      <c r="B546" s="1" t="n">
        <v>44917</v>
      </c>
      <c r="C546" s="1" t="n">
        <v>45505</v>
      </c>
      <c r="D546" t="inlineStr">
        <is>
          <t>JÄMTLANDS LÄN</t>
        </is>
      </c>
      <c r="E546" t="inlineStr">
        <is>
          <t>ÅRE</t>
        </is>
      </c>
      <c r="G546" t="n">
        <v>5.1</v>
      </c>
      <c r="H546" t="n">
        <v>0</v>
      </c>
      <c r="I546" t="n">
        <v>0</v>
      </c>
      <c r="J546" t="n">
        <v>0</v>
      </c>
      <c r="K546" t="n">
        <v>0</v>
      </c>
      <c r="L546" t="n">
        <v>0</v>
      </c>
      <c r="M546" t="n">
        <v>0</v>
      </c>
      <c r="N546" t="n">
        <v>0</v>
      </c>
      <c r="O546" t="n">
        <v>0</v>
      </c>
      <c r="P546" t="n">
        <v>0</v>
      </c>
      <c r="Q546" t="n">
        <v>0</v>
      </c>
      <c r="R546" s="2" t="inlineStr"/>
    </row>
    <row r="547" ht="15" customHeight="1">
      <c r="A547" t="inlineStr">
        <is>
          <t>A 61925-2022</t>
        </is>
      </c>
      <c r="B547" s="1" t="n">
        <v>44917</v>
      </c>
      <c r="C547" s="1" t="n">
        <v>45505</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61930-2022</t>
        </is>
      </c>
      <c r="B548" s="1" t="n">
        <v>44917</v>
      </c>
      <c r="C548" s="1" t="n">
        <v>45505</v>
      </c>
      <c r="D548" t="inlineStr">
        <is>
          <t>JÄMTLANDS LÄN</t>
        </is>
      </c>
      <c r="E548" t="inlineStr">
        <is>
          <t>ÅRE</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61924-2022</t>
        </is>
      </c>
      <c r="B549" s="1" t="n">
        <v>44917</v>
      </c>
      <c r="C549" s="1" t="n">
        <v>45505</v>
      </c>
      <c r="D549" t="inlineStr">
        <is>
          <t>JÄMTLANDS LÄN</t>
        </is>
      </c>
      <c r="E549" t="inlineStr">
        <is>
          <t>ÅRE</t>
        </is>
      </c>
      <c r="G549" t="n">
        <v>39.8</v>
      </c>
      <c r="H549" t="n">
        <v>0</v>
      </c>
      <c r="I549" t="n">
        <v>0</v>
      </c>
      <c r="J549" t="n">
        <v>0</v>
      </c>
      <c r="K549" t="n">
        <v>0</v>
      </c>
      <c r="L549" t="n">
        <v>0</v>
      </c>
      <c r="M549" t="n">
        <v>0</v>
      </c>
      <c r="N549" t="n">
        <v>0</v>
      </c>
      <c r="O549" t="n">
        <v>0</v>
      </c>
      <c r="P549" t="n">
        <v>0</v>
      </c>
      <c r="Q549" t="n">
        <v>0</v>
      </c>
      <c r="R549" s="2" t="inlineStr"/>
    </row>
    <row r="550" ht="15" customHeight="1">
      <c r="A550" t="inlineStr">
        <is>
          <t>A 61926-2022</t>
        </is>
      </c>
      <c r="B550" s="1" t="n">
        <v>44917</v>
      </c>
      <c r="C550" s="1" t="n">
        <v>45505</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61931-2022</t>
        </is>
      </c>
      <c r="B551" s="1" t="n">
        <v>44917</v>
      </c>
      <c r="C551" s="1" t="n">
        <v>45505</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62520-2022</t>
        </is>
      </c>
      <c r="B552" s="1" t="n">
        <v>44924</v>
      </c>
      <c r="C552" s="1" t="n">
        <v>45505</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62528-2022</t>
        </is>
      </c>
      <c r="B553" s="1" t="n">
        <v>44924</v>
      </c>
      <c r="C553" s="1" t="n">
        <v>45505</v>
      </c>
      <c r="D553" t="inlineStr">
        <is>
          <t>JÄMTLANDS LÄN</t>
        </is>
      </c>
      <c r="E553" t="inlineStr">
        <is>
          <t>ÅRE</t>
        </is>
      </c>
      <c r="G553" t="n">
        <v>5.3</v>
      </c>
      <c r="H553" t="n">
        <v>0</v>
      </c>
      <c r="I553" t="n">
        <v>0</v>
      </c>
      <c r="J553" t="n">
        <v>0</v>
      </c>
      <c r="K553" t="n">
        <v>0</v>
      </c>
      <c r="L553" t="n">
        <v>0</v>
      </c>
      <c r="M553" t="n">
        <v>0</v>
      </c>
      <c r="N553" t="n">
        <v>0</v>
      </c>
      <c r="O553" t="n">
        <v>0</v>
      </c>
      <c r="P553" t="n">
        <v>0</v>
      </c>
      <c r="Q553" t="n">
        <v>0</v>
      </c>
      <c r="R553" s="2" t="inlineStr"/>
    </row>
    <row r="554" ht="15" customHeight="1">
      <c r="A554" t="inlineStr">
        <is>
          <t>A 62582-2022</t>
        </is>
      </c>
      <c r="B554" s="1" t="n">
        <v>44924</v>
      </c>
      <c r="C554" s="1" t="n">
        <v>45505</v>
      </c>
      <c r="D554" t="inlineStr">
        <is>
          <t>JÄMTLANDS LÄN</t>
        </is>
      </c>
      <c r="E554" t="inlineStr">
        <is>
          <t>ÅRE</t>
        </is>
      </c>
      <c r="F554" t="inlineStr">
        <is>
          <t>Övriga Aktiebolag</t>
        </is>
      </c>
      <c r="G554" t="n">
        <v>6.9</v>
      </c>
      <c r="H554" t="n">
        <v>0</v>
      </c>
      <c r="I554" t="n">
        <v>0</v>
      </c>
      <c r="J554" t="n">
        <v>0</v>
      </c>
      <c r="K554" t="n">
        <v>0</v>
      </c>
      <c r="L554" t="n">
        <v>0</v>
      </c>
      <c r="M554" t="n">
        <v>0</v>
      </c>
      <c r="N554" t="n">
        <v>0</v>
      </c>
      <c r="O554" t="n">
        <v>0</v>
      </c>
      <c r="P554" t="n">
        <v>0</v>
      </c>
      <c r="Q554" t="n">
        <v>0</v>
      </c>
      <c r="R554" s="2" t="inlineStr"/>
    </row>
    <row r="555" ht="15" customHeight="1">
      <c r="A555" t="inlineStr">
        <is>
          <t>A 34-2023</t>
        </is>
      </c>
      <c r="B555" s="1" t="n">
        <v>44928</v>
      </c>
      <c r="C555" s="1" t="n">
        <v>45505</v>
      </c>
      <c r="D555" t="inlineStr">
        <is>
          <t>JÄMTLANDS LÄN</t>
        </is>
      </c>
      <c r="E555" t="inlineStr">
        <is>
          <t>ÅRE</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278-2023</t>
        </is>
      </c>
      <c r="B556" s="1" t="n">
        <v>44928</v>
      </c>
      <c r="C556" s="1" t="n">
        <v>45505</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556-2023</t>
        </is>
      </c>
      <c r="B557" s="1" t="n">
        <v>44930</v>
      </c>
      <c r="C557" s="1" t="n">
        <v>45505</v>
      </c>
      <c r="D557" t="inlineStr">
        <is>
          <t>JÄMTLANDS LÄN</t>
        </is>
      </c>
      <c r="E557" t="inlineStr">
        <is>
          <t>ÅRE</t>
        </is>
      </c>
      <c r="G557" t="n">
        <v>14.9</v>
      </c>
      <c r="H557" t="n">
        <v>0</v>
      </c>
      <c r="I557" t="n">
        <v>0</v>
      </c>
      <c r="J557" t="n">
        <v>0</v>
      </c>
      <c r="K557" t="n">
        <v>0</v>
      </c>
      <c r="L557" t="n">
        <v>0</v>
      </c>
      <c r="M557" t="n">
        <v>0</v>
      </c>
      <c r="N557" t="n">
        <v>0</v>
      </c>
      <c r="O557" t="n">
        <v>0</v>
      </c>
      <c r="P557" t="n">
        <v>0</v>
      </c>
      <c r="Q557" t="n">
        <v>0</v>
      </c>
      <c r="R557" s="2" t="inlineStr"/>
    </row>
    <row r="558" ht="15" customHeight="1">
      <c r="A558" t="inlineStr">
        <is>
          <t>A 772-2023</t>
        </is>
      </c>
      <c r="B558" s="1" t="n">
        <v>44931</v>
      </c>
      <c r="C558" s="1" t="n">
        <v>45505</v>
      </c>
      <c r="D558" t="inlineStr">
        <is>
          <t>JÄMTLANDS LÄN</t>
        </is>
      </c>
      <c r="E558" t="inlineStr">
        <is>
          <t>ÅRE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844-2023</t>
        </is>
      </c>
      <c r="B559" s="1" t="n">
        <v>44931</v>
      </c>
      <c r="C559" s="1" t="n">
        <v>45505</v>
      </c>
      <c r="D559" t="inlineStr">
        <is>
          <t>JÄMTLANDS LÄN</t>
        </is>
      </c>
      <c r="E559" t="inlineStr">
        <is>
          <t>ÅRE</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848-2023</t>
        </is>
      </c>
      <c r="B560" s="1" t="n">
        <v>44931</v>
      </c>
      <c r="C560" s="1" t="n">
        <v>45505</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796-2023</t>
        </is>
      </c>
      <c r="B561" s="1" t="n">
        <v>44931</v>
      </c>
      <c r="C561" s="1" t="n">
        <v>45505</v>
      </c>
      <c r="D561" t="inlineStr">
        <is>
          <t>JÄMTLANDS LÄN</t>
        </is>
      </c>
      <c r="E561" t="inlineStr">
        <is>
          <t>ÅRE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837-2023</t>
        </is>
      </c>
      <c r="B562" s="1" t="n">
        <v>44931</v>
      </c>
      <c r="C562" s="1" t="n">
        <v>45505</v>
      </c>
      <c r="D562" t="inlineStr">
        <is>
          <t>JÄMTLANDS LÄN</t>
        </is>
      </c>
      <c r="E562" t="inlineStr">
        <is>
          <t>ÅRE</t>
        </is>
      </c>
      <c r="F562" t="inlineStr">
        <is>
          <t>Övriga Aktiebolag</t>
        </is>
      </c>
      <c r="G562" t="n">
        <v>5.2</v>
      </c>
      <c r="H562" t="n">
        <v>0</v>
      </c>
      <c r="I562" t="n">
        <v>0</v>
      </c>
      <c r="J562" t="n">
        <v>0</v>
      </c>
      <c r="K562" t="n">
        <v>0</v>
      </c>
      <c r="L562" t="n">
        <v>0</v>
      </c>
      <c r="M562" t="n">
        <v>0</v>
      </c>
      <c r="N562" t="n">
        <v>0</v>
      </c>
      <c r="O562" t="n">
        <v>0</v>
      </c>
      <c r="P562" t="n">
        <v>0</v>
      </c>
      <c r="Q562" t="n">
        <v>0</v>
      </c>
      <c r="R562" s="2" t="inlineStr"/>
    </row>
    <row r="563" ht="15" customHeight="1">
      <c r="A563" t="inlineStr">
        <is>
          <t>A 1159-2023</t>
        </is>
      </c>
      <c r="B563" s="1" t="n">
        <v>44935</v>
      </c>
      <c r="C563" s="1" t="n">
        <v>45505</v>
      </c>
      <c r="D563" t="inlineStr">
        <is>
          <t>JÄMTLANDS LÄN</t>
        </is>
      </c>
      <c r="E563" t="inlineStr">
        <is>
          <t>ÅRE</t>
        </is>
      </c>
      <c r="G563" t="n">
        <v>6.4</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45505</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1806-2023</t>
        </is>
      </c>
      <c r="B565" s="1" t="n">
        <v>44938</v>
      </c>
      <c r="C565" s="1" t="n">
        <v>45505</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2374-2023</t>
        </is>
      </c>
      <c r="B566" s="1" t="n">
        <v>44942</v>
      </c>
      <c r="C566" s="1" t="n">
        <v>45505</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45505</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v>
      </c>
      <c r="C568" s="1" t="n">
        <v>45505</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3066-2023</t>
        </is>
      </c>
      <c r="B569" s="1" t="n">
        <v>44946</v>
      </c>
      <c r="C569" s="1" t="n">
        <v>45505</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3147-2023</t>
        </is>
      </c>
      <c r="B570" s="1" t="n">
        <v>44946</v>
      </c>
      <c r="C570" s="1" t="n">
        <v>45505</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3154-2023</t>
        </is>
      </c>
      <c r="B571" s="1" t="n">
        <v>44946</v>
      </c>
      <c r="C571" s="1" t="n">
        <v>45505</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45505</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3204-2023</t>
        </is>
      </c>
      <c r="B573" s="1" t="n">
        <v>44946</v>
      </c>
      <c r="C573" s="1" t="n">
        <v>45505</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44949</v>
      </c>
      <c r="C574" s="1" t="n">
        <v>45505</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5651-2023</t>
        </is>
      </c>
      <c r="B575" s="1" t="n">
        <v>44958</v>
      </c>
      <c r="C575" s="1" t="n">
        <v>45505</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5654-2023</t>
        </is>
      </c>
      <c r="B576" s="1" t="n">
        <v>44958</v>
      </c>
      <c r="C576" s="1" t="n">
        <v>45505</v>
      </c>
      <c r="D576" t="inlineStr">
        <is>
          <t>JÄMTLANDS LÄN</t>
        </is>
      </c>
      <c r="E576" t="inlineStr">
        <is>
          <t>ÅRE</t>
        </is>
      </c>
      <c r="G576" t="n">
        <v>14.4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45505</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45505</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7970-2023</t>
        </is>
      </c>
      <c r="B579" s="1" t="n">
        <v>44970</v>
      </c>
      <c r="C579" s="1" t="n">
        <v>45505</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7977-2023</t>
        </is>
      </c>
      <c r="B580" s="1" t="n">
        <v>44970</v>
      </c>
      <c r="C580" s="1" t="n">
        <v>45505</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45505</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8630-2023</t>
        </is>
      </c>
      <c r="B582" s="1" t="n">
        <v>44977</v>
      </c>
      <c r="C582" s="1" t="n">
        <v>45505</v>
      </c>
      <c r="D582" t="inlineStr">
        <is>
          <t>JÄMTLANDS LÄN</t>
        </is>
      </c>
      <c r="E582" t="inlineStr">
        <is>
          <t>ÅRE</t>
        </is>
      </c>
      <c r="G582" t="n">
        <v>2.9</v>
      </c>
      <c r="H582" t="n">
        <v>0</v>
      </c>
      <c r="I582" t="n">
        <v>0</v>
      </c>
      <c r="J582" t="n">
        <v>0</v>
      </c>
      <c r="K582" t="n">
        <v>0</v>
      </c>
      <c r="L582" t="n">
        <v>0</v>
      </c>
      <c r="M582" t="n">
        <v>0</v>
      </c>
      <c r="N582" t="n">
        <v>0</v>
      </c>
      <c r="O582" t="n">
        <v>0</v>
      </c>
      <c r="P582" t="n">
        <v>0</v>
      </c>
      <c r="Q582" t="n">
        <v>0</v>
      </c>
      <c r="R582" s="2" t="inlineStr"/>
    </row>
    <row r="583" ht="15" customHeight="1">
      <c r="A583" t="inlineStr">
        <is>
          <t>A 10248-2023</t>
        </is>
      </c>
      <c r="B583" s="1" t="n">
        <v>44980</v>
      </c>
      <c r="C583" s="1" t="n">
        <v>45505</v>
      </c>
      <c r="D583" t="inlineStr">
        <is>
          <t>JÄMTLANDS LÄN</t>
        </is>
      </c>
      <c r="E583" t="inlineStr">
        <is>
          <t>ÅRE</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9775-2023</t>
        </is>
      </c>
      <c r="B584" s="1" t="n">
        <v>44984</v>
      </c>
      <c r="C584" s="1" t="n">
        <v>45505</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11813-2023</t>
        </is>
      </c>
      <c r="B585" s="1" t="n">
        <v>44994</v>
      </c>
      <c r="C585" s="1" t="n">
        <v>45505</v>
      </c>
      <c r="D585" t="inlineStr">
        <is>
          <t>JÄMTLANDS LÄN</t>
        </is>
      </c>
      <c r="E585" t="inlineStr">
        <is>
          <t>ÅRE</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12224-2023</t>
        </is>
      </c>
      <c r="B586" s="1" t="n">
        <v>44998</v>
      </c>
      <c r="C586" s="1" t="n">
        <v>45505</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12286-2023</t>
        </is>
      </c>
      <c r="B587" s="1" t="n">
        <v>44998</v>
      </c>
      <c r="C587" s="1" t="n">
        <v>45505</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12290-2023</t>
        </is>
      </c>
      <c r="B588" s="1" t="n">
        <v>44998</v>
      </c>
      <c r="C588" s="1" t="n">
        <v>45505</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12168-2023</t>
        </is>
      </c>
      <c r="B589" s="1" t="n">
        <v>44998</v>
      </c>
      <c r="C589" s="1" t="n">
        <v>45505</v>
      </c>
      <c r="D589" t="inlineStr">
        <is>
          <t>JÄMTLANDS LÄN</t>
        </is>
      </c>
      <c r="E589" t="inlineStr">
        <is>
          <t>ÅRE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12173-2023</t>
        </is>
      </c>
      <c r="B590" s="1" t="n">
        <v>44998</v>
      </c>
      <c r="C590" s="1" t="n">
        <v>45505</v>
      </c>
      <c r="D590" t="inlineStr">
        <is>
          <t>JÄMTLANDS LÄN</t>
        </is>
      </c>
      <c r="E590" t="inlineStr">
        <is>
          <t>ÅRE</t>
        </is>
      </c>
      <c r="G590" t="n">
        <v>2.5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45505</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12216-2023</t>
        </is>
      </c>
      <c r="B592" s="1" t="n">
        <v>44998</v>
      </c>
      <c r="C592" s="1" t="n">
        <v>45505</v>
      </c>
      <c r="D592" t="inlineStr">
        <is>
          <t>JÄMTLANDS LÄN</t>
        </is>
      </c>
      <c r="E592" t="inlineStr">
        <is>
          <t>ÅRE</t>
        </is>
      </c>
      <c r="G592" t="n">
        <v>11.8</v>
      </c>
      <c r="H592" t="n">
        <v>0</v>
      </c>
      <c r="I592" t="n">
        <v>0</v>
      </c>
      <c r="J592" t="n">
        <v>0</v>
      </c>
      <c r="K592" t="n">
        <v>0</v>
      </c>
      <c r="L592" t="n">
        <v>0</v>
      </c>
      <c r="M592" t="n">
        <v>0</v>
      </c>
      <c r="N592" t="n">
        <v>0</v>
      </c>
      <c r="O592" t="n">
        <v>0</v>
      </c>
      <c r="P592" t="n">
        <v>0</v>
      </c>
      <c r="Q592" t="n">
        <v>0</v>
      </c>
      <c r="R592" s="2" t="inlineStr"/>
    </row>
    <row r="593" ht="15" customHeight="1">
      <c r="A593" t="inlineStr">
        <is>
          <t>A 12227-2023</t>
        </is>
      </c>
      <c r="B593" s="1" t="n">
        <v>44998</v>
      </c>
      <c r="C593" s="1" t="n">
        <v>45505</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12288-2023</t>
        </is>
      </c>
      <c r="B594" s="1" t="n">
        <v>44998</v>
      </c>
      <c r="C594" s="1" t="n">
        <v>45505</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12292-2023</t>
        </is>
      </c>
      <c r="B595" s="1" t="n">
        <v>44998</v>
      </c>
      <c r="C595" s="1" t="n">
        <v>45505</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12193-2023</t>
        </is>
      </c>
      <c r="B596" s="1" t="n">
        <v>44998</v>
      </c>
      <c r="C596" s="1" t="n">
        <v>45505</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12287-2023</t>
        </is>
      </c>
      <c r="B597" s="1" t="n">
        <v>44998</v>
      </c>
      <c r="C597" s="1" t="n">
        <v>45505</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v>
      </c>
      <c r="C598" s="1" t="n">
        <v>45505</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12179-2023</t>
        </is>
      </c>
      <c r="B599" s="1" t="n">
        <v>44998</v>
      </c>
      <c r="C599" s="1" t="n">
        <v>45505</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12294-2023</t>
        </is>
      </c>
      <c r="B600" s="1" t="n">
        <v>44998</v>
      </c>
      <c r="C600" s="1" t="n">
        <v>45505</v>
      </c>
      <c r="D600" t="inlineStr">
        <is>
          <t>JÄMTLANDS LÄN</t>
        </is>
      </c>
      <c r="E600" t="inlineStr">
        <is>
          <t>ÅRE</t>
        </is>
      </c>
      <c r="G600" t="n">
        <v>1.4</v>
      </c>
      <c r="H600" t="n">
        <v>0</v>
      </c>
      <c r="I600" t="n">
        <v>0</v>
      </c>
      <c r="J600" t="n">
        <v>0</v>
      </c>
      <c r="K600" t="n">
        <v>0</v>
      </c>
      <c r="L600" t="n">
        <v>0</v>
      </c>
      <c r="M600" t="n">
        <v>0</v>
      </c>
      <c r="N600" t="n">
        <v>0</v>
      </c>
      <c r="O600" t="n">
        <v>0</v>
      </c>
      <c r="P600" t="n">
        <v>0</v>
      </c>
      <c r="Q600" t="n">
        <v>0</v>
      </c>
      <c r="R600" s="2" t="inlineStr"/>
    </row>
    <row r="601" ht="15" customHeight="1">
      <c r="A601" t="inlineStr">
        <is>
          <t>A 12663-2023</t>
        </is>
      </c>
      <c r="B601" s="1" t="n">
        <v>45000</v>
      </c>
      <c r="C601" s="1" t="n">
        <v>45505</v>
      </c>
      <c r="D601" t="inlineStr">
        <is>
          <t>JÄMTLANDS LÄN</t>
        </is>
      </c>
      <c r="E601" t="inlineStr">
        <is>
          <t>ÅRE</t>
        </is>
      </c>
      <c r="F601" t="inlineStr">
        <is>
          <t>Övriga Aktiebolag</t>
        </is>
      </c>
      <c r="G601" t="n">
        <v>5.8</v>
      </c>
      <c r="H601" t="n">
        <v>0</v>
      </c>
      <c r="I601" t="n">
        <v>0</v>
      </c>
      <c r="J601" t="n">
        <v>0</v>
      </c>
      <c r="K601" t="n">
        <v>0</v>
      </c>
      <c r="L601" t="n">
        <v>0</v>
      </c>
      <c r="M601" t="n">
        <v>0</v>
      </c>
      <c r="N601" t="n">
        <v>0</v>
      </c>
      <c r="O601" t="n">
        <v>0</v>
      </c>
      <c r="P601" t="n">
        <v>0</v>
      </c>
      <c r="Q601" t="n">
        <v>0</v>
      </c>
      <c r="R601" s="2" t="inlineStr"/>
    </row>
    <row r="602" ht="15" customHeight="1">
      <c r="A602" t="inlineStr">
        <is>
          <t>A 12669-2023</t>
        </is>
      </c>
      <c r="B602" s="1" t="n">
        <v>45000</v>
      </c>
      <c r="C602" s="1" t="n">
        <v>45505</v>
      </c>
      <c r="D602" t="inlineStr">
        <is>
          <t>JÄMTLANDS LÄN</t>
        </is>
      </c>
      <c r="E602" t="inlineStr">
        <is>
          <t>ÅRE</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12816-2023</t>
        </is>
      </c>
      <c r="B603" s="1" t="n">
        <v>45000</v>
      </c>
      <c r="C603" s="1" t="n">
        <v>45505</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13648-2023</t>
        </is>
      </c>
      <c r="B604" s="1" t="n">
        <v>45006</v>
      </c>
      <c r="C604" s="1" t="n">
        <v>45505</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13631-2023</t>
        </is>
      </c>
      <c r="B605" s="1" t="n">
        <v>45006</v>
      </c>
      <c r="C605" s="1" t="n">
        <v>45505</v>
      </c>
      <c r="D605" t="inlineStr">
        <is>
          <t>JÄMTLANDS LÄN</t>
        </is>
      </c>
      <c r="E605" t="inlineStr">
        <is>
          <t>ÅRE</t>
        </is>
      </c>
      <c r="G605" t="n">
        <v>2</v>
      </c>
      <c r="H605" t="n">
        <v>0</v>
      </c>
      <c r="I605" t="n">
        <v>0</v>
      </c>
      <c r="J605" t="n">
        <v>0</v>
      </c>
      <c r="K605" t="n">
        <v>0</v>
      </c>
      <c r="L605" t="n">
        <v>0</v>
      </c>
      <c r="M605" t="n">
        <v>0</v>
      </c>
      <c r="N605" t="n">
        <v>0</v>
      </c>
      <c r="O605" t="n">
        <v>0</v>
      </c>
      <c r="P605" t="n">
        <v>0</v>
      </c>
      <c r="Q605" t="n">
        <v>0</v>
      </c>
      <c r="R605" s="2" t="inlineStr"/>
    </row>
    <row r="606" ht="15" customHeight="1">
      <c r="A606" t="inlineStr">
        <is>
          <t>A 13645-2023</t>
        </is>
      </c>
      <c r="B606" s="1" t="n">
        <v>45006</v>
      </c>
      <c r="C606" s="1" t="n">
        <v>45505</v>
      </c>
      <c r="D606" t="inlineStr">
        <is>
          <t>JÄMTLANDS LÄN</t>
        </is>
      </c>
      <c r="E606" t="inlineStr">
        <is>
          <t>ÅRE</t>
        </is>
      </c>
      <c r="G606" t="n">
        <v>5</v>
      </c>
      <c r="H606" t="n">
        <v>0</v>
      </c>
      <c r="I606" t="n">
        <v>0</v>
      </c>
      <c r="J606" t="n">
        <v>0</v>
      </c>
      <c r="K606" t="n">
        <v>0</v>
      </c>
      <c r="L606" t="n">
        <v>0</v>
      </c>
      <c r="M606" t="n">
        <v>0</v>
      </c>
      <c r="N606" t="n">
        <v>0</v>
      </c>
      <c r="O606" t="n">
        <v>0</v>
      </c>
      <c r="P606" t="n">
        <v>0</v>
      </c>
      <c r="Q606" t="n">
        <v>0</v>
      </c>
      <c r="R606" s="2" t="inlineStr"/>
    </row>
    <row r="607" ht="15" customHeight="1">
      <c r="A607" t="inlineStr">
        <is>
          <t>A 15884-2023</t>
        </is>
      </c>
      <c r="B607" s="1" t="n">
        <v>45022</v>
      </c>
      <c r="C607" s="1" t="n">
        <v>45505</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15892-2023</t>
        </is>
      </c>
      <c r="B608" s="1" t="n">
        <v>45022</v>
      </c>
      <c r="C608" s="1" t="n">
        <v>45505</v>
      </c>
      <c r="D608" t="inlineStr">
        <is>
          <t>JÄMTLANDS LÄN</t>
        </is>
      </c>
      <c r="E608" t="inlineStr">
        <is>
          <t>ÅRE</t>
        </is>
      </c>
      <c r="G608" t="n">
        <v>16.1</v>
      </c>
      <c r="H608" t="n">
        <v>0</v>
      </c>
      <c r="I608" t="n">
        <v>0</v>
      </c>
      <c r="J608" t="n">
        <v>0</v>
      </c>
      <c r="K608" t="n">
        <v>0</v>
      </c>
      <c r="L608" t="n">
        <v>0</v>
      </c>
      <c r="M608" t="n">
        <v>0</v>
      </c>
      <c r="N608" t="n">
        <v>0</v>
      </c>
      <c r="O608" t="n">
        <v>0</v>
      </c>
      <c r="P608" t="n">
        <v>0</v>
      </c>
      <c r="Q608" t="n">
        <v>0</v>
      </c>
      <c r="R608" s="2" t="inlineStr"/>
    </row>
    <row r="609" ht="15" customHeight="1">
      <c r="A609" t="inlineStr">
        <is>
          <t>A 17566-2023</t>
        </is>
      </c>
      <c r="B609" s="1" t="n">
        <v>45034</v>
      </c>
      <c r="C609" s="1" t="n">
        <v>45505</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17636-2023</t>
        </is>
      </c>
      <c r="B610" s="1" t="n">
        <v>45036</v>
      </c>
      <c r="C610" s="1" t="n">
        <v>45505</v>
      </c>
      <c r="D610" t="inlineStr">
        <is>
          <t>JÄMTLANDS LÄN</t>
        </is>
      </c>
      <c r="E610" t="inlineStr">
        <is>
          <t>ÅRE</t>
        </is>
      </c>
      <c r="G610" t="n">
        <v>2.5</v>
      </c>
      <c r="H610" t="n">
        <v>0</v>
      </c>
      <c r="I610" t="n">
        <v>0</v>
      </c>
      <c r="J610" t="n">
        <v>0</v>
      </c>
      <c r="K610" t="n">
        <v>0</v>
      </c>
      <c r="L610" t="n">
        <v>0</v>
      </c>
      <c r="M610" t="n">
        <v>0</v>
      </c>
      <c r="N610" t="n">
        <v>0</v>
      </c>
      <c r="O610" t="n">
        <v>0</v>
      </c>
      <c r="P610" t="n">
        <v>0</v>
      </c>
      <c r="Q610" t="n">
        <v>0</v>
      </c>
      <c r="R610" s="2" t="inlineStr"/>
    </row>
    <row r="611" ht="15" customHeight="1">
      <c r="A611" t="inlineStr">
        <is>
          <t>A 17703-2023</t>
        </is>
      </c>
      <c r="B611" s="1" t="n">
        <v>45037</v>
      </c>
      <c r="C611" s="1" t="n">
        <v>45505</v>
      </c>
      <c r="D611" t="inlineStr">
        <is>
          <t>JÄMTLANDS LÄN</t>
        </is>
      </c>
      <c r="E611" t="inlineStr">
        <is>
          <t>ÅRE</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17847-2023</t>
        </is>
      </c>
      <c r="B612" s="1" t="n">
        <v>45037</v>
      </c>
      <c r="C612" s="1" t="n">
        <v>45505</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18204-2023</t>
        </is>
      </c>
      <c r="B613" s="1" t="n">
        <v>45040</v>
      </c>
      <c r="C613" s="1" t="n">
        <v>45505</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18253-2023</t>
        </is>
      </c>
      <c r="B614" s="1" t="n">
        <v>45041</v>
      </c>
      <c r="C614" s="1" t="n">
        <v>45505</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18264-2023</t>
        </is>
      </c>
      <c r="B615" s="1" t="n">
        <v>45041</v>
      </c>
      <c r="C615" s="1" t="n">
        <v>45505</v>
      </c>
      <c r="D615" t="inlineStr">
        <is>
          <t>JÄMTLANDS LÄN</t>
        </is>
      </c>
      <c r="E615" t="inlineStr">
        <is>
          <t>ÅRE</t>
        </is>
      </c>
      <c r="G615" t="n">
        <v>0.2</v>
      </c>
      <c r="H615" t="n">
        <v>0</v>
      </c>
      <c r="I615" t="n">
        <v>0</v>
      </c>
      <c r="J615" t="n">
        <v>0</v>
      </c>
      <c r="K615" t="n">
        <v>0</v>
      </c>
      <c r="L615" t="n">
        <v>0</v>
      </c>
      <c r="M615" t="n">
        <v>0</v>
      </c>
      <c r="N615" t="n">
        <v>0</v>
      </c>
      <c r="O615" t="n">
        <v>0</v>
      </c>
      <c r="P615" t="n">
        <v>0</v>
      </c>
      <c r="Q615" t="n">
        <v>0</v>
      </c>
      <c r="R615" s="2" t="inlineStr"/>
    </row>
    <row r="616" ht="15" customHeight="1">
      <c r="A616" t="inlineStr">
        <is>
          <t>A 19694-2023</t>
        </is>
      </c>
      <c r="B616" s="1" t="n">
        <v>45051</v>
      </c>
      <c r="C616" s="1" t="n">
        <v>45505</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19698-2023</t>
        </is>
      </c>
      <c r="B617" s="1" t="n">
        <v>45051</v>
      </c>
      <c r="C617" s="1" t="n">
        <v>45505</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45505</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19877-2023</t>
        </is>
      </c>
      <c r="B619" s="1" t="n">
        <v>45054</v>
      </c>
      <c r="C619" s="1" t="n">
        <v>45505</v>
      </c>
      <c r="D619" t="inlineStr">
        <is>
          <t>JÄMTLANDS LÄN</t>
        </is>
      </c>
      <c r="E619" t="inlineStr">
        <is>
          <t>ÅRE</t>
        </is>
      </c>
      <c r="G619" t="n">
        <v>6.1</v>
      </c>
      <c r="H619" t="n">
        <v>0</v>
      </c>
      <c r="I619" t="n">
        <v>0</v>
      </c>
      <c r="J619" t="n">
        <v>0</v>
      </c>
      <c r="K619" t="n">
        <v>0</v>
      </c>
      <c r="L619" t="n">
        <v>0</v>
      </c>
      <c r="M619" t="n">
        <v>0</v>
      </c>
      <c r="N619" t="n">
        <v>0</v>
      </c>
      <c r="O619" t="n">
        <v>0</v>
      </c>
      <c r="P619" t="n">
        <v>0</v>
      </c>
      <c r="Q619" t="n">
        <v>0</v>
      </c>
      <c r="R619" s="2" t="inlineStr"/>
    </row>
    <row r="620" ht="15" customHeight="1">
      <c r="A620" t="inlineStr">
        <is>
          <t>A 20278-2023</t>
        </is>
      </c>
      <c r="B620" s="1" t="n">
        <v>45056</v>
      </c>
      <c r="C620" s="1" t="n">
        <v>45505</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23805-2023</t>
        </is>
      </c>
      <c r="B621" s="1" t="n">
        <v>45075</v>
      </c>
      <c r="C621" s="1" t="n">
        <v>45505</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24655-2023</t>
        </is>
      </c>
      <c r="B622" s="1" t="n">
        <v>45084</v>
      </c>
      <c r="C622" s="1" t="n">
        <v>45505</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25040-2023</t>
        </is>
      </c>
      <c r="B623" s="1" t="n">
        <v>45086</v>
      </c>
      <c r="C623" s="1" t="n">
        <v>45505</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45505</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25302-2023</t>
        </is>
      </c>
      <c r="B625" s="1" t="n">
        <v>45086</v>
      </c>
      <c r="C625" s="1" t="n">
        <v>45505</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25303-2023</t>
        </is>
      </c>
      <c r="B626" s="1" t="n">
        <v>45086</v>
      </c>
      <c r="C626" s="1" t="n">
        <v>45505</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26032-2023</t>
        </is>
      </c>
      <c r="B627" s="1" t="n">
        <v>45091</v>
      </c>
      <c r="C627" s="1" t="n">
        <v>45505</v>
      </c>
      <c r="D627" t="inlineStr">
        <is>
          <t>JÄMTLANDS LÄN</t>
        </is>
      </c>
      <c r="E627" t="inlineStr">
        <is>
          <t>ÅRE</t>
        </is>
      </c>
      <c r="G627" t="n">
        <v>0.5</v>
      </c>
      <c r="H627" t="n">
        <v>0</v>
      </c>
      <c r="I627" t="n">
        <v>0</v>
      </c>
      <c r="J627" t="n">
        <v>0</v>
      </c>
      <c r="K627" t="n">
        <v>0</v>
      </c>
      <c r="L627" t="n">
        <v>0</v>
      </c>
      <c r="M627" t="n">
        <v>0</v>
      </c>
      <c r="N627" t="n">
        <v>0</v>
      </c>
      <c r="O627" t="n">
        <v>0</v>
      </c>
      <c r="P627" t="n">
        <v>0</v>
      </c>
      <c r="Q627" t="n">
        <v>0</v>
      </c>
      <c r="R627" s="2" t="inlineStr"/>
    </row>
    <row r="628" ht="15" customHeight="1">
      <c r="A628" t="inlineStr">
        <is>
          <t>A 26033-2023</t>
        </is>
      </c>
      <c r="B628" s="1" t="n">
        <v>45091</v>
      </c>
      <c r="C628" s="1" t="n">
        <v>45505</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26960-2023</t>
        </is>
      </c>
      <c r="B629" s="1" t="n">
        <v>45091</v>
      </c>
      <c r="C629" s="1" t="n">
        <v>45505</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29293-2023</t>
        </is>
      </c>
      <c r="B630" s="1" t="n">
        <v>45098</v>
      </c>
      <c r="C630" s="1" t="n">
        <v>45505</v>
      </c>
      <c r="D630" t="inlineStr">
        <is>
          <t>JÄMTLANDS LÄN</t>
        </is>
      </c>
      <c r="E630" t="inlineStr">
        <is>
          <t>ÅRE</t>
        </is>
      </c>
      <c r="G630" t="n">
        <v>1</v>
      </c>
      <c r="H630" t="n">
        <v>0</v>
      </c>
      <c r="I630" t="n">
        <v>0</v>
      </c>
      <c r="J630" t="n">
        <v>0</v>
      </c>
      <c r="K630" t="n">
        <v>0</v>
      </c>
      <c r="L630" t="n">
        <v>0</v>
      </c>
      <c r="M630" t="n">
        <v>0</v>
      </c>
      <c r="N630" t="n">
        <v>0</v>
      </c>
      <c r="O630" t="n">
        <v>0</v>
      </c>
      <c r="P630" t="n">
        <v>0</v>
      </c>
      <c r="Q630" t="n">
        <v>0</v>
      </c>
      <c r="R630" s="2" t="inlineStr"/>
    </row>
    <row r="631" ht="15" customHeight="1">
      <c r="A631" t="inlineStr">
        <is>
          <t>A 29295-2023</t>
        </is>
      </c>
      <c r="B631" s="1" t="n">
        <v>45098</v>
      </c>
      <c r="C631" s="1" t="n">
        <v>45505</v>
      </c>
      <c r="D631" t="inlineStr">
        <is>
          <t>JÄMTLANDS LÄN</t>
        </is>
      </c>
      <c r="E631" t="inlineStr">
        <is>
          <t>ÅRE</t>
        </is>
      </c>
      <c r="G631" t="n">
        <v>3.9</v>
      </c>
      <c r="H631" t="n">
        <v>0</v>
      </c>
      <c r="I631" t="n">
        <v>0</v>
      </c>
      <c r="J631" t="n">
        <v>0</v>
      </c>
      <c r="K631" t="n">
        <v>0</v>
      </c>
      <c r="L631" t="n">
        <v>0</v>
      </c>
      <c r="M631" t="n">
        <v>0</v>
      </c>
      <c r="N631" t="n">
        <v>0</v>
      </c>
      <c r="O631" t="n">
        <v>0</v>
      </c>
      <c r="P631" t="n">
        <v>0</v>
      </c>
      <c r="Q631" t="n">
        <v>0</v>
      </c>
      <c r="R631" s="2" t="inlineStr"/>
    </row>
    <row r="632" ht="15" customHeight="1">
      <c r="A632" t="inlineStr">
        <is>
          <t>A 29469-2023</t>
        </is>
      </c>
      <c r="B632" s="1" t="n">
        <v>45098</v>
      </c>
      <c r="C632" s="1" t="n">
        <v>45505</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45505</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29531-2023</t>
        </is>
      </c>
      <c r="B634" s="1" t="n">
        <v>45098</v>
      </c>
      <c r="C634" s="1" t="n">
        <v>45505</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30660-2023</t>
        </is>
      </c>
      <c r="B635" s="1" t="n">
        <v>45098</v>
      </c>
      <c r="C635" s="1" t="n">
        <v>45505</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30263-2023</t>
        </is>
      </c>
      <c r="B636" s="1" t="n">
        <v>45099</v>
      </c>
      <c r="C636" s="1" t="n">
        <v>45505</v>
      </c>
      <c r="D636" t="inlineStr">
        <is>
          <t>JÄMTLANDS LÄN</t>
        </is>
      </c>
      <c r="E636" t="inlineStr">
        <is>
          <t>ÅRE</t>
        </is>
      </c>
      <c r="G636" t="n">
        <v>15.9</v>
      </c>
      <c r="H636" t="n">
        <v>0</v>
      </c>
      <c r="I636" t="n">
        <v>0</v>
      </c>
      <c r="J636" t="n">
        <v>0</v>
      </c>
      <c r="K636" t="n">
        <v>0</v>
      </c>
      <c r="L636" t="n">
        <v>0</v>
      </c>
      <c r="M636" t="n">
        <v>0</v>
      </c>
      <c r="N636" t="n">
        <v>0</v>
      </c>
      <c r="O636" t="n">
        <v>0</v>
      </c>
      <c r="P636" t="n">
        <v>0</v>
      </c>
      <c r="Q636" t="n">
        <v>0</v>
      </c>
      <c r="R636" s="2" t="inlineStr"/>
    </row>
    <row r="637" ht="15" customHeight="1">
      <c r="A637" t="inlineStr">
        <is>
          <t>A 33774-2023</t>
        </is>
      </c>
      <c r="B637" s="1" t="n">
        <v>45120</v>
      </c>
      <c r="C637" s="1" t="n">
        <v>45505</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33117-2023</t>
        </is>
      </c>
      <c r="B638" s="1" t="n">
        <v>45126</v>
      </c>
      <c r="C638" s="1" t="n">
        <v>45505</v>
      </c>
      <c r="D638" t="inlineStr">
        <is>
          <t>JÄMTLANDS LÄN</t>
        </is>
      </c>
      <c r="E638" t="inlineStr">
        <is>
          <t>ÅRE</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33123-2023</t>
        </is>
      </c>
      <c r="B639" s="1" t="n">
        <v>45126</v>
      </c>
      <c r="C639" s="1" t="n">
        <v>45505</v>
      </c>
      <c r="D639" t="inlineStr">
        <is>
          <t>JÄMTLANDS LÄN</t>
        </is>
      </c>
      <c r="E639" t="inlineStr">
        <is>
          <t>ÅRE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33121-2023</t>
        </is>
      </c>
      <c r="B640" s="1" t="n">
        <v>45126</v>
      </c>
      <c r="C640" s="1" t="n">
        <v>45505</v>
      </c>
      <c r="D640" t="inlineStr">
        <is>
          <t>JÄMTLANDS LÄN</t>
        </is>
      </c>
      <c r="E640" t="inlineStr">
        <is>
          <t>ÅRE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34231-2023</t>
        </is>
      </c>
      <c r="B641" s="1" t="n">
        <v>45127</v>
      </c>
      <c r="C641" s="1" t="n">
        <v>45505</v>
      </c>
      <c r="D641" t="inlineStr">
        <is>
          <t>JÄMTLANDS LÄN</t>
        </is>
      </c>
      <c r="E641" t="inlineStr">
        <is>
          <t>ÅRE</t>
        </is>
      </c>
      <c r="G641" t="n">
        <v>18.3</v>
      </c>
      <c r="H641" t="n">
        <v>0</v>
      </c>
      <c r="I641" t="n">
        <v>0</v>
      </c>
      <c r="J641" t="n">
        <v>0</v>
      </c>
      <c r="K641" t="n">
        <v>0</v>
      </c>
      <c r="L641" t="n">
        <v>0</v>
      </c>
      <c r="M641" t="n">
        <v>0</v>
      </c>
      <c r="N641" t="n">
        <v>0</v>
      </c>
      <c r="O641" t="n">
        <v>0</v>
      </c>
      <c r="P641" t="n">
        <v>0</v>
      </c>
      <c r="Q641" t="n">
        <v>0</v>
      </c>
      <c r="R641" s="2" t="inlineStr"/>
    </row>
    <row r="642" ht="15" customHeight="1">
      <c r="A642" t="inlineStr">
        <is>
          <t>A 34538-2023</t>
        </is>
      </c>
      <c r="B642" s="1" t="n">
        <v>45134</v>
      </c>
      <c r="C642" s="1" t="n">
        <v>45505</v>
      </c>
      <c r="D642" t="inlineStr">
        <is>
          <t>JÄMTLANDS LÄN</t>
        </is>
      </c>
      <c r="E642" t="inlineStr">
        <is>
          <t>ÅRE</t>
        </is>
      </c>
      <c r="G642" t="n">
        <v>1.3</v>
      </c>
      <c r="H642" t="n">
        <v>0</v>
      </c>
      <c r="I642" t="n">
        <v>0</v>
      </c>
      <c r="J642" t="n">
        <v>0</v>
      </c>
      <c r="K642" t="n">
        <v>0</v>
      </c>
      <c r="L642" t="n">
        <v>0</v>
      </c>
      <c r="M642" t="n">
        <v>0</v>
      </c>
      <c r="N642" t="n">
        <v>0</v>
      </c>
      <c r="O642" t="n">
        <v>0</v>
      </c>
      <c r="P642" t="n">
        <v>0</v>
      </c>
      <c r="Q642" t="n">
        <v>0</v>
      </c>
      <c r="R642" s="2" t="inlineStr"/>
    </row>
    <row r="643" ht="15" customHeight="1">
      <c r="A643" t="inlineStr">
        <is>
          <t>A 36048-2023</t>
        </is>
      </c>
      <c r="B643" s="1" t="n">
        <v>45149</v>
      </c>
      <c r="C643" s="1" t="n">
        <v>45505</v>
      </c>
      <c r="D643" t="inlineStr">
        <is>
          <t>JÄMTLANDS LÄN</t>
        </is>
      </c>
      <c r="E643" t="inlineStr">
        <is>
          <t>ÅRE</t>
        </is>
      </c>
      <c r="G643" t="n">
        <v>11.4</v>
      </c>
      <c r="H643" t="n">
        <v>0</v>
      </c>
      <c r="I643" t="n">
        <v>0</v>
      </c>
      <c r="J643" t="n">
        <v>0</v>
      </c>
      <c r="K643" t="n">
        <v>0</v>
      </c>
      <c r="L643" t="n">
        <v>0</v>
      </c>
      <c r="M643" t="n">
        <v>0</v>
      </c>
      <c r="N643" t="n">
        <v>0</v>
      </c>
      <c r="O643" t="n">
        <v>0</v>
      </c>
      <c r="P643" t="n">
        <v>0</v>
      </c>
      <c r="Q643" t="n">
        <v>0</v>
      </c>
      <c r="R643" s="2" t="inlineStr"/>
    </row>
    <row r="644" ht="15" customHeight="1">
      <c r="A644" t="inlineStr">
        <is>
          <t>A 36234-2023</t>
        </is>
      </c>
      <c r="B644" s="1" t="n">
        <v>45150</v>
      </c>
      <c r="C644" s="1" t="n">
        <v>45505</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36235-2023</t>
        </is>
      </c>
      <c r="B645" s="1" t="n">
        <v>45150</v>
      </c>
      <c r="C645" s="1" t="n">
        <v>45505</v>
      </c>
      <c r="D645" t="inlineStr">
        <is>
          <t>JÄMTLANDS LÄN</t>
        </is>
      </c>
      <c r="E645" t="inlineStr">
        <is>
          <t>ÅRE</t>
        </is>
      </c>
      <c r="G645" t="n">
        <v>4.4</v>
      </c>
      <c r="H645" t="n">
        <v>0</v>
      </c>
      <c r="I645" t="n">
        <v>0</v>
      </c>
      <c r="J645" t="n">
        <v>0</v>
      </c>
      <c r="K645" t="n">
        <v>0</v>
      </c>
      <c r="L645" t="n">
        <v>0</v>
      </c>
      <c r="M645" t="n">
        <v>0</v>
      </c>
      <c r="N645" t="n">
        <v>0</v>
      </c>
      <c r="O645" t="n">
        <v>0</v>
      </c>
      <c r="P645" t="n">
        <v>0</v>
      </c>
      <c r="Q645" t="n">
        <v>0</v>
      </c>
      <c r="R645" s="2" t="inlineStr"/>
    </row>
    <row r="646" ht="15" customHeight="1">
      <c r="A646" t="inlineStr">
        <is>
          <t>A 37729-2023</t>
        </is>
      </c>
      <c r="B646" s="1" t="n">
        <v>45159</v>
      </c>
      <c r="C646" s="1" t="n">
        <v>45505</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v>
      </c>
      <c r="C647" s="1" t="n">
        <v>45505</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37739-2023</t>
        </is>
      </c>
      <c r="B648" s="1" t="n">
        <v>45159</v>
      </c>
      <c r="C648" s="1" t="n">
        <v>45505</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37758-2023</t>
        </is>
      </c>
      <c r="B649" s="1" t="n">
        <v>45159</v>
      </c>
      <c r="C649" s="1" t="n">
        <v>45505</v>
      </c>
      <c r="D649" t="inlineStr">
        <is>
          <t>JÄMTLANDS LÄN</t>
        </is>
      </c>
      <c r="E649" t="inlineStr">
        <is>
          <t>ÅRE</t>
        </is>
      </c>
      <c r="G649" t="n">
        <v>20.1</v>
      </c>
      <c r="H649" t="n">
        <v>0</v>
      </c>
      <c r="I649" t="n">
        <v>0</v>
      </c>
      <c r="J649" t="n">
        <v>0</v>
      </c>
      <c r="K649" t="n">
        <v>0</v>
      </c>
      <c r="L649" t="n">
        <v>0</v>
      </c>
      <c r="M649" t="n">
        <v>0</v>
      </c>
      <c r="N649" t="n">
        <v>0</v>
      </c>
      <c r="O649" t="n">
        <v>0</v>
      </c>
      <c r="P649" t="n">
        <v>0</v>
      </c>
      <c r="Q649" t="n">
        <v>0</v>
      </c>
      <c r="R649" s="2" t="inlineStr"/>
    </row>
    <row r="650" ht="15" customHeight="1">
      <c r="A650" t="inlineStr">
        <is>
          <t>A 40143-2023</t>
        </is>
      </c>
      <c r="B650" s="1" t="n">
        <v>45169</v>
      </c>
      <c r="C650" s="1" t="n">
        <v>45505</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40323-2023</t>
        </is>
      </c>
      <c r="B651" s="1" t="n">
        <v>45169</v>
      </c>
      <c r="C651" s="1" t="n">
        <v>45505</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42626-2023</t>
        </is>
      </c>
      <c r="B652" s="1" t="n">
        <v>45181</v>
      </c>
      <c r="C652" s="1" t="n">
        <v>45505</v>
      </c>
      <c r="D652" t="inlineStr">
        <is>
          <t>JÄMTLANDS LÄN</t>
        </is>
      </c>
      <c r="E652" t="inlineStr">
        <is>
          <t>ÅRE</t>
        </is>
      </c>
      <c r="G652" t="n">
        <v>2.4</v>
      </c>
      <c r="H652" t="n">
        <v>0</v>
      </c>
      <c r="I652" t="n">
        <v>0</v>
      </c>
      <c r="J652" t="n">
        <v>0</v>
      </c>
      <c r="K652" t="n">
        <v>0</v>
      </c>
      <c r="L652" t="n">
        <v>0</v>
      </c>
      <c r="M652" t="n">
        <v>0</v>
      </c>
      <c r="N652" t="n">
        <v>0</v>
      </c>
      <c r="O652" t="n">
        <v>0</v>
      </c>
      <c r="P652" t="n">
        <v>0</v>
      </c>
      <c r="Q652" t="n">
        <v>0</v>
      </c>
      <c r="R652" s="2" t="inlineStr"/>
    </row>
    <row r="653" ht="15" customHeight="1">
      <c r="A653" t="inlineStr">
        <is>
          <t>A 43103-2023</t>
        </is>
      </c>
      <c r="B653" s="1" t="n">
        <v>45183</v>
      </c>
      <c r="C653" s="1" t="n">
        <v>45505</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43446-2023</t>
        </is>
      </c>
      <c r="B654" s="1" t="n">
        <v>45184</v>
      </c>
      <c r="C654" s="1" t="n">
        <v>45505</v>
      </c>
      <c r="D654" t="inlineStr">
        <is>
          <t>JÄMTLANDS LÄN</t>
        </is>
      </c>
      <c r="E654" t="inlineStr">
        <is>
          <t>ÅRE</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43449-2023</t>
        </is>
      </c>
      <c r="B655" s="1" t="n">
        <v>45184</v>
      </c>
      <c r="C655" s="1" t="n">
        <v>45505</v>
      </c>
      <c r="D655" t="inlineStr">
        <is>
          <t>JÄMTLANDS LÄN</t>
        </is>
      </c>
      <c r="E655" t="inlineStr">
        <is>
          <t>ÅRE</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43456-2023</t>
        </is>
      </c>
      <c r="B656" s="1" t="n">
        <v>45184</v>
      </c>
      <c r="C656" s="1" t="n">
        <v>45505</v>
      </c>
      <c r="D656" t="inlineStr">
        <is>
          <t>JÄMTLANDS LÄN</t>
        </is>
      </c>
      <c r="E656" t="inlineStr">
        <is>
          <t>ÅRE</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44512-2023</t>
        </is>
      </c>
      <c r="B657" s="1" t="n">
        <v>45184</v>
      </c>
      <c r="C657" s="1" t="n">
        <v>45505</v>
      </c>
      <c r="D657" t="inlineStr">
        <is>
          <t>JÄMTLANDS LÄN</t>
        </is>
      </c>
      <c r="E657" t="inlineStr">
        <is>
          <t>ÅRE</t>
        </is>
      </c>
      <c r="G657" t="n">
        <v>12.5</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45505</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44889-2023</t>
        </is>
      </c>
      <c r="B659" s="1" t="n">
        <v>45190</v>
      </c>
      <c r="C659" s="1" t="n">
        <v>45505</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44898-2023</t>
        </is>
      </c>
      <c r="B660" s="1" t="n">
        <v>45190</v>
      </c>
      <c r="C660" s="1" t="n">
        <v>45505</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46510-2023</t>
        </is>
      </c>
      <c r="B661" s="1" t="n">
        <v>45197</v>
      </c>
      <c r="C661" s="1" t="n">
        <v>45505</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47698-2023</t>
        </is>
      </c>
      <c r="B662" s="1" t="n">
        <v>45203</v>
      </c>
      <c r="C662" s="1" t="n">
        <v>45505</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48599-2023</t>
        </is>
      </c>
      <c r="B663" s="1" t="n">
        <v>45208</v>
      </c>
      <c r="C663" s="1" t="n">
        <v>45505</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52169-2023</t>
        </is>
      </c>
      <c r="B664" s="1" t="n">
        <v>45212</v>
      </c>
      <c r="C664" s="1" t="n">
        <v>45505</v>
      </c>
      <c r="D664" t="inlineStr">
        <is>
          <t>JÄMTLANDS LÄN</t>
        </is>
      </c>
      <c r="E664" t="inlineStr">
        <is>
          <t>ÅRE</t>
        </is>
      </c>
      <c r="F664" t="inlineStr">
        <is>
          <t>Övriga statliga verk och myndigheter</t>
        </is>
      </c>
      <c r="G664" t="n">
        <v>28.1</v>
      </c>
      <c r="H664" t="n">
        <v>0</v>
      </c>
      <c r="I664" t="n">
        <v>0</v>
      </c>
      <c r="J664" t="n">
        <v>0</v>
      </c>
      <c r="K664" t="n">
        <v>0</v>
      </c>
      <c r="L664" t="n">
        <v>0</v>
      </c>
      <c r="M664" t="n">
        <v>0</v>
      </c>
      <c r="N664" t="n">
        <v>0</v>
      </c>
      <c r="O664" t="n">
        <v>0</v>
      </c>
      <c r="P664" t="n">
        <v>0</v>
      </c>
      <c r="Q664" t="n">
        <v>0</v>
      </c>
      <c r="R664" s="2" t="inlineStr"/>
    </row>
    <row r="665" ht="15" customHeight="1">
      <c r="A665" t="inlineStr">
        <is>
          <t>A 50843-2023</t>
        </is>
      </c>
      <c r="B665" s="1" t="n">
        <v>45218</v>
      </c>
      <c r="C665" s="1" t="n">
        <v>45505</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50951-2023</t>
        </is>
      </c>
      <c r="B666" s="1" t="n">
        <v>45218</v>
      </c>
      <c r="C666" s="1" t="n">
        <v>45505</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51317-2023</t>
        </is>
      </c>
      <c r="B667" s="1" t="n">
        <v>45219</v>
      </c>
      <c r="C667" s="1" t="n">
        <v>45505</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51271-2023</t>
        </is>
      </c>
      <c r="B668" s="1" t="n">
        <v>45219</v>
      </c>
      <c r="C668" s="1" t="n">
        <v>45505</v>
      </c>
      <c r="D668" t="inlineStr">
        <is>
          <t>JÄMTLANDS LÄN</t>
        </is>
      </c>
      <c r="E668" t="inlineStr">
        <is>
          <t>ÅRE</t>
        </is>
      </c>
      <c r="G668" t="n">
        <v>4.8</v>
      </c>
      <c r="H668" t="n">
        <v>0</v>
      </c>
      <c r="I668" t="n">
        <v>0</v>
      </c>
      <c r="J668" t="n">
        <v>0</v>
      </c>
      <c r="K668" t="n">
        <v>0</v>
      </c>
      <c r="L668" t="n">
        <v>0</v>
      </c>
      <c r="M668" t="n">
        <v>0</v>
      </c>
      <c r="N668" t="n">
        <v>0</v>
      </c>
      <c r="O668" t="n">
        <v>0</v>
      </c>
      <c r="P668" t="n">
        <v>0</v>
      </c>
      <c r="Q668" t="n">
        <v>0</v>
      </c>
      <c r="R668" s="2" t="inlineStr"/>
    </row>
    <row r="669" ht="15" customHeight="1">
      <c r="A669" t="inlineStr">
        <is>
          <t>A 51311-2023</t>
        </is>
      </c>
      <c r="B669" s="1" t="n">
        <v>45219</v>
      </c>
      <c r="C669" s="1" t="n">
        <v>45505</v>
      </c>
      <c r="D669" t="inlineStr">
        <is>
          <t>JÄMTLANDS LÄN</t>
        </is>
      </c>
      <c r="E669" t="inlineStr">
        <is>
          <t>ÅRE</t>
        </is>
      </c>
      <c r="G669" t="n">
        <v>14.2</v>
      </c>
      <c r="H669" t="n">
        <v>0</v>
      </c>
      <c r="I669" t="n">
        <v>0</v>
      </c>
      <c r="J669" t="n">
        <v>0</v>
      </c>
      <c r="K669" t="n">
        <v>0</v>
      </c>
      <c r="L669" t="n">
        <v>0</v>
      </c>
      <c r="M669" t="n">
        <v>0</v>
      </c>
      <c r="N669" t="n">
        <v>0</v>
      </c>
      <c r="O669" t="n">
        <v>0</v>
      </c>
      <c r="P669" t="n">
        <v>0</v>
      </c>
      <c r="Q669" t="n">
        <v>0</v>
      </c>
      <c r="R669" s="2" t="inlineStr"/>
    </row>
    <row r="670" ht="15" customHeight="1">
      <c r="A670" t="inlineStr">
        <is>
          <t>A 51282-2023</t>
        </is>
      </c>
      <c r="B670" s="1" t="n">
        <v>45219</v>
      </c>
      <c r="C670" s="1" t="n">
        <v>45505</v>
      </c>
      <c r="D670" t="inlineStr">
        <is>
          <t>JÄMTLANDS LÄN</t>
        </is>
      </c>
      <c r="E670" t="inlineStr">
        <is>
          <t>ÅRE</t>
        </is>
      </c>
      <c r="G670" t="n">
        <v>2.3</v>
      </c>
      <c r="H670" t="n">
        <v>0</v>
      </c>
      <c r="I670" t="n">
        <v>0</v>
      </c>
      <c r="J670" t="n">
        <v>0</v>
      </c>
      <c r="K670" t="n">
        <v>0</v>
      </c>
      <c r="L670" t="n">
        <v>0</v>
      </c>
      <c r="M670" t="n">
        <v>0</v>
      </c>
      <c r="N670" t="n">
        <v>0</v>
      </c>
      <c r="O670" t="n">
        <v>0</v>
      </c>
      <c r="P670" t="n">
        <v>0</v>
      </c>
      <c r="Q670" t="n">
        <v>0</v>
      </c>
      <c r="R670" s="2" t="inlineStr"/>
    </row>
    <row r="671" ht="15" customHeight="1">
      <c r="A671" t="inlineStr">
        <is>
          <t>A 51277-2023</t>
        </is>
      </c>
      <c r="B671" s="1" t="n">
        <v>45219</v>
      </c>
      <c r="C671" s="1" t="n">
        <v>45505</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51831-2023</t>
        </is>
      </c>
      <c r="B672" s="1" t="n">
        <v>45222</v>
      </c>
      <c r="C672" s="1" t="n">
        <v>45505</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52676-2023</t>
        </is>
      </c>
      <c r="B673" s="1" t="n">
        <v>45225</v>
      </c>
      <c r="C673" s="1" t="n">
        <v>45505</v>
      </c>
      <c r="D673" t="inlineStr">
        <is>
          <t>JÄMTLANDS LÄN</t>
        </is>
      </c>
      <c r="E673" t="inlineStr">
        <is>
          <t>ÅRE</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54303-2023</t>
        </is>
      </c>
      <c r="B674" s="1" t="n">
        <v>45225</v>
      </c>
      <c r="C674" s="1" t="n">
        <v>45505</v>
      </c>
      <c r="D674" t="inlineStr">
        <is>
          <t>JÄMTLANDS LÄN</t>
        </is>
      </c>
      <c r="E674" t="inlineStr">
        <is>
          <t>ÅRE</t>
        </is>
      </c>
      <c r="G674" t="n">
        <v>8.9</v>
      </c>
      <c r="H674" t="n">
        <v>0</v>
      </c>
      <c r="I674" t="n">
        <v>0</v>
      </c>
      <c r="J674" t="n">
        <v>0</v>
      </c>
      <c r="K674" t="n">
        <v>0</v>
      </c>
      <c r="L674" t="n">
        <v>0</v>
      </c>
      <c r="M674" t="n">
        <v>0</v>
      </c>
      <c r="N674" t="n">
        <v>0</v>
      </c>
      <c r="O674" t="n">
        <v>0</v>
      </c>
      <c r="P674" t="n">
        <v>0</v>
      </c>
      <c r="Q674" t="n">
        <v>0</v>
      </c>
      <c r="R674" s="2" t="inlineStr"/>
    </row>
    <row r="675" ht="15" customHeight="1">
      <c r="A675" t="inlineStr">
        <is>
          <t>A 54324-2023</t>
        </is>
      </c>
      <c r="B675" s="1" t="n">
        <v>45225</v>
      </c>
      <c r="C675" s="1" t="n">
        <v>45505</v>
      </c>
      <c r="D675" t="inlineStr">
        <is>
          <t>JÄMTLANDS LÄN</t>
        </is>
      </c>
      <c r="E675" t="inlineStr">
        <is>
          <t>ÅRE</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54847-2023</t>
        </is>
      </c>
      <c r="B676" s="1" t="n">
        <v>45229</v>
      </c>
      <c r="C676" s="1" t="n">
        <v>45505</v>
      </c>
      <c r="D676" t="inlineStr">
        <is>
          <t>JÄMTLANDS LÄN</t>
        </is>
      </c>
      <c r="E676" t="inlineStr">
        <is>
          <t>ÅRE</t>
        </is>
      </c>
      <c r="G676" t="n">
        <v>16.6</v>
      </c>
      <c r="H676" t="n">
        <v>0</v>
      </c>
      <c r="I676" t="n">
        <v>0</v>
      </c>
      <c r="J676" t="n">
        <v>0</v>
      </c>
      <c r="K676" t="n">
        <v>0</v>
      </c>
      <c r="L676" t="n">
        <v>0</v>
      </c>
      <c r="M676" t="n">
        <v>0</v>
      </c>
      <c r="N676" t="n">
        <v>0</v>
      </c>
      <c r="O676" t="n">
        <v>0</v>
      </c>
      <c r="P676" t="n">
        <v>0</v>
      </c>
      <c r="Q676" t="n">
        <v>0</v>
      </c>
      <c r="R676" s="2" t="inlineStr"/>
    </row>
    <row r="677" ht="15" customHeight="1">
      <c r="A677" t="inlineStr">
        <is>
          <t>A 55109-2023</t>
        </is>
      </c>
      <c r="B677" s="1" t="n">
        <v>45230</v>
      </c>
      <c r="C677" s="1" t="n">
        <v>45505</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53899-2023</t>
        </is>
      </c>
      <c r="B678" s="1" t="n">
        <v>45231</v>
      </c>
      <c r="C678" s="1" t="n">
        <v>45505</v>
      </c>
      <c r="D678" t="inlineStr">
        <is>
          <t>JÄMTLANDS LÄN</t>
        </is>
      </c>
      <c r="E678" t="inlineStr">
        <is>
          <t>ÅRE</t>
        </is>
      </c>
      <c r="G678" t="n">
        <v>20.4</v>
      </c>
      <c r="H678" t="n">
        <v>0</v>
      </c>
      <c r="I678" t="n">
        <v>0</v>
      </c>
      <c r="J678" t="n">
        <v>0</v>
      </c>
      <c r="K678" t="n">
        <v>0</v>
      </c>
      <c r="L678" t="n">
        <v>0</v>
      </c>
      <c r="M678" t="n">
        <v>0</v>
      </c>
      <c r="N678" t="n">
        <v>0</v>
      </c>
      <c r="O678" t="n">
        <v>0</v>
      </c>
      <c r="P678" t="n">
        <v>0</v>
      </c>
      <c r="Q678" t="n">
        <v>0</v>
      </c>
      <c r="R678" s="2" t="inlineStr"/>
    </row>
    <row r="679" ht="15" customHeight="1">
      <c r="A679" t="inlineStr">
        <is>
          <t>A 54164-2023</t>
        </is>
      </c>
      <c r="B679" s="1" t="n">
        <v>45232</v>
      </c>
      <c r="C679" s="1" t="n">
        <v>45505</v>
      </c>
      <c r="D679" t="inlineStr">
        <is>
          <t>JÄMTLANDS LÄN</t>
        </is>
      </c>
      <c r="E679" t="inlineStr">
        <is>
          <t>ÅRE</t>
        </is>
      </c>
      <c r="G679" t="n">
        <v>2.6</v>
      </c>
      <c r="H679" t="n">
        <v>0</v>
      </c>
      <c r="I679" t="n">
        <v>0</v>
      </c>
      <c r="J679" t="n">
        <v>0</v>
      </c>
      <c r="K679" t="n">
        <v>0</v>
      </c>
      <c r="L679" t="n">
        <v>0</v>
      </c>
      <c r="M679" t="n">
        <v>0</v>
      </c>
      <c r="N679" t="n">
        <v>0</v>
      </c>
      <c r="O679" t="n">
        <v>0</v>
      </c>
      <c r="P679" t="n">
        <v>0</v>
      </c>
      <c r="Q679" t="n">
        <v>0</v>
      </c>
      <c r="R679" s="2" t="inlineStr"/>
    </row>
    <row r="680" ht="15" customHeight="1">
      <c r="A680" t="inlineStr">
        <is>
          <t>A 54116-2023</t>
        </is>
      </c>
      <c r="B680" s="1" t="n">
        <v>45232</v>
      </c>
      <c r="C680" s="1" t="n">
        <v>45505</v>
      </c>
      <c r="D680" t="inlineStr">
        <is>
          <t>JÄMTLANDS LÄN</t>
        </is>
      </c>
      <c r="E680" t="inlineStr">
        <is>
          <t>ÅRE</t>
        </is>
      </c>
      <c r="G680" t="n">
        <v>3.8</v>
      </c>
      <c r="H680" t="n">
        <v>0</v>
      </c>
      <c r="I680" t="n">
        <v>0</v>
      </c>
      <c r="J680" t="n">
        <v>0</v>
      </c>
      <c r="K680" t="n">
        <v>0</v>
      </c>
      <c r="L680" t="n">
        <v>0</v>
      </c>
      <c r="M680" t="n">
        <v>0</v>
      </c>
      <c r="N680" t="n">
        <v>0</v>
      </c>
      <c r="O680" t="n">
        <v>0</v>
      </c>
      <c r="P680" t="n">
        <v>0</v>
      </c>
      <c r="Q680" t="n">
        <v>0</v>
      </c>
      <c r="R680" s="2" t="inlineStr"/>
    </row>
    <row r="681" ht="15" customHeight="1">
      <c r="A681" t="inlineStr">
        <is>
          <t>A 54175-2023</t>
        </is>
      </c>
      <c r="B681" s="1" t="n">
        <v>45232</v>
      </c>
      <c r="C681" s="1" t="n">
        <v>45505</v>
      </c>
      <c r="D681" t="inlineStr">
        <is>
          <t>JÄMTLANDS LÄN</t>
        </is>
      </c>
      <c r="E681" t="inlineStr">
        <is>
          <t>ÅRE</t>
        </is>
      </c>
      <c r="G681" t="n">
        <v>0.1</v>
      </c>
      <c r="H681" t="n">
        <v>0</v>
      </c>
      <c r="I681" t="n">
        <v>0</v>
      </c>
      <c r="J681" t="n">
        <v>0</v>
      </c>
      <c r="K681" t="n">
        <v>0</v>
      </c>
      <c r="L681" t="n">
        <v>0</v>
      </c>
      <c r="M681" t="n">
        <v>0</v>
      </c>
      <c r="N681" t="n">
        <v>0</v>
      </c>
      <c r="O681" t="n">
        <v>0</v>
      </c>
      <c r="P681" t="n">
        <v>0</v>
      </c>
      <c r="Q681" t="n">
        <v>0</v>
      </c>
      <c r="R681" s="2" t="inlineStr"/>
    </row>
    <row r="682" ht="15" customHeight="1">
      <c r="A682" t="inlineStr">
        <is>
          <t>A 56044-2023</t>
        </is>
      </c>
      <c r="B682" s="1" t="n">
        <v>45233</v>
      </c>
      <c r="C682" s="1" t="n">
        <v>45505</v>
      </c>
      <c r="D682" t="inlineStr">
        <is>
          <t>JÄMTLANDS LÄN</t>
        </is>
      </c>
      <c r="E682" t="inlineStr">
        <is>
          <t>ÅRE</t>
        </is>
      </c>
      <c r="G682" t="n">
        <v>5.3</v>
      </c>
      <c r="H682" t="n">
        <v>0</v>
      </c>
      <c r="I682" t="n">
        <v>0</v>
      </c>
      <c r="J682" t="n">
        <v>0</v>
      </c>
      <c r="K682" t="n">
        <v>0</v>
      </c>
      <c r="L682" t="n">
        <v>0</v>
      </c>
      <c r="M682" t="n">
        <v>0</v>
      </c>
      <c r="N682" t="n">
        <v>0</v>
      </c>
      <c r="O682" t="n">
        <v>0</v>
      </c>
      <c r="P682" t="n">
        <v>0</v>
      </c>
      <c r="Q682" t="n">
        <v>0</v>
      </c>
      <c r="R682" s="2" t="inlineStr"/>
    </row>
    <row r="683" ht="15" customHeight="1">
      <c r="A683" t="inlineStr">
        <is>
          <t>A 54385-2023</t>
        </is>
      </c>
      <c r="B683" s="1" t="n">
        <v>45233</v>
      </c>
      <c r="C683" s="1" t="n">
        <v>45505</v>
      </c>
      <c r="D683" t="inlineStr">
        <is>
          <t>JÄMTLANDS LÄN</t>
        </is>
      </c>
      <c r="E683" t="inlineStr">
        <is>
          <t>ÅRE</t>
        </is>
      </c>
      <c r="G683" t="n">
        <v>3.7</v>
      </c>
      <c r="H683" t="n">
        <v>0</v>
      </c>
      <c r="I683" t="n">
        <v>0</v>
      </c>
      <c r="J683" t="n">
        <v>0</v>
      </c>
      <c r="K683" t="n">
        <v>0</v>
      </c>
      <c r="L683" t="n">
        <v>0</v>
      </c>
      <c r="M683" t="n">
        <v>0</v>
      </c>
      <c r="N683" t="n">
        <v>0</v>
      </c>
      <c r="O683" t="n">
        <v>0</v>
      </c>
      <c r="P683" t="n">
        <v>0</v>
      </c>
      <c r="Q683" t="n">
        <v>0</v>
      </c>
      <c r="R683" s="2" t="inlineStr"/>
    </row>
    <row r="684" ht="15" customHeight="1">
      <c r="A684" t="inlineStr">
        <is>
          <t>A 54377-2023</t>
        </is>
      </c>
      <c r="B684" s="1" t="n">
        <v>45233</v>
      </c>
      <c r="C684" s="1" t="n">
        <v>45505</v>
      </c>
      <c r="D684" t="inlineStr">
        <is>
          <t>JÄMTLANDS LÄN</t>
        </is>
      </c>
      <c r="E684" t="inlineStr">
        <is>
          <t>ÅRE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54373-2023</t>
        </is>
      </c>
      <c r="B685" s="1" t="n">
        <v>45233</v>
      </c>
      <c r="C685" s="1" t="n">
        <v>45505</v>
      </c>
      <c r="D685" t="inlineStr">
        <is>
          <t>JÄMTLANDS LÄN</t>
        </is>
      </c>
      <c r="E685" t="inlineStr">
        <is>
          <t>ÅRE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54781-2023</t>
        </is>
      </c>
      <c r="B686" s="1" t="n">
        <v>45236</v>
      </c>
      <c r="C686" s="1" t="n">
        <v>45505</v>
      </c>
      <c r="D686" t="inlineStr">
        <is>
          <t>JÄMTLANDS LÄN</t>
        </is>
      </c>
      <c r="E686" t="inlineStr">
        <is>
          <t>ÅRE</t>
        </is>
      </c>
      <c r="G686" t="n">
        <v>3.5</v>
      </c>
      <c r="H686" t="n">
        <v>0</v>
      </c>
      <c r="I686" t="n">
        <v>0</v>
      </c>
      <c r="J686" t="n">
        <v>0</v>
      </c>
      <c r="K686" t="n">
        <v>0</v>
      </c>
      <c r="L686" t="n">
        <v>0</v>
      </c>
      <c r="M686" t="n">
        <v>0</v>
      </c>
      <c r="N686" t="n">
        <v>0</v>
      </c>
      <c r="O686" t="n">
        <v>0</v>
      </c>
      <c r="P686" t="n">
        <v>0</v>
      </c>
      <c r="Q686" t="n">
        <v>0</v>
      </c>
      <c r="R686" s="2" t="inlineStr"/>
    </row>
    <row r="687" ht="15" customHeight="1">
      <c r="A687" t="inlineStr">
        <is>
          <t>A 54796-2023</t>
        </is>
      </c>
      <c r="B687" s="1" t="n">
        <v>45236</v>
      </c>
      <c r="C687" s="1" t="n">
        <v>45505</v>
      </c>
      <c r="D687" t="inlineStr">
        <is>
          <t>JÄMTLANDS LÄN</t>
        </is>
      </c>
      <c r="E687" t="inlineStr">
        <is>
          <t>ÅRE</t>
        </is>
      </c>
      <c r="G687" t="n">
        <v>9.1</v>
      </c>
      <c r="H687" t="n">
        <v>0</v>
      </c>
      <c r="I687" t="n">
        <v>0</v>
      </c>
      <c r="J687" t="n">
        <v>0</v>
      </c>
      <c r="K687" t="n">
        <v>0</v>
      </c>
      <c r="L687" t="n">
        <v>0</v>
      </c>
      <c r="M687" t="n">
        <v>0</v>
      </c>
      <c r="N687" t="n">
        <v>0</v>
      </c>
      <c r="O687" t="n">
        <v>0</v>
      </c>
      <c r="P687" t="n">
        <v>0</v>
      </c>
      <c r="Q687" t="n">
        <v>0</v>
      </c>
      <c r="R687" s="2" t="inlineStr"/>
    </row>
    <row r="688" ht="15" customHeight="1">
      <c r="A688" t="inlineStr">
        <is>
          <t>A 54898-2023</t>
        </is>
      </c>
      <c r="B688" s="1" t="n">
        <v>45236</v>
      </c>
      <c r="C688" s="1" t="n">
        <v>45505</v>
      </c>
      <c r="D688" t="inlineStr">
        <is>
          <t>JÄMTLANDS LÄN</t>
        </is>
      </c>
      <c r="E688" t="inlineStr">
        <is>
          <t>ÅRE</t>
        </is>
      </c>
      <c r="G688" t="n">
        <v>2.7</v>
      </c>
      <c r="H688" t="n">
        <v>0</v>
      </c>
      <c r="I688" t="n">
        <v>0</v>
      </c>
      <c r="J688" t="n">
        <v>0</v>
      </c>
      <c r="K688" t="n">
        <v>0</v>
      </c>
      <c r="L688" t="n">
        <v>0</v>
      </c>
      <c r="M688" t="n">
        <v>0</v>
      </c>
      <c r="N688" t="n">
        <v>0</v>
      </c>
      <c r="O688" t="n">
        <v>0</v>
      </c>
      <c r="P688" t="n">
        <v>0</v>
      </c>
      <c r="Q688" t="n">
        <v>0</v>
      </c>
      <c r="R688" s="2" t="inlineStr"/>
    </row>
    <row r="689" ht="15" customHeight="1">
      <c r="A689" t="inlineStr">
        <is>
          <t>A 54907-2023</t>
        </is>
      </c>
      <c r="B689" s="1" t="n">
        <v>45236</v>
      </c>
      <c r="C689" s="1" t="n">
        <v>45505</v>
      </c>
      <c r="D689" t="inlineStr">
        <is>
          <t>JÄMTLANDS LÄN</t>
        </is>
      </c>
      <c r="E689" t="inlineStr">
        <is>
          <t>ÅRE</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55860-2023</t>
        </is>
      </c>
      <c r="B690" s="1" t="n">
        <v>45239</v>
      </c>
      <c r="C690" s="1" t="n">
        <v>45505</v>
      </c>
      <c r="D690" t="inlineStr">
        <is>
          <t>JÄMTLANDS LÄN</t>
        </is>
      </c>
      <c r="E690" t="inlineStr">
        <is>
          <t>ÅRE</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56609-2023</t>
        </is>
      </c>
      <c r="B691" s="1" t="n">
        <v>45243</v>
      </c>
      <c r="C691" s="1" t="n">
        <v>45505</v>
      </c>
      <c r="D691" t="inlineStr">
        <is>
          <t>JÄMTLANDS LÄN</t>
        </is>
      </c>
      <c r="E691" t="inlineStr">
        <is>
          <t>ÅRE</t>
        </is>
      </c>
      <c r="G691" t="n">
        <v>17.9</v>
      </c>
      <c r="H691" t="n">
        <v>0</v>
      </c>
      <c r="I691" t="n">
        <v>0</v>
      </c>
      <c r="J691" t="n">
        <v>0</v>
      </c>
      <c r="K691" t="n">
        <v>0</v>
      </c>
      <c r="L691" t="n">
        <v>0</v>
      </c>
      <c r="M691" t="n">
        <v>0</v>
      </c>
      <c r="N691" t="n">
        <v>0</v>
      </c>
      <c r="O691" t="n">
        <v>0</v>
      </c>
      <c r="P691" t="n">
        <v>0</v>
      </c>
      <c r="Q691" t="n">
        <v>0</v>
      </c>
      <c r="R691" s="2" t="inlineStr"/>
    </row>
    <row r="692" ht="15" customHeight="1">
      <c r="A692" t="inlineStr">
        <is>
          <t>A 56679-2023</t>
        </is>
      </c>
      <c r="B692" s="1" t="n">
        <v>45243</v>
      </c>
      <c r="C692" s="1" t="n">
        <v>45505</v>
      </c>
      <c r="D692" t="inlineStr">
        <is>
          <t>JÄMTLANDS LÄN</t>
        </is>
      </c>
      <c r="E692" t="inlineStr">
        <is>
          <t>ÅRE</t>
        </is>
      </c>
      <c r="G692" t="n">
        <v>4.3</v>
      </c>
      <c r="H692" t="n">
        <v>0</v>
      </c>
      <c r="I692" t="n">
        <v>0</v>
      </c>
      <c r="J692" t="n">
        <v>0</v>
      </c>
      <c r="K692" t="n">
        <v>0</v>
      </c>
      <c r="L692" t="n">
        <v>0</v>
      </c>
      <c r="M692" t="n">
        <v>0</v>
      </c>
      <c r="N692" t="n">
        <v>0</v>
      </c>
      <c r="O692" t="n">
        <v>0</v>
      </c>
      <c r="P692" t="n">
        <v>0</v>
      </c>
      <c r="Q692" t="n">
        <v>0</v>
      </c>
      <c r="R692" s="2" t="inlineStr"/>
    </row>
    <row r="693" ht="15" customHeight="1">
      <c r="A693" t="inlineStr">
        <is>
          <t>A 56736-2023</t>
        </is>
      </c>
      <c r="B693" s="1" t="n">
        <v>45244</v>
      </c>
      <c r="C693" s="1" t="n">
        <v>45505</v>
      </c>
      <c r="D693" t="inlineStr">
        <is>
          <t>JÄMTLANDS LÄN</t>
        </is>
      </c>
      <c r="E693" t="inlineStr">
        <is>
          <t>ÅRE</t>
        </is>
      </c>
      <c r="F693" t="inlineStr">
        <is>
          <t>Övriga Aktiebolag</t>
        </is>
      </c>
      <c r="G693" t="n">
        <v>10.7</v>
      </c>
      <c r="H693" t="n">
        <v>0</v>
      </c>
      <c r="I693" t="n">
        <v>0</v>
      </c>
      <c r="J693" t="n">
        <v>0</v>
      </c>
      <c r="K693" t="n">
        <v>0</v>
      </c>
      <c r="L693" t="n">
        <v>0</v>
      </c>
      <c r="M693" t="n">
        <v>0</v>
      </c>
      <c r="N693" t="n">
        <v>0</v>
      </c>
      <c r="O693" t="n">
        <v>0</v>
      </c>
      <c r="P693" t="n">
        <v>0</v>
      </c>
      <c r="Q693" t="n">
        <v>0</v>
      </c>
      <c r="R693" s="2" t="inlineStr"/>
    </row>
    <row r="694" ht="15" customHeight="1">
      <c r="A694" t="inlineStr">
        <is>
          <t>A 56976-2023</t>
        </is>
      </c>
      <c r="B694" s="1" t="n">
        <v>45244</v>
      </c>
      <c r="C694" s="1" t="n">
        <v>45505</v>
      </c>
      <c r="D694" t="inlineStr">
        <is>
          <t>JÄMTLANDS LÄN</t>
        </is>
      </c>
      <c r="E694" t="inlineStr">
        <is>
          <t>ÅRE</t>
        </is>
      </c>
      <c r="F694" t="inlineStr">
        <is>
          <t>Övriga Aktiebolag</t>
        </is>
      </c>
      <c r="G694" t="n">
        <v>4.9</v>
      </c>
      <c r="H694" t="n">
        <v>0</v>
      </c>
      <c r="I694" t="n">
        <v>0</v>
      </c>
      <c r="J694" t="n">
        <v>0</v>
      </c>
      <c r="K694" t="n">
        <v>0</v>
      </c>
      <c r="L694" t="n">
        <v>0</v>
      </c>
      <c r="M694" t="n">
        <v>0</v>
      </c>
      <c r="N694" t="n">
        <v>0</v>
      </c>
      <c r="O694" t="n">
        <v>0</v>
      </c>
      <c r="P694" t="n">
        <v>0</v>
      </c>
      <c r="Q694" t="n">
        <v>0</v>
      </c>
      <c r="R694" s="2" t="inlineStr"/>
    </row>
    <row r="695" ht="15" customHeight="1">
      <c r="A695" t="inlineStr">
        <is>
          <t>A 57448-2023</t>
        </is>
      </c>
      <c r="B695" s="1" t="n">
        <v>45246</v>
      </c>
      <c r="C695" s="1" t="n">
        <v>45505</v>
      </c>
      <c r="D695" t="inlineStr">
        <is>
          <t>JÄMTLANDS LÄN</t>
        </is>
      </c>
      <c r="E695" t="inlineStr">
        <is>
          <t>ÅRE</t>
        </is>
      </c>
      <c r="G695" t="n">
        <v>11.9</v>
      </c>
      <c r="H695" t="n">
        <v>0</v>
      </c>
      <c r="I695" t="n">
        <v>0</v>
      </c>
      <c r="J695" t="n">
        <v>0</v>
      </c>
      <c r="K695" t="n">
        <v>0</v>
      </c>
      <c r="L695" t="n">
        <v>0</v>
      </c>
      <c r="M695" t="n">
        <v>0</v>
      </c>
      <c r="N695" t="n">
        <v>0</v>
      </c>
      <c r="O695" t="n">
        <v>0</v>
      </c>
      <c r="P695" t="n">
        <v>0</v>
      </c>
      <c r="Q695" t="n">
        <v>0</v>
      </c>
      <c r="R695" s="2" t="inlineStr"/>
    </row>
    <row r="696" ht="15" customHeight="1">
      <c r="A696" t="inlineStr">
        <is>
          <t>A 57772-2023</t>
        </is>
      </c>
      <c r="B696" s="1" t="n">
        <v>45246</v>
      </c>
      <c r="C696" s="1" t="n">
        <v>45505</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57770-2023</t>
        </is>
      </c>
      <c r="B697" s="1" t="n">
        <v>45246</v>
      </c>
      <c r="C697" s="1" t="n">
        <v>45505</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58508-2023</t>
        </is>
      </c>
      <c r="B698" s="1" t="n">
        <v>45246</v>
      </c>
      <c r="C698" s="1" t="n">
        <v>45505</v>
      </c>
      <c r="D698" t="inlineStr">
        <is>
          <t>JÄMTLANDS LÄN</t>
        </is>
      </c>
      <c r="E698" t="inlineStr">
        <is>
          <t>ÅRE</t>
        </is>
      </c>
      <c r="G698" t="n">
        <v>21.8</v>
      </c>
      <c r="H698" t="n">
        <v>0</v>
      </c>
      <c r="I698" t="n">
        <v>0</v>
      </c>
      <c r="J698" t="n">
        <v>0</v>
      </c>
      <c r="K698" t="n">
        <v>0</v>
      </c>
      <c r="L698" t="n">
        <v>0</v>
      </c>
      <c r="M698" t="n">
        <v>0</v>
      </c>
      <c r="N698" t="n">
        <v>0</v>
      </c>
      <c r="O698" t="n">
        <v>0</v>
      </c>
      <c r="P698" t="n">
        <v>0</v>
      </c>
      <c r="Q698" t="n">
        <v>0</v>
      </c>
      <c r="R698" s="2" t="inlineStr"/>
    </row>
    <row r="699" ht="15" customHeight="1">
      <c r="A699" t="inlineStr">
        <is>
          <t>A 58178-2023</t>
        </is>
      </c>
      <c r="B699" s="1" t="n">
        <v>45250</v>
      </c>
      <c r="C699" s="1" t="n">
        <v>45505</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58196-2023</t>
        </is>
      </c>
      <c r="B700" s="1" t="n">
        <v>45250</v>
      </c>
      <c r="C700" s="1" t="n">
        <v>45505</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58302-2023</t>
        </is>
      </c>
      <c r="B701" s="1" t="n">
        <v>45250</v>
      </c>
      <c r="C701" s="1" t="n">
        <v>45505</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58296-2023</t>
        </is>
      </c>
      <c r="B702" s="1" t="n">
        <v>45250</v>
      </c>
      <c r="C702" s="1" t="n">
        <v>45505</v>
      </c>
      <c r="D702" t="inlineStr">
        <is>
          <t>JÄMTLANDS LÄN</t>
        </is>
      </c>
      <c r="E702" t="inlineStr">
        <is>
          <t>ÅRE</t>
        </is>
      </c>
      <c r="G702" t="n">
        <v>6.3</v>
      </c>
      <c r="H702" t="n">
        <v>0</v>
      </c>
      <c r="I702" t="n">
        <v>0</v>
      </c>
      <c r="J702" t="n">
        <v>0</v>
      </c>
      <c r="K702" t="n">
        <v>0</v>
      </c>
      <c r="L702" t="n">
        <v>0</v>
      </c>
      <c r="M702" t="n">
        <v>0</v>
      </c>
      <c r="N702" t="n">
        <v>0</v>
      </c>
      <c r="O702" t="n">
        <v>0</v>
      </c>
      <c r="P702" t="n">
        <v>0</v>
      </c>
      <c r="Q702" t="n">
        <v>0</v>
      </c>
      <c r="R702" s="2" t="inlineStr"/>
    </row>
    <row r="703" ht="15" customHeight="1">
      <c r="A703" t="inlineStr">
        <is>
          <t>A 58299-2023</t>
        </is>
      </c>
      <c r="B703" s="1" t="n">
        <v>45250</v>
      </c>
      <c r="C703" s="1" t="n">
        <v>45505</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58907-2023</t>
        </is>
      </c>
      <c r="B704" s="1" t="n">
        <v>45252</v>
      </c>
      <c r="C704" s="1" t="n">
        <v>45505</v>
      </c>
      <c r="D704" t="inlineStr">
        <is>
          <t>JÄMTLANDS LÄN</t>
        </is>
      </c>
      <c r="E704" t="inlineStr">
        <is>
          <t>ÅRE</t>
        </is>
      </c>
      <c r="G704" t="n">
        <v>5.3</v>
      </c>
      <c r="H704" t="n">
        <v>0</v>
      </c>
      <c r="I704" t="n">
        <v>0</v>
      </c>
      <c r="J704" t="n">
        <v>0</v>
      </c>
      <c r="K704" t="n">
        <v>0</v>
      </c>
      <c r="L704" t="n">
        <v>0</v>
      </c>
      <c r="M704" t="n">
        <v>0</v>
      </c>
      <c r="N704" t="n">
        <v>0</v>
      </c>
      <c r="O704" t="n">
        <v>0</v>
      </c>
      <c r="P704" t="n">
        <v>0</v>
      </c>
      <c r="Q704" t="n">
        <v>0</v>
      </c>
      <c r="R704" s="2" t="inlineStr"/>
    </row>
    <row r="705" ht="15" customHeight="1">
      <c r="A705" t="inlineStr">
        <is>
          <t>A 59267-2023</t>
        </is>
      </c>
      <c r="B705" s="1" t="n">
        <v>45253</v>
      </c>
      <c r="C705" s="1" t="n">
        <v>45505</v>
      </c>
      <c r="D705" t="inlineStr">
        <is>
          <t>JÄMTLANDS LÄN</t>
        </is>
      </c>
      <c r="E705" t="inlineStr">
        <is>
          <t>ÅRE</t>
        </is>
      </c>
      <c r="G705" t="n">
        <v>2.7</v>
      </c>
      <c r="H705" t="n">
        <v>0</v>
      </c>
      <c r="I705" t="n">
        <v>0</v>
      </c>
      <c r="J705" t="n">
        <v>0</v>
      </c>
      <c r="K705" t="n">
        <v>0</v>
      </c>
      <c r="L705" t="n">
        <v>0</v>
      </c>
      <c r="M705" t="n">
        <v>0</v>
      </c>
      <c r="N705" t="n">
        <v>0</v>
      </c>
      <c r="O705" t="n">
        <v>0</v>
      </c>
      <c r="P705" t="n">
        <v>0</v>
      </c>
      <c r="Q705" t="n">
        <v>0</v>
      </c>
      <c r="R705" s="2" t="inlineStr"/>
    </row>
    <row r="706" ht="15" customHeight="1">
      <c r="A706" t="inlineStr">
        <is>
          <t>A 59274-2023</t>
        </is>
      </c>
      <c r="B706" s="1" t="n">
        <v>45253</v>
      </c>
      <c r="C706" s="1" t="n">
        <v>45505</v>
      </c>
      <c r="D706" t="inlineStr">
        <is>
          <t>JÄMTLANDS LÄN</t>
        </is>
      </c>
      <c r="E706" t="inlineStr">
        <is>
          <t>ÅRE</t>
        </is>
      </c>
      <c r="G706" t="n">
        <v>1.5</v>
      </c>
      <c r="H706" t="n">
        <v>0</v>
      </c>
      <c r="I706" t="n">
        <v>0</v>
      </c>
      <c r="J706" t="n">
        <v>0</v>
      </c>
      <c r="K706" t="n">
        <v>0</v>
      </c>
      <c r="L706" t="n">
        <v>0</v>
      </c>
      <c r="M706" t="n">
        <v>0</v>
      </c>
      <c r="N706" t="n">
        <v>0</v>
      </c>
      <c r="O706" t="n">
        <v>0</v>
      </c>
      <c r="P706" t="n">
        <v>0</v>
      </c>
      <c r="Q706" t="n">
        <v>0</v>
      </c>
      <c r="R706" s="2" t="inlineStr"/>
    </row>
    <row r="707" ht="15" customHeight="1">
      <c r="A707" t="inlineStr">
        <is>
          <t>A 59400-2023</t>
        </is>
      </c>
      <c r="B707" s="1" t="n">
        <v>45253</v>
      </c>
      <c r="C707" s="1" t="n">
        <v>45505</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59398-2023</t>
        </is>
      </c>
      <c r="B708" s="1" t="n">
        <v>45253</v>
      </c>
      <c r="C708" s="1" t="n">
        <v>45505</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59414-2023</t>
        </is>
      </c>
      <c r="B709" s="1" t="n">
        <v>45254</v>
      </c>
      <c r="C709" s="1" t="n">
        <v>45505</v>
      </c>
      <c r="D709" t="inlineStr">
        <is>
          <t>JÄMTLANDS LÄN</t>
        </is>
      </c>
      <c r="E709" t="inlineStr">
        <is>
          <t>ÅRE</t>
        </is>
      </c>
      <c r="G709" t="n">
        <v>3.6</v>
      </c>
      <c r="H709" t="n">
        <v>0</v>
      </c>
      <c r="I709" t="n">
        <v>0</v>
      </c>
      <c r="J709" t="n">
        <v>0</v>
      </c>
      <c r="K709" t="n">
        <v>0</v>
      </c>
      <c r="L709" t="n">
        <v>0</v>
      </c>
      <c r="M709" t="n">
        <v>0</v>
      </c>
      <c r="N709" t="n">
        <v>0</v>
      </c>
      <c r="O709" t="n">
        <v>0</v>
      </c>
      <c r="P709" t="n">
        <v>0</v>
      </c>
      <c r="Q709" t="n">
        <v>0</v>
      </c>
      <c r="R709" s="2" t="inlineStr"/>
    </row>
    <row r="710" ht="15" customHeight="1">
      <c r="A710" t="inlineStr">
        <is>
          <t>A 59413-2023</t>
        </is>
      </c>
      <c r="B710" s="1" t="n">
        <v>45254</v>
      </c>
      <c r="C710" s="1" t="n">
        <v>45505</v>
      </c>
      <c r="D710" t="inlineStr">
        <is>
          <t>JÄMTLANDS LÄN</t>
        </is>
      </c>
      <c r="E710" t="inlineStr">
        <is>
          <t>ÅRE</t>
        </is>
      </c>
      <c r="G710" t="n">
        <v>4</v>
      </c>
      <c r="H710" t="n">
        <v>0</v>
      </c>
      <c r="I710" t="n">
        <v>0</v>
      </c>
      <c r="J710" t="n">
        <v>0</v>
      </c>
      <c r="K710" t="n">
        <v>0</v>
      </c>
      <c r="L710" t="n">
        <v>0</v>
      </c>
      <c r="M710" t="n">
        <v>0</v>
      </c>
      <c r="N710" t="n">
        <v>0</v>
      </c>
      <c r="O710" t="n">
        <v>0</v>
      </c>
      <c r="P710" t="n">
        <v>0</v>
      </c>
      <c r="Q710" t="n">
        <v>0</v>
      </c>
      <c r="R710" s="2" t="inlineStr"/>
    </row>
    <row r="711" ht="15" customHeight="1">
      <c r="A711" t="inlineStr">
        <is>
          <t>A 59666-2023</t>
        </is>
      </c>
      <c r="B711" s="1" t="n">
        <v>45255</v>
      </c>
      <c r="C711" s="1" t="n">
        <v>45505</v>
      </c>
      <c r="D711" t="inlineStr">
        <is>
          <t>JÄMTLANDS LÄN</t>
        </is>
      </c>
      <c r="E711" t="inlineStr">
        <is>
          <t>ÅRE</t>
        </is>
      </c>
      <c r="G711" t="n">
        <v>6.6</v>
      </c>
      <c r="H711" t="n">
        <v>0</v>
      </c>
      <c r="I711" t="n">
        <v>0</v>
      </c>
      <c r="J711" t="n">
        <v>0</v>
      </c>
      <c r="K711" t="n">
        <v>0</v>
      </c>
      <c r="L711" t="n">
        <v>0</v>
      </c>
      <c r="M711" t="n">
        <v>0</v>
      </c>
      <c r="N711" t="n">
        <v>0</v>
      </c>
      <c r="O711" t="n">
        <v>0</v>
      </c>
      <c r="P711" t="n">
        <v>0</v>
      </c>
      <c r="Q711" t="n">
        <v>0</v>
      </c>
      <c r="R711" s="2" t="inlineStr"/>
    </row>
    <row r="712" ht="15" customHeight="1">
      <c r="A712" t="inlineStr">
        <is>
          <t>A 59753-2023</t>
        </is>
      </c>
      <c r="B712" s="1" t="n">
        <v>45254</v>
      </c>
      <c r="C712" s="1" t="n">
        <v>45505</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59968-2023</t>
        </is>
      </c>
      <c r="B713" s="1" t="n">
        <v>45254</v>
      </c>
      <c r="C713" s="1" t="n">
        <v>45505</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59916-2023</t>
        </is>
      </c>
      <c r="B714" s="1" t="n">
        <v>45257</v>
      </c>
      <c r="C714" s="1" t="n">
        <v>45505</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59864-2023</t>
        </is>
      </c>
      <c r="B715" s="1" t="n">
        <v>45257</v>
      </c>
      <c r="C715" s="1" t="n">
        <v>45505</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59878-2023</t>
        </is>
      </c>
      <c r="B716" s="1" t="n">
        <v>45257</v>
      </c>
      <c r="C716" s="1" t="n">
        <v>45505</v>
      </c>
      <c r="D716" t="inlineStr">
        <is>
          <t>JÄMTLANDS LÄN</t>
        </is>
      </c>
      <c r="E716" t="inlineStr">
        <is>
          <t>ÅRE</t>
        </is>
      </c>
      <c r="G716" t="n">
        <v>0.6</v>
      </c>
      <c r="H716" t="n">
        <v>0</v>
      </c>
      <c r="I716" t="n">
        <v>0</v>
      </c>
      <c r="J716" t="n">
        <v>0</v>
      </c>
      <c r="K716" t="n">
        <v>0</v>
      </c>
      <c r="L716" t="n">
        <v>0</v>
      </c>
      <c r="M716" t="n">
        <v>0</v>
      </c>
      <c r="N716" t="n">
        <v>0</v>
      </c>
      <c r="O716" t="n">
        <v>0</v>
      </c>
      <c r="P716" t="n">
        <v>0</v>
      </c>
      <c r="Q716" t="n">
        <v>0</v>
      </c>
      <c r="R716" s="2" t="inlineStr"/>
    </row>
    <row r="717" ht="15" customHeight="1">
      <c r="A717" t="inlineStr">
        <is>
          <t>A 59892-2023</t>
        </is>
      </c>
      <c r="B717" s="1" t="n">
        <v>45257</v>
      </c>
      <c r="C717" s="1" t="n">
        <v>45505</v>
      </c>
      <c r="D717" t="inlineStr">
        <is>
          <t>JÄMTLANDS LÄN</t>
        </is>
      </c>
      <c r="E717" t="inlineStr">
        <is>
          <t>ÅRE</t>
        </is>
      </c>
      <c r="G717" t="n">
        <v>1.8</v>
      </c>
      <c r="H717" t="n">
        <v>0</v>
      </c>
      <c r="I717" t="n">
        <v>0</v>
      </c>
      <c r="J717" t="n">
        <v>0</v>
      </c>
      <c r="K717" t="n">
        <v>0</v>
      </c>
      <c r="L717" t="n">
        <v>0</v>
      </c>
      <c r="M717" t="n">
        <v>0</v>
      </c>
      <c r="N717" t="n">
        <v>0</v>
      </c>
      <c r="O717" t="n">
        <v>0</v>
      </c>
      <c r="P717" t="n">
        <v>0</v>
      </c>
      <c r="Q717" t="n">
        <v>0</v>
      </c>
      <c r="R717" s="2" t="inlineStr"/>
    </row>
    <row r="718" ht="15" customHeight="1">
      <c r="A718" t="inlineStr">
        <is>
          <t>A 60332-2023</t>
        </is>
      </c>
      <c r="B718" s="1" t="n">
        <v>45258</v>
      </c>
      <c r="C718" s="1" t="n">
        <v>45505</v>
      </c>
      <c r="D718" t="inlineStr">
        <is>
          <t>JÄMTLANDS LÄN</t>
        </is>
      </c>
      <c r="E718" t="inlineStr">
        <is>
          <t>ÅRE</t>
        </is>
      </c>
      <c r="G718" t="n">
        <v>12.5</v>
      </c>
      <c r="H718" t="n">
        <v>0</v>
      </c>
      <c r="I718" t="n">
        <v>0</v>
      </c>
      <c r="J718" t="n">
        <v>0</v>
      </c>
      <c r="K718" t="n">
        <v>0</v>
      </c>
      <c r="L718" t="n">
        <v>0</v>
      </c>
      <c r="M718" t="n">
        <v>0</v>
      </c>
      <c r="N718" t="n">
        <v>0</v>
      </c>
      <c r="O718" t="n">
        <v>0</v>
      </c>
      <c r="P718" t="n">
        <v>0</v>
      </c>
      <c r="Q718" t="n">
        <v>0</v>
      </c>
      <c r="R718" s="2" t="inlineStr"/>
    </row>
    <row r="719" ht="15" customHeight="1">
      <c r="A719" t="inlineStr">
        <is>
          <t>A 60808-2023</t>
        </is>
      </c>
      <c r="B719" s="1" t="n">
        <v>45260</v>
      </c>
      <c r="C719" s="1" t="n">
        <v>45505</v>
      </c>
      <c r="D719" t="inlineStr">
        <is>
          <t>JÄMTLANDS LÄN</t>
        </is>
      </c>
      <c r="E719" t="inlineStr">
        <is>
          <t>ÅRE</t>
        </is>
      </c>
      <c r="G719" t="n">
        <v>10.4</v>
      </c>
      <c r="H719" t="n">
        <v>0</v>
      </c>
      <c r="I719" t="n">
        <v>0</v>
      </c>
      <c r="J719" t="n">
        <v>0</v>
      </c>
      <c r="K719" t="n">
        <v>0</v>
      </c>
      <c r="L719" t="n">
        <v>0</v>
      </c>
      <c r="M719" t="n">
        <v>0</v>
      </c>
      <c r="N719" t="n">
        <v>0</v>
      </c>
      <c r="O719" t="n">
        <v>0</v>
      </c>
      <c r="P719" t="n">
        <v>0</v>
      </c>
      <c r="Q719" t="n">
        <v>0</v>
      </c>
      <c r="R719" s="2" t="inlineStr"/>
    </row>
    <row r="720" ht="15" customHeight="1">
      <c r="A720" t="inlineStr">
        <is>
          <t>A 60973-2023</t>
        </is>
      </c>
      <c r="B720" s="1" t="n">
        <v>45261</v>
      </c>
      <c r="C720" s="1" t="n">
        <v>45505</v>
      </c>
      <c r="D720" t="inlineStr">
        <is>
          <t>JÄMTLANDS LÄN</t>
        </is>
      </c>
      <c r="E720" t="inlineStr">
        <is>
          <t>ÅRE</t>
        </is>
      </c>
      <c r="G720" t="n">
        <v>3.1</v>
      </c>
      <c r="H720" t="n">
        <v>0</v>
      </c>
      <c r="I720" t="n">
        <v>0</v>
      </c>
      <c r="J720" t="n">
        <v>0</v>
      </c>
      <c r="K720" t="n">
        <v>0</v>
      </c>
      <c r="L720" t="n">
        <v>0</v>
      </c>
      <c r="M720" t="n">
        <v>0</v>
      </c>
      <c r="N720" t="n">
        <v>0</v>
      </c>
      <c r="O720" t="n">
        <v>0</v>
      </c>
      <c r="P720" t="n">
        <v>0</v>
      </c>
      <c r="Q720" t="n">
        <v>0</v>
      </c>
      <c r="R720" s="2" t="inlineStr"/>
    </row>
    <row r="721" ht="15" customHeight="1">
      <c r="A721" t="inlineStr">
        <is>
          <t>A 60962-2023</t>
        </is>
      </c>
      <c r="B721" s="1" t="n">
        <v>45261</v>
      </c>
      <c r="C721" s="1" t="n">
        <v>45505</v>
      </c>
      <c r="D721" t="inlineStr">
        <is>
          <t>JÄMTLANDS LÄN</t>
        </is>
      </c>
      <c r="E721" t="inlineStr">
        <is>
          <t>ÅRE</t>
        </is>
      </c>
      <c r="G721" t="n">
        <v>3.2</v>
      </c>
      <c r="H721" t="n">
        <v>0</v>
      </c>
      <c r="I721" t="n">
        <v>0</v>
      </c>
      <c r="J721" t="n">
        <v>0</v>
      </c>
      <c r="K721" t="n">
        <v>0</v>
      </c>
      <c r="L721" t="n">
        <v>0</v>
      </c>
      <c r="M721" t="n">
        <v>0</v>
      </c>
      <c r="N721" t="n">
        <v>0</v>
      </c>
      <c r="O721" t="n">
        <v>0</v>
      </c>
      <c r="P721" t="n">
        <v>0</v>
      </c>
      <c r="Q721" t="n">
        <v>0</v>
      </c>
      <c r="R721" s="2" t="inlineStr"/>
    </row>
    <row r="722" ht="15" customHeight="1">
      <c r="A722" t="inlineStr">
        <is>
          <t>A 61622-2023</t>
        </is>
      </c>
      <c r="B722" s="1" t="n">
        <v>45261</v>
      </c>
      <c r="C722" s="1" t="n">
        <v>45505</v>
      </c>
      <c r="D722" t="inlineStr">
        <is>
          <t>JÄMTLANDS LÄN</t>
        </is>
      </c>
      <c r="E722" t="inlineStr">
        <is>
          <t>ÅRE</t>
        </is>
      </c>
      <c r="G722" t="n">
        <v>1.6</v>
      </c>
      <c r="H722" t="n">
        <v>0</v>
      </c>
      <c r="I722" t="n">
        <v>0</v>
      </c>
      <c r="J722" t="n">
        <v>0</v>
      </c>
      <c r="K722" t="n">
        <v>0</v>
      </c>
      <c r="L722" t="n">
        <v>0</v>
      </c>
      <c r="M722" t="n">
        <v>0</v>
      </c>
      <c r="N722" t="n">
        <v>0</v>
      </c>
      <c r="O722" t="n">
        <v>0</v>
      </c>
      <c r="P722" t="n">
        <v>0</v>
      </c>
      <c r="Q722" t="n">
        <v>0</v>
      </c>
      <c r="R722" s="2" t="inlineStr"/>
    </row>
    <row r="723" ht="15" customHeight="1">
      <c r="A723" t="inlineStr">
        <is>
          <t>A 61183-2023</t>
        </is>
      </c>
      <c r="B723" s="1" t="n">
        <v>45263</v>
      </c>
      <c r="C723" s="1" t="n">
        <v>45505</v>
      </c>
      <c r="D723" t="inlineStr">
        <is>
          <t>JÄMTLANDS LÄN</t>
        </is>
      </c>
      <c r="E723" t="inlineStr">
        <is>
          <t>ÅRE</t>
        </is>
      </c>
      <c r="G723" t="n">
        <v>8.4</v>
      </c>
      <c r="H723" t="n">
        <v>0</v>
      </c>
      <c r="I723" t="n">
        <v>0</v>
      </c>
      <c r="J723" t="n">
        <v>0</v>
      </c>
      <c r="K723" t="n">
        <v>0</v>
      </c>
      <c r="L723" t="n">
        <v>0</v>
      </c>
      <c r="M723" t="n">
        <v>0</v>
      </c>
      <c r="N723" t="n">
        <v>0</v>
      </c>
      <c r="O723" t="n">
        <v>0</v>
      </c>
      <c r="P723" t="n">
        <v>0</v>
      </c>
      <c r="Q723" t="n">
        <v>0</v>
      </c>
      <c r="R723" s="2" t="inlineStr"/>
    </row>
    <row r="724" ht="15" customHeight="1">
      <c r="A724" t="inlineStr">
        <is>
          <t>A 61295-2023</t>
        </is>
      </c>
      <c r="B724" s="1" t="n">
        <v>45264</v>
      </c>
      <c r="C724" s="1" t="n">
        <v>45505</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61477-2023</t>
        </is>
      </c>
      <c r="B725" s="1" t="n">
        <v>45264</v>
      </c>
      <c r="C725" s="1" t="n">
        <v>45505</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61479-2023</t>
        </is>
      </c>
      <c r="B726" s="1" t="n">
        <v>45264</v>
      </c>
      <c r="C726" s="1" t="n">
        <v>45505</v>
      </c>
      <c r="D726" t="inlineStr">
        <is>
          <t>JÄMTLANDS LÄN</t>
        </is>
      </c>
      <c r="E726" t="inlineStr">
        <is>
          <t>ÅRE</t>
        </is>
      </c>
      <c r="G726" t="n">
        <v>2.5</v>
      </c>
      <c r="H726" t="n">
        <v>0</v>
      </c>
      <c r="I726" t="n">
        <v>0</v>
      </c>
      <c r="J726" t="n">
        <v>0</v>
      </c>
      <c r="K726" t="n">
        <v>0</v>
      </c>
      <c r="L726" t="n">
        <v>0</v>
      </c>
      <c r="M726" t="n">
        <v>0</v>
      </c>
      <c r="N726" t="n">
        <v>0</v>
      </c>
      <c r="O726" t="n">
        <v>0</v>
      </c>
      <c r="P726" t="n">
        <v>0</v>
      </c>
      <c r="Q726" t="n">
        <v>0</v>
      </c>
      <c r="R726" s="2" t="inlineStr"/>
    </row>
    <row r="727" ht="15" customHeight="1">
      <c r="A727" t="inlineStr">
        <is>
          <t>A 61482-2023</t>
        </is>
      </c>
      <c r="B727" s="1" t="n">
        <v>45264</v>
      </c>
      <c r="C727" s="1" t="n">
        <v>45505</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61480-2023</t>
        </is>
      </c>
      <c r="B728" s="1" t="n">
        <v>45264</v>
      </c>
      <c r="C728" s="1" t="n">
        <v>45505</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61978-2023</t>
        </is>
      </c>
      <c r="B729" s="1" t="n">
        <v>45266</v>
      </c>
      <c r="C729" s="1" t="n">
        <v>45505</v>
      </c>
      <c r="D729" t="inlineStr">
        <is>
          <t>JÄMTLANDS LÄN</t>
        </is>
      </c>
      <c r="E729" t="inlineStr">
        <is>
          <t>ÅRE</t>
        </is>
      </c>
      <c r="G729" t="n">
        <v>5.5</v>
      </c>
      <c r="H729" t="n">
        <v>0</v>
      </c>
      <c r="I729" t="n">
        <v>0</v>
      </c>
      <c r="J729" t="n">
        <v>0</v>
      </c>
      <c r="K729" t="n">
        <v>0</v>
      </c>
      <c r="L729" t="n">
        <v>0</v>
      </c>
      <c r="M729" t="n">
        <v>0</v>
      </c>
      <c r="N729" t="n">
        <v>0</v>
      </c>
      <c r="O729" t="n">
        <v>0</v>
      </c>
      <c r="P729" t="n">
        <v>0</v>
      </c>
      <c r="Q729" t="n">
        <v>0</v>
      </c>
      <c r="R729" s="2" t="inlineStr"/>
    </row>
    <row r="730" ht="15" customHeight="1">
      <c r="A730" t="inlineStr">
        <is>
          <t>A 63906-2023</t>
        </is>
      </c>
      <c r="B730" s="1" t="n">
        <v>45278</v>
      </c>
      <c r="C730" s="1" t="n">
        <v>45505</v>
      </c>
      <c r="D730" t="inlineStr">
        <is>
          <t>JÄMTLANDS LÄN</t>
        </is>
      </c>
      <c r="E730" t="inlineStr">
        <is>
          <t>ÅRE</t>
        </is>
      </c>
      <c r="G730" t="n">
        <v>12</v>
      </c>
      <c r="H730" t="n">
        <v>0</v>
      </c>
      <c r="I730" t="n">
        <v>0</v>
      </c>
      <c r="J730" t="n">
        <v>0</v>
      </c>
      <c r="K730" t="n">
        <v>0</v>
      </c>
      <c r="L730" t="n">
        <v>0</v>
      </c>
      <c r="M730" t="n">
        <v>0</v>
      </c>
      <c r="N730" t="n">
        <v>0</v>
      </c>
      <c r="O730" t="n">
        <v>0</v>
      </c>
      <c r="P730" t="n">
        <v>0</v>
      </c>
      <c r="Q730" t="n">
        <v>0</v>
      </c>
      <c r="R730" s="2" t="inlineStr"/>
    </row>
    <row r="731" ht="15" customHeight="1">
      <c r="A731" t="inlineStr">
        <is>
          <t>A 64312-2023</t>
        </is>
      </c>
      <c r="B731" s="1" t="n">
        <v>45279</v>
      </c>
      <c r="C731" s="1" t="n">
        <v>45505</v>
      </c>
      <c r="D731" t="inlineStr">
        <is>
          <t>JÄMTLANDS LÄN</t>
        </is>
      </c>
      <c r="E731" t="inlineStr">
        <is>
          <t>ÅRE</t>
        </is>
      </c>
      <c r="G731" t="n">
        <v>13.4</v>
      </c>
      <c r="H731" t="n">
        <v>0</v>
      </c>
      <c r="I731" t="n">
        <v>0</v>
      </c>
      <c r="J731" t="n">
        <v>0</v>
      </c>
      <c r="K731" t="n">
        <v>0</v>
      </c>
      <c r="L731" t="n">
        <v>0</v>
      </c>
      <c r="M731" t="n">
        <v>0</v>
      </c>
      <c r="N731" t="n">
        <v>0</v>
      </c>
      <c r="O731" t="n">
        <v>0</v>
      </c>
      <c r="P731" t="n">
        <v>0</v>
      </c>
      <c r="Q731" t="n">
        <v>0</v>
      </c>
      <c r="R731" s="2" t="inlineStr"/>
    </row>
    <row r="732" ht="15" customHeight="1">
      <c r="A732" t="inlineStr">
        <is>
          <t>A 64758-2023</t>
        </is>
      </c>
      <c r="B732" s="1" t="n">
        <v>45281</v>
      </c>
      <c r="C732" s="1" t="n">
        <v>45505</v>
      </c>
      <c r="D732" t="inlineStr">
        <is>
          <t>JÄMTLANDS LÄN</t>
        </is>
      </c>
      <c r="E732" t="inlineStr">
        <is>
          <t>ÅRE</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65029-2023</t>
        </is>
      </c>
      <c r="B733" s="1" t="n">
        <v>45287</v>
      </c>
      <c r="C733" s="1" t="n">
        <v>45505</v>
      </c>
      <c r="D733" t="inlineStr">
        <is>
          <t>JÄMTLANDS LÄN</t>
        </is>
      </c>
      <c r="E733" t="inlineStr">
        <is>
          <t>ÅRE</t>
        </is>
      </c>
      <c r="G733" t="n">
        <v>18.2</v>
      </c>
      <c r="H733" t="n">
        <v>0</v>
      </c>
      <c r="I733" t="n">
        <v>0</v>
      </c>
      <c r="J733" t="n">
        <v>0</v>
      </c>
      <c r="K733" t="n">
        <v>0</v>
      </c>
      <c r="L733" t="n">
        <v>0</v>
      </c>
      <c r="M733" t="n">
        <v>0</v>
      </c>
      <c r="N733" t="n">
        <v>0</v>
      </c>
      <c r="O733" t="n">
        <v>0</v>
      </c>
      <c r="P733" t="n">
        <v>0</v>
      </c>
      <c r="Q733" t="n">
        <v>0</v>
      </c>
      <c r="R733" s="2" t="inlineStr"/>
    </row>
    <row r="734" ht="15" customHeight="1">
      <c r="A734" t="inlineStr">
        <is>
          <t>A 65079-2023</t>
        </is>
      </c>
      <c r="B734" s="1" t="n">
        <v>45288</v>
      </c>
      <c r="C734" s="1" t="n">
        <v>45505</v>
      </c>
      <c r="D734" t="inlineStr">
        <is>
          <t>JÄMTLANDS LÄN</t>
        </is>
      </c>
      <c r="E734" t="inlineStr">
        <is>
          <t>ÅRE</t>
        </is>
      </c>
      <c r="G734" t="n">
        <v>6</v>
      </c>
      <c r="H734" t="n">
        <v>0</v>
      </c>
      <c r="I734" t="n">
        <v>0</v>
      </c>
      <c r="J734" t="n">
        <v>0</v>
      </c>
      <c r="K734" t="n">
        <v>0</v>
      </c>
      <c r="L734" t="n">
        <v>0</v>
      </c>
      <c r="M734" t="n">
        <v>0</v>
      </c>
      <c r="N734" t="n">
        <v>0</v>
      </c>
      <c r="O734" t="n">
        <v>0</v>
      </c>
      <c r="P734" t="n">
        <v>0</v>
      </c>
      <c r="Q734" t="n">
        <v>0</v>
      </c>
      <c r="R734" s="2" t="inlineStr"/>
    </row>
    <row r="735" ht="15" customHeight="1">
      <c r="A735" t="inlineStr">
        <is>
          <t>A 65078-2023</t>
        </is>
      </c>
      <c r="B735" s="1" t="n">
        <v>45288</v>
      </c>
      <c r="C735" s="1" t="n">
        <v>45505</v>
      </c>
      <c r="D735" t="inlineStr">
        <is>
          <t>JÄMTLANDS LÄN</t>
        </is>
      </c>
      <c r="E735" t="inlineStr">
        <is>
          <t>ÅRE</t>
        </is>
      </c>
      <c r="G735" t="n">
        <v>2.2</v>
      </c>
      <c r="H735" t="n">
        <v>0</v>
      </c>
      <c r="I735" t="n">
        <v>0</v>
      </c>
      <c r="J735" t="n">
        <v>0</v>
      </c>
      <c r="K735" t="n">
        <v>0</v>
      </c>
      <c r="L735" t="n">
        <v>0</v>
      </c>
      <c r="M735" t="n">
        <v>0</v>
      </c>
      <c r="N735" t="n">
        <v>0</v>
      </c>
      <c r="O735" t="n">
        <v>0</v>
      </c>
      <c r="P735" t="n">
        <v>0</v>
      </c>
      <c r="Q735" t="n">
        <v>0</v>
      </c>
      <c r="R735" s="2" t="inlineStr"/>
    </row>
    <row r="736" ht="15" customHeight="1">
      <c r="A736" t="inlineStr">
        <is>
          <t>A 65033-2023</t>
        </is>
      </c>
      <c r="B736" s="1" t="n">
        <v>45287</v>
      </c>
      <c r="C736" s="1" t="n">
        <v>45505</v>
      </c>
      <c r="D736" t="inlineStr">
        <is>
          <t>JÄMTLANDS LÄN</t>
        </is>
      </c>
      <c r="E736" t="inlineStr">
        <is>
          <t>ÅRE</t>
        </is>
      </c>
      <c r="G736" t="n">
        <v>2.8</v>
      </c>
      <c r="H736" t="n">
        <v>0</v>
      </c>
      <c r="I736" t="n">
        <v>0</v>
      </c>
      <c r="J736" t="n">
        <v>0</v>
      </c>
      <c r="K736" t="n">
        <v>0</v>
      </c>
      <c r="L736" t="n">
        <v>0</v>
      </c>
      <c r="M736" t="n">
        <v>0</v>
      </c>
      <c r="N736" t="n">
        <v>0</v>
      </c>
      <c r="O736" t="n">
        <v>0</v>
      </c>
      <c r="P736" t="n">
        <v>0</v>
      </c>
      <c r="Q736" t="n">
        <v>0</v>
      </c>
      <c r="R736" s="2" t="inlineStr"/>
    </row>
    <row r="737" ht="15" customHeight="1">
      <c r="A737" t="inlineStr">
        <is>
          <t>A 376-2024</t>
        </is>
      </c>
      <c r="B737" s="1" t="n">
        <v>45296</v>
      </c>
      <c r="C737" s="1" t="n">
        <v>45505</v>
      </c>
      <c r="D737" t="inlineStr">
        <is>
          <t>JÄMTLANDS LÄN</t>
        </is>
      </c>
      <c r="E737" t="inlineStr">
        <is>
          <t>ÅRE</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393-2024</t>
        </is>
      </c>
      <c r="B738" s="1" t="n">
        <v>45296</v>
      </c>
      <c r="C738" s="1" t="n">
        <v>45505</v>
      </c>
      <c r="D738" t="inlineStr">
        <is>
          <t>JÄMTLANDS LÄN</t>
        </is>
      </c>
      <c r="E738" t="inlineStr">
        <is>
          <t>ÅRE</t>
        </is>
      </c>
      <c r="G738" t="n">
        <v>6.5</v>
      </c>
      <c r="H738" t="n">
        <v>0</v>
      </c>
      <c r="I738" t="n">
        <v>0</v>
      </c>
      <c r="J738" t="n">
        <v>0</v>
      </c>
      <c r="K738" t="n">
        <v>0</v>
      </c>
      <c r="L738" t="n">
        <v>0</v>
      </c>
      <c r="M738" t="n">
        <v>0</v>
      </c>
      <c r="N738" t="n">
        <v>0</v>
      </c>
      <c r="O738" t="n">
        <v>0</v>
      </c>
      <c r="P738" t="n">
        <v>0</v>
      </c>
      <c r="Q738" t="n">
        <v>0</v>
      </c>
      <c r="R738" s="2" t="inlineStr"/>
    </row>
    <row r="739" ht="15" customHeight="1">
      <c r="A739" t="inlineStr">
        <is>
          <t>A 747-2024</t>
        </is>
      </c>
      <c r="B739" s="1" t="n">
        <v>45300</v>
      </c>
      <c r="C739" s="1" t="n">
        <v>45505</v>
      </c>
      <c r="D739" t="inlineStr">
        <is>
          <t>JÄMTLANDS LÄN</t>
        </is>
      </c>
      <c r="E739" t="inlineStr">
        <is>
          <t>ÅRE</t>
        </is>
      </c>
      <c r="G739" t="n">
        <v>4.8</v>
      </c>
      <c r="H739" t="n">
        <v>0</v>
      </c>
      <c r="I739" t="n">
        <v>0</v>
      </c>
      <c r="J739" t="n">
        <v>0</v>
      </c>
      <c r="K739" t="n">
        <v>0</v>
      </c>
      <c r="L739" t="n">
        <v>0</v>
      </c>
      <c r="M739" t="n">
        <v>0</v>
      </c>
      <c r="N739" t="n">
        <v>0</v>
      </c>
      <c r="O739" t="n">
        <v>0</v>
      </c>
      <c r="P739" t="n">
        <v>0</v>
      </c>
      <c r="Q739" t="n">
        <v>0</v>
      </c>
      <c r="R739" s="2" t="inlineStr"/>
    </row>
    <row r="740" ht="15" customHeight="1">
      <c r="A740" t="inlineStr">
        <is>
          <t>A 1050-2024</t>
        </is>
      </c>
      <c r="B740" s="1" t="n">
        <v>45301</v>
      </c>
      <c r="C740" s="1" t="n">
        <v>45505</v>
      </c>
      <c r="D740" t="inlineStr">
        <is>
          <t>JÄMTLANDS LÄN</t>
        </is>
      </c>
      <c r="E740" t="inlineStr">
        <is>
          <t>ÅRE</t>
        </is>
      </c>
      <c r="G740" t="n">
        <v>1.8</v>
      </c>
      <c r="H740" t="n">
        <v>0</v>
      </c>
      <c r="I740" t="n">
        <v>0</v>
      </c>
      <c r="J740" t="n">
        <v>0</v>
      </c>
      <c r="K740" t="n">
        <v>0</v>
      </c>
      <c r="L740" t="n">
        <v>0</v>
      </c>
      <c r="M740" t="n">
        <v>0</v>
      </c>
      <c r="N740" t="n">
        <v>0</v>
      </c>
      <c r="O740" t="n">
        <v>0</v>
      </c>
      <c r="P740" t="n">
        <v>0</v>
      </c>
      <c r="Q740" t="n">
        <v>0</v>
      </c>
      <c r="R740" s="2" t="inlineStr"/>
    </row>
    <row r="741" ht="15" customHeight="1">
      <c r="A741" t="inlineStr">
        <is>
          <t>A 1378-2024</t>
        </is>
      </c>
      <c r="B741" s="1" t="n">
        <v>45303</v>
      </c>
      <c r="C741" s="1" t="n">
        <v>45505</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1460-2024</t>
        </is>
      </c>
      <c r="B742" s="1" t="n">
        <v>45303</v>
      </c>
      <c r="C742" s="1" t="n">
        <v>45505</v>
      </c>
      <c r="D742" t="inlineStr">
        <is>
          <t>JÄMTLANDS LÄN</t>
        </is>
      </c>
      <c r="E742" t="inlineStr">
        <is>
          <t>ÅRE</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1491-2024</t>
        </is>
      </c>
      <c r="B743" s="1" t="n">
        <v>45305</v>
      </c>
      <c r="C743" s="1" t="n">
        <v>45505</v>
      </c>
      <c r="D743" t="inlineStr">
        <is>
          <t>JÄMTLANDS LÄN</t>
        </is>
      </c>
      <c r="E743" t="inlineStr">
        <is>
          <t>ÅRE</t>
        </is>
      </c>
      <c r="G743" t="n">
        <v>31.4</v>
      </c>
      <c r="H743" t="n">
        <v>0</v>
      </c>
      <c r="I743" t="n">
        <v>0</v>
      </c>
      <c r="J743" t="n">
        <v>0</v>
      </c>
      <c r="K743" t="n">
        <v>0</v>
      </c>
      <c r="L743" t="n">
        <v>0</v>
      </c>
      <c r="M743" t="n">
        <v>0</v>
      </c>
      <c r="N743" t="n">
        <v>0</v>
      </c>
      <c r="O743" t="n">
        <v>0</v>
      </c>
      <c r="P743" t="n">
        <v>0</v>
      </c>
      <c r="Q743" t="n">
        <v>0</v>
      </c>
      <c r="R743" s="2" t="inlineStr"/>
    </row>
    <row r="744" ht="15" customHeight="1">
      <c r="A744" t="inlineStr">
        <is>
          <t>A 6825-2024</t>
        </is>
      </c>
      <c r="B744" s="1" t="n">
        <v>45342</v>
      </c>
      <c r="C744" s="1" t="n">
        <v>45505</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7334-2024</t>
        </is>
      </c>
      <c r="B745" s="1" t="n">
        <v>45345</v>
      </c>
      <c r="C745" s="1" t="n">
        <v>45505</v>
      </c>
      <c r="D745" t="inlineStr">
        <is>
          <t>JÄMTLANDS LÄN</t>
        </is>
      </c>
      <c r="E745" t="inlineStr">
        <is>
          <t>ÅRE</t>
        </is>
      </c>
      <c r="G745" t="n">
        <v>12.7</v>
      </c>
      <c r="H745" t="n">
        <v>0</v>
      </c>
      <c r="I745" t="n">
        <v>0</v>
      </c>
      <c r="J745" t="n">
        <v>0</v>
      </c>
      <c r="K745" t="n">
        <v>0</v>
      </c>
      <c r="L745" t="n">
        <v>0</v>
      </c>
      <c r="M745" t="n">
        <v>0</v>
      </c>
      <c r="N745" t="n">
        <v>0</v>
      </c>
      <c r="O745" t="n">
        <v>0</v>
      </c>
      <c r="P745" t="n">
        <v>0</v>
      </c>
      <c r="Q745" t="n">
        <v>0</v>
      </c>
      <c r="R745" s="2" t="inlineStr"/>
    </row>
    <row r="746" ht="15" customHeight="1">
      <c r="A746" t="inlineStr">
        <is>
          <t>A 7323-2024</t>
        </is>
      </c>
      <c r="B746" s="1" t="n">
        <v>45345</v>
      </c>
      <c r="C746" s="1" t="n">
        <v>45505</v>
      </c>
      <c r="D746" t="inlineStr">
        <is>
          <t>JÄMTLANDS LÄN</t>
        </is>
      </c>
      <c r="E746" t="inlineStr">
        <is>
          <t>ÅRE</t>
        </is>
      </c>
      <c r="G746" t="n">
        <v>3.7</v>
      </c>
      <c r="H746" t="n">
        <v>0</v>
      </c>
      <c r="I746" t="n">
        <v>0</v>
      </c>
      <c r="J746" t="n">
        <v>0</v>
      </c>
      <c r="K746" t="n">
        <v>0</v>
      </c>
      <c r="L746" t="n">
        <v>0</v>
      </c>
      <c r="M746" t="n">
        <v>0</v>
      </c>
      <c r="N746" t="n">
        <v>0</v>
      </c>
      <c r="O746" t="n">
        <v>0</v>
      </c>
      <c r="P746" t="n">
        <v>0</v>
      </c>
      <c r="Q746" t="n">
        <v>0</v>
      </c>
      <c r="R746" s="2" t="inlineStr"/>
    </row>
    <row r="747" ht="15" customHeight="1">
      <c r="A747" t="inlineStr">
        <is>
          <t>A 8576-2024</t>
        </is>
      </c>
      <c r="B747" s="1" t="n">
        <v>45355</v>
      </c>
      <c r="C747" s="1" t="n">
        <v>45505</v>
      </c>
      <c r="D747" t="inlineStr">
        <is>
          <t>JÄMTLANDS LÄN</t>
        </is>
      </c>
      <c r="E747" t="inlineStr">
        <is>
          <t>ÅRE</t>
        </is>
      </c>
      <c r="G747" t="n">
        <v>21.7</v>
      </c>
      <c r="H747" t="n">
        <v>0</v>
      </c>
      <c r="I747" t="n">
        <v>0</v>
      </c>
      <c r="J747" t="n">
        <v>0</v>
      </c>
      <c r="K747" t="n">
        <v>0</v>
      </c>
      <c r="L747" t="n">
        <v>0</v>
      </c>
      <c r="M747" t="n">
        <v>0</v>
      </c>
      <c r="N747" t="n">
        <v>0</v>
      </c>
      <c r="O747" t="n">
        <v>0</v>
      </c>
      <c r="P747" t="n">
        <v>0</v>
      </c>
      <c r="Q747" t="n">
        <v>0</v>
      </c>
      <c r="R747" s="2" t="inlineStr"/>
    </row>
    <row r="748" ht="15" customHeight="1">
      <c r="A748" t="inlineStr">
        <is>
          <t>A 9926-2024</t>
        </is>
      </c>
      <c r="B748" s="1" t="n">
        <v>45363</v>
      </c>
      <c r="C748" s="1" t="n">
        <v>45505</v>
      </c>
      <c r="D748" t="inlineStr">
        <is>
          <t>JÄMTLANDS LÄN</t>
        </is>
      </c>
      <c r="E748" t="inlineStr">
        <is>
          <t>ÅRE</t>
        </is>
      </c>
      <c r="G748" t="n">
        <v>3.4</v>
      </c>
      <c r="H748" t="n">
        <v>0</v>
      </c>
      <c r="I748" t="n">
        <v>0</v>
      </c>
      <c r="J748" t="n">
        <v>0</v>
      </c>
      <c r="K748" t="n">
        <v>0</v>
      </c>
      <c r="L748" t="n">
        <v>0</v>
      </c>
      <c r="M748" t="n">
        <v>0</v>
      </c>
      <c r="N748" t="n">
        <v>0</v>
      </c>
      <c r="O748" t="n">
        <v>0</v>
      </c>
      <c r="P748" t="n">
        <v>0</v>
      </c>
      <c r="Q748" t="n">
        <v>0</v>
      </c>
      <c r="R748" s="2" t="inlineStr"/>
    </row>
    <row r="749" ht="15" customHeight="1">
      <c r="A749" t="inlineStr">
        <is>
          <t>A 9936-2024</t>
        </is>
      </c>
      <c r="B749" s="1" t="n">
        <v>45363</v>
      </c>
      <c r="C749" s="1" t="n">
        <v>45505</v>
      </c>
      <c r="D749" t="inlineStr">
        <is>
          <t>JÄMTLANDS LÄN</t>
        </is>
      </c>
      <c r="E749" t="inlineStr">
        <is>
          <t>ÅRE</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11291-2024</t>
        </is>
      </c>
      <c r="B750" s="1" t="n">
        <v>45371</v>
      </c>
      <c r="C750" s="1" t="n">
        <v>45505</v>
      </c>
      <c r="D750" t="inlineStr">
        <is>
          <t>JÄMTLANDS LÄN</t>
        </is>
      </c>
      <c r="E750" t="inlineStr">
        <is>
          <t>ÅRE</t>
        </is>
      </c>
      <c r="G750" t="n">
        <v>4.4</v>
      </c>
      <c r="H750" t="n">
        <v>0</v>
      </c>
      <c r="I750" t="n">
        <v>0</v>
      </c>
      <c r="J750" t="n">
        <v>0</v>
      </c>
      <c r="K750" t="n">
        <v>0</v>
      </c>
      <c r="L750" t="n">
        <v>0</v>
      </c>
      <c r="M750" t="n">
        <v>0</v>
      </c>
      <c r="N750" t="n">
        <v>0</v>
      </c>
      <c r="O750" t="n">
        <v>0</v>
      </c>
      <c r="P750" t="n">
        <v>0</v>
      </c>
      <c r="Q750" t="n">
        <v>0</v>
      </c>
      <c r="R750" s="2" t="inlineStr"/>
    </row>
    <row r="751" ht="15" customHeight="1">
      <c r="A751" t="inlineStr">
        <is>
          <t>A 11292-2024</t>
        </is>
      </c>
      <c r="B751" s="1" t="n">
        <v>45371</v>
      </c>
      <c r="C751" s="1" t="n">
        <v>45505</v>
      </c>
      <c r="D751" t="inlineStr">
        <is>
          <t>JÄMTLANDS LÄN</t>
        </is>
      </c>
      <c r="E751" t="inlineStr">
        <is>
          <t>ÅRE</t>
        </is>
      </c>
      <c r="G751" t="n">
        <v>1.1</v>
      </c>
      <c r="H751" t="n">
        <v>0</v>
      </c>
      <c r="I751" t="n">
        <v>0</v>
      </c>
      <c r="J751" t="n">
        <v>0</v>
      </c>
      <c r="K751" t="n">
        <v>0</v>
      </c>
      <c r="L751" t="n">
        <v>0</v>
      </c>
      <c r="M751" t="n">
        <v>0</v>
      </c>
      <c r="N751" t="n">
        <v>0</v>
      </c>
      <c r="O751" t="n">
        <v>0</v>
      </c>
      <c r="P751" t="n">
        <v>0</v>
      </c>
      <c r="Q751" t="n">
        <v>0</v>
      </c>
      <c r="R751" s="2" t="inlineStr"/>
    </row>
    <row r="752" ht="15" customHeight="1">
      <c r="A752" t="inlineStr">
        <is>
          <t>A 11914-2024</t>
        </is>
      </c>
      <c r="B752" s="1" t="n">
        <v>45376</v>
      </c>
      <c r="C752" s="1" t="n">
        <v>45505</v>
      </c>
      <c r="D752" t="inlineStr">
        <is>
          <t>JÄMTLANDS LÄN</t>
        </is>
      </c>
      <c r="E752" t="inlineStr">
        <is>
          <t>ÅRE</t>
        </is>
      </c>
      <c r="G752" t="n">
        <v>2.5</v>
      </c>
      <c r="H752" t="n">
        <v>0</v>
      </c>
      <c r="I752" t="n">
        <v>0</v>
      </c>
      <c r="J752" t="n">
        <v>0</v>
      </c>
      <c r="K752" t="n">
        <v>0</v>
      </c>
      <c r="L752" t="n">
        <v>0</v>
      </c>
      <c r="M752" t="n">
        <v>0</v>
      </c>
      <c r="N752" t="n">
        <v>0</v>
      </c>
      <c r="O752" t="n">
        <v>0</v>
      </c>
      <c r="P752" t="n">
        <v>0</v>
      </c>
      <c r="Q752" t="n">
        <v>0</v>
      </c>
      <c r="R752" s="2" t="inlineStr"/>
    </row>
    <row r="753" ht="15" customHeight="1">
      <c r="A753" t="inlineStr">
        <is>
          <t>A 11820-2024</t>
        </is>
      </c>
      <c r="B753" s="1" t="n">
        <v>45376</v>
      </c>
      <c r="C753" s="1" t="n">
        <v>45505</v>
      </c>
      <c r="D753" t="inlineStr">
        <is>
          <t>JÄMTLANDS LÄN</t>
        </is>
      </c>
      <c r="E753" t="inlineStr">
        <is>
          <t>ÅRE</t>
        </is>
      </c>
      <c r="G753" t="n">
        <v>9.9</v>
      </c>
      <c r="H753" t="n">
        <v>0</v>
      </c>
      <c r="I753" t="n">
        <v>0</v>
      </c>
      <c r="J753" t="n">
        <v>0</v>
      </c>
      <c r="K753" t="n">
        <v>0</v>
      </c>
      <c r="L753" t="n">
        <v>0</v>
      </c>
      <c r="M753" t="n">
        <v>0</v>
      </c>
      <c r="N753" t="n">
        <v>0</v>
      </c>
      <c r="O753" t="n">
        <v>0</v>
      </c>
      <c r="P753" t="n">
        <v>0</v>
      </c>
      <c r="Q753" t="n">
        <v>0</v>
      </c>
      <c r="R753" s="2" t="inlineStr"/>
    </row>
    <row r="754" ht="15" customHeight="1">
      <c r="A754" t="inlineStr">
        <is>
          <t>A 12427-2024</t>
        </is>
      </c>
      <c r="B754" s="1" t="n">
        <v>45379</v>
      </c>
      <c r="C754" s="1" t="n">
        <v>45505</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12895-2024</t>
        </is>
      </c>
      <c r="B755" s="1" t="n">
        <v>45385</v>
      </c>
      <c r="C755" s="1" t="n">
        <v>45505</v>
      </c>
      <c r="D755" t="inlineStr">
        <is>
          <t>JÄMTLANDS LÄN</t>
        </is>
      </c>
      <c r="E755" t="inlineStr">
        <is>
          <t>ÅRE</t>
        </is>
      </c>
      <c r="G755" t="n">
        <v>7.1</v>
      </c>
      <c r="H755" t="n">
        <v>0</v>
      </c>
      <c r="I755" t="n">
        <v>0</v>
      </c>
      <c r="J755" t="n">
        <v>0</v>
      </c>
      <c r="K755" t="n">
        <v>0</v>
      </c>
      <c r="L755" t="n">
        <v>0</v>
      </c>
      <c r="M755" t="n">
        <v>0</v>
      </c>
      <c r="N755" t="n">
        <v>0</v>
      </c>
      <c r="O755" t="n">
        <v>0</v>
      </c>
      <c r="P755" t="n">
        <v>0</v>
      </c>
      <c r="Q755" t="n">
        <v>0</v>
      </c>
      <c r="R755" s="2" t="inlineStr"/>
    </row>
    <row r="756" ht="15" customHeight="1">
      <c r="A756" t="inlineStr">
        <is>
          <t>A 12933-2024</t>
        </is>
      </c>
      <c r="B756" s="1" t="n">
        <v>45385</v>
      </c>
      <c r="C756" s="1" t="n">
        <v>45505</v>
      </c>
      <c r="D756" t="inlineStr">
        <is>
          <t>JÄMTLANDS LÄN</t>
        </is>
      </c>
      <c r="E756" t="inlineStr">
        <is>
          <t>ÅRE</t>
        </is>
      </c>
      <c r="G756" t="n">
        <v>0.9</v>
      </c>
      <c r="H756" t="n">
        <v>0</v>
      </c>
      <c r="I756" t="n">
        <v>0</v>
      </c>
      <c r="J756" t="n">
        <v>0</v>
      </c>
      <c r="K756" t="n">
        <v>0</v>
      </c>
      <c r="L756" t="n">
        <v>0</v>
      </c>
      <c r="M756" t="n">
        <v>0</v>
      </c>
      <c r="N756" t="n">
        <v>0</v>
      </c>
      <c r="O756" t="n">
        <v>0</v>
      </c>
      <c r="P756" t="n">
        <v>0</v>
      </c>
      <c r="Q756" t="n">
        <v>0</v>
      </c>
      <c r="R756" s="2" t="inlineStr"/>
    </row>
    <row r="757" ht="15" customHeight="1">
      <c r="A757" t="inlineStr">
        <is>
          <t>A 12948-2024</t>
        </is>
      </c>
      <c r="B757" s="1" t="n">
        <v>45385</v>
      </c>
      <c r="C757" s="1" t="n">
        <v>45505</v>
      </c>
      <c r="D757" t="inlineStr">
        <is>
          <t>JÄMTLANDS LÄN</t>
        </is>
      </c>
      <c r="E757" t="inlineStr">
        <is>
          <t>ÅRE</t>
        </is>
      </c>
      <c r="G757" t="n">
        <v>1.4</v>
      </c>
      <c r="H757" t="n">
        <v>0</v>
      </c>
      <c r="I757" t="n">
        <v>0</v>
      </c>
      <c r="J757" t="n">
        <v>0</v>
      </c>
      <c r="K757" t="n">
        <v>0</v>
      </c>
      <c r="L757" t="n">
        <v>0</v>
      </c>
      <c r="M757" t="n">
        <v>0</v>
      </c>
      <c r="N757" t="n">
        <v>0</v>
      </c>
      <c r="O757" t="n">
        <v>0</v>
      </c>
      <c r="P757" t="n">
        <v>0</v>
      </c>
      <c r="Q757" t="n">
        <v>0</v>
      </c>
      <c r="R757" s="2" t="inlineStr"/>
    </row>
    <row r="758" ht="15" customHeight="1">
      <c r="A758" t="inlineStr">
        <is>
          <t>A 13039-2024</t>
        </is>
      </c>
      <c r="B758" s="1" t="n">
        <v>45385</v>
      </c>
      <c r="C758" s="1" t="n">
        <v>45505</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13033-2024</t>
        </is>
      </c>
      <c r="B759" s="1" t="n">
        <v>45385</v>
      </c>
      <c r="C759" s="1" t="n">
        <v>45505</v>
      </c>
      <c r="D759" t="inlineStr">
        <is>
          <t>JÄMTLANDS LÄN</t>
        </is>
      </c>
      <c r="E759" t="inlineStr">
        <is>
          <t>ÅRE</t>
        </is>
      </c>
      <c r="G759" t="n">
        <v>7.3</v>
      </c>
      <c r="H759" t="n">
        <v>0</v>
      </c>
      <c r="I759" t="n">
        <v>0</v>
      </c>
      <c r="J759" t="n">
        <v>0</v>
      </c>
      <c r="K759" t="n">
        <v>0</v>
      </c>
      <c r="L759" t="n">
        <v>0</v>
      </c>
      <c r="M759" t="n">
        <v>0</v>
      </c>
      <c r="N759" t="n">
        <v>0</v>
      </c>
      <c r="O759" t="n">
        <v>0</v>
      </c>
      <c r="P759" t="n">
        <v>0</v>
      </c>
      <c r="Q759" t="n">
        <v>0</v>
      </c>
      <c r="R759" s="2" t="inlineStr"/>
    </row>
    <row r="760" ht="15" customHeight="1">
      <c r="A760" t="inlineStr">
        <is>
          <t>A 13062-2024</t>
        </is>
      </c>
      <c r="B760" s="1" t="n">
        <v>45385</v>
      </c>
      <c r="C760" s="1" t="n">
        <v>45505</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12930-2024</t>
        </is>
      </c>
      <c r="B761" s="1" t="n">
        <v>45385</v>
      </c>
      <c r="C761" s="1" t="n">
        <v>45505</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12951-2024</t>
        </is>
      </c>
      <c r="B762" s="1" t="n">
        <v>45385</v>
      </c>
      <c r="C762" s="1" t="n">
        <v>45505</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13022-2024</t>
        </is>
      </c>
      <c r="B763" s="1" t="n">
        <v>45385</v>
      </c>
      <c r="C763" s="1" t="n">
        <v>45505</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12936-2024</t>
        </is>
      </c>
      <c r="B764" s="1" t="n">
        <v>45385</v>
      </c>
      <c r="C764" s="1" t="n">
        <v>45505</v>
      </c>
      <c r="D764" t="inlineStr">
        <is>
          <t>JÄMTLANDS LÄN</t>
        </is>
      </c>
      <c r="E764" t="inlineStr">
        <is>
          <t>ÅRE</t>
        </is>
      </c>
      <c r="G764" t="n">
        <v>4.9</v>
      </c>
      <c r="H764" t="n">
        <v>0</v>
      </c>
      <c r="I764" t="n">
        <v>0</v>
      </c>
      <c r="J764" t="n">
        <v>0</v>
      </c>
      <c r="K764" t="n">
        <v>0</v>
      </c>
      <c r="L764" t="n">
        <v>0</v>
      </c>
      <c r="M764" t="n">
        <v>0</v>
      </c>
      <c r="N764" t="n">
        <v>0</v>
      </c>
      <c r="O764" t="n">
        <v>0</v>
      </c>
      <c r="P764" t="n">
        <v>0</v>
      </c>
      <c r="Q764" t="n">
        <v>0</v>
      </c>
      <c r="R764" s="2" t="inlineStr"/>
    </row>
    <row r="765" ht="15" customHeight="1">
      <c r="A765" t="inlineStr">
        <is>
          <t>A 12940-2024</t>
        </is>
      </c>
      <c r="B765" s="1" t="n">
        <v>45385</v>
      </c>
      <c r="C765" s="1" t="n">
        <v>45505</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13097-2024</t>
        </is>
      </c>
      <c r="B766" s="1" t="n">
        <v>45385</v>
      </c>
      <c r="C766" s="1" t="n">
        <v>45505</v>
      </c>
      <c r="D766" t="inlineStr">
        <is>
          <t>JÄMTLANDS LÄN</t>
        </is>
      </c>
      <c r="E766" t="inlineStr">
        <is>
          <t>ÅRE</t>
        </is>
      </c>
      <c r="G766" t="n">
        <v>31.4</v>
      </c>
      <c r="H766" t="n">
        <v>0</v>
      </c>
      <c r="I766" t="n">
        <v>0</v>
      </c>
      <c r="J766" t="n">
        <v>0</v>
      </c>
      <c r="K766" t="n">
        <v>0</v>
      </c>
      <c r="L766" t="n">
        <v>0</v>
      </c>
      <c r="M766" t="n">
        <v>0</v>
      </c>
      <c r="N766" t="n">
        <v>0</v>
      </c>
      <c r="O766" t="n">
        <v>0</v>
      </c>
      <c r="P766" t="n">
        <v>0</v>
      </c>
      <c r="Q766" t="n">
        <v>0</v>
      </c>
      <c r="R766" s="2" t="inlineStr"/>
    </row>
    <row r="767" ht="15" customHeight="1">
      <c r="A767" t="inlineStr">
        <is>
          <t>A 13301-2024</t>
        </is>
      </c>
      <c r="B767" s="1" t="n">
        <v>45386</v>
      </c>
      <c r="C767" s="1" t="n">
        <v>45505</v>
      </c>
      <c r="D767" t="inlineStr">
        <is>
          <t>JÄMTLANDS LÄN</t>
        </is>
      </c>
      <c r="E767" t="inlineStr">
        <is>
          <t>ÅRE</t>
        </is>
      </c>
      <c r="G767" t="n">
        <v>9</v>
      </c>
      <c r="H767" t="n">
        <v>0</v>
      </c>
      <c r="I767" t="n">
        <v>0</v>
      </c>
      <c r="J767" t="n">
        <v>0</v>
      </c>
      <c r="K767" t="n">
        <v>0</v>
      </c>
      <c r="L767" t="n">
        <v>0</v>
      </c>
      <c r="M767" t="n">
        <v>0</v>
      </c>
      <c r="N767" t="n">
        <v>0</v>
      </c>
      <c r="O767" t="n">
        <v>0</v>
      </c>
      <c r="P767" t="n">
        <v>0</v>
      </c>
      <c r="Q767" t="n">
        <v>0</v>
      </c>
      <c r="R767" s="2" t="inlineStr"/>
    </row>
    <row r="768" ht="15" customHeight="1">
      <c r="A768" t="inlineStr">
        <is>
          <t>A 13370-2024</t>
        </is>
      </c>
      <c r="B768" s="1" t="n">
        <v>45387</v>
      </c>
      <c r="C768" s="1" t="n">
        <v>45505</v>
      </c>
      <c r="D768" t="inlineStr">
        <is>
          <t>JÄMTLANDS LÄN</t>
        </is>
      </c>
      <c r="E768" t="inlineStr">
        <is>
          <t>ÅRE</t>
        </is>
      </c>
      <c r="G768" t="n">
        <v>8.5</v>
      </c>
      <c r="H768" t="n">
        <v>0</v>
      </c>
      <c r="I768" t="n">
        <v>0</v>
      </c>
      <c r="J768" t="n">
        <v>0</v>
      </c>
      <c r="K768" t="n">
        <v>0</v>
      </c>
      <c r="L768" t="n">
        <v>0</v>
      </c>
      <c r="M768" t="n">
        <v>0</v>
      </c>
      <c r="N768" t="n">
        <v>0</v>
      </c>
      <c r="O768" t="n">
        <v>0</v>
      </c>
      <c r="P768" t="n">
        <v>0</v>
      </c>
      <c r="Q768" t="n">
        <v>0</v>
      </c>
      <c r="R768" s="2" t="inlineStr"/>
    </row>
    <row r="769" ht="15" customHeight="1">
      <c r="A769" t="inlineStr">
        <is>
          <t>A 14497-2024</t>
        </is>
      </c>
      <c r="B769" s="1" t="n">
        <v>45394</v>
      </c>
      <c r="C769" s="1" t="n">
        <v>45505</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14898-2024</t>
        </is>
      </c>
      <c r="B770" s="1" t="n">
        <v>45398</v>
      </c>
      <c r="C770" s="1" t="n">
        <v>45505</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15517-2024</t>
        </is>
      </c>
      <c r="B771" s="1" t="n">
        <v>45401</v>
      </c>
      <c r="C771" s="1" t="n">
        <v>45505</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15481-2024</t>
        </is>
      </c>
      <c r="B772" s="1" t="n">
        <v>45401</v>
      </c>
      <c r="C772" s="1" t="n">
        <v>45505</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15482-2024</t>
        </is>
      </c>
      <c r="B773" s="1" t="n">
        <v>45401</v>
      </c>
      <c r="C773" s="1" t="n">
        <v>45505</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15480-2024</t>
        </is>
      </c>
      <c r="B774" s="1" t="n">
        <v>45401</v>
      </c>
      <c r="C774" s="1" t="n">
        <v>45505</v>
      </c>
      <c r="D774" t="inlineStr">
        <is>
          <t>JÄMTLANDS LÄN</t>
        </is>
      </c>
      <c r="E774" t="inlineStr">
        <is>
          <t>ÅRE</t>
        </is>
      </c>
      <c r="G774" t="n">
        <v>11.8</v>
      </c>
      <c r="H774" t="n">
        <v>0</v>
      </c>
      <c r="I774" t="n">
        <v>0</v>
      </c>
      <c r="J774" t="n">
        <v>0</v>
      </c>
      <c r="K774" t="n">
        <v>0</v>
      </c>
      <c r="L774" t="n">
        <v>0</v>
      </c>
      <c r="M774" t="n">
        <v>0</v>
      </c>
      <c r="N774" t="n">
        <v>0</v>
      </c>
      <c r="O774" t="n">
        <v>0</v>
      </c>
      <c r="P774" t="n">
        <v>0</v>
      </c>
      <c r="Q774" t="n">
        <v>0</v>
      </c>
      <c r="R774" s="2" t="inlineStr"/>
    </row>
    <row r="775" ht="15" customHeight="1">
      <c r="A775" t="inlineStr">
        <is>
          <t>A 15521-2024</t>
        </is>
      </c>
      <c r="B775" s="1" t="n">
        <v>45401</v>
      </c>
      <c r="C775" s="1" t="n">
        <v>45505</v>
      </c>
      <c r="D775" t="inlineStr">
        <is>
          <t>JÄMTLANDS LÄN</t>
        </is>
      </c>
      <c r="E775" t="inlineStr">
        <is>
          <t>ÅRE</t>
        </is>
      </c>
      <c r="G775" t="n">
        <v>6.3</v>
      </c>
      <c r="H775" t="n">
        <v>0</v>
      </c>
      <c r="I775" t="n">
        <v>0</v>
      </c>
      <c r="J775" t="n">
        <v>0</v>
      </c>
      <c r="K775" t="n">
        <v>0</v>
      </c>
      <c r="L775" t="n">
        <v>0</v>
      </c>
      <c r="M775" t="n">
        <v>0</v>
      </c>
      <c r="N775" t="n">
        <v>0</v>
      </c>
      <c r="O775" t="n">
        <v>0</v>
      </c>
      <c r="P775" t="n">
        <v>0</v>
      </c>
      <c r="Q775" t="n">
        <v>0</v>
      </c>
      <c r="R775" s="2" t="inlineStr"/>
    </row>
    <row r="776" ht="15" customHeight="1">
      <c r="A776" t="inlineStr">
        <is>
          <t>A 15519-2024</t>
        </is>
      </c>
      <c r="B776" s="1" t="n">
        <v>45401</v>
      </c>
      <c r="C776" s="1" t="n">
        <v>45505</v>
      </c>
      <c r="D776" t="inlineStr">
        <is>
          <t>JÄMTLANDS LÄN</t>
        </is>
      </c>
      <c r="E776" t="inlineStr">
        <is>
          <t>ÅRE</t>
        </is>
      </c>
      <c r="G776" t="n">
        <v>0.8</v>
      </c>
      <c r="H776" t="n">
        <v>0</v>
      </c>
      <c r="I776" t="n">
        <v>0</v>
      </c>
      <c r="J776" t="n">
        <v>0</v>
      </c>
      <c r="K776" t="n">
        <v>0</v>
      </c>
      <c r="L776" t="n">
        <v>0</v>
      </c>
      <c r="M776" t="n">
        <v>0</v>
      </c>
      <c r="N776" t="n">
        <v>0</v>
      </c>
      <c r="O776" t="n">
        <v>0</v>
      </c>
      <c r="P776" t="n">
        <v>0</v>
      </c>
      <c r="Q776" t="n">
        <v>0</v>
      </c>
      <c r="R776" s="2" t="inlineStr"/>
    </row>
    <row r="777" ht="15" customHeight="1">
      <c r="A777" t="inlineStr">
        <is>
          <t>A 16348-2024</t>
        </is>
      </c>
      <c r="B777" s="1" t="n">
        <v>45407</v>
      </c>
      <c r="C777" s="1" t="n">
        <v>45505</v>
      </c>
      <c r="D777" t="inlineStr">
        <is>
          <t>JÄMTLANDS LÄN</t>
        </is>
      </c>
      <c r="E777" t="inlineStr">
        <is>
          <t>ÅRE</t>
        </is>
      </c>
      <c r="G777" t="n">
        <v>4.6</v>
      </c>
      <c r="H777" t="n">
        <v>0</v>
      </c>
      <c r="I777" t="n">
        <v>0</v>
      </c>
      <c r="J777" t="n">
        <v>0</v>
      </c>
      <c r="K777" t="n">
        <v>0</v>
      </c>
      <c r="L777" t="n">
        <v>0</v>
      </c>
      <c r="M777" t="n">
        <v>0</v>
      </c>
      <c r="N777" t="n">
        <v>0</v>
      </c>
      <c r="O777" t="n">
        <v>0</v>
      </c>
      <c r="P777" t="n">
        <v>0</v>
      </c>
      <c r="Q777" t="n">
        <v>0</v>
      </c>
      <c r="R777" s="2" t="inlineStr"/>
    </row>
    <row r="778" ht="15" customHeight="1">
      <c r="A778" t="inlineStr">
        <is>
          <t>A 16885-2024</t>
        </is>
      </c>
      <c r="B778" s="1" t="n">
        <v>45411</v>
      </c>
      <c r="C778" s="1" t="n">
        <v>45505</v>
      </c>
      <c r="D778" t="inlineStr">
        <is>
          <t>JÄMTLANDS LÄN</t>
        </is>
      </c>
      <c r="E778" t="inlineStr">
        <is>
          <t>ÅRE</t>
        </is>
      </c>
      <c r="G778" t="n">
        <v>13.7</v>
      </c>
      <c r="H778" t="n">
        <v>0</v>
      </c>
      <c r="I778" t="n">
        <v>0</v>
      </c>
      <c r="J778" t="n">
        <v>0</v>
      </c>
      <c r="K778" t="n">
        <v>0</v>
      </c>
      <c r="L778" t="n">
        <v>0</v>
      </c>
      <c r="M778" t="n">
        <v>0</v>
      </c>
      <c r="N778" t="n">
        <v>0</v>
      </c>
      <c r="O778" t="n">
        <v>0</v>
      </c>
      <c r="P778" t="n">
        <v>0</v>
      </c>
      <c r="Q778" t="n">
        <v>0</v>
      </c>
      <c r="R778" s="2" t="inlineStr"/>
    </row>
    <row r="779" ht="15" customHeight="1">
      <c r="A779" t="inlineStr">
        <is>
          <t>A 17576-2024</t>
        </is>
      </c>
      <c r="B779" s="1" t="n">
        <v>45415</v>
      </c>
      <c r="C779" s="1" t="n">
        <v>45505</v>
      </c>
      <c r="D779" t="inlineStr">
        <is>
          <t>JÄMTLANDS LÄN</t>
        </is>
      </c>
      <c r="E779" t="inlineStr">
        <is>
          <t>ÅRE</t>
        </is>
      </c>
      <c r="G779" t="n">
        <v>0.1</v>
      </c>
      <c r="H779" t="n">
        <v>0</v>
      </c>
      <c r="I779" t="n">
        <v>0</v>
      </c>
      <c r="J779" t="n">
        <v>0</v>
      </c>
      <c r="K779" t="n">
        <v>0</v>
      </c>
      <c r="L779" t="n">
        <v>0</v>
      </c>
      <c r="M779" t="n">
        <v>0</v>
      </c>
      <c r="N779" t="n">
        <v>0</v>
      </c>
      <c r="O779" t="n">
        <v>0</v>
      </c>
      <c r="P779" t="n">
        <v>0</v>
      </c>
      <c r="Q779" t="n">
        <v>0</v>
      </c>
      <c r="R779" s="2" t="inlineStr"/>
    </row>
    <row r="780" ht="15" customHeight="1">
      <c r="A780" t="inlineStr">
        <is>
          <t>A 17777-2024</t>
        </is>
      </c>
      <c r="B780" s="1" t="n">
        <v>45418</v>
      </c>
      <c r="C780" s="1" t="n">
        <v>45505</v>
      </c>
      <c r="D780" t="inlineStr">
        <is>
          <t>JÄMTLANDS LÄN</t>
        </is>
      </c>
      <c r="E780" t="inlineStr">
        <is>
          <t>ÅRE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17630-2024</t>
        </is>
      </c>
      <c r="B781" s="1" t="n">
        <v>45418</v>
      </c>
      <c r="C781" s="1" t="n">
        <v>45505</v>
      </c>
      <c r="D781" t="inlineStr">
        <is>
          <t>JÄMTLANDS LÄN</t>
        </is>
      </c>
      <c r="E781" t="inlineStr">
        <is>
          <t>ÅRE</t>
        </is>
      </c>
      <c r="F781" t="inlineStr">
        <is>
          <t>Övriga Aktiebolag</t>
        </is>
      </c>
      <c r="G781" t="n">
        <v>29.2</v>
      </c>
      <c r="H781" t="n">
        <v>0</v>
      </c>
      <c r="I781" t="n">
        <v>0</v>
      </c>
      <c r="J781" t="n">
        <v>0</v>
      </c>
      <c r="K781" t="n">
        <v>0</v>
      </c>
      <c r="L781" t="n">
        <v>0</v>
      </c>
      <c r="M781" t="n">
        <v>0</v>
      </c>
      <c r="N781" t="n">
        <v>0</v>
      </c>
      <c r="O781" t="n">
        <v>0</v>
      </c>
      <c r="P781" t="n">
        <v>0</v>
      </c>
      <c r="Q781" t="n">
        <v>0</v>
      </c>
      <c r="R781" s="2" t="inlineStr"/>
    </row>
    <row r="782" ht="15" customHeight="1">
      <c r="A782" t="inlineStr">
        <is>
          <t>A 18072-2024</t>
        </is>
      </c>
      <c r="B782" s="1" t="n">
        <v>45420</v>
      </c>
      <c r="C782" s="1" t="n">
        <v>45505</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18928-2024</t>
        </is>
      </c>
      <c r="B783" s="1" t="n">
        <v>45427</v>
      </c>
      <c r="C783" s="1" t="n">
        <v>45505</v>
      </c>
      <c r="D783" t="inlineStr">
        <is>
          <t>JÄMTLANDS LÄN</t>
        </is>
      </c>
      <c r="E783" t="inlineStr">
        <is>
          <t>ÅRE</t>
        </is>
      </c>
      <c r="G783" t="n">
        <v>0.8</v>
      </c>
      <c r="H783" t="n">
        <v>0</v>
      </c>
      <c r="I783" t="n">
        <v>0</v>
      </c>
      <c r="J783" t="n">
        <v>0</v>
      </c>
      <c r="K783" t="n">
        <v>0</v>
      </c>
      <c r="L783" t="n">
        <v>0</v>
      </c>
      <c r="M783" t="n">
        <v>0</v>
      </c>
      <c r="N783" t="n">
        <v>0</v>
      </c>
      <c r="O783" t="n">
        <v>0</v>
      </c>
      <c r="P783" t="n">
        <v>0</v>
      </c>
      <c r="Q783" t="n">
        <v>0</v>
      </c>
      <c r="R783" s="2" t="inlineStr"/>
    </row>
    <row r="784" ht="15" customHeight="1">
      <c r="A784" t="inlineStr">
        <is>
          <t>A 20202-2024</t>
        </is>
      </c>
      <c r="B784" s="1" t="n">
        <v>45434</v>
      </c>
      <c r="C784" s="1" t="n">
        <v>45505</v>
      </c>
      <c r="D784" t="inlineStr">
        <is>
          <t>JÄMTLANDS LÄN</t>
        </is>
      </c>
      <c r="E784" t="inlineStr">
        <is>
          <t>ÅRE</t>
        </is>
      </c>
      <c r="G784" t="n">
        <v>6.7</v>
      </c>
      <c r="H784" t="n">
        <v>0</v>
      </c>
      <c r="I784" t="n">
        <v>0</v>
      </c>
      <c r="J784" t="n">
        <v>0</v>
      </c>
      <c r="K784" t="n">
        <v>0</v>
      </c>
      <c r="L784" t="n">
        <v>0</v>
      </c>
      <c r="M784" t="n">
        <v>0</v>
      </c>
      <c r="N784" t="n">
        <v>0</v>
      </c>
      <c r="O784" t="n">
        <v>0</v>
      </c>
      <c r="P784" t="n">
        <v>0</v>
      </c>
      <c r="Q784" t="n">
        <v>0</v>
      </c>
      <c r="R784" s="2" t="inlineStr"/>
    </row>
    <row r="785" ht="15" customHeight="1">
      <c r="A785" t="inlineStr">
        <is>
          <t>A 20485-2024</t>
        </is>
      </c>
      <c r="B785" s="1" t="n">
        <v>45435</v>
      </c>
      <c r="C785" s="1" t="n">
        <v>45505</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20480-2024</t>
        </is>
      </c>
      <c r="B786" s="1" t="n">
        <v>45435</v>
      </c>
      <c r="C786" s="1" t="n">
        <v>45505</v>
      </c>
      <c r="D786" t="inlineStr">
        <is>
          <t>JÄMTLANDS LÄN</t>
        </is>
      </c>
      <c r="E786" t="inlineStr">
        <is>
          <t>ÅRE</t>
        </is>
      </c>
      <c r="G786" t="n">
        <v>2.7</v>
      </c>
      <c r="H786" t="n">
        <v>0</v>
      </c>
      <c r="I786" t="n">
        <v>0</v>
      </c>
      <c r="J786" t="n">
        <v>0</v>
      </c>
      <c r="K786" t="n">
        <v>0</v>
      </c>
      <c r="L786" t="n">
        <v>0</v>
      </c>
      <c r="M786" t="n">
        <v>0</v>
      </c>
      <c r="N786" t="n">
        <v>0</v>
      </c>
      <c r="O786" t="n">
        <v>0</v>
      </c>
      <c r="P786" t="n">
        <v>0</v>
      </c>
      <c r="Q786" t="n">
        <v>0</v>
      </c>
      <c r="R786" s="2" t="inlineStr"/>
    </row>
    <row r="787" ht="15" customHeight="1">
      <c r="A787" t="inlineStr">
        <is>
          <t>A 20804-2024</t>
        </is>
      </c>
      <c r="B787" s="1" t="n">
        <v>45439</v>
      </c>
      <c r="C787" s="1" t="n">
        <v>45505</v>
      </c>
      <c r="D787" t="inlineStr">
        <is>
          <t>JÄMTLANDS LÄN</t>
        </is>
      </c>
      <c r="E787" t="inlineStr">
        <is>
          <t>ÅRE</t>
        </is>
      </c>
      <c r="G787" t="n">
        <v>6.4</v>
      </c>
      <c r="H787" t="n">
        <v>0</v>
      </c>
      <c r="I787" t="n">
        <v>0</v>
      </c>
      <c r="J787" t="n">
        <v>0</v>
      </c>
      <c r="K787" t="n">
        <v>0</v>
      </c>
      <c r="L787" t="n">
        <v>0</v>
      </c>
      <c r="M787" t="n">
        <v>0</v>
      </c>
      <c r="N787" t="n">
        <v>0</v>
      </c>
      <c r="O787" t="n">
        <v>0</v>
      </c>
      <c r="P787" t="n">
        <v>0</v>
      </c>
      <c r="Q787" t="n">
        <v>0</v>
      </c>
      <c r="R787" s="2" t="inlineStr"/>
    </row>
    <row r="788" ht="15" customHeight="1">
      <c r="A788" t="inlineStr">
        <is>
          <t>A 20999-2024</t>
        </is>
      </c>
      <c r="B788" s="1" t="n">
        <v>45439</v>
      </c>
      <c r="C788" s="1" t="n">
        <v>45505</v>
      </c>
      <c r="D788" t="inlineStr">
        <is>
          <t>JÄMTLANDS LÄN</t>
        </is>
      </c>
      <c r="E788" t="inlineStr">
        <is>
          <t>ÅRE</t>
        </is>
      </c>
      <c r="G788" t="n">
        <v>5.7</v>
      </c>
      <c r="H788" t="n">
        <v>0</v>
      </c>
      <c r="I788" t="n">
        <v>0</v>
      </c>
      <c r="J788" t="n">
        <v>0</v>
      </c>
      <c r="K788" t="n">
        <v>0</v>
      </c>
      <c r="L788" t="n">
        <v>0</v>
      </c>
      <c r="M788" t="n">
        <v>0</v>
      </c>
      <c r="N788" t="n">
        <v>0</v>
      </c>
      <c r="O788" t="n">
        <v>0</v>
      </c>
      <c r="P788" t="n">
        <v>0</v>
      </c>
      <c r="Q788" t="n">
        <v>0</v>
      </c>
      <c r="R788" s="2" t="inlineStr"/>
    </row>
    <row r="789" ht="15" customHeight="1">
      <c r="A789" t="inlineStr">
        <is>
          <t>A 21640-2024</t>
        </is>
      </c>
      <c r="B789" s="1" t="n">
        <v>45442</v>
      </c>
      <c r="C789" s="1" t="n">
        <v>45505</v>
      </c>
      <c r="D789" t="inlineStr">
        <is>
          <t>JÄMTLANDS LÄN</t>
        </is>
      </c>
      <c r="E789" t="inlineStr">
        <is>
          <t>ÅRE</t>
        </is>
      </c>
      <c r="G789" t="n">
        <v>16.4</v>
      </c>
      <c r="H789" t="n">
        <v>0</v>
      </c>
      <c r="I789" t="n">
        <v>0</v>
      </c>
      <c r="J789" t="n">
        <v>0</v>
      </c>
      <c r="K789" t="n">
        <v>0</v>
      </c>
      <c r="L789" t="n">
        <v>0</v>
      </c>
      <c r="M789" t="n">
        <v>0</v>
      </c>
      <c r="N789" t="n">
        <v>0</v>
      </c>
      <c r="O789" t="n">
        <v>0</v>
      </c>
      <c r="P789" t="n">
        <v>0</v>
      </c>
      <c r="Q789" t="n">
        <v>0</v>
      </c>
      <c r="R789" s="2" t="inlineStr"/>
    </row>
    <row r="790" ht="15" customHeight="1">
      <c r="A790" t="inlineStr">
        <is>
          <t>A 22600-2024</t>
        </is>
      </c>
      <c r="B790" s="1" t="n">
        <v>45447</v>
      </c>
      <c r="C790" s="1" t="n">
        <v>45505</v>
      </c>
      <c r="D790" t="inlineStr">
        <is>
          <t>JÄMTLANDS LÄN</t>
        </is>
      </c>
      <c r="E790" t="inlineStr">
        <is>
          <t>ÅRE</t>
        </is>
      </c>
      <c r="G790" t="n">
        <v>22.5</v>
      </c>
      <c r="H790" t="n">
        <v>0</v>
      </c>
      <c r="I790" t="n">
        <v>0</v>
      </c>
      <c r="J790" t="n">
        <v>0</v>
      </c>
      <c r="K790" t="n">
        <v>0</v>
      </c>
      <c r="L790" t="n">
        <v>0</v>
      </c>
      <c r="M790" t="n">
        <v>0</v>
      </c>
      <c r="N790" t="n">
        <v>0</v>
      </c>
      <c r="O790" t="n">
        <v>0</v>
      </c>
      <c r="P790" t="n">
        <v>0</v>
      </c>
      <c r="Q790" t="n">
        <v>0</v>
      </c>
      <c r="R790" s="2" t="inlineStr"/>
    </row>
    <row r="791" ht="15" customHeight="1">
      <c r="A791" t="inlineStr">
        <is>
          <t>A 22687-2024</t>
        </is>
      </c>
      <c r="B791" s="1" t="n">
        <v>45448</v>
      </c>
      <c r="C791" s="1" t="n">
        <v>45505</v>
      </c>
      <c r="D791" t="inlineStr">
        <is>
          <t>JÄMTLANDS LÄN</t>
        </is>
      </c>
      <c r="E791" t="inlineStr">
        <is>
          <t>ÅRE</t>
        </is>
      </c>
      <c r="G791" t="n">
        <v>1</v>
      </c>
      <c r="H791" t="n">
        <v>0</v>
      </c>
      <c r="I791" t="n">
        <v>0</v>
      </c>
      <c r="J791" t="n">
        <v>0</v>
      </c>
      <c r="K791" t="n">
        <v>0</v>
      </c>
      <c r="L791" t="n">
        <v>0</v>
      </c>
      <c r="M791" t="n">
        <v>0</v>
      </c>
      <c r="N791" t="n">
        <v>0</v>
      </c>
      <c r="O791" t="n">
        <v>0</v>
      </c>
      <c r="P791" t="n">
        <v>0</v>
      </c>
      <c r="Q791" t="n">
        <v>0</v>
      </c>
      <c r="R791" s="2" t="inlineStr"/>
    </row>
    <row r="792" ht="15" customHeight="1">
      <c r="A792" t="inlineStr">
        <is>
          <t>A 23159-2024</t>
        </is>
      </c>
      <c r="B792" s="1" t="n">
        <v>45450</v>
      </c>
      <c r="C792" s="1" t="n">
        <v>45505</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23805-2024</t>
        </is>
      </c>
      <c r="B793" s="1" t="n">
        <v>45455</v>
      </c>
      <c r="C793" s="1" t="n">
        <v>45505</v>
      </c>
      <c r="D793" t="inlineStr">
        <is>
          <t>JÄMTLANDS LÄN</t>
        </is>
      </c>
      <c r="E793" t="inlineStr">
        <is>
          <t>ÅRE</t>
        </is>
      </c>
      <c r="G793" t="n">
        <v>1.5</v>
      </c>
      <c r="H793" t="n">
        <v>0</v>
      </c>
      <c r="I793" t="n">
        <v>0</v>
      </c>
      <c r="J793" t="n">
        <v>0</v>
      </c>
      <c r="K793" t="n">
        <v>0</v>
      </c>
      <c r="L793" t="n">
        <v>0</v>
      </c>
      <c r="M793" t="n">
        <v>0</v>
      </c>
      <c r="N793" t="n">
        <v>0</v>
      </c>
      <c r="O793" t="n">
        <v>0</v>
      </c>
      <c r="P793" t="n">
        <v>0</v>
      </c>
      <c r="Q793" t="n">
        <v>0</v>
      </c>
      <c r="R793" s="2" t="inlineStr"/>
    </row>
    <row r="794" ht="15" customHeight="1">
      <c r="A794" t="inlineStr">
        <is>
          <t>A 23822-2024</t>
        </is>
      </c>
      <c r="B794" s="1" t="n">
        <v>45455</v>
      </c>
      <c r="C794" s="1" t="n">
        <v>45505</v>
      </c>
      <c r="D794" t="inlineStr">
        <is>
          <t>JÄMTLANDS LÄN</t>
        </is>
      </c>
      <c r="E794" t="inlineStr">
        <is>
          <t>ÅRE</t>
        </is>
      </c>
      <c r="G794" t="n">
        <v>4.8</v>
      </c>
      <c r="H794" t="n">
        <v>0</v>
      </c>
      <c r="I794" t="n">
        <v>0</v>
      </c>
      <c r="J794" t="n">
        <v>0</v>
      </c>
      <c r="K794" t="n">
        <v>0</v>
      </c>
      <c r="L794" t="n">
        <v>0</v>
      </c>
      <c r="M794" t="n">
        <v>0</v>
      </c>
      <c r="N794" t="n">
        <v>0</v>
      </c>
      <c r="O794" t="n">
        <v>0</v>
      </c>
      <c r="P794" t="n">
        <v>0</v>
      </c>
      <c r="Q794" t="n">
        <v>0</v>
      </c>
      <c r="R794" s="2" t="inlineStr"/>
    </row>
    <row r="795" ht="15" customHeight="1">
      <c r="A795" t="inlineStr">
        <is>
          <t>A 24344-2024</t>
        </is>
      </c>
      <c r="B795" s="1" t="n">
        <v>45457</v>
      </c>
      <c r="C795" s="1" t="n">
        <v>45505</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25379-2024</t>
        </is>
      </c>
      <c r="B796" s="1" t="n">
        <v>45462</v>
      </c>
      <c r="C796" s="1" t="n">
        <v>45505</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25710-2024</t>
        </is>
      </c>
      <c r="B797" s="1" t="n">
        <v>45463</v>
      </c>
      <c r="C797" s="1" t="n">
        <v>45505</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25517-2024</t>
        </is>
      </c>
      <c r="B798" s="1" t="n">
        <v>45463</v>
      </c>
      <c r="C798" s="1" t="n">
        <v>45505</v>
      </c>
      <c r="D798" t="inlineStr">
        <is>
          <t>JÄMTLANDS LÄN</t>
        </is>
      </c>
      <c r="E798" t="inlineStr">
        <is>
          <t>ÅRE</t>
        </is>
      </c>
      <c r="G798" t="n">
        <v>5.3</v>
      </c>
      <c r="H798" t="n">
        <v>0</v>
      </c>
      <c r="I798" t="n">
        <v>0</v>
      </c>
      <c r="J798" t="n">
        <v>0</v>
      </c>
      <c r="K798" t="n">
        <v>0</v>
      </c>
      <c r="L798" t="n">
        <v>0</v>
      </c>
      <c r="M798" t="n">
        <v>0</v>
      </c>
      <c r="N798" t="n">
        <v>0</v>
      </c>
      <c r="O798" t="n">
        <v>0</v>
      </c>
      <c r="P798" t="n">
        <v>0</v>
      </c>
      <c r="Q798" t="n">
        <v>0</v>
      </c>
      <c r="R798" s="2" t="inlineStr"/>
    </row>
    <row r="799" ht="15" customHeight="1">
      <c r="A799" t="inlineStr">
        <is>
          <t>A 26312-2024</t>
        </is>
      </c>
      <c r="B799" s="1" t="n">
        <v>45468</v>
      </c>
      <c r="C799" s="1" t="n">
        <v>45505</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27500-2024</t>
        </is>
      </c>
      <c r="B800" s="1" t="n">
        <v>45474</v>
      </c>
      <c r="C800" s="1" t="n">
        <v>45505</v>
      </c>
      <c r="D800" t="inlineStr">
        <is>
          <t>JÄMTLANDS LÄN</t>
        </is>
      </c>
      <c r="E800" t="inlineStr">
        <is>
          <t>ÅRE</t>
        </is>
      </c>
      <c r="G800" t="n">
        <v>4.1</v>
      </c>
      <c r="H800" t="n">
        <v>0</v>
      </c>
      <c r="I800" t="n">
        <v>0</v>
      </c>
      <c r="J800" t="n">
        <v>0</v>
      </c>
      <c r="K800" t="n">
        <v>0</v>
      </c>
      <c r="L800" t="n">
        <v>0</v>
      </c>
      <c r="M800" t="n">
        <v>0</v>
      </c>
      <c r="N800" t="n">
        <v>0</v>
      </c>
      <c r="O800" t="n">
        <v>0</v>
      </c>
      <c r="P800" t="n">
        <v>0</v>
      </c>
      <c r="Q800" t="n">
        <v>0</v>
      </c>
      <c r="R800" s="2" t="inlineStr"/>
    </row>
    <row r="801" ht="15" customHeight="1">
      <c r="A801" t="inlineStr">
        <is>
          <t>A 27456-2024</t>
        </is>
      </c>
      <c r="B801" s="1" t="n">
        <v>45474</v>
      </c>
      <c r="C801" s="1" t="n">
        <v>45505</v>
      </c>
      <c r="D801" t="inlineStr">
        <is>
          <t>JÄMTLANDS LÄN</t>
        </is>
      </c>
      <c r="E801" t="inlineStr">
        <is>
          <t>ÅRE</t>
        </is>
      </c>
      <c r="G801" t="n">
        <v>6.1</v>
      </c>
      <c r="H801" t="n">
        <v>0</v>
      </c>
      <c r="I801" t="n">
        <v>0</v>
      </c>
      <c r="J801" t="n">
        <v>0</v>
      </c>
      <c r="K801" t="n">
        <v>0</v>
      </c>
      <c r="L801" t="n">
        <v>0</v>
      </c>
      <c r="M801" t="n">
        <v>0</v>
      </c>
      <c r="N801" t="n">
        <v>0</v>
      </c>
      <c r="O801" t="n">
        <v>0</v>
      </c>
      <c r="P801" t="n">
        <v>0</v>
      </c>
      <c r="Q801" t="n">
        <v>0</v>
      </c>
      <c r="R801" s="2" t="inlineStr"/>
    </row>
    <row r="802" ht="15" customHeight="1">
      <c r="A802" t="inlineStr">
        <is>
          <t>A 28642-2024</t>
        </is>
      </c>
      <c r="B802" s="1" t="n">
        <v>45478</v>
      </c>
      <c r="C802" s="1" t="n">
        <v>45505</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29177-2024</t>
        </is>
      </c>
      <c r="B803" s="1" t="n">
        <v>45482</v>
      </c>
      <c r="C803" s="1" t="n">
        <v>45505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30081-2024</t>
        </is>
      </c>
      <c r="B804" s="1" t="n">
        <v>45485</v>
      </c>
      <c r="C804" s="1" t="n">
        <v>45505</v>
      </c>
      <c r="D804" t="inlineStr">
        <is>
          <t>JÄMTLANDS LÄN</t>
        </is>
      </c>
      <c r="E804" t="inlineStr">
        <is>
          <t>ÅRE</t>
        </is>
      </c>
      <c r="G804" t="n">
        <v>17.8</v>
      </c>
      <c r="H804" t="n">
        <v>0</v>
      </c>
      <c r="I804" t="n">
        <v>0</v>
      </c>
      <c r="J804" t="n">
        <v>0</v>
      </c>
      <c r="K804" t="n">
        <v>0</v>
      </c>
      <c r="L804" t="n">
        <v>0</v>
      </c>
      <c r="M804" t="n">
        <v>0</v>
      </c>
      <c r="N804" t="n">
        <v>0</v>
      </c>
      <c r="O804" t="n">
        <v>0</v>
      </c>
      <c r="P804" t="n">
        <v>0</v>
      </c>
      <c r="Q804" t="n">
        <v>0</v>
      </c>
      <c r="R804" s="2" t="inlineStr"/>
    </row>
    <row r="805" ht="15" customHeight="1">
      <c r="A805" t="inlineStr">
        <is>
          <t>A 30080-2024</t>
        </is>
      </c>
      <c r="B805" s="1" t="n">
        <v>45485</v>
      </c>
      <c r="C805" s="1" t="n">
        <v>45505</v>
      </c>
      <c r="D805" t="inlineStr">
        <is>
          <t>JÄMTLANDS LÄN</t>
        </is>
      </c>
      <c r="E805" t="inlineStr">
        <is>
          <t>ÅRE</t>
        </is>
      </c>
      <c r="G805" t="n">
        <v>24.6</v>
      </c>
      <c r="H805" t="n">
        <v>0</v>
      </c>
      <c r="I805" t="n">
        <v>0</v>
      </c>
      <c r="J805" t="n">
        <v>0</v>
      </c>
      <c r="K805" t="n">
        <v>0</v>
      </c>
      <c r="L805" t="n">
        <v>0</v>
      </c>
      <c r="M805" t="n">
        <v>0</v>
      </c>
      <c r="N805" t="n">
        <v>0</v>
      </c>
      <c r="O805" t="n">
        <v>0</v>
      </c>
      <c r="P805" t="n">
        <v>0</v>
      </c>
      <c r="Q805" t="n">
        <v>0</v>
      </c>
      <c r="R805" s="2" t="inlineStr"/>
    </row>
    <row r="806" ht="15" customHeight="1">
      <c r="A806" t="inlineStr">
        <is>
          <t>A 30379-2024</t>
        </is>
      </c>
      <c r="B806" s="1" t="n">
        <v>45491</v>
      </c>
      <c r="C806" s="1" t="n">
        <v>45505</v>
      </c>
      <c r="D806" t="inlineStr">
        <is>
          <t>JÄMTLANDS LÄN</t>
        </is>
      </c>
      <c r="E806" t="inlineStr">
        <is>
          <t>ÅRE</t>
        </is>
      </c>
      <c r="G806" t="n">
        <v>2.4</v>
      </c>
      <c r="H806" t="n">
        <v>0</v>
      </c>
      <c r="I806" t="n">
        <v>0</v>
      </c>
      <c r="J806" t="n">
        <v>0</v>
      </c>
      <c r="K806" t="n">
        <v>0</v>
      </c>
      <c r="L806" t="n">
        <v>0</v>
      </c>
      <c r="M806" t="n">
        <v>0</v>
      </c>
      <c r="N806" t="n">
        <v>0</v>
      </c>
      <c r="O806" t="n">
        <v>0</v>
      </c>
      <c r="P806" t="n">
        <v>0</v>
      </c>
      <c r="Q806" t="n">
        <v>0</v>
      </c>
      <c r="R806" s="2" t="inlineStr"/>
    </row>
    <row r="807">
      <c r="A807" t="inlineStr">
        <is>
          <t>A 30987-2024</t>
        </is>
      </c>
      <c r="B807" s="1" t="n">
        <v>45499</v>
      </c>
      <c r="C807" s="1" t="n">
        <v>45505</v>
      </c>
      <c r="D807" t="inlineStr">
        <is>
          <t>JÄMTLANDS LÄN</t>
        </is>
      </c>
      <c r="E807" t="inlineStr">
        <is>
          <t>ÅRE</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2024-08-01T10:44:59Z</dcterms:created>
  <dcterms:modified xmlns:dcterms="http://purl.org/dc/terms/" xmlns:xsi="http://www.w3.org/2001/XMLSchema-instance" xsi:type="dcterms:W3CDTF">2024-08-01T10:45:00Z</dcterms:modified>
</cp:coreProperties>
</file>