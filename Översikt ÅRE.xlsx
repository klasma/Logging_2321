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45781</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45781</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45781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45781</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63015-2020</t>
        </is>
      </c>
      <c r="B14" s="1" t="n">
        <v>44162</v>
      </c>
      <c r="C14" s="1" t="n">
        <v>45781</v>
      </c>
      <c r="D14" t="inlineStr">
        <is>
          <t>JÄMTLANDS LÄN</t>
        </is>
      </c>
      <c r="E14" t="inlineStr">
        <is>
          <t>ÅRE</t>
        </is>
      </c>
      <c r="F14" t="inlineStr">
        <is>
          <t>Övriga Aktiebolag</t>
        </is>
      </c>
      <c r="G14" t="n">
        <v>9.4</v>
      </c>
      <c r="H14" t="n">
        <v>1</v>
      </c>
      <c r="I14" t="n">
        <v>7</v>
      </c>
      <c r="J14" t="n">
        <v>9</v>
      </c>
      <c r="K14" t="n">
        <v>1</v>
      </c>
      <c r="L14" t="n">
        <v>0</v>
      </c>
      <c r="M14" t="n">
        <v>0</v>
      </c>
      <c r="N14" t="n">
        <v>0</v>
      </c>
      <c r="O14" t="n">
        <v>10</v>
      </c>
      <c r="P14" t="n">
        <v>1</v>
      </c>
      <c r="Q14" t="n">
        <v>17</v>
      </c>
      <c r="R14" s="2" t="inlineStr">
        <is>
          <t>Norsk näverlav
Brunpudrad nållav
Gammelgransskål
Garnlav
Granticka
Gränsticka
Harticka
Lunglav
Skrovellav
Spillkråka
Bårdlav
Dvärgtufs
Gytterlav
Korallblylav
Sotlav
Stuplav
Vedticka</t>
        </is>
      </c>
      <c r="S14">
        <f>HYPERLINK("https://klasma.github.io/Logging_2321/artfynd/A 63015-2020 artfynd.xlsx", "A 63015-2020")</f>
        <v/>
      </c>
      <c r="T14">
        <f>HYPERLINK("https://klasma.github.io/Logging_2321/kartor/A 63015-2020 karta.png", "A 63015-2020")</f>
        <v/>
      </c>
      <c r="V14">
        <f>HYPERLINK("https://klasma.github.io/Logging_2321/klagomål/A 63015-2020 FSC-klagomål.docx", "A 63015-2020")</f>
        <v/>
      </c>
      <c r="W14">
        <f>HYPERLINK("https://klasma.github.io/Logging_2321/klagomålsmail/A 63015-2020 FSC-klagomål mail.docx", "A 63015-2020")</f>
        <v/>
      </c>
      <c r="X14">
        <f>HYPERLINK("https://klasma.github.io/Logging_2321/tillsyn/A 63015-2020 tillsynsbegäran.docx", "A 63015-2020")</f>
        <v/>
      </c>
      <c r="Y14">
        <f>HYPERLINK("https://klasma.github.io/Logging_2321/tillsynsmail/A 63015-2020 tillsynsbegäran mail.docx", "A 63015-2020")</f>
        <v/>
      </c>
      <c r="Z14">
        <f>HYPERLINK("https://klasma.github.io/Logging_2321/fåglar/A 63015-2020 prioriterade fågelarter.docx", "A 63015-2020")</f>
        <v/>
      </c>
    </row>
    <row r="15" ht="15" customHeight="1">
      <c r="A15" t="inlineStr">
        <is>
          <t>A 30411-2022</t>
        </is>
      </c>
      <c r="B15" s="1" t="n">
        <v>44761</v>
      </c>
      <c r="C15" s="1" t="n">
        <v>45781</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45781</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45781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45781</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45781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45781</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45781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45781</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45781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45781</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45781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45781</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45781</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45781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45781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45781</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45781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45781</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45781</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45781</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45781</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45781</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45781</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45781</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45781</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45781</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45781</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45781</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45781</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45781</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45781</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45781</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45781</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45781</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45781</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45781</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45781</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45781</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45781</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45781</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45781</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45781</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45781</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45781</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45781</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45781</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45781</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45781</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45781</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45781</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45781</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45781</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45781</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45781</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45781</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45781</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45781</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45781</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45781</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45781</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45781</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45781</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45781</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45781</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45781</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45781</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45781</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45781</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45781</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45781</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45781</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45781</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45781</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45781</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45781</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45781</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45781</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45781</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45781</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45781</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45781</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45781</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45781</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45781</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45781</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45781</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45781</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45781</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45781</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45781</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45781</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45781</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45781</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45781</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45781</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45781</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45781</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45781</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45781</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45781</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45781</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45781</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45781</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45781</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45781</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45781</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45781</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45781</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45781</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45781</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45781</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45781</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45781</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45781</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45781</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45781</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45781</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45781</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45781</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45781</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45781</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45781</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45781</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45781</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45781</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45781</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17107-2025</t>
        </is>
      </c>
      <c r="B141" s="1" t="n">
        <v>45755</v>
      </c>
      <c r="C141" s="1" t="n">
        <v>45781</v>
      </c>
      <c r="D141" t="inlineStr">
        <is>
          <t>JÄMTLANDS LÄN</t>
        </is>
      </c>
      <c r="E141" t="inlineStr">
        <is>
          <t>ÅRE</t>
        </is>
      </c>
      <c r="G141" t="n">
        <v>14.2</v>
      </c>
      <c r="H141" t="n">
        <v>1</v>
      </c>
      <c r="I141" t="n">
        <v>2</v>
      </c>
      <c r="J141" t="n">
        <v>1</v>
      </c>
      <c r="K141" t="n">
        <v>0</v>
      </c>
      <c r="L141" t="n">
        <v>0</v>
      </c>
      <c r="M141" t="n">
        <v>0</v>
      </c>
      <c r="N141" t="n">
        <v>0</v>
      </c>
      <c r="O141" t="n">
        <v>1</v>
      </c>
      <c r="P141" t="n">
        <v>0</v>
      </c>
      <c r="Q141" t="n">
        <v>3</v>
      </c>
      <c r="R141" s="2" t="inlineStr">
        <is>
          <t>Garnlav
Grönkulla
Mönjevaxing</t>
        </is>
      </c>
      <c r="S141">
        <f>HYPERLINK("https://klasma.github.io/Logging_232321/artfynd/A 17107-2025 artfynd.xlsx", "A 17107-2025")</f>
        <v/>
      </c>
      <c r="T141">
        <f>HYPERLINK("https://klasma.github.io/Logging_232321/kartor/A 17107-2025 karta.png", "A 17107-2025")</f>
        <v/>
      </c>
      <c r="V141">
        <f>HYPERLINK("https://klasma.github.io/Logging_232321/klagomål/A 17107-2025 FSC-klagomål.docx", "A 17107-2025")</f>
        <v/>
      </c>
      <c r="W141">
        <f>HYPERLINK("https://klasma.github.io/Logging_232321/klagomålsmail/A 17107-2025 FSC-klagomål mail.docx", "A 17107-2025")</f>
        <v/>
      </c>
      <c r="X141">
        <f>HYPERLINK("https://klasma.github.io/Logging_232321/tillsyn/A 17107-2025 tillsynsbegäran.docx", "A 17107-2025")</f>
        <v/>
      </c>
      <c r="Y141">
        <f>HYPERLINK("https://klasma.github.io/Logging_232321/tillsynsmail/A 17107-2025 tillsynsbegäran mail.docx", "A 17107-2025")</f>
        <v/>
      </c>
    </row>
    <row r="142" ht="15" customHeight="1">
      <c r="A142" t="inlineStr">
        <is>
          <t>A 35409-2019</t>
        </is>
      </c>
      <c r="B142" s="1" t="n">
        <v>43661</v>
      </c>
      <c r="C142" s="1" t="n">
        <v>45781</v>
      </c>
      <c r="D142" t="inlineStr">
        <is>
          <t>JÄMTLANDS LÄN</t>
        </is>
      </c>
      <c r="E142" t="inlineStr">
        <is>
          <t>ÅRE</t>
        </is>
      </c>
      <c r="G142" t="n">
        <v>2.5</v>
      </c>
      <c r="H142" t="n">
        <v>0</v>
      </c>
      <c r="I142" t="n">
        <v>1</v>
      </c>
      <c r="J142" t="n">
        <v>1</v>
      </c>
      <c r="K142" t="n">
        <v>0</v>
      </c>
      <c r="L142" t="n">
        <v>0</v>
      </c>
      <c r="M142" t="n">
        <v>0</v>
      </c>
      <c r="N142" t="n">
        <v>0</v>
      </c>
      <c r="O142" t="n">
        <v>1</v>
      </c>
      <c r="P142" t="n">
        <v>0</v>
      </c>
      <c r="Q142" t="n">
        <v>2</v>
      </c>
      <c r="R142" s="2" t="inlineStr">
        <is>
          <t>Garnlav
Trådticka</t>
        </is>
      </c>
      <c r="S142">
        <f>HYPERLINK("https://klasma.github.io/Logging_2321/artfynd/A 35409-2019 artfynd.xlsx", "A 35409-2019")</f>
        <v/>
      </c>
      <c r="T142">
        <f>HYPERLINK("https://klasma.github.io/Logging_2321/kartor/A 35409-2019 karta.png", "A 35409-2019")</f>
        <v/>
      </c>
      <c r="V142">
        <f>HYPERLINK("https://klasma.github.io/Logging_2321/klagomål/A 35409-2019 FSC-klagomål.docx", "A 35409-2019")</f>
        <v/>
      </c>
      <c r="W142">
        <f>HYPERLINK("https://klasma.github.io/Logging_2321/klagomålsmail/A 35409-2019 FSC-klagomål mail.docx", "A 35409-2019")</f>
        <v/>
      </c>
      <c r="X142">
        <f>HYPERLINK("https://klasma.github.io/Logging_2321/tillsyn/A 35409-2019 tillsynsbegäran.docx", "A 35409-2019")</f>
        <v/>
      </c>
      <c r="Y142">
        <f>HYPERLINK("https://klasma.github.io/Logging_2321/tillsynsmail/A 35409-2019 tillsynsbegäran mail.docx", "A 35409-2019")</f>
        <v/>
      </c>
    </row>
    <row r="143" ht="15" customHeight="1">
      <c r="A143" t="inlineStr">
        <is>
          <t>A 46012-2019</t>
        </is>
      </c>
      <c r="B143" s="1" t="n">
        <v>43718</v>
      </c>
      <c r="C143" s="1" t="n">
        <v>45781</v>
      </c>
      <c r="D143" t="inlineStr">
        <is>
          <t>JÄMTLANDS LÄN</t>
        </is>
      </c>
      <c r="E143" t="inlineStr">
        <is>
          <t>ÅRE</t>
        </is>
      </c>
      <c r="F143" t="inlineStr">
        <is>
          <t>Kommuner</t>
        </is>
      </c>
      <c r="G143" t="n">
        <v>13.4</v>
      </c>
      <c r="H143" t="n">
        <v>1</v>
      </c>
      <c r="I143" t="n">
        <v>0</v>
      </c>
      <c r="J143" t="n">
        <v>1</v>
      </c>
      <c r="K143" t="n">
        <v>1</v>
      </c>
      <c r="L143" t="n">
        <v>0</v>
      </c>
      <c r="M143" t="n">
        <v>0</v>
      </c>
      <c r="N143" t="n">
        <v>0</v>
      </c>
      <c r="O143" t="n">
        <v>2</v>
      </c>
      <c r="P143" t="n">
        <v>1</v>
      </c>
      <c r="Q143" t="n">
        <v>2</v>
      </c>
      <c r="R143" s="2" t="inlineStr">
        <is>
          <t>Knärot
Ullticka</t>
        </is>
      </c>
      <c r="S143">
        <f>HYPERLINK("https://klasma.github.io/Logging_2321/artfynd/A 46012-2019 artfynd.xlsx", "A 46012-2019")</f>
        <v/>
      </c>
      <c r="T143">
        <f>HYPERLINK("https://klasma.github.io/Logging_2321/kartor/A 46012-2019 karta.png", "A 46012-2019")</f>
        <v/>
      </c>
      <c r="U143">
        <f>HYPERLINK("https://klasma.github.io/Logging_2321/knärot/A 46012-2019 karta knärot.png", "A 46012-2019")</f>
        <v/>
      </c>
      <c r="V143">
        <f>HYPERLINK("https://klasma.github.io/Logging_2321/klagomål/A 46012-2019 FSC-klagomål.docx", "A 46012-2019")</f>
        <v/>
      </c>
      <c r="W143">
        <f>HYPERLINK("https://klasma.github.io/Logging_2321/klagomålsmail/A 46012-2019 FSC-klagomål mail.docx", "A 46012-2019")</f>
        <v/>
      </c>
      <c r="X143">
        <f>HYPERLINK("https://klasma.github.io/Logging_2321/tillsyn/A 46012-2019 tillsynsbegäran.docx", "A 46012-2019")</f>
        <v/>
      </c>
      <c r="Y143">
        <f>HYPERLINK("https://klasma.github.io/Logging_2321/tillsynsmail/A 46012-2019 tillsynsbegäran mail.docx", "A 46012-2019")</f>
        <v/>
      </c>
    </row>
    <row r="144" ht="15" customHeight="1">
      <c r="A144" t="inlineStr">
        <is>
          <t>A 32661-2020</t>
        </is>
      </c>
      <c r="B144" s="1" t="n">
        <v>44018</v>
      </c>
      <c r="C144" s="1" t="n">
        <v>45781</v>
      </c>
      <c r="D144" t="inlineStr">
        <is>
          <t>JÄMTLANDS LÄN</t>
        </is>
      </c>
      <c r="E144" t="inlineStr">
        <is>
          <t>ÅRE</t>
        </is>
      </c>
      <c r="G144" t="n">
        <v>1.8</v>
      </c>
      <c r="H144" t="n">
        <v>0</v>
      </c>
      <c r="I144" t="n">
        <v>1</v>
      </c>
      <c r="J144" t="n">
        <v>1</v>
      </c>
      <c r="K144" t="n">
        <v>0</v>
      </c>
      <c r="L144" t="n">
        <v>0</v>
      </c>
      <c r="M144" t="n">
        <v>0</v>
      </c>
      <c r="N144" t="n">
        <v>0</v>
      </c>
      <c r="O144" t="n">
        <v>1</v>
      </c>
      <c r="P144" t="n">
        <v>0</v>
      </c>
      <c r="Q144" t="n">
        <v>2</v>
      </c>
      <c r="R144" s="2" t="inlineStr">
        <is>
          <t>Garnlav
Luddlav</t>
        </is>
      </c>
      <c r="S144">
        <f>HYPERLINK("https://klasma.github.io/Logging_2321/artfynd/A 32661-2020 artfynd.xlsx", "A 32661-2020")</f>
        <v/>
      </c>
      <c r="T144">
        <f>HYPERLINK("https://klasma.github.io/Logging_2321/kartor/A 32661-2020 karta.png", "A 32661-2020")</f>
        <v/>
      </c>
      <c r="V144">
        <f>HYPERLINK("https://klasma.github.io/Logging_2321/klagomål/A 32661-2020 FSC-klagomål.docx", "A 32661-2020")</f>
        <v/>
      </c>
      <c r="W144">
        <f>HYPERLINK("https://klasma.github.io/Logging_2321/klagomålsmail/A 32661-2020 FSC-klagomål mail.docx", "A 32661-2020")</f>
        <v/>
      </c>
      <c r="X144">
        <f>HYPERLINK("https://klasma.github.io/Logging_2321/tillsyn/A 32661-2020 tillsynsbegäran.docx", "A 32661-2020")</f>
        <v/>
      </c>
      <c r="Y144">
        <f>HYPERLINK("https://klasma.github.io/Logging_2321/tillsynsmail/A 32661-2020 tillsynsbegäran mail.docx", "A 32661-2020")</f>
        <v/>
      </c>
    </row>
    <row r="145" ht="15" customHeight="1">
      <c r="A145" t="inlineStr">
        <is>
          <t>A 35623-2020</t>
        </is>
      </c>
      <c r="B145" s="1" t="n">
        <v>44046</v>
      </c>
      <c r="C145" s="1" t="n">
        <v>45781</v>
      </c>
      <c r="D145" t="inlineStr">
        <is>
          <t>JÄMTLANDS LÄN</t>
        </is>
      </c>
      <c r="E145" t="inlineStr">
        <is>
          <t>ÅRE</t>
        </is>
      </c>
      <c r="G145" t="n">
        <v>15.8</v>
      </c>
      <c r="H145" t="n">
        <v>0</v>
      </c>
      <c r="I145" t="n">
        <v>0</v>
      </c>
      <c r="J145" t="n">
        <v>1</v>
      </c>
      <c r="K145" t="n">
        <v>1</v>
      </c>
      <c r="L145" t="n">
        <v>0</v>
      </c>
      <c r="M145" t="n">
        <v>0</v>
      </c>
      <c r="N145" t="n">
        <v>0</v>
      </c>
      <c r="O145" t="n">
        <v>2</v>
      </c>
      <c r="P145" t="n">
        <v>1</v>
      </c>
      <c r="Q145" t="n">
        <v>2</v>
      </c>
      <c r="R145" s="2" t="inlineStr">
        <is>
          <t>Norsk näverlav
Gammelgransskål</t>
        </is>
      </c>
      <c r="S145">
        <f>HYPERLINK("https://klasma.github.io/Logging_2321/artfynd/A 35623-2020 artfynd.xlsx", "A 35623-2020")</f>
        <v/>
      </c>
      <c r="T145">
        <f>HYPERLINK("https://klasma.github.io/Logging_2321/kartor/A 35623-2020 karta.png", "A 35623-2020")</f>
        <v/>
      </c>
      <c r="V145">
        <f>HYPERLINK("https://klasma.github.io/Logging_2321/klagomål/A 35623-2020 FSC-klagomål.docx", "A 35623-2020")</f>
        <v/>
      </c>
      <c r="W145">
        <f>HYPERLINK("https://klasma.github.io/Logging_2321/klagomålsmail/A 35623-2020 FSC-klagomål mail.docx", "A 35623-2020")</f>
        <v/>
      </c>
      <c r="X145">
        <f>HYPERLINK("https://klasma.github.io/Logging_2321/tillsyn/A 35623-2020 tillsynsbegäran.docx", "A 35623-2020")</f>
        <v/>
      </c>
      <c r="Y145">
        <f>HYPERLINK("https://klasma.github.io/Logging_2321/tillsynsmail/A 35623-2020 tillsynsbegäran mail.docx", "A 35623-2020")</f>
        <v/>
      </c>
    </row>
    <row r="146" ht="15" customHeight="1">
      <c r="A146" t="inlineStr">
        <is>
          <t>A 52778-2020</t>
        </is>
      </c>
      <c r="B146" s="1" t="n">
        <v>44119</v>
      </c>
      <c r="C146" s="1" t="n">
        <v>45781</v>
      </c>
      <c r="D146" t="inlineStr">
        <is>
          <t>JÄMTLANDS LÄN</t>
        </is>
      </c>
      <c r="E146" t="inlineStr">
        <is>
          <t>ÅRE</t>
        </is>
      </c>
      <c r="G146" t="n">
        <v>16.5</v>
      </c>
      <c r="H146" t="n">
        <v>0</v>
      </c>
      <c r="I146" t="n">
        <v>0</v>
      </c>
      <c r="J146" t="n">
        <v>2</v>
      </c>
      <c r="K146" t="n">
        <v>0</v>
      </c>
      <c r="L146" t="n">
        <v>0</v>
      </c>
      <c r="M146" t="n">
        <v>0</v>
      </c>
      <c r="N146" t="n">
        <v>0</v>
      </c>
      <c r="O146" t="n">
        <v>2</v>
      </c>
      <c r="P146" t="n">
        <v>0</v>
      </c>
      <c r="Q146" t="n">
        <v>2</v>
      </c>
      <c r="R146" s="2" t="inlineStr">
        <is>
          <t>Garnlav
Granticka</t>
        </is>
      </c>
      <c r="S146">
        <f>HYPERLINK("https://klasma.github.io/Logging_2321/artfynd/A 52778-2020 artfynd.xlsx", "A 52778-2020")</f>
        <v/>
      </c>
      <c r="T146">
        <f>HYPERLINK("https://klasma.github.io/Logging_2321/kartor/A 52778-2020 karta.png", "A 52778-2020")</f>
        <v/>
      </c>
      <c r="V146">
        <f>HYPERLINK("https://klasma.github.io/Logging_2321/klagomål/A 52778-2020 FSC-klagomål.docx", "A 52778-2020")</f>
        <v/>
      </c>
      <c r="W146">
        <f>HYPERLINK("https://klasma.github.io/Logging_2321/klagomålsmail/A 52778-2020 FSC-klagomål mail.docx", "A 52778-2020")</f>
        <v/>
      </c>
      <c r="X146">
        <f>HYPERLINK("https://klasma.github.io/Logging_2321/tillsyn/A 52778-2020 tillsynsbegäran.docx", "A 52778-2020")</f>
        <v/>
      </c>
      <c r="Y146">
        <f>HYPERLINK("https://klasma.github.io/Logging_2321/tillsynsmail/A 52778-2020 tillsynsbegäran mail.docx", "A 52778-2020")</f>
        <v/>
      </c>
    </row>
    <row r="147" ht="15" customHeight="1">
      <c r="A147" t="inlineStr">
        <is>
          <t>A 5388-2021</t>
        </is>
      </c>
      <c r="B147" s="1" t="n">
        <v>44229</v>
      </c>
      <c r="C147" s="1" t="n">
        <v>45781</v>
      </c>
      <c r="D147" t="inlineStr">
        <is>
          <t>JÄMTLANDS LÄN</t>
        </is>
      </c>
      <c r="E147" t="inlineStr">
        <is>
          <t>ÅRE</t>
        </is>
      </c>
      <c r="G147" t="n">
        <v>6.9</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5388-2021 artfynd.xlsx", "A 5388-2021")</f>
        <v/>
      </c>
      <c r="T147">
        <f>HYPERLINK("https://klasma.github.io/Logging_2321/kartor/A 5388-2021 karta.png", "A 5388-2021")</f>
        <v/>
      </c>
      <c r="V147">
        <f>HYPERLINK("https://klasma.github.io/Logging_2321/klagomål/A 5388-2021 FSC-klagomål.docx", "A 5388-2021")</f>
        <v/>
      </c>
      <c r="W147">
        <f>HYPERLINK("https://klasma.github.io/Logging_2321/klagomålsmail/A 5388-2021 FSC-klagomål mail.docx", "A 5388-2021")</f>
        <v/>
      </c>
      <c r="X147">
        <f>HYPERLINK("https://klasma.github.io/Logging_2321/tillsyn/A 5388-2021 tillsynsbegäran.docx", "A 5388-2021")</f>
        <v/>
      </c>
      <c r="Y147">
        <f>HYPERLINK("https://klasma.github.io/Logging_2321/tillsynsmail/A 5388-2021 tillsynsbegäran mail.docx", "A 5388-2021")</f>
        <v/>
      </c>
      <c r="Z147">
        <f>HYPERLINK("https://klasma.github.io/Logging_2321/fåglar/A 5388-2021 prioriterade fågelarter.docx", "A 5388-2021")</f>
        <v/>
      </c>
    </row>
    <row r="148" ht="15" customHeight="1">
      <c r="A148" t="inlineStr">
        <is>
          <t>A 18792-2021</t>
        </is>
      </c>
      <c r="B148" s="1" t="n">
        <v>44307</v>
      </c>
      <c r="C148" s="1" t="n">
        <v>45781</v>
      </c>
      <c r="D148" t="inlineStr">
        <is>
          <t>JÄMTLANDS LÄN</t>
        </is>
      </c>
      <c r="E148" t="inlineStr">
        <is>
          <t>ÅRE</t>
        </is>
      </c>
      <c r="G148" t="n">
        <v>16.6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18792-2021 artfynd.xlsx", "A 18792-2021")</f>
        <v/>
      </c>
      <c r="T148">
        <f>HYPERLINK("https://klasma.github.io/Logging_2321/kartor/A 18792-2021 karta.png", "A 18792-2021")</f>
        <v/>
      </c>
      <c r="V148">
        <f>HYPERLINK("https://klasma.github.io/Logging_2321/klagomål/A 18792-2021 FSC-klagomål.docx", "A 18792-2021")</f>
        <v/>
      </c>
      <c r="W148">
        <f>HYPERLINK("https://klasma.github.io/Logging_2321/klagomålsmail/A 18792-2021 FSC-klagomål mail.docx", "A 18792-2021")</f>
        <v/>
      </c>
      <c r="X148">
        <f>HYPERLINK("https://klasma.github.io/Logging_2321/tillsyn/A 18792-2021 tillsynsbegäran.docx", "A 18792-2021")</f>
        <v/>
      </c>
      <c r="Y148">
        <f>HYPERLINK("https://klasma.github.io/Logging_2321/tillsynsmail/A 18792-2021 tillsynsbegäran mail.docx", "A 18792-2021")</f>
        <v/>
      </c>
      <c r="Z148">
        <f>HYPERLINK("https://klasma.github.io/Logging_2321/fåglar/A 18792-2021 prioriterade fågelarter.docx", "A 18792-2021")</f>
        <v/>
      </c>
    </row>
    <row r="149" ht="15" customHeight="1">
      <c r="A149" t="inlineStr">
        <is>
          <t>A 23566-2021</t>
        </is>
      </c>
      <c r="B149" s="1" t="n">
        <v>44334</v>
      </c>
      <c r="C149" s="1" t="n">
        <v>45781</v>
      </c>
      <c r="D149" t="inlineStr">
        <is>
          <t>JÄMTLANDS LÄN</t>
        </is>
      </c>
      <c r="E149" t="inlineStr">
        <is>
          <t>ÅRE</t>
        </is>
      </c>
      <c r="G149" t="n">
        <v>20</v>
      </c>
      <c r="H149" t="n">
        <v>1</v>
      </c>
      <c r="I149" t="n">
        <v>1</v>
      </c>
      <c r="J149" t="n">
        <v>1</v>
      </c>
      <c r="K149" t="n">
        <v>0</v>
      </c>
      <c r="L149" t="n">
        <v>0</v>
      </c>
      <c r="M149" t="n">
        <v>0</v>
      </c>
      <c r="N149" t="n">
        <v>0</v>
      </c>
      <c r="O149" t="n">
        <v>1</v>
      </c>
      <c r="P149" t="n">
        <v>0</v>
      </c>
      <c r="Q149" t="n">
        <v>2</v>
      </c>
      <c r="R149" s="2" t="inlineStr">
        <is>
          <t>Skrovellav
Spindelblomster</t>
        </is>
      </c>
      <c r="S149">
        <f>HYPERLINK("https://klasma.github.io/Logging_2321/artfynd/A 23566-2021 artfynd.xlsx", "A 23566-2021")</f>
        <v/>
      </c>
      <c r="T149">
        <f>HYPERLINK("https://klasma.github.io/Logging_2321/kartor/A 23566-2021 karta.png", "A 23566-2021")</f>
        <v/>
      </c>
      <c r="V149">
        <f>HYPERLINK("https://klasma.github.io/Logging_2321/klagomål/A 23566-2021 FSC-klagomål.docx", "A 23566-2021")</f>
        <v/>
      </c>
      <c r="W149">
        <f>HYPERLINK("https://klasma.github.io/Logging_2321/klagomålsmail/A 23566-2021 FSC-klagomål mail.docx", "A 23566-2021")</f>
        <v/>
      </c>
      <c r="X149">
        <f>HYPERLINK("https://klasma.github.io/Logging_2321/tillsyn/A 23566-2021 tillsynsbegäran.docx", "A 23566-2021")</f>
        <v/>
      </c>
      <c r="Y149">
        <f>HYPERLINK("https://klasma.github.io/Logging_2321/tillsynsmail/A 23566-2021 tillsynsbegäran mail.docx", "A 23566-2021")</f>
        <v/>
      </c>
    </row>
    <row r="150" ht="15" customHeight="1">
      <c r="A150" t="inlineStr">
        <is>
          <t>A 46984-2021</t>
        </is>
      </c>
      <c r="B150" s="1" t="n">
        <v>44446</v>
      </c>
      <c r="C150" s="1" t="n">
        <v>45781</v>
      </c>
      <c r="D150" t="inlineStr">
        <is>
          <t>JÄMTLANDS LÄN</t>
        </is>
      </c>
      <c r="E150" t="inlineStr">
        <is>
          <t>ÅRE</t>
        </is>
      </c>
      <c r="G150" t="n">
        <v>0.2</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46984-2021 artfynd.xlsx", "A 46984-2021")</f>
        <v/>
      </c>
      <c r="T150">
        <f>HYPERLINK("https://klasma.github.io/Logging_2321/kartor/A 46984-2021 karta.png", "A 46984-2021")</f>
        <v/>
      </c>
      <c r="V150">
        <f>HYPERLINK("https://klasma.github.io/Logging_2321/klagomål/A 46984-2021 FSC-klagomål.docx", "A 46984-2021")</f>
        <v/>
      </c>
      <c r="W150">
        <f>HYPERLINK("https://klasma.github.io/Logging_2321/klagomålsmail/A 46984-2021 FSC-klagomål mail.docx", "A 46984-2021")</f>
        <v/>
      </c>
      <c r="X150">
        <f>HYPERLINK("https://klasma.github.io/Logging_2321/tillsyn/A 46984-2021 tillsynsbegäran.docx", "A 46984-2021")</f>
        <v/>
      </c>
      <c r="Y150">
        <f>HYPERLINK("https://klasma.github.io/Logging_2321/tillsynsmail/A 46984-2021 tillsynsbegäran mail.docx", "A 46984-2021")</f>
        <v/>
      </c>
      <c r="Z150">
        <f>HYPERLINK("https://klasma.github.io/Logging_2321/fåglar/A 46984-2021 prioriterade fågelarter.docx", "A 46984-2021")</f>
        <v/>
      </c>
    </row>
    <row r="151" ht="15" customHeight="1">
      <c r="A151" t="inlineStr">
        <is>
          <t>A 64663-2021</t>
        </is>
      </c>
      <c r="B151" s="1" t="n">
        <v>44512</v>
      </c>
      <c r="C151" s="1" t="n">
        <v>45781</v>
      </c>
      <c r="D151" t="inlineStr">
        <is>
          <t>JÄMTLANDS LÄN</t>
        </is>
      </c>
      <c r="E151" t="inlineStr">
        <is>
          <t>ÅRE</t>
        </is>
      </c>
      <c r="G151" t="n">
        <v>14.5</v>
      </c>
      <c r="H151" t="n">
        <v>0</v>
      </c>
      <c r="I151" t="n">
        <v>0</v>
      </c>
      <c r="J151" t="n">
        <v>1</v>
      </c>
      <c r="K151" t="n">
        <v>1</v>
      </c>
      <c r="L151" t="n">
        <v>0</v>
      </c>
      <c r="M151" t="n">
        <v>0</v>
      </c>
      <c r="N151" t="n">
        <v>0</v>
      </c>
      <c r="O151" t="n">
        <v>2</v>
      </c>
      <c r="P151" t="n">
        <v>1</v>
      </c>
      <c r="Q151" t="n">
        <v>2</v>
      </c>
      <c r="R151" s="2" t="inlineStr">
        <is>
          <t>Sotbandad spindling
Vitterspindling</t>
        </is>
      </c>
      <c r="S151">
        <f>HYPERLINK("https://klasma.github.io/Logging_2321/artfynd/A 64663-2021 artfynd.xlsx", "A 64663-2021")</f>
        <v/>
      </c>
      <c r="T151">
        <f>HYPERLINK("https://klasma.github.io/Logging_2321/kartor/A 64663-2021 karta.png", "A 64663-2021")</f>
        <v/>
      </c>
      <c r="V151">
        <f>HYPERLINK("https://klasma.github.io/Logging_2321/klagomål/A 64663-2021 FSC-klagomål.docx", "A 64663-2021")</f>
        <v/>
      </c>
      <c r="W151">
        <f>HYPERLINK("https://klasma.github.io/Logging_2321/klagomålsmail/A 64663-2021 FSC-klagomål mail.docx", "A 64663-2021")</f>
        <v/>
      </c>
      <c r="X151">
        <f>HYPERLINK("https://klasma.github.io/Logging_2321/tillsyn/A 64663-2021 tillsynsbegäran.docx", "A 64663-2021")</f>
        <v/>
      </c>
      <c r="Y151">
        <f>HYPERLINK("https://klasma.github.io/Logging_2321/tillsynsmail/A 64663-2021 tillsynsbegäran mail.docx", "A 64663-2021")</f>
        <v/>
      </c>
    </row>
    <row r="152" ht="15" customHeight="1">
      <c r="A152" t="inlineStr">
        <is>
          <t>A 64668-2021</t>
        </is>
      </c>
      <c r="B152" s="1" t="n">
        <v>44512</v>
      </c>
      <c r="C152" s="1" t="n">
        <v>45781</v>
      </c>
      <c r="D152" t="inlineStr">
        <is>
          <t>JÄMTLANDS LÄN</t>
        </is>
      </c>
      <c r="E152" t="inlineStr">
        <is>
          <t>ÅRE</t>
        </is>
      </c>
      <c r="G152" t="n">
        <v>1.9</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64668-2021 artfynd.xlsx", "A 64668-2021")</f>
        <v/>
      </c>
      <c r="T152">
        <f>HYPERLINK("https://klasma.github.io/Logging_2321/kartor/A 64668-2021 karta.png", "A 64668-2021")</f>
        <v/>
      </c>
      <c r="V152">
        <f>HYPERLINK("https://klasma.github.io/Logging_2321/klagomål/A 64668-2021 FSC-klagomål.docx", "A 64668-2021")</f>
        <v/>
      </c>
      <c r="W152">
        <f>HYPERLINK("https://klasma.github.io/Logging_2321/klagomålsmail/A 64668-2021 FSC-klagomål mail.docx", "A 64668-2021")</f>
        <v/>
      </c>
      <c r="X152">
        <f>HYPERLINK("https://klasma.github.io/Logging_2321/tillsyn/A 64668-2021 tillsynsbegäran.docx", "A 64668-2021")</f>
        <v/>
      </c>
      <c r="Y152">
        <f>HYPERLINK("https://klasma.github.io/Logging_2321/tillsynsmail/A 64668-2021 tillsynsbegäran mail.docx", "A 64668-2021")</f>
        <v/>
      </c>
      <c r="Z152">
        <f>HYPERLINK("https://klasma.github.io/Logging_2321/fåglar/A 64668-2021 prioriterade fågelarter.docx", "A 64668-2021")</f>
        <v/>
      </c>
    </row>
    <row r="153" ht="15" customHeight="1">
      <c r="A153" t="inlineStr">
        <is>
          <t>A 5160-2022</t>
        </is>
      </c>
      <c r="B153" s="1" t="n">
        <v>44593</v>
      </c>
      <c r="C153" s="1" t="n">
        <v>45781</v>
      </c>
      <c r="D153" t="inlineStr">
        <is>
          <t>JÄMTLANDS LÄN</t>
        </is>
      </c>
      <c r="E153" t="inlineStr">
        <is>
          <t>ÅRE</t>
        </is>
      </c>
      <c r="G153" t="n">
        <v>11.4</v>
      </c>
      <c r="H153" t="n">
        <v>2</v>
      </c>
      <c r="I153" t="n">
        <v>0</v>
      </c>
      <c r="J153" t="n">
        <v>1</v>
      </c>
      <c r="K153" t="n">
        <v>0</v>
      </c>
      <c r="L153" t="n">
        <v>0</v>
      </c>
      <c r="M153" t="n">
        <v>0</v>
      </c>
      <c r="N153" t="n">
        <v>0</v>
      </c>
      <c r="O153" t="n">
        <v>1</v>
      </c>
      <c r="P153" t="n">
        <v>0</v>
      </c>
      <c r="Q153" t="n">
        <v>2</v>
      </c>
      <c r="R153" s="2" t="inlineStr">
        <is>
          <t>Tretåig hackspett
Vanlig groda</t>
        </is>
      </c>
      <c r="S153">
        <f>HYPERLINK("https://klasma.github.io/Logging_2321/artfynd/A 5160-2022 artfynd.xlsx", "A 5160-2022")</f>
        <v/>
      </c>
      <c r="T153">
        <f>HYPERLINK("https://klasma.github.io/Logging_2321/kartor/A 5160-2022 karta.png", "A 5160-2022")</f>
        <v/>
      </c>
      <c r="V153">
        <f>HYPERLINK("https://klasma.github.io/Logging_2321/klagomål/A 5160-2022 FSC-klagomål.docx", "A 5160-2022")</f>
        <v/>
      </c>
      <c r="W153">
        <f>HYPERLINK("https://klasma.github.io/Logging_2321/klagomålsmail/A 5160-2022 FSC-klagomål mail.docx", "A 5160-2022")</f>
        <v/>
      </c>
      <c r="X153">
        <f>HYPERLINK("https://klasma.github.io/Logging_2321/tillsyn/A 5160-2022 tillsynsbegäran.docx", "A 5160-2022")</f>
        <v/>
      </c>
      <c r="Y153">
        <f>HYPERLINK("https://klasma.github.io/Logging_2321/tillsynsmail/A 5160-2022 tillsynsbegäran mail.docx", "A 5160-2022")</f>
        <v/>
      </c>
      <c r="Z153">
        <f>HYPERLINK("https://klasma.github.io/Logging_2321/fåglar/A 5160-2022 prioriterade fågelarter.docx", "A 5160-2022")</f>
        <v/>
      </c>
    </row>
    <row r="154" ht="15" customHeight="1">
      <c r="A154" t="inlineStr">
        <is>
          <t>A 18851-2022</t>
        </is>
      </c>
      <c r="B154" s="1" t="n">
        <v>44690</v>
      </c>
      <c r="C154" s="1" t="n">
        <v>45781</v>
      </c>
      <c r="D154" t="inlineStr">
        <is>
          <t>JÄMTLANDS LÄN</t>
        </is>
      </c>
      <c r="E154" t="inlineStr">
        <is>
          <t>ÅRE</t>
        </is>
      </c>
      <c r="G154" t="n">
        <v>10.4</v>
      </c>
      <c r="H154" t="n">
        <v>1</v>
      </c>
      <c r="I154" t="n">
        <v>0</v>
      </c>
      <c r="J154" t="n">
        <v>1</v>
      </c>
      <c r="K154" t="n">
        <v>0</v>
      </c>
      <c r="L154" t="n">
        <v>0</v>
      </c>
      <c r="M154" t="n">
        <v>0</v>
      </c>
      <c r="N154" t="n">
        <v>0</v>
      </c>
      <c r="O154" t="n">
        <v>1</v>
      </c>
      <c r="P154" t="n">
        <v>0</v>
      </c>
      <c r="Q154" t="n">
        <v>2</v>
      </c>
      <c r="R154" s="2" t="inlineStr">
        <is>
          <t>Garnlav
Orre</t>
        </is>
      </c>
      <c r="S154">
        <f>HYPERLINK("https://klasma.github.io/Logging_2321/artfynd/A 18851-2022 artfynd.xlsx", "A 18851-2022")</f>
        <v/>
      </c>
      <c r="T154">
        <f>HYPERLINK("https://klasma.github.io/Logging_2321/kartor/A 18851-2022 karta.png", "A 18851-2022")</f>
        <v/>
      </c>
      <c r="V154">
        <f>HYPERLINK("https://klasma.github.io/Logging_2321/klagomål/A 18851-2022 FSC-klagomål.docx", "A 18851-2022")</f>
        <v/>
      </c>
      <c r="W154">
        <f>HYPERLINK("https://klasma.github.io/Logging_2321/klagomålsmail/A 18851-2022 FSC-klagomål mail.docx", "A 18851-2022")</f>
        <v/>
      </c>
      <c r="X154">
        <f>HYPERLINK("https://klasma.github.io/Logging_2321/tillsyn/A 18851-2022 tillsynsbegäran.docx", "A 18851-2022")</f>
        <v/>
      </c>
      <c r="Y154">
        <f>HYPERLINK("https://klasma.github.io/Logging_2321/tillsynsmail/A 18851-2022 tillsynsbegäran mail.docx", "A 18851-2022")</f>
        <v/>
      </c>
      <c r="Z154">
        <f>HYPERLINK("https://klasma.github.io/Logging_2321/fåglar/A 18851-2022 prioriterade fågelarter.docx", "A 18851-2022")</f>
        <v/>
      </c>
    </row>
    <row r="155" ht="15" customHeight="1">
      <c r="A155" t="inlineStr">
        <is>
          <t>A 22231-2022</t>
        </is>
      </c>
      <c r="B155" s="1" t="n">
        <v>44712</v>
      </c>
      <c r="C155" s="1" t="n">
        <v>45781</v>
      </c>
      <c r="D155" t="inlineStr">
        <is>
          <t>JÄMTLANDS LÄN</t>
        </is>
      </c>
      <c r="E155" t="inlineStr">
        <is>
          <t>ÅRE</t>
        </is>
      </c>
      <c r="G155" t="n">
        <v>15</v>
      </c>
      <c r="H155" t="n">
        <v>0</v>
      </c>
      <c r="I155" t="n">
        <v>0</v>
      </c>
      <c r="J155" t="n">
        <v>2</v>
      </c>
      <c r="K155" t="n">
        <v>0</v>
      </c>
      <c r="L155" t="n">
        <v>0</v>
      </c>
      <c r="M155" t="n">
        <v>0</v>
      </c>
      <c r="N155" t="n">
        <v>0</v>
      </c>
      <c r="O155" t="n">
        <v>2</v>
      </c>
      <c r="P155" t="n">
        <v>0</v>
      </c>
      <c r="Q155" t="n">
        <v>2</v>
      </c>
      <c r="R155" s="2" t="inlineStr">
        <is>
          <t>Gammelgransskål
Granticka</t>
        </is>
      </c>
      <c r="S155">
        <f>HYPERLINK("https://klasma.github.io/Logging_2321/artfynd/A 22231-2022 artfynd.xlsx", "A 22231-2022")</f>
        <v/>
      </c>
      <c r="T155">
        <f>HYPERLINK("https://klasma.github.io/Logging_2321/kartor/A 22231-2022 karta.png", "A 22231-2022")</f>
        <v/>
      </c>
      <c r="V155">
        <f>HYPERLINK("https://klasma.github.io/Logging_2321/klagomål/A 22231-2022 FSC-klagomål.docx", "A 22231-2022")</f>
        <v/>
      </c>
      <c r="W155">
        <f>HYPERLINK("https://klasma.github.io/Logging_2321/klagomålsmail/A 22231-2022 FSC-klagomål mail.docx", "A 22231-2022")</f>
        <v/>
      </c>
      <c r="X155">
        <f>HYPERLINK("https://klasma.github.io/Logging_2321/tillsyn/A 22231-2022 tillsynsbegäran.docx", "A 22231-2022")</f>
        <v/>
      </c>
      <c r="Y155">
        <f>HYPERLINK("https://klasma.github.io/Logging_2321/tillsynsmail/A 22231-2022 tillsynsbegäran mail.docx", "A 22231-2022")</f>
        <v/>
      </c>
    </row>
    <row r="156" ht="15" customHeight="1">
      <c r="A156" t="inlineStr">
        <is>
          <t>A 22974-2022</t>
        </is>
      </c>
      <c r="B156" s="1" t="n">
        <v>44716</v>
      </c>
      <c r="C156" s="1" t="n">
        <v>45781</v>
      </c>
      <c r="D156" t="inlineStr">
        <is>
          <t>JÄMTLANDS LÄN</t>
        </is>
      </c>
      <c r="E156" t="inlineStr">
        <is>
          <t>ÅRE</t>
        </is>
      </c>
      <c r="G156" t="n">
        <v>8.300000000000001</v>
      </c>
      <c r="H156" t="n">
        <v>1</v>
      </c>
      <c r="I156" t="n">
        <v>2</v>
      </c>
      <c r="J156" t="n">
        <v>0</v>
      </c>
      <c r="K156" t="n">
        <v>0</v>
      </c>
      <c r="L156" t="n">
        <v>0</v>
      </c>
      <c r="M156" t="n">
        <v>0</v>
      </c>
      <c r="N156" t="n">
        <v>0</v>
      </c>
      <c r="O156" t="n">
        <v>0</v>
      </c>
      <c r="P156" t="n">
        <v>0</v>
      </c>
      <c r="Q156" t="n">
        <v>2</v>
      </c>
      <c r="R156" s="2" t="inlineStr">
        <is>
          <t>Spindelblomster
Ögonpyrola</t>
        </is>
      </c>
      <c r="S156">
        <f>HYPERLINK("https://klasma.github.io/Logging_2321/artfynd/A 22974-2022 artfynd.xlsx", "A 22974-2022")</f>
        <v/>
      </c>
      <c r="T156">
        <f>HYPERLINK("https://klasma.github.io/Logging_2321/kartor/A 22974-2022 karta.png", "A 22974-2022")</f>
        <v/>
      </c>
      <c r="V156">
        <f>HYPERLINK("https://klasma.github.io/Logging_2321/klagomål/A 22974-2022 FSC-klagomål.docx", "A 22974-2022")</f>
        <v/>
      </c>
      <c r="W156">
        <f>HYPERLINK("https://klasma.github.io/Logging_2321/klagomålsmail/A 22974-2022 FSC-klagomål mail.docx", "A 22974-2022")</f>
        <v/>
      </c>
      <c r="X156">
        <f>HYPERLINK("https://klasma.github.io/Logging_2321/tillsyn/A 22974-2022 tillsynsbegäran.docx", "A 22974-2022")</f>
        <v/>
      </c>
      <c r="Y156">
        <f>HYPERLINK("https://klasma.github.io/Logging_2321/tillsynsmail/A 22974-2022 tillsynsbegäran mail.docx", "A 22974-2022")</f>
        <v/>
      </c>
    </row>
    <row r="157" ht="15" customHeight="1">
      <c r="A157" t="inlineStr">
        <is>
          <t>A 32207-2022</t>
        </is>
      </c>
      <c r="B157" s="1" t="n">
        <v>44781</v>
      </c>
      <c r="C157" s="1" t="n">
        <v>45781</v>
      </c>
      <c r="D157" t="inlineStr">
        <is>
          <t>JÄMTLANDS LÄN</t>
        </is>
      </c>
      <c r="E157" t="inlineStr">
        <is>
          <t>ÅRE</t>
        </is>
      </c>
      <c r="G157" t="n">
        <v>5.5</v>
      </c>
      <c r="H157" t="n">
        <v>1</v>
      </c>
      <c r="I157" t="n">
        <v>2</v>
      </c>
      <c r="J157" t="n">
        <v>0</v>
      </c>
      <c r="K157" t="n">
        <v>0</v>
      </c>
      <c r="L157" t="n">
        <v>0</v>
      </c>
      <c r="M157" t="n">
        <v>0</v>
      </c>
      <c r="N157" t="n">
        <v>0</v>
      </c>
      <c r="O157" t="n">
        <v>0</v>
      </c>
      <c r="P157" t="n">
        <v>0</v>
      </c>
      <c r="Q157" t="n">
        <v>2</v>
      </c>
      <c r="R157" s="2" t="inlineStr">
        <is>
          <t>Korallrot
Ögonpyrola</t>
        </is>
      </c>
      <c r="S157">
        <f>HYPERLINK("https://klasma.github.io/Logging_2321/artfynd/A 32207-2022 artfynd.xlsx", "A 32207-2022")</f>
        <v/>
      </c>
      <c r="T157">
        <f>HYPERLINK("https://klasma.github.io/Logging_2321/kartor/A 32207-2022 karta.png", "A 32207-2022")</f>
        <v/>
      </c>
      <c r="V157">
        <f>HYPERLINK("https://klasma.github.io/Logging_2321/klagomål/A 32207-2022 FSC-klagomål.docx", "A 32207-2022")</f>
        <v/>
      </c>
      <c r="W157">
        <f>HYPERLINK("https://klasma.github.io/Logging_2321/klagomålsmail/A 32207-2022 FSC-klagomål mail.docx", "A 32207-2022")</f>
        <v/>
      </c>
      <c r="X157">
        <f>HYPERLINK("https://klasma.github.io/Logging_2321/tillsyn/A 32207-2022 tillsynsbegäran.docx", "A 32207-2022")</f>
        <v/>
      </c>
      <c r="Y157">
        <f>HYPERLINK("https://klasma.github.io/Logging_2321/tillsynsmail/A 32207-2022 tillsynsbegäran mail.docx", "A 32207-2022")</f>
        <v/>
      </c>
    </row>
    <row r="158" ht="15" customHeight="1">
      <c r="A158" t="inlineStr">
        <is>
          <t>A 55739-2022</t>
        </is>
      </c>
      <c r="B158" s="1" t="n">
        <v>44888</v>
      </c>
      <c r="C158" s="1" t="n">
        <v>45781</v>
      </c>
      <c r="D158" t="inlineStr">
        <is>
          <t>JÄMTLANDS LÄN</t>
        </is>
      </c>
      <c r="E158" t="inlineStr">
        <is>
          <t>ÅRE</t>
        </is>
      </c>
      <c r="F158" t="inlineStr">
        <is>
          <t>Övriga Aktiebolag</t>
        </is>
      </c>
      <c r="G158" t="n">
        <v>10.2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HYPERLINK("https://klasma.github.io/Logging_2321/artfynd/A 55739-2022 artfynd.xlsx", "A 55739-2022")</f>
        <v/>
      </c>
      <c r="T158">
        <f>HYPERLINK("https://klasma.github.io/Logging_2321/kartor/A 55739-2022 karta.png", "A 55739-2022")</f>
        <v/>
      </c>
      <c r="V158">
        <f>HYPERLINK("https://klasma.github.io/Logging_2321/klagomål/A 55739-2022 FSC-klagomål.docx", "A 55739-2022")</f>
        <v/>
      </c>
      <c r="W158">
        <f>HYPERLINK("https://klasma.github.io/Logging_2321/klagomålsmail/A 55739-2022 FSC-klagomål mail.docx", "A 55739-2022")</f>
        <v/>
      </c>
      <c r="X158">
        <f>HYPERLINK("https://klasma.github.io/Logging_2321/tillsyn/A 55739-2022 tillsynsbegäran.docx", "A 55739-2022")</f>
        <v/>
      </c>
      <c r="Y158">
        <f>HYPERLINK("https://klasma.github.io/Logging_2321/tillsynsmail/A 55739-2022 tillsynsbegäran mail.docx", "A 55739-2022")</f>
        <v/>
      </c>
      <c r="Z158">
        <f>HYPERLINK("https://klasma.github.io/Logging_2321/fåglar/A 55739-2022 prioriterade fågelarter.docx", "A 55739-2022")</f>
        <v/>
      </c>
    </row>
    <row r="159" ht="15" customHeight="1">
      <c r="A159" t="inlineStr">
        <is>
          <t>A 56472-2022</t>
        </is>
      </c>
      <c r="B159" s="1" t="n">
        <v>44893</v>
      </c>
      <c r="C159" s="1" t="n">
        <v>45781</v>
      </c>
      <c r="D159" t="inlineStr">
        <is>
          <t>JÄMTLANDS LÄN</t>
        </is>
      </c>
      <c r="E159" t="inlineStr">
        <is>
          <t>ÅRE</t>
        </is>
      </c>
      <c r="F159" t="inlineStr">
        <is>
          <t>Övriga Aktiebolag</t>
        </is>
      </c>
      <c r="G159" t="n">
        <v>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56472-2022 artfynd.xlsx", "A 56472-2022")</f>
        <v/>
      </c>
      <c r="T159">
        <f>HYPERLINK("https://klasma.github.io/Logging_2321/kartor/A 56472-2022 karta.png", "A 56472-2022")</f>
        <v/>
      </c>
      <c r="V159">
        <f>HYPERLINK("https://klasma.github.io/Logging_2321/klagomål/A 56472-2022 FSC-klagomål.docx", "A 56472-2022")</f>
        <v/>
      </c>
      <c r="W159">
        <f>HYPERLINK("https://klasma.github.io/Logging_2321/klagomålsmail/A 56472-2022 FSC-klagomål mail.docx", "A 56472-2022")</f>
        <v/>
      </c>
      <c r="X159">
        <f>HYPERLINK("https://klasma.github.io/Logging_2321/tillsyn/A 56472-2022 tillsynsbegäran.docx", "A 56472-2022")</f>
        <v/>
      </c>
      <c r="Y159">
        <f>HYPERLINK("https://klasma.github.io/Logging_2321/tillsynsmail/A 56472-2022 tillsynsbegäran mail.docx", "A 56472-2022")</f>
        <v/>
      </c>
      <c r="Z159">
        <f>HYPERLINK("https://klasma.github.io/Logging_2321/fåglar/A 56472-2022 prioriterade fågelarter.docx", "A 56472-2022")</f>
        <v/>
      </c>
    </row>
    <row r="160" ht="15" customHeight="1">
      <c r="A160" t="inlineStr">
        <is>
          <t>A 60533-2022</t>
        </is>
      </c>
      <c r="B160" s="1" t="n">
        <v>44904</v>
      </c>
      <c r="C160" s="1" t="n">
        <v>45781</v>
      </c>
      <c r="D160" t="inlineStr">
        <is>
          <t>JÄMTLANDS LÄN</t>
        </is>
      </c>
      <c r="E160" t="inlineStr">
        <is>
          <t>ÅRE</t>
        </is>
      </c>
      <c r="G160" t="n">
        <v>3.6</v>
      </c>
      <c r="H160" t="n">
        <v>2</v>
      </c>
      <c r="I160" t="n">
        <v>0</v>
      </c>
      <c r="J160" t="n">
        <v>2</v>
      </c>
      <c r="K160" t="n">
        <v>0</v>
      </c>
      <c r="L160" t="n">
        <v>0</v>
      </c>
      <c r="M160" t="n">
        <v>0</v>
      </c>
      <c r="N160" t="n">
        <v>0</v>
      </c>
      <c r="O160" t="n">
        <v>2</v>
      </c>
      <c r="P160" t="n">
        <v>0</v>
      </c>
      <c r="Q160" t="n">
        <v>2</v>
      </c>
      <c r="R160" s="2" t="inlineStr">
        <is>
          <t>Talltita
Tretåig hackspett</t>
        </is>
      </c>
      <c r="S160">
        <f>HYPERLINK("https://klasma.github.io/Logging_2321/artfynd/A 60533-2022 artfynd.xlsx", "A 60533-2022")</f>
        <v/>
      </c>
      <c r="T160">
        <f>HYPERLINK("https://klasma.github.io/Logging_2321/kartor/A 60533-2022 karta.png", "A 60533-2022")</f>
        <v/>
      </c>
      <c r="V160">
        <f>HYPERLINK("https://klasma.github.io/Logging_2321/klagomål/A 60533-2022 FSC-klagomål.docx", "A 60533-2022")</f>
        <v/>
      </c>
      <c r="W160">
        <f>HYPERLINK("https://klasma.github.io/Logging_2321/klagomålsmail/A 60533-2022 FSC-klagomål mail.docx", "A 60533-2022")</f>
        <v/>
      </c>
      <c r="X160">
        <f>HYPERLINK("https://klasma.github.io/Logging_2321/tillsyn/A 60533-2022 tillsynsbegäran.docx", "A 60533-2022")</f>
        <v/>
      </c>
      <c r="Y160">
        <f>HYPERLINK("https://klasma.github.io/Logging_2321/tillsynsmail/A 60533-2022 tillsynsbegäran mail.docx", "A 60533-2022")</f>
        <v/>
      </c>
      <c r="Z160">
        <f>HYPERLINK("https://klasma.github.io/Logging_2321/fåglar/A 60533-2022 prioriterade fågelarter.docx", "A 60533-2022")</f>
        <v/>
      </c>
    </row>
    <row r="161" ht="15" customHeight="1">
      <c r="A161" t="inlineStr">
        <is>
          <t>A 3152-2023</t>
        </is>
      </c>
      <c r="B161" s="1" t="n">
        <v>44946</v>
      </c>
      <c r="C161" s="1" t="n">
        <v>45781</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HYPERLINK("https://klasma.github.io/Logging_2321/artfynd/A 3152-2023 artfynd.xlsx", "A 3152-2023")</f>
        <v/>
      </c>
      <c r="T161">
        <f>HYPERLINK("https://klasma.github.io/Logging_2321/kartor/A 3152-2023 karta.png", "A 3152-2023")</f>
        <v/>
      </c>
      <c r="V161">
        <f>HYPERLINK("https://klasma.github.io/Logging_2321/klagomål/A 3152-2023 FSC-klagomål.docx", "A 3152-2023")</f>
        <v/>
      </c>
      <c r="W161">
        <f>HYPERLINK("https://klasma.github.io/Logging_2321/klagomålsmail/A 3152-2023 FSC-klagomål mail.docx", "A 3152-2023")</f>
        <v/>
      </c>
      <c r="X161">
        <f>HYPERLINK("https://klasma.github.io/Logging_2321/tillsyn/A 3152-2023 tillsynsbegäran.docx", "A 3152-2023")</f>
        <v/>
      </c>
      <c r="Y161">
        <f>HYPERLINK("https://klasma.github.io/Logging_2321/tillsynsmail/A 3152-2023 tillsynsbegäran mail.docx", "A 3152-2023")</f>
        <v/>
      </c>
      <c r="Z161">
        <f>HYPERLINK("https://klasma.github.io/Logging_2321/fåglar/A 3152-2023 prioriterade fågelarter.docx", "A 3152-2023")</f>
        <v/>
      </c>
    </row>
    <row r="162" ht="15" customHeight="1">
      <c r="A162" t="inlineStr">
        <is>
          <t>A 5531-2023</t>
        </is>
      </c>
      <c r="B162" s="1" t="n">
        <v>44957</v>
      </c>
      <c r="C162" s="1" t="n">
        <v>45781</v>
      </c>
      <c r="D162" t="inlineStr">
        <is>
          <t>JÄMTLANDS LÄN</t>
        </is>
      </c>
      <c r="E162" t="inlineStr">
        <is>
          <t>ÅRE</t>
        </is>
      </c>
      <c r="G162" t="n">
        <v>3.8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5531-2023 artfynd.xlsx", "A 5531-2023")</f>
        <v/>
      </c>
      <c r="T162">
        <f>HYPERLINK("https://klasma.github.io/Logging_2321/kartor/A 5531-2023 karta.png", "A 5531-2023")</f>
        <v/>
      </c>
      <c r="V162">
        <f>HYPERLINK("https://klasma.github.io/Logging_2321/klagomål/A 5531-2023 FSC-klagomål.docx", "A 5531-2023")</f>
        <v/>
      </c>
      <c r="W162">
        <f>HYPERLINK("https://klasma.github.io/Logging_2321/klagomålsmail/A 5531-2023 FSC-klagomål mail.docx", "A 5531-2023")</f>
        <v/>
      </c>
      <c r="X162">
        <f>HYPERLINK("https://klasma.github.io/Logging_2321/tillsyn/A 5531-2023 tillsynsbegäran.docx", "A 5531-2023")</f>
        <v/>
      </c>
      <c r="Y162">
        <f>HYPERLINK("https://klasma.github.io/Logging_2321/tillsynsmail/A 5531-2023 tillsynsbegäran mail.docx", "A 5531-2023")</f>
        <v/>
      </c>
      <c r="Z162">
        <f>HYPERLINK("https://klasma.github.io/Logging_2321/fåglar/A 5531-2023 prioriterade fågelarter.docx", "A 5531-2023")</f>
        <v/>
      </c>
    </row>
    <row r="163" ht="15" customHeight="1">
      <c r="A163" t="inlineStr">
        <is>
          <t>A 5418-2023</t>
        </is>
      </c>
      <c r="B163" s="1" t="n">
        <v>44957</v>
      </c>
      <c r="C163" s="1" t="n">
        <v>45781</v>
      </c>
      <c r="D163" t="inlineStr">
        <is>
          <t>JÄMTLANDS LÄN</t>
        </is>
      </c>
      <c r="E163" t="inlineStr">
        <is>
          <t>ÅRE</t>
        </is>
      </c>
      <c r="G163" t="n">
        <v>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5418-2023 artfynd.xlsx", "A 5418-2023")</f>
        <v/>
      </c>
      <c r="T163">
        <f>HYPERLINK("https://klasma.github.io/Logging_2321/kartor/A 5418-2023 karta.png", "A 5418-2023")</f>
        <v/>
      </c>
      <c r="V163">
        <f>HYPERLINK("https://klasma.github.io/Logging_2321/klagomål/A 5418-2023 FSC-klagomål.docx", "A 5418-2023")</f>
        <v/>
      </c>
      <c r="W163">
        <f>HYPERLINK("https://klasma.github.io/Logging_2321/klagomålsmail/A 5418-2023 FSC-klagomål mail.docx", "A 5418-2023")</f>
        <v/>
      </c>
      <c r="X163">
        <f>HYPERLINK("https://klasma.github.io/Logging_2321/tillsyn/A 5418-2023 tillsynsbegäran.docx", "A 5418-2023")</f>
        <v/>
      </c>
      <c r="Y163">
        <f>HYPERLINK("https://klasma.github.io/Logging_2321/tillsynsmail/A 5418-2023 tillsynsbegäran mail.docx", "A 5418-2023")</f>
        <v/>
      </c>
      <c r="Z163">
        <f>HYPERLINK("https://klasma.github.io/Logging_2321/fåglar/A 5418-2023 prioriterade fågelarter.docx", "A 5418-2023")</f>
        <v/>
      </c>
    </row>
    <row r="164" ht="15" customHeight="1">
      <c r="A164" t="inlineStr">
        <is>
          <t>A 6107-2023</t>
        </is>
      </c>
      <c r="B164" s="1" t="n">
        <v>44964</v>
      </c>
      <c r="C164" s="1" t="n">
        <v>45781</v>
      </c>
      <c r="D164" t="inlineStr">
        <is>
          <t>JÄMTLANDS LÄN</t>
        </is>
      </c>
      <c r="E164" t="inlineStr">
        <is>
          <t>ÅRE</t>
        </is>
      </c>
      <c r="G164" t="n">
        <v>1.9</v>
      </c>
      <c r="H164" t="n">
        <v>0</v>
      </c>
      <c r="I164" t="n">
        <v>1</v>
      </c>
      <c r="J164" t="n">
        <v>1</v>
      </c>
      <c r="K164" t="n">
        <v>0</v>
      </c>
      <c r="L164" t="n">
        <v>0</v>
      </c>
      <c r="M164" t="n">
        <v>0</v>
      </c>
      <c r="N164" t="n">
        <v>0</v>
      </c>
      <c r="O164" t="n">
        <v>1</v>
      </c>
      <c r="P164" t="n">
        <v>0</v>
      </c>
      <c r="Q164" t="n">
        <v>2</v>
      </c>
      <c r="R164" s="2" t="inlineStr">
        <is>
          <t>Skrovellav
Stuplav</t>
        </is>
      </c>
      <c r="S164">
        <f>HYPERLINK("https://klasma.github.io/Logging_2321/artfynd/A 6107-2023 artfynd.xlsx", "A 6107-2023")</f>
        <v/>
      </c>
      <c r="T164">
        <f>HYPERLINK("https://klasma.github.io/Logging_2321/kartor/A 6107-2023 karta.png", "A 6107-2023")</f>
        <v/>
      </c>
      <c r="V164">
        <f>HYPERLINK("https://klasma.github.io/Logging_2321/klagomål/A 6107-2023 FSC-klagomål.docx", "A 6107-2023")</f>
        <v/>
      </c>
      <c r="W164">
        <f>HYPERLINK("https://klasma.github.io/Logging_2321/klagomålsmail/A 6107-2023 FSC-klagomål mail.docx", "A 6107-2023")</f>
        <v/>
      </c>
      <c r="X164">
        <f>HYPERLINK("https://klasma.github.io/Logging_2321/tillsyn/A 6107-2023 tillsynsbegäran.docx", "A 6107-2023")</f>
        <v/>
      </c>
      <c r="Y164">
        <f>HYPERLINK("https://klasma.github.io/Logging_2321/tillsynsmail/A 6107-2023 tillsynsbegäran mail.docx", "A 6107-2023")</f>
        <v/>
      </c>
    </row>
    <row r="165" ht="15" customHeight="1">
      <c r="A165" t="inlineStr">
        <is>
          <t>A 6108-2023</t>
        </is>
      </c>
      <c r="B165" s="1" t="n">
        <v>44964</v>
      </c>
      <c r="C165" s="1" t="n">
        <v>45781</v>
      </c>
      <c r="D165" t="inlineStr">
        <is>
          <t>JÄMTLANDS LÄN</t>
        </is>
      </c>
      <c r="E165" t="inlineStr">
        <is>
          <t>ÅRE</t>
        </is>
      </c>
      <c r="G165" t="n">
        <v>15.4</v>
      </c>
      <c r="H165" t="n">
        <v>1</v>
      </c>
      <c r="I165" t="n">
        <v>0</v>
      </c>
      <c r="J165" t="n">
        <v>2</v>
      </c>
      <c r="K165" t="n">
        <v>0</v>
      </c>
      <c r="L165" t="n">
        <v>0</v>
      </c>
      <c r="M165" t="n">
        <v>0</v>
      </c>
      <c r="N165" t="n">
        <v>0</v>
      </c>
      <c r="O165" t="n">
        <v>2</v>
      </c>
      <c r="P165" t="n">
        <v>0</v>
      </c>
      <c r="Q165" t="n">
        <v>2</v>
      </c>
      <c r="R165" s="2" t="inlineStr">
        <is>
          <t>Skrovellav
Tretåig hackspett</t>
        </is>
      </c>
      <c r="S165">
        <f>HYPERLINK("https://klasma.github.io/Logging_2321/artfynd/A 6108-2023 artfynd.xlsx", "A 6108-2023")</f>
        <v/>
      </c>
      <c r="T165">
        <f>HYPERLINK("https://klasma.github.io/Logging_2321/kartor/A 6108-2023 karta.png", "A 6108-2023")</f>
        <v/>
      </c>
      <c r="V165">
        <f>HYPERLINK("https://klasma.github.io/Logging_2321/klagomål/A 6108-2023 FSC-klagomål.docx", "A 6108-2023")</f>
        <v/>
      </c>
      <c r="W165">
        <f>HYPERLINK("https://klasma.github.io/Logging_2321/klagomålsmail/A 6108-2023 FSC-klagomål mail.docx", "A 6108-2023")</f>
        <v/>
      </c>
      <c r="X165">
        <f>HYPERLINK("https://klasma.github.io/Logging_2321/tillsyn/A 6108-2023 tillsynsbegäran.docx", "A 6108-2023")</f>
        <v/>
      </c>
      <c r="Y165">
        <f>HYPERLINK("https://klasma.github.io/Logging_2321/tillsynsmail/A 6108-2023 tillsynsbegäran mail.docx", "A 6108-2023")</f>
        <v/>
      </c>
      <c r="Z165">
        <f>HYPERLINK("https://klasma.github.io/Logging_2321/fåglar/A 6108-2023 prioriterade fågelarter.docx", "A 6108-2023")</f>
        <v/>
      </c>
    </row>
    <row r="166" ht="15" customHeight="1">
      <c r="A166" t="inlineStr">
        <is>
          <t>A 7401-2023</t>
        </is>
      </c>
      <c r="B166" s="1" t="n">
        <v>44966</v>
      </c>
      <c r="C166" s="1" t="n">
        <v>45781</v>
      </c>
      <c r="D166" t="inlineStr">
        <is>
          <t>JÄMTLANDS LÄN</t>
        </is>
      </c>
      <c r="E166" t="inlineStr">
        <is>
          <t>ÅRE</t>
        </is>
      </c>
      <c r="G166" t="n">
        <v>3.5</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7401-2023 artfynd.xlsx", "A 7401-2023")</f>
        <v/>
      </c>
      <c r="T166">
        <f>HYPERLINK("https://klasma.github.io/Logging_2321/kartor/A 7401-2023 karta.png", "A 7401-2023")</f>
        <v/>
      </c>
      <c r="V166">
        <f>HYPERLINK("https://klasma.github.io/Logging_2321/klagomål/A 7401-2023 FSC-klagomål.docx", "A 7401-2023")</f>
        <v/>
      </c>
      <c r="W166">
        <f>HYPERLINK("https://klasma.github.io/Logging_2321/klagomålsmail/A 7401-2023 FSC-klagomål mail.docx", "A 7401-2023")</f>
        <v/>
      </c>
      <c r="X166">
        <f>HYPERLINK("https://klasma.github.io/Logging_2321/tillsyn/A 7401-2023 tillsynsbegäran.docx", "A 7401-2023")</f>
        <v/>
      </c>
      <c r="Y166">
        <f>HYPERLINK("https://klasma.github.io/Logging_2321/tillsynsmail/A 7401-2023 tillsynsbegäran mail.docx", "A 7401-2023")</f>
        <v/>
      </c>
    </row>
    <row r="167" ht="15" customHeight="1">
      <c r="A167" t="inlineStr">
        <is>
          <t>A 19699-2023</t>
        </is>
      </c>
      <c r="B167" s="1" t="n">
        <v>45051</v>
      </c>
      <c r="C167" s="1" t="n">
        <v>45781</v>
      </c>
      <c r="D167" t="inlineStr">
        <is>
          <t>JÄMTLANDS LÄN</t>
        </is>
      </c>
      <c r="E167" t="inlineStr">
        <is>
          <t>ÅRE</t>
        </is>
      </c>
      <c r="G167" t="n">
        <v>0.7</v>
      </c>
      <c r="H167" t="n">
        <v>2</v>
      </c>
      <c r="I167" t="n">
        <v>1</v>
      </c>
      <c r="J167" t="n">
        <v>0</v>
      </c>
      <c r="K167" t="n">
        <v>0</v>
      </c>
      <c r="L167" t="n">
        <v>0</v>
      </c>
      <c r="M167" t="n">
        <v>0</v>
      </c>
      <c r="N167" t="n">
        <v>0</v>
      </c>
      <c r="O167" t="n">
        <v>0</v>
      </c>
      <c r="P167" t="n">
        <v>0</v>
      </c>
      <c r="Q167" t="n">
        <v>2</v>
      </c>
      <c r="R167" s="2" t="inlineStr">
        <is>
          <t>Tvåblad
Revlummer</t>
        </is>
      </c>
      <c r="S167">
        <f>HYPERLINK("https://klasma.github.io/Logging_2321/artfynd/A 19699-2023 artfynd.xlsx", "A 19699-2023")</f>
        <v/>
      </c>
      <c r="T167">
        <f>HYPERLINK("https://klasma.github.io/Logging_2321/kartor/A 19699-2023 karta.png", "A 19699-2023")</f>
        <v/>
      </c>
      <c r="V167">
        <f>HYPERLINK("https://klasma.github.io/Logging_2321/klagomål/A 19699-2023 FSC-klagomål.docx", "A 19699-2023")</f>
        <v/>
      </c>
      <c r="W167">
        <f>HYPERLINK("https://klasma.github.io/Logging_2321/klagomålsmail/A 19699-2023 FSC-klagomål mail.docx", "A 19699-2023")</f>
        <v/>
      </c>
      <c r="X167">
        <f>HYPERLINK("https://klasma.github.io/Logging_2321/tillsyn/A 19699-2023 tillsynsbegäran.docx", "A 19699-2023")</f>
        <v/>
      </c>
      <c r="Y167">
        <f>HYPERLINK("https://klasma.github.io/Logging_2321/tillsynsmail/A 19699-2023 tillsynsbegäran mail.docx", "A 19699-2023")</f>
        <v/>
      </c>
    </row>
    <row r="168" ht="15" customHeight="1">
      <c r="A168" t="inlineStr">
        <is>
          <t>A 23706-2023</t>
        </is>
      </c>
      <c r="B168" s="1" t="n">
        <v>45072</v>
      </c>
      <c r="C168" s="1" t="n">
        <v>45781</v>
      </c>
      <c r="D168" t="inlineStr">
        <is>
          <t>JÄMTLANDS LÄN</t>
        </is>
      </c>
      <c r="E168" t="inlineStr">
        <is>
          <t>ÅRE</t>
        </is>
      </c>
      <c r="G168" t="n">
        <v>8.1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23706-2023 artfynd.xlsx", "A 23706-2023")</f>
        <v/>
      </c>
      <c r="T168">
        <f>HYPERLINK("https://klasma.github.io/Logging_2321/kartor/A 23706-2023 karta.png", "A 23706-2023")</f>
        <v/>
      </c>
      <c r="V168">
        <f>HYPERLINK("https://klasma.github.io/Logging_2321/klagomål/A 23706-2023 FSC-klagomål.docx", "A 23706-2023")</f>
        <v/>
      </c>
      <c r="W168">
        <f>HYPERLINK("https://klasma.github.io/Logging_2321/klagomålsmail/A 23706-2023 FSC-klagomål mail.docx", "A 23706-2023")</f>
        <v/>
      </c>
      <c r="X168">
        <f>HYPERLINK("https://klasma.github.io/Logging_2321/tillsyn/A 23706-2023 tillsynsbegäran.docx", "A 23706-2023")</f>
        <v/>
      </c>
      <c r="Y168">
        <f>HYPERLINK("https://klasma.github.io/Logging_2321/tillsynsmail/A 23706-2023 tillsynsbegäran mail.docx", "A 23706-2023")</f>
        <v/>
      </c>
      <c r="Z168">
        <f>HYPERLINK("https://klasma.github.io/Logging_2321/fåglar/A 23706-2023 prioriterade fågelarter.docx", "A 23706-2023")</f>
        <v/>
      </c>
    </row>
    <row r="169" ht="15" customHeight="1">
      <c r="A169" t="inlineStr">
        <is>
          <t>A 26098-2023</t>
        </is>
      </c>
      <c r="B169" s="1" t="n">
        <v>45091</v>
      </c>
      <c r="C169" s="1" t="n">
        <v>45781</v>
      </c>
      <c r="D169" t="inlineStr">
        <is>
          <t>JÄMTLANDS LÄN</t>
        </is>
      </c>
      <c r="E169" t="inlineStr">
        <is>
          <t>ÅRE</t>
        </is>
      </c>
      <c r="G169" t="n">
        <v>15.7</v>
      </c>
      <c r="H169" t="n">
        <v>0</v>
      </c>
      <c r="I169" t="n">
        <v>0</v>
      </c>
      <c r="J169" t="n">
        <v>2</v>
      </c>
      <c r="K169" t="n">
        <v>0</v>
      </c>
      <c r="L169" t="n">
        <v>0</v>
      </c>
      <c r="M169" t="n">
        <v>0</v>
      </c>
      <c r="N169" t="n">
        <v>0</v>
      </c>
      <c r="O169" t="n">
        <v>2</v>
      </c>
      <c r="P169" t="n">
        <v>0</v>
      </c>
      <c r="Q169" t="n">
        <v>2</v>
      </c>
      <c r="R169" s="2" t="inlineStr">
        <is>
          <t>Lunglav
Skrovellav</t>
        </is>
      </c>
      <c r="S169">
        <f>HYPERLINK("https://klasma.github.io/Logging_2321/artfynd/A 26098-2023 artfynd.xlsx", "A 26098-2023")</f>
        <v/>
      </c>
      <c r="T169">
        <f>HYPERLINK("https://klasma.github.io/Logging_2321/kartor/A 26098-2023 karta.png", "A 26098-2023")</f>
        <v/>
      </c>
      <c r="V169">
        <f>HYPERLINK("https://klasma.github.io/Logging_2321/klagomål/A 26098-2023 FSC-klagomål.docx", "A 26098-2023")</f>
        <v/>
      </c>
      <c r="W169">
        <f>HYPERLINK("https://klasma.github.io/Logging_2321/klagomålsmail/A 26098-2023 FSC-klagomål mail.docx", "A 26098-2023")</f>
        <v/>
      </c>
      <c r="X169">
        <f>HYPERLINK("https://klasma.github.io/Logging_2321/tillsyn/A 26098-2023 tillsynsbegäran.docx", "A 26098-2023")</f>
        <v/>
      </c>
      <c r="Y169">
        <f>HYPERLINK("https://klasma.github.io/Logging_2321/tillsynsmail/A 26098-2023 tillsynsbegäran mail.docx", "A 26098-2023")</f>
        <v/>
      </c>
    </row>
    <row r="170" ht="15" customHeight="1">
      <c r="A170" t="inlineStr">
        <is>
          <t>A 53014-2023</t>
        </is>
      </c>
      <c r="B170" s="1" t="n">
        <v>45226</v>
      </c>
      <c r="C170" s="1" t="n">
        <v>45781</v>
      </c>
      <c r="D170" t="inlineStr">
        <is>
          <t>JÄMTLANDS LÄN</t>
        </is>
      </c>
      <c r="E170" t="inlineStr">
        <is>
          <t>ÅRE</t>
        </is>
      </c>
      <c r="F170" t="inlineStr">
        <is>
          <t>Övriga Aktiebolag</t>
        </is>
      </c>
      <c r="G170" t="n">
        <v>9.4</v>
      </c>
      <c r="H170" t="n">
        <v>1</v>
      </c>
      <c r="I170" t="n">
        <v>1</v>
      </c>
      <c r="J170" t="n">
        <v>1</v>
      </c>
      <c r="K170" t="n">
        <v>0</v>
      </c>
      <c r="L170" t="n">
        <v>0</v>
      </c>
      <c r="M170" t="n">
        <v>0</v>
      </c>
      <c r="N170" t="n">
        <v>0</v>
      </c>
      <c r="O170" t="n">
        <v>1</v>
      </c>
      <c r="P170" t="n">
        <v>0</v>
      </c>
      <c r="Q170" t="n">
        <v>2</v>
      </c>
      <c r="R170" s="2" t="inlineStr">
        <is>
          <t>Vedflikmossa
Spindelblomster</t>
        </is>
      </c>
      <c r="S170">
        <f>HYPERLINK("https://klasma.github.io/Logging_2321/artfynd/A 53014-2023 artfynd.xlsx", "A 53014-2023")</f>
        <v/>
      </c>
      <c r="T170">
        <f>HYPERLINK("https://klasma.github.io/Logging_2321/kartor/A 53014-2023 karta.png", "A 53014-2023")</f>
        <v/>
      </c>
      <c r="V170">
        <f>HYPERLINK("https://klasma.github.io/Logging_2321/klagomål/A 53014-2023 FSC-klagomål.docx", "A 53014-2023")</f>
        <v/>
      </c>
      <c r="W170">
        <f>HYPERLINK("https://klasma.github.io/Logging_2321/klagomålsmail/A 53014-2023 FSC-klagomål mail.docx", "A 53014-2023")</f>
        <v/>
      </c>
      <c r="X170">
        <f>HYPERLINK("https://klasma.github.io/Logging_2321/tillsyn/A 53014-2023 tillsynsbegäran.docx", "A 53014-2023")</f>
        <v/>
      </c>
      <c r="Y170">
        <f>HYPERLINK("https://klasma.github.io/Logging_2321/tillsynsmail/A 53014-2023 tillsynsbegäran mail.docx", "A 53014-2023")</f>
        <v/>
      </c>
    </row>
    <row r="171" ht="15" customHeight="1">
      <c r="A171" t="inlineStr">
        <is>
          <t>A 54055-2023</t>
        </is>
      </c>
      <c r="B171" s="1" t="n">
        <v>45231</v>
      </c>
      <c r="C171" s="1" t="n">
        <v>45781</v>
      </c>
      <c r="D171" t="inlineStr">
        <is>
          <t>JÄMTLANDS LÄN</t>
        </is>
      </c>
      <c r="E171" t="inlineStr">
        <is>
          <t>ÅRE</t>
        </is>
      </c>
      <c r="F171" t="inlineStr">
        <is>
          <t>Övriga Aktiebolag</t>
        </is>
      </c>
      <c r="G171" t="n">
        <v>14.1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HYPERLINK("https://klasma.github.io/Logging_2321/artfynd/A 54055-2023 artfynd.xlsx", "A 54055-2023")</f>
        <v/>
      </c>
      <c r="T171">
        <f>HYPERLINK("https://klasma.github.io/Logging_2321/kartor/A 54055-2023 karta.png", "A 54055-2023")</f>
        <v/>
      </c>
      <c r="V171">
        <f>HYPERLINK("https://klasma.github.io/Logging_2321/klagomål/A 54055-2023 FSC-klagomål.docx", "A 54055-2023")</f>
        <v/>
      </c>
      <c r="W171">
        <f>HYPERLINK("https://klasma.github.io/Logging_2321/klagomålsmail/A 54055-2023 FSC-klagomål mail.docx", "A 54055-2023")</f>
        <v/>
      </c>
      <c r="X171">
        <f>HYPERLINK("https://klasma.github.io/Logging_2321/tillsyn/A 54055-2023 tillsynsbegäran.docx", "A 54055-2023")</f>
        <v/>
      </c>
      <c r="Y171">
        <f>HYPERLINK("https://klasma.github.io/Logging_2321/tillsynsmail/A 54055-2023 tillsynsbegäran mail.docx", "A 54055-2023")</f>
        <v/>
      </c>
      <c r="Z171">
        <f>HYPERLINK("https://klasma.github.io/Logging_2321/fåglar/A 54055-2023 prioriterade fågelarter.docx", "A 54055-2023")</f>
        <v/>
      </c>
    </row>
    <row r="172" ht="15" customHeight="1">
      <c r="A172" t="inlineStr">
        <is>
          <t>A 54128-2023</t>
        </is>
      </c>
      <c r="B172" s="1" t="n">
        <v>45232</v>
      </c>
      <c r="C172" s="1" t="n">
        <v>45781</v>
      </c>
      <c r="D172" t="inlineStr">
        <is>
          <t>JÄMTLANDS LÄN</t>
        </is>
      </c>
      <c r="E172" t="inlineStr">
        <is>
          <t>ÅRE</t>
        </is>
      </c>
      <c r="G172" t="n">
        <v>3.9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54128-2023 artfynd.xlsx", "A 54128-2023")</f>
        <v/>
      </c>
      <c r="T172">
        <f>HYPERLINK("https://klasma.github.io/Logging_2321/kartor/A 54128-2023 karta.png", "A 54128-2023")</f>
        <v/>
      </c>
      <c r="V172">
        <f>HYPERLINK("https://klasma.github.io/Logging_2321/klagomål/A 54128-2023 FSC-klagomål.docx", "A 54128-2023")</f>
        <v/>
      </c>
      <c r="W172">
        <f>HYPERLINK("https://klasma.github.io/Logging_2321/klagomålsmail/A 54128-2023 FSC-klagomål mail.docx", "A 54128-2023")</f>
        <v/>
      </c>
      <c r="X172">
        <f>HYPERLINK("https://klasma.github.io/Logging_2321/tillsyn/A 54128-2023 tillsynsbegäran.docx", "A 54128-2023")</f>
        <v/>
      </c>
      <c r="Y172">
        <f>HYPERLINK("https://klasma.github.io/Logging_2321/tillsynsmail/A 54128-2023 tillsynsbegäran mail.docx", "A 54128-2023")</f>
        <v/>
      </c>
      <c r="Z172">
        <f>HYPERLINK("https://klasma.github.io/Logging_2321/fåglar/A 54128-2023 prioriterade fågelarter.docx", "A 54128-2023")</f>
        <v/>
      </c>
    </row>
    <row r="173" ht="15" customHeight="1">
      <c r="A173" t="inlineStr">
        <is>
          <t>A 57771-2023</t>
        </is>
      </c>
      <c r="B173" s="1" t="n">
        <v>45246</v>
      </c>
      <c r="C173" s="1" t="n">
        <v>45781</v>
      </c>
      <c r="D173" t="inlineStr">
        <is>
          <t>JÄMTLANDS LÄN</t>
        </is>
      </c>
      <c r="E173" t="inlineStr">
        <is>
          <t>ÅRE</t>
        </is>
      </c>
      <c r="G173" t="n">
        <v>2.1</v>
      </c>
      <c r="H173" t="n">
        <v>0</v>
      </c>
      <c r="I173" t="n">
        <v>0</v>
      </c>
      <c r="J173" t="n">
        <v>2</v>
      </c>
      <c r="K173" t="n">
        <v>0</v>
      </c>
      <c r="L173" t="n">
        <v>0</v>
      </c>
      <c r="M173" t="n">
        <v>0</v>
      </c>
      <c r="N173" t="n">
        <v>0</v>
      </c>
      <c r="O173" t="n">
        <v>2</v>
      </c>
      <c r="P173" t="n">
        <v>0</v>
      </c>
      <c r="Q173" t="n">
        <v>2</v>
      </c>
      <c r="R173" s="2" t="inlineStr">
        <is>
          <t>Granticka
Harticka</t>
        </is>
      </c>
      <c r="S173">
        <f>HYPERLINK("https://klasma.github.io/Logging_2321/artfynd/A 57771-2023 artfynd.xlsx", "A 57771-2023")</f>
        <v/>
      </c>
      <c r="T173">
        <f>HYPERLINK("https://klasma.github.io/Logging_2321/kartor/A 57771-2023 karta.png", "A 57771-2023")</f>
        <v/>
      </c>
      <c r="V173">
        <f>HYPERLINK("https://klasma.github.io/Logging_2321/klagomål/A 57771-2023 FSC-klagomål.docx", "A 57771-2023")</f>
        <v/>
      </c>
      <c r="W173">
        <f>HYPERLINK("https://klasma.github.io/Logging_2321/klagomålsmail/A 57771-2023 FSC-klagomål mail.docx", "A 57771-2023")</f>
        <v/>
      </c>
      <c r="X173">
        <f>HYPERLINK("https://klasma.github.io/Logging_2321/tillsyn/A 57771-2023 tillsynsbegäran.docx", "A 57771-2023")</f>
        <v/>
      </c>
      <c r="Y173">
        <f>HYPERLINK("https://klasma.github.io/Logging_2321/tillsynsmail/A 57771-2023 tillsynsbegäran mail.docx", "A 57771-2023")</f>
        <v/>
      </c>
    </row>
    <row r="174" ht="15" customHeight="1">
      <c r="A174" t="inlineStr">
        <is>
          <t>A 12466-2024</t>
        </is>
      </c>
      <c r="B174" s="1" t="n">
        <v>45379</v>
      </c>
      <c r="C174" s="1" t="n">
        <v>45781</v>
      </c>
      <c r="D174" t="inlineStr">
        <is>
          <t>JÄMTLANDS LÄN</t>
        </is>
      </c>
      <c r="E174" t="inlineStr">
        <is>
          <t>ÅRE</t>
        </is>
      </c>
      <c r="G174" t="n">
        <v>7.1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12466-2024 artfynd.xlsx", "A 12466-2024")</f>
        <v/>
      </c>
      <c r="T174">
        <f>HYPERLINK("https://klasma.github.io/Logging_2321/kartor/A 12466-2024 karta.png", "A 12466-2024")</f>
        <v/>
      </c>
      <c r="V174">
        <f>HYPERLINK("https://klasma.github.io/Logging_2321/klagomål/A 12466-2024 FSC-klagomål.docx", "A 12466-2024")</f>
        <v/>
      </c>
      <c r="W174">
        <f>HYPERLINK("https://klasma.github.io/Logging_2321/klagomålsmail/A 12466-2024 FSC-klagomål mail.docx", "A 12466-2024")</f>
        <v/>
      </c>
      <c r="X174">
        <f>HYPERLINK("https://klasma.github.io/Logging_2321/tillsyn/A 12466-2024 tillsynsbegäran.docx", "A 12466-2024")</f>
        <v/>
      </c>
      <c r="Y174">
        <f>HYPERLINK("https://klasma.github.io/Logging_2321/tillsynsmail/A 12466-2024 tillsynsbegäran mail.docx", "A 12466-2024")</f>
        <v/>
      </c>
      <c r="Z174">
        <f>HYPERLINK("https://klasma.github.io/Logging_2321/fåglar/A 12466-2024 prioriterade fågelarter.docx", "A 12466-2024")</f>
        <v/>
      </c>
    </row>
    <row r="175" ht="15" customHeight="1">
      <c r="A175" t="inlineStr">
        <is>
          <t>A 17489-2024</t>
        </is>
      </c>
      <c r="B175" s="1" t="n">
        <v>45415</v>
      </c>
      <c r="C175" s="1" t="n">
        <v>45781</v>
      </c>
      <c r="D175" t="inlineStr">
        <is>
          <t>JÄMTLANDS LÄN</t>
        </is>
      </c>
      <c r="E175" t="inlineStr">
        <is>
          <t>ÅRE</t>
        </is>
      </c>
      <c r="G175" t="n">
        <v>12.9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17489-2024 artfynd.xlsx", "A 17489-2024")</f>
        <v/>
      </c>
      <c r="T175">
        <f>HYPERLINK("https://klasma.github.io/Logging_2321/kartor/A 17489-2024 karta.png", "A 17489-2024")</f>
        <v/>
      </c>
      <c r="V175">
        <f>HYPERLINK("https://klasma.github.io/Logging_2321/klagomål/A 17489-2024 FSC-klagomål.docx", "A 17489-2024")</f>
        <v/>
      </c>
      <c r="W175">
        <f>HYPERLINK("https://klasma.github.io/Logging_2321/klagomålsmail/A 17489-2024 FSC-klagomål mail.docx", "A 17489-2024")</f>
        <v/>
      </c>
      <c r="X175">
        <f>HYPERLINK("https://klasma.github.io/Logging_2321/tillsyn/A 17489-2024 tillsynsbegäran.docx", "A 17489-2024")</f>
        <v/>
      </c>
      <c r="Y175">
        <f>HYPERLINK("https://klasma.github.io/Logging_2321/tillsynsmail/A 17489-2024 tillsynsbegäran mail.docx", "A 17489-2024")</f>
        <v/>
      </c>
      <c r="Z175">
        <f>HYPERLINK("https://klasma.github.io/Logging_2321/fåglar/A 17489-2024 prioriterade fågelarter.docx", "A 17489-2024")</f>
        <v/>
      </c>
    </row>
    <row r="176" ht="15" customHeight="1">
      <c r="A176" t="inlineStr">
        <is>
          <t>A 18719-2024</t>
        </is>
      </c>
      <c r="B176" s="1" t="n">
        <v>45426</v>
      </c>
      <c r="C176" s="1" t="n">
        <v>45781</v>
      </c>
      <c r="D176" t="inlineStr">
        <is>
          <t>JÄMTLANDS LÄN</t>
        </is>
      </c>
      <c r="E176" t="inlineStr">
        <is>
          <t>ÅRE</t>
        </is>
      </c>
      <c r="F176" t="inlineStr">
        <is>
          <t>Övriga Aktiebolag</t>
        </is>
      </c>
      <c r="G176" t="n">
        <v>6.6</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18719-2024 artfynd.xlsx", "A 18719-2024")</f>
        <v/>
      </c>
      <c r="T176">
        <f>HYPERLINK("https://klasma.github.io/Logging_2321/kartor/A 18719-2024 karta.png", "A 18719-2024")</f>
        <v/>
      </c>
      <c r="V176">
        <f>HYPERLINK("https://klasma.github.io/Logging_2321/klagomål/A 18719-2024 FSC-klagomål.docx", "A 18719-2024")</f>
        <v/>
      </c>
      <c r="W176">
        <f>HYPERLINK("https://klasma.github.io/Logging_2321/klagomålsmail/A 18719-2024 FSC-klagomål mail.docx", "A 18719-2024")</f>
        <v/>
      </c>
      <c r="X176">
        <f>HYPERLINK("https://klasma.github.io/Logging_2321/tillsyn/A 18719-2024 tillsynsbegäran.docx", "A 18719-2024")</f>
        <v/>
      </c>
      <c r="Y176">
        <f>HYPERLINK("https://klasma.github.io/Logging_2321/tillsynsmail/A 18719-2024 tillsynsbegäran mail.docx", "A 18719-2024")</f>
        <v/>
      </c>
      <c r="Z176">
        <f>HYPERLINK("https://klasma.github.io/Logging_2321/fåglar/A 18719-2024 prioriterade fågelarter.docx", "A 18719-2024")</f>
        <v/>
      </c>
    </row>
    <row r="177" ht="15" customHeight="1">
      <c r="A177" t="inlineStr">
        <is>
          <t>A 23625-2024</t>
        </is>
      </c>
      <c r="B177" s="1" t="n">
        <v>45454</v>
      </c>
      <c r="C177" s="1" t="n">
        <v>45781</v>
      </c>
      <c r="D177" t="inlineStr">
        <is>
          <t>JÄMTLANDS LÄN</t>
        </is>
      </c>
      <c r="E177" t="inlineStr">
        <is>
          <t>ÅRE</t>
        </is>
      </c>
      <c r="G177" t="n">
        <v>15.2</v>
      </c>
      <c r="H177" t="n">
        <v>2</v>
      </c>
      <c r="I177" t="n">
        <v>0</v>
      </c>
      <c r="J177" t="n">
        <v>1</v>
      </c>
      <c r="K177" t="n">
        <v>0</v>
      </c>
      <c r="L177" t="n">
        <v>0</v>
      </c>
      <c r="M177" t="n">
        <v>0</v>
      </c>
      <c r="N177" t="n">
        <v>0</v>
      </c>
      <c r="O177" t="n">
        <v>1</v>
      </c>
      <c r="P177" t="n">
        <v>0</v>
      </c>
      <c r="Q177" t="n">
        <v>2</v>
      </c>
      <c r="R177" s="2" t="inlineStr">
        <is>
          <t>Tretåig hackspett
Lavskrika</t>
        </is>
      </c>
      <c r="S177">
        <f>HYPERLINK("https://klasma.github.io/Logging_2321/artfynd/A 23625-2024 artfynd.xlsx", "A 23625-2024")</f>
        <v/>
      </c>
      <c r="T177">
        <f>HYPERLINK("https://klasma.github.io/Logging_2321/kartor/A 23625-2024 karta.png", "A 23625-2024")</f>
        <v/>
      </c>
      <c r="V177">
        <f>HYPERLINK("https://klasma.github.io/Logging_2321/klagomål/A 23625-2024 FSC-klagomål.docx", "A 23625-2024")</f>
        <v/>
      </c>
      <c r="W177">
        <f>HYPERLINK("https://klasma.github.io/Logging_2321/klagomålsmail/A 23625-2024 FSC-klagomål mail.docx", "A 23625-2024")</f>
        <v/>
      </c>
      <c r="X177">
        <f>HYPERLINK("https://klasma.github.io/Logging_2321/tillsyn/A 23625-2024 tillsynsbegäran.docx", "A 23625-2024")</f>
        <v/>
      </c>
      <c r="Y177">
        <f>HYPERLINK("https://klasma.github.io/Logging_2321/tillsynsmail/A 23625-2024 tillsynsbegäran mail.docx", "A 23625-2024")</f>
        <v/>
      </c>
      <c r="Z177">
        <f>HYPERLINK("https://klasma.github.io/Logging_2321/fåglar/A 23625-2024 prioriterade fågelarter.docx", "A 23625-2024")</f>
        <v/>
      </c>
    </row>
    <row r="178" ht="15" customHeight="1">
      <c r="A178" t="inlineStr">
        <is>
          <t>A 30987-2024</t>
        </is>
      </c>
      <c r="B178" s="1" t="n">
        <v>45499</v>
      </c>
      <c r="C178" s="1" t="n">
        <v>45781</v>
      </c>
      <c r="D178" t="inlineStr">
        <is>
          <t>JÄMTLANDS LÄN</t>
        </is>
      </c>
      <c r="E178" t="inlineStr">
        <is>
          <t>ÅRE</t>
        </is>
      </c>
      <c r="G178" t="n">
        <v>10</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30987-2024 artfynd.xlsx", "A 30987-2024")</f>
        <v/>
      </c>
      <c r="T178">
        <f>HYPERLINK("https://klasma.github.io/Logging_2321/kartor/A 30987-2024 karta.png", "A 30987-2024")</f>
        <v/>
      </c>
      <c r="V178">
        <f>HYPERLINK("https://klasma.github.io/Logging_2321/klagomål/A 30987-2024 FSC-klagomål.docx", "A 30987-2024")</f>
        <v/>
      </c>
      <c r="W178">
        <f>HYPERLINK("https://klasma.github.io/Logging_2321/klagomålsmail/A 30987-2024 FSC-klagomål mail.docx", "A 30987-2024")</f>
        <v/>
      </c>
      <c r="X178">
        <f>HYPERLINK("https://klasma.github.io/Logging_2321/tillsyn/A 30987-2024 tillsynsbegäran.docx", "A 30987-2024")</f>
        <v/>
      </c>
      <c r="Y178">
        <f>HYPERLINK("https://klasma.github.io/Logging_2321/tillsynsmail/A 30987-2024 tillsynsbegäran mail.docx", "A 30987-2024")</f>
        <v/>
      </c>
      <c r="Z178">
        <f>HYPERLINK("https://klasma.github.io/Logging_2321/fåglar/A 30987-2024 prioriterade fågelarter.docx", "A 30987-2024")</f>
        <v/>
      </c>
    </row>
    <row r="179" ht="15" customHeight="1">
      <c r="A179" t="inlineStr">
        <is>
          <t>A 46894-2024</t>
        </is>
      </c>
      <c r="B179" s="1" t="n">
        <v>45583</v>
      </c>
      <c r="C179" s="1" t="n">
        <v>45781</v>
      </c>
      <c r="D179" t="inlineStr">
        <is>
          <t>JÄMTLANDS LÄN</t>
        </is>
      </c>
      <c r="E179" t="inlineStr">
        <is>
          <t>ÅRE</t>
        </is>
      </c>
      <c r="G179" t="n">
        <v>23</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46894-2024 artfynd.xlsx", "A 46894-2024")</f>
        <v/>
      </c>
      <c r="T179">
        <f>HYPERLINK("https://klasma.github.io/Logging_2321/kartor/A 46894-2024 karta.png", "A 46894-2024")</f>
        <v/>
      </c>
      <c r="V179">
        <f>HYPERLINK("https://klasma.github.io/Logging_2321/klagomål/A 46894-2024 FSC-klagomål.docx", "A 46894-2024")</f>
        <v/>
      </c>
      <c r="W179">
        <f>HYPERLINK("https://klasma.github.io/Logging_2321/klagomålsmail/A 46894-2024 FSC-klagomål mail.docx", "A 46894-2024")</f>
        <v/>
      </c>
      <c r="X179">
        <f>HYPERLINK("https://klasma.github.io/Logging_2321/tillsyn/A 46894-2024 tillsynsbegäran.docx", "A 46894-2024")</f>
        <v/>
      </c>
      <c r="Y179">
        <f>HYPERLINK("https://klasma.github.io/Logging_2321/tillsynsmail/A 46894-2024 tillsynsbegäran mail.docx", "A 46894-2024")</f>
        <v/>
      </c>
      <c r="Z179">
        <f>HYPERLINK("https://klasma.github.io/Logging_2321/fåglar/A 46894-2024 prioriterade fågelarter.docx", "A 46894-2024")</f>
        <v/>
      </c>
    </row>
    <row r="180" ht="15" customHeight="1">
      <c r="A180" t="inlineStr">
        <is>
          <t>A 49977-2024</t>
        </is>
      </c>
      <c r="B180" s="1" t="n">
        <v>45597</v>
      </c>
      <c r="C180" s="1" t="n">
        <v>45781</v>
      </c>
      <c r="D180" t="inlineStr">
        <is>
          <t>JÄMTLANDS LÄN</t>
        </is>
      </c>
      <c r="E180" t="inlineStr">
        <is>
          <t>ÅRE</t>
        </is>
      </c>
      <c r="G180" t="n">
        <v>13.3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HYPERLINK("https://klasma.github.io/Logging_2321/artfynd/A 49977-2024 artfynd.xlsx", "A 49977-2024")</f>
        <v/>
      </c>
      <c r="T180">
        <f>HYPERLINK("https://klasma.github.io/Logging_2321/kartor/A 49977-2024 karta.png", "A 49977-2024")</f>
        <v/>
      </c>
      <c r="V180">
        <f>HYPERLINK("https://klasma.github.io/Logging_2321/klagomål/A 49977-2024 FSC-klagomål.docx", "A 49977-2024")</f>
        <v/>
      </c>
      <c r="W180">
        <f>HYPERLINK("https://klasma.github.io/Logging_2321/klagomålsmail/A 49977-2024 FSC-klagomål mail.docx", "A 49977-2024")</f>
        <v/>
      </c>
      <c r="X180">
        <f>HYPERLINK("https://klasma.github.io/Logging_2321/tillsyn/A 49977-2024 tillsynsbegäran.docx", "A 49977-2024")</f>
        <v/>
      </c>
      <c r="Y180">
        <f>HYPERLINK("https://klasma.github.io/Logging_2321/tillsynsmail/A 49977-2024 tillsynsbegäran mail.docx", "A 49977-2024")</f>
        <v/>
      </c>
      <c r="Z180">
        <f>HYPERLINK("https://klasma.github.io/Logging_2321/fåglar/A 49977-2024 prioriterade fågelarter.docx", "A 49977-2024")</f>
        <v/>
      </c>
    </row>
    <row r="181" ht="15" customHeight="1">
      <c r="A181" t="inlineStr">
        <is>
          <t>A 8982-2025</t>
        </is>
      </c>
      <c r="B181" s="1" t="n">
        <v>45713</v>
      </c>
      <c r="C181" s="1" t="n">
        <v>45781</v>
      </c>
      <c r="D181" t="inlineStr">
        <is>
          <t>JÄMTLANDS LÄN</t>
        </is>
      </c>
      <c r="E181" t="inlineStr">
        <is>
          <t>ÅRE</t>
        </is>
      </c>
      <c r="G181" t="n">
        <v>3.2</v>
      </c>
      <c r="H181" t="n">
        <v>0</v>
      </c>
      <c r="I181" t="n">
        <v>1</v>
      </c>
      <c r="J181" t="n">
        <v>1</v>
      </c>
      <c r="K181" t="n">
        <v>0</v>
      </c>
      <c r="L181" t="n">
        <v>0</v>
      </c>
      <c r="M181" t="n">
        <v>0</v>
      </c>
      <c r="N181" t="n">
        <v>0</v>
      </c>
      <c r="O181" t="n">
        <v>1</v>
      </c>
      <c r="P181" t="n">
        <v>0</v>
      </c>
      <c r="Q181" t="n">
        <v>2</v>
      </c>
      <c r="R181" s="2" t="inlineStr">
        <is>
          <t>Garnlav
Svavelriska</t>
        </is>
      </c>
      <c r="S181">
        <f>HYPERLINK("https://klasma.github.io/Logging_2321/artfynd/A 8982-2025 artfynd.xlsx", "A 8982-2025")</f>
        <v/>
      </c>
      <c r="T181">
        <f>HYPERLINK("https://klasma.github.io/Logging_2321/kartor/A 8982-2025 karta.png", "A 8982-2025")</f>
        <v/>
      </c>
      <c r="U181">
        <f>HYPERLINK("https://klasma.github.io/Logging_2321/knärot/A 8982-2025 karta knärot.png", "A 8982-2025")</f>
        <v/>
      </c>
      <c r="V181">
        <f>HYPERLINK("https://klasma.github.io/Logging_2321/klagomål/A 8982-2025 FSC-klagomål.docx", "A 8982-2025")</f>
        <v/>
      </c>
      <c r="W181">
        <f>HYPERLINK("https://klasma.github.io/Logging_2321/klagomålsmail/A 8982-2025 FSC-klagomål mail.docx", "A 8982-2025")</f>
        <v/>
      </c>
      <c r="X181">
        <f>HYPERLINK("https://klasma.github.io/Logging_2321/tillsyn/A 8982-2025 tillsynsbegäran.docx", "A 8982-2025")</f>
        <v/>
      </c>
      <c r="Y181">
        <f>HYPERLINK("https://klasma.github.io/Logging_2321/tillsynsmail/A 8982-2025 tillsynsbegäran mail.docx", "A 8982-2025")</f>
        <v/>
      </c>
    </row>
    <row r="182" ht="15" customHeight="1">
      <c r="A182" t="inlineStr">
        <is>
          <t>A 45794-2019</t>
        </is>
      </c>
      <c r="B182" s="1" t="n">
        <v>43717</v>
      </c>
      <c r="C182" s="1" t="n">
        <v>45781</v>
      </c>
      <c r="D182" t="inlineStr">
        <is>
          <t>JÄMTLANDS LÄN</t>
        </is>
      </c>
      <c r="E182" t="inlineStr">
        <is>
          <t>ÅRE</t>
        </is>
      </c>
      <c r="G182" t="n">
        <v>37.7</v>
      </c>
      <c r="H182" t="n">
        <v>0</v>
      </c>
      <c r="I182" t="n">
        <v>0</v>
      </c>
      <c r="J182" t="n">
        <v>1</v>
      </c>
      <c r="K182" t="n">
        <v>0</v>
      </c>
      <c r="L182" t="n">
        <v>0</v>
      </c>
      <c r="M182" t="n">
        <v>0</v>
      </c>
      <c r="N182" t="n">
        <v>0</v>
      </c>
      <c r="O182" t="n">
        <v>1</v>
      </c>
      <c r="P182" t="n">
        <v>0</v>
      </c>
      <c r="Q182" t="n">
        <v>1</v>
      </c>
      <c r="R182" s="2" t="inlineStr">
        <is>
          <t>Ullticka</t>
        </is>
      </c>
      <c r="S182">
        <f>HYPERLINK("https://klasma.github.io/Logging_2321/artfynd/A 45794-2019 artfynd.xlsx", "A 45794-2019")</f>
        <v/>
      </c>
      <c r="T182">
        <f>HYPERLINK("https://klasma.github.io/Logging_2321/kartor/A 45794-2019 karta.png", "A 45794-2019")</f>
        <v/>
      </c>
      <c r="V182">
        <f>HYPERLINK("https://klasma.github.io/Logging_2321/klagomål/A 45794-2019 FSC-klagomål.docx", "A 45794-2019")</f>
        <v/>
      </c>
      <c r="W182">
        <f>HYPERLINK("https://klasma.github.io/Logging_2321/klagomålsmail/A 45794-2019 FSC-klagomål mail.docx", "A 45794-2019")</f>
        <v/>
      </c>
      <c r="X182">
        <f>HYPERLINK("https://klasma.github.io/Logging_2321/tillsyn/A 45794-2019 tillsynsbegäran.docx", "A 45794-2019")</f>
        <v/>
      </c>
      <c r="Y182">
        <f>HYPERLINK("https://klasma.github.io/Logging_2321/tillsynsmail/A 45794-2019 tillsynsbegäran mail.docx", "A 45794-2019")</f>
        <v/>
      </c>
    </row>
    <row r="183" ht="15" customHeight="1">
      <c r="A183" t="inlineStr">
        <is>
          <t>A 59825-2019</t>
        </is>
      </c>
      <c r="B183" s="1" t="n">
        <v>43774</v>
      </c>
      <c r="C183" s="1" t="n">
        <v>45781</v>
      </c>
      <c r="D183" t="inlineStr">
        <is>
          <t>JÄMTLANDS LÄN</t>
        </is>
      </c>
      <c r="E183" t="inlineStr">
        <is>
          <t>ÅRE</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HYPERLINK("https://klasma.github.io/Logging_2321/artfynd/A 59825-2019 artfynd.xlsx", "A 59825-2019")</f>
        <v/>
      </c>
      <c r="T183">
        <f>HYPERLINK("https://klasma.github.io/Logging_2321/kartor/A 59825-2019 karta.png", "A 59825-2019")</f>
        <v/>
      </c>
      <c r="V183">
        <f>HYPERLINK("https://klasma.github.io/Logging_2321/klagomål/A 59825-2019 FSC-klagomål.docx", "A 59825-2019")</f>
        <v/>
      </c>
      <c r="W183">
        <f>HYPERLINK("https://klasma.github.io/Logging_2321/klagomålsmail/A 59825-2019 FSC-klagomål mail.docx", "A 59825-2019")</f>
        <v/>
      </c>
      <c r="X183">
        <f>HYPERLINK("https://klasma.github.io/Logging_2321/tillsyn/A 59825-2019 tillsynsbegäran.docx", "A 59825-2019")</f>
        <v/>
      </c>
      <c r="Y183">
        <f>HYPERLINK("https://klasma.github.io/Logging_2321/tillsynsmail/A 59825-2019 tillsynsbegäran mail.docx", "A 59825-2019")</f>
        <v/>
      </c>
    </row>
    <row r="184" ht="15" customHeight="1">
      <c r="A184" t="inlineStr">
        <is>
          <t>A 20979-2020</t>
        </is>
      </c>
      <c r="B184" s="1" t="n">
        <v>43950</v>
      </c>
      <c r="C184" s="1" t="n">
        <v>45781</v>
      </c>
      <c r="D184" t="inlineStr">
        <is>
          <t>JÄMTLANDS LÄN</t>
        </is>
      </c>
      <c r="E184" t="inlineStr">
        <is>
          <t>ÅRE</t>
        </is>
      </c>
      <c r="G184" t="n">
        <v>16.5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20979-2020 artfynd.xlsx", "A 20979-2020")</f>
        <v/>
      </c>
      <c r="T184">
        <f>HYPERLINK("https://klasma.github.io/Logging_2321/kartor/A 20979-2020 karta.png", "A 20979-2020")</f>
        <v/>
      </c>
      <c r="V184">
        <f>HYPERLINK("https://klasma.github.io/Logging_2321/klagomål/A 20979-2020 FSC-klagomål.docx", "A 20979-2020")</f>
        <v/>
      </c>
      <c r="W184">
        <f>HYPERLINK("https://klasma.github.io/Logging_2321/klagomålsmail/A 20979-2020 FSC-klagomål mail.docx", "A 20979-2020")</f>
        <v/>
      </c>
      <c r="X184">
        <f>HYPERLINK("https://klasma.github.io/Logging_2321/tillsyn/A 20979-2020 tillsynsbegäran.docx", "A 20979-2020")</f>
        <v/>
      </c>
      <c r="Y184">
        <f>HYPERLINK("https://klasma.github.io/Logging_2321/tillsynsmail/A 20979-2020 tillsynsbegäran mail.docx", "A 20979-2020")</f>
        <v/>
      </c>
      <c r="Z184">
        <f>HYPERLINK("https://klasma.github.io/Logging_2321/fåglar/A 20979-2020 prioriterade fågelarter.docx", "A 20979-2020")</f>
        <v/>
      </c>
    </row>
    <row r="185" ht="15" customHeight="1">
      <c r="A185" t="inlineStr">
        <is>
          <t>A 29084-2020</t>
        </is>
      </c>
      <c r="B185" s="1" t="n">
        <v>44002</v>
      </c>
      <c r="C185" s="1" t="n">
        <v>45781</v>
      </c>
      <c r="D185" t="inlineStr">
        <is>
          <t>JÄMTLANDS LÄN</t>
        </is>
      </c>
      <c r="E185" t="inlineStr">
        <is>
          <t>ÅRE</t>
        </is>
      </c>
      <c r="G185" t="n">
        <v>15.5</v>
      </c>
      <c r="H185" t="n">
        <v>0</v>
      </c>
      <c r="I185" t="n">
        <v>0</v>
      </c>
      <c r="J185" t="n">
        <v>1</v>
      </c>
      <c r="K185" t="n">
        <v>0</v>
      </c>
      <c r="L185" t="n">
        <v>0</v>
      </c>
      <c r="M185" t="n">
        <v>0</v>
      </c>
      <c r="N185" t="n">
        <v>0</v>
      </c>
      <c r="O185" t="n">
        <v>1</v>
      </c>
      <c r="P185" t="n">
        <v>0</v>
      </c>
      <c r="Q185" t="n">
        <v>1</v>
      </c>
      <c r="R185" s="2" t="inlineStr">
        <is>
          <t>Gränsticka</t>
        </is>
      </c>
      <c r="S185">
        <f>HYPERLINK("https://klasma.github.io/Logging_2321/artfynd/A 29084-2020 artfynd.xlsx", "A 29084-2020")</f>
        <v/>
      </c>
      <c r="T185">
        <f>HYPERLINK("https://klasma.github.io/Logging_2321/kartor/A 29084-2020 karta.png", "A 29084-2020")</f>
        <v/>
      </c>
      <c r="V185">
        <f>HYPERLINK("https://klasma.github.io/Logging_2321/klagomål/A 29084-2020 FSC-klagomål.docx", "A 29084-2020")</f>
        <v/>
      </c>
      <c r="W185">
        <f>HYPERLINK("https://klasma.github.io/Logging_2321/klagomålsmail/A 29084-2020 FSC-klagomål mail.docx", "A 29084-2020")</f>
        <v/>
      </c>
      <c r="X185">
        <f>HYPERLINK("https://klasma.github.io/Logging_2321/tillsyn/A 29084-2020 tillsynsbegäran.docx", "A 29084-2020")</f>
        <v/>
      </c>
      <c r="Y185">
        <f>HYPERLINK("https://klasma.github.io/Logging_2321/tillsynsmail/A 29084-2020 tillsynsbegäran mail.docx", "A 29084-2020")</f>
        <v/>
      </c>
    </row>
    <row r="186" ht="15" customHeight="1">
      <c r="A186" t="inlineStr">
        <is>
          <t>A 46966-2020</t>
        </is>
      </c>
      <c r="B186" s="1" t="n">
        <v>44090</v>
      </c>
      <c r="C186" s="1" t="n">
        <v>45781</v>
      </c>
      <c r="D186" t="inlineStr">
        <is>
          <t>JÄMTLANDS LÄN</t>
        </is>
      </c>
      <c r="E186" t="inlineStr">
        <is>
          <t>ÅRE</t>
        </is>
      </c>
      <c r="G186" t="n">
        <v>13.7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46966-2020 artfynd.xlsx", "A 46966-2020")</f>
        <v/>
      </c>
      <c r="T186">
        <f>HYPERLINK("https://klasma.github.io/Logging_2321/kartor/A 46966-2020 karta.png", "A 46966-2020")</f>
        <v/>
      </c>
      <c r="V186">
        <f>HYPERLINK("https://klasma.github.io/Logging_2321/klagomål/A 46966-2020 FSC-klagomål.docx", "A 46966-2020")</f>
        <v/>
      </c>
      <c r="W186">
        <f>HYPERLINK("https://klasma.github.io/Logging_2321/klagomålsmail/A 46966-2020 FSC-klagomål mail.docx", "A 46966-2020")</f>
        <v/>
      </c>
      <c r="X186">
        <f>HYPERLINK("https://klasma.github.io/Logging_2321/tillsyn/A 46966-2020 tillsynsbegäran.docx", "A 46966-2020")</f>
        <v/>
      </c>
      <c r="Y186">
        <f>HYPERLINK("https://klasma.github.io/Logging_2321/tillsynsmail/A 46966-2020 tillsynsbegäran mail.docx", "A 46966-2020")</f>
        <v/>
      </c>
      <c r="Z186">
        <f>HYPERLINK("https://klasma.github.io/Logging_2321/fåglar/A 46966-2020 prioriterade fågelarter.docx", "A 46966-2020")</f>
        <v/>
      </c>
    </row>
    <row r="187" ht="15" customHeight="1">
      <c r="A187" t="inlineStr">
        <is>
          <t>A 46959-2020</t>
        </is>
      </c>
      <c r="B187" s="1" t="n">
        <v>44090</v>
      </c>
      <c r="C187" s="1" t="n">
        <v>45781</v>
      </c>
      <c r="D187" t="inlineStr">
        <is>
          <t>JÄMTLANDS LÄN</t>
        </is>
      </c>
      <c r="E187" t="inlineStr">
        <is>
          <t>ÅRE</t>
        </is>
      </c>
      <c r="G187" t="n">
        <v>4.7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46959-2020 artfynd.xlsx", "A 46959-2020")</f>
        <v/>
      </c>
      <c r="T187">
        <f>HYPERLINK("https://klasma.github.io/Logging_2321/kartor/A 46959-2020 karta.png", "A 46959-2020")</f>
        <v/>
      </c>
      <c r="V187">
        <f>HYPERLINK("https://klasma.github.io/Logging_2321/klagomål/A 46959-2020 FSC-klagomål.docx", "A 46959-2020")</f>
        <v/>
      </c>
      <c r="W187">
        <f>HYPERLINK("https://klasma.github.io/Logging_2321/klagomålsmail/A 46959-2020 FSC-klagomål mail.docx", "A 46959-2020")</f>
        <v/>
      </c>
      <c r="X187">
        <f>HYPERLINK("https://klasma.github.io/Logging_2321/tillsyn/A 46959-2020 tillsynsbegäran.docx", "A 46959-2020")</f>
        <v/>
      </c>
      <c r="Y187">
        <f>HYPERLINK("https://klasma.github.io/Logging_2321/tillsynsmail/A 46959-2020 tillsynsbegäran mail.docx", "A 46959-2020")</f>
        <v/>
      </c>
      <c r="Z187">
        <f>HYPERLINK("https://klasma.github.io/Logging_2321/fåglar/A 46959-2020 prioriterade fågelarter.docx", "A 46959-2020")</f>
        <v/>
      </c>
    </row>
    <row r="188" ht="15" customHeight="1">
      <c r="A188" t="inlineStr">
        <is>
          <t>A 52542-2020</t>
        </is>
      </c>
      <c r="B188" s="1" t="n">
        <v>44116</v>
      </c>
      <c r="C188" s="1" t="n">
        <v>45781</v>
      </c>
      <c r="D188" t="inlineStr">
        <is>
          <t>JÄMTLANDS LÄN</t>
        </is>
      </c>
      <c r="E188" t="inlineStr">
        <is>
          <t>ÅRE</t>
        </is>
      </c>
      <c r="G188" t="n">
        <v>5.5</v>
      </c>
      <c r="H188" t="n">
        <v>0</v>
      </c>
      <c r="I188" t="n">
        <v>0</v>
      </c>
      <c r="J188" t="n">
        <v>1</v>
      </c>
      <c r="K188" t="n">
        <v>0</v>
      </c>
      <c r="L188" t="n">
        <v>0</v>
      </c>
      <c r="M188" t="n">
        <v>0</v>
      </c>
      <c r="N188" t="n">
        <v>0</v>
      </c>
      <c r="O188" t="n">
        <v>1</v>
      </c>
      <c r="P188" t="n">
        <v>0</v>
      </c>
      <c r="Q188" t="n">
        <v>1</v>
      </c>
      <c r="R188" s="2" t="inlineStr">
        <is>
          <t>Skrovellav</t>
        </is>
      </c>
      <c r="S188">
        <f>HYPERLINK("https://klasma.github.io/Logging_2321/artfynd/A 52542-2020 artfynd.xlsx", "A 52542-2020")</f>
        <v/>
      </c>
      <c r="T188">
        <f>HYPERLINK("https://klasma.github.io/Logging_2321/kartor/A 52542-2020 karta.png", "A 52542-2020")</f>
        <v/>
      </c>
      <c r="V188">
        <f>HYPERLINK("https://klasma.github.io/Logging_2321/klagomål/A 52542-2020 FSC-klagomål.docx", "A 52542-2020")</f>
        <v/>
      </c>
      <c r="W188">
        <f>HYPERLINK("https://klasma.github.io/Logging_2321/klagomålsmail/A 52542-2020 FSC-klagomål mail.docx", "A 52542-2020")</f>
        <v/>
      </c>
      <c r="X188">
        <f>HYPERLINK("https://klasma.github.io/Logging_2321/tillsyn/A 52542-2020 tillsynsbegäran.docx", "A 52542-2020")</f>
        <v/>
      </c>
      <c r="Y188">
        <f>HYPERLINK("https://klasma.github.io/Logging_2321/tillsynsmail/A 52542-2020 tillsynsbegäran mail.docx", "A 52542-2020")</f>
        <v/>
      </c>
    </row>
    <row r="189" ht="15" customHeight="1">
      <c r="A189" t="inlineStr">
        <is>
          <t>A 53598-2020</t>
        </is>
      </c>
      <c r="B189" s="1" t="n">
        <v>44124</v>
      </c>
      <c r="C189" s="1" t="n">
        <v>45781</v>
      </c>
      <c r="D189" t="inlineStr">
        <is>
          <t>JÄMTLANDS LÄN</t>
        </is>
      </c>
      <c r="E189" t="inlineStr">
        <is>
          <t>ÅRE</t>
        </is>
      </c>
      <c r="G189" t="n">
        <v>11.7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53598-2020 artfynd.xlsx", "A 53598-2020")</f>
        <v/>
      </c>
      <c r="T189">
        <f>HYPERLINK("https://klasma.github.io/Logging_2321/kartor/A 53598-2020 karta.png", "A 53598-2020")</f>
        <v/>
      </c>
      <c r="V189">
        <f>HYPERLINK("https://klasma.github.io/Logging_2321/klagomål/A 53598-2020 FSC-klagomål.docx", "A 53598-2020")</f>
        <v/>
      </c>
      <c r="W189">
        <f>HYPERLINK("https://klasma.github.io/Logging_2321/klagomålsmail/A 53598-2020 FSC-klagomål mail.docx", "A 53598-2020")</f>
        <v/>
      </c>
      <c r="X189">
        <f>HYPERLINK("https://klasma.github.io/Logging_2321/tillsyn/A 53598-2020 tillsynsbegäran.docx", "A 53598-2020")</f>
        <v/>
      </c>
      <c r="Y189">
        <f>HYPERLINK("https://klasma.github.io/Logging_2321/tillsynsmail/A 53598-2020 tillsynsbegäran mail.docx", "A 53598-2020")</f>
        <v/>
      </c>
      <c r="Z189">
        <f>HYPERLINK("https://klasma.github.io/Logging_2321/fåglar/A 53598-2020 prioriterade fågelarter.docx", "A 53598-2020")</f>
        <v/>
      </c>
    </row>
    <row r="190" ht="15" customHeight="1">
      <c r="A190" t="inlineStr">
        <is>
          <t>A 65517-2020</t>
        </is>
      </c>
      <c r="B190" s="1" t="n">
        <v>44173</v>
      </c>
      <c r="C190" s="1" t="n">
        <v>45781</v>
      </c>
      <c r="D190" t="inlineStr">
        <is>
          <t>JÄMTLANDS LÄN</t>
        </is>
      </c>
      <c r="E190" t="inlineStr">
        <is>
          <t>ÅRE</t>
        </is>
      </c>
      <c r="G190" t="n">
        <v>4.6</v>
      </c>
      <c r="H190" t="n">
        <v>0</v>
      </c>
      <c r="I190" t="n">
        <v>0</v>
      </c>
      <c r="J190" t="n">
        <v>1</v>
      </c>
      <c r="K190" t="n">
        <v>0</v>
      </c>
      <c r="L190" t="n">
        <v>0</v>
      </c>
      <c r="M190" t="n">
        <v>0</v>
      </c>
      <c r="N190" t="n">
        <v>0</v>
      </c>
      <c r="O190" t="n">
        <v>1</v>
      </c>
      <c r="P190" t="n">
        <v>0</v>
      </c>
      <c r="Q190" t="n">
        <v>1</v>
      </c>
      <c r="R190" s="2" t="inlineStr">
        <is>
          <t>Doftskinn</t>
        </is>
      </c>
      <c r="S190">
        <f>HYPERLINK("https://klasma.github.io/Logging_2321/artfynd/A 65517-2020 artfynd.xlsx", "A 65517-2020")</f>
        <v/>
      </c>
      <c r="T190">
        <f>HYPERLINK("https://klasma.github.io/Logging_2321/kartor/A 65517-2020 karta.png", "A 65517-2020")</f>
        <v/>
      </c>
      <c r="V190">
        <f>HYPERLINK("https://klasma.github.io/Logging_2321/klagomål/A 65517-2020 FSC-klagomål.docx", "A 65517-2020")</f>
        <v/>
      </c>
      <c r="W190">
        <f>HYPERLINK("https://klasma.github.io/Logging_2321/klagomålsmail/A 65517-2020 FSC-klagomål mail.docx", "A 65517-2020")</f>
        <v/>
      </c>
      <c r="X190">
        <f>HYPERLINK("https://klasma.github.io/Logging_2321/tillsyn/A 65517-2020 tillsynsbegäran.docx", "A 65517-2020")</f>
        <v/>
      </c>
      <c r="Y190">
        <f>HYPERLINK("https://klasma.github.io/Logging_2321/tillsynsmail/A 65517-2020 tillsynsbegäran mail.docx", "A 65517-2020")</f>
        <v/>
      </c>
    </row>
    <row r="191" ht="15" customHeight="1">
      <c r="A191" t="inlineStr">
        <is>
          <t>A 65446-2020</t>
        </is>
      </c>
      <c r="B191" s="1" t="n">
        <v>44173</v>
      </c>
      <c r="C191" s="1" t="n">
        <v>45781</v>
      </c>
      <c r="D191" t="inlineStr">
        <is>
          <t>JÄMTLANDS LÄN</t>
        </is>
      </c>
      <c r="E191" t="inlineStr">
        <is>
          <t>ÅRE</t>
        </is>
      </c>
      <c r="G191" t="n">
        <v>7.2</v>
      </c>
      <c r="H191" t="n">
        <v>0</v>
      </c>
      <c r="I191" t="n">
        <v>0</v>
      </c>
      <c r="J191" t="n">
        <v>1</v>
      </c>
      <c r="K191" t="n">
        <v>0</v>
      </c>
      <c r="L191" t="n">
        <v>0</v>
      </c>
      <c r="M191" t="n">
        <v>0</v>
      </c>
      <c r="N191" t="n">
        <v>0</v>
      </c>
      <c r="O191" t="n">
        <v>1</v>
      </c>
      <c r="P191" t="n">
        <v>0</v>
      </c>
      <c r="Q191" t="n">
        <v>1</v>
      </c>
      <c r="R191" s="2" t="inlineStr">
        <is>
          <t>Ullticka</t>
        </is>
      </c>
      <c r="S191">
        <f>HYPERLINK("https://klasma.github.io/Logging_2321/artfynd/A 65446-2020 artfynd.xlsx", "A 65446-2020")</f>
        <v/>
      </c>
      <c r="T191">
        <f>HYPERLINK("https://klasma.github.io/Logging_2321/kartor/A 65446-2020 karta.png", "A 65446-2020")</f>
        <v/>
      </c>
      <c r="V191">
        <f>HYPERLINK("https://klasma.github.io/Logging_2321/klagomål/A 65446-2020 FSC-klagomål.docx", "A 65446-2020")</f>
        <v/>
      </c>
      <c r="W191">
        <f>HYPERLINK("https://klasma.github.io/Logging_2321/klagomålsmail/A 65446-2020 FSC-klagomål mail.docx", "A 65446-2020")</f>
        <v/>
      </c>
      <c r="X191">
        <f>HYPERLINK("https://klasma.github.io/Logging_2321/tillsyn/A 65446-2020 tillsynsbegäran.docx", "A 65446-2020")</f>
        <v/>
      </c>
      <c r="Y191">
        <f>HYPERLINK("https://klasma.github.io/Logging_2321/tillsynsmail/A 65446-2020 tillsynsbegäran mail.docx", "A 65446-2020")</f>
        <v/>
      </c>
    </row>
    <row r="192" ht="15" customHeight="1">
      <c r="A192" t="inlineStr">
        <is>
          <t>A 2422-2021</t>
        </is>
      </c>
      <c r="B192" s="1" t="n">
        <v>44214</v>
      </c>
      <c r="C192" s="1" t="n">
        <v>45781</v>
      </c>
      <c r="D192" t="inlineStr">
        <is>
          <t>JÄMTLANDS LÄN</t>
        </is>
      </c>
      <c r="E192" t="inlineStr">
        <is>
          <t>ÅRE</t>
        </is>
      </c>
      <c r="G192" t="n">
        <v>3.3</v>
      </c>
      <c r="H192" t="n">
        <v>1</v>
      </c>
      <c r="I192" t="n">
        <v>0</v>
      </c>
      <c r="J192" t="n">
        <v>0</v>
      </c>
      <c r="K192" t="n">
        <v>0</v>
      </c>
      <c r="L192" t="n">
        <v>0</v>
      </c>
      <c r="M192" t="n">
        <v>0</v>
      </c>
      <c r="N192" t="n">
        <v>0</v>
      </c>
      <c r="O192" t="n">
        <v>0</v>
      </c>
      <c r="P192" t="n">
        <v>0</v>
      </c>
      <c r="Q192" t="n">
        <v>1</v>
      </c>
      <c r="R192" s="2" t="inlineStr">
        <is>
          <t>Fläcknycklar</t>
        </is>
      </c>
      <c r="S192">
        <f>HYPERLINK("https://klasma.github.io/Logging_2321/artfynd/A 2422-2021 artfynd.xlsx", "A 2422-2021")</f>
        <v/>
      </c>
      <c r="T192">
        <f>HYPERLINK("https://klasma.github.io/Logging_2321/kartor/A 2422-2021 karta.png", "A 2422-2021")</f>
        <v/>
      </c>
      <c r="V192">
        <f>HYPERLINK("https://klasma.github.io/Logging_2321/klagomål/A 2422-2021 FSC-klagomål.docx", "A 2422-2021")</f>
        <v/>
      </c>
      <c r="W192">
        <f>HYPERLINK("https://klasma.github.io/Logging_2321/klagomålsmail/A 2422-2021 FSC-klagomål mail.docx", "A 2422-2021")</f>
        <v/>
      </c>
      <c r="X192">
        <f>HYPERLINK("https://klasma.github.io/Logging_2321/tillsyn/A 2422-2021 tillsynsbegäran.docx", "A 2422-2021")</f>
        <v/>
      </c>
      <c r="Y192">
        <f>HYPERLINK("https://klasma.github.io/Logging_2321/tillsynsmail/A 2422-2021 tillsynsbegäran mail.docx", "A 2422-2021")</f>
        <v/>
      </c>
    </row>
    <row r="193" ht="15" customHeight="1">
      <c r="A193" t="inlineStr">
        <is>
          <t>A 11781-2021</t>
        </is>
      </c>
      <c r="B193" s="1" t="n">
        <v>44265</v>
      </c>
      <c r="C193" s="1" t="n">
        <v>45781</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Finbräken</t>
        </is>
      </c>
      <c r="S193">
        <f>HYPERLINK("https://klasma.github.io/Logging_2321/artfynd/A 11781-2021 artfynd.xlsx", "A 11781-2021")</f>
        <v/>
      </c>
      <c r="T193">
        <f>HYPERLINK("https://klasma.github.io/Logging_2321/kartor/A 11781-2021 karta.png", "A 11781-2021")</f>
        <v/>
      </c>
      <c r="V193">
        <f>HYPERLINK("https://klasma.github.io/Logging_2321/klagomål/A 11781-2021 FSC-klagomål.docx", "A 11781-2021")</f>
        <v/>
      </c>
      <c r="W193">
        <f>HYPERLINK("https://klasma.github.io/Logging_2321/klagomålsmail/A 11781-2021 FSC-klagomål mail.docx", "A 11781-2021")</f>
        <v/>
      </c>
      <c r="X193">
        <f>HYPERLINK("https://klasma.github.io/Logging_2321/tillsyn/A 11781-2021 tillsynsbegäran.docx", "A 11781-2021")</f>
        <v/>
      </c>
      <c r="Y193">
        <f>HYPERLINK("https://klasma.github.io/Logging_2321/tillsynsmail/A 11781-2021 tillsynsbegäran mail.docx", "A 11781-2021")</f>
        <v/>
      </c>
    </row>
    <row r="194" ht="15" customHeight="1">
      <c r="A194" t="inlineStr">
        <is>
          <t>A 11767-2021</t>
        </is>
      </c>
      <c r="B194" s="1" t="n">
        <v>44265</v>
      </c>
      <c r="C194" s="1" t="n">
        <v>45781</v>
      </c>
      <c r="D194" t="inlineStr">
        <is>
          <t>JÄMTLANDS LÄN</t>
        </is>
      </c>
      <c r="E194" t="inlineStr">
        <is>
          <t>ÅRE</t>
        </is>
      </c>
      <c r="G194" t="n">
        <v>15.4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11767-2021 artfynd.xlsx", "A 11767-2021")</f>
        <v/>
      </c>
      <c r="T194">
        <f>HYPERLINK("https://klasma.github.io/Logging_2321/kartor/A 11767-2021 karta.png", "A 11767-2021")</f>
        <v/>
      </c>
      <c r="V194">
        <f>HYPERLINK("https://klasma.github.io/Logging_2321/klagomål/A 11767-2021 FSC-klagomål.docx", "A 11767-2021")</f>
        <v/>
      </c>
      <c r="W194">
        <f>HYPERLINK("https://klasma.github.io/Logging_2321/klagomålsmail/A 11767-2021 FSC-klagomål mail.docx", "A 11767-2021")</f>
        <v/>
      </c>
      <c r="X194">
        <f>HYPERLINK("https://klasma.github.io/Logging_2321/tillsyn/A 11767-2021 tillsynsbegäran.docx", "A 11767-2021")</f>
        <v/>
      </c>
      <c r="Y194">
        <f>HYPERLINK("https://klasma.github.io/Logging_2321/tillsynsmail/A 11767-2021 tillsynsbegäran mail.docx", "A 11767-2021")</f>
        <v/>
      </c>
      <c r="Z194">
        <f>HYPERLINK("https://klasma.github.io/Logging_2321/fåglar/A 11767-2021 prioriterade fågelarter.docx", "A 11767-2021")</f>
        <v/>
      </c>
    </row>
    <row r="195" ht="15" customHeight="1">
      <c r="A195" t="inlineStr">
        <is>
          <t>A 12970-2021</t>
        </is>
      </c>
      <c r="B195" s="1" t="n">
        <v>44271</v>
      </c>
      <c r="C195" s="1" t="n">
        <v>45781</v>
      </c>
      <c r="D195" t="inlineStr">
        <is>
          <t>JÄMTLANDS LÄN</t>
        </is>
      </c>
      <c r="E195" t="inlineStr">
        <is>
          <t>ÅRE</t>
        </is>
      </c>
      <c r="G195" t="n">
        <v>20.5</v>
      </c>
      <c r="H195" t="n">
        <v>1</v>
      </c>
      <c r="I195" t="n">
        <v>1</v>
      </c>
      <c r="J195" t="n">
        <v>0</v>
      </c>
      <c r="K195" t="n">
        <v>0</v>
      </c>
      <c r="L195" t="n">
        <v>0</v>
      </c>
      <c r="M195" t="n">
        <v>0</v>
      </c>
      <c r="N195" t="n">
        <v>0</v>
      </c>
      <c r="O195" t="n">
        <v>0</v>
      </c>
      <c r="P195" t="n">
        <v>0</v>
      </c>
      <c r="Q195" t="n">
        <v>1</v>
      </c>
      <c r="R195" s="2" t="inlineStr">
        <is>
          <t>Spindelblomster</t>
        </is>
      </c>
      <c r="S195">
        <f>HYPERLINK("https://klasma.github.io/Logging_2321/artfynd/A 12970-2021 artfynd.xlsx", "A 12970-2021")</f>
        <v/>
      </c>
      <c r="T195">
        <f>HYPERLINK("https://klasma.github.io/Logging_2321/kartor/A 12970-2021 karta.png", "A 12970-2021")</f>
        <v/>
      </c>
      <c r="V195">
        <f>HYPERLINK("https://klasma.github.io/Logging_2321/klagomål/A 12970-2021 FSC-klagomål.docx", "A 12970-2021")</f>
        <v/>
      </c>
      <c r="W195">
        <f>HYPERLINK("https://klasma.github.io/Logging_2321/klagomålsmail/A 12970-2021 FSC-klagomål mail.docx", "A 12970-2021")</f>
        <v/>
      </c>
      <c r="X195">
        <f>HYPERLINK("https://klasma.github.io/Logging_2321/tillsyn/A 12970-2021 tillsynsbegäran.docx", "A 12970-2021")</f>
        <v/>
      </c>
      <c r="Y195">
        <f>HYPERLINK("https://klasma.github.io/Logging_2321/tillsynsmail/A 12970-2021 tillsynsbegäran mail.docx", "A 12970-2021")</f>
        <v/>
      </c>
    </row>
    <row r="196" ht="15" customHeight="1">
      <c r="A196" t="inlineStr">
        <is>
          <t>A 18543-2021</t>
        </is>
      </c>
      <c r="B196" s="1" t="n">
        <v>44306</v>
      </c>
      <c r="C196" s="1" t="n">
        <v>45781</v>
      </c>
      <c r="D196" t="inlineStr">
        <is>
          <t>JÄMTLANDS LÄN</t>
        </is>
      </c>
      <c r="E196" t="inlineStr">
        <is>
          <t>ÅRE</t>
        </is>
      </c>
      <c r="G196" t="n">
        <v>1.7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18543-2021 artfynd.xlsx", "A 18543-2021")</f>
        <v/>
      </c>
      <c r="T196">
        <f>HYPERLINK("https://klasma.github.io/Logging_2321/kartor/A 18543-2021 karta.png", "A 18543-2021")</f>
        <v/>
      </c>
      <c r="V196">
        <f>HYPERLINK("https://klasma.github.io/Logging_2321/klagomål/A 18543-2021 FSC-klagomål.docx", "A 18543-2021")</f>
        <v/>
      </c>
      <c r="W196">
        <f>HYPERLINK("https://klasma.github.io/Logging_2321/klagomålsmail/A 18543-2021 FSC-klagomål mail.docx", "A 18543-2021")</f>
        <v/>
      </c>
      <c r="X196">
        <f>HYPERLINK("https://klasma.github.io/Logging_2321/tillsyn/A 18543-2021 tillsynsbegäran.docx", "A 18543-2021")</f>
        <v/>
      </c>
      <c r="Y196">
        <f>HYPERLINK("https://klasma.github.io/Logging_2321/tillsynsmail/A 18543-2021 tillsynsbegäran mail.docx", "A 18543-2021")</f>
        <v/>
      </c>
      <c r="Z196">
        <f>HYPERLINK("https://klasma.github.io/Logging_2321/fåglar/A 18543-2021 prioriterade fågelarter.docx", "A 18543-2021")</f>
        <v/>
      </c>
    </row>
    <row r="197" ht="15" customHeight="1">
      <c r="A197" t="inlineStr">
        <is>
          <t>A 20500-2021</t>
        </is>
      </c>
      <c r="B197" s="1" t="n">
        <v>44315</v>
      </c>
      <c r="C197" s="1" t="n">
        <v>45781</v>
      </c>
      <c r="D197" t="inlineStr">
        <is>
          <t>JÄMTLANDS LÄN</t>
        </is>
      </c>
      <c r="E197" t="inlineStr">
        <is>
          <t>ÅRE</t>
        </is>
      </c>
      <c r="G197" t="n">
        <v>3</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20500-2021 artfynd.xlsx", "A 20500-2021")</f>
        <v/>
      </c>
      <c r="T197">
        <f>HYPERLINK("https://klasma.github.io/Logging_2321/kartor/A 20500-2021 karta.png", "A 20500-2021")</f>
        <v/>
      </c>
      <c r="V197">
        <f>HYPERLINK("https://klasma.github.io/Logging_2321/klagomål/A 20500-2021 FSC-klagomål.docx", "A 20500-2021")</f>
        <v/>
      </c>
      <c r="W197">
        <f>HYPERLINK("https://klasma.github.io/Logging_2321/klagomålsmail/A 20500-2021 FSC-klagomål mail.docx", "A 20500-2021")</f>
        <v/>
      </c>
      <c r="X197">
        <f>HYPERLINK("https://klasma.github.io/Logging_2321/tillsyn/A 20500-2021 tillsynsbegäran.docx", "A 20500-2021")</f>
        <v/>
      </c>
      <c r="Y197">
        <f>HYPERLINK("https://klasma.github.io/Logging_2321/tillsynsmail/A 20500-2021 tillsynsbegäran mail.docx", "A 20500-2021")</f>
        <v/>
      </c>
    </row>
    <row r="198" ht="15" customHeight="1">
      <c r="A198" t="inlineStr">
        <is>
          <t>A 23556-2021</t>
        </is>
      </c>
      <c r="B198" s="1" t="n">
        <v>44334</v>
      </c>
      <c r="C198" s="1" t="n">
        <v>45781</v>
      </c>
      <c r="D198" t="inlineStr">
        <is>
          <t>JÄMTLANDS LÄN</t>
        </is>
      </c>
      <c r="E198" t="inlineStr">
        <is>
          <t>ÅRE</t>
        </is>
      </c>
      <c r="G198" t="n">
        <v>11.1</v>
      </c>
      <c r="H198" t="n">
        <v>1</v>
      </c>
      <c r="I198" t="n">
        <v>1</v>
      </c>
      <c r="J198" t="n">
        <v>0</v>
      </c>
      <c r="K198" t="n">
        <v>0</v>
      </c>
      <c r="L198" t="n">
        <v>0</v>
      </c>
      <c r="M198" t="n">
        <v>0</v>
      </c>
      <c r="N198" t="n">
        <v>0</v>
      </c>
      <c r="O198" t="n">
        <v>0</v>
      </c>
      <c r="P198" t="n">
        <v>0</v>
      </c>
      <c r="Q198" t="n">
        <v>1</v>
      </c>
      <c r="R198" s="2" t="inlineStr">
        <is>
          <t>Tvåblad</t>
        </is>
      </c>
      <c r="S198">
        <f>HYPERLINK("https://klasma.github.io/Logging_2321/artfynd/A 23556-2021 artfynd.xlsx", "A 23556-2021")</f>
        <v/>
      </c>
      <c r="T198">
        <f>HYPERLINK("https://klasma.github.io/Logging_2321/kartor/A 23556-2021 karta.png", "A 23556-2021")</f>
        <v/>
      </c>
      <c r="V198">
        <f>HYPERLINK("https://klasma.github.io/Logging_2321/klagomål/A 23556-2021 FSC-klagomål.docx", "A 23556-2021")</f>
        <v/>
      </c>
      <c r="W198">
        <f>HYPERLINK("https://klasma.github.io/Logging_2321/klagomålsmail/A 23556-2021 FSC-klagomål mail.docx", "A 23556-2021")</f>
        <v/>
      </c>
      <c r="X198">
        <f>HYPERLINK("https://klasma.github.io/Logging_2321/tillsyn/A 23556-2021 tillsynsbegäran.docx", "A 23556-2021")</f>
        <v/>
      </c>
      <c r="Y198">
        <f>HYPERLINK("https://klasma.github.io/Logging_2321/tillsynsmail/A 23556-2021 tillsynsbegäran mail.docx", "A 23556-2021")</f>
        <v/>
      </c>
    </row>
    <row r="199" ht="15" customHeight="1">
      <c r="A199" t="inlineStr">
        <is>
          <t>A 37082-2021</t>
        </is>
      </c>
      <c r="B199" s="1" t="n">
        <v>44395</v>
      </c>
      <c r="C199" s="1" t="n">
        <v>45781</v>
      </c>
      <c r="D199" t="inlineStr">
        <is>
          <t>JÄMTLANDS LÄN</t>
        </is>
      </c>
      <c r="E199" t="inlineStr">
        <is>
          <t>ÅRE</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37082-2021 artfynd.xlsx", "A 37082-2021")</f>
        <v/>
      </c>
      <c r="T199">
        <f>HYPERLINK("https://klasma.github.io/Logging_2321/kartor/A 37082-2021 karta.png", "A 37082-2021")</f>
        <v/>
      </c>
      <c r="V199">
        <f>HYPERLINK("https://klasma.github.io/Logging_2321/klagomål/A 37082-2021 FSC-klagomål.docx", "A 37082-2021")</f>
        <v/>
      </c>
      <c r="W199">
        <f>HYPERLINK("https://klasma.github.io/Logging_2321/klagomålsmail/A 37082-2021 FSC-klagomål mail.docx", "A 37082-2021")</f>
        <v/>
      </c>
      <c r="X199">
        <f>HYPERLINK("https://klasma.github.io/Logging_2321/tillsyn/A 37082-2021 tillsynsbegäran.docx", "A 37082-2021")</f>
        <v/>
      </c>
      <c r="Y199">
        <f>HYPERLINK("https://klasma.github.io/Logging_2321/tillsynsmail/A 37082-2021 tillsynsbegäran mail.docx", "A 37082-2021")</f>
        <v/>
      </c>
      <c r="Z199">
        <f>HYPERLINK("https://klasma.github.io/Logging_2321/fåglar/A 37082-2021 prioriterade fågelarter.docx", "A 37082-2021")</f>
        <v/>
      </c>
    </row>
    <row r="200" ht="15" customHeight="1">
      <c r="A200" t="inlineStr">
        <is>
          <t>A 56193-2021</t>
        </is>
      </c>
      <c r="B200" s="1" t="n">
        <v>44477</v>
      </c>
      <c r="C200" s="1" t="n">
        <v>45781</v>
      </c>
      <c r="D200" t="inlineStr">
        <is>
          <t>JÄMTLANDS LÄN</t>
        </is>
      </c>
      <c r="E200" t="inlineStr">
        <is>
          <t>ÅRE</t>
        </is>
      </c>
      <c r="F200" t="inlineStr">
        <is>
          <t>Övriga Aktiebolag</t>
        </is>
      </c>
      <c r="G200" t="n">
        <v>15.5</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56193-2021 artfynd.xlsx", "A 56193-2021")</f>
        <v/>
      </c>
      <c r="T200">
        <f>HYPERLINK("https://klasma.github.io/Logging_2321/kartor/A 56193-2021 karta.png", "A 56193-2021")</f>
        <v/>
      </c>
      <c r="V200">
        <f>HYPERLINK("https://klasma.github.io/Logging_2321/klagomål/A 56193-2021 FSC-klagomål.docx", "A 56193-2021")</f>
        <v/>
      </c>
      <c r="W200">
        <f>HYPERLINK("https://klasma.github.io/Logging_2321/klagomålsmail/A 56193-2021 FSC-klagomål mail.docx", "A 56193-2021")</f>
        <v/>
      </c>
      <c r="X200">
        <f>HYPERLINK("https://klasma.github.io/Logging_2321/tillsyn/A 56193-2021 tillsynsbegäran.docx", "A 56193-2021")</f>
        <v/>
      </c>
      <c r="Y200">
        <f>HYPERLINK("https://klasma.github.io/Logging_2321/tillsynsmail/A 56193-2021 tillsynsbegäran mail.docx", "A 56193-2021")</f>
        <v/>
      </c>
      <c r="Z200">
        <f>HYPERLINK("https://klasma.github.io/Logging_2321/fåglar/A 56193-2021 prioriterade fågelarter.docx", "A 56193-2021")</f>
        <v/>
      </c>
    </row>
    <row r="201" ht="15" customHeight="1">
      <c r="A201" t="inlineStr">
        <is>
          <t>A 58117-2021</t>
        </is>
      </c>
      <c r="B201" s="1" t="n">
        <v>44487</v>
      </c>
      <c r="C201" s="1" t="n">
        <v>45781</v>
      </c>
      <c r="D201" t="inlineStr">
        <is>
          <t>JÄMTLANDS LÄN</t>
        </is>
      </c>
      <c r="E201" t="inlineStr">
        <is>
          <t>ÅRE</t>
        </is>
      </c>
      <c r="G201" t="n">
        <v>40.9</v>
      </c>
      <c r="H201" t="n">
        <v>0</v>
      </c>
      <c r="I201" t="n">
        <v>1</v>
      </c>
      <c r="J201" t="n">
        <v>0</v>
      </c>
      <c r="K201" t="n">
        <v>0</v>
      </c>
      <c r="L201" t="n">
        <v>0</v>
      </c>
      <c r="M201" t="n">
        <v>0</v>
      </c>
      <c r="N201" t="n">
        <v>0</v>
      </c>
      <c r="O201" t="n">
        <v>0</v>
      </c>
      <c r="P201" t="n">
        <v>0</v>
      </c>
      <c r="Q201" t="n">
        <v>1</v>
      </c>
      <c r="R201" s="2" t="inlineStr">
        <is>
          <t>Stuplav</t>
        </is>
      </c>
      <c r="S201">
        <f>HYPERLINK("https://klasma.github.io/Logging_2321/artfynd/A 58117-2021 artfynd.xlsx", "A 58117-2021")</f>
        <v/>
      </c>
      <c r="T201">
        <f>HYPERLINK("https://klasma.github.io/Logging_2321/kartor/A 58117-2021 karta.png", "A 58117-2021")</f>
        <v/>
      </c>
      <c r="V201">
        <f>HYPERLINK("https://klasma.github.io/Logging_2321/klagomål/A 58117-2021 FSC-klagomål.docx", "A 58117-2021")</f>
        <v/>
      </c>
      <c r="W201">
        <f>HYPERLINK("https://klasma.github.io/Logging_2321/klagomålsmail/A 58117-2021 FSC-klagomål mail.docx", "A 58117-2021")</f>
        <v/>
      </c>
      <c r="X201">
        <f>HYPERLINK("https://klasma.github.io/Logging_2321/tillsyn/A 58117-2021 tillsynsbegäran.docx", "A 58117-2021")</f>
        <v/>
      </c>
      <c r="Y201">
        <f>HYPERLINK("https://klasma.github.io/Logging_2321/tillsynsmail/A 58117-2021 tillsynsbegäran mail.docx", "A 58117-2021")</f>
        <v/>
      </c>
    </row>
    <row r="202" ht="15" customHeight="1">
      <c r="A202" t="inlineStr">
        <is>
          <t>A 58239-2021</t>
        </is>
      </c>
      <c r="B202" s="1" t="n">
        <v>44487</v>
      </c>
      <c r="C202" s="1" t="n">
        <v>45781</v>
      </c>
      <c r="D202" t="inlineStr">
        <is>
          <t>JÄMTLANDS LÄN</t>
        </is>
      </c>
      <c r="E202" t="inlineStr">
        <is>
          <t>ÅRE</t>
        </is>
      </c>
      <c r="G202" t="n">
        <v>25</v>
      </c>
      <c r="H202" t="n">
        <v>0</v>
      </c>
      <c r="I202" t="n">
        <v>0</v>
      </c>
      <c r="J202" t="n">
        <v>0</v>
      </c>
      <c r="K202" t="n">
        <v>1</v>
      </c>
      <c r="L202" t="n">
        <v>0</v>
      </c>
      <c r="M202" t="n">
        <v>0</v>
      </c>
      <c r="N202" t="n">
        <v>0</v>
      </c>
      <c r="O202" t="n">
        <v>1</v>
      </c>
      <c r="P202" t="n">
        <v>1</v>
      </c>
      <c r="Q202" t="n">
        <v>1</v>
      </c>
      <c r="R202" s="2" t="inlineStr">
        <is>
          <t>Rynkskinn</t>
        </is>
      </c>
      <c r="S202">
        <f>HYPERLINK("https://klasma.github.io/Logging_2321/artfynd/A 58239-2021 artfynd.xlsx", "A 58239-2021")</f>
        <v/>
      </c>
      <c r="T202">
        <f>HYPERLINK("https://klasma.github.io/Logging_2321/kartor/A 58239-2021 karta.png", "A 58239-2021")</f>
        <v/>
      </c>
      <c r="V202">
        <f>HYPERLINK("https://klasma.github.io/Logging_2321/klagomål/A 58239-2021 FSC-klagomål.docx", "A 58239-2021")</f>
        <v/>
      </c>
      <c r="W202">
        <f>HYPERLINK("https://klasma.github.io/Logging_2321/klagomålsmail/A 58239-2021 FSC-klagomål mail.docx", "A 58239-2021")</f>
        <v/>
      </c>
      <c r="X202">
        <f>HYPERLINK("https://klasma.github.io/Logging_2321/tillsyn/A 58239-2021 tillsynsbegäran.docx", "A 58239-2021")</f>
        <v/>
      </c>
      <c r="Y202">
        <f>HYPERLINK("https://klasma.github.io/Logging_2321/tillsynsmail/A 58239-2021 tillsynsbegäran mail.docx", "A 58239-2021")</f>
        <v/>
      </c>
    </row>
    <row r="203" ht="15" customHeight="1">
      <c r="A203" t="inlineStr">
        <is>
          <t>A 58226-2021</t>
        </is>
      </c>
      <c r="B203" s="1" t="n">
        <v>44487</v>
      </c>
      <c r="C203" s="1" t="n">
        <v>45781</v>
      </c>
      <c r="D203" t="inlineStr">
        <is>
          <t>JÄMTLANDS LÄN</t>
        </is>
      </c>
      <c r="E203" t="inlineStr">
        <is>
          <t>ÅRE</t>
        </is>
      </c>
      <c r="G203" t="n">
        <v>62.3</v>
      </c>
      <c r="H203" t="n">
        <v>0</v>
      </c>
      <c r="I203" t="n">
        <v>1</v>
      </c>
      <c r="J203" t="n">
        <v>0</v>
      </c>
      <c r="K203" t="n">
        <v>0</v>
      </c>
      <c r="L203" t="n">
        <v>0</v>
      </c>
      <c r="M203" t="n">
        <v>0</v>
      </c>
      <c r="N203" t="n">
        <v>0</v>
      </c>
      <c r="O203" t="n">
        <v>0</v>
      </c>
      <c r="P203" t="n">
        <v>0</v>
      </c>
      <c r="Q203" t="n">
        <v>1</v>
      </c>
      <c r="R203" s="2" t="inlineStr">
        <is>
          <t>Kambräken</t>
        </is>
      </c>
      <c r="S203">
        <f>HYPERLINK("https://klasma.github.io/Logging_2321/artfynd/A 58226-2021 artfynd.xlsx", "A 58226-2021")</f>
        <v/>
      </c>
      <c r="T203">
        <f>HYPERLINK("https://klasma.github.io/Logging_2321/kartor/A 58226-2021 karta.png", "A 58226-2021")</f>
        <v/>
      </c>
      <c r="V203">
        <f>HYPERLINK("https://klasma.github.io/Logging_2321/klagomål/A 58226-2021 FSC-klagomål.docx", "A 58226-2021")</f>
        <v/>
      </c>
      <c r="W203">
        <f>HYPERLINK("https://klasma.github.io/Logging_2321/klagomålsmail/A 58226-2021 FSC-klagomål mail.docx", "A 58226-2021")</f>
        <v/>
      </c>
      <c r="X203">
        <f>HYPERLINK("https://klasma.github.io/Logging_2321/tillsyn/A 58226-2021 tillsynsbegäran.docx", "A 58226-2021")</f>
        <v/>
      </c>
      <c r="Y203">
        <f>HYPERLINK("https://klasma.github.io/Logging_2321/tillsynsmail/A 58226-2021 tillsynsbegäran mail.docx", "A 58226-2021")</f>
        <v/>
      </c>
    </row>
    <row r="204" ht="15" customHeight="1">
      <c r="A204" t="inlineStr">
        <is>
          <t>A 62188-2021</t>
        </is>
      </c>
      <c r="B204" s="1" t="n">
        <v>44502</v>
      </c>
      <c r="C204" s="1" t="n">
        <v>45781</v>
      </c>
      <c r="D204" t="inlineStr">
        <is>
          <t>JÄMTLANDS LÄN</t>
        </is>
      </c>
      <c r="E204" t="inlineStr">
        <is>
          <t>ÅRE</t>
        </is>
      </c>
      <c r="G204" t="n">
        <v>2.5</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62188-2021 artfynd.xlsx", "A 62188-2021")</f>
        <v/>
      </c>
      <c r="T204">
        <f>HYPERLINK("https://klasma.github.io/Logging_2321/kartor/A 62188-2021 karta.png", "A 62188-2021")</f>
        <v/>
      </c>
      <c r="V204">
        <f>HYPERLINK("https://klasma.github.io/Logging_2321/klagomål/A 62188-2021 FSC-klagomål.docx", "A 62188-2021")</f>
        <v/>
      </c>
      <c r="W204">
        <f>HYPERLINK("https://klasma.github.io/Logging_2321/klagomålsmail/A 62188-2021 FSC-klagomål mail.docx", "A 62188-2021")</f>
        <v/>
      </c>
      <c r="X204">
        <f>HYPERLINK("https://klasma.github.io/Logging_2321/tillsyn/A 62188-2021 tillsynsbegäran.docx", "A 62188-2021")</f>
        <v/>
      </c>
      <c r="Y204">
        <f>HYPERLINK("https://klasma.github.io/Logging_2321/tillsynsmail/A 62188-2021 tillsynsbegäran mail.docx", "A 62188-2021")</f>
        <v/>
      </c>
    </row>
    <row r="205" ht="15" customHeight="1">
      <c r="A205" t="inlineStr">
        <is>
          <t>A 63975-2021</t>
        </is>
      </c>
      <c r="B205" s="1" t="n">
        <v>44509</v>
      </c>
      <c r="C205" s="1" t="n">
        <v>45781</v>
      </c>
      <c r="D205" t="inlineStr">
        <is>
          <t>JÄMTLANDS LÄN</t>
        </is>
      </c>
      <c r="E205" t="inlineStr">
        <is>
          <t>ÅRE</t>
        </is>
      </c>
      <c r="G205" t="n">
        <v>2.4</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63975-2021 artfynd.xlsx", "A 63975-2021")</f>
        <v/>
      </c>
      <c r="T205">
        <f>HYPERLINK("https://klasma.github.io/Logging_2321/kartor/A 63975-2021 karta.png", "A 63975-2021")</f>
        <v/>
      </c>
      <c r="V205">
        <f>HYPERLINK("https://klasma.github.io/Logging_2321/klagomål/A 63975-2021 FSC-klagomål.docx", "A 63975-2021")</f>
        <v/>
      </c>
      <c r="W205">
        <f>HYPERLINK("https://klasma.github.io/Logging_2321/klagomålsmail/A 63975-2021 FSC-klagomål mail.docx", "A 63975-2021")</f>
        <v/>
      </c>
      <c r="X205">
        <f>HYPERLINK("https://klasma.github.io/Logging_2321/tillsyn/A 63975-2021 tillsynsbegäran.docx", "A 63975-2021")</f>
        <v/>
      </c>
      <c r="Y205">
        <f>HYPERLINK("https://klasma.github.io/Logging_2321/tillsynsmail/A 63975-2021 tillsynsbegäran mail.docx", "A 63975-2021")</f>
        <v/>
      </c>
    </row>
    <row r="206" ht="15" customHeight="1">
      <c r="A206" t="inlineStr">
        <is>
          <t>A 74392-2021</t>
        </is>
      </c>
      <c r="B206" s="1" t="n">
        <v>44559</v>
      </c>
      <c r="C206" s="1" t="n">
        <v>45781</v>
      </c>
      <c r="D206" t="inlineStr">
        <is>
          <t>JÄMTLANDS LÄN</t>
        </is>
      </c>
      <c r="E206" t="inlineStr">
        <is>
          <t>ÅRE</t>
        </is>
      </c>
      <c r="G206" t="n">
        <v>11.6</v>
      </c>
      <c r="H206" t="n">
        <v>0</v>
      </c>
      <c r="I206" t="n">
        <v>0</v>
      </c>
      <c r="J206" t="n">
        <v>1</v>
      </c>
      <c r="K206" t="n">
        <v>0</v>
      </c>
      <c r="L206" t="n">
        <v>0</v>
      </c>
      <c r="M206" t="n">
        <v>0</v>
      </c>
      <c r="N206" t="n">
        <v>0</v>
      </c>
      <c r="O206" t="n">
        <v>1</v>
      </c>
      <c r="P206" t="n">
        <v>0</v>
      </c>
      <c r="Q206" t="n">
        <v>1</v>
      </c>
      <c r="R206" s="2" t="inlineStr">
        <is>
          <t>Skrovellav</t>
        </is>
      </c>
      <c r="S206">
        <f>HYPERLINK("https://klasma.github.io/Logging_2321/artfynd/A 74392-2021 artfynd.xlsx", "A 74392-2021")</f>
        <v/>
      </c>
      <c r="T206">
        <f>HYPERLINK("https://klasma.github.io/Logging_2321/kartor/A 74392-2021 karta.png", "A 74392-2021")</f>
        <v/>
      </c>
      <c r="V206">
        <f>HYPERLINK("https://klasma.github.io/Logging_2321/klagomål/A 74392-2021 FSC-klagomål.docx", "A 74392-2021")</f>
        <v/>
      </c>
      <c r="W206">
        <f>HYPERLINK("https://klasma.github.io/Logging_2321/klagomålsmail/A 74392-2021 FSC-klagomål mail.docx", "A 74392-2021")</f>
        <v/>
      </c>
      <c r="X206">
        <f>HYPERLINK("https://klasma.github.io/Logging_2321/tillsyn/A 74392-2021 tillsynsbegäran.docx", "A 74392-2021")</f>
        <v/>
      </c>
      <c r="Y206">
        <f>HYPERLINK("https://klasma.github.io/Logging_2321/tillsynsmail/A 74392-2021 tillsynsbegäran mail.docx", "A 74392-2021")</f>
        <v/>
      </c>
    </row>
    <row r="207" ht="15" customHeight="1">
      <c r="A207" t="inlineStr">
        <is>
          <t>A 12242-2022</t>
        </is>
      </c>
      <c r="B207" s="1" t="n">
        <v>44637</v>
      </c>
      <c r="C207" s="1" t="n">
        <v>45781</v>
      </c>
      <c r="D207" t="inlineStr">
        <is>
          <t>JÄMTLANDS LÄN</t>
        </is>
      </c>
      <c r="E207" t="inlineStr">
        <is>
          <t>ÅRE</t>
        </is>
      </c>
      <c r="G207" t="n">
        <v>53.4</v>
      </c>
      <c r="H207" t="n">
        <v>0</v>
      </c>
      <c r="I207" t="n">
        <v>0</v>
      </c>
      <c r="J207" t="n">
        <v>1</v>
      </c>
      <c r="K207" t="n">
        <v>0</v>
      </c>
      <c r="L207" t="n">
        <v>0</v>
      </c>
      <c r="M207" t="n">
        <v>0</v>
      </c>
      <c r="N207" t="n">
        <v>0</v>
      </c>
      <c r="O207" t="n">
        <v>1</v>
      </c>
      <c r="P207" t="n">
        <v>0</v>
      </c>
      <c r="Q207" t="n">
        <v>1</v>
      </c>
      <c r="R207" s="2" t="inlineStr">
        <is>
          <t>Granticka</t>
        </is>
      </c>
      <c r="S207">
        <f>HYPERLINK("https://klasma.github.io/Logging_2321/artfynd/A 12242-2022 artfynd.xlsx", "A 12242-2022")</f>
        <v/>
      </c>
      <c r="T207">
        <f>HYPERLINK("https://klasma.github.io/Logging_2321/kartor/A 12242-2022 karta.png", "A 12242-2022")</f>
        <v/>
      </c>
      <c r="V207">
        <f>HYPERLINK("https://klasma.github.io/Logging_2321/klagomål/A 12242-2022 FSC-klagomål.docx", "A 12242-2022")</f>
        <v/>
      </c>
      <c r="W207">
        <f>HYPERLINK("https://klasma.github.io/Logging_2321/klagomålsmail/A 12242-2022 FSC-klagomål mail.docx", "A 12242-2022")</f>
        <v/>
      </c>
      <c r="X207">
        <f>HYPERLINK("https://klasma.github.io/Logging_2321/tillsyn/A 12242-2022 tillsynsbegäran.docx", "A 12242-2022")</f>
        <v/>
      </c>
      <c r="Y207">
        <f>HYPERLINK("https://klasma.github.io/Logging_2321/tillsynsmail/A 12242-2022 tillsynsbegäran mail.docx", "A 12242-2022")</f>
        <v/>
      </c>
    </row>
    <row r="208" ht="15" customHeight="1">
      <c r="A208" t="inlineStr">
        <is>
          <t>A 17692-2022</t>
        </is>
      </c>
      <c r="B208" s="1" t="n">
        <v>44680</v>
      </c>
      <c r="C208" s="1" t="n">
        <v>45781</v>
      </c>
      <c r="D208" t="inlineStr">
        <is>
          <t>JÄMTLANDS LÄN</t>
        </is>
      </c>
      <c r="E208" t="inlineStr">
        <is>
          <t>ÅRE</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17692-2022 artfynd.xlsx", "A 17692-2022")</f>
        <v/>
      </c>
      <c r="T208">
        <f>HYPERLINK("https://klasma.github.io/Logging_2321/kartor/A 17692-2022 karta.png", "A 17692-2022")</f>
        <v/>
      </c>
      <c r="V208">
        <f>HYPERLINK("https://klasma.github.io/Logging_2321/klagomål/A 17692-2022 FSC-klagomål.docx", "A 17692-2022")</f>
        <v/>
      </c>
      <c r="W208">
        <f>HYPERLINK("https://klasma.github.io/Logging_2321/klagomålsmail/A 17692-2022 FSC-klagomål mail.docx", "A 17692-2022")</f>
        <v/>
      </c>
      <c r="X208">
        <f>HYPERLINK("https://klasma.github.io/Logging_2321/tillsyn/A 17692-2022 tillsynsbegäran.docx", "A 17692-2022")</f>
        <v/>
      </c>
      <c r="Y208">
        <f>HYPERLINK("https://klasma.github.io/Logging_2321/tillsynsmail/A 17692-2022 tillsynsbegäran mail.docx", "A 17692-2022")</f>
        <v/>
      </c>
      <c r="Z208">
        <f>HYPERLINK("https://klasma.github.io/Logging_2321/fåglar/A 17692-2022 prioriterade fågelarter.docx", "A 17692-2022")</f>
        <v/>
      </c>
    </row>
    <row r="209" ht="15" customHeight="1">
      <c r="A209" t="inlineStr">
        <is>
          <t>A 32216-2022</t>
        </is>
      </c>
      <c r="B209" s="1" t="n">
        <v>44781</v>
      </c>
      <c r="C209" s="1" t="n">
        <v>45781</v>
      </c>
      <c r="D209" t="inlineStr">
        <is>
          <t>JÄMTLANDS LÄN</t>
        </is>
      </c>
      <c r="E209" t="inlineStr">
        <is>
          <t>ÅRE</t>
        </is>
      </c>
      <c r="G209" t="n">
        <v>27.3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32216-2022 artfynd.xlsx", "A 32216-2022")</f>
        <v/>
      </c>
      <c r="T209">
        <f>HYPERLINK("https://klasma.github.io/Logging_2321/kartor/A 32216-2022 karta.png", "A 32216-2022")</f>
        <v/>
      </c>
      <c r="V209">
        <f>HYPERLINK("https://klasma.github.io/Logging_2321/klagomål/A 32216-2022 FSC-klagomål.docx", "A 32216-2022")</f>
        <v/>
      </c>
      <c r="W209">
        <f>HYPERLINK("https://klasma.github.io/Logging_2321/klagomålsmail/A 32216-2022 FSC-klagomål mail.docx", "A 32216-2022")</f>
        <v/>
      </c>
      <c r="X209">
        <f>HYPERLINK("https://klasma.github.io/Logging_2321/tillsyn/A 32216-2022 tillsynsbegäran.docx", "A 32216-2022")</f>
        <v/>
      </c>
      <c r="Y209">
        <f>HYPERLINK("https://klasma.github.io/Logging_2321/tillsynsmail/A 32216-2022 tillsynsbegäran mail.docx", "A 32216-2022")</f>
        <v/>
      </c>
      <c r="Z209">
        <f>HYPERLINK("https://klasma.github.io/Logging_2321/fåglar/A 32216-2022 prioriterade fågelarter.docx", "A 32216-2022")</f>
        <v/>
      </c>
    </row>
    <row r="210" ht="15" customHeight="1">
      <c r="A210" t="inlineStr">
        <is>
          <t>A 40614-2022</t>
        </is>
      </c>
      <c r="B210" s="1" t="n">
        <v>44824</v>
      </c>
      <c r="C210" s="1" t="n">
        <v>45781</v>
      </c>
      <c r="D210" t="inlineStr">
        <is>
          <t>JÄMTLANDS LÄN</t>
        </is>
      </c>
      <c r="E210" t="inlineStr">
        <is>
          <t>ÅRE</t>
        </is>
      </c>
      <c r="F210" t="inlineStr">
        <is>
          <t>Övriga Aktiebolag</t>
        </is>
      </c>
      <c r="G210" t="n">
        <v>23.2</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40614-2022 artfynd.xlsx", "A 40614-2022")</f>
        <v/>
      </c>
      <c r="T210">
        <f>HYPERLINK("https://klasma.github.io/Logging_2321/kartor/A 40614-2022 karta.png", "A 40614-2022")</f>
        <v/>
      </c>
      <c r="V210">
        <f>HYPERLINK("https://klasma.github.io/Logging_2321/klagomål/A 40614-2022 FSC-klagomål.docx", "A 40614-2022")</f>
        <v/>
      </c>
      <c r="W210">
        <f>HYPERLINK("https://klasma.github.io/Logging_2321/klagomålsmail/A 40614-2022 FSC-klagomål mail.docx", "A 40614-2022")</f>
        <v/>
      </c>
      <c r="X210">
        <f>HYPERLINK("https://klasma.github.io/Logging_2321/tillsyn/A 40614-2022 tillsynsbegäran.docx", "A 40614-2022")</f>
        <v/>
      </c>
      <c r="Y210">
        <f>HYPERLINK("https://klasma.github.io/Logging_2321/tillsynsmail/A 40614-2022 tillsynsbegäran mail.docx", "A 40614-2022")</f>
        <v/>
      </c>
      <c r="Z210">
        <f>HYPERLINK("https://klasma.github.io/Logging_2321/fåglar/A 40614-2022 prioriterade fågelarter.docx", "A 40614-2022")</f>
        <v/>
      </c>
    </row>
    <row r="211" ht="15" customHeight="1">
      <c r="A211" t="inlineStr">
        <is>
          <t>A 55194-2022</t>
        </is>
      </c>
      <c r="B211" s="1" t="n">
        <v>44886</v>
      </c>
      <c r="C211" s="1" t="n">
        <v>45781</v>
      </c>
      <c r="D211" t="inlineStr">
        <is>
          <t>JÄMTLANDS LÄN</t>
        </is>
      </c>
      <c r="E211" t="inlineStr">
        <is>
          <t>ÅRE</t>
        </is>
      </c>
      <c r="F211" t="inlineStr">
        <is>
          <t>Övriga Aktiebolag</t>
        </is>
      </c>
      <c r="G211" t="n">
        <v>1.7</v>
      </c>
      <c r="H211" t="n">
        <v>0</v>
      </c>
      <c r="I211" t="n">
        <v>0</v>
      </c>
      <c r="J211" t="n">
        <v>1</v>
      </c>
      <c r="K211" t="n">
        <v>0</v>
      </c>
      <c r="L211" t="n">
        <v>0</v>
      </c>
      <c r="M211" t="n">
        <v>0</v>
      </c>
      <c r="N211" t="n">
        <v>0</v>
      </c>
      <c r="O211" t="n">
        <v>1</v>
      </c>
      <c r="P211" t="n">
        <v>0</v>
      </c>
      <c r="Q211" t="n">
        <v>1</v>
      </c>
      <c r="R211" s="2" t="inlineStr">
        <is>
          <t>Vitskaftad svartspik</t>
        </is>
      </c>
      <c r="S211">
        <f>HYPERLINK("https://klasma.github.io/Logging_2321/artfynd/A 55194-2022 artfynd.xlsx", "A 55194-2022")</f>
        <v/>
      </c>
      <c r="T211">
        <f>HYPERLINK("https://klasma.github.io/Logging_2321/kartor/A 55194-2022 karta.png", "A 55194-2022")</f>
        <v/>
      </c>
      <c r="V211">
        <f>HYPERLINK("https://klasma.github.io/Logging_2321/klagomål/A 55194-2022 FSC-klagomål.docx", "A 55194-2022")</f>
        <v/>
      </c>
      <c r="W211">
        <f>HYPERLINK("https://klasma.github.io/Logging_2321/klagomålsmail/A 55194-2022 FSC-klagomål mail.docx", "A 55194-2022")</f>
        <v/>
      </c>
      <c r="X211">
        <f>HYPERLINK("https://klasma.github.io/Logging_2321/tillsyn/A 55194-2022 tillsynsbegäran.docx", "A 55194-2022")</f>
        <v/>
      </c>
      <c r="Y211">
        <f>HYPERLINK("https://klasma.github.io/Logging_2321/tillsynsmail/A 55194-2022 tillsynsbegäran mail.docx", "A 55194-2022")</f>
        <v/>
      </c>
    </row>
    <row r="212" ht="15" customHeight="1">
      <c r="A212" t="inlineStr">
        <is>
          <t>A 55805-2022</t>
        </is>
      </c>
      <c r="B212" s="1" t="n">
        <v>44888</v>
      </c>
      <c r="C212" s="1" t="n">
        <v>45781</v>
      </c>
      <c r="D212" t="inlineStr">
        <is>
          <t>JÄMTLANDS LÄN</t>
        </is>
      </c>
      <c r="E212" t="inlineStr">
        <is>
          <t>ÅRE</t>
        </is>
      </c>
      <c r="F212" t="inlineStr">
        <is>
          <t>Övriga Aktiebolag</t>
        </is>
      </c>
      <c r="G212" t="n">
        <v>17.7</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55805-2022 artfynd.xlsx", "A 55805-2022")</f>
        <v/>
      </c>
      <c r="T212">
        <f>HYPERLINK("https://klasma.github.io/Logging_2321/kartor/A 55805-2022 karta.png", "A 55805-2022")</f>
        <v/>
      </c>
      <c r="V212">
        <f>HYPERLINK("https://klasma.github.io/Logging_2321/klagomål/A 55805-2022 FSC-klagomål.docx", "A 55805-2022")</f>
        <v/>
      </c>
      <c r="W212">
        <f>HYPERLINK("https://klasma.github.io/Logging_2321/klagomålsmail/A 55805-2022 FSC-klagomål mail.docx", "A 55805-2022")</f>
        <v/>
      </c>
      <c r="X212">
        <f>HYPERLINK("https://klasma.github.io/Logging_2321/tillsyn/A 55805-2022 tillsynsbegäran.docx", "A 55805-2022")</f>
        <v/>
      </c>
      <c r="Y212">
        <f>HYPERLINK("https://klasma.github.io/Logging_2321/tillsynsmail/A 55805-2022 tillsynsbegäran mail.docx", "A 55805-2022")</f>
        <v/>
      </c>
      <c r="Z212">
        <f>HYPERLINK("https://klasma.github.io/Logging_2321/fåglar/A 55805-2022 prioriterade fågelarter.docx", "A 55805-2022")</f>
        <v/>
      </c>
    </row>
    <row r="213" ht="15" customHeight="1">
      <c r="A213" t="inlineStr">
        <is>
          <t>A 56493-2022</t>
        </is>
      </c>
      <c r="B213" s="1" t="n">
        <v>44893</v>
      </c>
      <c r="C213" s="1" t="n">
        <v>45781</v>
      </c>
      <c r="D213" t="inlineStr">
        <is>
          <t>JÄMTLANDS LÄN</t>
        </is>
      </c>
      <c r="E213" t="inlineStr">
        <is>
          <t>ÅRE</t>
        </is>
      </c>
      <c r="F213" t="inlineStr">
        <is>
          <t>Övriga Aktiebolag</t>
        </is>
      </c>
      <c r="G213" t="n">
        <v>3</v>
      </c>
      <c r="H213" t="n">
        <v>0</v>
      </c>
      <c r="I213" t="n">
        <v>0</v>
      </c>
      <c r="J213" t="n">
        <v>1</v>
      </c>
      <c r="K213" t="n">
        <v>0</v>
      </c>
      <c r="L213" t="n">
        <v>0</v>
      </c>
      <c r="M213" t="n">
        <v>0</v>
      </c>
      <c r="N213" t="n">
        <v>0</v>
      </c>
      <c r="O213" t="n">
        <v>1</v>
      </c>
      <c r="P213" t="n">
        <v>0</v>
      </c>
      <c r="Q213" t="n">
        <v>1</v>
      </c>
      <c r="R213" s="2" t="inlineStr">
        <is>
          <t>Garnlav</t>
        </is>
      </c>
      <c r="S213">
        <f>HYPERLINK("https://klasma.github.io/Logging_2321/artfynd/A 56493-2022 artfynd.xlsx", "A 56493-2022")</f>
        <v/>
      </c>
      <c r="T213">
        <f>HYPERLINK("https://klasma.github.io/Logging_2321/kartor/A 56493-2022 karta.png", "A 56493-2022")</f>
        <v/>
      </c>
      <c r="V213">
        <f>HYPERLINK("https://klasma.github.io/Logging_2321/klagomål/A 56493-2022 FSC-klagomål.docx", "A 56493-2022")</f>
        <v/>
      </c>
      <c r="W213">
        <f>HYPERLINK("https://klasma.github.io/Logging_2321/klagomålsmail/A 56493-2022 FSC-klagomål mail.docx", "A 56493-2022")</f>
        <v/>
      </c>
      <c r="X213">
        <f>HYPERLINK("https://klasma.github.io/Logging_2321/tillsyn/A 56493-2022 tillsynsbegäran.docx", "A 56493-2022")</f>
        <v/>
      </c>
      <c r="Y213">
        <f>HYPERLINK("https://klasma.github.io/Logging_2321/tillsynsmail/A 56493-2022 tillsynsbegäran mail.docx", "A 56493-2022")</f>
        <v/>
      </c>
    </row>
    <row r="214" ht="15" customHeight="1">
      <c r="A214" t="inlineStr">
        <is>
          <t>A 56603-2022</t>
        </is>
      </c>
      <c r="B214" s="1" t="n">
        <v>44893</v>
      </c>
      <c r="C214" s="1" t="n">
        <v>45781</v>
      </c>
      <c r="D214" t="inlineStr">
        <is>
          <t>JÄMTLANDS LÄN</t>
        </is>
      </c>
      <c r="E214" t="inlineStr">
        <is>
          <t>ÅRE</t>
        </is>
      </c>
      <c r="F214" t="inlineStr">
        <is>
          <t>Övriga Aktiebolag</t>
        </is>
      </c>
      <c r="G214" t="n">
        <v>14.3</v>
      </c>
      <c r="H214" t="n">
        <v>1</v>
      </c>
      <c r="I214" t="n">
        <v>0</v>
      </c>
      <c r="J214" t="n">
        <v>1</v>
      </c>
      <c r="K214" t="n">
        <v>0</v>
      </c>
      <c r="L214" t="n">
        <v>0</v>
      </c>
      <c r="M214" t="n">
        <v>0</v>
      </c>
      <c r="N214" t="n">
        <v>0</v>
      </c>
      <c r="O214" t="n">
        <v>1</v>
      </c>
      <c r="P214" t="n">
        <v>0</v>
      </c>
      <c r="Q214" t="n">
        <v>1</v>
      </c>
      <c r="R214" s="2" t="inlineStr">
        <is>
          <t>Talltita</t>
        </is>
      </c>
      <c r="S214">
        <f>HYPERLINK("https://klasma.github.io/Logging_2321/artfynd/A 56603-2022 artfynd.xlsx", "A 56603-2022")</f>
        <v/>
      </c>
      <c r="T214">
        <f>HYPERLINK("https://klasma.github.io/Logging_2321/kartor/A 56603-2022 karta.png", "A 56603-2022")</f>
        <v/>
      </c>
      <c r="V214">
        <f>HYPERLINK("https://klasma.github.io/Logging_2321/klagomål/A 56603-2022 FSC-klagomål.docx", "A 56603-2022")</f>
        <v/>
      </c>
      <c r="W214">
        <f>HYPERLINK("https://klasma.github.io/Logging_2321/klagomålsmail/A 56603-2022 FSC-klagomål mail.docx", "A 56603-2022")</f>
        <v/>
      </c>
      <c r="X214">
        <f>HYPERLINK("https://klasma.github.io/Logging_2321/tillsyn/A 56603-2022 tillsynsbegäran.docx", "A 56603-2022")</f>
        <v/>
      </c>
      <c r="Y214">
        <f>HYPERLINK("https://klasma.github.io/Logging_2321/tillsynsmail/A 56603-2022 tillsynsbegäran mail.docx", "A 56603-2022")</f>
        <v/>
      </c>
      <c r="Z214">
        <f>HYPERLINK("https://klasma.github.io/Logging_2321/fåglar/A 56603-2022 prioriterade fågelarter.docx", "A 56603-2022")</f>
        <v/>
      </c>
    </row>
    <row r="215" ht="15" customHeight="1">
      <c r="A215" t="inlineStr">
        <is>
          <t>A 57396-2022</t>
        </is>
      </c>
      <c r="B215" s="1" t="n">
        <v>44896</v>
      </c>
      <c r="C215" s="1" t="n">
        <v>45781</v>
      </c>
      <c r="D215" t="inlineStr">
        <is>
          <t>JÄMTLANDS LÄN</t>
        </is>
      </c>
      <c r="E215" t="inlineStr">
        <is>
          <t>ÅRE</t>
        </is>
      </c>
      <c r="G215" t="n">
        <v>3.1</v>
      </c>
      <c r="H215" t="n">
        <v>0</v>
      </c>
      <c r="I215" t="n">
        <v>0</v>
      </c>
      <c r="J215" t="n">
        <v>1</v>
      </c>
      <c r="K215" t="n">
        <v>0</v>
      </c>
      <c r="L215" t="n">
        <v>0</v>
      </c>
      <c r="M215" t="n">
        <v>0</v>
      </c>
      <c r="N215" t="n">
        <v>0</v>
      </c>
      <c r="O215" t="n">
        <v>1</v>
      </c>
      <c r="P215" t="n">
        <v>0</v>
      </c>
      <c r="Q215" t="n">
        <v>1</v>
      </c>
      <c r="R215" s="2" t="inlineStr">
        <is>
          <t>Granticka</t>
        </is>
      </c>
      <c r="S215">
        <f>HYPERLINK("https://klasma.github.io/Logging_2321/artfynd/A 57396-2022 artfynd.xlsx", "A 57396-2022")</f>
        <v/>
      </c>
      <c r="T215">
        <f>HYPERLINK("https://klasma.github.io/Logging_2321/kartor/A 57396-2022 karta.png", "A 57396-2022")</f>
        <v/>
      </c>
      <c r="V215">
        <f>HYPERLINK("https://klasma.github.io/Logging_2321/klagomål/A 57396-2022 FSC-klagomål.docx", "A 57396-2022")</f>
        <v/>
      </c>
      <c r="W215">
        <f>HYPERLINK("https://klasma.github.io/Logging_2321/klagomålsmail/A 57396-2022 FSC-klagomål mail.docx", "A 57396-2022")</f>
        <v/>
      </c>
      <c r="X215">
        <f>HYPERLINK("https://klasma.github.io/Logging_2321/tillsyn/A 57396-2022 tillsynsbegäran.docx", "A 57396-2022")</f>
        <v/>
      </c>
      <c r="Y215">
        <f>HYPERLINK("https://klasma.github.io/Logging_2321/tillsynsmail/A 57396-2022 tillsynsbegäran mail.docx", "A 57396-2022")</f>
        <v/>
      </c>
    </row>
    <row r="216" ht="15" customHeight="1">
      <c r="A216" t="inlineStr">
        <is>
          <t>A 60544-2022</t>
        </is>
      </c>
      <c r="B216" s="1" t="n">
        <v>44904</v>
      </c>
      <c r="C216" s="1" t="n">
        <v>45781</v>
      </c>
      <c r="D216" t="inlineStr">
        <is>
          <t>JÄMTLANDS LÄN</t>
        </is>
      </c>
      <c r="E216" t="inlineStr">
        <is>
          <t>ÅRE</t>
        </is>
      </c>
      <c r="G216" t="n">
        <v>1.2</v>
      </c>
      <c r="H216" t="n">
        <v>1</v>
      </c>
      <c r="I216" t="n">
        <v>0</v>
      </c>
      <c r="J216" t="n">
        <v>1</v>
      </c>
      <c r="K216" t="n">
        <v>0</v>
      </c>
      <c r="L216" t="n">
        <v>0</v>
      </c>
      <c r="M216" t="n">
        <v>0</v>
      </c>
      <c r="N216" t="n">
        <v>0</v>
      </c>
      <c r="O216" t="n">
        <v>1</v>
      </c>
      <c r="P216" t="n">
        <v>0</v>
      </c>
      <c r="Q216" t="n">
        <v>1</v>
      </c>
      <c r="R216" s="2" t="inlineStr">
        <is>
          <t>Järpe</t>
        </is>
      </c>
      <c r="S216">
        <f>HYPERLINK("https://klasma.github.io/Logging_2321/artfynd/A 60544-2022 artfynd.xlsx", "A 60544-2022")</f>
        <v/>
      </c>
      <c r="T216">
        <f>HYPERLINK("https://klasma.github.io/Logging_2321/kartor/A 60544-2022 karta.png", "A 60544-2022")</f>
        <v/>
      </c>
      <c r="V216">
        <f>HYPERLINK("https://klasma.github.io/Logging_2321/klagomål/A 60544-2022 FSC-klagomål.docx", "A 60544-2022")</f>
        <v/>
      </c>
      <c r="W216">
        <f>HYPERLINK("https://klasma.github.io/Logging_2321/klagomålsmail/A 60544-2022 FSC-klagomål mail.docx", "A 60544-2022")</f>
        <v/>
      </c>
      <c r="X216">
        <f>HYPERLINK("https://klasma.github.io/Logging_2321/tillsyn/A 60544-2022 tillsynsbegäran.docx", "A 60544-2022")</f>
        <v/>
      </c>
      <c r="Y216">
        <f>HYPERLINK("https://klasma.github.io/Logging_2321/tillsynsmail/A 60544-2022 tillsynsbegäran mail.docx", "A 60544-2022")</f>
        <v/>
      </c>
      <c r="Z216">
        <f>HYPERLINK("https://klasma.github.io/Logging_2321/fåglar/A 60544-2022 prioriterade fågelarter.docx", "A 60544-2022")</f>
        <v/>
      </c>
    </row>
    <row r="217" ht="15" customHeight="1">
      <c r="A217" t="inlineStr">
        <is>
          <t>A 60435-2022</t>
        </is>
      </c>
      <c r="B217" s="1" t="n">
        <v>44911</v>
      </c>
      <c r="C217" s="1" t="n">
        <v>45781</v>
      </c>
      <c r="D217" t="inlineStr">
        <is>
          <t>JÄMTLANDS LÄN</t>
        </is>
      </c>
      <c r="E217" t="inlineStr">
        <is>
          <t>ÅRE</t>
        </is>
      </c>
      <c r="F217" t="inlineStr">
        <is>
          <t>Övriga Aktiebolag</t>
        </is>
      </c>
      <c r="G217" t="n">
        <v>7.9</v>
      </c>
      <c r="H217" t="n">
        <v>0</v>
      </c>
      <c r="I217" t="n">
        <v>1</v>
      </c>
      <c r="J217" t="n">
        <v>0</v>
      </c>
      <c r="K217" t="n">
        <v>0</v>
      </c>
      <c r="L217" t="n">
        <v>0</v>
      </c>
      <c r="M217" t="n">
        <v>0</v>
      </c>
      <c r="N217" t="n">
        <v>0</v>
      </c>
      <c r="O217" t="n">
        <v>0</v>
      </c>
      <c r="P217" t="n">
        <v>0</v>
      </c>
      <c r="Q217" t="n">
        <v>1</v>
      </c>
      <c r="R217" s="2" t="inlineStr">
        <is>
          <t>Kransrams</t>
        </is>
      </c>
      <c r="S217">
        <f>HYPERLINK("https://klasma.github.io/Logging_2321/artfynd/A 60435-2022 artfynd.xlsx", "A 60435-2022")</f>
        <v/>
      </c>
      <c r="T217">
        <f>HYPERLINK("https://klasma.github.io/Logging_2321/kartor/A 60435-2022 karta.png", "A 60435-2022")</f>
        <v/>
      </c>
      <c r="V217">
        <f>HYPERLINK("https://klasma.github.io/Logging_2321/klagomål/A 60435-2022 FSC-klagomål.docx", "A 60435-2022")</f>
        <v/>
      </c>
      <c r="W217">
        <f>HYPERLINK("https://klasma.github.io/Logging_2321/klagomålsmail/A 60435-2022 FSC-klagomål mail.docx", "A 60435-2022")</f>
        <v/>
      </c>
      <c r="X217">
        <f>HYPERLINK("https://klasma.github.io/Logging_2321/tillsyn/A 60435-2022 tillsynsbegäran.docx", "A 60435-2022")</f>
        <v/>
      </c>
      <c r="Y217">
        <f>HYPERLINK("https://klasma.github.io/Logging_2321/tillsynsmail/A 60435-2022 tillsynsbegäran mail.docx", "A 60435-2022")</f>
        <v/>
      </c>
    </row>
    <row r="218" ht="15" customHeight="1">
      <c r="A218" t="inlineStr">
        <is>
          <t>A 5480-2023</t>
        </is>
      </c>
      <c r="B218" s="1" t="n">
        <v>44957</v>
      </c>
      <c r="C218" s="1" t="n">
        <v>45781</v>
      </c>
      <c r="D218" t="inlineStr">
        <is>
          <t>JÄMTLANDS LÄN</t>
        </is>
      </c>
      <c r="E218" t="inlineStr">
        <is>
          <t>ÅRE</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5480-2023 artfynd.xlsx", "A 5480-2023")</f>
        <v/>
      </c>
      <c r="T218">
        <f>HYPERLINK("https://klasma.github.io/Logging_2321/kartor/A 5480-2023 karta.png", "A 5480-2023")</f>
        <v/>
      </c>
      <c r="V218">
        <f>HYPERLINK("https://klasma.github.io/Logging_2321/klagomål/A 5480-2023 FSC-klagomål.docx", "A 5480-2023")</f>
        <v/>
      </c>
      <c r="W218">
        <f>HYPERLINK("https://klasma.github.io/Logging_2321/klagomålsmail/A 5480-2023 FSC-klagomål mail.docx", "A 5480-2023")</f>
        <v/>
      </c>
      <c r="X218">
        <f>HYPERLINK("https://klasma.github.io/Logging_2321/tillsyn/A 5480-2023 tillsynsbegäran.docx", "A 5480-2023")</f>
        <v/>
      </c>
      <c r="Y218">
        <f>HYPERLINK("https://klasma.github.io/Logging_2321/tillsynsmail/A 5480-2023 tillsynsbegäran mail.docx", "A 5480-2023")</f>
        <v/>
      </c>
      <c r="Z218">
        <f>HYPERLINK("https://klasma.github.io/Logging_2321/fåglar/A 5480-2023 prioriterade fågelarter.docx", "A 5480-2023")</f>
        <v/>
      </c>
    </row>
    <row r="219" ht="15" customHeight="1">
      <c r="A219" t="inlineStr">
        <is>
          <t>A 5611-2023</t>
        </is>
      </c>
      <c r="B219" s="1" t="n">
        <v>44958</v>
      </c>
      <c r="C219" s="1" t="n">
        <v>45781</v>
      </c>
      <c r="D219" t="inlineStr">
        <is>
          <t>JÄMTLANDS LÄN</t>
        </is>
      </c>
      <c r="E219" t="inlineStr">
        <is>
          <t>ÅRE</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5611-2023 artfynd.xlsx", "A 5611-2023")</f>
        <v/>
      </c>
      <c r="T219">
        <f>HYPERLINK("https://klasma.github.io/Logging_2321/kartor/A 5611-2023 karta.png", "A 5611-2023")</f>
        <v/>
      </c>
      <c r="V219">
        <f>HYPERLINK("https://klasma.github.io/Logging_2321/klagomål/A 5611-2023 FSC-klagomål.docx", "A 5611-2023")</f>
        <v/>
      </c>
      <c r="W219">
        <f>HYPERLINK("https://klasma.github.io/Logging_2321/klagomålsmail/A 5611-2023 FSC-klagomål mail.docx", "A 5611-2023")</f>
        <v/>
      </c>
      <c r="X219">
        <f>HYPERLINK("https://klasma.github.io/Logging_2321/tillsyn/A 5611-2023 tillsynsbegäran.docx", "A 5611-2023")</f>
        <v/>
      </c>
      <c r="Y219">
        <f>HYPERLINK("https://klasma.github.io/Logging_2321/tillsynsmail/A 5611-2023 tillsynsbegäran mail.docx", "A 5611-2023")</f>
        <v/>
      </c>
      <c r="Z219">
        <f>HYPERLINK("https://klasma.github.io/Logging_2321/fåglar/A 5611-2023 prioriterade fågelarter.docx", "A 5611-2023")</f>
        <v/>
      </c>
    </row>
    <row r="220" ht="15" customHeight="1">
      <c r="A220" t="inlineStr">
        <is>
          <t>A 10632-2023</t>
        </is>
      </c>
      <c r="B220" s="1" t="n">
        <v>44984</v>
      </c>
      <c r="C220" s="1" t="n">
        <v>45781</v>
      </c>
      <c r="D220" t="inlineStr">
        <is>
          <t>JÄMTLANDS LÄN</t>
        </is>
      </c>
      <c r="E220" t="inlineStr">
        <is>
          <t>ÅRE</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10632-2023 artfynd.xlsx", "A 10632-2023")</f>
        <v/>
      </c>
      <c r="T220">
        <f>HYPERLINK("https://klasma.github.io/Logging_2321/kartor/A 10632-2023 karta.png", "A 10632-2023")</f>
        <v/>
      </c>
      <c r="V220">
        <f>HYPERLINK("https://klasma.github.io/Logging_2321/klagomål/A 10632-2023 FSC-klagomål.docx", "A 10632-2023")</f>
        <v/>
      </c>
      <c r="W220">
        <f>HYPERLINK("https://klasma.github.io/Logging_2321/klagomålsmail/A 10632-2023 FSC-klagomål mail.docx", "A 10632-2023")</f>
        <v/>
      </c>
      <c r="X220">
        <f>HYPERLINK("https://klasma.github.io/Logging_2321/tillsyn/A 10632-2023 tillsynsbegäran.docx", "A 10632-2023")</f>
        <v/>
      </c>
      <c r="Y220">
        <f>HYPERLINK("https://klasma.github.io/Logging_2321/tillsynsmail/A 10632-2023 tillsynsbegäran mail.docx", "A 10632-2023")</f>
        <v/>
      </c>
      <c r="Z220">
        <f>HYPERLINK("https://klasma.github.io/Logging_2321/fåglar/A 10632-2023 prioriterade fågelarter.docx", "A 10632-2023")</f>
        <v/>
      </c>
    </row>
    <row r="221" ht="15" customHeight="1">
      <c r="A221" t="inlineStr">
        <is>
          <t>A 41405-2023</t>
        </is>
      </c>
      <c r="B221" s="1" t="n">
        <v>45174</v>
      </c>
      <c r="C221" s="1" t="n">
        <v>45781</v>
      </c>
      <c r="D221" t="inlineStr">
        <is>
          <t>JÄMTLANDS LÄN</t>
        </is>
      </c>
      <c r="E221" t="inlineStr">
        <is>
          <t>ÅRE</t>
        </is>
      </c>
      <c r="G221" t="n">
        <v>4.1</v>
      </c>
      <c r="H221" t="n">
        <v>0</v>
      </c>
      <c r="I221" t="n">
        <v>1</v>
      </c>
      <c r="J221" t="n">
        <v>0</v>
      </c>
      <c r="K221" t="n">
        <v>0</v>
      </c>
      <c r="L221" t="n">
        <v>0</v>
      </c>
      <c r="M221" t="n">
        <v>0</v>
      </c>
      <c r="N221" t="n">
        <v>0</v>
      </c>
      <c r="O221" t="n">
        <v>0</v>
      </c>
      <c r="P221" t="n">
        <v>0</v>
      </c>
      <c r="Q221" t="n">
        <v>1</v>
      </c>
      <c r="R221" s="2" t="inlineStr">
        <is>
          <t>Ögonpyrola</t>
        </is>
      </c>
      <c r="S221">
        <f>HYPERLINK("https://klasma.github.io/Logging_2321/artfynd/A 41405-2023 artfynd.xlsx", "A 41405-2023")</f>
        <v/>
      </c>
      <c r="T221">
        <f>HYPERLINK("https://klasma.github.io/Logging_2321/kartor/A 41405-2023 karta.png", "A 41405-2023")</f>
        <v/>
      </c>
      <c r="V221">
        <f>HYPERLINK("https://klasma.github.io/Logging_2321/klagomål/A 41405-2023 FSC-klagomål.docx", "A 41405-2023")</f>
        <v/>
      </c>
      <c r="W221">
        <f>HYPERLINK("https://klasma.github.io/Logging_2321/klagomålsmail/A 41405-2023 FSC-klagomål mail.docx", "A 41405-2023")</f>
        <v/>
      </c>
      <c r="X221">
        <f>HYPERLINK("https://klasma.github.io/Logging_2321/tillsyn/A 41405-2023 tillsynsbegäran.docx", "A 41405-2023")</f>
        <v/>
      </c>
      <c r="Y221">
        <f>HYPERLINK("https://klasma.github.io/Logging_2321/tillsynsmail/A 41405-2023 tillsynsbegäran mail.docx", "A 41405-2023")</f>
        <v/>
      </c>
    </row>
    <row r="222" ht="15" customHeight="1">
      <c r="A222" t="inlineStr">
        <is>
          <t>A 55105-2023</t>
        </is>
      </c>
      <c r="B222" s="1" t="n">
        <v>45237</v>
      </c>
      <c r="C222" s="1" t="n">
        <v>45781</v>
      </c>
      <c r="D222" t="inlineStr">
        <is>
          <t>JÄMTLANDS LÄN</t>
        </is>
      </c>
      <c r="E222" t="inlineStr">
        <is>
          <t>ÅRE</t>
        </is>
      </c>
      <c r="G222" t="n">
        <v>15.8</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55105-2023 artfynd.xlsx", "A 55105-2023")</f>
        <v/>
      </c>
      <c r="T222">
        <f>HYPERLINK("https://klasma.github.io/Logging_2321/kartor/A 55105-2023 karta.png", "A 55105-2023")</f>
        <v/>
      </c>
      <c r="V222">
        <f>HYPERLINK("https://klasma.github.io/Logging_2321/klagomål/A 55105-2023 FSC-klagomål.docx", "A 55105-2023")</f>
        <v/>
      </c>
      <c r="W222">
        <f>HYPERLINK("https://klasma.github.io/Logging_2321/klagomålsmail/A 55105-2023 FSC-klagomål mail.docx", "A 55105-2023")</f>
        <v/>
      </c>
      <c r="X222">
        <f>HYPERLINK("https://klasma.github.io/Logging_2321/tillsyn/A 55105-2023 tillsynsbegäran.docx", "A 55105-2023")</f>
        <v/>
      </c>
      <c r="Y222">
        <f>HYPERLINK("https://klasma.github.io/Logging_2321/tillsynsmail/A 55105-2023 tillsynsbegäran mail.docx", "A 55105-2023")</f>
        <v/>
      </c>
      <c r="Z222">
        <f>HYPERLINK("https://klasma.github.io/Logging_2321/fåglar/A 55105-2023 prioriterade fågelarter.docx", "A 55105-2023")</f>
        <v/>
      </c>
    </row>
    <row r="223" ht="15" customHeight="1">
      <c r="A223" t="inlineStr">
        <is>
          <t>A 59402-2023</t>
        </is>
      </c>
      <c r="B223" s="1" t="n">
        <v>45253</v>
      </c>
      <c r="C223" s="1" t="n">
        <v>45781</v>
      </c>
      <c r="D223" t="inlineStr">
        <is>
          <t>JÄMTLANDS LÄN</t>
        </is>
      </c>
      <c r="E223" t="inlineStr">
        <is>
          <t>ÅRE</t>
        </is>
      </c>
      <c r="G223" t="n">
        <v>2.3</v>
      </c>
      <c r="H223" t="n">
        <v>0</v>
      </c>
      <c r="I223" t="n">
        <v>0</v>
      </c>
      <c r="J223" t="n">
        <v>1</v>
      </c>
      <c r="K223" t="n">
        <v>0</v>
      </c>
      <c r="L223" t="n">
        <v>0</v>
      </c>
      <c r="M223" t="n">
        <v>0</v>
      </c>
      <c r="N223" t="n">
        <v>0</v>
      </c>
      <c r="O223" t="n">
        <v>1</v>
      </c>
      <c r="P223" t="n">
        <v>0</v>
      </c>
      <c r="Q223" t="n">
        <v>1</v>
      </c>
      <c r="R223" s="2" t="inlineStr">
        <is>
          <t>Garnlav</t>
        </is>
      </c>
      <c r="S223">
        <f>HYPERLINK("https://klasma.github.io/Logging_2321/artfynd/A 59402-2023 artfynd.xlsx", "A 59402-2023")</f>
        <v/>
      </c>
      <c r="T223">
        <f>HYPERLINK("https://klasma.github.io/Logging_2321/kartor/A 59402-2023 karta.png", "A 59402-2023")</f>
        <v/>
      </c>
      <c r="V223">
        <f>HYPERLINK("https://klasma.github.io/Logging_2321/klagomål/A 59402-2023 FSC-klagomål.docx", "A 59402-2023")</f>
        <v/>
      </c>
      <c r="W223">
        <f>HYPERLINK("https://klasma.github.io/Logging_2321/klagomålsmail/A 59402-2023 FSC-klagomål mail.docx", "A 59402-2023")</f>
        <v/>
      </c>
      <c r="X223">
        <f>HYPERLINK("https://klasma.github.io/Logging_2321/tillsyn/A 59402-2023 tillsynsbegäran.docx", "A 59402-2023")</f>
        <v/>
      </c>
      <c r="Y223">
        <f>HYPERLINK("https://klasma.github.io/Logging_2321/tillsynsmail/A 59402-2023 tillsynsbegäran mail.docx", "A 59402-2023")</f>
        <v/>
      </c>
    </row>
    <row r="224" ht="15" customHeight="1">
      <c r="A224" t="inlineStr">
        <is>
          <t>A 61471-2023</t>
        </is>
      </c>
      <c r="B224" s="1" t="n">
        <v>45264</v>
      </c>
      <c r="C224" s="1" t="n">
        <v>45781</v>
      </c>
      <c r="D224" t="inlineStr">
        <is>
          <t>JÄMTLANDS LÄN</t>
        </is>
      </c>
      <c r="E224" t="inlineStr">
        <is>
          <t>ÅRE</t>
        </is>
      </c>
      <c r="G224" t="n">
        <v>1</v>
      </c>
      <c r="H224" t="n">
        <v>0</v>
      </c>
      <c r="I224" t="n">
        <v>0</v>
      </c>
      <c r="J224" t="n">
        <v>1</v>
      </c>
      <c r="K224" t="n">
        <v>0</v>
      </c>
      <c r="L224" t="n">
        <v>0</v>
      </c>
      <c r="M224" t="n">
        <v>0</v>
      </c>
      <c r="N224" t="n">
        <v>0</v>
      </c>
      <c r="O224" t="n">
        <v>1</v>
      </c>
      <c r="P224" t="n">
        <v>0</v>
      </c>
      <c r="Q224" t="n">
        <v>1</v>
      </c>
      <c r="R224" s="2" t="inlineStr">
        <is>
          <t>Skrovellav</t>
        </is>
      </c>
      <c r="S224">
        <f>HYPERLINK("https://klasma.github.io/Logging_2321/artfynd/A 61471-2023 artfynd.xlsx", "A 61471-2023")</f>
        <v/>
      </c>
      <c r="T224">
        <f>HYPERLINK("https://klasma.github.io/Logging_2321/kartor/A 61471-2023 karta.png", "A 61471-2023")</f>
        <v/>
      </c>
      <c r="V224">
        <f>HYPERLINK("https://klasma.github.io/Logging_2321/klagomål/A 61471-2023 FSC-klagomål.docx", "A 61471-2023")</f>
        <v/>
      </c>
      <c r="W224">
        <f>HYPERLINK("https://klasma.github.io/Logging_2321/klagomålsmail/A 61471-2023 FSC-klagomål mail.docx", "A 61471-2023")</f>
        <v/>
      </c>
      <c r="X224">
        <f>HYPERLINK("https://klasma.github.io/Logging_2321/tillsyn/A 61471-2023 tillsynsbegäran.docx", "A 61471-2023")</f>
        <v/>
      </c>
      <c r="Y224">
        <f>HYPERLINK("https://klasma.github.io/Logging_2321/tillsynsmail/A 61471-2023 tillsynsbegäran mail.docx", "A 61471-2023")</f>
        <v/>
      </c>
    </row>
    <row r="225" ht="15" customHeight="1">
      <c r="A225" t="inlineStr">
        <is>
          <t>A 61828-2023</t>
        </is>
      </c>
      <c r="B225" s="1" t="n">
        <v>45264</v>
      </c>
      <c r="C225" s="1" t="n">
        <v>45781</v>
      </c>
      <c r="D225" t="inlineStr">
        <is>
          <t>JÄMTLANDS LÄN</t>
        </is>
      </c>
      <c r="E225" t="inlineStr">
        <is>
          <t>ÅRE</t>
        </is>
      </c>
      <c r="F225" t="inlineStr">
        <is>
          <t>Övriga Aktiebolag</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61828-2023 artfynd.xlsx", "A 61828-2023")</f>
        <v/>
      </c>
      <c r="T225">
        <f>HYPERLINK("https://klasma.github.io/Logging_2321/kartor/A 61828-2023 karta.png", "A 61828-2023")</f>
        <v/>
      </c>
      <c r="V225">
        <f>HYPERLINK("https://klasma.github.io/Logging_2321/klagomål/A 61828-2023 FSC-klagomål.docx", "A 61828-2023")</f>
        <v/>
      </c>
      <c r="W225">
        <f>HYPERLINK("https://klasma.github.io/Logging_2321/klagomålsmail/A 61828-2023 FSC-klagomål mail.docx", "A 61828-2023")</f>
        <v/>
      </c>
      <c r="X225">
        <f>HYPERLINK("https://klasma.github.io/Logging_2321/tillsyn/A 61828-2023 tillsynsbegäran.docx", "A 61828-2023")</f>
        <v/>
      </c>
      <c r="Y225">
        <f>HYPERLINK("https://klasma.github.io/Logging_2321/tillsynsmail/A 61828-2023 tillsynsbegäran mail.docx", "A 61828-2023")</f>
        <v/>
      </c>
      <c r="Z225">
        <f>HYPERLINK("https://klasma.github.io/Logging_2321/fåglar/A 61828-2023 prioriterade fågelarter.docx", "A 61828-2023")</f>
        <v/>
      </c>
    </row>
    <row r="226" ht="15" customHeight="1">
      <c r="A226" t="inlineStr">
        <is>
          <t>A 64026-2023</t>
        </is>
      </c>
      <c r="B226" s="1" t="n">
        <v>45278</v>
      </c>
      <c r="C226" s="1" t="n">
        <v>45781</v>
      </c>
      <c r="D226" t="inlineStr">
        <is>
          <t>JÄMTLANDS LÄN</t>
        </is>
      </c>
      <c r="E226" t="inlineStr">
        <is>
          <t>ÅRE</t>
        </is>
      </c>
      <c r="F226" t="inlineStr">
        <is>
          <t>Övriga Aktiebolag</t>
        </is>
      </c>
      <c r="G226" t="n">
        <v>9.800000000000001</v>
      </c>
      <c r="H226" t="n">
        <v>0</v>
      </c>
      <c r="I226" t="n">
        <v>1</v>
      </c>
      <c r="J226" t="n">
        <v>0</v>
      </c>
      <c r="K226" t="n">
        <v>0</v>
      </c>
      <c r="L226" t="n">
        <v>0</v>
      </c>
      <c r="M226" t="n">
        <v>0</v>
      </c>
      <c r="N226" t="n">
        <v>0</v>
      </c>
      <c r="O226" t="n">
        <v>0</v>
      </c>
      <c r="P226" t="n">
        <v>0</v>
      </c>
      <c r="Q226" t="n">
        <v>1</v>
      </c>
      <c r="R226" s="2" t="inlineStr">
        <is>
          <t>Svavelriska</t>
        </is>
      </c>
      <c r="S226">
        <f>HYPERLINK("https://klasma.github.io/Logging_2321/artfynd/A 64026-2023 artfynd.xlsx", "A 64026-2023")</f>
        <v/>
      </c>
      <c r="T226">
        <f>HYPERLINK("https://klasma.github.io/Logging_2321/kartor/A 64026-2023 karta.png", "A 64026-2023")</f>
        <v/>
      </c>
      <c r="V226">
        <f>HYPERLINK("https://klasma.github.io/Logging_2321/klagomål/A 64026-2023 FSC-klagomål.docx", "A 64026-2023")</f>
        <v/>
      </c>
      <c r="W226">
        <f>HYPERLINK("https://klasma.github.io/Logging_2321/klagomålsmail/A 64026-2023 FSC-klagomål mail.docx", "A 64026-2023")</f>
        <v/>
      </c>
      <c r="X226">
        <f>HYPERLINK("https://klasma.github.io/Logging_2321/tillsyn/A 64026-2023 tillsynsbegäran.docx", "A 64026-2023")</f>
        <v/>
      </c>
      <c r="Y226">
        <f>HYPERLINK("https://klasma.github.io/Logging_2321/tillsynsmail/A 64026-2023 tillsynsbegäran mail.docx", "A 64026-2023")</f>
        <v/>
      </c>
    </row>
    <row r="227" ht="15" customHeight="1">
      <c r="A227" t="inlineStr">
        <is>
          <t>A 8131-2024</t>
        </is>
      </c>
      <c r="B227" s="1" t="n">
        <v>45351</v>
      </c>
      <c r="C227" s="1" t="n">
        <v>45781</v>
      </c>
      <c r="D227" t="inlineStr">
        <is>
          <t>JÄMTLANDS LÄN</t>
        </is>
      </c>
      <c r="E227" t="inlineStr">
        <is>
          <t>ÅRE</t>
        </is>
      </c>
      <c r="F227" t="inlineStr">
        <is>
          <t>Övriga Aktiebolag</t>
        </is>
      </c>
      <c r="G227" t="n">
        <v>3.1</v>
      </c>
      <c r="H227" t="n">
        <v>0</v>
      </c>
      <c r="I227" t="n">
        <v>0</v>
      </c>
      <c r="J227" t="n">
        <v>0</v>
      </c>
      <c r="K227" t="n">
        <v>1</v>
      </c>
      <c r="L227" t="n">
        <v>0</v>
      </c>
      <c r="M227" t="n">
        <v>0</v>
      </c>
      <c r="N227" t="n">
        <v>0</v>
      </c>
      <c r="O227" t="n">
        <v>1</v>
      </c>
      <c r="P227" t="n">
        <v>1</v>
      </c>
      <c r="Q227" t="n">
        <v>1</v>
      </c>
      <c r="R227" s="2" t="inlineStr">
        <is>
          <t>Gräddporing</t>
        </is>
      </c>
      <c r="S227">
        <f>HYPERLINK("https://klasma.github.io/Logging_2321/artfynd/A 8131-2024 artfynd.xlsx", "A 8131-2024")</f>
        <v/>
      </c>
      <c r="T227">
        <f>HYPERLINK("https://klasma.github.io/Logging_2321/kartor/A 8131-2024 karta.png", "A 8131-2024")</f>
        <v/>
      </c>
      <c r="V227">
        <f>HYPERLINK("https://klasma.github.io/Logging_2321/klagomål/A 8131-2024 FSC-klagomål.docx", "A 8131-2024")</f>
        <v/>
      </c>
      <c r="W227">
        <f>HYPERLINK("https://klasma.github.io/Logging_2321/klagomålsmail/A 8131-2024 FSC-klagomål mail.docx", "A 8131-2024")</f>
        <v/>
      </c>
      <c r="X227">
        <f>HYPERLINK("https://klasma.github.io/Logging_2321/tillsyn/A 8131-2024 tillsynsbegäran.docx", "A 8131-2024")</f>
        <v/>
      </c>
      <c r="Y227">
        <f>HYPERLINK("https://klasma.github.io/Logging_2321/tillsynsmail/A 8131-2024 tillsynsbegäran mail.docx", "A 8131-2024")</f>
        <v/>
      </c>
    </row>
    <row r="228" ht="15" customHeight="1">
      <c r="A228" t="inlineStr">
        <is>
          <t>A 17636-2024</t>
        </is>
      </c>
      <c r="B228" s="1" t="n">
        <v>45418</v>
      </c>
      <c r="C228" s="1" t="n">
        <v>45781</v>
      </c>
      <c r="D228" t="inlineStr">
        <is>
          <t>JÄMTLANDS LÄN</t>
        </is>
      </c>
      <c r="E228" t="inlineStr">
        <is>
          <t>ÅRE</t>
        </is>
      </c>
      <c r="F228" t="inlineStr">
        <is>
          <t>Övriga Aktiebolag</t>
        </is>
      </c>
      <c r="G228" t="n">
        <v>12.4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17636-2024 artfynd.xlsx", "A 17636-2024")</f>
        <v/>
      </c>
      <c r="T228">
        <f>HYPERLINK("https://klasma.github.io/Logging_2321/kartor/A 17636-2024 karta.png", "A 17636-2024")</f>
        <v/>
      </c>
      <c r="V228">
        <f>HYPERLINK("https://klasma.github.io/Logging_2321/klagomål/A 17636-2024 FSC-klagomål.docx", "A 17636-2024")</f>
        <v/>
      </c>
      <c r="W228">
        <f>HYPERLINK("https://klasma.github.io/Logging_2321/klagomålsmail/A 17636-2024 FSC-klagomål mail.docx", "A 17636-2024")</f>
        <v/>
      </c>
      <c r="X228">
        <f>HYPERLINK("https://klasma.github.io/Logging_2321/tillsyn/A 17636-2024 tillsynsbegäran.docx", "A 17636-2024")</f>
        <v/>
      </c>
      <c r="Y228">
        <f>HYPERLINK("https://klasma.github.io/Logging_2321/tillsynsmail/A 17636-2024 tillsynsbegäran mail.docx", "A 17636-2024")</f>
        <v/>
      </c>
      <c r="Z228">
        <f>HYPERLINK("https://klasma.github.io/Logging_2321/fåglar/A 17636-2024 prioriterade fågelarter.docx", "A 17636-2024")</f>
        <v/>
      </c>
    </row>
    <row r="229" ht="15" customHeight="1">
      <c r="A229" t="inlineStr">
        <is>
          <t>A 23426-2024</t>
        </is>
      </c>
      <c r="B229" s="1" t="n">
        <v>45453</v>
      </c>
      <c r="C229" s="1" t="n">
        <v>45781</v>
      </c>
      <c r="D229" t="inlineStr">
        <is>
          <t>JÄMTLANDS LÄN</t>
        </is>
      </c>
      <c r="E229" t="inlineStr">
        <is>
          <t>ÅRE</t>
        </is>
      </c>
      <c r="F229" t="inlineStr">
        <is>
          <t>Övriga Aktiebolag</t>
        </is>
      </c>
      <c r="G229" t="n">
        <v>2.3</v>
      </c>
      <c r="H229" t="n">
        <v>0</v>
      </c>
      <c r="I229" t="n">
        <v>0</v>
      </c>
      <c r="J229" t="n">
        <v>1</v>
      </c>
      <c r="K229" t="n">
        <v>0</v>
      </c>
      <c r="L229" t="n">
        <v>0</v>
      </c>
      <c r="M229" t="n">
        <v>0</v>
      </c>
      <c r="N229" t="n">
        <v>0</v>
      </c>
      <c r="O229" t="n">
        <v>1</v>
      </c>
      <c r="P229" t="n">
        <v>0</v>
      </c>
      <c r="Q229" t="n">
        <v>1</v>
      </c>
      <c r="R229" s="2" t="inlineStr">
        <is>
          <t>Doftskinn</t>
        </is>
      </c>
      <c r="S229">
        <f>HYPERLINK("https://klasma.github.io/Logging_2321/artfynd/A 23426-2024 artfynd.xlsx", "A 23426-2024")</f>
        <v/>
      </c>
      <c r="T229">
        <f>HYPERLINK("https://klasma.github.io/Logging_2321/kartor/A 23426-2024 karta.png", "A 23426-2024")</f>
        <v/>
      </c>
      <c r="V229">
        <f>HYPERLINK("https://klasma.github.io/Logging_2321/klagomål/A 23426-2024 FSC-klagomål.docx", "A 23426-2024")</f>
        <v/>
      </c>
      <c r="W229">
        <f>HYPERLINK("https://klasma.github.io/Logging_2321/klagomålsmail/A 23426-2024 FSC-klagomål mail.docx", "A 23426-2024")</f>
        <v/>
      </c>
      <c r="X229">
        <f>HYPERLINK("https://klasma.github.io/Logging_2321/tillsyn/A 23426-2024 tillsynsbegäran.docx", "A 23426-2024")</f>
        <v/>
      </c>
      <c r="Y229">
        <f>HYPERLINK("https://klasma.github.io/Logging_2321/tillsynsmail/A 23426-2024 tillsynsbegäran mail.docx", "A 23426-2024")</f>
        <v/>
      </c>
    </row>
    <row r="230" ht="15" customHeight="1">
      <c r="A230" t="inlineStr">
        <is>
          <t>A 30032-2024</t>
        </is>
      </c>
      <c r="B230" s="1" t="n">
        <v>45485</v>
      </c>
      <c r="C230" s="1" t="n">
        <v>45781</v>
      </c>
      <c r="D230" t="inlineStr">
        <is>
          <t>JÄMTLANDS LÄN</t>
        </is>
      </c>
      <c r="E230" t="inlineStr">
        <is>
          <t>ÅRE</t>
        </is>
      </c>
      <c r="G230" t="n">
        <v>20.5</v>
      </c>
      <c r="H230" t="n">
        <v>1</v>
      </c>
      <c r="I230" t="n">
        <v>1</v>
      </c>
      <c r="J230" t="n">
        <v>0</v>
      </c>
      <c r="K230" t="n">
        <v>0</v>
      </c>
      <c r="L230" t="n">
        <v>0</v>
      </c>
      <c r="M230" t="n">
        <v>0</v>
      </c>
      <c r="N230" t="n">
        <v>0</v>
      </c>
      <c r="O230" t="n">
        <v>0</v>
      </c>
      <c r="P230" t="n">
        <v>0</v>
      </c>
      <c r="Q230" t="n">
        <v>1</v>
      </c>
      <c r="R230" s="2" t="inlineStr">
        <is>
          <t>Spindelblomster</t>
        </is>
      </c>
      <c r="S230">
        <f>HYPERLINK("https://klasma.github.io/Logging_2321/artfynd/A 30032-2024 artfynd.xlsx", "A 30032-2024")</f>
        <v/>
      </c>
      <c r="T230">
        <f>HYPERLINK("https://klasma.github.io/Logging_2321/kartor/A 30032-2024 karta.png", "A 30032-2024")</f>
        <v/>
      </c>
      <c r="V230">
        <f>HYPERLINK("https://klasma.github.io/Logging_2321/klagomål/A 30032-2024 FSC-klagomål.docx", "A 30032-2024")</f>
        <v/>
      </c>
      <c r="W230">
        <f>HYPERLINK("https://klasma.github.io/Logging_2321/klagomålsmail/A 30032-2024 FSC-klagomål mail.docx", "A 30032-2024")</f>
        <v/>
      </c>
      <c r="X230">
        <f>HYPERLINK("https://klasma.github.io/Logging_2321/tillsyn/A 30032-2024 tillsynsbegäran.docx", "A 30032-2024")</f>
        <v/>
      </c>
      <c r="Y230">
        <f>HYPERLINK("https://klasma.github.io/Logging_2321/tillsynsmail/A 30032-2024 tillsynsbegäran mail.docx", "A 30032-2024")</f>
        <v/>
      </c>
    </row>
    <row r="231" ht="15" customHeight="1">
      <c r="A231" t="inlineStr">
        <is>
          <t>A 32865-2024</t>
        </is>
      </c>
      <c r="B231" s="1" t="n">
        <v>45516</v>
      </c>
      <c r="C231" s="1" t="n">
        <v>45781</v>
      </c>
      <c r="D231" t="inlineStr">
        <is>
          <t>JÄMTLANDS LÄN</t>
        </is>
      </c>
      <c r="E231" t="inlineStr">
        <is>
          <t>ÅRE</t>
        </is>
      </c>
      <c r="G231" t="n">
        <v>29.5</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32865-2024 artfynd.xlsx", "A 32865-2024")</f>
        <v/>
      </c>
      <c r="T231">
        <f>HYPERLINK("https://klasma.github.io/Logging_2321/kartor/A 32865-2024 karta.png", "A 32865-2024")</f>
        <v/>
      </c>
      <c r="V231">
        <f>HYPERLINK("https://klasma.github.io/Logging_2321/klagomål/A 32865-2024 FSC-klagomål.docx", "A 32865-2024")</f>
        <v/>
      </c>
      <c r="W231">
        <f>HYPERLINK("https://klasma.github.io/Logging_2321/klagomålsmail/A 32865-2024 FSC-klagomål mail.docx", "A 32865-2024")</f>
        <v/>
      </c>
      <c r="X231">
        <f>HYPERLINK("https://klasma.github.io/Logging_2321/tillsyn/A 32865-2024 tillsynsbegäran.docx", "A 32865-2024")</f>
        <v/>
      </c>
      <c r="Y231">
        <f>HYPERLINK("https://klasma.github.io/Logging_2321/tillsynsmail/A 32865-2024 tillsynsbegäran mail.docx", "A 32865-2024")</f>
        <v/>
      </c>
      <c r="Z231">
        <f>HYPERLINK("https://klasma.github.io/Logging_2321/fåglar/A 32865-2024 prioriterade fågelarter.docx", "A 32865-2024")</f>
        <v/>
      </c>
    </row>
    <row r="232" ht="15" customHeight="1">
      <c r="A232" t="inlineStr">
        <is>
          <t>A 42166-2024</t>
        </is>
      </c>
      <c r="B232" s="1" t="n">
        <v>45562</v>
      </c>
      <c r="C232" s="1" t="n">
        <v>45781</v>
      </c>
      <c r="D232" t="inlineStr">
        <is>
          <t>JÄMTLANDS LÄN</t>
        </is>
      </c>
      <c r="E232" t="inlineStr">
        <is>
          <t>ÅRE</t>
        </is>
      </c>
      <c r="G232" t="n">
        <v>1.3</v>
      </c>
      <c r="H232" t="n">
        <v>1</v>
      </c>
      <c r="I232" t="n">
        <v>0</v>
      </c>
      <c r="J232" t="n">
        <v>0</v>
      </c>
      <c r="K232" t="n">
        <v>0</v>
      </c>
      <c r="L232" t="n">
        <v>0</v>
      </c>
      <c r="M232" t="n">
        <v>0</v>
      </c>
      <c r="N232" t="n">
        <v>0</v>
      </c>
      <c r="O232" t="n">
        <v>0</v>
      </c>
      <c r="P232" t="n">
        <v>0</v>
      </c>
      <c r="Q232" t="n">
        <v>1</v>
      </c>
      <c r="R232" s="2" t="inlineStr">
        <is>
          <t>Fläcknycklar</t>
        </is>
      </c>
      <c r="S232">
        <f>HYPERLINK("https://klasma.github.io/Logging_2321/artfynd/A 42166-2024 artfynd.xlsx", "A 42166-2024")</f>
        <v/>
      </c>
      <c r="T232">
        <f>HYPERLINK("https://klasma.github.io/Logging_2321/kartor/A 42166-2024 karta.png", "A 42166-2024")</f>
        <v/>
      </c>
      <c r="V232">
        <f>HYPERLINK("https://klasma.github.io/Logging_2321/klagomål/A 42166-2024 FSC-klagomål.docx", "A 42166-2024")</f>
        <v/>
      </c>
      <c r="W232">
        <f>HYPERLINK("https://klasma.github.io/Logging_2321/klagomålsmail/A 42166-2024 FSC-klagomål mail.docx", "A 42166-2024")</f>
        <v/>
      </c>
      <c r="X232">
        <f>HYPERLINK("https://klasma.github.io/Logging_2321/tillsyn/A 42166-2024 tillsynsbegäran.docx", "A 42166-2024")</f>
        <v/>
      </c>
      <c r="Y232">
        <f>HYPERLINK("https://klasma.github.io/Logging_2321/tillsynsmail/A 42166-2024 tillsynsbegäran mail.docx", "A 42166-2024")</f>
        <v/>
      </c>
    </row>
    <row r="233" ht="15" customHeight="1">
      <c r="A233" t="inlineStr">
        <is>
          <t>A 45144-2024</t>
        </is>
      </c>
      <c r="B233" s="1" t="n">
        <v>45575</v>
      </c>
      <c r="C233" s="1" t="n">
        <v>45781</v>
      </c>
      <c r="D233" t="inlineStr">
        <is>
          <t>JÄMTLANDS LÄN</t>
        </is>
      </c>
      <c r="E233" t="inlineStr">
        <is>
          <t>ÅRE</t>
        </is>
      </c>
      <c r="F233" t="inlineStr">
        <is>
          <t>Övriga Aktiebolag</t>
        </is>
      </c>
      <c r="G233" t="n">
        <v>14.7</v>
      </c>
      <c r="H233" t="n">
        <v>0</v>
      </c>
      <c r="I233" t="n">
        <v>0</v>
      </c>
      <c r="J233" t="n">
        <v>1</v>
      </c>
      <c r="K233" t="n">
        <v>0</v>
      </c>
      <c r="L233" t="n">
        <v>0</v>
      </c>
      <c r="M233" t="n">
        <v>0</v>
      </c>
      <c r="N233" t="n">
        <v>0</v>
      </c>
      <c r="O233" t="n">
        <v>1</v>
      </c>
      <c r="P233" t="n">
        <v>0</v>
      </c>
      <c r="Q233" t="n">
        <v>1</v>
      </c>
      <c r="R233" s="2" t="inlineStr">
        <is>
          <t>Garnlav</t>
        </is>
      </c>
      <c r="S233">
        <f>HYPERLINK("https://klasma.github.io/Logging_2321/artfynd/A 45144-2024 artfynd.xlsx", "A 45144-2024")</f>
        <v/>
      </c>
      <c r="T233">
        <f>HYPERLINK("https://klasma.github.io/Logging_2321/kartor/A 45144-2024 karta.png", "A 45144-2024")</f>
        <v/>
      </c>
      <c r="V233">
        <f>HYPERLINK("https://klasma.github.io/Logging_2321/klagomål/A 45144-2024 FSC-klagomål.docx", "A 45144-2024")</f>
        <v/>
      </c>
      <c r="W233">
        <f>HYPERLINK("https://klasma.github.io/Logging_2321/klagomålsmail/A 45144-2024 FSC-klagomål mail.docx", "A 45144-2024")</f>
        <v/>
      </c>
      <c r="X233">
        <f>HYPERLINK("https://klasma.github.io/Logging_2321/tillsyn/A 45144-2024 tillsynsbegäran.docx", "A 45144-2024")</f>
        <v/>
      </c>
      <c r="Y233">
        <f>HYPERLINK("https://klasma.github.io/Logging_2321/tillsynsmail/A 45144-2024 tillsynsbegäran mail.docx", "A 45144-2024")</f>
        <v/>
      </c>
    </row>
    <row r="234" ht="15" customHeight="1">
      <c r="A234" t="inlineStr">
        <is>
          <t>A 48187-2024</t>
        </is>
      </c>
      <c r="B234" s="1" t="n">
        <v>45590</v>
      </c>
      <c r="C234" s="1" t="n">
        <v>45781</v>
      </c>
      <c r="D234" t="inlineStr">
        <is>
          <t>JÄMTLANDS LÄN</t>
        </is>
      </c>
      <c r="E234" t="inlineStr">
        <is>
          <t>ÅRE</t>
        </is>
      </c>
      <c r="G234" t="n">
        <v>14.7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48187-2024 artfynd.xlsx", "A 48187-2024")</f>
        <v/>
      </c>
      <c r="T234">
        <f>HYPERLINK("https://klasma.github.io/Logging_2321/kartor/A 48187-2024 karta.png", "A 48187-2024")</f>
        <v/>
      </c>
      <c r="V234">
        <f>HYPERLINK("https://klasma.github.io/Logging_2321/klagomål/A 48187-2024 FSC-klagomål.docx", "A 48187-2024")</f>
        <v/>
      </c>
      <c r="W234">
        <f>HYPERLINK("https://klasma.github.io/Logging_2321/klagomålsmail/A 48187-2024 FSC-klagomål mail.docx", "A 48187-2024")</f>
        <v/>
      </c>
      <c r="X234">
        <f>HYPERLINK("https://klasma.github.io/Logging_2321/tillsyn/A 48187-2024 tillsynsbegäran.docx", "A 48187-2024")</f>
        <v/>
      </c>
      <c r="Y234">
        <f>HYPERLINK("https://klasma.github.io/Logging_2321/tillsynsmail/A 48187-2024 tillsynsbegäran mail.docx", "A 48187-2024")</f>
        <v/>
      </c>
      <c r="Z234">
        <f>HYPERLINK("https://klasma.github.io/Logging_2321/fåglar/A 48187-2024 prioriterade fågelarter.docx", "A 48187-2024")</f>
        <v/>
      </c>
    </row>
    <row r="235" ht="15" customHeight="1">
      <c r="A235" t="inlineStr">
        <is>
          <t>A 50321-2024</t>
        </is>
      </c>
      <c r="B235" s="1" t="n">
        <v>45600</v>
      </c>
      <c r="C235" s="1" t="n">
        <v>45781</v>
      </c>
      <c r="D235" t="inlineStr">
        <is>
          <t>JÄMTLANDS LÄN</t>
        </is>
      </c>
      <c r="E235" t="inlineStr">
        <is>
          <t>ÅRE</t>
        </is>
      </c>
      <c r="F235" t="inlineStr">
        <is>
          <t>Övriga Aktiebolag</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50321-2024 artfynd.xlsx", "A 50321-2024")</f>
        <v/>
      </c>
      <c r="T235">
        <f>HYPERLINK("https://klasma.github.io/Logging_2321/kartor/A 50321-2024 karta.png", "A 50321-2024")</f>
        <v/>
      </c>
      <c r="V235">
        <f>HYPERLINK("https://klasma.github.io/Logging_2321/klagomål/A 50321-2024 FSC-klagomål.docx", "A 50321-2024")</f>
        <v/>
      </c>
      <c r="W235">
        <f>HYPERLINK("https://klasma.github.io/Logging_2321/klagomålsmail/A 50321-2024 FSC-klagomål mail.docx", "A 50321-2024")</f>
        <v/>
      </c>
      <c r="X235">
        <f>HYPERLINK("https://klasma.github.io/Logging_2321/tillsyn/A 50321-2024 tillsynsbegäran.docx", "A 50321-2024")</f>
        <v/>
      </c>
      <c r="Y235">
        <f>HYPERLINK("https://klasma.github.io/Logging_2321/tillsynsmail/A 50321-2024 tillsynsbegäran mail.docx", "A 50321-2024")</f>
        <v/>
      </c>
      <c r="Z235">
        <f>HYPERLINK("https://klasma.github.io/Logging_2321/fåglar/A 50321-2024 prioriterade fågelarter.docx", "A 50321-2024")</f>
        <v/>
      </c>
    </row>
    <row r="236" ht="15" customHeight="1">
      <c r="A236" t="inlineStr">
        <is>
          <t>A 52746-2024</t>
        </is>
      </c>
      <c r="B236" s="1" t="n">
        <v>45610</v>
      </c>
      <c r="C236" s="1" t="n">
        <v>45781</v>
      </c>
      <c r="D236" t="inlineStr">
        <is>
          <t>JÄMTLANDS LÄN</t>
        </is>
      </c>
      <c r="E236" t="inlineStr">
        <is>
          <t>ÅRE</t>
        </is>
      </c>
      <c r="G236" t="n">
        <v>1.4</v>
      </c>
      <c r="H236" t="n">
        <v>1</v>
      </c>
      <c r="I236" t="n">
        <v>0</v>
      </c>
      <c r="J236" t="n">
        <v>0</v>
      </c>
      <c r="K236" t="n">
        <v>0</v>
      </c>
      <c r="L236" t="n">
        <v>0</v>
      </c>
      <c r="M236" t="n">
        <v>0</v>
      </c>
      <c r="N236" t="n">
        <v>0</v>
      </c>
      <c r="O236" t="n">
        <v>0</v>
      </c>
      <c r="P236" t="n">
        <v>0</v>
      </c>
      <c r="Q236" t="n">
        <v>1</v>
      </c>
      <c r="R236" s="2" t="inlineStr">
        <is>
          <t>Blåsippa</t>
        </is>
      </c>
      <c r="S236">
        <f>HYPERLINK("https://klasma.github.io/Logging_2321/artfynd/A 52746-2024 artfynd.xlsx", "A 52746-2024")</f>
        <v/>
      </c>
      <c r="T236">
        <f>HYPERLINK("https://klasma.github.io/Logging_2321/kartor/A 52746-2024 karta.png", "A 52746-2024")</f>
        <v/>
      </c>
      <c r="V236">
        <f>HYPERLINK("https://klasma.github.io/Logging_2321/klagomål/A 52746-2024 FSC-klagomål.docx", "A 52746-2024")</f>
        <v/>
      </c>
      <c r="W236">
        <f>HYPERLINK("https://klasma.github.io/Logging_2321/klagomålsmail/A 52746-2024 FSC-klagomål mail.docx", "A 52746-2024")</f>
        <v/>
      </c>
      <c r="X236">
        <f>HYPERLINK("https://klasma.github.io/Logging_2321/tillsyn/A 52746-2024 tillsynsbegäran.docx", "A 52746-2024")</f>
        <v/>
      </c>
      <c r="Y236">
        <f>HYPERLINK("https://klasma.github.io/Logging_2321/tillsynsmail/A 52746-2024 tillsynsbegäran mail.docx", "A 52746-2024")</f>
        <v/>
      </c>
    </row>
    <row r="237" ht="15" customHeight="1">
      <c r="A237" t="inlineStr">
        <is>
          <t>A 53462-2024</t>
        </is>
      </c>
      <c r="B237" s="1" t="n">
        <v>45614</v>
      </c>
      <c r="C237" s="1" t="n">
        <v>45781</v>
      </c>
      <c r="D237" t="inlineStr">
        <is>
          <t>JÄMTLANDS LÄN</t>
        </is>
      </c>
      <c r="E237" t="inlineStr">
        <is>
          <t>ÅRE</t>
        </is>
      </c>
      <c r="G237" t="n">
        <v>12.8</v>
      </c>
      <c r="H237" t="n">
        <v>0</v>
      </c>
      <c r="I237" t="n">
        <v>0</v>
      </c>
      <c r="J237" t="n">
        <v>1</v>
      </c>
      <c r="K237" t="n">
        <v>0</v>
      </c>
      <c r="L237" t="n">
        <v>0</v>
      </c>
      <c r="M237" t="n">
        <v>0</v>
      </c>
      <c r="N237" t="n">
        <v>0</v>
      </c>
      <c r="O237" t="n">
        <v>1</v>
      </c>
      <c r="P237" t="n">
        <v>0</v>
      </c>
      <c r="Q237" t="n">
        <v>1</v>
      </c>
      <c r="R237" s="2" t="inlineStr">
        <is>
          <t>Granticka</t>
        </is>
      </c>
      <c r="S237">
        <f>HYPERLINK("https://klasma.github.io/Logging_2321/artfynd/A 53462-2024 artfynd.xlsx", "A 53462-2024")</f>
        <v/>
      </c>
      <c r="T237">
        <f>HYPERLINK("https://klasma.github.io/Logging_2321/kartor/A 53462-2024 karta.png", "A 53462-2024")</f>
        <v/>
      </c>
      <c r="V237">
        <f>HYPERLINK("https://klasma.github.io/Logging_2321/klagomål/A 53462-2024 FSC-klagomål.docx", "A 53462-2024")</f>
        <v/>
      </c>
      <c r="W237">
        <f>HYPERLINK("https://klasma.github.io/Logging_2321/klagomålsmail/A 53462-2024 FSC-klagomål mail.docx", "A 53462-2024")</f>
        <v/>
      </c>
      <c r="X237">
        <f>HYPERLINK("https://klasma.github.io/Logging_2321/tillsyn/A 53462-2024 tillsynsbegäran.docx", "A 53462-2024")</f>
        <v/>
      </c>
      <c r="Y237">
        <f>HYPERLINK("https://klasma.github.io/Logging_2321/tillsynsmail/A 53462-2024 tillsynsbegäran mail.docx", "A 53462-2024")</f>
        <v/>
      </c>
    </row>
    <row r="238" ht="15" customHeight="1">
      <c r="A238" t="inlineStr">
        <is>
          <t>A 60316-2024</t>
        </is>
      </c>
      <c r="B238" s="1" t="n">
        <v>45643</v>
      </c>
      <c r="C238" s="1" t="n">
        <v>45781</v>
      </c>
      <c r="D238" t="inlineStr">
        <is>
          <t>JÄMTLANDS LÄN</t>
        </is>
      </c>
      <c r="E238" t="inlineStr">
        <is>
          <t>ÅRE</t>
        </is>
      </c>
      <c r="G238" t="n">
        <v>21.2</v>
      </c>
      <c r="H238" t="n">
        <v>0</v>
      </c>
      <c r="I238" t="n">
        <v>1</v>
      </c>
      <c r="J238" t="n">
        <v>0</v>
      </c>
      <c r="K238" t="n">
        <v>0</v>
      </c>
      <c r="L238" t="n">
        <v>0</v>
      </c>
      <c r="M238" t="n">
        <v>0</v>
      </c>
      <c r="N238" t="n">
        <v>0</v>
      </c>
      <c r="O238" t="n">
        <v>0</v>
      </c>
      <c r="P238" t="n">
        <v>0</v>
      </c>
      <c r="Q238" t="n">
        <v>1</v>
      </c>
      <c r="R238" s="2" t="inlineStr">
        <is>
          <t>Kransrams</t>
        </is>
      </c>
      <c r="S238">
        <f>HYPERLINK("https://klasma.github.io/Logging_2321/artfynd/A 60316-2024 artfynd.xlsx", "A 60316-2024")</f>
        <v/>
      </c>
      <c r="T238">
        <f>HYPERLINK("https://klasma.github.io/Logging_2321/kartor/A 60316-2024 karta.png", "A 60316-2024")</f>
        <v/>
      </c>
      <c r="V238">
        <f>HYPERLINK("https://klasma.github.io/Logging_2321/klagomål/A 60316-2024 FSC-klagomål.docx", "A 60316-2024")</f>
        <v/>
      </c>
      <c r="W238">
        <f>HYPERLINK("https://klasma.github.io/Logging_2321/klagomålsmail/A 60316-2024 FSC-klagomål mail.docx", "A 60316-2024")</f>
        <v/>
      </c>
      <c r="X238">
        <f>HYPERLINK("https://klasma.github.io/Logging_2321/tillsyn/A 60316-2024 tillsynsbegäran.docx", "A 60316-2024")</f>
        <v/>
      </c>
      <c r="Y238">
        <f>HYPERLINK("https://klasma.github.io/Logging_2321/tillsynsmail/A 60316-2024 tillsynsbegäran mail.docx", "A 60316-2024")</f>
        <v/>
      </c>
    </row>
    <row r="239" ht="15" customHeight="1">
      <c r="A239" t="inlineStr">
        <is>
          <t>A 4775-2025</t>
        </is>
      </c>
      <c r="B239" s="1" t="n">
        <v>45688</v>
      </c>
      <c r="C239" s="1" t="n">
        <v>45781</v>
      </c>
      <c r="D239" t="inlineStr">
        <is>
          <t>JÄMTLANDS LÄN</t>
        </is>
      </c>
      <c r="E239" t="inlineStr">
        <is>
          <t>ÅRE</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4775-2025 artfynd.xlsx", "A 4775-2025")</f>
        <v/>
      </c>
      <c r="T239">
        <f>HYPERLINK("https://klasma.github.io/Logging_2321/kartor/A 4775-2025 karta.png", "A 4775-2025")</f>
        <v/>
      </c>
      <c r="V239">
        <f>HYPERLINK("https://klasma.github.io/Logging_2321/klagomål/A 4775-2025 FSC-klagomål.docx", "A 4775-2025")</f>
        <v/>
      </c>
      <c r="W239">
        <f>HYPERLINK("https://klasma.github.io/Logging_2321/klagomålsmail/A 4775-2025 FSC-klagomål mail.docx", "A 4775-2025")</f>
        <v/>
      </c>
      <c r="X239">
        <f>HYPERLINK("https://klasma.github.io/Logging_2321/tillsyn/A 4775-2025 tillsynsbegäran.docx", "A 4775-2025")</f>
        <v/>
      </c>
      <c r="Y239">
        <f>HYPERLINK("https://klasma.github.io/Logging_2321/tillsynsmail/A 4775-2025 tillsynsbegäran mail.docx", "A 4775-2025")</f>
        <v/>
      </c>
      <c r="Z239">
        <f>HYPERLINK("https://klasma.github.io/Logging_2321/fåglar/A 4775-2025 prioriterade fågelarter.docx", "A 4775-2025")</f>
        <v/>
      </c>
    </row>
    <row r="240" ht="15" customHeight="1">
      <c r="A240" t="inlineStr">
        <is>
          <t>A 14245-2025</t>
        </is>
      </c>
      <c r="B240" s="1" t="n">
        <v>45740</v>
      </c>
      <c r="C240" s="1" t="n">
        <v>45781</v>
      </c>
      <c r="D240" t="inlineStr">
        <is>
          <t>JÄMTLANDS LÄN</t>
        </is>
      </c>
      <c r="E240" t="inlineStr">
        <is>
          <t>ÅRE</t>
        </is>
      </c>
      <c r="G240" t="n">
        <v>15.4</v>
      </c>
      <c r="H240" t="n">
        <v>1</v>
      </c>
      <c r="I240" t="n">
        <v>0</v>
      </c>
      <c r="J240" t="n">
        <v>1</v>
      </c>
      <c r="K240" t="n">
        <v>0</v>
      </c>
      <c r="L240" t="n">
        <v>0</v>
      </c>
      <c r="M240" t="n">
        <v>0</v>
      </c>
      <c r="N240" t="n">
        <v>0</v>
      </c>
      <c r="O240" t="n">
        <v>1</v>
      </c>
      <c r="P240" t="n">
        <v>0</v>
      </c>
      <c r="Q240" t="n">
        <v>1</v>
      </c>
      <c r="R240" s="2" t="inlineStr">
        <is>
          <t>Tretåig hackspett</t>
        </is>
      </c>
      <c r="S240">
        <f>HYPERLINK("https://klasma.github.io/Logging_232321/artfynd/A 14245-2025 artfynd.xlsx", "A 14245-2025")</f>
        <v/>
      </c>
      <c r="T240">
        <f>HYPERLINK("https://klasma.github.io/Logging_232321/kartor/A 14245-2025 karta.png", "A 14245-2025")</f>
        <v/>
      </c>
      <c r="V240">
        <f>HYPERLINK("https://klasma.github.io/Logging_232321/klagomål/A 14245-2025 FSC-klagomål.docx", "A 14245-2025")</f>
        <v/>
      </c>
      <c r="W240">
        <f>HYPERLINK("https://klasma.github.io/Logging_232321/klagomålsmail/A 14245-2025 FSC-klagomål mail.docx", "A 14245-2025")</f>
        <v/>
      </c>
      <c r="X240">
        <f>HYPERLINK("https://klasma.github.io/Logging_232321/tillsyn/A 14245-2025 tillsynsbegäran.docx", "A 14245-2025")</f>
        <v/>
      </c>
      <c r="Y240">
        <f>HYPERLINK("https://klasma.github.io/Logging_232321/tillsynsmail/A 14245-2025 tillsynsbegäran mail.docx", "A 14245-2025")</f>
        <v/>
      </c>
      <c r="Z240">
        <f>HYPERLINK("https://klasma.github.io/Logging_232321/fåglar/A 14245-2025 prioriterade fågelarter.docx", "A 14245-2025")</f>
        <v/>
      </c>
    </row>
    <row r="241" ht="15" customHeight="1">
      <c r="A241" t="inlineStr">
        <is>
          <t>A 15924-2025</t>
        </is>
      </c>
      <c r="B241" s="1" t="n">
        <v>45749</v>
      </c>
      <c r="C241" s="1" t="n">
        <v>45781</v>
      </c>
      <c r="D241" t="inlineStr">
        <is>
          <t>JÄMTLANDS LÄN</t>
        </is>
      </c>
      <c r="E241" t="inlineStr">
        <is>
          <t>ÅRE</t>
        </is>
      </c>
      <c r="G241" t="n">
        <v>21.9</v>
      </c>
      <c r="H241" t="n">
        <v>0</v>
      </c>
      <c r="I241" t="n">
        <v>0</v>
      </c>
      <c r="J241" t="n">
        <v>1</v>
      </c>
      <c r="K241" t="n">
        <v>0</v>
      </c>
      <c r="L241" t="n">
        <v>0</v>
      </c>
      <c r="M241" t="n">
        <v>0</v>
      </c>
      <c r="N241" t="n">
        <v>0</v>
      </c>
      <c r="O241" t="n">
        <v>1</v>
      </c>
      <c r="P241" t="n">
        <v>0</v>
      </c>
      <c r="Q241" t="n">
        <v>1</v>
      </c>
      <c r="R241" s="2" t="inlineStr">
        <is>
          <t>Granticka</t>
        </is>
      </c>
      <c r="S241">
        <f>HYPERLINK("https://klasma.github.io/Logging_232321/artfynd/A 15924-2025 artfynd.xlsx", "A 15924-2025")</f>
        <v/>
      </c>
      <c r="T241">
        <f>HYPERLINK("https://klasma.github.io/Logging_232321/kartor/A 15924-2025 karta.png", "A 15924-2025")</f>
        <v/>
      </c>
      <c r="V241">
        <f>HYPERLINK("https://klasma.github.io/Logging_232321/klagomål/A 15924-2025 FSC-klagomål.docx", "A 15924-2025")</f>
        <v/>
      </c>
      <c r="W241">
        <f>HYPERLINK("https://klasma.github.io/Logging_232321/klagomålsmail/A 15924-2025 FSC-klagomål mail.docx", "A 15924-2025")</f>
        <v/>
      </c>
      <c r="X241">
        <f>HYPERLINK("https://klasma.github.io/Logging_232321/tillsyn/A 15924-2025 tillsynsbegäran.docx", "A 15924-2025")</f>
        <v/>
      </c>
      <c r="Y241">
        <f>HYPERLINK("https://klasma.github.io/Logging_232321/tillsynsmail/A 15924-2025 tillsynsbegäran mail.docx", "A 15924-2025")</f>
        <v/>
      </c>
    </row>
    <row r="242" ht="15" customHeight="1">
      <c r="A242" t="inlineStr">
        <is>
          <t>A 21532-2019</t>
        </is>
      </c>
      <c r="B242" s="1" t="n">
        <v>43580</v>
      </c>
      <c r="C242" s="1" t="n">
        <v>45781</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21883-2019</t>
        </is>
      </c>
      <c r="B243" s="1" t="n">
        <v>43584</v>
      </c>
      <c r="C243" s="1" t="n">
        <v>45781</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22558-2019</t>
        </is>
      </c>
      <c r="B244" s="1" t="n">
        <v>43587</v>
      </c>
      <c r="C244" s="1" t="n">
        <v>45781</v>
      </c>
      <c r="D244" t="inlineStr">
        <is>
          <t>JÄMTLANDS LÄN</t>
        </is>
      </c>
      <c r="E244" t="inlineStr">
        <is>
          <t>ÅRE</t>
        </is>
      </c>
      <c r="G244" t="n">
        <v>79.09999999999999</v>
      </c>
      <c r="H244" t="n">
        <v>0</v>
      </c>
      <c r="I244" t="n">
        <v>0</v>
      </c>
      <c r="J244" t="n">
        <v>0</v>
      </c>
      <c r="K244" t="n">
        <v>0</v>
      </c>
      <c r="L244" t="n">
        <v>0</v>
      </c>
      <c r="M244" t="n">
        <v>0</v>
      </c>
      <c r="N244" t="n">
        <v>0</v>
      </c>
      <c r="O244" t="n">
        <v>0</v>
      </c>
      <c r="P244" t="n">
        <v>0</v>
      </c>
      <c r="Q244" t="n">
        <v>0</v>
      </c>
      <c r="R244" s="2" t="inlineStr"/>
    </row>
    <row r="245" ht="15" customHeight="1">
      <c r="A245" t="inlineStr">
        <is>
          <t>A 25099-2019</t>
        </is>
      </c>
      <c r="B245" s="1" t="n">
        <v>43605</v>
      </c>
      <c r="C245" s="1" t="n">
        <v>45781</v>
      </c>
      <c r="D245" t="inlineStr">
        <is>
          <t>JÄMTLANDS LÄN</t>
        </is>
      </c>
      <c r="E245" t="inlineStr">
        <is>
          <t>ÅRE</t>
        </is>
      </c>
      <c r="G245" t="n">
        <v>8.9</v>
      </c>
      <c r="H245" t="n">
        <v>0</v>
      </c>
      <c r="I245" t="n">
        <v>0</v>
      </c>
      <c r="J245" t="n">
        <v>0</v>
      </c>
      <c r="K245" t="n">
        <v>0</v>
      </c>
      <c r="L245" t="n">
        <v>0</v>
      </c>
      <c r="M245" t="n">
        <v>0</v>
      </c>
      <c r="N245" t="n">
        <v>0</v>
      </c>
      <c r="O245" t="n">
        <v>0</v>
      </c>
      <c r="P245" t="n">
        <v>0</v>
      </c>
      <c r="Q245" t="n">
        <v>0</v>
      </c>
      <c r="R245" s="2" t="inlineStr"/>
    </row>
    <row r="246" ht="15" customHeight="1">
      <c r="A246" t="inlineStr">
        <is>
          <t>A 26624-2019</t>
        </is>
      </c>
      <c r="B246" s="1" t="n">
        <v>43612</v>
      </c>
      <c r="C246" s="1" t="n">
        <v>45781</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26626-2019</t>
        </is>
      </c>
      <c r="B247" s="1" t="n">
        <v>43612</v>
      </c>
      <c r="C247" s="1" t="n">
        <v>45781</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28793-2019</t>
        </is>
      </c>
      <c r="B248" s="1" t="n">
        <v>43627</v>
      </c>
      <c r="C248" s="1" t="n">
        <v>45781</v>
      </c>
      <c r="D248" t="inlineStr">
        <is>
          <t>JÄMTLANDS LÄN</t>
        </is>
      </c>
      <c r="E248" t="inlineStr">
        <is>
          <t>ÅRE</t>
        </is>
      </c>
      <c r="G248" t="n">
        <v>7.8</v>
      </c>
      <c r="H248" t="n">
        <v>0</v>
      </c>
      <c r="I248" t="n">
        <v>0</v>
      </c>
      <c r="J248" t="n">
        <v>0</v>
      </c>
      <c r="K248" t="n">
        <v>0</v>
      </c>
      <c r="L248" t="n">
        <v>0</v>
      </c>
      <c r="M248" t="n">
        <v>0</v>
      </c>
      <c r="N248" t="n">
        <v>0</v>
      </c>
      <c r="O248" t="n">
        <v>0</v>
      </c>
      <c r="P248" t="n">
        <v>0</v>
      </c>
      <c r="Q248" t="n">
        <v>0</v>
      </c>
      <c r="R248" s="2" t="inlineStr"/>
    </row>
    <row r="249" ht="15" customHeight="1">
      <c r="A249" t="inlineStr">
        <is>
          <t>A 29272-2019</t>
        </is>
      </c>
      <c r="B249" s="1" t="n">
        <v>43629</v>
      </c>
      <c r="C249" s="1" t="n">
        <v>45781</v>
      </c>
      <c r="D249" t="inlineStr">
        <is>
          <t>JÄMTLANDS LÄN</t>
        </is>
      </c>
      <c r="E249" t="inlineStr">
        <is>
          <t>ÅRE</t>
        </is>
      </c>
      <c r="G249" t="n">
        <v>10.9</v>
      </c>
      <c r="H249" t="n">
        <v>0</v>
      </c>
      <c r="I249" t="n">
        <v>0</v>
      </c>
      <c r="J249" t="n">
        <v>0</v>
      </c>
      <c r="K249" t="n">
        <v>0</v>
      </c>
      <c r="L249" t="n">
        <v>0</v>
      </c>
      <c r="M249" t="n">
        <v>0</v>
      </c>
      <c r="N249" t="n">
        <v>0</v>
      </c>
      <c r="O249" t="n">
        <v>0</v>
      </c>
      <c r="P249" t="n">
        <v>0</v>
      </c>
      <c r="Q249" t="n">
        <v>0</v>
      </c>
      <c r="R249" s="2" t="inlineStr"/>
    </row>
    <row r="250" ht="15" customHeight="1">
      <c r="A250" t="inlineStr">
        <is>
          <t>A 29769-2019</t>
        </is>
      </c>
      <c r="B250" s="1" t="n">
        <v>43632</v>
      </c>
      <c r="C250" s="1" t="n">
        <v>45781</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29916-2019</t>
        </is>
      </c>
      <c r="B251" s="1" t="n">
        <v>43633</v>
      </c>
      <c r="C251" s="1" t="n">
        <v>45781</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30384-2019</t>
        </is>
      </c>
      <c r="B252" s="1" t="n">
        <v>43634</v>
      </c>
      <c r="C252" s="1" t="n">
        <v>45781</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33856-2019</t>
        </is>
      </c>
      <c r="B253" s="1" t="n">
        <v>43652</v>
      </c>
      <c r="C253" s="1" t="n">
        <v>45781</v>
      </c>
      <c r="D253" t="inlineStr">
        <is>
          <t>JÄMTLANDS LÄN</t>
        </is>
      </c>
      <c r="E253" t="inlineStr">
        <is>
          <t>ÅRE</t>
        </is>
      </c>
      <c r="G253" t="n">
        <v>9.6</v>
      </c>
      <c r="H253" t="n">
        <v>0</v>
      </c>
      <c r="I253" t="n">
        <v>0</v>
      </c>
      <c r="J253" t="n">
        <v>0</v>
      </c>
      <c r="K253" t="n">
        <v>0</v>
      </c>
      <c r="L253" t="n">
        <v>0</v>
      </c>
      <c r="M253" t="n">
        <v>0</v>
      </c>
      <c r="N253" t="n">
        <v>0</v>
      </c>
      <c r="O253" t="n">
        <v>0</v>
      </c>
      <c r="P253" t="n">
        <v>0</v>
      </c>
      <c r="Q253" t="n">
        <v>0</v>
      </c>
      <c r="R253" s="2" t="inlineStr"/>
    </row>
    <row r="254" ht="15" customHeight="1">
      <c r="A254" t="inlineStr">
        <is>
          <t>A 35391-2019</t>
        </is>
      </c>
      <c r="B254" s="1" t="n">
        <v>43661</v>
      </c>
      <c r="C254" s="1" t="n">
        <v>45781</v>
      </c>
      <c r="D254" t="inlineStr">
        <is>
          <t>JÄMTLANDS LÄN</t>
        </is>
      </c>
      <c r="E254" t="inlineStr">
        <is>
          <t>ÅRE</t>
        </is>
      </c>
      <c r="G254" t="n">
        <v>19.7</v>
      </c>
      <c r="H254" t="n">
        <v>0</v>
      </c>
      <c r="I254" t="n">
        <v>0</v>
      </c>
      <c r="J254" t="n">
        <v>0</v>
      </c>
      <c r="K254" t="n">
        <v>0</v>
      </c>
      <c r="L254" t="n">
        <v>0</v>
      </c>
      <c r="M254" t="n">
        <v>0</v>
      </c>
      <c r="N254" t="n">
        <v>0</v>
      </c>
      <c r="O254" t="n">
        <v>0</v>
      </c>
      <c r="P254" t="n">
        <v>0</v>
      </c>
      <c r="Q254" t="n">
        <v>0</v>
      </c>
      <c r="R254" s="2" t="inlineStr"/>
    </row>
    <row r="255" ht="15" customHeight="1">
      <c r="A255" t="inlineStr">
        <is>
          <t>A 35485-2019</t>
        </is>
      </c>
      <c r="B255" s="1" t="n">
        <v>43661</v>
      </c>
      <c r="C255" s="1" t="n">
        <v>45781</v>
      </c>
      <c r="D255" t="inlineStr">
        <is>
          <t>JÄMTLANDS LÄN</t>
        </is>
      </c>
      <c r="E255" t="inlineStr">
        <is>
          <t>ÅRE</t>
        </is>
      </c>
      <c r="G255" t="n">
        <v>5.5</v>
      </c>
      <c r="H255" t="n">
        <v>0</v>
      </c>
      <c r="I255" t="n">
        <v>0</v>
      </c>
      <c r="J255" t="n">
        <v>0</v>
      </c>
      <c r="K255" t="n">
        <v>0</v>
      </c>
      <c r="L255" t="n">
        <v>0</v>
      </c>
      <c r="M255" t="n">
        <v>0</v>
      </c>
      <c r="N255" t="n">
        <v>0</v>
      </c>
      <c r="O255" t="n">
        <v>0</v>
      </c>
      <c r="P255" t="n">
        <v>0</v>
      </c>
      <c r="Q255" t="n">
        <v>0</v>
      </c>
      <c r="R255" s="2" t="inlineStr"/>
    </row>
    <row r="256" ht="15" customHeight="1">
      <c r="A256" t="inlineStr">
        <is>
          <t>A 36975-2019</t>
        </is>
      </c>
      <c r="B256" s="1" t="n">
        <v>43676</v>
      </c>
      <c r="C256" s="1" t="n">
        <v>45781</v>
      </c>
      <c r="D256" t="inlineStr">
        <is>
          <t>JÄMTLANDS LÄN</t>
        </is>
      </c>
      <c r="E256" t="inlineStr">
        <is>
          <t>ÅRE</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41107-2019</t>
        </is>
      </c>
      <c r="B257" s="1" t="n">
        <v>43698</v>
      </c>
      <c r="C257" s="1" t="n">
        <v>45781</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42311-2019</t>
        </is>
      </c>
      <c r="B258" s="1" t="n">
        <v>43699</v>
      </c>
      <c r="C258" s="1" t="n">
        <v>45781</v>
      </c>
      <c r="D258" t="inlineStr">
        <is>
          <t>JÄMTLANDS LÄN</t>
        </is>
      </c>
      <c r="E258" t="inlineStr">
        <is>
          <t>ÅRE</t>
        </is>
      </c>
      <c r="G258" t="n">
        <v>13.7</v>
      </c>
      <c r="H258" t="n">
        <v>0</v>
      </c>
      <c r="I258" t="n">
        <v>0</v>
      </c>
      <c r="J258" t="n">
        <v>0</v>
      </c>
      <c r="K258" t="n">
        <v>0</v>
      </c>
      <c r="L258" t="n">
        <v>0</v>
      </c>
      <c r="M258" t="n">
        <v>0</v>
      </c>
      <c r="N258" t="n">
        <v>0</v>
      </c>
      <c r="O258" t="n">
        <v>0</v>
      </c>
      <c r="P258" t="n">
        <v>0</v>
      </c>
      <c r="Q258" t="n">
        <v>0</v>
      </c>
      <c r="R258" s="2" t="inlineStr"/>
    </row>
    <row r="259" ht="15" customHeight="1">
      <c r="A259" t="inlineStr">
        <is>
          <t>A 43678-2019</t>
        </is>
      </c>
      <c r="B259" s="1" t="n">
        <v>43707</v>
      </c>
      <c r="C259" s="1" t="n">
        <v>45781</v>
      </c>
      <c r="D259" t="inlineStr">
        <is>
          <t>JÄMTLANDS LÄN</t>
        </is>
      </c>
      <c r="E259" t="inlineStr">
        <is>
          <t>ÅRE</t>
        </is>
      </c>
      <c r="G259" t="n">
        <v>7.9</v>
      </c>
      <c r="H259" t="n">
        <v>0</v>
      </c>
      <c r="I259" t="n">
        <v>0</v>
      </c>
      <c r="J259" t="n">
        <v>0</v>
      </c>
      <c r="K259" t="n">
        <v>0</v>
      </c>
      <c r="L259" t="n">
        <v>0</v>
      </c>
      <c r="M259" t="n">
        <v>0</v>
      </c>
      <c r="N259" t="n">
        <v>0</v>
      </c>
      <c r="O259" t="n">
        <v>0</v>
      </c>
      <c r="P259" t="n">
        <v>0</v>
      </c>
      <c r="Q259" t="n">
        <v>0</v>
      </c>
      <c r="R259" s="2" t="inlineStr"/>
    </row>
    <row r="260" ht="15" customHeight="1">
      <c r="A260" t="inlineStr">
        <is>
          <t>A 43683-2019</t>
        </is>
      </c>
      <c r="B260" s="1" t="n">
        <v>43707</v>
      </c>
      <c r="C260" s="1" t="n">
        <v>45781</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44329-2019</t>
        </is>
      </c>
      <c r="B261" s="1" t="n">
        <v>43710</v>
      </c>
      <c r="C261" s="1" t="n">
        <v>45781</v>
      </c>
      <c r="D261" t="inlineStr">
        <is>
          <t>JÄMTLANDS LÄN</t>
        </is>
      </c>
      <c r="E261" t="inlineStr">
        <is>
          <t>ÅRE</t>
        </is>
      </c>
      <c r="G261" t="n">
        <v>2.1</v>
      </c>
      <c r="H261" t="n">
        <v>0</v>
      </c>
      <c r="I261" t="n">
        <v>0</v>
      </c>
      <c r="J261" t="n">
        <v>0</v>
      </c>
      <c r="K261" t="n">
        <v>0</v>
      </c>
      <c r="L261" t="n">
        <v>0</v>
      </c>
      <c r="M261" t="n">
        <v>0</v>
      </c>
      <c r="N261" t="n">
        <v>0</v>
      </c>
      <c r="O261" t="n">
        <v>0</v>
      </c>
      <c r="P261" t="n">
        <v>0</v>
      </c>
      <c r="Q261" t="n">
        <v>0</v>
      </c>
      <c r="R261" s="2" t="inlineStr"/>
    </row>
    <row r="262" ht="15" customHeight="1">
      <c r="A262" t="inlineStr">
        <is>
          <t>A 45798-2019</t>
        </is>
      </c>
      <c r="B262" s="1" t="n">
        <v>43717</v>
      </c>
      <c r="C262" s="1" t="n">
        <v>45781</v>
      </c>
      <c r="D262" t="inlineStr">
        <is>
          <t>JÄMTLANDS LÄN</t>
        </is>
      </c>
      <c r="E262" t="inlineStr">
        <is>
          <t>ÅRE</t>
        </is>
      </c>
      <c r="G262" t="n">
        <v>14.6</v>
      </c>
      <c r="H262" t="n">
        <v>0</v>
      </c>
      <c r="I262" t="n">
        <v>0</v>
      </c>
      <c r="J262" t="n">
        <v>0</v>
      </c>
      <c r="K262" t="n">
        <v>0</v>
      </c>
      <c r="L262" t="n">
        <v>0</v>
      </c>
      <c r="M262" t="n">
        <v>0</v>
      </c>
      <c r="N262" t="n">
        <v>0</v>
      </c>
      <c r="O262" t="n">
        <v>0</v>
      </c>
      <c r="P262" t="n">
        <v>0</v>
      </c>
      <c r="Q262" t="n">
        <v>0</v>
      </c>
      <c r="R262" s="2" t="inlineStr"/>
    </row>
    <row r="263" ht="15" customHeight="1">
      <c r="A263" t="inlineStr">
        <is>
          <t>A 47259-2019</t>
        </is>
      </c>
      <c r="B263" s="1" t="n">
        <v>43721</v>
      </c>
      <c r="C263" s="1" t="n">
        <v>45781</v>
      </c>
      <c r="D263" t="inlineStr">
        <is>
          <t>JÄMTLANDS LÄN</t>
        </is>
      </c>
      <c r="E263" t="inlineStr">
        <is>
          <t>ÅRE</t>
        </is>
      </c>
      <c r="G263" t="n">
        <v>12.7</v>
      </c>
      <c r="H263" t="n">
        <v>0</v>
      </c>
      <c r="I263" t="n">
        <v>0</v>
      </c>
      <c r="J263" t="n">
        <v>0</v>
      </c>
      <c r="K263" t="n">
        <v>0</v>
      </c>
      <c r="L263" t="n">
        <v>0</v>
      </c>
      <c r="M263" t="n">
        <v>0</v>
      </c>
      <c r="N263" t="n">
        <v>0</v>
      </c>
      <c r="O263" t="n">
        <v>0</v>
      </c>
      <c r="P263" t="n">
        <v>0</v>
      </c>
      <c r="Q263" t="n">
        <v>0</v>
      </c>
      <c r="R263" s="2" t="inlineStr"/>
    </row>
    <row r="264" ht="15" customHeight="1">
      <c r="A264" t="inlineStr">
        <is>
          <t>A 48291-2019</t>
        </is>
      </c>
      <c r="B264" s="1" t="n">
        <v>43726</v>
      </c>
      <c r="C264" s="1" t="n">
        <v>45781</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49867-2019</t>
        </is>
      </c>
      <c r="B265" s="1" t="n">
        <v>43733</v>
      </c>
      <c r="C265" s="1" t="n">
        <v>45781</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49863-2019</t>
        </is>
      </c>
      <c r="B266" s="1" t="n">
        <v>43733</v>
      </c>
      <c r="C266" s="1" t="n">
        <v>45781</v>
      </c>
      <c r="D266" t="inlineStr">
        <is>
          <t>JÄMTLANDS LÄN</t>
        </is>
      </c>
      <c r="E266" t="inlineStr">
        <is>
          <t>ÅRE</t>
        </is>
      </c>
      <c r="G266" t="n">
        <v>4.4</v>
      </c>
      <c r="H266" t="n">
        <v>0</v>
      </c>
      <c r="I266" t="n">
        <v>0</v>
      </c>
      <c r="J266" t="n">
        <v>0</v>
      </c>
      <c r="K266" t="n">
        <v>0</v>
      </c>
      <c r="L266" t="n">
        <v>0</v>
      </c>
      <c r="M266" t="n">
        <v>0</v>
      </c>
      <c r="N266" t="n">
        <v>0</v>
      </c>
      <c r="O266" t="n">
        <v>0</v>
      </c>
      <c r="P266" t="n">
        <v>0</v>
      </c>
      <c r="Q266" t="n">
        <v>0</v>
      </c>
      <c r="R266" s="2" t="inlineStr"/>
    </row>
    <row r="267" ht="15" customHeight="1">
      <c r="A267" t="inlineStr">
        <is>
          <t>A 49858-2019</t>
        </is>
      </c>
      <c r="B267" s="1" t="n">
        <v>43733</v>
      </c>
      <c r="C267" s="1" t="n">
        <v>45781</v>
      </c>
      <c r="D267" t="inlineStr">
        <is>
          <t>JÄMTLANDS LÄN</t>
        </is>
      </c>
      <c r="E267" t="inlineStr">
        <is>
          <t>ÅRE</t>
        </is>
      </c>
      <c r="G267" t="n">
        <v>0.9</v>
      </c>
      <c r="H267" t="n">
        <v>0</v>
      </c>
      <c r="I267" t="n">
        <v>0</v>
      </c>
      <c r="J267" t="n">
        <v>0</v>
      </c>
      <c r="K267" t="n">
        <v>0</v>
      </c>
      <c r="L267" t="n">
        <v>0</v>
      </c>
      <c r="M267" t="n">
        <v>0</v>
      </c>
      <c r="N267" t="n">
        <v>0</v>
      </c>
      <c r="O267" t="n">
        <v>0</v>
      </c>
      <c r="P267" t="n">
        <v>0</v>
      </c>
      <c r="Q267" t="n">
        <v>0</v>
      </c>
      <c r="R267" s="2" t="inlineStr"/>
    </row>
    <row r="268" ht="15" customHeight="1">
      <c r="A268" t="inlineStr">
        <is>
          <t>A 50012-2019</t>
        </is>
      </c>
      <c r="B268" s="1" t="n">
        <v>43733</v>
      </c>
      <c r="C268" s="1" t="n">
        <v>45781</v>
      </c>
      <c r="D268" t="inlineStr">
        <is>
          <t>JÄMTLANDS LÄN</t>
        </is>
      </c>
      <c r="E268" t="inlineStr">
        <is>
          <t>ÅRE</t>
        </is>
      </c>
      <c r="G268" t="n">
        <v>5.8</v>
      </c>
      <c r="H268" t="n">
        <v>0</v>
      </c>
      <c r="I268" t="n">
        <v>0</v>
      </c>
      <c r="J268" t="n">
        <v>0</v>
      </c>
      <c r="K268" t="n">
        <v>0</v>
      </c>
      <c r="L268" t="n">
        <v>0</v>
      </c>
      <c r="M268" t="n">
        <v>0</v>
      </c>
      <c r="N268" t="n">
        <v>0</v>
      </c>
      <c r="O268" t="n">
        <v>0</v>
      </c>
      <c r="P268" t="n">
        <v>0</v>
      </c>
      <c r="Q268" t="n">
        <v>0</v>
      </c>
      <c r="R268" s="2" t="inlineStr"/>
    </row>
    <row r="269" ht="15" customHeight="1">
      <c r="A269" t="inlineStr">
        <is>
          <t>A 52056-2019</t>
        </is>
      </c>
      <c r="B269" s="1" t="n">
        <v>43734</v>
      </c>
      <c r="C269" s="1" t="n">
        <v>45781</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52047-2019</t>
        </is>
      </c>
      <c r="B270" s="1" t="n">
        <v>43734</v>
      </c>
      <c r="C270" s="1" t="n">
        <v>45781</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51818-2019</t>
        </is>
      </c>
      <c r="B271" s="1" t="n">
        <v>43741</v>
      </c>
      <c r="C271" s="1" t="n">
        <v>45781</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55358-2019</t>
        </is>
      </c>
      <c r="B272" s="1" t="n">
        <v>43756</v>
      </c>
      <c r="C272" s="1" t="n">
        <v>45781</v>
      </c>
      <c r="D272" t="inlineStr">
        <is>
          <t>JÄMTLANDS LÄN</t>
        </is>
      </c>
      <c r="E272" t="inlineStr">
        <is>
          <t>ÅRE</t>
        </is>
      </c>
      <c r="G272" t="n">
        <v>4.9</v>
      </c>
      <c r="H272" t="n">
        <v>0</v>
      </c>
      <c r="I272" t="n">
        <v>0</v>
      </c>
      <c r="J272" t="n">
        <v>0</v>
      </c>
      <c r="K272" t="n">
        <v>0</v>
      </c>
      <c r="L272" t="n">
        <v>0</v>
      </c>
      <c r="M272" t="n">
        <v>0</v>
      </c>
      <c r="N272" t="n">
        <v>0</v>
      </c>
      <c r="O272" t="n">
        <v>0</v>
      </c>
      <c r="P272" t="n">
        <v>0</v>
      </c>
      <c r="Q272" t="n">
        <v>0</v>
      </c>
      <c r="R272" s="2" t="inlineStr"/>
    </row>
    <row r="273" ht="15" customHeight="1">
      <c r="A273" t="inlineStr">
        <is>
          <t>A 57825-2019</t>
        </is>
      </c>
      <c r="B273" s="1" t="n">
        <v>43768</v>
      </c>
      <c r="C273" s="1" t="n">
        <v>45781</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59815-2019</t>
        </is>
      </c>
      <c r="B274" s="1" t="n">
        <v>43774</v>
      </c>
      <c r="C274" s="1" t="n">
        <v>45781</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60093-2019</t>
        </is>
      </c>
      <c r="B275" s="1" t="n">
        <v>43777</v>
      </c>
      <c r="C275" s="1" t="n">
        <v>45781</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62359-2019</t>
        </is>
      </c>
      <c r="B276" s="1" t="n">
        <v>43788</v>
      </c>
      <c r="C276" s="1" t="n">
        <v>45781</v>
      </c>
      <c r="D276" t="inlineStr">
        <is>
          <t>JÄMTLANDS LÄN</t>
        </is>
      </c>
      <c r="E276" t="inlineStr">
        <is>
          <t>ÅRE</t>
        </is>
      </c>
      <c r="F276" t="inlineStr">
        <is>
          <t>Övriga Aktiebolag</t>
        </is>
      </c>
      <c r="G276" t="n">
        <v>7</v>
      </c>
      <c r="H276" t="n">
        <v>0</v>
      </c>
      <c r="I276" t="n">
        <v>0</v>
      </c>
      <c r="J276" t="n">
        <v>0</v>
      </c>
      <c r="K276" t="n">
        <v>0</v>
      </c>
      <c r="L276" t="n">
        <v>0</v>
      </c>
      <c r="M276" t="n">
        <v>0</v>
      </c>
      <c r="N276" t="n">
        <v>0</v>
      </c>
      <c r="O276" t="n">
        <v>0</v>
      </c>
      <c r="P276" t="n">
        <v>0</v>
      </c>
      <c r="Q276" t="n">
        <v>0</v>
      </c>
      <c r="R276" s="2" t="inlineStr"/>
    </row>
    <row r="277" ht="15" customHeight="1">
      <c r="A277" t="inlineStr">
        <is>
          <t>A 62326-2019</t>
        </is>
      </c>
      <c r="B277" s="1" t="n">
        <v>43788</v>
      </c>
      <c r="C277" s="1" t="n">
        <v>45781</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63729-2019</t>
        </is>
      </c>
      <c r="B278" s="1" t="n">
        <v>43788</v>
      </c>
      <c r="C278" s="1" t="n">
        <v>45781</v>
      </c>
      <c r="D278" t="inlineStr">
        <is>
          <t>JÄMTLANDS LÄN</t>
        </is>
      </c>
      <c r="E278" t="inlineStr">
        <is>
          <t>ÅRE</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65986-2019</t>
        </is>
      </c>
      <c r="B279" s="1" t="n">
        <v>43801</v>
      </c>
      <c r="C279" s="1" t="n">
        <v>45781</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66395-2019</t>
        </is>
      </c>
      <c r="B280" s="1" t="n">
        <v>43808</v>
      </c>
      <c r="C280" s="1" t="n">
        <v>45781</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66774-2019</t>
        </is>
      </c>
      <c r="B281" s="1" t="n">
        <v>43810</v>
      </c>
      <c r="C281" s="1" t="n">
        <v>45781</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66787-2019</t>
        </is>
      </c>
      <c r="B282" s="1" t="n">
        <v>43810</v>
      </c>
      <c r="C282" s="1" t="n">
        <v>45781</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67988-2019</t>
        </is>
      </c>
      <c r="B283" s="1" t="n">
        <v>43811</v>
      </c>
      <c r="C283" s="1" t="n">
        <v>45781</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68076-2019</t>
        </is>
      </c>
      <c r="B284" s="1" t="n">
        <v>43816</v>
      </c>
      <c r="C284" s="1" t="n">
        <v>45781</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68315-2019</t>
        </is>
      </c>
      <c r="B285" s="1" t="n">
        <v>43817</v>
      </c>
      <c r="C285" s="1" t="n">
        <v>45781</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824-2020</t>
        </is>
      </c>
      <c r="B286" s="1" t="n">
        <v>43818</v>
      </c>
      <c r="C286" s="1" t="n">
        <v>45781</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70-2020</t>
        </is>
      </c>
      <c r="B287" s="1" t="n">
        <v>43832</v>
      </c>
      <c r="C287" s="1" t="n">
        <v>45781</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72-2020</t>
        </is>
      </c>
      <c r="B288" s="1" t="n">
        <v>43832</v>
      </c>
      <c r="C288" s="1" t="n">
        <v>45781</v>
      </c>
      <c r="D288" t="inlineStr">
        <is>
          <t>JÄMTLANDS LÄN</t>
        </is>
      </c>
      <c r="E288" t="inlineStr">
        <is>
          <t>ÅRE</t>
        </is>
      </c>
      <c r="G288" t="n">
        <v>4.7</v>
      </c>
      <c r="H288" t="n">
        <v>0</v>
      </c>
      <c r="I288" t="n">
        <v>0</v>
      </c>
      <c r="J288" t="n">
        <v>0</v>
      </c>
      <c r="K288" t="n">
        <v>0</v>
      </c>
      <c r="L288" t="n">
        <v>0</v>
      </c>
      <c r="M288" t="n">
        <v>0</v>
      </c>
      <c r="N288" t="n">
        <v>0</v>
      </c>
      <c r="O288" t="n">
        <v>0</v>
      </c>
      <c r="P288" t="n">
        <v>0</v>
      </c>
      <c r="Q288" t="n">
        <v>0</v>
      </c>
      <c r="R288" s="2" t="inlineStr"/>
    </row>
    <row r="289" ht="15" customHeight="1">
      <c r="A289" t="inlineStr">
        <is>
          <t>A 67-2020</t>
        </is>
      </c>
      <c r="B289" s="1" t="n">
        <v>43832</v>
      </c>
      <c r="C289" s="1" t="n">
        <v>45781</v>
      </c>
      <c r="D289" t="inlineStr">
        <is>
          <t>JÄMTLANDS LÄN</t>
        </is>
      </c>
      <c r="E289" t="inlineStr">
        <is>
          <t>ÅRE</t>
        </is>
      </c>
      <c r="G289" t="n">
        <v>0.4</v>
      </c>
      <c r="H289" t="n">
        <v>0</v>
      </c>
      <c r="I289" t="n">
        <v>0</v>
      </c>
      <c r="J289" t="n">
        <v>0</v>
      </c>
      <c r="K289" t="n">
        <v>0</v>
      </c>
      <c r="L289" t="n">
        <v>0</v>
      </c>
      <c r="M289" t="n">
        <v>0</v>
      </c>
      <c r="N289" t="n">
        <v>0</v>
      </c>
      <c r="O289" t="n">
        <v>0</v>
      </c>
      <c r="P289" t="n">
        <v>0</v>
      </c>
      <c r="Q289" t="n">
        <v>0</v>
      </c>
      <c r="R289" s="2" t="inlineStr"/>
    </row>
    <row r="290" ht="15" customHeight="1">
      <c r="A290" t="inlineStr">
        <is>
          <t>A 1819-2020</t>
        </is>
      </c>
      <c r="B290" s="1" t="n">
        <v>43833</v>
      </c>
      <c r="C290" s="1" t="n">
        <v>45781</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3838-2020</t>
        </is>
      </c>
      <c r="B291" s="1" t="n">
        <v>43854</v>
      </c>
      <c r="C291" s="1" t="n">
        <v>45781</v>
      </c>
      <c r="D291" t="inlineStr">
        <is>
          <t>JÄMTLANDS LÄN</t>
        </is>
      </c>
      <c r="E291" t="inlineStr">
        <is>
          <t>ÅRE</t>
        </is>
      </c>
      <c r="G291" t="n">
        <v>3.2</v>
      </c>
      <c r="H291" t="n">
        <v>0</v>
      </c>
      <c r="I291" t="n">
        <v>0</v>
      </c>
      <c r="J291" t="n">
        <v>0</v>
      </c>
      <c r="K291" t="n">
        <v>0</v>
      </c>
      <c r="L291" t="n">
        <v>0</v>
      </c>
      <c r="M291" t="n">
        <v>0</v>
      </c>
      <c r="N291" t="n">
        <v>0</v>
      </c>
      <c r="O291" t="n">
        <v>0</v>
      </c>
      <c r="P291" t="n">
        <v>0</v>
      </c>
      <c r="Q291" t="n">
        <v>0</v>
      </c>
      <c r="R291" s="2" t="inlineStr"/>
    </row>
    <row r="292" ht="15" customHeight="1">
      <c r="A292" t="inlineStr">
        <is>
          <t>A 13402-2020</t>
        </is>
      </c>
      <c r="B292" s="1" t="n">
        <v>43902</v>
      </c>
      <c r="C292" s="1" t="n">
        <v>45781</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13408-2020</t>
        </is>
      </c>
      <c r="B293" s="1" t="n">
        <v>43902</v>
      </c>
      <c r="C293" s="1" t="n">
        <v>45781</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14753-2020</t>
        </is>
      </c>
      <c r="B294" s="1" t="n">
        <v>43909</v>
      </c>
      <c r="C294" s="1" t="n">
        <v>45781</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20538-2020</t>
        </is>
      </c>
      <c r="B295" s="1" t="n">
        <v>43948</v>
      </c>
      <c r="C295" s="1" t="n">
        <v>45781</v>
      </c>
      <c r="D295" t="inlineStr">
        <is>
          <t>JÄMTLANDS LÄN</t>
        </is>
      </c>
      <c r="E295" t="inlineStr">
        <is>
          <t>ÅRE</t>
        </is>
      </c>
      <c r="G295" t="n">
        <v>3.7</v>
      </c>
      <c r="H295" t="n">
        <v>0</v>
      </c>
      <c r="I295" t="n">
        <v>0</v>
      </c>
      <c r="J295" t="n">
        <v>0</v>
      </c>
      <c r="K295" t="n">
        <v>0</v>
      </c>
      <c r="L295" t="n">
        <v>0</v>
      </c>
      <c r="M295" t="n">
        <v>0</v>
      </c>
      <c r="N295" t="n">
        <v>0</v>
      </c>
      <c r="O295" t="n">
        <v>0</v>
      </c>
      <c r="P295" t="n">
        <v>0</v>
      </c>
      <c r="Q295" t="n">
        <v>0</v>
      </c>
      <c r="R295" s="2" t="inlineStr"/>
    </row>
    <row r="296" ht="15" customHeight="1">
      <c r="A296" t="inlineStr">
        <is>
          <t>A 21448-2020</t>
        </is>
      </c>
      <c r="B296" s="1" t="n">
        <v>43956</v>
      </c>
      <c r="C296" s="1" t="n">
        <v>45781</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23393-2020</t>
        </is>
      </c>
      <c r="B297" s="1" t="n">
        <v>43968</v>
      </c>
      <c r="C297" s="1" t="n">
        <v>45781</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24436-2020</t>
        </is>
      </c>
      <c r="B298" s="1" t="n">
        <v>43976</v>
      </c>
      <c r="C298" s="1" t="n">
        <v>45781</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25587-2020</t>
        </is>
      </c>
      <c r="B299" s="1" t="n">
        <v>43983</v>
      </c>
      <c r="C299" s="1" t="n">
        <v>45781</v>
      </c>
      <c r="D299" t="inlineStr">
        <is>
          <t>JÄMTLANDS LÄN</t>
        </is>
      </c>
      <c r="E299" t="inlineStr">
        <is>
          <t>ÅRE</t>
        </is>
      </c>
      <c r="G299" t="n">
        <v>10.3</v>
      </c>
      <c r="H299" t="n">
        <v>0</v>
      </c>
      <c r="I299" t="n">
        <v>0</v>
      </c>
      <c r="J299" t="n">
        <v>0</v>
      </c>
      <c r="K299" t="n">
        <v>0</v>
      </c>
      <c r="L299" t="n">
        <v>0</v>
      </c>
      <c r="M299" t="n">
        <v>0</v>
      </c>
      <c r="N299" t="n">
        <v>0</v>
      </c>
      <c r="O299" t="n">
        <v>0</v>
      </c>
      <c r="P299" t="n">
        <v>0</v>
      </c>
      <c r="Q299" t="n">
        <v>0</v>
      </c>
      <c r="R299" s="2" t="inlineStr"/>
    </row>
    <row r="300" ht="15" customHeight="1">
      <c r="A300" t="inlineStr">
        <is>
          <t>A 25592-2020</t>
        </is>
      </c>
      <c r="B300" s="1" t="n">
        <v>43983</v>
      </c>
      <c r="C300" s="1" t="n">
        <v>45781</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27292-2020</t>
        </is>
      </c>
      <c r="B301" s="1" t="n">
        <v>43992</v>
      </c>
      <c r="C301" s="1" t="n">
        <v>45781</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27369-2020</t>
        </is>
      </c>
      <c r="B302" s="1" t="n">
        <v>43992</v>
      </c>
      <c r="C302" s="1" t="n">
        <v>45781</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28422-2020</t>
        </is>
      </c>
      <c r="B303" s="1" t="n">
        <v>43998</v>
      </c>
      <c r="C303" s="1" t="n">
        <v>45781</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28385-2020</t>
        </is>
      </c>
      <c r="B304" s="1" t="n">
        <v>43998</v>
      </c>
      <c r="C304" s="1" t="n">
        <v>45781</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28869-2020</t>
        </is>
      </c>
      <c r="B305" s="1" t="n">
        <v>44000</v>
      </c>
      <c r="C305" s="1" t="n">
        <v>45781</v>
      </c>
      <c r="D305" t="inlineStr">
        <is>
          <t>JÄMTLANDS LÄN</t>
        </is>
      </c>
      <c r="E305" t="inlineStr">
        <is>
          <t>ÅRE</t>
        </is>
      </c>
      <c r="F305" t="inlineStr">
        <is>
          <t>Kyrkan</t>
        </is>
      </c>
      <c r="G305" t="n">
        <v>1.7</v>
      </c>
      <c r="H305" t="n">
        <v>0</v>
      </c>
      <c r="I305" t="n">
        <v>0</v>
      </c>
      <c r="J305" t="n">
        <v>0</v>
      </c>
      <c r="K305" t="n">
        <v>0</v>
      </c>
      <c r="L305" t="n">
        <v>0</v>
      </c>
      <c r="M305" t="n">
        <v>0</v>
      </c>
      <c r="N305" t="n">
        <v>0</v>
      </c>
      <c r="O305" t="n">
        <v>0</v>
      </c>
      <c r="P305" t="n">
        <v>0</v>
      </c>
      <c r="Q305" t="n">
        <v>0</v>
      </c>
      <c r="R305" s="2" t="inlineStr"/>
    </row>
    <row r="306" ht="15" customHeight="1">
      <c r="A306" t="inlineStr">
        <is>
          <t>A 29083-2020</t>
        </is>
      </c>
      <c r="B306" s="1" t="n">
        <v>44002</v>
      </c>
      <c r="C306" s="1" t="n">
        <v>45781</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29080-2020</t>
        </is>
      </c>
      <c r="B307" s="1" t="n">
        <v>44002</v>
      </c>
      <c r="C307" s="1" t="n">
        <v>45781</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33239-2020</t>
        </is>
      </c>
      <c r="B308" s="1" t="n">
        <v>44022</v>
      </c>
      <c r="C308" s="1" t="n">
        <v>45781</v>
      </c>
      <c r="D308" t="inlineStr">
        <is>
          <t>JÄMTLANDS LÄN</t>
        </is>
      </c>
      <c r="E308" t="inlineStr">
        <is>
          <t>ÅRE</t>
        </is>
      </c>
      <c r="G308" t="n">
        <v>3</v>
      </c>
      <c r="H308" t="n">
        <v>0</v>
      </c>
      <c r="I308" t="n">
        <v>0</v>
      </c>
      <c r="J308" t="n">
        <v>0</v>
      </c>
      <c r="K308" t="n">
        <v>0</v>
      </c>
      <c r="L308" t="n">
        <v>0</v>
      </c>
      <c r="M308" t="n">
        <v>0</v>
      </c>
      <c r="N308" t="n">
        <v>0</v>
      </c>
      <c r="O308" t="n">
        <v>0</v>
      </c>
      <c r="P308" t="n">
        <v>0</v>
      </c>
      <c r="Q308" t="n">
        <v>0</v>
      </c>
      <c r="R308" s="2" t="inlineStr"/>
    </row>
    <row r="309" ht="15" customHeight="1">
      <c r="A309" t="inlineStr">
        <is>
          <t>A 33530-2020</t>
        </is>
      </c>
      <c r="B309" s="1" t="n">
        <v>44025</v>
      </c>
      <c r="C309" s="1" t="n">
        <v>45781</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34013-2020</t>
        </is>
      </c>
      <c r="B310" s="1" t="n">
        <v>44028</v>
      </c>
      <c r="C310" s="1" t="n">
        <v>45781</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34529-2020</t>
        </is>
      </c>
      <c r="B311" s="1" t="n">
        <v>44033</v>
      </c>
      <c r="C311" s="1" t="n">
        <v>45781</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34678-2020</t>
        </is>
      </c>
      <c r="B312" s="1" t="n">
        <v>44033</v>
      </c>
      <c r="C312" s="1" t="n">
        <v>45781</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34640-2020</t>
        </is>
      </c>
      <c r="B313" s="1" t="n">
        <v>44034</v>
      </c>
      <c r="C313" s="1" t="n">
        <v>45781</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35849-2020</t>
        </is>
      </c>
      <c r="B314" s="1" t="n">
        <v>44047</v>
      </c>
      <c r="C314" s="1" t="n">
        <v>45781</v>
      </c>
      <c r="D314" t="inlineStr">
        <is>
          <t>JÄMTLANDS LÄN</t>
        </is>
      </c>
      <c r="E314" t="inlineStr">
        <is>
          <t>ÅRE</t>
        </is>
      </c>
      <c r="G314" t="n">
        <v>21.3</v>
      </c>
      <c r="H314" t="n">
        <v>0</v>
      </c>
      <c r="I314" t="n">
        <v>0</v>
      </c>
      <c r="J314" t="n">
        <v>0</v>
      </c>
      <c r="K314" t="n">
        <v>0</v>
      </c>
      <c r="L314" t="n">
        <v>0</v>
      </c>
      <c r="M314" t="n">
        <v>0</v>
      </c>
      <c r="N314" t="n">
        <v>0</v>
      </c>
      <c r="O314" t="n">
        <v>0</v>
      </c>
      <c r="P314" t="n">
        <v>0</v>
      </c>
      <c r="Q314" t="n">
        <v>0</v>
      </c>
      <c r="R314" s="2" t="inlineStr"/>
    </row>
    <row r="315" ht="15" customHeight="1">
      <c r="A315" t="inlineStr">
        <is>
          <t>A 36506-2020</t>
        </is>
      </c>
      <c r="B315" s="1" t="n">
        <v>44050</v>
      </c>
      <c r="C315" s="1" t="n">
        <v>45781</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36501-2020</t>
        </is>
      </c>
      <c r="B316" s="1" t="n">
        <v>44050</v>
      </c>
      <c r="C316" s="1" t="n">
        <v>45781</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38454-2020</t>
        </is>
      </c>
      <c r="B317" s="1" t="n">
        <v>44060</v>
      </c>
      <c r="C317" s="1" t="n">
        <v>45781</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38455-2020</t>
        </is>
      </c>
      <c r="B318" s="1" t="n">
        <v>44060</v>
      </c>
      <c r="C318" s="1" t="n">
        <v>45781</v>
      </c>
      <c r="D318" t="inlineStr">
        <is>
          <t>JÄMTLANDS LÄN</t>
        </is>
      </c>
      <c r="E318" t="inlineStr">
        <is>
          <t>ÅRE</t>
        </is>
      </c>
      <c r="G318" t="n">
        <v>2.1</v>
      </c>
      <c r="H318" t="n">
        <v>0</v>
      </c>
      <c r="I318" t="n">
        <v>0</v>
      </c>
      <c r="J318" t="n">
        <v>0</v>
      </c>
      <c r="K318" t="n">
        <v>0</v>
      </c>
      <c r="L318" t="n">
        <v>0</v>
      </c>
      <c r="M318" t="n">
        <v>0</v>
      </c>
      <c r="N318" t="n">
        <v>0</v>
      </c>
      <c r="O318" t="n">
        <v>0</v>
      </c>
      <c r="P318" t="n">
        <v>0</v>
      </c>
      <c r="Q318" t="n">
        <v>0</v>
      </c>
      <c r="R318" s="2" t="inlineStr"/>
    </row>
    <row r="319" ht="15" customHeight="1">
      <c r="A319" t="inlineStr">
        <is>
          <t>A 40148-2020</t>
        </is>
      </c>
      <c r="B319" s="1" t="n">
        <v>44068</v>
      </c>
      <c r="C319" s="1" t="n">
        <v>45781</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42337-2020</t>
        </is>
      </c>
      <c r="B320" s="1" t="n">
        <v>44076</v>
      </c>
      <c r="C320" s="1" t="n">
        <v>45781</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42643-2020</t>
        </is>
      </c>
      <c r="B321" s="1" t="n">
        <v>44077</v>
      </c>
      <c r="C321" s="1" t="n">
        <v>45781</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42634-2020</t>
        </is>
      </c>
      <c r="B322" s="1" t="n">
        <v>44077</v>
      </c>
      <c r="C322" s="1" t="n">
        <v>45781</v>
      </c>
      <c r="D322" t="inlineStr">
        <is>
          <t>JÄMTLANDS LÄN</t>
        </is>
      </c>
      <c r="E322" t="inlineStr">
        <is>
          <t>ÅRE</t>
        </is>
      </c>
      <c r="G322" t="n">
        <v>3.7</v>
      </c>
      <c r="H322" t="n">
        <v>0</v>
      </c>
      <c r="I322" t="n">
        <v>0</v>
      </c>
      <c r="J322" t="n">
        <v>0</v>
      </c>
      <c r="K322" t="n">
        <v>0</v>
      </c>
      <c r="L322" t="n">
        <v>0</v>
      </c>
      <c r="M322" t="n">
        <v>0</v>
      </c>
      <c r="N322" t="n">
        <v>0</v>
      </c>
      <c r="O322" t="n">
        <v>0</v>
      </c>
      <c r="P322" t="n">
        <v>0</v>
      </c>
      <c r="Q322" t="n">
        <v>0</v>
      </c>
      <c r="R322" s="2" t="inlineStr"/>
    </row>
    <row r="323" ht="15" customHeight="1">
      <c r="A323" t="inlineStr">
        <is>
          <t>A 43167-2020</t>
        </is>
      </c>
      <c r="B323" s="1" t="n">
        <v>44077</v>
      </c>
      <c r="C323" s="1" t="n">
        <v>45781</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42650-2020</t>
        </is>
      </c>
      <c r="B324" s="1" t="n">
        <v>44077</v>
      </c>
      <c r="C324" s="1" t="n">
        <v>45781</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46982-2020</t>
        </is>
      </c>
      <c r="B325" s="1" t="n">
        <v>44096</v>
      </c>
      <c r="C325" s="1" t="n">
        <v>45781</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48177-2020</t>
        </is>
      </c>
      <c r="B326" s="1" t="n">
        <v>44102</v>
      </c>
      <c r="C326" s="1" t="n">
        <v>45781</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49661-2020</t>
        </is>
      </c>
      <c r="B327" s="1" t="n">
        <v>44105</v>
      </c>
      <c r="C327" s="1" t="n">
        <v>45781</v>
      </c>
      <c r="D327" t="inlineStr">
        <is>
          <t>JÄMTLANDS LÄN</t>
        </is>
      </c>
      <c r="E327" t="inlineStr">
        <is>
          <t>ÅRE</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49744-2020</t>
        </is>
      </c>
      <c r="B328" s="1" t="n">
        <v>44106</v>
      </c>
      <c r="C328" s="1" t="n">
        <v>45781</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49748-2020</t>
        </is>
      </c>
      <c r="B329" s="1" t="n">
        <v>44106</v>
      </c>
      <c r="C329" s="1" t="n">
        <v>45781</v>
      </c>
      <c r="D329" t="inlineStr">
        <is>
          <t>JÄMTLANDS LÄN</t>
        </is>
      </c>
      <c r="E329" t="inlineStr">
        <is>
          <t>ÅRE</t>
        </is>
      </c>
      <c r="G329" t="n">
        <v>13.4</v>
      </c>
      <c r="H329" t="n">
        <v>0</v>
      </c>
      <c r="I329" t="n">
        <v>0</v>
      </c>
      <c r="J329" t="n">
        <v>0</v>
      </c>
      <c r="K329" t="n">
        <v>0</v>
      </c>
      <c r="L329" t="n">
        <v>0</v>
      </c>
      <c r="M329" t="n">
        <v>0</v>
      </c>
      <c r="N329" t="n">
        <v>0</v>
      </c>
      <c r="O329" t="n">
        <v>0</v>
      </c>
      <c r="P329" t="n">
        <v>0</v>
      </c>
      <c r="Q329" t="n">
        <v>0</v>
      </c>
      <c r="R329" s="2" t="inlineStr"/>
    </row>
    <row r="330" ht="15" customHeight="1">
      <c r="A330" t="inlineStr">
        <is>
          <t>A 49747-2020</t>
        </is>
      </c>
      <c r="B330" s="1" t="n">
        <v>44106</v>
      </c>
      <c r="C330" s="1" t="n">
        <v>45781</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52548-2020</t>
        </is>
      </c>
      <c r="B331" s="1" t="n">
        <v>44116</v>
      </c>
      <c r="C331" s="1" t="n">
        <v>45781</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53042-2020</t>
        </is>
      </c>
      <c r="B332" s="1" t="n">
        <v>44120</v>
      </c>
      <c r="C332" s="1" t="n">
        <v>45781</v>
      </c>
      <c r="D332" t="inlineStr">
        <is>
          <t>JÄMTLANDS LÄN</t>
        </is>
      </c>
      <c r="E332" t="inlineStr">
        <is>
          <t>ÅRE</t>
        </is>
      </c>
      <c r="G332" t="n">
        <v>17.1</v>
      </c>
      <c r="H332" t="n">
        <v>0</v>
      </c>
      <c r="I332" t="n">
        <v>0</v>
      </c>
      <c r="J332" t="n">
        <v>0</v>
      </c>
      <c r="K332" t="n">
        <v>0</v>
      </c>
      <c r="L332" t="n">
        <v>0</v>
      </c>
      <c r="M332" t="n">
        <v>0</v>
      </c>
      <c r="N332" t="n">
        <v>0</v>
      </c>
      <c r="O332" t="n">
        <v>0</v>
      </c>
      <c r="P332" t="n">
        <v>0</v>
      </c>
      <c r="Q332" t="n">
        <v>0</v>
      </c>
      <c r="R332" s="2" t="inlineStr"/>
    </row>
    <row r="333" ht="15" customHeight="1">
      <c r="A333" t="inlineStr">
        <is>
          <t>A 54015-2020</t>
        </is>
      </c>
      <c r="B333" s="1" t="n">
        <v>44125</v>
      </c>
      <c r="C333" s="1" t="n">
        <v>45781</v>
      </c>
      <c r="D333" t="inlineStr">
        <is>
          <t>JÄMTLANDS LÄN</t>
        </is>
      </c>
      <c r="E333" t="inlineStr">
        <is>
          <t>ÅRE</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54945-2020</t>
        </is>
      </c>
      <c r="B334" s="1" t="n">
        <v>44129</v>
      </c>
      <c r="C334" s="1" t="n">
        <v>45781</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54944-2020</t>
        </is>
      </c>
      <c r="B335" s="1" t="n">
        <v>44129</v>
      </c>
      <c r="C335" s="1" t="n">
        <v>45781</v>
      </c>
      <c r="D335" t="inlineStr">
        <is>
          <t>JÄMTLANDS LÄN</t>
        </is>
      </c>
      <c r="E335" t="inlineStr">
        <is>
          <t>ÅRE</t>
        </is>
      </c>
      <c r="G335" t="n">
        <v>0.3</v>
      </c>
      <c r="H335" t="n">
        <v>0</v>
      </c>
      <c r="I335" t="n">
        <v>0</v>
      </c>
      <c r="J335" t="n">
        <v>0</v>
      </c>
      <c r="K335" t="n">
        <v>0</v>
      </c>
      <c r="L335" t="n">
        <v>0</v>
      </c>
      <c r="M335" t="n">
        <v>0</v>
      </c>
      <c r="N335" t="n">
        <v>0</v>
      </c>
      <c r="O335" t="n">
        <v>0</v>
      </c>
      <c r="P335" t="n">
        <v>0</v>
      </c>
      <c r="Q335" t="n">
        <v>0</v>
      </c>
      <c r="R335" s="2" t="inlineStr"/>
    </row>
    <row r="336" ht="15" customHeight="1">
      <c r="A336" t="inlineStr">
        <is>
          <t>A 56352-2020</t>
        </is>
      </c>
      <c r="B336" s="1" t="n">
        <v>44135</v>
      </c>
      <c r="C336" s="1" t="n">
        <v>45781</v>
      </c>
      <c r="D336" t="inlineStr">
        <is>
          <t>JÄMTLANDS LÄN</t>
        </is>
      </c>
      <c r="E336" t="inlineStr">
        <is>
          <t>ÅRE</t>
        </is>
      </c>
      <c r="G336" t="n">
        <v>95.09999999999999</v>
      </c>
      <c r="H336" t="n">
        <v>0</v>
      </c>
      <c r="I336" t="n">
        <v>0</v>
      </c>
      <c r="J336" t="n">
        <v>0</v>
      </c>
      <c r="K336" t="n">
        <v>0</v>
      </c>
      <c r="L336" t="n">
        <v>0</v>
      </c>
      <c r="M336" t="n">
        <v>0</v>
      </c>
      <c r="N336" t="n">
        <v>0</v>
      </c>
      <c r="O336" t="n">
        <v>0</v>
      </c>
      <c r="P336" t="n">
        <v>0</v>
      </c>
      <c r="Q336" t="n">
        <v>0</v>
      </c>
      <c r="R336" s="2" t="inlineStr"/>
    </row>
    <row r="337" ht="15" customHeight="1">
      <c r="A337" t="inlineStr">
        <is>
          <t>A 57578-2020</t>
        </is>
      </c>
      <c r="B337" s="1" t="n">
        <v>44140</v>
      </c>
      <c r="C337" s="1" t="n">
        <v>45781</v>
      </c>
      <c r="D337" t="inlineStr">
        <is>
          <t>JÄMTLANDS LÄN</t>
        </is>
      </c>
      <c r="E337" t="inlineStr">
        <is>
          <t>ÅRE</t>
        </is>
      </c>
      <c r="G337" t="n">
        <v>94.40000000000001</v>
      </c>
      <c r="H337" t="n">
        <v>0</v>
      </c>
      <c r="I337" t="n">
        <v>0</v>
      </c>
      <c r="J337" t="n">
        <v>0</v>
      </c>
      <c r="K337" t="n">
        <v>0</v>
      </c>
      <c r="L337" t="n">
        <v>0</v>
      </c>
      <c r="M337" t="n">
        <v>0</v>
      </c>
      <c r="N337" t="n">
        <v>0</v>
      </c>
      <c r="O337" t="n">
        <v>0</v>
      </c>
      <c r="P337" t="n">
        <v>0</v>
      </c>
      <c r="Q337" t="n">
        <v>0</v>
      </c>
      <c r="R337" s="2" t="inlineStr"/>
    </row>
    <row r="338" ht="15" customHeight="1">
      <c r="A338" t="inlineStr">
        <is>
          <t>A 57594-2020</t>
        </is>
      </c>
      <c r="B338" s="1" t="n">
        <v>44140</v>
      </c>
      <c r="C338" s="1" t="n">
        <v>45781</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57586-2020</t>
        </is>
      </c>
      <c r="B339" s="1" t="n">
        <v>44140</v>
      </c>
      <c r="C339" s="1" t="n">
        <v>45781</v>
      </c>
      <c r="D339" t="inlineStr">
        <is>
          <t>JÄMTLANDS LÄN</t>
        </is>
      </c>
      <c r="E339" t="inlineStr">
        <is>
          <t>ÅRE</t>
        </is>
      </c>
      <c r="G339" t="n">
        <v>9.5</v>
      </c>
      <c r="H339" t="n">
        <v>0</v>
      </c>
      <c r="I339" t="n">
        <v>0</v>
      </c>
      <c r="J339" t="n">
        <v>0</v>
      </c>
      <c r="K339" t="n">
        <v>0</v>
      </c>
      <c r="L339" t="n">
        <v>0</v>
      </c>
      <c r="M339" t="n">
        <v>0</v>
      </c>
      <c r="N339" t="n">
        <v>0</v>
      </c>
      <c r="O339" t="n">
        <v>0</v>
      </c>
      <c r="P339" t="n">
        <v>0</v>
      </c>
      <c r="Q339" t="n">
        <v>0</v>
      </c>
      <c r="R339" s="2" t="inlineStr"/>
    </row>
    <row r="340" ht="15" customHeight="1">
      <c r="A340" t="inlineStr">
        <is>
          <t>A 58960-2020</t>
        </is>
      </c>
      <c r="B340" s="1" t="n">
        <v>44146</v>
      </c>
      <c r="C340" s="1" t="n">
        <v>45781</v>
      </c>
      <c r="D340" t="inlineStr">
        <is>
          <t>JÄMTLANDS LÄN</t>
        </is>
      </c>
      <c r="E340" t="inlineStr">
        <is>
          <t>ÅRE</t>
        </is>
      </c>
      <c r="G340" t="n">
        <v>5.5</v>
      </c>
      <c r="H340" t="n">
        <v>0</v>
      </c>
      <c r="I340" t="n">
        <v>0</v>
      </c>
      <c r="J340" t="n">
        <v>0</v>
      </c>
      <c r="K340" t="n">
        <v>0</v>
      </c>
      <c r="L340" t="n">
        <v>0</v>
      </c>
      <c r="M340" t="n">
        <v>0</v>
      </c>
      <c r="N340" t="n">
        <v>0</v>
      </c>
      <c r="O340" t="n">
        <v>0</v>
      </c>
      <c r="P340" t="n">
        <v>0</v>
      </c>
      <c r="Q340" t="n">
        <v>0</v>
      </c>
      <c r="R340" s="2" t="inlineStr"/>
    </row>
    <row r="341" ht="15" customHeight="1">
      <c r="A341" t="inlineStr">
        <is>
          <t>A 60016-2020</t>
        </is>
      </c>
      <c r="B341" s="1" t="n">
        <v>44151</v>
      </c>
      <c r="C341" s="1" t="n">
        <v>45781</v>
      </c>
      <c r="D341" t="inlineStr">
        <is>
          <t>JÄMTLANDS LÄN</t>
        </is>
      </c>
      <c r="E341" t="inlineStr">
        <is>
          <t>ÅRE</t>
        </is>
      </c>
      <c r="G341" t="n">
        <v>14.7</v>
      </c>
      <c r="H341" t="n">
        <v>0</v>
      </c>
      <c r="I341" t="n">
        <v>0</v>
      </c>
      <c r="J341" t="n">
        <v>0</v>
      </c>
      <c r="K341" t="n">
        <v>0</v>
      </c>
      <c r="L341" t="n">
        <v>0</v>
      </c>
      <c r="M341" t="n">
        <v>0</v>
      </c>
      <c r="N341" t="n">
        <v>0</v>
      </c>
      <c r="O341" t="n">
        <v>0</v>
      </c>
      <c r="P341" t="n">
        <v>0</v>
      </c>
      <c r="Q341" t="n">
        <v>0</v>
      </c>
      <c r="R341" s="2" t="inlineStr"/>
    </row>
    <row r="342" ht="15" customHeight="1">
      <c r="A342" t="inlineStr">
        <is>
          <t>A 61347-2020</t>
        </is>
      </c>
      <c r="B342" s="1" t="n">
        <v>44155</v>
      </c>
      <c r="C342" s="1" t="n">
        <v>45781</v>
      </c>
      <c r="D342" t="inlineStr">
        <is>
          <t>JÄMTLANDS LÄN</t>
        </is>
      </c>
      <c r="E342" t="inlineStr">
        <is>
          <t>ÅRE</t>
        </is>
      </c>
      <c r="G342" t="n">
        <v>3.1</v>
      </c>
      <c r="H342" t="n">
        <v>0</v>
      </c>
      <c r="I342" t="n">
        <v>0</v>
      </c>
      <c r="J342" t="n">
        <v>0</v>
      </c>
      <c r="K342" t="n">
        <v>0</v>
      </c>
      <c r="L342" t="n">
        <v>0</v>
      </c>
      <c r="M342" t="n">
        <v>0</v>
      </c>
      <c r="N342" t="n">
        <v>0</v>
      </c>
      <c r="O342" t="n">
        <v>0</v>
      </c>
      <c r="P342" t="n">
        <v>0</v>
      </c>
      <c r="Q342" t="n">
        <v>0</v>
      </c>
      <c r="R342" s="2" t="inlineStr"/>
    </row>
    <row r="343" ht="15" customHeight="1">
      <c r="A343" t="inlineStr">
        <is>
          <t>A 61595-2020</t>
        </is>
      </c>
      <c r="B343" s="1" t="n">
        <v>44158</v>
      </c>
      <c r="C343" s="1" t="n">
        <v>45781</v>
      </c>
      <c r="D343" t="inlineStr">
        <is>
          <t>JÄMTLANDS LÄN</t>
        </is>
      </c>
      <c r="E343" t="inlineStr">
        <is>
          <t>ÅRE</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64355-2020</t>
        </is>
      </c>
      <c r="B344" s="1" t="n">
        <v>44168</v>
      </c>
      <c r="C344" s="1" t="n">
        <v>45781</v>
      </c>
      <c r="D344" t="inlineStr">
        <is>
          <t>JÄMTLANDS LÄN</t>
        </is>
      </c>
      <c r="E344" t="inlineStr">
        <is>
          <t>ÅRE</t>
        </is>
      </c>
      <c r="G344" t="n">
        <v>2.1</v>
      </c>
      <c r="H344" t="n">
        <v>0</v>
      </c>
      <c r="I344" t="n">
        <v>0</v>
      </c>
      <c r="J344" t="n">
        <v>0</v>
      </c>
      <c r="K344" t="n">
        <v>0</v>
      </c>
      <c r="L344" t="n">
        <v>0</v>
      </c>
      <c r="M344" t="n">
        <v>0</v>
      </c>
      <c r="N344" t="n">
        <v>0</v>
      </c>
      <c r="O344" t="n">
        <v>0</v>
      </c>
      <c r="P344" t="n">
        <v>0</v>
      </c>
      <c r="Q344" t="n">
        <v>0</v>
      </c>
      <c r="R344" s="2" t="inlineStr"/>
    </row>
    <row r="345" ht="15" customHeight="1">
      <c r="A345" t="inlineStr">
        <is>
          <t>A 66083-2020</t>
        </is>
      </c>
      <c r="B345" s="1" t="n">
        <v>44172</v>
      </c>
      <c r="C345" s="1" t="n">
        <v>45781</v>
      </c>
      <c r="D345" t="inlineStr">
        <is>
          <t>JÄMTLANDS LÄN</t>
        </is>
      </c>
      <c r="E345" t="inlineStr">
        <is>
          <t>ÅRE</t>
        </is>
      </c>
      <c r="G345" t="n">
        <v>563.3</v>
      </c>
      <c r="H345" t="n">
        <v>0</v>
      </c>
      <c r="I345" t="n">
        <v>0</v>
      </c>
      <c r="J345" t="n">
        <v>0</v>
      </c>
      <c r="K345" t="n">
        <v>0</v>
      </c>
      <c r="L345" t="n">
        <v>0</v>
      </c>
      <c r="M345" t="n">
        <v>0</v>
      </c>
      <c r="N345" t="n">
        <v>0</v>
      </c>
      <c r="O345" t="n">
        <v>0</v>
      </c>
      <c r="P345" t="n">
        <v>0</v>
      </c>
      <c r="Q345" t="n">
        <v>0</v>
      </c>
      <c r="R345" s="2" t="inlineStr"/>
    </row>
    <row r="346" ht="15" customHeight="1">
      <c r="A346" t="inlineStr">
        <is>
          <t>A 65439-2020</t>
        </is>
      </c>
      <c r="B346" s="1" t="n">
        <v>44173</v>
      </c>
      <c r="C346" s="1" t="n">
        <v>45781</v>
      </c>
      <c r="D346" t="inlineStr">
        <is>
          <t>JÄMTLANDS LÄN</t>
        </is>
      </c>
      <c r="E346" t="inlineStr">
        <is>
          <t>ÅRE</t>
        </is>
      </c>
      <c r="G346" t="n">
        <v>6.2</v>
      </c>
      <c r="H346" t="n">
        <v>0</v>
      </c>
      <c r="I346" t="n">
        <v>0</v>
      </c>
      <c r="J346" t="n">
        <v>0</v>
      </c>
      <c r="K346" t="n">
        <v>0</v>
      </c>
      <c r="L346" t="n">
        <v>0</v>
      </c>
      <c r="M346" t="n">
        <v>0</v>
      </c>
      <c r="N346" t="n">
        <v>0</v>
      </c>
      <c r="O346" t="n">
        <v>0</v>
      </c>
      <c r="P346" t="n">
        <v>0</v>
      </c>
      <c r="Q346" t="n">
        <v>0</v>
      </c>
      <c r="R346" s="2" t="inlineStr"/>
    </row>
    <row r="347" ht="15" customHeight="1">
      <c r="A347" t="inlineStr">
        <is>
          <t>A 65512-2020</t>
        </is>
      </c>
      <c r="B347" s="1" t="n">
        <v>44173</v>
      </c>
      <c r="C347" s="1" t="n">
        <v>45781</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65519-2020</t>
        </is>
      </c>
      <c r="B348" s="1" t="n">
        <v>44173</v>
      </c>
      <c r="C348" s="1" t="n">
        <v>45781</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66755-2020</t>
        </is>
      </c>
      <c r="B349" s="1" t="n">
        <v>44179</v>
      </c>
      <c r="C349" s="1" t="n">
        <v>45781</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45781</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67270-2020</t>
        </is>
      </c>
      <c r="B351" s="1" t="n">
        <v>44179</v>
      </c>
      <c r="C351" s="1" t="n">
        <v>45781</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67972-2020</t>
        </is>
      </c>
      <c r="B352" s="1" t="n">
        <v>44182</v>
      </c>
      <c r="C352" s="1" t="n">
        <v>45781</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45781</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45781</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68518-2020</t>
        </is>
      </c>
      <c r="B355" s="1" t="n">
        <v>44186</v>
      </c>
      <c r="C355" s="1" t="n">
        <v>45781</v>
      </c>
      <c r="D355" t="inlineStr">
        <is>
          <t>JÄMTLANDS LÄN</t>
        </is>
      </c>
      <c r="E355" t="inlineStr">
        <is>
          <t>ÅRE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68594-2020</t>
        </is>
      </c>
      <c r="B356" s="1" t="n">
        <v>44186</v>
      </c>
      <c r="C356" s="1" t="n">
        <v>45781</v>
      </c>
      <c r="D356" t="inlineStr">
        <is>
          <t>JÄMTLANDS LÄN</t>
        </is>
      </c>
      <c r="E356" t="inlineStr">
        <is>
          <t>ÅRE</t>
        </is>
      </c>
      <c r="G356" t="n">
        <v>2.8</v>
      </c>
      <c r="H356" t="n">
        <v>0</v>
      </c>
      <c r="I356" t="n">
        <v>0</v>
      </c>
      <c r="J356" t="n">
        <v>0</v>
      </c>
      <c r="K356" t="n">
        <v>0</v>
      </c>
      <c r="L356" t="n">
        <v>0</v>
      </c>
      <c r="M356" t="n">
        <v>0</v>
      </c>
      <c r="N356" t="n">
        <v>0</v>
      </c>
      <c r="O356" t="n">
        <v>0</v>
      </c>
      <c r="P356" t="n">
        <v>0</v>
      </c>
      <c r="Q356" t="n">
        <v>0</v>
      </c>
      <c r="R356" s="2" t="inlineStr"/>
    </row>
    <row r="357" ht="15" customHeight="1">
      <c r="A357" t="inlineStr">
        <is>
          <t>A 1339-2021</t>
        </is>
      </c>
      <c r="B357" s="1" t="n">
        <v>44208</v>
      </c>
      <c r="C357" s="1" t="n">
        <v>45781</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4838-2021</t>
        </is>
      </c>
      <c r="B358" s="1" t="n">
        <v>44225</v>
      </c>
      <c r="C358" s="1" t="n">
        <v>45781</v>
      </c>
      <c r="D358" t="inlineStr">
        <is>
          <t>JÄMTLANDS LÄN</t>
        </is>
      </c>
      <c r="E358" t="inlineStr">
        <is>
          <t>ÅRE</t>
        </is>
      </c>
      <c r="G358" t="n">
        <v>12.4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45781</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5401-2021</t>
        </is>
      </c>
      <c r="B360" s="1" t="n">
        <v>44229</v>
      </c>
      <c r="C360" s="1" t="n">
        <v>45781</v>
      </c>
      <c r="D360" t="inlineStr">
        <is>
          <t>JÄMTLANDS LÄN</t>
        </is>
      </c>
      <c r="E360" t="inlineStr">
        <is>
          <t>ÅRE</t>
        </is>
      </c>
      <c r="G360" t="n">
        <v>10</v>
      </c>
      <c r="H360" t="n">
        <v>0</v>
      </c>
      <c r="I360" t="n">
        <v>0</v>
      </c>
      <c r="J360" t="n">
        <v>0</v>
      </c>
      <c r="K360" t="n">
        <v>0</v>
      </c>
      <c r="L360" t="n">
        <v>0</v>
      </c>
      <c r="M360" t="n">
        <v>0</v>
      </c>
      <c r="N360" t="n">
        <v>0</v>
      </c>
      <c r="O360" t="n">
        <v>0</v>
      </c>
      <c r="P360" t="n">
        <v>0</v>
      </c>
      <c r="Q360" t="n">
        <v>0</v>
      </c>
      <c r="R360" s="2" t="inlineStr"/>
    </row>
    <row r="361" ht="15" customHeight="1">
      <c r="A361" t="inlineStr">
        <is>
          <t>A 5753-2021</t>
        </is>
      </c>
      <c r="B361" s="1" t="n">
        <v>44230</v>
      </c>
      <c r="C361" s="1" t="n">
        <v>45781</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8983-2021</t>
        </is>
      </c>
      <c r="B362" s="1" t="n">
        <v>44231</v>
      </c>
      <c r="C362" s="1" t="n">
        <v>45781</v>
      </c>
      <c r="D362" t="inlineStr">
        <is>
          <t>JÄMTLANDS LÄN</t>
        </is>
      </c>
      <c r="E362" t="inlineStr">
        <is>
          <t>ÅRE</t>
        </is>
      </c>
      <c r="G362" t="n">
        <v>4.1</v>
      </c>
      <c r="H362" t="n">
        <v>0</v>
      </c>
      <c r="I362" t="n">
        <v>0</v>
      </c>
      <c r="J362" t="n">
        <v>0</v>
      </c>
      <c r="K362" t="n">
        <v>0</v>
      </c>
      <c r="L362" t="n">
        <v>0</v>
      </c>
      <c r="M362" t="n">
        <v>0</v>
      </c>
      <c r="N362" t="n">
        <v>0</v>
      </c>
      <c r="O362" t="n">
        <v>0</v>
      </c>
      <c r="P362" t="n">
        <v>0</v>
      </c>
      <c r="Q362" t="n">
        <v>0</v>
      </c>
      <c r="R362" s="2" t="inlineStr"/>
    </row>
    <row r="363" ht="15" customHeight="1">
      <c r="A363" t="inlineStr">
        <is>
          <t>A 6232-2021</t>
        </is>
      </c>
      <c r="B363" s="1" t="n">
        <v>44231</v>
      </c>
      <c r="C363" s="1" t="n">
        <v>45781</v>
      </c>
      <c r="D363" t="inlineStr">
        <is>
          <t>JÄMTLANDS LÄN</t>
        </is>
      </c>
      <c r="E363" t="inlineStr">
        <is>
          <t>ÅRE</t>
        </is>
      </c>
      <c r="G363" t="n">
        <v>11.9</v>
      </c>
      <c r="H363" t="n">
        <v>0</v>
      </c>
      <c r="I363" t="n">
        <v>0</v>
      </c>
      <c r="J363" t="n">
        <v>0</v>
      </c>
      <c r="K363" t="n">
        <v>0</v>
      </c>
      <c r="L363" t="n">
        <v>0</v>
      </c>
      <c r="M363" t="n">
        <v>0</v>
      </c>
      <c r="N363" t="n">
        <v>0</v>
      </c>
      <c r="O363" t="n">
        <v>0</v>
      </c>
      <c r="P363" t="n">
        <v>0</v>
      </c>
      <c r="Q363" t="n">
        <v>0</v>
      </c>
      <c r="R363" s="2" t="inlineStr"/>
    </row>
    <row r="364" ht="15" customHeight="1">
      <c r="A364" t="inlineStr">
        <is>
          <t>A 8294-2021</t>
        </is>
      </c>
      <c r="B364" s="1" t="n">
        <v>44243</v>
      </c>
      <c r="C364" s="1" t="n">
        <v>45781</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8217-2021</t>
        </is>
      </c>
      <c r="B365" s="1" t="n">
        <v>44244</v>
      </c>
      <c r="C365" s="1" t="n">
        <v>45781</v>
      </c>
      <c r="D365" t="inlineStr">
        <is>
          <t>JÄMTLANDS LÄN</t>
        </is>
      </c>
      <c r="E365" t="inlineStr">
        <is>
          <t>ÅRE</t>
        </is>
      </c>
      <c r="G365" t="n">
        <v>51.8</v>
      </c>
      <c r="H365" t="n">
        <v>0</v>
      </c>
      <c r="I365" t="n">
        <v>0</v>
      </c>
      <c r="J365" t="n">
        <v>0</v>
      </c>
      <c r="K365" t="n">
        <v>0</v>
      </c>
      <c r="L365" t="n">
        <v>0</v>
      </c>
      <c r="M365" t="n">
        <v>0</v>
      </c>
      <c r="N365" t="n">
        <v>0</v>
      </c>
      <c r="O365" t="n">
        <v>0</v>
      </c>
      <c r="P365" t="n">
        <v>0</v>
      </c>
      <c r="Q365" t="n">
        <v>0</v>
      </c>
      <c r="R365" s="2" t="inlineStr"/>
    </row>
    <row r="366" ht="15" customHeight="1">
      <c r="A366" t="inlineStr">
        <is>
          <t>A 8668-2021</t>
        </is>
      </c>
      <c r="B366" s="1" t="n">
        <v>44246</v>
      </c>
      <c r="C366" s="1" t="n">
        <v>45781</v>
      </c>
      <c r="D366" t="inlineStr">
        <is>
          <t>JÄMTLANDS LÄN</t>
        </is>
      </c>
      <c r="E366" t="inlineStr">
        <is>
          <t>ÅRE</t>
        </is>
      </c>
      <c r="G366" t="n">
        <v>19.5</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45781</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9777-2021</t>
        </is>
      </c>
      <c r="B368" s="1" t="n">
        <v>44252</v>
      </c>
      <c r="C368" s="1" t="n">
        <v>45781</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10191-2021</t>
        </is>
      </c>
      <c r="B369" s="1" t="n">
        <v>44256</v>
      </c>
      <c r="C369" s="1" t="n">
        <v>45781</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45781</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10283-2021</t>
        </is>
      </c>
      <c r="B371" s="1" t="n">
        <v>44257</v>
      </c>
      <c r="C371" s="1" t="n">
        <v>45781</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12387-2021</t>
        </is>
      </c>
      <c r="B372" s="1" t="n">
        <v>44267</v>
      </c>
      <c r="C372" s="1" t="n">
        <v>45781</v>
      </c>
      <c r="D372" t="inlineStr">
        <is>
          <t>JÄMTLANDS LÄN</t>
        </is>
      </c>
      <c r="E372" t="inlineStr">
        <is>
          <t>ÅRE</t>
        </is>
      </c>
      <c r="G372" t="n">
        <v>3.4</v>
      </c>
      <c r="H372" t="n">
        <v>0</v>
      </c>
      <c r="I372" t="n">
        <v>0</v>
      </c>
      <c r="J372" t="n">
        <v>0</v>
      </c>
      <c r="K372" t="n">
        <v>0</v>
      </c>
      <c r="L372" t="n">
        <v>0</v>
      </c>
      <c r="M372" t="n">
        <v>0</v>
      </c>
      <c r="N372" t="n">
        <v>0</v>
      </c>
      <c r="O372" t="n">
        <v>0</v>
      </c>
      <c r="P372" t="n">
        <v>0</v>
      </c>
      <c r="Q372" t="n">
        <v>0</v>
      </c>
      <c r="R372" s="2" t="inlineStr"/>
    </row>
    <row r="373" ht="15" customHeight="1">
      <c r="A373" t="inlineStr">
        <is>
          <t>A 12857-2021</t>
        </is>
      </c>
      <c r="B373" s="1" t="n">
        <v>44270</v>
      </c>
      <c r="C373" s="1" t="n">
        <v>45781</v>
      </c>
      <c r="D373" t="inlineStr">
        <is>
          <t>JÄMTLANDS LÄN</t>
        </is>
      </c>
      <c r="E373" t="inlineStr">
        <is>
          <t>ÅRE</t>
        </is>
      </c>
      <c r="F373" t="inlineStr">
        <is>
          <t>Kommuner</t>
        </is>
      </c>
      <c r="G373" t="n">
        <v>17.2</v>
      </c>
      <c r="H373" t="n">
        <v>0</v>
      </c>
      <c r="I373" t="n">
        <v>0</v>
      </c>
      <c r="J373" t="n">
        <v>0</v>
      </c>
      <c r="K373" t="n">
        <v>0</v>
      </c>
      <c r="L373" t="n">
        <v>0</v>
      </c>
      <c r="M373" t="n">
        <v>0</v>
      </c>
      <c r="N373" t="n">
        <v>0</v>
      </c>
      <c r="O373" t="n">
        <v>0</v>
      </c>
      <c r="P373" t="n">
        <v>0</v>
      </c>
      <c r="Q373" t="n">
        <v>0</v>
      </c>
      <c r="R373" s="2" t="inlineStr"/>
    </row>
    <row r="374" ht="15" customHeight="1">
      <c r="A374" t="inlineStr">
        <is>
          <t>A 12827-2021</t>
        </is>
      </c>
      <c r="B374" s="1" t="n">
        <v>44271</v>
      </c>
      <c r="C374" s="1" t="n">
        <v>45781</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14202-2021</t>
        </is>
      </c>
      <c r="B375" s="1" t="n">
        <v>44278</v>
      </c>
      <c r="C375" s="1" t="n">
        <v>45781</v>
      </c>
      <c r="D375" t="inlineStr">
        <is>
          <t>JÄMTLANDS LÄN</t>
        </is>
      </c>
      <c r="E375" t="inlineStr">
        <is>
          <t>ÅRE</t>
        </is>
      </c>
      <c r="G375" t="n">
        <v>17.8</v>
      </c>
      <c r="H375" t="n">
        <v>0</v>
      </c>
      <c r="I375" t="n">
        <v>0</v>
      </c>
      <c r="J375" t="n">
        <v>0</v>
      </c>
      <c r="K375" t="n">
        <v>0</v>
      </c>
      <c r="L375" t="n">
        <v>0</v>
      </c>
      <c r="M375" t="n">
        <v>0</v>
      </c>
      <c r="N375" t="n">
        <v>0</v>
      </c>
      <c r="O375" t="n">
        <v>0</v>
      </c>
      <c r="P375" t="n">
        <v>0</v>
      </c>
      <c r="Q375" t="n">
        <v>0</v>
      </c>
      <c r="R375" s="2" t="inlineStr"/>
    </row>
    <row r="376" ht="15" customHeight="1">
      <c r="A376" t="inlineStr">
        <is>
          <t>A 14210-2021</t>
        </is>
      </c>
      <c r="B376" s="1" t="n">
        <v>44278</v>
      </c>
      <c r="C376" s="1" t="n">
        <v>45781</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14204-2021</t>
        </is>
      </c>
      <c r="B377" s="1" t="n">
        <v>44278</v>
      </c>
      <c r="C377" s="1" t="n">
        <v>45781</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14826-2021</t>
        </is>
      </c>
      <c r="B378" s="1" t="n">
        <v>44280</v>
      </c>
      <c r="C378" s="1" t="n">
        <v>45781</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15305-2021</t>
        </is>
      </c>
      <c r="B379" s="1" t="n">
        <v>44284</v>
      </c>
      <c r="C379" s="1" t="n">
        <v>45781</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16625-2021</t>
        </is>
      </c>
      <c r="B380" s="1" t="n">
        <v>44294</v>
      </c>
      <c r="C380" s="1" t="n">
        <v>45781</v>
      </c>
      <c r="D380" t="inlineStr">
        <is>
          <t>JÄMTLANDS LÄN</t>
        </is>
      </c>
      <c r="E380" t="inlineStr">
        <is>
          <t>ÅRE</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17883-2021</t>
        </is>
      </c>
      <c r="B381" s="1" t="n">
        <v>44301</v>
      </c>
      <c r="C381" s="1" t="n">
        <v>45781</v>
      </c>
      <c r="D381" t="inlineStr">
        <is>
          <t>JÄMTLANDS LÄN</t>
        </is>
      </c>
      <c r="E381" t="inlineStr">
        <is>
          <t>ÅRE</t>
        </is>
      </c>
      <c r="F381" t="inlineStr">
        <is>
          <t>Övriga Aktiebolag</t>
        </is>
      </c>
      <c r="G381" t="n">
        <v>6.7</v>
      </c>
      <c r="H381" t="n">
        <v>0</v>
      </c>
      <c r="I381" t="n">
        <v>0</v>
      </c>
      <c r="J381" t="n">
        <v>0</v>
      </c>
      <c r="K381" t="n">
        <v>0</v>
      </c>
      <c r="L381" t="n">
        <v>0</v>
      </c>
      <c r="M381" t="n">
        <v>0</v>
      </c>
      <c r="N381" t="n">
        <v>0</v>
      </c>
      <c r="O381" t="n">
        <v>0</v>
      </c>
      <c r="P381" t="n">
        <v>0</v>
      </c>
      <c r="Q381" t="n">
        <v>0</v>
      </c>
      <c r="R381" s="2" t="inlineStr"/>
    </row>
    <row r="382" ht="15" customHeight="1">
      <c r="A382" t="inlineStr">
        <is>
          <t>A 18374-2021</t>
        </is>
      </c>
      <c r="B382" s="1" t="n">
        <v>44305</v>
      </c>
      <c r="C382" s="1" t="n">
        <v>45781</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18531-2021</t>
        </is>
      </c>
      <c r="B383" s="1" t="n">
        <v>44306</v>
      </c>
      <c r="C383" s="1" t="n">
        <v>45781</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19275-2021</t>
        </is>
      </c>
      <c r="B384" s="1" t="n">
        <v>44309</v>
      </c>
      <c r="C384" s="1" t="n">
        <v>45781</v>
      </c>
      <c r="D384" t="inlineStr">
        <is>
          <t>JÄMTLANDS LÄN</t>
        </is>
      </c>
      <c r="E384" t="inlineStr">
        <is>
          <t>ÅRE</t>
        </is>
      </c>
      <c r="G384" t="n">
        <v>16.4</v>
      </c>
      <c r="H384" t="n">
        <v>0</v>
      </c>
      <c r="I384" t="n">
        <v>0</v>
      </c>
      <c r="J384" t="n">
        <v>0</v>
      </c>
      <c r="K384" t="n">
        <v>0</v>
      </c>
      <c r="L384" t="n">
        <v>0</v>
      </c>
      <c r="M384" t="n">
        <v>0</v>
      </c>
      <c r="N384" t="n">
        <v>0</v>
      </c>
      <c r="O384" t="n">
        <v>0</v>
      </c>
      <c r="P384" t="n">
        <v>0</v>
      </c>
      <c r="Q384" t="n">
        <v>0</v>
      </c>
      <c r="R384" s="2" t="inlineStr"/>
    </row>
    <row r="385" ht="15" customHeight="1">
      <c r="A385" t="inlineStr">
        <is>
          <t>A 20501-2021</t>
        </is>
      </c>
      <c r="B385" s="1" t="n">
        <v>44315</v>
      </c>
      <c r="C385" s="1" t="n">
        <v>45781</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21897-2021</t>
        </is>
      </c>
      <c r="B386" s="1" t="n">
        <v>44322</v>
      </c>
      <c r="C386" s="1" t="n">
        <v>45781</v>
      </c>
      <c r="D386" t="inlineStr">
        <is>
          <t>JÄMTLANDS LÄN</t>
        </is>
      </c>
      <c r="E386" t="inlineStr">
        <is>
          <t>ÅRE</t>
        </is>
      </c>
      <c r="G386" t="n">
        <v>41.4</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45781</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22707-2021</t>
        </is>
      </c>
      <c r="B388" s="1" t="n">
        <v>44323</v>
      </c>
      <c r="C388" s="1" t="n">
        <v>45781</v>
      </c>
      <c r="D388" t="inlineStr">
        <is>
          <t>JÄMTLANDS LÄN</t>
        </is>
      </c>
      <c r="E388" t="inlineStr">
        <is>
          <t>ÅRE</t>
        </is>
      </c>
      <c r="G388" t="n">
        <v>6.3</v>
      </c>
      <c r="H388" t="n">
        <v>0</v>
      </c>
      <c r="I388" t="n">
        <v>0</v>
      </c>
      <c r="J388" t="n">
        <v>0</v>
      </c>
      <c r="K388" t="n">
        <v>0</v>
      </c>
      <c r="L388" t="n">
        <v>0</v>
      </c>
      <c r="M388" t="n">
        <v>0</v>
      </c>
      <c r="N388" t="n">
        <v>0</v>
      </c>
      <c r="O388" t="n">
        <v>0</v>
      </c>
      <c r="P388" t="n">
        <v>0</v>
      </c>
      <c r="Q388" t="n">
        <v>0</v>
      </c>
      <c r="R388" s="2" t="inlineStr"/>
    </row>
    <row r="389" ht="15" customHeight="1">
      <c r="A389" t="inlineStr">
        <is>
          <t>A 22505-2021</t>
        </is>
      </c>
      <c r="B389" s="1" t="n">
        <v>44326</v>
      </c>
      <c r="C389" s="1" t="n">
        <v>45781</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23561-2021</t>
        </is>
      </c>
      <c r="B390" s="1" t="n">
        <v>44334</v>
      </c>
      <c r="C390" s="1" t="n">
        <v>45781</v>
      </c>
      <c r="D390" t="inlineStr">
        <is>
          <t>JÄMTLANDS LÄN</t>
        </is>
      </c>
      <c r="E390" t="inlineStr">
        <is>
          <t>ÅRE</t>
        </is>
      </c>
      <c r="G390" t="n">
        <v>8.5</v>
      </c>
      <c r="H390" t="n">
        <v>0</v>
      </c>
      <c r="I390" t="n">
        <v>0</v>
      </c>
      <c r="J390" t="n">
        <v>0</v>
      </c>
      <c r="K390" t="n">
        <v>0</v>
      </c>
      <c r="L390" t="n">
        <v>0</v>
      </c>
      <c r="M390" t="n">
        <v>0</v>
      </c>
      <c r="N390" t="n">
        <v>0</v>
      </c>
      <c r="O390" t="n">
        <v>0</v>
      </c>
      <c r="P390" t="n">
        <v>0</v>
      </c>
      <c r="Q390" t="n">
        <v>0</v>
      </c>
      <c r="R390" s="2" t="inlineStr"/>
    </row>
    <row r="391" ht="15" customHeight="1">
      <c r="A391" t="inlineStr">
        <is>
          <t>A 24585-2021</t>
        </is>
      </c>
      <c r="B391" s="1" t="n">
        <v>44337</v>
      </c>
      <c r="C391" s="1" t="n">
        <v>45781</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26722-2021</t>
        </is>
      </c>
      <c r="B392" s="1" t="n">
        <v>44349</v>
      </c>
      <c r="C392" s="1" t="n">
        <v>45781</v>
      </c>
      <c r="D392" t="inlineStr">
        <is>
          <t>JÄMTLANDS LÄN</t>
        </is>
      </c>
      <c r="E392" t="inlineStr">
        <is>
          <t>ÅRE</t>
        </is>
      </c>
      <c r="G392" t="n">
        <v>11.4</v>
      </c>
      <c r="H392" t="n">
        <v>0</v>
      </c>
      <c r="I392" t="n">
        <v>0</v>
      </c>
      <c r="J392" t="n">
        <v>0</v>
      </c>
      <c r="K392" t="n">
        <v>0</v>
      </c>
      <c r="L392" t="n">
        <v>0</v>
      </c>
      <c r="M392" t="n">
        <v>0</v>
      </c>
      <c r="N392" t="n">
        <v>0</v>
      </c>
      <c r="O392" t="n">
        <v>0</v>
      </c>
      <c r="P392" t="n">
        <v>0</v>
      </c>
      <c r="Q392" t="n">
        <v>0</v>
      </c>
      <c r="R392" s="2" t="inlineStr"/>
    </row>
    <row r="393" ht="15" customHeight="1">
      <c r="A393" t="inlineStr">
        <is>
          <t>A 27010-2021</t>
        </is>
      </c>
      <c r="B393" s="1" t="n">
        <v>44350</v>
      </c>
      <c r="C393" s="1" t="n">
        <v>45781</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27375-2021</t>
        </is>
      </c>
      <c r="B394" s="1" t="n">
        <v>44351</v>
      </c>
      <c r="C394" s="1" t="n">
        <v>45781</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45781</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45781</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28881-2021</t>
        </is>
      </c>
      <c r="B397" s="1" t="n">
        <v>44357</v>
      </c>
      <c r="C397" s="1" t="n">
        <v>45781</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45781</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45781</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32241-2021</t>
        </is>
      </c>
      <c r="B400" s="1" t="n">
        <v>44371</v>
      </c>
      <c r="C400" s="1" t="n">
        <v>45781</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34357-2021</t>
        </is>
      </c>
      <c r="B401" s="1" t="n">
        <v>44379</v>
      </c>
      <c r="C401" s="1" t="n">
        <v>45781</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36868-2021</t>
        </is>
      </c>
      <c r="B402" s="1" t="n">
        <v>44393</v>
      </c>
      <c r="C402" s="1" t="n">
        <v>45781</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37086-2021</t>
        </is>
      </c>
      <c r="B403" s="1" t="n">
        <v>44395</v>
      </c>
      <c r="C403" s="1" t="n">
        <v>45781</v>
      </c>
      <c r="D403" t="inlineStr">
        <is>
          <t>JÄMTLANDS LÄN</t>
        </is>
      </c>
      <c r="E403" t="inlineStr">
        <is>
          <t>ÅRE</t>
        </is>
      </c>
      <c r="G403" t="n">
        <v>34.1</v>
      </c>
      <c r="H403" t="n">
        <v>0</v>
      </c>
      <c r="I403" t="n">
        <v>0</v>
      </c>
      <c r="J403" t="n">
        <v>0</v>
      </c>
      <c r="K403" t="n">
        <v>0</v>
      </c>
      <c r="L403" t="n">
        <v>0</v>
      </c>
      <c r="M403" t="n">
        <v>0</v>
      </c>
      <c r="N403" t="n">
        <v>0</v>
      </c>
      <c r="O403" t="n">
        <v>0</v>
      </c>
      <c r="P403" t="n">
        <v>0</v>
      </c>
      <c r="Q403" t="n">
        <v>0</v>
      </c>
      <c r="R403" s="2" t="inlineStr"/>
    </row>
    <row r="404" ht="15" customHeight="1">
      <c r="A404" t="inlineStr">
        <is>
          <t>A 37156-2021</t>
        </is>
      </c>
      <c r="B404" s="1" t="n">
        <v>44396</v>
      </c>
      <c r="C404" s="1" t="n">
        <v>45781</v>
      </c>
      <c r="D404" t="inlineStr">
        <is>
          <t>JÄMTLANDS LÄN</t>
        </is>
      </c>
      <c r="E404" t="inlineStr">
        <is>
          <t>ÅRE</t>
        </is>
      </c>
      <c r="G404" t="n">
        <v>16.5</v>
      </c>
      <c r="H404" t="n">
        <v>0</v>
      </c>
      <c r="I404" t="n">
        <v>0</v>
      </c>
      <c r="J404" t="n">
        <v>0</v>
      </c>
      <c r="K404" t="n">
        <v>0</v>
      </c>
      <c r="L404" t="n">
        <v>0</v>
      </c>
      <c r="M404" t="n">
        <v>0</v>
      </c>
      <c r="N404" t="n">
        <v>0</v>
      </c>
      <c r="O404" t="n">
        <v>0</v>
      </c>
      <c r="P404" t="n">
        <v>0</v>
      </c>
      <c r="Q404" t="n">
        <v>0</v>
      </c>
      <c r="R404" s="2" t="inlineStr"/>
    </row>
    <row r="405" ht="15" customHeight="1">
      <c r="A405" t="inlineStr">
        <is>
          <t>A 37461-2021</t>
        </is>
      </c>
      <c r="B405" s="1" t="n">
        <v>44398</v>
      </c>
      <c r="C405" s="1" t="n">
        <v>45781</v>
      </c>
      <c r="D405" t="inlineStr">
        <is>
          <t>JÄMTLANDS LÄN</t>
        </is>
      </c>
      <c r="E405" t="inlineStr">
        <is>
          <t>ÅRE</t>
        </is>
      </c>
      <c r="G405" t="n">
        <v>11.7</v>
      </c>
      <c r="H405" t="n">
        <v>0</v>
      </c>
      <c r="I405" t="n">
        <v>0</v>
      </c>
      <c r="J405" t="n">
        <v>0</v>
      </c>
      <c r="K405" t="n">
        <v>0</v>
      </c>
      <c r="L405" t="n">
        <v>0</v>
      </c>
      <c r="M405" t="n">
        <v>0</v>
      </c>
      <c r="N405" t="n">
        <v>0</v>
      </c>
      <c r="O405" t="n">
        <v>0</v>
      </c>
      <c r="P405" t="n">
        <v>0</v>
      </c>
      <c r="Q405" t="n">
        <v>0</v>
      </c>
      <c r="R405" s="2" t="inlineStr"/>
    </row>
    <row r="406" ht="15" customHeight="1">
      <c r="A406" t="inlineStr">
        <is>
          <t>A 38450-2021</t>
        </is>
      </c>
      <c r="B406" s="1" t="n">
        <v>44406</v>
      </c>
      <c r="C406" s="1" t="n">
        <v>45781</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38456-2021</t>
        </is>
      </c>
      <c r="B407" s="1" t="n">
        <v>44406</v>
      </c>
      <c r="C407" s="1" t="n">
        <v>45781</v>
      </c>
      <c r="D407" t="inlineStr">
        <is>
          <t>JÄMTLANDS LÄN</t>
        </is>
      </c>
      <c r="E407" t="inlineStr">
        <is>
          <t>ÅRE</t>
        </is>
      </c>
      <c r="G407" t="n">
        <v>19.8</v>
      </c>
      <c r="H407" t="n">
        <v>0</v>
      </c>
      <c r="I407" t="n">
        <v>0</v>
      </c>
      <c r="J407" t="n">
        <v>0</v>
      </c>
      <c r="K407" t="n">
        <v>0</v>
      </c>
      <c r="L407" t="n">
        <v>0</v>
      </c>
      <c r="M407" t="n">
        <v>0</v>
      </c>
      <c r="N407" t="n">
        <v>0</v>
      </c>
      <c r="O407" t="n">
        <v>0</v>
      </c>
      <c r="P407" t="n">
        <v>0</v>
      </c>
      <c r="Q407" t="n">
        <v>0</v>
      </c>
      <c r="R407" s="2" t="inlineStr"/>
    </row>
    <row r="408" ht="15" customHeight="1">
      <c r="A408" t="inlineStr">
        <is>
          <t>A 40336-2021</t>
        </is>
      </c>
      <c r="B408" s="1" t="n">
        <v>44419</v>
      </c>
      <c r="C408" s="1" t="n">
        <v>45781</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40339-2021</t>
        </is>
      </c>
      <c r="B409" s="1" t="n">
        <v>44419</v>
      </c>
      <c r="C409" s="1" t="n">
        <v>45781</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45781</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45781</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51042-2021</t>
        </is>
      </c>
      <c r="B412" s="1" t="n">
        <v>44461</v>
      </c>
      <c r="C412" s="1" t="n">
        <v>45781</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51040-2021</t>
        </is>
      </c>
      <c r="B413" s="1" t="n">
        <v>44461</v>
      </c>
      <c r="C413" s="1" t="n">
        <v>45781</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52427-2021</t>
        </is>
      </c>
      <c r="B414" s="1" t="n">
        <v>44466</v>
      </c>
      <c r="C414" s="1" t="n">
        <v>45781</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56197-2021</t>
        </is>
      </c>
      <c r="B415" s="1" t="n">
        <v>44478</v>
      </c>
      <c r="C415" s="1" t="n">
        <v>45781</v>
      </c>
      <c r="D415" t="inlineStr">
        <is>
          <t>JÄMTLANDS LÄN</t>
        </is>
      </c>
      <c r="E415" t="inlineStr">
        <is>
          <t>ÅRE</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56192-2021</t>
        </is>
      </c>
      <c r="B416" s="1" t="n">
        <v>44477</v>
      </c>
      <c r="C416" s="1" t="n">
        <v>45781</v>
      </c>
      <c r="D416" t="inlineStr">
        <is>
          <t>JÄMTLANDS LÄN</t>
        </is>
      </c>
      <c r="E416" t="inlineStr">
        <is>
          <t>ÅRE</t>
        </is>
      </c>
      <c r="F416" t="inlineStr">
        <is>
          <t>Övriga Aktiebolag</t>
        </is>
      </c>
      <c r="G416" t="n">
        <v>21.5</v>
      </c>
      <c r="H416" t="n">
        <v>0</v>
      </c>
      <c r="I416" t="n">
        <v>0</v>
      </c>
      <c r="J416" t="n">
        <v>0</v>
      </c>
      <c r="K416" t="n">
        <v>0</v>
      </c>
      <c r="L416" t="n">
        <v>0</v>
      </c>
      <c r="M416" t="n">
        <v>0</v>
      </c>
      <c r="N416" t="n">
        <v>0</v>
      </c>
      <c r="O416" t="n">
        <v>0</v>
      </c>
      <c r="P416" t="n">
        <v>0</v>
      </c>
      <c r="Q416" t="n">
        <v>0</v>
      </c>
      <c r="R416" s="2" t="inlineStr"/>
    </row>
    <row r="417" ht="15" customHeight="1">
      <c r="A417" t="inlineStr">
        <is>
          <t>A 57150-2021</t>
        </is>
      </c>
      <c r="B417" s="1" t="n">
        <v>44482</v>
      </c>
      <c r="C417" s="1" t="n">
        <v>45781</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57158-2021</t>
        </is>
      </c>
      <c r="B418" s="1" t="n">
        <v>44482</v>
      </c>
      <c r="C418" s="1" t="n">
        <v>45781</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57512-2021</t>
        </is>
      </c>
      <c r="B419" s="1" t="n">
        <v>44483</v>
      </c>
      <c r="C419" s="1" t="n">
        <v>45781</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57710-2021</t>
        </is>
      </c>
      <c r="B420" s="1" t="n">
        <v>44484</v>
      </c>
      <c r="C420" s="1" t="n">
        <v>45781</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58230-2021</t>
        </is>
      </c>
      <c r="B421" s="1" t="n">
        <v>44487</v>
      </c>
      <c r="C421" s="1" t="n">
        <v>45781</v>
      </c>
      <c r="D421" t="inlineStr">
        <is>
          <t>JÄMTLANDS LÄN</t>
        </is>
      </c>
      <c r="E421" t="inlineStr">
        <is>
          <t>ÅRE</t>
        </is>
      </c>
      <c r="G421" t="n">
        <v>19.3</v>
      </c>
      <c r="H421" t="n">
        <v>0</v>
      </c>
      <c r="I421" t="n">
        <v>0</v>
      </c>
      <c r="J421" t="n">
        <v>0</v>
      </c>
      <c r="K421" t="n">
        <v>0</v>
      </c>
      <c r="L421" t="n">
        <v>0</v>
      </c>
      <c r="M421" t="n">
        <v>0</v>
      </c>
      <c r="N421" t="n">
        <v>0</v>
      </c>
      <c r="O421" t="n">
        <v>0</v>
      </c>
      <c r="P421" t="n">
        <v>0</v>
      </c>
      <c r="Q421" t="n">
        <v>0</v>
      </c>
      <c r="R421" s="2" t="inlineStr"/>
    </row>
    <row r="422" ht="15" customHeight="1">
      <c r="A422" t="inlineStr">
        <is>
          <t>A 58232-2021</t>
        </is>
      </c>
      <c r="B422" s="1" t="n">
        <v>44487</v>
      </c>
      <c r="C422" s="1" t="n">
        <v>45781</v>
      </c>
      <c r="D422" t="inlineStr">
        <is>
          <t>JÄMTLANDS LÄN</t>
        </is>
      </c>
      <c r="E422" t="inlineStr">
        <is>
          <t>ÅRE</t>
        </is>
      </c>
      <c r="G422" t="n">
        <v>43.7</v>
      </c>
      <c r="H422" t="n">
        <v>0</v>
      </c>
      <c r="I422" t="n">
        <v>0</v>
      </c>
      <c r="J422" t="n">
        <v>0</v>
      </c>
      <c r="K422" t="n">
        <v>0</v>
      </c>
      <c r="L422" t="n">
        <v>0</v>
      </c>
      <c r="M422" t="n">
        <v>0</v>
      </c>
      <c r="N422" t="n">
        <v>0</v>
      </c>
      <c r="O422" t="n">
        <v>0</v>
      </c>
      <c r="P422" t="n">
        <v>0</v>
      </c>
      <c r="Q422" t="n">
        <v>0</v>
      </c>
      <c r="R422" s="2" t="inlineStr"/>
    </row>
    <row r="423" ht="15" customHeight="1">
      <c r="A423" t="inlineStr">
        <is>
          <t>A 58228-2021</t>
        </is>
      </c>
      <c r="B423" s="1" t="n">
        <v>44487</v>
      </c>
      <c r="C423" s="1" t="n">
        <v>45781</v>
      </c>
      <c r="D423" t="inlineStr">
        <is>
          <t>JÄMTLANDS LÄN</t>
        </is>
      </c>
      <c r="E423" t="inlineStr">
        <is>
          <t>ÅRE</t>
        </is>
      </c>
      <c r="G423" t="n">
        <v>46.2</v>
      </c>
      <c r="H423" t="n">
        <v>0</v>
      </c>
      <c r="I423" t="n">
        <v>0</v>
      </c>
      <c r="J423" t="n">
        <v>0</v>
      </c>
      <c r="K423" t="n">
        <v>0</v>
      </c>
      <c r="L423" t="n">
        <v>0</v>
      </c>
      <c r="M423" t="n">
        <v>0</v>
      </c>
      <c r="N423" t="n">
        <v>0</v>
      </c>
      <c r="O423" t="n">
        <v>0</v>
      </c>
      <c r="P423" t="n">
        <v>0</v>
      </c>
      <c r="Q423" t="n">
        <v>0</v>
      </c>
      <c r="R423" s="2" t="inlineStr"/>
    </row>
    <row r="424" ht="15" customHeight="1">
      <c r="A424" t="inlineStr">
        <is>
          <t>A 58940-2021</t>
        </is>
      </c>
      <c r="B424" s="1" t="n">
        <v>44489</v>
      </c>
      <c r="C424" s="1" t="n">
        <v>45781</v>
      </c>
      <c r="D424" t="inlineStr">
        <is>
          <t>JÄMTLANDS LÄN</t>
        </is>
      </c>
      <c r="E424" t="inlineStr">
        <is>
          <t>ÅRE</t>
        </is>
      </c>
      <c r="G424" t="n">
        <v>5.8</v>
      </c>
      <c r="H424" t="n">
        <v>0</v>
      </c>
      <c r="I424" t="n">
        <v>0</v>
      </c>
      <c r="J424" t="n">
        <v>0</v>
      </c>
      <c r="K424" t="n">
        <v>0</v>
      </c>
      <c r="L424" t="n">
        <v>0</v>
      </c>
      <c r="M424" t="n">
        <v>0</v>
      </c>
      <c r="N424" t="n">
        <v>0</v>
      </c>
      <c r="O424" t="n">
        <v>0</v>
      </c>
      <c r="P424" t="n">
        <v>0</v>
      </c>
      <c r="Q424" t="n">
        <v>0</v>
      </c>
      <c r="R424" s="2" t="inlineStr"/>
    </row>
    <row r="425" ht="15" customHeight="1">
      <c r="A425" t="inlineStr">
        <is>
          <t>A 59352-2021</t>
        </is>
      </c>
      <c r="B425" s="1" t="n">
        <v>44490</v>
      </c>
      <c r="C425" s="1" t="n">
        <v>45781</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45781</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60132-2021</t>
        </is>
      </c>
      <c r="B427" s="1" t="n">
        <v>44495</v>
      </c>
      <c r="C427" s="1" t="n">
        <v>45781</v>
      </c>
      <c r="D427" t="inlineStr">
        <is>
          <t>JÄMTLANDS LÄN</t>
        </is>
      </c>
      <c r="E427" t="inlineStr">
        <is>
          <t>ÅRE</t>
        </is>
      </c>
      <c r="G427" t="n">
        <v>3.7</v>
      </c>
      <c r="H427" t="n">
        <v>0</v>
      </c>
      <c r="I427" t="n">
        <v>0</v>
      </c>
      <c r="J427" t="n">
        <v>0</v>
      </c>
      <c r="K427" t="n">
        <v>0</v>
      </c>
      <c r="L427" t="n">
        <v>0</v>
      </c>
      <c r="M427" t="n">
        <v>0</v>
      </c>
      <c r="N427" t="n">
        <v>0</v>
      </c>
      <c r="O427" t="n">
        <v>0</v>
      </c>
      <c r="P427" t="n">
        <v>0</v>
      </c>
      <c r="Q427" t="n">
        <v>0</v>
      </c>
      <c r="R427" s="2" t="inlineStr"/>
    </row>
    <row r="428" ht="15" customHeight="1">
      <c r="A428" t="inlineStr">
        <is>
          <t>A 60122-2021</t>
        </is>
      </c>
      <c r="B428" s="1" t="n">
        <v>44495</v>
      </c>
      <c r="C428" s="1" t="n">
        <v>45781</v>
      </c>
      <c r="D428" t="inlineStr">
        <is>
          <t>JÄMTLANDS LÄN</t>
        </is>
      </c>
      <c r="E428" t="inlineStr">
        <is>
          <t>ÅRE</t>
        </is>
      </c>
      <c r="G428" t="n">
        <v>46.7</v>
      </c>
      <c r="H428" t="n">
        <v>0</v>
      </c>
      <c r="I428" t="n">
        <v>0</v>
      </c>
      <c r="J428" t="n">
        <v>0</v>
      </c>
      <c r="K428" t="n">
        <v>0</v>
      </c>
      <c r="L428" t="n">
        <v>0</v>
      </c>
      <c r="M428" t="n">
        <v>0</v>
      </c>
      <c r="N428" t="n">
        <v>0</v>
      </c>
      <c r="O428" t="n">
        <v>0</v>
      </c>
      <c r="P428" t="n">
        <v>0</v>
      </c>
      <c r="Q428" t="n">
        <v>0</v>
      </c>
      <c r="R428" s="2" t="inlineStr"/>
    </row>
    <row r="429" ht="15" customHeight="1">
      <c r="A429" t="inlineStr">
        <is>
          <t>A 61566-2021</t>
        </is>
      </c>
      <c r="B429" s="1" t="n">
        <v>44496</v>
      </c>
      <c r="C429" s="1" t="n">
        <v>45781</v>
      </c>
      <c r="D429" t="inlineStr">
        <is>
          <t>JÄMTLANDS LÄN</t>
        </is>
      </c>
      <c r="E429" t="inlineStr">
        <is>
          <t>ÅRE</t>
        </is>
      </c>
      <c r="F429" t="inlineStr">
        <is>
          <t>Övriga statliga verk och myndigheter</t>
        </is>
      </c>
      <c r="G429" t="n">
        <v>10.9</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45781</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45781</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61803-2021</t>
        </is>
      </c>
      <c r="B432" s="1" t="n">
        <v>44498</v>
      </c>
      <c r="C432" s="1" t="n">
        <v>45781</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61806-2021</t>
        </is>
      </c>
      <c r="B433" s="1" t="n">
        <v>44498</v>
      </c>
      <c r="C433" s="1" t="n">
        <v>45781</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45781</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61375-2021</t>
        </is>
      </c>
      <c r="B435" s="1" t="n">
        <v>44499</v>
      </c>
      <c r="C435" s="1" t="n">
        <v>45781</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62183-2021</t>
        </is>
      </c>
      <c r="B436" s="1" t="n">
        <v>44502</v>
      </c>
      <c r="C436" s="1" t="n">
        <v>45781</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62352-2021</t>
        </is>
      </c>
      <c r="B437" s="1" t="n">
        <v>44502</v>
      </c>
      <c r="C437" s="1" t="n">
        <v>45781</v>
      </c>
      <c r="D437" t="inlineStr">
        <is>
          <t>JÄMTLANDS LÄN</t>
        </is>
      </c>
      <c r="E437" t="inlineStr">
        <is>
          <t>ÅRE</t>
        </is>
      </c>
      <c r="F437" t="inlineStr">
        <is>
          <t>Övriga statliga verk och myndigheter</t>
        </is>
      </c>
      <c r="G437" t="n">
        <v>64.90000000000001</v>
      </c>
      <c r="H437" t="n">
        <v>0</v>
      </c>
      <c r="I437" t="n">
        <v>0</v>
      </c>
      <c r="J437" t="n">
        <v>0</v>
      </c>
      <c r="K437" t="n">
        <v>0</v>
      </c>
      <c r="L437" t="n">
        <v>0</v>
      </c>
      <c r="M437" t="n">
        <v>0</v>
      </c>
      <c r="N437" t="n">
        <v>0</v>
      </c>
      <c r="O437" t="n">
        <v>0</v>
      </c>
      <c r="P437" t="n">
        <v>0</v>
      </c>
      <c r="Q437" t="n">
        <v>0</v>
      </c>
      <c r="R437" s="2" t="inlineStr"/>
    </row>
    <row r="438" ht="15" customHeight="1">
      <c r="A438" t="inlineStr">
        <is>
          <t>A 63226-2021</t>
        </is>
      </c>
      <c r="B438" s="1" t="n">
        <v>44504</v>
      </c>
      <c r="C438" s="1" t="n">
        <v>45781</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64196-2021</t>
        </is>
      </c>
      <c r="B439" s="1" t="n">
        <v>44510</v>
      </c>
      <c r="C439" s="1" t="n">
        <v>45781</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64237-2021</t>
        </is>
      </c>
      <c r="B440" s="1" t="n">
        <v>44510</v>
      </c>
      <c r="C440" s="1" t="n">
        <v>45781</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64219-2021</t>
        </is>
      </c>
      <c r="B441" s="1" t="n">
        <v>44510</v>
      </c>
      <c r="C441" s="1" t="n">
        <v>45781</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64245-2021</t>
        </is>
      </c>
      <c r="B442" s="1" t="n">
        <v>44510</v>
      </c>
      <c r="C442" s="1" t="n">
        <v>45781</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45781</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65415-2021</t>
        </is>
      </c>
      <c r="B444" s="1" t="n">
        <v>44515</v>
      </c>
      <c r="C444" s="1" t="n">
        <v>45781</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65782-2021</t>
        </is>
      </c>
      <c r="B445" s="1" t="n">
        <v>44516</v>
      </c>
      <c r="C445" s="1" t="n">
        <v>45781</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65784-2021</t>
        </is>
      </c>
      <c r="B446" s="1" t="n">
        <v>44516</v>
      </c>
      <c r="C446" s="1" t="n">
        <v>45781</v>
      </c>
      <c r="D446" t="inlineStr">
        <is>
          <t>JÄMTLANDS LÄN</t>
        </is>
      </c>
      <c r="E446" t="inlineStr">
        <is>
          <t>ÅRE</t>
        </is>
      </c>
      <c r="G446" t="n">
        <v>1.3</v>
      </c>
      <c r="H446" t="n">
        <v>0</v>
      </c>
      <c r="I446" t="n">
        <v>0</v>
      </c>
      <c r="J446" t="n">
        <v>0</v>
      </c>
      <c r="K446" t="n">
        <v>0</v>
      </c>
      <c r="L446" t="n">
        <v>0</v>
      </c>
      <c r="M446" t="n">
        <v>0</v>
      </c>
      <c r="N446" t="n">
        <v>0</v>
      </c>
      <c r="O446" t="n">
        <v>0</v>
      </c>
      <c r="P446" t="n">
        <v>0</v>
      </c>
      <c r="Q446" t="n">
        <v>0</v>
      </c>
      <c r="R446" s="2" t="inlineStr"/>
    </row>
    <row r="447" ht="15" customHeight="1">
      <c r="A447" t="inlineStr">
        <is>
          <t>A 67541-2021</t>
        </is>
      </c>
      <c r="B447" s="1" t="n">
        <v>44524</v>
      </c>
      <c r="C447" s="1" t="n">
        <v>45781</v>
      </c>
      <c r="D447" t="inlineStr">
        <is>
          <t>JÄMTLANDS LÄN</t>
        </is>
      </c>
      <c r="E447" t="inlineStr">
        <is>
          <t>ÅRE</t>
        </is>
      </c>
      <c r="G447" t="n">
        <v>3</v>
      </c>
      <c r="H447" t="n">
        <v>0</v>
      </c>
      <c r="I447" t="n">
        <v>0</v>
      </c>
      <c r="J447" t="n">
        <v>0</v>
      </c>
      <c r="K447" t="n">
        <v>0</v>
      </c>
      <c r="L447" t="n">
        <v>0</v>
      </c>
      <c r="M447" t="n">
        <v>0</v>
      </c>
      <c r="N447" t="n">
        <v>0</v>
      </c>
      <c r="O447" t="n">
        <v>0</v>
      </c>
      <c r="P447" t="n">
        <v>0</v>
      </c>
      <c r="Q447" t="n">
        <v>0</v>
      </c>
      <c r="R447" s="2" t="inlineStr"/>
    </row>
    <row r="448" ht="15" customHeight="1">
      <c r="A448" t="inlineStr">
        <is>
          <t>A 69170-2021</t>
        </is>
      </c>
      <c r="B448" s="1" t="n">
        <v>44529</v>
      </c>
      <c r="C448" s="1" t="n">
        <v>45781</v>
      </c>
      <c r="D448" t="inlineStr">
        <is>
          <t>JÄMTLANDS LÄN</t>
        </is>
      </c>
      <c r="E448" t="inlineStr">
        <is>
          <t>ÅRE</t>
        </is>
      </c>
      <c r="G448" t="n">
        <v>114.4</v>
      </c>
      <c r="H448" t="n">
        <v>0</v>
      </c>
      <c r="I448" t="n">
        <v>0</v>
      </c>
      <c r="J448" t="n">
        <v>0</v>
      </c>
      <c r="K448" t="n">
        <v>0</v>
      </c>
      <c r="L448" t="n">
        <v>0</v>
      </c>
      <c r="M448" t="n">
        <v>0</v>
      </c>
      <c r="N448" t="n">
        <v>0</v>
      </c>
      <c r="O448" t="n">
        <v>0</v>
      </c>
      <c r="P448" t="n">
        <v>0</v>
      </c>
      <c r="Q448" t="n">
        <v>0</v>
      </c>
      <c r="R448" s="2" t="inlineStr"/>
    </row>
    <row r="449" ht="15" customHeight="1">
      <c r="A449" t="inlineStr">
        <is>
          <t>A 69568-2021</t>
        </is>
      </c>
      <c r="B449" s="1" t="n">
        <v>44531</v>
      </c>
      <c r="C449" s="1" t="n">
        <v>45781</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69592-2021</t>
        </is>
      </c>
      <c r="B450" s="1" t="n">
        <v>44531</v>
      </c>
      <c r="C450" s="1" t="n">
        <v>45781</v>
      </c>
      <c r="D450" t="inlineStr">
        <is>
          <t>JÄMTLANDS LÄN</t>
        </is>
      </c>
      <c r="E450" t="inlineStr">
        <is>
          <t>ÅRE</t>
        </is>
      </c>
      <c r="G450" t="n">
        <v>4.7</v>
      </c>
      <c r="H450" t="n">
        <v>0</v>
      </c>
      <c r="I450" t="n">
        <v>0</v>
      </c>
      <c r="J450" t="n">
        <v>0</v>
      </c>
      <c r="K450" t="n">
        <v>0</v>
      </c>
      <c r="L450" t="n">
        <v>0</v>
      </c>
      <c r="M450" t="n">
        <v>0</v>
      </c>
      <c r="N450" t="n">
        <v>0</v>
      </c>
      <c r="O450" t="n">
        <v>0</v>
      </c>
      <c r="P450" t="n">
        <v>0</v>
      </c>
      <c r="Q450" t="n">
        <v>0</v>
      </c>
      <c r="R450" s="2" t="inlineStr"/>
    </row>
    <row r="451" ht="15" customHeight="1">
      <c r="A451" t="inlineStr">
        <is>
          <t>A 69801-2021</t>
        </is>
      </c>
      <c r="B451" s="1" t="n">
        <v>44532</v>
      </c>
      <c r="C451" s="1" t="n">
        <v>45781</v>
      </c>
      <c r="D451" t="inlineStr">
        <is>
          <t>JÄMTLANDS LÄN</t>
        </is>
      </c>
      <c r="E451" t="inlineStr">
        <is>
          <t>ÅRE</t>
        </is>
      </c>
      <c r="G451" t="n">
        <v>4</v>
      </c>
      <c r="H451" t="n">
        <v>0</v>
      </c>
      <c r="I451" t="n">
        <v>0</v>
      </c>
      <c r="J451" t="n">
        <v>0</v>
      </c>
      <c r="K451" t="n">
        <v>0</v>
      </c>
      <c r="L451" t="n">
        <v>0</v>
      </c>
      <c r="M451" t="n">
        <v>0</v>
      </c>
      <c r="N451" t="n">
        <v>0</v>
      </c>
      <c r="O451" t="n">
        <v>0</v>
      </c>
      <c r="P451" t="n">
        <v>0</v>
      </c>
      <c r="Q451" t="n">
        <v>0</v>
      </c>
      <c r="R451" s="2" t="inlineStr"/>
    </row>
    <row r="452" ht="15" customHeight="1">
      <c r="A452" t="inlineStr">
        <is>
          <t>A 70523-2021</t>
        </is>
      </c>
      <c r="B452" s="1" t="n">
        <v>44536</v>
      </c>
      <c r="C452" s="1" t="n">
        <v>45781</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70522-2021</t>
        </is>
      </c>
      <c r="B453" s="1" t="n">
        <v>44536</v>
      </c>
      <c r="C453" s="1" t="n">
        <v>45781</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71005-2021</t>
        </is>
      </c>
      <c r="B454" s="1" t="n">
        <v>44538</v>
      </c>
      <c r="C454" s="1" t="n">
        <v>45781</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71043-2021</t>
        </is>
      </c>
      <c r="B455" s="1" t="n">
        <v>44538</v>
      </c>
      <c r="C455" s="1" t="n">
        <v>45781</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71968-2021</t>
        </is>
      </c>
      <c r="B456" s="1" t="n">
        <v>44540</v>
      </c>
      <c r="C456" s="1" t="n">
        <v>45781</v>
      </c>
      <c r="D456" t="inlineStr">
        <is>
          <t>JÄMTLANDS LÄN</t>
        </is>
      </c>
      <c r="E456" t="inlineStr">
        <is>
          <t>ÅRE</t>
        </is>
      </c>
      <c r="G456" t="n">
        <v>7</v>
      </c>
      <c r="H456" t="n">
        <v>0</v>
      </c>
      <c r="I456" t="n">
        <v>0</v>
      </c>
      <c r="J456" t="n">
        <v>0</v>
      </c>
      <c r="K456" t="n">
        <v>0</v>
      </c>
      <c r="L456" t="n">
        <v>0</v>
      </c>
      <c r="M456" t="n">
        <v>0</v>
      </c>
      <c r="N456" t="n">
        <v>0</v>
      </c>
      <c r="O456" t="n">
        <v>0</v>
      </c>
      <c r="P456" t="n">
        <v>0</v>
      </c>
      <c r="Q456" t="n">
        <v>0</v>
      </c>
      <c r="R456" s="2" t="inlineStr"/>
    </row>
    <row r="457" ht="15" customHeight="1">
      <c r="A457" t="inlineStr">
        <is>
          <t>A 71900-2021</t>
        </is>
      </c>
      <c r="B457" s="1" t="n">
        <v>44543</v>
      </c>
      <c r="C457" s="1" t="n">
        <v>45781</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72214-2021</t>
        </is>
      </c>
      <c r="B458" s="1" t="n">
        <v>44544</v>
      </c>
      <c r="C458" s="1" t="n">
        <v>45781</v>
      </c>
      <c r="D458" t="inlineStr">
        <is>
          <t>JÄMTLANDS LÄN</t>
        </is>
      </c>
      <c r="E458" t="inlineStr">
        <is>
          <t>ÅRE</t>
        </is>
      </c>
      <c r="G458" t="n">
        <v>14.1</v>
      </c>
      <c r="H458" t="n">
        <v>0</v>
      </c>
      <c r="I458" t="n">
        <v>0</v>
      </c>
      <c r="J458" t="n">
        <v>0</v>
      </c>
      <c r="K458" t="n">
        <v>0</v>
      </c>
      <c r="L458" t="n">
        <v>0</v>
      </c>
      <c r="M458" t="n">
        <v>0</v>
      </c>
      <c r="N458" t="n">
        <v>0</v>
      </c>
      <c r="O458" t="n">
        <v>0</v>
      </c>
      <c r="P458" t="n">
        <v>0</v>
      </c>
      <c r="Q458" t="n">
        <v>0</v>
      </c>
      <c r="R458" s="2" t="inlineStr"/>
    </row>
    <row r="459" ht="15" customHeight="1">
      <c r="A459" t="inlineStr">
        <is>
          <t>A 72215-2021</t>
        </is>
      </c>
      <c r="B459" s="1" t="n">
        <v>44544</v>
      </c>
      <c r="C459" s="1" t="n">
        <v>45781</v>
      </c>
      <c r="D459" t="inlineStr">
        <is>
          <t>JÄMTLANDS LÄN</t>
        </is>
      </c>
      <c r="E459" t="inlineStr">
        <is>
          <t>ÅRE</t>
        </is>
      </c>
      <c r="G459" t="n">
        <v>3.9</v>
      </c>
      <c r="H459" t="n">
        <v>0</v>
      </c>
      <c r="I459" t="n">
        <v>0</v>
      </c>
      <c r="J459" t="n">
        <v>0</v>
      </c>
      <c r="K459" t="n">
        <v>0</v>
      </c>
      <c r="L459" t="n">
        <v>0</v>
      </c>
      <c r="M459" t="n">
        <v>0</v>
      </c>
      <c r="N459" t="n">
        <v>0</v>
      </c>
      <c r="O459" t="n">
        <v>0</v>
      </c>
      <c r="P459" t="n">
        <v>0</v>
      </c>
      <c r="Q459" t="n">
        <v>0</v>
      </c>
      <c r="R459" s="2" t="inlineStr"/>
    </row>
    <row r="460" ht="15" customHeight="1">
      <c r="A460" t="inlineStr">
        <is>
          <t>A 73086-2021</t>
        </is>
      </c>
      <c r="B460" s="1" t="n">
        <v>44550</v>
      </c>
      <c r="C460" s="1" t="n">
        <v>45781</v>
      </c>
      <c r="D460" t="inlineStr">
        <is>
          <t>JÄMTLANDS LÄN</t>
        </is>
      </c>
      <c r="E460" t="inlineStr">
        <is>
          <t>ÅRE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73738-2021</t>
        </is>
      </c>
      <c r="B461" s="1" t="n">
        <v>44551</v>
      </c>
      <c r="C461" s="1" t="n">
        <v>45781</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73629-2021</t>
        </is>
      </c>
      <c r="B462" s="1" t="n">
        <v>44552</v>
      </c>
      <c r="C462" s="1" t="n">
        <v>45781</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73800-2021</t>
        </is>
      </c>
      <c r="B463" s="1" t="n">
        <v>44552</v>
      </c>
      <c r="C463" s="1" t="n">
        <v>45781</v>
      </c>
      <c r="D463" t="inlineStr">
        <is>
          <t>JÄMTLANDS LÄN</t>
        </is>
      </c>
      <c r="E463" t="inlineStr">
        <is>
          <t>ÅRE</t>
        </is>
      </c>
      <c r="G463" t="n">
        <v>8.6</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45781</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74046-2021</t>
        </is>
      </c>
      <c r="B465" s="1" t="n">
        <v>44553</v>
      </c>
      <c r="C465" s="1" t="n">
        <v>45781</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45781</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2230-2022</t>
        </is>
      </c>
      <c r="B467" s="1" t="n">
        <v>44578</v>
      </c>
      <c r="C467" s="1" t="n">
        <v>45781</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2571-2022</t>
        </is>
      </c>
      <c r="B468" s="1" t="n">
        <v>44580</v>
      </c>
      <c r="C468" s="1" t="n">
        <v>45781</v>
      </c>
      <c r="D468" t="inlineStr">
        <is>
          <t>JÄMTLANDS LÄN</t>
        </is>
      </c>
      <c r="E468" t="inlineStr">
        <is>
          <t>ÅRE</t>
        </is>
      </c>
      <c r="G468" t="n">
        <v>3.7</v>
      </c>
      <c r="H468" t="n">
        <v>0</v>
      </c>
      <c r="I468" t="n">
        <v>0</v>
      </c>
      <c r="J468" t="n">
        <v>0</v>
      </c>
      <c r="K468" t="n">
        <v>0</v>
      </c>
      <c r="L468" t="n">
        <v>0</v>
      </c>
      <c r="M468" t="n">
        <v>0</v>
      </c>
      <c r="N468" t="n">
        <v>0</v>
      </c>
      <c r="O468" t="n">
        <v>0</v>
      </c>
      <c r="P468" t="n">
        <v>0</v>
      </c>
      <c r="Q468" t="n">
        <v>0</v>
      </c>
      <c r="R468" s="2" t="inlineStr"/>
    </row>
    <row r="469" ht="15" customHeight="1">
      <c r="A469" t="inlineStr">
        <is>
          <t>A 5250-2022</t>
        </is>
      </c>
      <c r="B469" s="1" t="n">
        <v>44594</v>
      </c>
      <c r="C469" s="1" t="n">
        <v>45781</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5923-2022</t>
        </is>
      </c>
      <c r="B470" s="1" t="n">
        <v>44598</v>
      </c>
      <c r="C470" s="1" t="n">
        <v>45781</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45781</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11500-2022</t>
        </is>
      </c>
      <c r="B472" s="1" t="n">
        <v>44631</v>
      </c>
      <c r="C472" s="1" t="n">
        <v>45781</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13383-2022</t>
        </is>
      </c>
      <c r="B473" s="1" t="n">
        <v>44637</v>
      </c>
      <c r="C473" s="1" t="n">
        <v>45781</v>
      </c>
      <c r="D473" t="inlineStr">
        <is>
          <t>JÄMTLANDS LÄN</t>
        </is>
      </c>
      <c r="E473" t="inlineStr">
        <is>
          <t>ÅRE</t>
        </is>
      </c>
      <c r="G473" t="n">
        <v>2.2</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45781</v>
      </c>
      <c r="D474" t="inlineStr">
        <is>
          <t>JÄMTLANDS LÄN</t>
        </is>
      </c>
      <c r="E474" t="inlineStr">
        <is>
          <t>ÅRE</t>
        </is>
      </c>
      <c r="F474" t="inlineStr">
        <is>
          <t>Övriga Aktiebolag</t>
        </is>
      </c>
      <c r="G474" t="n">
        <v>13.7</v>
      </c>
      <c r="H474" t="n">
        <v>0</v>
      </c>
      <c r="I474" t="n">
        <v>0</v>
      </c>
      <c r="J474" t="n">
        <v>0</v>
      </c>
      <c r="K474" t="n">
        <v>0</v>
      </c>
      <c r="L474" t="n">
        <v>0</v>
      </c>
      <c r="M474" t="n">
        <v>0</v>
      </c>
      <c r="N474" t="n">
        <v>0</v>
      </c>
      <c r="O474" t="n">
        <v>0</v>
      </c>
      <c r="P474" t="n">
        <v>0</v>
      </c>
      <c r="Q474" t="n">
        <v>0</v>
      </c>
      <c r="R474" s="2" t="inlineStr"/>
    </row>
    <row r="475" ht="15" customHeight="1">
      <c r="A475" t="inlineStr">
        <is>
          <t>A 13324-2022</t>
        </is>
      </c>
      <c r="B475" s="1" t="n">
        <v>44645</v>
      </c>
      <c r="C475" s="1" t="n">
        <v>45781</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18443-2022</t>
        </is>
      </c>
      <c r="B476" s="1" t="n">
        <v>44686</v>
      </c>
      <c r="C476" s="1" t="n">
        <v>45781</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18849-2022</t>
        </is>
      </c>
      <c r="B477" s="1" t="n">
        <v>44690</v>
      </c>
      <c r="C477" s="1" t="n">
        <v>45781</v>
      </c>
      <c r="D477" t="inlineStr">
        <is>
          <t>JÄMTLANDS LÄN</t>
        </is>
      </c>
      <c r="E477" t="inlineStr">
        <is>
          <t>ÅRE</t>
        </is>
      </c>
      <c r="G477" t="n">
        <v>12.8</v>
      </c>
      <c r="H477" t="n">
        <v>0</v>
      </c>
      <c r="I477" t="n">
        <v>0</v>
      </c>
      <c r="J477" t="n">
        <v>0</v>
      </c>
      <c r="K477" t="n">
        <v>0</v>
      </c>
      <c r="L477" t="n">
        <v>0</v>
      </c>
      <c r="M477" t="n">
        <v>0</v>
      </c>
      <c r="N477" t="n">
        <v>0</v>
      </c>
      <c r="O477" t="n">
        <v>0</v>
      </c>
      <c r="P477" t="n">
        <v>0</v>
      </c>
      <c r="Q477" t="n">
        <v>0</v>
      </c>
      <c r="R477" s="2" t="inlineStr"/>
    </row>
    <row r="478" ht="15" customHeight="1">
      <c r="A478" t="inlineStr">
        <is>
          <t>A 20827-2022</t>
        </is>
      </c>
      <c r="B478" s="1" t="n">
        <v>44700</v>
      </c>
      <c r="C478" s="1" t="n">
        <v>45781</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20816-2022</t>
        </is>
      </c>
      <c r="B479" s="1" t="n">
        <v>44700</v>
      </c>
      <c r="C479" s="1" t="n">
        <v>45781</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45781</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22473-2022</t>
        </is>
      </c>
      <c r="B481" s="1" t="n">
        <v>44713</v>
      </c>
      <c r="C481" s="1" t="n">
        <v>45781</v>
      </c>
      <c r="D481" t="inlineStr">
        <is>
          <t>JÄMTLANDS LÄN</t>
        </is>
      </c>
      <c r="E481" t="inlineStr">
        <is>
          <t>ÅRE</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23117-2022</t>
        </is>
      </c>
      <c r="B482" s="1" t="n">
        <v>44719</v>
      </c>
      <c r="C482" s="1" t="n">
        <v>45781</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45781</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24539-2022</t>
        </is>
      </c>
      <c r="B484" s="1" t="n">
        <v>44727</v>
      </c>
      <c r="C484" s="1" t="n">
        <v>45781</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25122-2022</t>
        </is>
      </c>
      <c r="B485" s="1" t="n">
        <v>44729</v>
      </c>
      <c r="C485" s="1" t="n">
        <v>45781</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25248-2022</t>
        </is>
      </c>
      <c r="B486" s="1" t="n">
        <v>44729</v>
      </c>
      <c r="C486" s="1" t="n">
        <v>45781</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26533-2022</t>
        </is>
      </c>
      <c r="B487" s="1" t="n">
        <v>44739</v>
      </c>
      <c r="C487" s="1" t="n">
        <v>45781</v>
      </c>
      <c r="D487" t="inlineStr">
        <is>
          <t>JÄMTLANDS LÄN</t>
        </is>
      </c>
      <c r="E487" t="inlineStr">
        <is>
          <t>ÅRE</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26546-2022</t>
        </is>
      </c>
      <c r="B488" s="1" t="n">
        <v>44739</v>
      </c>
      <c r="C488" s="1" t="n">
        <v>45781</v>
      </c>
      <c r="D488" t="inlineStr">
        <is>
          <t>JÄMTLANDS LÄN</t>
        </is>
      </c>
      <c r="E488" t="inlineStr">
        <is>
          <t>ÅRE</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29385-2022</t>
        </is>
      </c>
      <c r="B489" s="1" t="n">
        <v>44753</v>
      </c>
      <c r="C489" s="1" t="n">
        <v>45781</v>
      </c>
      <c r="D489" t="inlineStr">
        <is>
          <t>JÄMTLANDS LÄN</t>
        </is>
      </c>
      <c r="E489" t="inlineStr">
        <is>
          <t>ÅRE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29383-2022</t>
        </is>
      </c>
      <c r="B490" s="1" t="n">
        <v>44753</v>
      </c>
      <c r="C490" s="1" t="n">
        <v>45781</v>
      </c>
      <c r="D490" t="inlineStr">
        <is>
          <t>JÄMTLANDS LÄN</t>
        </is>
      </c>
      <c r="E490" t="inlineStr">
        <is>
          <t>ÅRE</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31776-2022</t>
        </is>
      </c>
      <c r="B491" s="1" t="n">
        <v>44776</v>
      </c>
      <c r="C491" s="1" t="n">
        <v>45781</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32212-2022</t>
        </is>
      </c>
      <c r="B492" s="1" t="n">
        <v>44781</v>
      </c>
      <c r="C492" s="1" t="n">
        <v>45781</v>
      </c>
      <c r="D492" t="inlineStr">
        <is>
          <t>JÄMTLANDS LÄN</t>
        </is>
      </c>
      <c r="E492" t="inlineStr">
        <is>
          <t>ÅRE</t>
        </is>
      </c>
      <c r="G492" t="n">
        <v>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45781</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32758-2022</t>
        </is>
      </c>
      <c r="B494" s="1" t="n">
        <v>44783</v>
      </c>
      <c r="C494" s="1" t="n">
        <v>45781</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33023-2022</t>
        </is>
      </c>
      <c r="B495" s="1" t="n">
        <v>44784</v>
      </c>
      <c r="C495" s="1" t="n">
        <v>45781</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33003-2022</t>
        </is>
      </c>
      <c r="B496" s="1" t="n">
        <v>44784</v>
      </c>
      <c r="C496" s="1" t="n">
        <v>45781</v>
      </c>
      <c r="D496" t="inlineStr">
        <is>
          <t>JÄMTLANDS LÄN</t>
        </is>
      </c>
      <c r="E496" t="inlineStr">
        <is>
          <t>ÅRE</t>
        </is>
      </c>
      <c r="G496" t="n">
        <v>6.1</v>
      </c>
      <c r="H496" t="n">
        <v>0</v>
      </c>
      <c r="I496" t="n">
        <v>0</v>
      </c>
      <c r="J496" t="n">
        <v>0</v>
      </c>
      <c r="K496" t="n">
        <v>0</v>
      </c>
      <c r="L496" t="n">
        <v>0</v>
      </c>
      <c r="M496" t="n">
        <v>0</v>
      </c>
      <c r="N496" t="n">
        <v>0</v>
      </c>
      <c r="O496" t="n">
        <v>0</v>
      </c>
      <c r="P496" t="n">
        <v>0</v>
      </c>
      <c r="Q496" t="n">
        <v>0</v>
      </c>
      <c r="R496" s="2" t="inlineStr"/>
    </row>
    <row r="497" ht="15" customHeight="1">
      <c r="A497" t="inlineStr">
        <is>
          <t>A 33015-2022</t>
        </is>
      </c>
      <c r="B497" s="1" t="n">
        <v>44784</v>
      </c>
      <c r="C497" s="1" t="n">
        <v>45781</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33479-2022</t>
        </is>
      </c>
      <c r="B498" s="1" t="n">
        <v>44788</v>
      </c>
      <c r="C498" s="1" t="n">
        <v>45781</v>
      </c>
      <c r="D498" t="inlineStr">
        <is>
          <t>JÄMTLANDS LÄN</t>
        </is>
      </c>
      <c r="E498" t="inlineStr">
        <is>
          <t>ÅRE</t>
        </is>
      </c>
      <c r="F498" t="inlineStr">
        <is>
          <t>Sveaskog</t>
        </is>
      </c>
      <c r="G498" t="n">
        <v>5.3</v>
      </c>
      <c r="H498" t="n">
        <v>0</v>
      </c>
      <c r="I498" t="n">
        <v>0</v>
      </c>
      <c r="J498" t="n">
        <v>0</v>
      </c>
      <c r="K498" t="n">
        <v>0</v>
      </c>
      <c r="L498" t="n">
        <v>0</v>
      </c>
      <c r="M498" t="n">
        <v>0</v>
      </c>
      <c r="N498" t="n">
        <v>0</v>
      </c>
      <c r="O498" t="n">
        <v>0</v>
      </c>
      <c r="P498" t="n">
        <v>0</v>
      </c>
      <c r="Q498" t="n">
        <v>0</v>
      </c>
      <c r="R498" s="2" t="inlineStr"/>
    </row>
    <row r="499" ht="15" customHeight="1">
      <c r="A499" t="inlineStr">
        <is>
          <t>A 33480-2022</t>
        </is>
      </c>
      <c r="B499" s="1" t="n">
        <v>44788</v>
      </c>
      <c r="C499" s="1" t="n">
        <v>45781</v>
      </c>
      <c r="D499" t="inlineStr">
        <is>
          <t>JÄMTLANDS LÄN</t>
        </is>
      </c>
      <c r="E499" t="inlineStr">
        <is>
          <t>ÅRE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45781</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33565-2022</t>
        </is>
      </c>
      <c r="B501" s="1" t="n">
        <v>44789</v>
      </c>
      <c r="C501" s="1" t="n">
        <v>45781</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34033-2022</t>
        </is>
      </c>
      <c r="B502" s="1" t="n">
        <v>44790</v>
      </c>
      <c r="C502" s="1" t="n">
        <v>45781</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34916-2022</t>
        </is>
      </c>
      <c r="B503" s="1" t="n">
        <v>44796</v>
      </c>
      <c r="C503" s="1" t="n">
        <v>45781</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36219-2022</t>
        </is>
      </c>
      <c r="B504" s="1" t="n">
        <v>44803</v>
      </c>
      <c r="C504" s="1" t="n">
        <v>45781</v>
      </c>
      <c r="D504" t="inlineStr">
        <is>
          <t>JÄMTLANDS LÄN</t>
        </is>
      </c>
      <c r="E504" t="inlineStr">
        <is>
          <t>ÅRE</t>
        </is>
      </c>
      <c r="G504" t="n">
        <v>0.4</v>
      </c>
      <c r="H504" t="n">
        <v>0</v>
      </c>
      <c r="I504" t="n">
        <v>0</v>
      </c>
      <c r="J504" t="n">
        <v>0</v>
      </c>
      <c r="K504" t="n">
        <v>0</v>
      </c>
      <c r="L504" t="n">
        <v>0</v>
      </c>
      <c r="M504" t="n">
        <v>0</v>
      </c>
      <c r="N504" t="n">
        <v>0</v>
      </c>
      <c r="O504" t="n">
        <v>0</v>
      </c>
      <c r="P504" t="n">
        <v>0</v>
      </c>
      <c r="Q504" t="n">
        <v>0</v>
      </c>
      <c r="R504" s="2" t="inlineStr"/>
    </row>
    <row r="505" ht="15" customHeight="1">
      <c r="A505" t="inlineStr">
        <is>
          <t>A 37645-2022</t>
        </is>
      </c>
      <c r="B505" s="1" t="n">
        <v>44810</v>
      </c>
      <c r="C505" s="1" t="n">
        <v>45781</v>
      </c>
      <c r="D505" t="inlineStr">
        <is>
          <t>JÄMTLANDS LÄN</t>
        </is>
      </c>
      <c r="E505" t="inlineStr">
        <is>
          <t>ÅRE</t>
        </is>
      </c>
      <c r="G505" t="n">
        <v>5.3</v>
      </c>
      <c r="H505" t="n">
        <v>0</v>
      </c>
      <c r="I505" t="n">
        <v>0</v>
      </c>
      <c r="J505" t="n">
        <v>0</v>
      </c>
      <c r="K505" t="n">
        <v>0</v>
      </c>
      <c r="L505" t="n">
        <v>0</v>
      </c>
      <c r="M505" t="n">
        <v>0</v>
      </c>
      <c r="N505" t="n">
        <v>0</v>
      </c>
      <c r="O505" t="n">
        <v>0</v>
      </c>
      <c r="P505" t="n">
        <v>0</v>
      </c>
      <c r="Q505" t="n">
        <v>0</v>
      </c>
      <c r="R505" s="2" t="inlineStr"/>
    </row>
    <row r="506" ht="15" customHeight="1">
      <c r="A506" t="inlineStr">
        <is>
          <t>A 38265-2022</t>
        </is>
      </c>
      <c r="B506" s="1" t="n">
        <v>44812</v>
      </c>
      <c r="C506" s="1" t="n">
        <v>45781</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40159-2022</t>
        </is>
      </c>
      <c r="B507" s="1" t="n">
        <v>44818</v>
      </c>
      <c r="C507" s="1" t="n">
        <v>45781</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45781</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39713-2022</t>
        </is>
      </c>
      <c r="B509" s="1" t="n">
        <v>44819</v>
      </c>
      <c r="C509" s="1" t="n">
        <v>45781</v>
      </c>
      <c r="D509" t="inlineStr">
        <is>
          <t>JÄMTLANDS LÄN</t>
        </is>
      </c>
      <c r="E509" t="inlineStr">
        <is>
          <t>ÅRE</t>
        </is>
      </c>
      <c r="G509" t="n">
        <v>10.4</v>
      </c>
      <c r="H509" t="n">
        <v>0</v>
      </c>
      <c r="I509" t="n">
        <v>0</v>
      </c>
      <c r="J509" t="n">
        <v>0</v>
      </c>
      <c r="K509" t="n">
        <v>0</v>
      </c>
      <c r="L509" t="n">
        <v>0</v>
      </c>
      <c r="M509" t="n">
        <v>0</v>
      </c>
      <c r="N509" t="n">
        <v>0</v>
      </c>
      <c r="O509" t="n">
        <v>0</v>
      </c>
      <c r="P509" t="n">
        <v>0</v>
      </c>
      <c r="Q509" t="n">
        <v>0</v>
      </c>
      <c r="R509" s="2" t="inlineStr"/>
    </row>
    <row r="510" ht="15" customHeight="1">
      <c r="A510" t="inlineStr">
        <is>
          <t>A 41015-2022</t>
        </is>
      </c>
      <c r="B510" s="1" t="n">
        <v>44820</v>
      </c>
      <c r="C510" s="1" t="n">
        <v>45781</v>
      </c>
      <c r="D510" t="inlineStr">
        <is>
          <t>JÄMTLANDS LÄN</t>
        </is>
      </c>
      <c r="E510" t="inlineStr">
        <is>
          <t>ÅRE</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41162-2022</t>
        </is>
      </c>
      <c r="B511" s="1" t="n">
        <v>44825</v>
      </c>
      <c r="C511" s="1" t="n">
        <v>45781</v>
      </c>
      <c r="D511" t="inlineStr">
        <is>
          <t>JÄMTLANDS LÄN</t>
        </is>
      </c>
      <c r="E511" t="inlineStr">
        <is>
          <t>ÅRE</t>
        </is>
      </c>
      <c r="G511" t="n">
        <v>11.3</v>
      </c>
      <c r="H511" t="n">
        <v>0</v>
      </c>
      <c r="I511" t="n">
        <v>0</v>
      </c>
      <c r="J511" t="n">
        <v>0</v>
      </c>
      <c r="K511" t="n">
        <v>0</v>
      </c>
      <c r="L511" t="n">
        <v>0</v>
      </c>
      <c r="M511" t="n">
        <v>0</v>
      </c>
      <c r="N511" t="n">
        <v>0</v>
      </c>
      <c r="O511" t="n">
        <v>0</v>
      </c>
      <c r="P511" t="n">
        <v>0</v>
      </c>
      <c r="Q511" t="n">
        <v>0</v>
      </c>
      <c r="R511" s="2" t="inlineStr"/>
    </row>
    <row r="512" ht="15" customHeight="1">
      <c r="A512" t="inlineStr">
        <is>
          <t>A 41655-2022</t>
        </is>
      </c>
      <c r="B512" s="1" t="n">
        <v>44827</v>
      </c>
      <c r="C512" s="1" t="n">
        <v>45781</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41654-2022</t>
        </is>
      </c>
      <c r="B513" s="1" t="n">
        <v>44827</v>
      </c>
      <c r="C513" s="1" t="n">
        <v>45781</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41657-2022</t>
        </is>
      </c>
      <c r="B514" s="1" t="n">
        <v>44827</v>
      </c>
      <c r="C514" s="1" t="n">
        <v>45781</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42136-2022</t>
        </is>
      </c>
      <c r="B515" s="1" t="n">
        <v>44830</v>
      </c>
      <c r="C515" s="1" t="n">
        <v>45781</v>
      </c>
      <c r="D515" t="inlineStr">
        <is>
          <t>JÄMTLANDS LÄN</t>
        </is>
      </c>
      <c r="E515" t="inlineStr">
        <is>
          <t>ÅRE</t>
        </is>
      </c>
      <c r="F515" t="inlineStr">
        <is>
          <t>Bergvik skog öst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43180-2022</t>
        </is>
      </c>
      <c r="B516" s="1" t="n">
        <v>44833</v>
      </c>
      <c r="C516" s="1" t="n">
        <v>45781</v>
      </c>
      <c r="D516" t="inlineStr">
        <is>
          <t>JÄMTLANDS LÄN</t>
        </is>
      </c>
      <c r="E516" t="inlineStr">
        <is>
          <t>ÅRE</t>
        </is>
      </c>
      <c r="G516" t="n">
        <v>17.9</v>
      </c>
      <c r="H516" t="n">
        <v>0</v>
      </c>
      <c r="I516" t="n">
        <v>0</v>
      </c>
      <c r="J516" t="n">
        <v>0</v>
      </c>
      <c r="K516" t="n">
        <v>0</v>
      </c>
      <c r="L516" t="n">
        <v>0</v>
      </c>
      <c r="M516" t="n">
        <v>0</v>
      </c>
      <c r="N516" t="n">
        <v>0</v>
      </c>
      <c r="O516" t="n">
        <v>0</v>
      </c>
      <c r="P516" t="n">
        <v>0</v>
      </c>
      <c r="Q516" t="n">
        <v>0</v>
      </c>
      <c r="R516" s="2" t="inlineStr"/>
    </row>
    <row r="517" ht="15" customHeight="1">
      <c r="A517" t="inlineStr">
        <is>
          <t>A 43324-2022</t>
        </is>
      </c>
      <c r="B517" s="1" t="n">
        <v>44834</v>
      </c>
      <c r="C517" s="1" t="n">
        <v>45781</v>
      </c>
      <c r="D517" t="inlineStr">
        <is>
          <t>JÄMTLANDS LÄN</t>
        </is>
      </c>
      <c r="E517" t="inlineStr">
        <is>
          <t>ÅRE</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43583-2022</t>
        </is>
      </c>
      <c r="B518" s="1" t="n">
        <v>44834</v>
      </c>
      <c r="C518" s="1" t="n">
        <v>45781</v>
      </c>
      <c r="D518" t="inlineStr">
        <is>
          <t>JÄMTLANDS LÄN</t>
        </is>
      </c>
      <c r="E518" t="inlineStr">
        <is>
          <t>ÅRE</t>
        </is>
      </c>
      <c r="G518" t="n">
        <v>6.7</v>
      </c>
      <c r="H518" t="n">
        <v>0</v>
      </c>
      <c r="I518" t="n">
        <v>0</v>
      </c>
      <c r="J518" t="n">
        <v>0</v>
      </c>
      <c r="K518" t="n">
        <v>0</v>
      </c>
      <c r="L518" t="n">
        <v>0</v>
      </c>
      <c r="M518" t="n">
        <v>0</v>
      </c>
      <c r="N518" t="n">
        <v>0</v>
      </c>
      <c r="O518" t="n">
        <v>0</v>
      </c>
      <c r="P518" t="n">
        <v>0</v>
      </c>
      <c r="Q518" t="n">
        <v>0</v>
      </c>
      <c r="R518" s="2" t="inlineStr"/>
    </row>
    <row r="519" ht="15" customHeight="1">
      <c r="A519" t="inlineStr">
        <is>
          <t>A 44502-2022</t>
        </is>
      </c>
      <c r="B519" s="1" t="n">
        <v>44840</v>
      </c>
      <c r="C519" s="1" t="n">
        <v>45781</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45461-2022</t>
        </is>
      </c>
      <c r="B520" s="1" t="n">
        <v>44841</v>
      </c>
      <c r="C520" s="1" t="n">
        <v>45781</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45660-2022</t>
        </is>
      </c>
      <c r="B521" s="1" t="n">
        <v>44845</v>
      </c>
      <c r="C521" s="1" t="n">
        <v>45781</v>
      </c>
      <c r="D521" t="inlineStr">
        <is>
          <t>JÄMTLANDS LÄN</t>
        </is>
      </c>
      <c r="E521" t="inlineStr">
        <is>
          <t>ÅRE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46491-2022</t>
        </is>
      </c>
      <c r="B522" s="1" t="n">
        <v>44848</v>
      </c>
      <c r="C522" s="1" t="n">
        <v>45781</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46497-2022</t>
        </is>
      </c>
      <c r="B523" s="1" t="n">
        <v>44848</v>
      </c>
      <c r="C523" s="1" t="n">
        <v>45781</v>
      </c>
      <c r="D523" t="inlineStr">
        <is>
          <t>JÄMTLANDS LÄN</t>
        </is>
      </c>
      <c r="E523" t="inlineStr">
        <is>
          <t>ÅRE</t>
        </is>
      </c>
      <c r="G523" t="n">
        <v>1.6</v>
      </c>
      <c r="H523" t="n">
        <v>0</v>
      </c>
      <c r="I523" t="n">
        <v>0</v>
      </c>
      <c r="J523" t="n">
        <v>0</v>
      </c>
      <c r="K523" t="n">
        <v>0</v>
      </c>
      <c r="L523" t="n">
        <v>0</v>
      </c>
      <c r="M523" t="n">
        <v>0</v>
      </c>
      <c r="N523" t="n">
        <v>0</v>
      </c>
      <c r="O523" t="n">
        <v>0</v>
      </c>
      <c r="P523" t="n">
        <v>0</v>
      </c>
      <c r="Q523" t="n">
        <v>0</v>
      </c>
      <c r="R523" s="2" t="inlineStr"/>
    </row>
    <row r="524" ht="15" customHeight="1">
      <c r="A524" t="inlineStr">
        <is>
          <t>A 46488-2022</t>
        </is>
      </c>
      <c r="B524" s="1" t="n">
        <v>44848</v>
      </c>
      <c r="C524" s="1" t="n">
        <v>45781</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46494-2022</t>
        </is>
      </c>
      <c r="B525" s="1" t="n">
        <v>44848</v>
      </c>
      <c r="C525" s="1" t="n">
        <v>45781</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46744-2022</t>
        </is>
      </c>
      <c r="B526" s="1" t="n">
        <v>44851</v>
      </c>
      <c r="C526" s="1" t="n">
        <v>45781</v>
      </c>
      <c r="D526" t="inlineStr">
        <is>
          <t>JÄMTLANDS LÄN</t>
        </is>
      </c>
      <c r="E526" t="inlineStr">
        <is>
          <t>ÅRE</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47052-2022</t>
        </is>
      </c>
      <c r="B527" s="1" t="n">
        <v>44851</v>
      </c>
      <c r="C527" s="1" t="n">
        <v>45781</v>
      </c>
      <c r="D527" t="inlineStr">
        <is>
          <t>JÄMTLANDS LÄN</t>
        </is>
      </c>
      <c r="E527" t="inlineStr">
        <is>
          <t>ÅRE</t>
        </is>
      </c>
      <c r="G527" t="n">
        <v>90.8</v>
      </c>
      <c r="H527" t="n">
        <v>0</v>
      </c>
      <c r="I527" t="n">
        <v>0</v>
      </c>
      <c r="J527" t="n">
        <v>0</v>
      </c>
      <c r="K527" t="n">
        <v>0</v>
      </c>
      <c r="L527" t="n">
        <v>0</v>
      </c>
      <c r="M527" t="n">
        <v>0</v>
      </c>
      <c r="N527" t="n">
        <v>0</v>
      </c>
      <c r="O527" t="n">
        <v>0</v>
      </c>
      <c r="P527" t="n">
        <v>0</v>
      </c>
      <c r="Q527" t="n">
        <v>0</v>
      </c>
      <c r="R527" s="2" t="inlineStr"/>
    </row>
    <row r="528" ht="15" customHeight="1">
      <c r="A528" t="inlineStr">
        <is>
          <t>A 47664-2022</t>
        </is>
      </c>
      <c r="B528" s="1" t="n">
        <v>44854</v>
      </c>
      <c r="C528" s="1" t="n">
        <v>45781</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47873-2022</t>
        </is>
      </c>
      <c r="B529" s="1" t="n">
        <v>44855</v>
      </c>
      <c r="C529" s="1" t="n">
        <v>45781</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48898-2022</t>
        </is>
      </c>
      <c r="B530" s="1" t="n">
        <v>44860</v>
      </c>
      <c r="C530" s="1" t="n">
        <v>45781</v>
      </c>
      <c r="D530" t="inlineStr">
        <is>
          <t>JÄMTLANDS LÄN</t>
        </is>
      </c>
      <c r="E530" t="inlineStr">
        <is>
          <t>ÅRE</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49818-2022</t>
        </is>
      </c>
      <c r="B531" s="1" t="n">
        <v>44859</v>
      </c>
      <c r="C531" s="1" t="n">
        <v>45781</v>
      </c>
      <c r="D531" t="inlineStr">
        <is>
          <t>JÄMTLANDS LÄN</t>
        </is>
      </c>
      <c r="E531" t="inlineStr">
        <is>
          <t>ÅRE</t>
        </is>
      </c>
      <c r="G531" t="n">
        <v>63</v>
      </c>
      <c r="H531" t="n">
        <v>0</v>
      </c>
      <c r="I531" t="n">
        <v>0</v>
      </c>
      <c r="J531" t="n">
        <v>0</v>
      </c>
      <c r="K531" t="n">
        <v>0</v>
      </c>
      <c r="L531" t="n">
        <v>0</v>
      </c>
      <c r="M531" t="n">
        <v>0</v>
      </c>
      <c r="N531" t="n">
        <v>0</v>
      </c>
      <c r="O531" t="n">
        <v>0</v>
      </c>
      <c r="P531" t="n">
        <v>0</v>
      </c>
      <c r="Q531" t="n">
        <v>0</v>
      </c>
      <c r="R531" s="2" t="inlineStr"/>
    </row>
    <row r="532" ht="15" customHeight="1">
      <c r="A532" t="inlineStr">
        <is>
          <t>A 49610-2022</t>
        </is>
      </c>
      <c r="B532" s="1" t="n">
        <v>44859</v>
      </c>
      <c r="C532" s="1" t="n">
        <v>45781</v>
      </c>
      <c r="D532" t="inlineStr">
        <is>
          <t>JÄMTLANDS LÄN</t>
        </is>
      </c>
      <c r="E532" t="inlineStr">
        <is>
          <t>ÅRE</t>
        </is>
      </c>
      <c r="G532" t="n">
        <v>26.2</v>
      </c>
      <c r="H532" t="n">
        <v>0</v>
      </c>
      <c r="I532" t="n">
        <v>0</v>
      </c>
      <c r="J532" t="n">
        <v>0</v>
      </c>
      <c r="K532" t="n">
        <v>0</v>
      </c>
      <c r="L532" t="n">
        <v>0</v>
      </c>
      <c r="M532" t="n">
        <v>0</v>
      </c>
      <c r="N532" t="n">
        <v>0</v>
      </c>
      <c r="O532" t="n">
        <v>0</v>
      </c>
      <c r="P532" t="n">
        <v>0</v>
      </c>
      <c r="Q532" t="n">
        <v>0</v>
      </c>
      <c r="R532" s="2" t="inlineStr"/>
    </row>
    <row r="533" ht="15" customHeight="1">
      <c r="A533" t="inlineStr">
        <is>
          <t>A 50307-2022</t>
        </is>
      </c>
      <c r="B533" s="1" t="n">
        <v>44865</v>
      </c>
      <c r="C533" s="1" t="n">
        <v>45781</v>
      </c>
      <c r="D533" t="inlineStr">
        <is>
          <t>JÄMTLANDS LÄN</t>
        </is>
      </c>
      <c r="E533" t="inlineStr">
        <is>
          <t>ÅRE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52313-2022</t>
        </is>
      </c>
      <c r="B534" s="1" t="n">
        <v>44873</v>
      </c>
      <c r="C534" s="1" t="n">
        <v>45781</v>
      </c>
      <c r="D534" t="inlineStr">
        <is>
          <t>JÄMTLANDS LÄN</t>
        </is>
      </c>
      <c r="E534" t="inlineStr">
        <is>
          <t>ÅRE</t>
        </is>
      </c>
      <c r="G534" t="n">
        <v>3.4</v>
      </c>
      <c r="H534" t="n">
        <v>0</v>
      </c>
      <c r="I534" t="n">
        <v>0</v>
      </c>
      <c r="J534" t="n">
        <v>0</v>
      </c>
      <c r="K534" t="n">
        <v>0</v>
      </c>
      <c r="L534" t="n">
        <v>0</v>
      </c>
      <c r="M534" t="n">
        <v>0</v>
      </c>
      <c r="N534" t="n">
        <v>0</v>
      </c>
      <c r="O534" t="n">
        <v>0</v>
      </c>
      <c r="P534" t="n">
        <v>0</v>
      </c>
      <c r="Q534" t="n">
        <v>0</v>
      </c>
      <c r="R534" s="2" t="inlineStr"/>
    </row>
    <row r="535" ht="15" customHeight="1">
      <c r="A535" t="inlineStr">
        <is>
          <t>A 52470-2022</t>
        </is>
      </c>
      <c r="B535" s="1" t="n">
        <v>44874</v>
      </c>
      <c r="C535" s="1" t="n">
        <v>45781</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52485-2022</t>
        </is>
      </c>
      <c r="B536" s="1" t="n">
        <v>44874</v>
      </c>
      <c r="C536" s="1" t="n">
        <v>45781</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52707-2022</t>
        </is>
      </c>
      <c r="B537" s="1" t="n">
        <v>44874</v>
      </c>
      <c r="C537" s="1" t="n">
        <v>45781</v>
      </c>
      <c r="D537" t="inlineStr">
        <is>
          <t>JÄMTLANDS LÄN</t>
        </is>
      </c>
      <c r="E537" t="inlineStr">
        <is>
          <t>ÅRE</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54615-2022</t>
        </is>
      </c>
      <c r="B538" s="1" t="n">
        <v>44883</v>
      </c>
      <c r="C538" s="1" t="n">
        <v>45781</v>
      </c>
      <c r="D538" t="inlineStr">
        <is>
          <t>JÄMTLANDS LÄN</t>
        </is>
      </c>
      <c r="E538" t="inlineStr">
        <is>
          <t>ÅRE</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54611-2022</t>
        </is>
      </c>
      <c r="B539" s="1" t="n">
        <v>44883</v>
      </c>
      <c r="C539" s="1" t="n">
        <v>45781</v>
      </c>
      <c r="D539" t="inlineStr">
        <is>
          <t>JÄMTLANDS LÄN</t>
        </is>
      </c>
      <c r="E539" t="inlineStr">
        <is>
          <t>ÅRE</t>
        </is>
      </c>
      <c r="F539" t="inlineStr">
        <is>
          <t>Övriga Aktiebolag</t>
        </is>
      </c>
      <c r="G539" t="n">
        <v>11.7</v>
      </c>
      <c r="H539" t="n">
        <v>0</v>
      </c>
      <c r="I539" t="n">
        <v>0</v>
      </c>
      <c r="J539" t="n">
        <v>0</v>
      </c>
      <c r="K539" t="n">
        <v>0</v>
      </c>
      <c r="L539" t="n">
        <v>0</v>
      </c>
      <c r="M539" t="n">
        <v>0</v>
      </c>
      <c r="N539" t="n">
        <v>0</v>
      </c>
      <c r="O539" t="n">
        <v>0</v>
      </c>
      <c r="P539" t="n">
        <v>0</v>
      </c>
      <c r="Q539" t="n">
        <v>0</v>
      </c>
      <c r="R539" s="2" t="inlineStr"/>
    </row>
    <row r="540" ht="15" customHeight="1">
      <c r="A540" t="inlineStr">
        <is>
          <t>A 54904-2022</t>
        </is>
      </c>
      <c r="B540" s="1" t="n">
        <v>44886</v>
      </c>
      <c r="C540" s="1" t="n">
        <v>45781</v>
      </c>
      <c r="D540" t="inlineStr">
        <is>
          <t>JÄMTLANDS LÄN</t>
        </is>
      </c>
      <c r="E540" t="inlineStr">
        <is>
          <t>ÅRE</t>
        </is>
      </c>
      <c r="F540" t="inlineStr">
        <is>
          <t>Övriga Aktiebolag</t>
        </is>
      </c>
      <c r="G540" t="n">
        <v>12.2</v>
      </c>
      <c r="H540" t="n">
        <v>0</v>
      </c>
      <c r="I540" t="n">
        <v>0</v>
      </c>
      <c r="J540" t="n">
        <v>0</v>
      </c>
      <c r="K540" t="n">
        <v>0</v>
      </c>
      <c r="L540" t="n">
        <v>0</v>
      </c>
      <c r="M540" t="n">
        <v>0</v>
      </c>
      <c r="N540" t="n">
        <v>0</v>
      </c>
      <c r="O540" t="n">
        <v>0</v>
      </c>
      <c r="P540" t="n">
        <v>0</v>
      </c>
      <c r="Q540" t="n">
        <v>0</v>
      </c>
      <c r="R540" s="2" t="inlineStr"/>
    </row>
    <row r="541" ht="15" customHeight="1">
      <c r="A541" t="inlineStr">
        <is>
          <t>A 55230-2022</t>
        </is>
      </c>
      <c r="B541" s="1" t="n">
        <v>44887</v>
      </c>
      <c r="C541" s="1" t="n">
        <v>45781</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55235-2022</t>
        </is>
      </c>
      <c r="B542" s="1" t="n">
        <v>44887</v>
      </c>
      <c r="C542" s="1" t="n">
        <v>45781</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55229-2022</t>
        </is>
      </c>
      <c r="B543" s="1" t="n">
        <v>44887</v>
      </c>
      <c r="C543" s="1" t="n">
        <v>45781</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55234-2022</t>
        </is>
      </c>
      <c r="B544" s="1" t="n">
        <v>44887</v>
      </c>
      <c r="C544" s="1" t="n">
        <v>45781</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55233-2022</t>
        </is>
      </c>
      <c r="B545" s="1" t="n">
        <v>44887</v>
      </c>
      <c r="C545" s="1" t="n">
        <v>45781</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55237-2022</t>
        </is>
      </c>
      <c r="B546" s="1" t="n">
        <v>44887</v>
      </c>
      <c r="C546" s="1" t="n">
        <v>45781</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55232-2022</t>
        </is>
      </c>
      <c r="B547" s="1" t="n">
        <v>44887</v>
      </c>
      <c r="C547" s="1" t="n">
        <v>45781</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55236-2022</t>
        </is>
      </c>
      <c r="B548" s="1" t="n">
        <v>44887</v>
      </c>
      <c r="C548" s="1" t="n">
        <v>45781</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56182-2022</t>
        </is>
      </c>
      <c r="B549" s="1" t="n">
        <v>44889</v>
      </c>
      <c r="C549" s="1" t="n">
        <v>45781</v>
      </c>
      <c r="D549" t="inlineStr">
        <is>
          <t>JÄMTLANDS LÄN</t>
        </is>
      </c>
      <c r="E549" t="inlineStr">
        <is>
          <t>ÅRE</t>
        </is>
      </c>
      <c r="G549" t="n">
        <v>42.3</v>
      </c>
      <c r="H549" t="n">
        <v>0</v>
      </c>
      <c r="I549" t="n">
        <v>0</v>
      </c>
      <c r="J549" t="n">
        <v>0</v>
      </c>
      <c r="K549" t="n">
        <v>0</v>
      </c>
      <c r="L549" t="n">
        <v>0</v>
      </c>
      <c r="M549" t="n">
        <v>0</v>
      </c>
      <c r="N549" t="n">
        <v>0</v>
      </c>
      <c r="O549" t="n">
        <v>0</v>
      </c>
      <c r="P549" t="n">
        <v>0</v>
      </c>
      <c r="Q549" t="n">
        <v>0</v>
      </c>
      <c r="R549" s="2" t="inlineStr"/>
    </row>
    <row r="550" ht="15" customHeight="1">
      <c r="A550" t="inlineStr">
        <is>
          <t>A 55944-2022</t>
        </is>
      </c>
      <c r="B550" s="1" t="n">
        <v>44889</v>
      </c>
      <c r="C550" s="1" t="n">
        <v>45781</v>
      </c>
      <c r="D550" t="inlineStr">
        <is>
          <t>JÄMTLANDS LÄN</t>
        </is>
      </c>
      <c r="E550" t="inlineStr">
        <is>
          <t>ÅRE</t>
        </is>
      </c>
      <c r="G550" t="n">
        <v>11.1</v>
      </c>
      <c r="H550" t="n">
        <v>0</v>
      </c>
      <c r="I550" t="n">
        <v>0</v>
      </c>
      <c r="J550" t="n">
        <v>0</v>
      </c>
      <c r="K550" t="n">
        <v>0</v>
      </c>
      <c r="L550" t="n">
        <v>0</v>
      </c>
      <c r="M550" t="n">
        <v>0</v>
      </c>
      <c r="N550" t="n">
        <v>0</v>
      </c>
      <c r="O550" t="n">
        <v>0</v>
      </c>
      <c r="P550" t="n">
        <v>0</v>
      </c>
      <c r="Q550" t="n">
        <v>0</v>
      </c>
      <c r="R550" s="2" t="inlineStr"/>
    </row>
    <row r="551" ht="15" customHeight="1">
      <c r="A551" t="inlineStr">
        <is>
          <t>A 56254-2022</t>
        </is>
      </c>
      <c r="B551" s="1" t="n">
        <v>44890</v>
      </c>
      <c r="C551" s="1" t="n">
        <v>45781</v>
      </c>
      <c r="D551" t="inlineStr">
        <is>
          <t>JÄMTLANDS LÄN</t>
        </is>
      </c>
      <c r="E551" t="inlineStr">
        <is>
          <t>ÅRE</t>
        </is>
      </c>
      <c r="F551" t="inlineStr">
        <is>
          <t>Övriga Aktiebolag</t>
        </is>
      </c>
      <c r="G551" t="n">
        <v>7.7</v>
      </c>
      <c r="H551" t="n">
        <v>0</v>
      </c>
      <c r="I551" t="n">
        <v>0</v>
      </c>
      <c r="J551" t="n">
        <v>0</v>
      </c>
      <c r="K551" t="n">
        <v>0</v>
      </c>
      <c r="L551" t="n">
        <v>0</v>
      </c>
      <c r="M551" t="n">
        <v>0</v>
      </c>
      <c r="N551" t="n">
        <v>0</v>
      </c>
      <c r="O551" t="n">
        <v>0</v>
      </c>
      <c r="P551" t="n">
        <v>0</v>
      </c>
      <c r="Q551" t="n">
        <v>0</v>
      </c>
      <c r="R551" s="2" t="inlineStr"/>
    </row>
    <row r="552" ht="15" customHeight="1">
      <c r="A552" t="inlineStr">
        <is>
          <t>A 56659-2022</t>
        </is>
      </c>
      <c r="B552" s="1" t="n">
        <v>44893</v>
      </c>
      <c r="C552" s="1" t="n">
        <v>45781</v>
      </c>
      <c r="D552" t="inlineStr">
        <is>
          <t>JÄMTLANDS LÄN</t>
        </is>
      </c>
      <c r="E552" t="inlineStr">
        <is>
          <t>ÅRE</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56508-2022</t>
        </is>
      </c>
      <c r="B553" s="1" t="n">
        <v>44893</v>
      </c>
      <c r="C553" s="1" t="n">
        <v>45781</v>
      </c>
      <c r="D553" t="inlineStr">
        <is>
          <t>JÄMTLANDS LÄN</t>
        </is>
      </c>
      <c r="E553" t="inlineStr">
        <is>
          <t>ÅRE</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45781</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56556-2022</t>
        </is>
      </c>
      <c r="B555" s="1" t="n">
        <v>44893</v>
      </c>
      <c r="C555" s="1" t="n">
        <v>45781</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56650-2022</t>
        </is>
      </c>
      <c r="B556" s="1" t="n">
        <v>44893</v>
      </c>
      <c r="C556" s="1" t="n">
        <v>45781</v>
      </c>
      <c r="D556" t="inlineStr">
        <is>
          <t>JÄMTLANDS LÄN</t>
        </is>
      </c>
      <c r="E556" t="inlineStr">
        <is>
          <t>ÅRE</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56581-2022</t>
        </is>
      </c>
      <c r="B557" s="1" t="n">
        <v>44893</v>
      </c>
      <c r="C557" s="1" t="n">
        <v>45781</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56673-2022</t>
        </is>
      </c>
      <c r="B558" s="1" t="n">
        <v>44893</v>
      </c>
      <c r="C558" s="1" t="n">
        <v>45781</v>
      </c>
      <c r="D558" t="inlineStr">
        <is>
          <t>JÄMTLANDS LÄN</t>
        </is>
      </c>
      <c r="E558" t="inlineStr">
        <is>
          <t>ÅRE</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58337-2022</t>
        </is>
      </c>
      <c r="B559" s="1" t="n">
        <v>44893</v>
      </c>
      <c r="C559" s="1" t="n">
        <v>45781</v>
      </c>
      <c r="D559" t="inlineStr">
        <is>
          <t>JÄMTLANDS LÄN</t>
        </is>
      </c>
      <c r="E559" t="inlineStr">
        <is>
          <t>ÅRE</t>
        </is>
      </c>
      <c r="G559" t="n">
        <v>1.4</v>
      </c>
      <c r="H559" t="n">
        <v>0</v>
      </c>
      <c r="I559" t="n">
        <v>0</v>
      </c>
      <c r="J559" t="n">
        <v>0</v>
      </c>
      <c r="K559" t="n">
        <v>0</v>
      </c>
      <c r="L559" t="n">
        <v>0</v>
      </c>
      <c r="M559" t="n">
        <v>0</v>
      </c>
      <c r="N559" t="n">
        <v>0</v>
      </c>
      <c r="O559" t="n">
        <v>0</v>
      </c>
      <c r="P559" t="n">
        <v>0</v>
      </c>
      <c r="Q559" t="n">
        <v>0</v>
      </c>
      <c r="R559" s="2" t="inlineStr"/>
    </row>
    <row r="560" ht="15" customHeight="1">
      <c r="A560" t="inlineStr">
        <is>
          <t>A 56811-2022</t>
        </is>
      </c>
      <c r="B560" s="1" t="n">
        <v>44894</v>
      </c>
      <c r="C560" s="1" t="n">
        <v>45781</v>
      </c>
      <c r="D560" t="inlineStr">
        <is>
          <t>JÄMTLANDS LÄN</t>
        </is>
      </c>
      <c r="E560" t="inlineStr">
        <is>
          <t>ÅRE</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56910-2022</t>
        </is>
      </c>
      <c r="B561" s="1" t="n">
        <v>44894</v>
      </c>
      <c r="C561" s="1" t="n">
        <v>45781</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56828-2022</t>
        </is>
      </c>
      <c r="B562" s="1" t="n">
        <v>44894</v>
      </c>
      <c r="C562" s="1" t="n">
        <v>45781</v>
      </c>
      <c r="D562" t="inlineStr">
        <is>
          <t>JÄMTLANDS LÄN</t>
        </is>
      </c>
      <c r="E562" t="inlineStr">
        <is>
          <t>ÅRE</t>
        </is>
      </c>
      <c r="F562" t="inlineStr">
        <is>
          <t>Övriga Aktiebolag</t>
        </is>
      </c>
      <c r="G562" t="n">
        <v>9.9</v>
      </c>
      <c r="H562" t="n">
        <v>0</v>
      </c>
      <c r="I562" t="n">
        <v>0</v>
      </c>
      <c r="J562" t="n">
        <v>0</v>
      </c>
      <c r="K562" t="n">
        <v>0</v>
      </c>
      <c r="L562" t="n">
        <v>0</v>
      </c>
      <c r="M562" t="n">
        <v>0</v>
      </c>
      <c r="N562" t="n">
        <v>0</v>
      </c>
      <c r="O562" t="n">
        <v>0</v>
      </c>
      <c r="P562" t="n">
        <v>0</v>
      </c>
      <c r="Q562" t="n">
        <v>0</v>
      </c>
      <c r="R562" s="2" t="inlineStr"/>
    </row>
    <row r="563" ht="15" customHeight="1">
      <c r="A563" t="inlineStr">
        <is>
          <t>A 56842-2022</t>
        </is>
      </c>
      <c r="B563" s="1" t="n">
        <v>44894</v>
      </c>
      <c r="C563" s="1" t="n">
        <v>45781</v>
      </c>
      <c r="D563" t="inlineStr">
        <is>
          <t>JÄMTLANDS LÄN</t>
        </is>
      </c>
      <c r="E563" t="inlineStr">
        <is>
          <t>ÅRE</t>
        </is>
      </c>
      <c r="F563" t="inlineStr">
        <is>
          <t>Övriga Aktiebolag</t>
        </is>
      </c>
      <c r="G563" t="n">
        <v>7.9</v>
      </c>
      <c r="H563" t="n">
        <v>0</v>
      </c>
      <c r="I563" t="n">
        <v>0</v>
      </c>
      <c r="J563" t="n">
        <v>0</v>
      </c>
      <c r="K563" t="n">
        <v>0</v>
      </c>
      <c r="L563" t="n">
        <v>0</v>
      </c>
      <c r="M563" t="n">
        <v>0</v>
      </c>
      <c r="N563" t="n">
        <v>0</v>
      </c>
      <c r="O563" t="n">
        <v>0</v>
      </c>
      <c r="P563" t="n">
        <v>0</v>
      </c>
      <c r="Q563" t="n">
        <v>0</v>
      </c>
      <c r="R563" s="2" t="inlineStr"/>
    </row>
    <row r="564" ht="15" customHeight="1">
      <c r="A564" t="inlineStr">
        <is>
          <t>A 56835-2022</t>
        </is>
      </c>
      <c r="B564" s="1" t="n">
        <v>44894</v>
      </c>
      <c r="C564" s="1" t="n">
        <v>45781</v>
      </c>
      <c r="D564" t="inlineStr">
        <is>
          <t>JÄMTLANDS LÄN</t>
        </is>
      </c>
      <c r="E564" t="inlineStr">
        <is>
          <t>ÅRE</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56837-2022</t>
        </is>
      </c>
      <c r="B565" s="1" t="n">
        <v>44894</v>
      </c>
      <c r="C565" s="1" t="n">
        <v>45781</v>
      </c>
      <c r="D565" t="inlineStr">
        <is>
          <t>JÄMTLANDS LÄN</t>
        </is>
      </c>
      <c r="E565" t="inlineStr">
        <is>
          <t>ÅRE</t>
        </is>
      </c>
      <c r="F565" t="inlineStr">
        <is>
          <t>Övriga Aktiebolag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57394-2022</t>
        </is>
      </c>
      <c r="B566" s="1" t="n">
        <v>44896</v>
      </c>
      <c r="C566" s="1" t="n">
        <v>45781</v>
      </c>
      <c r="D566" t="inlineStr">
        <is>
          <t>JÄMTLANDS LÄN</t>
        </is>
      </c>
      <c r="E566" t="inlineStr">
        <is>
          <t>ÅRE</t>
        </is>
      </c>
      <c r="G566" t="n">
        <v>5.8</v>
      </c>
      <c r="H566" t="n">
        <v>0</v>
      </c>
      <c r="I566" t="n">
        <v>0</v>
      </c>
      <c r="J566" t="n">
        <v>0</v>
      </c>
      <c r="K566" t="n">
        <v>0</v>
      </c>
      <c r="L566" t="n">
        <v>0</v>
      </c>
      <c r="M566" t="n">
        <v>0</v>
      </c>
      <c r="N566" t="n">
        <v>0</v>
      </c>
      <c r="O566" t="n">
        <v>0</v>
      </c>
      <c r="P566" t="n">
        <v>0</v>
      </c>
      <c r="Q566" t="n">
        <v>0</v>
      </c>
      <c r="R566" s="2" t="inlineStr"/>
    </row>
    <row r="567" ht="15" customHeight="1">
      <c r="A567" t="inlineStr">
        <is>
          <t>A 58889-2022</t>
        </is>
      </c>
      <c r="B567" s="1" t="n">
        <v>44896</v>
      </c>
      <c r="C567" s="1" t="n">
        <v>45781</v>
      </c>
      <c r="D567" t="inlineStr">
        <is>
          <t>JÄMTLANDS LÄN</t>
        </is>
      </c>
      <c r="E567" t="inlineStr">
        <is>
          <t>ÅRE</t>
        </is>
      </c>
      <c r="G567" t="n">
        <v>6.9</v>
      </c>
      <c r="H567" t="n">
        <v>0</v>
      </c>
      <c r="I567" t="n">
        <v>0</v>
      </c>
      <c r="J567" t="n">
        <v>0</v>
      </c>
      <c r="K567" t="n">
        <v>0</v>
      </c>
      <c r="L567" t="n">
        <v>0</v>
      </c>
      <c r="M567" t="n">
        <v>0</v>
      </c>
      <c r="N567" t="n">
        <v>0</v>
      </c>
      <c r="O567" t="n">
        <v>0</v>
      </c>
      <c r="P567" t="n">
        <v>0</v>
      </c>
      <c r="Q567" t="n">
        <v>0</v>
      </c>
      <c r="R567" s="2" t="inlineStr"/>
    </row>
    <row r="568" ht="15" customHeight="1">
      <c r="A568" t="inlineStr">
        <is>
          <t>A 58882-2022</t>
        </is>
      </c>
      <c r="B568" s="1" t="n">
        <v>44896</v>
      </c>
      <c r="C568" s="1" t="n">
        <v>45781</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58513-2022</t>
        </is>
      </c>
      <c r="B569" s="1" t="n">
        <v>44902</v>
      </c>
      <c r="C569" s="1" t="n">
        <v>45781</v>
      </c>
      <c r="D569" t="inlineStr">
        <is>
          <t>JÄMTLANDS LÄN</t>
        </is>
      </c>
      <c r="E569" t="inlineStr">
        <is>
          <t>ÅRE</t>
        </is>
      </c>
      <c r="G569" t="n">
        <v>0.7</v>
      </c>
      <c r="H569" t="n">
        <v>0</v>
      </c>
      <c r="I569" t="n">
        <v>0</v>
      </c>
      <c r="J569" t="n">
        <v>0</v>
      </c>
      <c r="K569" t="n">
        <v>0</v>
      </c>
      <c r="L569" t="n">
        <v>0</v>
      </c>
      <c r="M569" t="n">
        <v>0</v>
      </c>
      <c r="N569" t="n">
        <v>0</v>
      </c>
      <c r="O569" t="n">
        <v>0</v>
      </c>
      <c r="P569" t="n">
        <v>0</v>
      </c>
      <c r="Q569" t="n">
        <v>0</v>
      </c>
      <c r="R569" s="2" t="inlineStr"/>
    </row>
    <row r="570" ht="15" customHeight="1">
      <c r="A570" t="inlineStr">
        <is>
          <t>A 58516-2022</t>
        </is>
      </c>
      <c r="B570" s="1" t="n">
        <v>44902</v>
      </c>
      <c r="C570" s="1" t="n">
        <v>45781</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58758-2022</t>
        </is>
      </c>
      <c r="B571" s="1" t="n">
        <v>44903</v>
      </c>
      <c r="C571" s="1" t="n">
        <v>45781</v>
      </c>
      <c r="D571" t="inlineStr">
        <is>
          <t>JÄMTLANDS LÄN</t>
        </is>
      </c>
      <c r="E571" t="inlineStr">
        <is>
          <t>ÅRE</t>
        </is>
      </c>
      <c r="F571" t="inlineStr">
        <is>
          <t>Övriga Aktiebolag</t>
        </is>
      </c>
      <c r="G571" t="n">
        <v>42.9</v>
      </c>
      <c r="H571" t="n">
        <v>0</v>
      </c>
      <c r="I571" t="n">
        <v>0</v>
      </c>
      <c r="J571" t="n">
        <v>0</v>
      </c>
      <c r="K571" t="n">
        <v>0</v>
      </c>
      <c r="L571" t="n">
        <v>0</v>
      </c>
      <c r="M571" t="n">
        <v>0</v>
      </c>
      <c r="N571" t="n">
        <v>0</v>
      </c>
      <c r="O571" t="n">
        <v>0</v>
      </c>
      <c r="P571" t="n">
        <v>0</v>
      </c>
      <c r="Q571" t="n">
        <v>0</v>
      </c>
      <c r="R571" s="2" t="inlineStr"/>
    </row>
    <row r="572" ht="15" customHeight="1">
      <c r="A572" t="inlineStr">
        <is>
          <t>A 58856-2022</t>
        </is>
      </c>
      <c r="B572" s="1" t="n">
        <v>44903</v>
      </c>
      <c r="C572" s="1" t="n">
        <v>45781</v>
      </c>
      <c r="D572" t="inlineStr">
        <is>
          <t>JÄMTLANDS LÄN</t>
        </is>
      </c>
      <c r="E572" t="inlineStr">
        <is>
          <t>ÅRE</t>
        </is>
      </c>
      <c r="F572" t="inlineStr">
        <is>
          <t>Övriga Aktiebolag</t>
        </is>
      </c>
      <c r="G572" t="n">
        <v>10.2</v>
      </c>
      <c r="H572" t="n">
        <v>0</v>
      </c>
      <c r="I572" t="n">
        <v>0</v>
      </c>
      <c r="J572" t="n">
        <v>0</v>
      </c>
      <c r="K572" t="n">
        <v>0</v>
      </c>
      <c r="L572" t="n">
        <v>0</v>
      </c>
      <c r="M572" t="n">
        <v>0</v>
      </c>
      <c r="N572" t="n">
        <v>0</v>
      </c>
      <c r="O572" t="n">
        <v>0</v>
      </c>
      <c r="P572" t="n">
        <v>0</v>
      </c>
      <c r="Q572" t="n">
        <v>0</v>
      </c>
      <c r="R572" s="2" t="inlineStr"/>
    </row>
    <row r="573" ht="15" customHeight="1">
      <c r="A573" t="inlineStr">
        <is>
          <t>A 58917-2022</t>
        </is>
      </c>
      <c r="B573" s="1" t="n">
        <v>44903</v>
      </c>
      <c r="C573" s="1" t="n">
        <v>45781</v>
      </c>
      <c r="D573" t="inlineStr">
        <is>
          <t>JÄMTLANDS LÄN</t>
        </is>
      </c>
      <c r="E573" t="inlineStr">
        <is>
          <t>ÅRE</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58845-2022</t>
        </is>
      </c>
      <c r="B574" s="1" t="n">
        <v>44903</v>
      </c>
      <c r="C574" s="1" t="n">
        <v>45781</v>
      </c>
      <c r="D574" t="inlineStr">
        <is>
          <t>JÄMTLANDS LÄN</t>
        </is>
      </c>
      <c r="E574" t="inlineStr">
        <is>
          <t>ÅRE</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59163-2022</t>
        </is>
      </c>
      <c r="B575" s="1" t="n">
        <v>44904</v>
      </c>
      <c r="C575" s="1" t="n">
        <v>45781</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60540-2022</t>
        </is>
      </c>
      <c r="B576" s="1" t="n">
        <v>44904</v>
      </c>
      <c r="C576" s="1" t="n">
        <v>45781</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59387-2022</t>
        </is>
      </c>
      <c r="B577" s="1" t="n">
        <v>44905</v>
      </c>
      <c r="C577" s="1" t="n">
        <v>45781</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60935-2022</t>
        </is>
      </c>
      <c r="B578" s="1" t="n">
        <v>44908</v>
      </c>
      <c r="C578" s="1" t="n">
        <v>45781</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60899-2022</t>
        </is>
      </c>
      <c r="B579" s="1" t="n">
        <v>44908</v>
      </c>
      <c r="C579" s="1" t="n">
        <v>45781</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60944-2022</t>
        </is>
      </c>
      <c r="B580" s="1" t="n">
        <v>44908</v>
      </c>
      <c r="C580" s="1" t="n">
        <v>45781</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60921-2022</t>
        </is>
      </c>
      <c r="B581" s="1" t="n">
        <v>44908</v>
      </c>
      <c r="C581" s="1" t="n">
        <v>45781</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60941-2022</t>
        </is>
      </c>
      <c r="B582" s="1" t="n">
        <v>44908</v>
      </c>
      <c r="C582" s="1" t="n">
        <v>45781</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61340-2022</t>
        </is>
      </c>
      <c r="B583" s="1" t="n">
        <v>44909</v>
      </c>
      <c r="C583" s="1" t="n">
        <v>45781</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61481-2022</t>
        </is>
      </c>
      <c r="B584" s="1" t="n">
        <v>44910</v>
      </c>
      <c r="C584" s="1" t="n">
        <v>45781</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60426-2022</t>
        </is>
      </c>
      <c r="B585" s="1" t="n">
        <v>44911</v>
      </c>
      <c r="C585" s="1" t="n">
        <v>45781</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60437-2022</t>
        </is>
      </c>
      <c r="B586" s="1" t="n">
        <v>44911</v>
      </c>
      <c r="C586" s="1" t="n">
        <v>45781</v>
      </c>
      <c r="D586" t="inlineStr">
        <is>
          <t>JÄMTLANDS LÄN</t>
        </is>
      </c>
      <c r="E586" t="inlineStr">
        <is>
          <t>ÅRE</t>
        </is>
      </c>
      <c r="F586" t="inlineStr">
        <is>
          <t>Övriga Aktiebolag</t>
        </is>
      </c>
      <c r="G586" t="n">
        <v>9.4</v>
      </c>
      <c r="H586" t="n">
        <v>0</v>
      </c>
      <c r="I586" t="n">
        <v>0</v>
      </c>
      <c r="J586" t="n">
        <v>0</v>
      </c>
      <c r="K586" t="n">
        <v>0</v>
      </c>
      <c r="L586" t="n">
        <v>0</v>
      </c>
      <c r="M586" t="n">
        <v>0</v>
      </c>
      <c r="N586" t="n">
        <v>0</v>
      </c>
      <c r="O586" t="n">
        <v>0</v>
      </c>
      <c r="P586" t="n">
        <v>0</v>
      </c>
      <c r="Q586" t="n">
        <v>0</v>
      </c>
      <c r="R586" s="2" t="inlineStr"/>
    </row>
    <row r="587" ht="15" customHeight="1">
      <c r="A587" t="inlineStr">
        <is>
          <t>A 61789-2022</t>
        </is>
      </c>
      <c r="B587" s="1" t="n">
        <v>44917</v>
      </c>
      <c r="C587" s="1" t="n">
        <v>45781</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61784-2022</t>
        </is>
      </c>
      <c r="B588" s="1" t="n">
        <v>44917</v>
      </c>
      <c r="C588" s="1" t="n">
        <v>45781</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61925-2022</t>
        </is>
      </c>
      <c r="B589" s="1" t="n">
        <v>44917</v>
      </c>
      <c r="C589" s="1" t="n">
        <v>45781</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61930-2022</t>
        </is>
      </c>
      <c r="B590" s="1" t="n">
        <v>44917</v>
      </c>
      <c r="C590" s="1" t="n">
        <v>45781</v>
      </c>
      <c r="D590" t="inlineStr">
        <is>
          <t>JÄMTLANDS LÄN</t>
        </is>
      </c>
      <c r="E590" t="inlineStr">
        <is>
          <t>ÅRE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45781</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45781</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61931-2022</t>
        </is>
      </c>
      <c r="B593" s="1" t="n">
        <v>44917</v>
      </c>
      <c r="C593" s="1" t="n">
        <v>45781</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62520-2022</t>
        </is>
      </c>
      <c r="B594" s="1" t="n">
        <v>44924</v>
      </c>
      <c r="C594" s="1" t="n">
        <v>45781</v>
      </c>
      <c r="D594" t="inlineStr">
        <is>
          <t>JÄMTLANDS LÄN</t>
        </is>
      </c>
      <c r="E594" t="inlineStr">
        <is>
          <t>ÅRE</t>
        </is>
      </c>
      <c r="G594" t="n">
        <v>0.7</v>
      </c>
      <c r="H594" t="n">
        <v>0</v>
      </c>
      <c r="I594" t="n">
        <v>0</v>
      </c>
      <c r="J594" t="n">
        <v>0</v>
      </c>
      <c r="K594" t="n">
        <v>0</v>
      </c>
      <c r="L594" t="n">
        <v>0</v>
      </c>
      <c r="M594" t="n">
        <v>0</v>
      </c>
      <c r="N594" t="n">
        <v>0</v>
      </c>
      <c r="O594" t="n">
        <v>0</v>
      </c>
      <c r="P594" t="n">
        <v>0</v>
      </c>
      <c r="Q594" t="n">
        <v>0</v>
      </c>
      <c r="R594" s="2" t="inlineStr"/>
    </row>
    <row r="595" ht="15" customHeight="1">
      <c r="A595" t="inlineStr">
        <is>
          <t>A 62528-2022</t>
        </is>
      </c>
      <c r="B595" s="1" t="n">
        <v>44924</v>
      </c>
      <c r="C595" s="1" t="n">
        <v>45781</v>
      </c>
      <c r="D595" t="inlineStr">
        <is>
          <t>JÄMTLANDS LÄN</t>
        </is>
      </c>
      <c r="E595" t="inlineStr">
        <is>
          <t>ÅRE</t>
        </is>
      </c>
      <c r="G595" t="n">
        <v>5.3</v>
      </c>
      <c r="H595" t="n">
        <v>0</v>
      </c>
      <c r="I595" t="n">
        <v>0</v>
      </c>
      <c r="J595" t="n">
        <v>0</v>
      </c>
      <c r="K595" t="n">
        <v>0</v>
      </c>
      <c r="L595" t="n">
        <v>0</v>
      </c>
      <c r="M595" t="n">
        <v>0</v>
      </c>
      <c r="N595" t="n">
        <v>0</v>
      </c>
      <c r="O595" t="n">
        <v>0</v>
      </c>
      <c r="P595" t="n">
        <v>0</v>
      </c>
      <c r="Q595" t="n">
        <v>0</v>
      </c>
      <c r="R595" s="2" t="inlineStr"/>
    </row>
    <row r="596" ht="15" customHeight="1">
      <c r="A596" t="inlineStr">
        <is>
          <t>A 62582-2022</t>
        </is>
      </c>
      <c r="B596" s="1" t="n">
        <v>44924</v>
      </c>
      <c r="C596" s="1" t="n">
        <v>45781</v>
      </c>
      <c r="D596" t="inlineStr">
        <is>
          <t>JÄMTLANDS LÄN</t>
        </is>
      </c>
      <c r="E596" t="inlineStr">
        <is>
          <t>ÅRE</t>
        </is>
      </c>
      <c r="F596" t="inlineStr">
        <is>
          <t>Övriga Aktiebolag</t>
        </is>
      </c>
      <c r="G596" t="n">
        <v>6.9</v>
      </c>
      <c r="H596" t="n">
        <v>0</v>
      </c>
      <c r="I596" t="n">
        <v>0</v>
      </c>
      <c r="J596" t="n">
        <v>0</v>
      </c>
      <c r="K596" t="n">
        <v>0</v>
      </c>
      <c r="L596" t="n">
        <v>0</v>
      </c>
      <c r="M596" t="n">
        <v>0</v>
      </c>
      <c r="N596" t="n">
        <v>0</v>
      </c>
      <c r="O596" t="n">
        <v>0</v>
      </c>
      <c r="P596" t="n">
        <v>0</v>
      </c>
      <c r="Q596" t="n">
        <v>0</v>
      </c>
      <c r="R596" s="2" t="inlineStr"/>
    </row>
    <row r="597" ht="15" customHeight="1">
      <c r="A597" t="inlineStr">
        <is>
          <t>A 34-2023</t>
        </is>
      </c>
      <c r="B597" s="1" t="n">
        <v>44928</v>
      </c>
      <c r="C597" s="1" t="n">
        <v>45781</v>
      </c>
      <c r="D597" t="inlineStr">
        <is>
          <t>JÄMTLANDS LÄN</t>
        </is>
      </c>
      <c r="E597" t="inlineStr">
        <is>
          <t>ÅRE</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278-2023</t>
        </is>
      </c>
      <c r="B598" s="1" t="n">
        <v>44928</v>
      </c>
      <c r="C598" s="1" t="n">
        <v>45781</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556-2023</t>
        </is>
      </c>
      <c r="B599" s="1" t="n">
        <v>44930</v>
      </c>
      <c r="C599" s="1" t="n">
        <v>45781</v>
      </c>
      <c r="D599" t="inlineStr">
        <is>
          <t>JÄMTLANDS LÄN</t>
        </is>
      </c>
      <c r="E599" t="inlineStr">
        <is>
          <t>ÅRE</t>
        </is>
      </c>
      <c r="G599" t="n">
        <v>14.9</v>
      </c>
      <c r="H599" t="n">
        <v>0</v>
      </c>
      <c r="I599" t="n">
        <v>0</v>
      </c>
      <c r="J599" t="n">
        <v>0</v>
      </c>
      <c r="K599" t="n">
        <v>0</v>
      </c>
      <c r="L599" t="n">
        <v>0</v>
      </c>
      <c r="M599" t="n">
        <v>0</v>
      </c>
      <c r="N599" t="n">
        <v>0</v>
      </c>
      <c r="O599" t="n">
        <v>0</v>
      </c>
      <c r="P599" t="n">
        <v>0</v>
      </c>
      <c r="Q599" t="n">
        <v>0</v>
      </c>
      <c r="R599" s="2" t="inlineStr"/>
    </row>
    <row r="600" ht="15" customHeight="1">
      <c r="A600" t="inlineStr">
        <is>
          <t>A 772-2023</t>
        </is>
      </c>
      <c r="B600" s="1" t="n">
        <v>44931</v>
      </c>
      <c r="C600" s="1" t="n">
        <v>45781</v>
      </c>
      <c r="D600" t="inlineStr">
        <is>
          <t>JÄMTLANDS LÄN</t>
        </is>
      </c>
      <c r="E600" t="inlineStr">
        <is>
          <t>ÅRE</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844-2023</t>
        </is>
      </c>
      <c r="B601" s="1" t="n">
        <v>44931</v>
      </c>
      <c r="C601" s="1" t="n">
        <v>45781</v>
      </c>
      <c r="D601" t="inlineStr">
        <is>
          <t>JÄMTLANDS LÄN</t>
        </is>
      </c>
      <c r="E601" t="inlineStr">
        <is>
          <t>ÅRE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848-2023</t>
        </is>
      </c>
      <c r="B602" s="1" t="n">
        <v>44931</v>
      </c>
      <c r="C602" s="1" t="n">
        <v>45781</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796-2023</t>
        </is>
      </c>
      <c r="B603" s="1" t="n">
        <v>44931</v>
      </c>
      <c r="C603" s="1" t="n">
        <v>45781</v>
      </c>
      <c r="D603" t="inlineStr">
        <is>
          <t>JÄMTLANDS LÄN</t>
        </is>
      </c>
      <c r="E603" t="inlineStr">
        <is>
          <t>ÅRE</t>
        </is>
      </c>
      <c r="F603" t="inlineStr">
        <is>
          <t>Övriga Aktiebolag</t>
        </is>
      </c>
      <c r="G603" t="n">
        <v>13.8</v>
      </c>
      <c r="H603" t="n">
        <v>0</v>
      </c>
      <c r="I603" t="n">
        <v>0</v>
      </c>
      <c r="J603" t="n">
        <v>0</v>
      </c>
      <c r="K603" t="n">
        <v>0</v>
      </c>
      <c r="L603" t="n">
        <v>0</v>
      </c>
      <c r="M603" t="n">
        <v>0</v>
      </c>
      <c r="N603" t="n">
        <v>0</v>
      </c>
      <c r="O603" t="n">
        <v>0</v>
      </c>
      <c r="P603" t="n">
        <v>0</v>
      </c>
      <c r="Q603" t="n">
        <v>0</v>
      </c>
      <c r="R603" s="2" t="inlineStr"/>
    </row>
    <row r="604" ht="15" customHeight="1">
      <c r="A604" t="inlineStr">
        <is>
          <t>A 837-2023</t>
        </is>
      </c>
      <c r="B604" s="1" t="n">
        <v>44931</v>
      </c>
      <c r="C604" s="1" t="n">
        <v>45781</v>
      </c>
      <c r="D604" t="inlineStr">
        <is>
          <t>JÄMTLANDS LÄN</t>
        </is>
      </c>
      <c r="E604" t="inlineStr">
        <is>
          <t>ÅRE</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v>
      </c>
      <c r="C605" s="1" t="n">
        <v>45781</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45781</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1806-2023</t>
        </is>
      </c>
      <c r="B607" s="1" t="n">
        <v>44938</v>
      </c>
      <c r="C607" s="1" t="n">
        <v>45781</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2374-2023</t>
        </is>
      </c>
      <c r="B608" s="1" t="n">
        <v>44942</v>
      </c>
      <c r="C608" s="1" t="n">
        <v>45781</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2376-2023</t>
        </is>
      </c>
      <c r="B609" s="1" t="n">
        <v>44942</v>
      </c>
      <c r="C609" s="1" t="n">
        <v>45781</v>
      </c>
      <c r="D609" t="inlineStr">
        <is>
          <t>JÄMTLANDS LÄN</t>
        </is>
      </c>
      <c r="E609" t="inlineStr">
        <is>
          <t>ÅRE</t>
        </is>
      </c>
      <c r="G609" t="n">
        <v>0.1</v>
      </c>
      <c r="H609" t="n">
        <v>0</v>
      </c>
      <c r="I609" t="n">
        <v>0</v>
      </c>
      <c r="J609" t="n">
        <v>0</v>
      </c>
      <c r="K609" t="n">
        <v>0</v>
      </c>
      <c r="L609" t="n">
        <v>0</v>
      </c>
      <c r="M609" t="n">
        <v>0</v>
      </c>
      <c r="N609" t="n">
        <v>0</v>
      </c>
      <c r="O609" t="n">
        <v>0</v>
      </c>
      <c r="P609" t="n">
        <v>0</v>
      </c>
      <c r="Q609" t="n">
        <v>0</v>
      </c>
      <c r="R609" s="2" t="inlineStr"/>
    </row>
    <row r="610" ht="15" customHeight="1">
      <c r="A610" t="inlineStr">
        <is>
          <t>A 3149-2023</t>
        </is>
      </c>
      <c r="B610" s="1" t="n">
        <v>44946</v>
      </c>
      <c r="C610" s="1" t="n">
        <v>45781</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3066-2023</t>
        </is>
      </c>
      <c r="B611" s="1" t="n">
        <v>44946</v>
      </c>
      <c r="C611" s="1" t="n">
        <v>45781</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45781</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3154-2023</t>
        </is>
      </c>
      <c r="B613" s="1" t="n">
        <v>44946</v>
      </c>
      <c r="C613" s="1" t="n">
        <v>45781</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3196-2023</t>
        </is>
      </c>
      <c r="B614" s="1" t="n">
        <v>44946</v>
      </c>
      <c r="C614" s="1" t="n">
        <v>45781</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45781</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3263-2023</t>
        </is>
      </c>
      <c r="B616" s="1" t="n">
        <v>44949</v>
      </c>
      <c r="C616" s="1" t="n">
        <v>45781</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5651-2023</t>
        </is>
      </c>
      <c r="B617" s="1" t="n">
        <v>44958</v>
      </c>
      <c r="C617" s="1" t="n">
        <v>45781</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5654-2023</t>
        </is>
      </c>
      <c r="B618" s="1" t="n">
        <v>44958</v>
      </c>
      <c r="C618" s="1" t="n">
        <v>45781</v>
      </c>
      <c r="D618" t="inlineStr">
        <is>
          <t>JÄMTLANDS LÄN</t>
        </is>
      </c>
      <c r="E618" t="inlineStr">
        <is>
          <t>ÅRE</t>
        </is>
      </c>
      <c r="G618" t="n">
        <v>14.4</v>
      </c>
      <c r="H618" t="n">
        <v>0</v>
      </c>
      <c r="I618" t="n">
        <v>0</v>
      </c>
      <c r="J618" t="n">
        <v>0</v>
      </c>
      <c r="K618" t="n">
        <v>0</v>
      </c>
      <c r="L618" t="n">
        <v>0</v>
      </c>
      <c r="M618" t="n">
        <v>0</v>
      </c>
      <c r="N618" t="n">
        <v>0</v>
      </c>
      <c r="O618" t="n">
        <v>0</v>
      </c>
      <c r="P618" t="n">
        <v>0</v>
      </c>
      <c r="Q618" t="n">
        <v>0</v>
      </c>
      <c r="R618" s="2" t="inlineStr"/>
    </row>
    <row r="619" ht="15" customHeight="1">
      <c r="A619" t="inlineStr">
        <is>
          <t>A 5460-2023</t>
        </is>
      </c>
      <c r="B619" s="1" t="n">
        <v>44960</v>
      </c>
      <c r="C619" s="1" t="n">
        <v>45781</v>
      </c>
      <c r="D619" t="inlineStr">
        <is>
          <t>JÄMTLANDS LÄN</t>
        </is>
      </c>
      <c r="E619" t="inlineStr">
        <is>
          <t>ÅRE</t>
        </is>
      </c>
      <c r="G619" t="n">
        <v>9.4</v>
      </c>
      <c r="H619" t="n">
        <v>0</v>
      </c>
      <c r="I619" t="n">
        <v>0</v>
      </c>
      <c r="J619" t="n">
        <v>0</v>
      </c>
      <c r="K619" t="n">
        <v>0</v>
      </c>
      <c r="L619" t="n">
        <v>0</v>
      </c>
      <c r="M619" t="n">
        <v>0</v>
      </c>
      <c r="N619" t="n">
        <v>0</v>
      </c>
      <c r="O619" t="n">
        <v>0</v>
      </c>
      <c r="P619" t="n">
        <v>0</v>
      </c>
      <c r="Q619" t="n">
        <v>0</v>
      </c>
      <c r="R619" s="2" t="inlineStr"/>
    </row>
    <row r="620" ht="15" customHeight="1">
      <c r="A620" t="inlineStr">
        <is>
          <t>A 7573-2023</t>
        </is>
      </c>
      <c r="B620" s="1" t="n">
        <v>44967</v>
      </c>
      <c r="C620" s="1" t="n">
        <v>45781</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7970-2023</t>
        </is>
      </c>
      <c r="B621" s="1" t="n">
        <v>44970</v>
      </c>
      <c r="C621" s="1" t="n">
        <v>45781</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7977-2023</t>
        </is>
      </c>
      <c r="B622" s="1" t="n">
        <v>44970</v>
      </c>
      <c r="C622" s="1" t="n">
        <v>45781</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8443-2023</t>
        </is>
      </c>
      <c r="B623" s="1" t="n">
        <v>44977</v>
      </c>
      <c r="C623" s="1" t="n">
        <v>45781</v>
      </c>
      <c r="D623" t="inlineStr">
        <is>
          <t>JÄMTLANDS LÄN</t>
        </is>
      </c>
      <c r="E623" t="inlineStr">
        <is>
          <t>ÅRE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8630-2023</t>
        </is>
      </c>
      <c r="B624" s="1" t="n">
        <v>44977</v>
      </c>
      <c r="C624" s="1" t="n">
        <v>45781</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10248-2023</t>
        </is>
      </c>
      <c r="B625" s="1" t="n">
        <v>44980</v>
      </c>
      <c r="C625" s="1" t="n">
        <v>45781</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9775-2023</t>
        </is>
      </c>
      <c r="B626" s="1" t="n">
        <v>44984</v>
      </c>
      <c r="C626" s="1" t="n">
        <v>45781</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11813-2023</t>
        </is>
      </c>
      <c r="B627" s="1" t="n">
        <v>44994</v>
      </c>
      <c r="C627" s="1" t="n">
        <v>45781</v>
      </c>
      <c r="D627" t="inlineStr">
        <is>
          <t>JÄMTLANDS LÄN</t>
        </is>
      </c>
      <c r="E627" t="inlineStr">
        <is>
          <t>ÅRE</t>
        </is>
      </c>
      <c r="F627" t="inlineStr">
        <is>
          <t>Kommuner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12224-2023</t>
        </is>
      </c>
      <c r="B628" s="1" t="n">
        <v>44998</v>
      </c>
      <c r="C628" s="1" t="n">
        <v>45781</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12286-2023</t>
        </is>
      </c>
      <c r="B629" s="1" t="n">
        <v>44998</v>
      </c>
      <c r="C629" s="1" t="n">
        <v>45781</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v>
      </c>
      <c r="C630" s="1" t="n">
        <v>45781</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12168-2023</t>
        </is>
      </c>
      <c r="B631" s="1" t="n">
        <v>44998</v>
      </c>
      <c r="C631" s="1" t="n">
        <v>45781</v>
      </c>
      <c r="D631" t="inlineStr">
        <is>
          <t>JÄMTLANDS LÄN</t>
        </is>
      </c>
      <c r="E631" t="inlineStr">
        <is>
          <t>ÅRE</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12173-2023</t>
        </is>
      </c>
      <c r="B632" s="1" t="n">
        <v>44998</v>
      </c>
      <c r="C632" s="1" t="n">
        <v>45781</v>
      </c>
      <c r="D632" t="inlineStr">
        <is>
          <t>JÄMTLANDS LÄN</t>
        </is>
      </c>
      <c r="E632" t="inlineStr">
        <is>
          <t>ÅRE</t>
        </is>
      </c>
      <c r="G632" t="n">
        <v>2.5</v>
      </c>
      <c r="H632" t="n">
        <v>0</v>
      </c>
      <c r="I632" t="n">
        <v>0</v>
      </c>
      <c r="J632" t="n">
        <v>0</v>
      </c>
      <c r="K632" t="n">
        <v>0</v>
      </c>
      <c r="L632" t="n">
        <v>0</v>
      </c>
      <c r="M632" t="n">
        <v>0</v>
      </c>
      <c r="N632" t="n">
        <v>0</v>
      </c>
      <c r="O632" t="n">
        <v>0</v>
      </c>
      <c r="P632" t="n">
        <v>0</v>
      </c>
      <c r="Q632" t="n">
        <v>0</v>
      </c>
      <c r="R632" s="2" t="inlineStr"/>
    </row>
    <row r="633" ht="15" customHeight="1">
      <c r="A633" t="inlineStr">
        <is>
          <t>A 12182-2023</t>
        </is>
      </c>
      <c r="B633" s="1" t="n">
        <v>44998</v>
      </c>
      <c r="C633" s="1" t="n">
        <v>45781</v>
      </c>
      <c r="D633" t="inlineStr">
        <is>
          <t>JÄMTLANDS LÄN</t>
        </is>
      </c>
      <c r="E633" t="inlineStr">
        <is>
          <t>ÅRE</t>
        </is>
      </c>
      <c r="G633" t="n">
        <v>11.7</v>
      </c>
      <c r="H633" t="n">
        <v>0</v>
      </c>
      <c r="I633" t="n">
        <v>0</v>
      </c>
      <c r="J633" t="n">
        <v>0</v>
      </c>
      <c r="K633" t="n">
        <v>0</v>
      </c>
      <c r="L633" t="n">
        <v>0</v>
      </c>
      <c r="M633" t="n">
        <v>0</v>
      </c>
      <c r="N633" t="n">
        <v>0</v>
      </c>
      <c r="O633" t="n">
        <v>0</v>
      </c>
      <c r="P633" t="n">
        <v>0</v>
      </c>
      <c r="Q633" t="n">
        <v>0</v>
      </c>
      <c r="R633" s="2" t="inlineStr"/>
    </row>
    <row r="634" ht="15" customHeight="1">
      <c r="A634" t="inlineStr">
        <is>
          <t>A 12216-2023</t>
        </is>
      </c>
      <c r="B634" s="1" t="n">
        <v>44998</v>
      </c>
      <c r="C634" s="1" t="n">
        <v>45781</v>
      </c>
      <c r="D634" t="inlineStr">
        <is>
          <t>JÄMTLANDS LÄN</t>
        </is>
      </c>
      <c r="E634" t="inlineStr">
        <is>
          <t>ÅRE</t>
        </is>
      </c>
      <c r="G634" t="n">
        <v>11.8</v>
      </c>
      <c r="H634" t="n">
        <v>0</v>
      </c>
      <c r="I634" t="n">
        <v>0</v>
      </c>
      <c r="J634" t="n">
        <v>0</v>
      </c>
      <c r="K634" t="n">
        <v>0</v>
      </c>
      <c r="L634" t="n">
        <v>0</v>
      </c>
      <c r="M634" t="n">
        <v>0</v>
      </c>
      <c r="N634" t="n">
        <v>0</v>
      </c>
      <c r="O634" t="n">
        <v>0</v>
      </c>
      <c r="P634" t="n">
        <v>0</v>
      </c>
      <c r="Q634" t="n">
        <v>0</v>
      </c>
      <c r="R634" s="2" t="inlineStr"/>
    </row>
    <row r="635" ht="15" customHeight="1">
      <c r="A635" t="inlineStr">
        <is>
          <t>A 12227-2023</t>
        </is>
      </c>
      <c r="B635" s="1" t="n">
        <v>44998</v>
      </c>
      <c r="C635" s="1" t="n">
        <v>45781</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12288-2023</t>
        </is>
      </c>
      <c r="B636" s="1" t="n">
        <v>44998</v>
      </c>
      <c r="C636" s="1" t="n">
        <v>45781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12292-2023</t>
        </is>
      </c>
      <c r="B637" s="1" t="n">
        <v>44998</v>
      </c>
      <c r="C637" s="1" t="n">
        <v>45781</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45781</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12287-2023</t>
        </is>
      </c>
      <c r="B639" s="1" t="n">
        <v>44998</v>
      </c>
      <c r="C639" s="1" t="n">
        <v>45781</v>
      </c>
      <c r="D639" t="inlineStr">
        <is>
          <t>JÄMTLANDS LÄN</t>
        </is>
      </c>
      <c r="E639" t="inlineStr">
        <is>
          <t>ÅRE</t>
        </is>
      </c>
      <c r="G639" t="n">
        <v>3.1</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v>
      </c>
      <c r="C640" s="1" t="n">
        <v>45781</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12179-2023</t>
        </is>
      </c>
      <c r="B641" s="1" t="n">
        <v>44998</v>
      </c>
      <c r="C641" s="1" t="n">
        <v>45781</v>
      </c>
      <c r="D641" t="inlineStr">
        <is>
          <t>JÄMTLANDS LÄN</t>
        </is>
      </c>
      <c r="E641" t="inlineStr">
        <is>
          <t>ÅRE</t>
        </is>
      </c>
      <c r="G641" t="n">
        <v>8.5</v>
      </c>
      <c r="H641" t="n">
        <v>0</v>
      </c>
      <c r="I641" t="n">
        <v>0</v>
      </c>
      <c r="J641" t="n">
        <v>0</v>
      </c>
      <c r="K641" t="n">
        <v>0</v>
      </c>
      <c r="L641" t="n">
        <v>0</v>
      </c>
      <c r="M641" t="n">
        <v>0</v>
      </c>
      <c r="N641" t="n">
        <v>0</v>
      </c>
      <c r="O641" t="n">
        <v>0</v>
      </c>
      <c r="P641" t="n">
        <v>0</v>
      </c>
      <c r="Q641" t="n">
        <v>0</v>
      </c>
      <c r="R641" s="2" t="inlineStr"/>
    </row>
    <row r="642" ht="15" customHeight="1">
      <c r="A642" t="inlineStr">
        <is>
          <t>A 12294-2023</t>
        </is>
      </c>
      <c r="B642" s="1" t="n">
        <v>44998</v>
      </c>
      <c r="C642" s="1" t="n">
        <v>45781</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12663-2023</t>
        </is>
      </c>
      <c r="B643" s="1" t="n">
        <v>45000</v>
      </c>
      <c r="C643" s="1" t="n">
        <v>45781</v>
      </c>
      <c r="D643" t="inlineStr">
        <is>
          <t>JÄMTLANDS LÄN</t>
        </is>
      </c>
      <c r="E643" t="inlineStr">
        <is>
          <t>ÅRE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12669-2023</t>
        </is>
      </c>
      <c r="B644" s="1" t="n">
        <v>45000</v>
      </c>
      <c r="C644" s="1" t="n">
        <v>45781</v>
      </c>
      <c r="D644" t="inlineStr">
        <is>
          <t>JÄMTLANDS LÄN</t>
        </is>
      </c>
      <c r="E644" t="inlineStr">
        <is>
          <t>ÅRE</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12816-2023</t>
        </is>
      </c>
      <c r="B645" s="1" t="n">
        <v>45000</v>
      </c>
      <c r="C645" s="1" t="n">
        <v>45781</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13648-2023</t>
        </is>
      </c>
      <c r="B646" s="1" t="n">
        <v>45006</v>
      </c>
      <c r="C646" s="1" t="n">
        <v>45781</v>
      </c>
      <c r="D646" t="inlineStr">
        <is>
          <t>JÄMTLANDS LÄN</t>
        </is>
      </c>
      <c r="E646" t="inlineStr">
        <is>
          <t>ÅRE</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13631-2023</t>
        </is>
      </c>
      <c r="B647" s="1" t="n">
        <v>45006</v>
      </c>
      <c r="C647" s="1" t="n">
        <v>45781</v>
      </c>
      <c r="D647" t="inlineStr">
        <is>
          <t>JÄMTLANDS LÄN</t>
        </is>
      </c>
      <c r="E647" t="inlineStr">
        <is>
          <t>ÅRE</t>
        </is>
      </c>
      <c r="G647" t="n">
        <v>2</v>
      </c>
      <c r="H647" t="n">
        <v>0</v>
      </c>
      <c r="I647" t="n">
        <v>0</v>
      </c>
      <c r="J647" t="n">
        <v>0</v>
      </c>
      <c r="K647" t="n">
        <v>0</v>
      </c>
      <c r="L647" t="n">
        <v>0</v>
      </c>
      <c r="M647" t="n">
        <v>0</v>
      </c>
      <c r="N647" t="n">
        <v>0</v>
      </c>
      <c r="O647" t="n">
        <v>0</v>
      </c>
      <c r="P647" t="n">
        <v>0</v>
      </c>
      <c r="Q647" t="n">
        <v>0</v>
      </c>
      <c r="R647" s="2" t="inlineStr"/>
    </row>
    <row r="648" ht="15" customHeight="1">
      <c r="A648" t="inlineStr">
        <is>
          <t>A 13645-2023</t>
        </is>
      </c>
      <c r="B648" s="1" t="n">
        <v>45006</v>
      </c>
      <c r="C648" s="1" t="n">
        <v>45781</v>
      </c>
      <c r="D648" t="inlineStr">
        <is>
          <t>JÄMTLANDS LÄN</t>
        </is>
      </c>
      <c r="E648" t="inlineStr">
        <is>
          <t>ÅRE</t>
        </is>
      </c>
      <c r="G648" t="n">
        <v>5</v>
      </c>
      <c r="H648" t="n">
        <v>0</v>
      </c>
      <c r="I648" t="n">
        <v>0</v>
      </c>
      <c r="J648" t="n">
        <v>0</v>
      </c>
      <c r="K648" t="n">
        <v>0</v>
      </c>
      <c r="L648" t="n">
        <v>0</v>
      </c>
      <c r="M648" t="n">
        <v>0</v>
      </c>
      <c r="N648" t="n">
        <v>0</v>
      </c>
      <c r="O648" t="n">
        <v>0</v>
      </c>
      <c r="P648" t="n">
        <v>0</v>
      </c>
      <c r="Q648" t="n">
        <v>0</v>
      </c>
      <c r="R648" s="2" t="inlineStr"/>
    </row>
    <row r="649" ht="15" customHeight="1">
      <c r="A649" t="inlineStr">
        <is>
          <t>A 15884-2023</t>
        </is>
      </c>
      <c r="B649" s="1" t="n">
        <v>45022</v>
      </c>
      <c r="C649" s="1" t="n">
        <v>45781</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15892-2023</t>
        </is>
      </c>
      <c r="B650" s="1" t="n">
        <v>45022</v>
      </c>
      <c r="C650" s="1" t="n">
        <v>45781</v>
      </c>
      <c r="D650" t="inlineStr">
        <is>
          <t>JÄMTLANDS LÄN</t>
        </is>
      </c>
      <c r="E650" t="inlineStr">
        <is>
          <t>ÅRE</t>
        </is>
      </c>
      <c r="G650" t="n">
        <v>16.1</v>
      </c>
      <c r="H650" t="n">
        <v>0</v>
      </c>
      <c r="I650" t="n">
        <v>0</v>
      </c>
      <c r="J650" t="n">
        <v>0</v>
      </c>
      <c r="K650" t="n">
        <v>0</v>
      </c>
      <c r="L650" t="n">
        <v>0</v>
      </c>
      <c r="M650" t="n">
        <v>0</v>
      </c>
      <c r="N650" t="n">
        <v>0</v>
      </c>
      <c r="O650" t="n">
        <v>0</v>
      </c>
      <c r="P650" t="n">
        <v>0</v>
      </c>
      <c r="Q650" t="n">
        <v>0</v>
      </c>
      <c r="R650" s="2" t="inlineStr"/>
    </row>
    <row r="651" ht="15" customHeight="1">
      <c r="A651" t="inlineStr">
        <is>
          <t>A 17566-2023</t>
        </is>
      </c>
      <c r="B651" s="1" t="n">
        <v>45034</v>
      </c>
      <c r="C651" s="1" t="n">
        <v>45781</v>
      </c>
      <c r="D651" t="inlineStr">
        <is>
          <t>JÄMTLANDS LÄN</t>
        </is>
      </c>
      <c r="E651" t="inlineStr">
        <is>
          <t>ÅRE</t>
        </is>
      </c>
      <c r="G651" t="n">
        <v>4.8</v>
      </c>
      <c r="H651" t="n">
        <v>0</v>
      </c>
      <c r="I651" t="n">
        <v>0</v>
      </c>
      <c r="J651" t="n">
        <v>0</v>
      </c>
      <c r="K651" t="n">
        <v>0</v>
      </c>
      <c r="L651" t="n">
        <v>0</v>
      </c>
      <c r="M651" t="n">
        <v>0</v>
      </c>
      <c r="N651" t="n">
        <v>0</v>
      </c>
      <c r="O651" t="n">
        <v>0</v>
      </c>
      <c r="P651" t="n">
        <v>0</v>
      </c>
      <c r="Q651" t="n">
        <v>0</v>
      </c>
      <c r="R651" s="2" t="inlineStr"/>
    </row>
    <row r="652" ht="15" customHeight="1">
      <c r="A652" t="inlineStr">
        <is>
          <t>A 17636-2023</t>
        </is>
      </c>
      <c r="B652" s="1" t="n">
        <v>45036</v>
      </c>
      <c r="C652" s="1" t="n">
        <v>45781</v>
      </c>
      <c r="D652" t="inlineStr">
        <is>
          <t>JÄMTLANDS LÄN</t>
        </is>
      </c>
      <c r="E652" t="inlineStr">
        <is>
          <t>ÅRE</t>
        </is>
      </c>
      <c r="G652" t="n">
        <v>2.5</v>
      </c>
      <c r="H652" t="n">
        <v>0</v>
      </c>
      <c r="I652" t="n">
        <v>0</v>
      </c>
      <c r="J652" t="n">
        <v>0</v>
      </c>
      <c r="K652" t="n">
        <v>0</v>
      </c>
      <c r="L652" t="n">
        <v>0</v>
      </c>
      <c r="M652" t="n">
        <v>0</v>
      </c>
      <c r="N652" t="n">
        <v>0</v>
      </c>
      <c r="O652" t="n">
        <v>0</v>
      </c>
      <c r="P652" t="n">
        <v>0</v>
      </c>
      <c r="Q652" t="n">
        <v>0</v>
      </c>
      <c r="R652" s="2" t="inlineStr"/>
    </row>
    <row r="653" ht="15" customHeight="1">
      <c r="A653" t="inlineStr">
        <is>
          <t>A 17703-2023</t>
        </is>
      </c>
      <c r="B653" s="1" t="n">
        <v>45037</v>
      </c>
      <c r="C653" s="1" t="n">
        <v>45781</v>
      </c>
      <c r="D653" t="inlineStr">
        <is>
          <t>JÄMTLANDS LÄN</t>
        </is>
      </c>
      <c r="E653" t="inlineStr">
        <is>
          <t>ÅRE</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17847-2023</t>
        </is>
      </c>
      <c r="B654" s="1" t="n">
        <v>45037</v>
      </c>
      <c r="C654" s="1" t="n">
        <v>45781</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18204-2023</t>
        </is>
      </c>
      <c r="B655" s="1" t="n">
        <v>45040</v>
      </c>
      <c r="C655" s="1" t="n">
        <v>45781</v>
      </c>
      <c r="D655" t="inlineStr">
        <is>
          <t>JÄMTLANDS LÄN</t>
        </is>
      </c>
      <c r="E655" t="inlineStr">
        <is>
          <t>ÅRE</t>
        </is>
      </c>
      <c r="G655" t="n">
        <v>2.1</v>
      </c>
      <c r="H655" t="n">
        <v>0</v>
      </c>
      <c r="I655" t="n">
        <v>0</v>
      </c>
      <c r="J655" t="n">
        <v>0</v>
      </c>
      <c r="K655" t="n">
        <v>0</v>
      </c>
      <c r="L655" t="n">
        <v>0</v>
      </c>
      <c r="M655" t="n">
        <v>0</v>
      </c>
      <c r="N655" t="n">
        <v>0</v>
      </c>
      <c r="O655" t="n">
        <v>0</v>
      </c>
      <c r="P655" t="n">
        <v>0</v>
      </c>
      <c r="Q655" t="n">
        <v>0</v>
      </c>
      <c r="R655" s="2" t="inlineStr"/>
    </row>
    <row r="656" ht="15" customHeight="1">
      <c r="A656" t="inlineStr">
        <is>
          <t>A 18253-2023</t>
        </is>
      </c>
      <c r="B656" s="1" t="n">
        <v>45041</v>
      </c>
      <c r="C656" s="1" t="n">
        <v>45781</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18264-2023</t>
        </is>
      </c>
      <c r="B657" s="1" t="n">
        <v>45041</v>
      </c>
      <c r="C657" s="1" t="n">
        <v>45781</v>
      </c>
      <c r="D657" t="inlineStr">
        <is>
          <t>JÄMTLANDS LÄN</t>
        </is>
      </c>
      <c r="E657" t="inlineStr">
        <is>
          <t>ÅRE</t>
        </is>
      </c>
      <c r="G657" t="n">
        <v>0.2</v>
      </c>
      <c r="H657" t="n">
        <v>0</v>
      </c>
      <c r="I657" t="n">
        <v>0</v>
      </c>
      <c r="J657" t="n">
        <v>0</v>
      </c>
      <c r="K657" t="n">
        <v>0</v>
      </c>
      <c r="L657" t="n">
        <v>0</v>
      </c>
      <c r="M657" t="n">
        <v>0</v>
      </c>
      <c r="N657" t="n">
        <v>0</v>
      </c>
      <c r="O657" t="n">
        <v>0</v>
      </c>
      <c r="P657" t="n">
        <v>0</v>
      </c>
      <c r="Q657" t="n">
        <v>0</v>
      </c>
      <c r="R657" s="2" t="inlineStr"/>
    </row>
    <row r="658" ht="15" customHeight="1">
      <c r="A658" t="inlineStr">
        <is>
          <t>A 19694-2023</t>
        </is>
      </c>
      <c r="B658" s="1" t="n">
        <v>45051</v>
      </c>
      <c r="C658" s="1" t="n">
        <v>45781</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19698-2023</t>
        </is>
      </c>
      <c r="B659" s="1" t="n">
        <v>45051</v>
      </c>
      <c r="C659" s="1" t="n">
        <v>45781</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19705-2023</t>
        </is>
      </c>
      <c r="B660" s="1" t="n">
        <v>45051</v>
      </c>
      <c r="C660" s="1" t="n">
        <v>45781</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19877-2023</t>
        </is>
      </c>
      <c r="B661" s="1" t="n">
        <v>45054</v>
      </c>
      <c r="C661" s="1" t="n">
        <v>45781</v>
      </c>
      <c r="D661" t="inlineStr">
        <is>
          <t>JÄMTLANDS LÄN</t>
        </is>
      </c>
      <c r="E661" t="inlineStr">
        <is>
          <t>ÅRE</t>
        </is>
      </c>
      <c r="G661" t="n">
        <v>6.1</v>
      </c>
      <c r="H661" t="n">
        <v>0</v>
      </c>
      <c r="I661" t="n">
        <v>0</v>
      </c>
      <c r="J661" t="n">
        <v>0</v>
      </c>
      <c r="K661" t="n">
        <v>0</v>
      </c>
      <c r="L661" t="n">
        <v>0</v>
      </c>
      <c r="M661" t="n">
        <v>0</v>
      </c>
      <c r="N661" t="n">
        <v>0</v>
      </c>
      <c r="O661" t="n">
        <v>0</v>
      </c>
      <c r="P661" t="n">
        <v>0</v>
      </c>
      <c r="Q661" t="n">
        <v>0</v>
      </c>
      <c r="R661" s="2" t="inlineStr"/>
    </row>
    <row r="662" ht="15" customHeight="1">
      <c r="A662" t="inlineStr">
        <is>
          <t>A 20278-2023</t>
        </is>
      </c>
      <c r="B662" s="1" t="n">
        <v>45056</v>
      </c>
      <c r="C662" s="1" t="n">
        <v>45781</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23805-2023</t>
        </is>
      </c>
      <c r="B663" s="1" t="n">
        <v>45075</v>
      </c>
      <c r="C663" s="1" t="n">
        <v>45781</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24655-2023</t>
        </is>
      </c>
      <c r="B664" s="1" t="n">
        <v>45084</v>
      </c>
      <c r="C664" s="1" t="n">
        <v>45781</v>
      </c>
      <c r="D664" t="inlineStr">
        <is>
          <t>JÄMTLANDS LÄN</t>
        </is>
      </c>
      <c r="E664" t="inlineStr">
        <is>
          <t>ÅRE</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25040-2023</t>
        </is>
      </c>
      <c r="B665" s="1" t="n">
        <v>45086</v>
      </c>
      <c r="C665" s="1" t="n">
        <v>45781</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25926-2023</t>
        </is>
      </c>
      <c r="B666" s="1" t="n">
        <v>45085</v>
      </c>
      <c r="C666" s="1" t="n">
        <v>45781</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25302-2023</t>
        </is>
      </c>
      <c r="B667" s="1" t="n">
        <v>45086</v>
      </c>
      <c r="C667" s="1" t="n">
        <v>45781</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25303-2023</t>
        </is>
      </c>
      <c r="B668" s="1" t="n">
        <v>45086</v>
      </c>
      <c r="C668" s="1" t="n">
        <v>45781</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26032-2023</t>
        </is>
      </c>
      <c r="B669" s="1" t="n">
        <v>45091</v>
      </c>
      <c r="C669" s="1" t="n">
        <v>45781</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26033-2023</t>
        </is>
      </c>
      <c r="B670" s="1" t="n">
        <v>45091</v>
      </c>
      <c r="C670" s="1" t="n">
        <v>45781</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26960-2023</t>
        </is>
      </c>
      <c r="B671" s="1" t="n">
        <v>45091</v>
      </c>
      <c r="C671" s="1" t="n">
        <v>45781</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29293-2023</t>
        </is>
      </c>
      <c r="B672" s="1" t="n">
        <v>45098</v>
      </c>
      <c r="C672" s="1" t="n">
        <v>45781</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29295-2023</t>
        </is>
      </c>
      <c r="B673" s="1" t="n">
        <v>45098</v>
      </c>
      <c r="C673" s="1" t="n">
        <v>45781</v>
      </c>
      <c r="D673" t="inlineStr">
        <is>
          <t>JÄMTLANDS LÄN</t>
        </is>
      </c>
      <c r="E673" t="inlineStr">
        <is>
          <t>ÅRE</t>
        </is>
      </c>
      <c r="G673" t="n">
        <v>3.9</v>
      </c>
      <c r="H673" t="n">
        <v>0</v>
      </c>
      <c r="I673" t="n">
        <v>0</v>
      </c>
      <c r="J673" t="n">
        <v>0</v>
      </c>
      <c r="K673" t="n">
        <v>0</v>
      </c>
      <c r="L673" t="n">
        <v>0</v>
      </c>
      <c r="M673" t="n">
        <v>0</v>
      </c>
      <c r="N673" t="n">
        <v>0</v>
      </c>
      <c r="O673" t="n">
        <v>0</v>
      </c>
      <c r="P673" t="n">
        <v>0</v>
      </c>
      <c r="Q673" t="n">
        <v>0</v>
      </c>
      <c r="R673" s="2" t="inlineStr"/>
    </row>
    <row r="674" ht="15" customHeight="1">
      <c r="A674" t="inlineStr">
        <is>
          <t>A 29469-2023</t>
        </is>
      </c>
      <c r="B674" s="1" t="n">
        <v>45098</v>
      </c>
      <c r="C674" s="1" t="n">
        <v>45781</v>
      </c>
      <c r="D674" t="inlineStr">
        <is>
          <t>JÄMTLANDS LÄN</t>
        </is>
      </c>
      <c r="E674" t="inlineStr">
        <is>
          <t>ÅRE</t>
        </is>
      </c>
      <c r="G674" t="n">
        <v>0.6</v>
      </c>
      <c r="H674" t="n">
        <v>0</v>
      </c>
      <c r="I674" t="n">
        <v>0</v>
      </c>
      <c r="J674" t="n">
        <v>0</v>
      </c>
      <c r="K674" t="n">
        <v>0</v>
      </c>
      <c r="L674" t="n">
        <v>0</v>
      </c>
      <c r="M674" t="n">
        <v>0</v>
      </c>
      <c r="N674" t="n">
        <v>0</v>
      </c>
      <c r="O674" t="n">
        <v>0</v>
      </c>
      <c r="P674" t="n">
        <v>0</v>
      </c>
      <c r="Q674" t="n">
        <v>0</v>
      </c>
      <c r="R674" s="2" t="inlineStr"/>
    </row>
    <row r="675" ht="15" customHeight="1">
      <c r="A675" t="inlineStr">
        <is>
          <t>A 29294-2023</t>
        </is>
      </c>
      <c r="B675" s="1" t="n">
        <v>45098</v>
      </c>
      <c r="C675" s="1" t="n">
        <v>45781</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29531-2023</t>
        </is>
      </c>
      <c r="B676" s="1" t="n">
        <v>45098</v>
      </c>
      <c r="C676" s="1" t="n">
        <v>45781</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30660-2023</t>
        </is>
      </c>
      <c r="B677" s="1" t="n">
        <v>45098</v>
      </c>
      <c r="C677" s="1" t="n">
        <v>45781</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30263-2023</t>
        </is>
      </c>
      <c r="B678" s="1" t="n">
        <v>45099</v>
      </c>
      <c r="C678" s="1" t="n">
        <v>45781</v>
      </c>
      <c r="D678" t="inlineStr">
        <is>
          <t>JÄMTLANDS LÄN</t>
        </is>
      </c>
      <c r="E678" t="inlineStr">
        <is>
          <t>ÅRE</t>
        </is>
      </c>
      <c r="G678" t="n">
        <v>15.9</v>
      </c>
      <c r="H678" t="n">
        <v>0</v>
      </c>
      <c r="I678" t="n">
        <v>0</v>
      </c>
      <c r="J678" t="n">
        <v>0</v>
      </c>
      <c r="K678" t="n">
        <v>0</v>
      </c>
      <c r="L678" t="n">
        <v>0</v>
      </c>
      <c r="M678" t="n">
        <v>0</v>
      </c>
      <c r="N678" t="n">
        <v>0</v>
      </c>
      <c r="O678" t="n">
        <v>0</v>
      </c>
      <c r="P678" t="n">
        <v>0</v>
      </c>
      <c r="Q678" t="n">
        <v>0</v>
      </c>
      <c r="R678" s="2" t="inlineStr"/>
    </row>
    <row r="679" ht="15" customHeight="1">
      <c r="A679" t="inlineStr">
        <is>
          <t>A 33774-2023</t>
        </is>
      </c>
      <c r="B679" s="1" t="n">
        <v>45120</v>
      </c>
      <c r="C679" s="1" t="n">
        <v>45781</v>
      </c>
      <c r="D679" t="inlineStr">
        <is>
          <t>JÄMTLANDS LÄN</t>
        </is>
      </c>
      <c r="E679" t="inlineStr">
        <is>
          <t>ÅRE</t>
        </is>
      </c>
      <c r="G679" t="n">
        <v>2.1</v>
      </c>
      <c r="H679" t="n">
        <v>0</v>
      </c>
      <c r="I679" t="n">
        <v>0</v>
      </c>
      <c r="J679" t="n">
        <v>0</v>
      </c>
      <c r="K679" t="n">
        <v>0</v>
      </c>
      <c r="L679" t="n">
        <v>0</v>
      </c>
      <c r="M679" t="n">
        <v>0</v>
      </c>
      <c r="N679" t="n">
        <v>0</v>
      </c>
      <c r="O679" t="n">
        <v>0</v>
      </c>
      <c r="P679" t="n">
        <v>0</v>
      </c>
      <c r="Q679" t="n">
        <v>0</v>
      </c>
      <c r="R679" s="2" t="inlineStr"/>
    </row>
    <row r="680" ht="15" customHeight="1">
      <c r="A680" t="inlineStr">
        <is>
          <t>A 33117-2023</t>
        </is>
      </c>
      <c r="B680" s="1" t="n">
        <v>45126</v>
      </c>
      <c r="C680" s="1" t="n">
        <v>45781</v>
      </c>
      <c r="D680" t="inlineStr">
        <is>
          <t>JÄMTLANDS LÄN</t>
        </is>
      </c>
      <c r="E680" t="inlineStr">
        <is>
          <t>ÅRE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33123-2023</t>
        </is>
      </c>
      <c r="B681" s="1" t="n">
        <v>45126</v>
      </c>
      <c r="C681" s="1" t="n">
        <v>45781</v>
      </c>
      <c r="D681" t="inlineStr">
        <is>
          <t>JÄMTLANDS LÄN</t>
        </is>
      </c>
      <c r="E681" t="inlineStr">
        <is>
          <t>ÅRE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33121-2023</t>
        </is>
      </c>
      <c r="B682" s="1" t="n">
        <v>45126</v>
      </c>
      <c r="C682" s="1" t="n">
        <v>45781</v>
      </c>
      <c r="D682" t="inlineStr">
        <is>
          <t>JÄMTLANDS LÄN</t>
        </is>
      </c>
      <c r="E682" t="inlineStr">
        <is>
          <t>ÅRE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34231-2023</t>
        </is>
      </c>
      <c r="B683" s="1" t="n">
        <v>45127</v>
      </c>
      <c r="C683" s="1" t="n">
        <v>45781</v>
      </c>
      <c r="D683" t="inlineStr">
        <is>
          <t>JÄMTLANDS LÄN</t>
        </is>
      </c>
      <c r="E683" t="inlineStr">
        <is>
          <t>ÅRE</t>
        </is>
      </c>
      <c r="G683" t="n">
        <v>18.3</v>
      </c>
      <c r="H683" t="n">
        <v>0</v>
      </c>
      <c r="I683" t="n">
        <v>0</v>
      </c>
      <c r="J683" t="n">
        <v>0</v>
      </c>
      <c r="K683" t="n">
        <v>0</v>
      </c>
      <c r="L683" t="n">
        <v>0</v>
      </c>
      <c r="M683" t="n">
        <v>0</v>
      </c>
      <c r="N683" t="n">
        <v>0</v>
      </c>
      <c r="O683" t="n">
        <v>0</v>
      </c>
      <c r="P683" t="n">
        <v>0</v>
      </c>
      <c r="Q683" t="n">
        <v>0</v>
      </c>
      <c r="R683" s="2" t="inlineStr"/>
    </row>
    <row r="684" ht="15" customHeight="1">
      <c r="A684" t="inlineStr">
        <is>
          <t>A 34538-2023</t>
        </is>
      </c>
      <c r="B684" s="1" t="n">
        <v>45134</v>
      </c>
      <c r="C684" s="1" t="n">
        <v>45781</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36048-2023</t>
        </is>
      </c>
      <c r="B685" s="1" t="n">
        <v>45149</v>
      </c>
      <c r="C685" s="1" t="n">
        <v>45781</v>
      </c>
      <c r="D685" t="inlineStr">
        <is>
          <t>JÄMTLANDS LÄN</t>
        </is>
      </c>
      <c r="E685" t="inlineStr">
        <is>
          <t>ÅRE</t>
        </is>
      </c>
      <c r="G685" t="n">
        <v>11.4</v>
      </c>
      <c r="H685" t="n">
        <v>0</v>
      </c>
      <c r="I685" t="n">
        <v>0</v>
      </c>
      <c r="J685" t="n">
        <v>0</v>
      </c>
      <c r="K685" t="n">
        <v>0</v>
      </c>
      <c r="L685" t="n">
        <v>0</v>
      </c>
      <c r="M685" t="n">
        <v>0</v>
      </c>
      <c r="N685" t="n">
        <v>0</v>
      </c>
      <c r="O685" t="n">
        <v>0</v>
      </c>
      <c r="P685" t="n">
        <v>0</v>
      </c>
      <c r="Q685" t="n">
        <v>0</v>
      </c>
      <c r="R685" s="2" t="inlineStr"/>
    </row>
    <row r="686" ht="15" customHeight="1">
      <c r="A686" t="inlineStr">
        <is>
          <t>A 36234-2023</t>
        </is>
      </c>
      <c r="B686" s="1" t="n">
        <v>45150</v>
      </c>
      <c r="C686" s="1" t="n">
        <v>45781</v>
      </c>
      <c r="D686" t="inlineStr">
        <is>
          <t>JÄMTLANDS LÄN</t>
        </is>
      </c>
      <c r="E686" t="inlineStr">
        <is>
          <t>ÅRE</t>
        </is>
      </c>
      <c r="G686" t="n">
        <v>0.9</v>
      </c>
      <c r="H686" t="n">
        <v>0</v>
      </c>
      <c r="I686" t="n">
        <v>0</v>
      </c>
      <c r="J686" t="n">
        <v>0</v>
      </c>
      <c r="K686" t="n">
        <v>0</v>
      </c>
      <c r="L686" t="n">
        <v>0</v>
      </c>
      <c r="M686" t="n">
        <v>0</v>
      </c>
      <c r="N686" t="n">
        <v>0</v>
      </c>
      <c r="O686" t="n">
        <v>0</v>
      </c>
      <c r="P686" t="n">
        <v>0</v>
      </c>
      <c r="Q686" t="n">
        <v>0</v>
      </c>
      <c r="R686" s="2" t="inlineStr"/>
    </row>
    <row r="687" ht="15" customHeight="1">
      <c r="A687" t="inlineStr">
        <is>
          <t>A 36235-2023</t>
        </is>
      </c>
      <c r="B687" s="1" t="n">
        <v>45150</v>
      </c>
      <c r="C687" s="1" t="n">
        <v>45781</v>
      </c>
      <c r="D687" t="inlineStr">
        <is>
          <t>JÄMTLANDS LÄN</t>
        </is>
      </c>
      <c r="E687" t="inlineStr">
        <is>
          <t>ÅRE</t>
        </is>
      </c>
      <c r="G687" t="n">
        <v>4.4</v>
      </c>
      <c r="H687" t="n">
        <v>0</v>
      </c>
      <c r="I687" t="n">
        <v>0</v>
      </c>
      <c r="J687" t="n">
        <v>0</v>
      </c>
      <c r="K687" t="n">
        <v>0</v>
      </c>
      <c r="L687" t="n">
        <v>0</v>
      </c>
      <c r="M687" t="n">
        <v>0</v>
      </c>
      <c r="N687" t="n">
        <v>0</v>
      </c>
      <c r="O687" t="n">
        <v>0</v>
      </c>
      <c r="P687" t="n">
        <v>0</v>
      </c>
      <c r="Q687" t="n">
        <v>0</v>
      </c>
      <c r="R687" s="2" t="inlineStr"/>
    </row>
    <row r="688" ht="15" customHeight="1">
      <c r="A688" t="inlineStr">
        <is>
          <t>A 37729-2023</t>
        </is>
      </c>
      <c r="B688" s="1" t="n">
        <v>45159</v>
      </c>
      <c r="C688" s="1" t="n">
        <v>45781</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37734-2023</t>
        </is>
      </c>
      <c r="B689" s="1" t="n">
        <v>45159</v>
      </c>
      <c r="C689" s="1" t="n">
        <v>45781</v>
      </c>
      <c r="D689" t="inlineStr">
        <is>
          <t>JÄMTLANDS LÄN</t>
        </is>
      </c>
      <c r="E689" t="inlineStr">
        <is>
          <t>ÅRE</t>
        </is>
      </c>
      <c r="G689" t="n">
        <v>3.4</v>
      </c>
      <c r="H689" t="n">
        <v>0</v>
      </c>
      <c r="I689" t="n">
        <v>0</v>
      </c>
      <c r="J689" t="n">
        <v>0</v>
      </c>
      <c r="K689" t="n">
        <v>0</v>
      </c>
      <c r="L689" t="n">
        <v>0</v>
      </c>
      <c r="M689" t="n">
        <v>0</v>
      </c>
      <c r="N689" t="n">
        <v>0</v>
      </c>
      <c r="O689" t="n">
        <v>0</v>
      </c>
      <c r="P689" t="n">
        <v>0</v>
      </c>
      <c r="Q689" t="n">
        <v>0</v>
      </c>
      <c r="R689" s="2" t="inlineStr"/>
    </row>
    <row r="690" ht="15" customHeight="1">
      <c r="A690" t="inlineStr">
        <is>
          <t>A 37739-2023</t>
        </is>
      </c>
      <c r="B690" s="1" t="n">
        <v>45159</v>
      </c>
      <c r="C690" s="1" t="n">
        <v>45781</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37758-2023</t>
        </is>
      </c>
      <c r="B691" s="1" t="n">
        <v>45159</v>
      </c>
      <c r="C691" s="1" t="n">
        <v>45781</v>
      </c>
      <c r="D691" t="inlineStr">
        <is>
          <t>JÄMTLANDS LÄN</t>
        </is>
      </c>
      <c r="E691" t="inlineStr">
        <is>
          <t>ÅRE</t>
        </is>
      </c>
      <c r="G691" t="n">
        <v>20.1</v>
      </c>
      <c r="H691" t="n">
        <v>0</v>
      </c>
      <c r="I691" t="n">
        <v>0</v>
      </c>
      <c r="J691" t="n">
        <v>0</v>
      </c>
      <c r="K691" t="n">
        <v>0</v>
      </c>
      <c r="L691" t="n">
        <v>0</v>
      </c>
      <c r="M691" t="n">
        <v>0</v>
      </c>
      <c r="N691" t="n">
        <v>0</v>
      </c>
      <c r="O691" t="n">
        <v>0</v>
      </c>
      <c r="P691" t="n">
        <v>0</v>
      </c>
      <c r="Q691" t="n">
        <v>0</v>
      </c>
      <c r="R691" s="2" t="inlineStr"/>
    </row>
    <row r="692" ht="15" customHeight="1">
      <c r="A692" t="inlineStr">
        <is>
          <t>A 40143-2023</t>
        </is>
      </c>
      <c r="B692" s="1" t="n">
        <v>45169</v>
      </c>
      <c r="C692" s="1" t="n">
        <v>45781</v>
      </c>
      <c r="D692" t="inlineStr">
        <is>
          <t>JÄMTLANDS LÄN</t>
        </is>
      </c>
      <c r="E692" t="inlineStr">
        <is>
          <t>ÅRE</t>
        </is>
      </c>
      <c r="G692" t="n">
        <v>8</v>
      </c>
      <c r="H692" t="n">
        <v>0</v>
      </c>
      <c r="I692" t="n">
        <v>0</v>
      </c>
      <c r="J692" t="n">
        <v>0</v>
      </c>
      <c r="K692" t="n">
        <v>0</v>
      </c>
      <c r="L692" t="n">
        <v>0</v>
      </c>
      <c r="M692" t="n">
        <v>0</v>
      </c>
      <c r="N692" t="n">
        <v>0</v>
      </c>
      <c r="O692" t="n">
        <v>0</v>
      </c>
      <c r="P692" t="n">
        <v>0</v>
      </c>
      <c r="Q692" t="n">
        <v>0</v>
      </c>
      <c r="R692" s="2" t="inlineStr"/>
    </row>
    <row r="693" ht="15" customHeight="1">
      <c r="A693" t="inlineStr">
        <is>
          <t>A 40323-2023</t>
        </is>
      </c>
      <c r="B693" s="1" t="n">
        <v>45169</v>
      </c>
      <c r="C693" s="1" t="n">
        <v>45781</v>
      </c>
      <c r="D693" t="inlineStr">
        <is>
          <t>JÄMTLANDS LÄN</t>
        </is>
      </c>
      <c r="E693" t="inlineStr">
        <is>
          <t>ÅRE</t>
        </is>
      </c>
      <c r="G693" t="n">
        <v>5.1</v>
      </c>
      <c r="H693" t="n">
        <v>0</v>
      </c>
      <c r="I693" t="n">
        <v>0</v>
      </c>
      <c r="J693" t="n">
        <v>0</v>
      </c>
      <c r="K693" t="n">
        <v>0</v>
      </c>
      <c r="L693" t="n">
        <v>0</v>
      </c>
      <c r="M693" t="n">
        <v>0</v>
      </c>
      <c r="N693" t="n">
        <v>0</v>
      </c>
      <c r="O693" t="n">
        <v>0</v>
      </c>
      <c r="P693" t="n">
        <v>0</v>
      </c>
      <c r="Q693" t="n">
        <v>0</v>
      </c>
      <c r="R693" s="2" t="inlineStr"/>
    </row>
    <row r="694" ht="15" customHeight="1">
      <c r="A694" t="inlineStr">
        <is>
          <t>A 42626-2023</t>
        </is>
      </c>
      <c r="B694" s="1" t="n">
        <v>45181</v>
      </c>
      <c r="C694" s="1" t="n">
        <v>45781</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43103-2023</t>
        </is>
      </c>
      <c r="B695" s="1" t="n">
        <v>45183</v>
      </c>
      <c r="C695" s="1" t="n">
        <v>45781</v>
      </c>
      <c r="D695" t="inlineStr">
        <is>
          <t>JÄMTLANDS LÄN</t>
        </is>
      </c>
      <c r="E695" t="inlineStr">
        <is>
          <t>ÅRE</t>
        </is>
      </c>
      <c r="G695" t="n">
        <v>7.2</v>
      </c>
      <c r="H695" t="n">
        <v>0</v>
      </c>
      <c r="I695" t="n">
        <v>0</v>
      </c>
      <c r="J695" t="n">
        <v>0</v>
      </c>
      <c r="K695" t="n">
        <v>0</v>
      </c>
      <c r="L695" t="n">
        <v>0</v>
      </c>
      <c r="M695" t="n">
        <v>0</v>
      </c>
      <c r="N695" t="n">
        <v>0</v>
      </c>
      <c r="O695" t="n">
        <v>0</v>
      </c>
      <c r="P695" t="n">
        <v>0</v>
      </c>
      <c r="Q695" t="n">
        <v>0</v>
      </c>
      <c r="R695" s="2" t="inlineStr"/>
    </row>
    <row r="696" ht="15" customHeight="1">
      <c r="A696" t="inlineStr">
        <is>
          <t>A 43446-2023</t>
        </is>
      </c>
      <c r="B696" s="1" t="n">
        <v>45184</v>
      </c>
      <c r="C696" s="1" t="n">
        <v>45781</v>
      </c>
      <c r="D696" t="inlineStr">
        <is>
          <t>JÄMTLANDS LÄN</t>
        </is>
      </c>
      <c r="E696" t="inlineStr">
        <is>
          <t>ÅRE</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43449-2023</t>
        </is>
      </c>
      <c r="B697" s="1" t="n">
        <v>45184</v>
      </c>
      <c r="C697" s="1" t="n">
        <v>45781</v>
      </c>
      <c r="D697" t="inlineStr">
        <is>
          <t>JÄMTLANDS LÄN</t>
        </is>
      </c>
      <c r="E697" t="inlineStr">
        <is>
          <t>ÅRE</t>
        </is>
      </c>
      <c r="F697" t="inlineStr">
        <is>
          <t>Övriga Aktiebolag</t>
        </is>
      </c>
      <c r="G697" t="n">
        <v>3.1</v>
      </c>
      <c r="H697" t="n">
        <v>0</v>
      </c>
      <c r="I697" t="n">
        <v>0</v>
      </c>
      <c r="J697" t="n">
        <v>0</v>
      </c>
      <c r="K697" t="n">
        <v>0</v>
      </c>
      <c r="L697" t="n">
        <v>0</v>
      </c>
      <c r="M697" t="n">
        <v>0</v>
      </c>
      <c r="N697" t="n">
        <v>0</v>
      </c>
      <c r="O697" t="n">
        <v>0</v>
      </c>
      <c r="P697" t="n">
        <v>0</v>
      </c>
      <c r="Q697" t="n">
        <v>0</v>
      </c>
      <c r="R697" s="2" t="inlineStr"/>
    </row>
    <row r="698" ht="15" customHeight="1">
      <c r="A698" t="inlineStr">
        <is>
          <t>A 43456-2023</t>
        </is>
      </c>
      <c r="B698" s="1" t="n">
        <v>45184</v>
      </c>
      <c r="C698" s="1" t="n">
        <v>45781</v>
      </c>
      <c r="D698" t="inlineStr">
        <is>
          <t>JÄMTLANDS LÄN</t>
        </is>
      </c>
      <c r="E698" t="inlineStr">
        <is>
          <t>ÅRE</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44512-2023</t>
        </is>
      </c>
      <c r="B699" s="1" t="n">
        <v>45184</v>
      </c>
      <c r="C699" s="1" t="n">
        <v>45781</v>
      </c>
      <c r="D699" t="inlineStr">
        <is>
          <t>JÄMTLANDS LÄN</t>
        </is>
      </c>
      <c r="E699" t="inlineStr">
        <is>
          <t>ÅRE</t>
        </is>
      </c>
      <c r="G699" t="n">
        <v>12.5</v>
      </c>
      <c r="H699" t="n">
        <v>0</v>
      </c>
      <c r="I699" t="n">
        <v>0</v>
      </c>
      <c r="J699" t="n">
        <v>0</v>
      </c>
      <c r="K699" t="n">
        <v>0</v>
      </c>
      <c r="L699" t="n">
        <v>0</v>
      </c>
      <c r="M699" t="n">
        <v>0</v>
      </c>
      <c r="N699" t="n">
        <v>0</v>
      </c>
      <c r="O699" t="n">
        <v>0</v>
      </c>
      <c r="P699" t="n">
        <v>0</v>
      </c>
      <c r="Q699" t="n">
        <v>0</v>
      </c>
      <c r="R699" s="2" t="inlineStr"/>
    </row>
    <row r="700" ht="15" customHeight="1">
      <c r="A700" t="inlineStr">
        <is>
          <t>A 45242-2023</t>
        </is>
      </c>
      <c r="B700" s="1" t="n">
        <v>45187</v>
      </c>
      <c r="C700" s="1" t="n">
        <v>45781</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44889-2023</t>
        </is>
      </c>
      <c r="B701" s="1" t="n">
        <v>45190</v>
      </c>
      <c r="C701" s="1" t="n">
        <v>45781</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44898-2023</t>
        </is>
      </c>
      <c r="B702" s="1" t="n">
        <v>45190</v>
      </c>
      <c r="C702" s="1" t="n">
        <v>45781</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46510-2023</t>
        </is>
      </c>
      <c r="B703" s="1" t="n">
        <v>45197</v>
      </c>
      <c r="C703" s="1" t="n">
        <v>45781</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47698-2023</t>
        </is>
      </c>
      <c r="B704" s="1" t="n">
        <v>45203</v>
      </c>
      <c r="C704" s="1" t="n">
        <v>45781</v>
      </c>
      <c r="D704" t="inlineStr">
        <is>
          <t>JÄMTLANDS LÄN</t>
        </is>
      </c>
      <c r="E704" t="inlineStr">
        <is>
          <t>ÅRE</t>
        </is>
      </c>
      <c r="G704" t="n">
        <v>12</v>
      </c>
      <c r="H704" t="n">
        <v>0</v>
      </c>
      <c r="I704" t="n">
        <v>0</v>
      </c>
      <c r="J704" t="n">
        <v>0</v>
      </c>
      <c r="K704" t="n">
        <v>0</v>
      </c>
      <c r="L704" t="n">
        <v>0</v>
      </c>
      <c r="M704" t="n">
        <v>0</v>
      </c>
      <c r="N704" t="n">
        <v>0</v>
      </c>
      <c r="O704" t="n">
        <v>0</v>
      </c>
      <c r="P704" t="n">
        <v>0</v>
      </c>
      <c r="Q704" t="n">
        <v>0</v>
      </c>
      <c r="R704" s="2" t="inlineStr"/>
    </row>
    <row r="705" ht="15" customHeight="1">
      <c r="A705" t="inlineStr">
        <is>
          <t>A 48599-2023</t>
        </is>
      </c>
      <c r="B705" s="1" t="n">
        <v>45208</v>
      </c>
      <c r="C705" s="1" t="n">
        <v>45781</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52169-2023</t>
        </is>
      </c>
      <c r="B706" s="1" t="n">
        <v>45212</v>
      </c>
      <c r="C706" s="1" t="n">
        <v>45781</v>
      </c>
      <c r="D706" t="inlineStr">
        <is>
          <t>JÄMTLANDS LÄN</t>
        </is>
      </c>
      <c r="E706" t="inlineStr">
        <is>
          <t>ÅRE</t>
        </is>
      </c>
      <c r="F706" t="inlineStr">
        <is>
          <t>Övriga statliga verk och myndigheter</t>
        </is>
      </c>
      <c r="G706" t="n">
        <v>28.1</v>
      </c>
      <c r="H706" t="n">
        <v>0</v>
      </c>
      <c r="I706" t="n">
        <v>0</v>
      </c>
      <c r="J706" t="n">
        <v>0</v>
      </c>
      <c r="K706" t="n">
        <v>0</v>
      </c>
      <c r="L706" t="n">
        <v>0</v>
      </c>
      <c r="M706" t="n">
        <v>0</v>
      </c>
      <c r="N706" t="n">
        <v>0</v>
      </c>
      <c r="O706" t="n">
        <v>0</v>
      </c>
      <c r="P706" t="n">
        <v>0</v>
      </c>
      <c r="Q706" t="n">
        <v>0</v>
      </c>
      <c r="R706" s="2" t="inlineStr"/>
    </row>
    <row r="707" ht="15" customHeight="1">
      <c r="A707" t="inlineStr">
        <is>
          <t>A 50843-2023</t>
        </is>
      </c>
      <c r="B707" s="1" t="n">
        <v>45218</v>
      </c>
      <c r="C707" s="1" t="n">
        <v>45781</v>
      </c>
      <c r="D707" t="inlineStr">
        <is>
          <t>JÄMTLANDS LÄN</t>
        </is>
      </c>
      <c r="E707" t="inlineStr">
        <is>
          <t>ÅRE</t>
        </is>
      </c>
      <c r="G707" t="n">
        <v>3.7</v>
      </c>
      <c r="H707" t="n">
        <v>0</v>
      </c>
      <c r="I707" t="n">
        <v>0</v>
      </c>
      <c r="J707" t="n">
        <v>0</v>
      </c>
      <c r="K707" t="n">
        <v>0</v>
      </c>
      <c r="L707" t="n">
        <v>0</v>
      </c>
      <c r="M707" t="n">
        <v>0</v>
      </c>
      <c r="N707" t="n">
        <v>0</v>
      </c>
      <c r="O707" t="n">
        <v>0</v>
      </c>
      <c r="P707" t="n">
        <v>0</v>
      </c>
      <c r="Q707" t="n">
        <v>0</v>
      </c>
      <c r="R707" s="2" t="inlineStr"/>
    </row>
    <row r="708" ht="15" customHeight="1">
      <c r="A708" t="inlineStr">
        <is>
          <t>A 50951-2023</t>
        </is>
      </c>
      <c r="B708" s="1" t="n">
        <v>45218</v>
      </c>
      <c r="C708" s="1" t="n">
        <v>45781</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51317-2023</t>
        </is>
      </c>
      <c r="B709" s="1" t="n">
        <v>45219</v>
      </c>
      <c r="C709" s="1" t="n">
        <v>45781</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51271-2023</t>
        </is>
      </c>
      <c r="B710" s="1" t="n">
        <v>45219</v>
      </c>
      <c r="C710" s="1" t="n">
        <v>45781</v>
      </c>
      <c r="D710" t="inlineStr">
        <is>
          <t>JÄMTLANDS LÄN</t>
        </is>
      </c>
      <c r="E710" t="inlineStr">
        <is>
          <t>ÅRE</t>
        </is>
      </c>
      <c r="G710" t="n">
        <v>4.8</v>
      </c>
      <c r="H710" t="n">
        <v>0</v>
      </c>
      <c r="I710" t="n">
        <v>0</v>
      </c>
      <c r="J710" t="n">
        <v>0</v>
      </c>
      <c r="K710" t="n">
        <v>0</v>
      </c>
      <c r="L710" t="n">
        <v>0</v>
      </c>
      <c r="M710" t="n">
        <v>0</v>
      </c>
      <c r="N710" t="n">
        <v>0</v>
      </c>
      <c r="O710" t="n">
        <v>0</v>
      </c>
      <c r="P710" t="n">
        <v>0</v>
      </c>
      <c r="Q710" t="n">
        <v>0</v>
      </c>
      <c r="R710" s="2" t="inlineStr"/>
    </row>
    <row r="711" ht="15" customHeight="1">
      <c r="A711" t="inlineStr">
        <is>
          <t>A 51311-2023</t>
        </is>
      </c>
      <c r="B711" s="1" t="n">
        <v>45219</v>
      </c>
      <c r="C711" s="1" t="n">
        <v>45781</v>
      </c>
      <c r="D711" t="inlineStr">
        <is>
          <t>JÄMTLANDS LÄN</t>
        </is>
      </c>
      <c r="E711" t="inlineStr">
        <is>
          <t>ÅRE</t>
        </is>
      </c>
      <c r="G711" t="n">
        <v>14.2</v>
      </c>
      <c r="H711" t="n">
        <v>0</v>
      </c>
      <c r="I711" t="n">
        <v>0</v>
      </c>
      <c r="J711" t="n">
        <v>0</v>
      </c>
      <c r="K711" t="n">
        <v>0</v>
      </c>
      <c r="L711" t="n">
        <v>0</v>
      </c>
      <c r="M711" t="n">
        <v>0</v>
      </c>
      <c r="N711" t="n">
        <v>0</v>
      </c>
      <c r="O711" t="n">
        <v>0</v>
      </c>
      <c r="P711" t="n">
        <v>0</v>
      </c>
      <c r="Q711" t="n">
        <v>0</v>
      </c>
      <c r="R711" s="2" t="inlineStr"/>
    </row>
    <row r="712" ht="15" customHeight="1">
      <c r="A712" t="inlineStr">
        <is>
          <t>A 51282-2023</t>
        </is>
      </c>
      <c r="B712" s="1" t="n">
        <v>45219</v>
      </c>
      <c r="C712" s="1" t="n">
        <v>45781</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51277-2023</t>
        </is>
      </c>
      <c r="B713" s="1" t="n">
        <v>45219</v>
      </c>
      <c r="C713" s="1" t="n">
        <v>45781</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51831-2023</t>
        </is>
      </c>
      <c r="B714" s="1" t="n">
        <v>45222</v>
      </c>
      <c r="C714" s="1" t="n">
        <v>45781</v>
      </c>
      <c r="D714" t="inlineStr">
        <is>
          <t>JÄMTLANDS LÄN</t>
        </is>
      </c>
      <c r="E714" t="inlineStr">
        <is>
          <t>ÅRE</t>
        </is>
      </c>
      <c r="G714" t="n">
        <v>2</v>
      </c>
      <c r="H714" t="n">
        <v>0</v>
      </c>
      <c r="I714" t="n">
        <v>0</v>
      </c>
      <c r="J714" t="n">
        <v>0</v>
      </c>
      <c r="K714" t="n">
        <v>0</v>
      </c>
      <c r="L714" t="n">
        <v>0</v>
      </c>
      <c r="M714" t="n">
        <v>0</v>
      </c>
      <c r="N714" t="n">
        <v>0</v>
      </c>
      <c r="O714" t="n">
        <v>0</v>
      </c>
      <c r="P714" t="n">
        <v>0</v>
      </c>
      <c r="Q714" t="n">
        <v>0</v>
      </c>
      <c r="R714" s="2" t="inlineStr"/>
    </row>
    <row r="715" ht="15" customHeight="1">
      <c r="A715" t="inlineStr">
        <is>
          <t>A 52676-2023</t>
        </is>
      </c>
      <c r="B715" s="1" t="n">
        <v>45225</v>
      </c>
      <c r="C715" s="1" t="n">
        <v>45781</v>
      </c>
      <c r="D715" t="inlineStr">
        <is>
          <t>JÄMTLANDS LÄN</t>
        </is>
      </c>
      <c r="E715" t="inlineStr">
        <is>
          <t>ÅRE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54303-2023</t>
        </is>
      </c>
      <c r="B716" s="1" t="n">
        <v>45225</v>
      </c>
      <c r="C716" s="1" t="n">
        <v>45781</v>
      </c>
      <c r="D716" t="inlineStr">
        <is>
          <t>JÄMTLANDS LÄN</t>
        </is>
      </c>
      <c r="E716" t="inlineStr">
        <is>
          <t>ÅRE</t>
        </is>
      </c>
      <c r="G716" t="n">
        <v>8.9</v>
      </c>
      <c r="H716" t="n">
        <v>0</v>
      </c>
      <c r="I716" t="n">
        <v>0</v>
      </c>
      <c r="J716" t="n">
        <v>0</v>
      </c>
      <c r="K716" t="n">
        <v>0</v>
      </c>
      <c r="L716" t="n">
        <v>0</v>
      </c>
      <c r="M716" t="n">
        <v>0</v>
      </c>
      <c r="N716" t="n">
        <v>0</v>
      </c>
      <c r="O716" t="n">
        <v>0</v>
      </c>
      <c r="P716" t="n">
        <v>0</v>
      </c>
      <c r="Q716" t="n">
        <v>0</v>
      </c>
      <c r="R716" s="2" t="inlineStr"/>
    </row>
    <row r="717" ht="15" customHeight="1">
      <c r="A717" t="inlineStr">
        <is>
          <t>A 54324-2023</t>
        </is>
      </c>
      <c r="B717" s="1" t="n">
        <v>45225</v>
      </c>
      <c r="C717" s="1" t="n">
        <v>45781</v>
      </c>
      <c r="D717" t="inlineStr">
        <is>
          <t>JÄMTLANDS LÄN</t>
        </is>
      </c>
      <c r="E717" t="inlineStr">
        <is>
          <t>ÅRE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54847-2023</t>
        </is>
      </c>
      <c r="B718" s="1" t="n">
        <v>45229</v>
      </c>
      <c r="C718" s="1" t="n">
        <v>45781</v>
      </c>
      <c r="D718" t="inlineStr">
        <is>
          <t>JÄMTLANDS LÄN</t>
        </is>
      </c>
      <c r="E718" t="inlineStr">
        <is>
          <t>ÅRE</t>
        </is>
      </c>
      <c r="G718" t="n">
        <v>16.6</v>
      </c>
      <c r="H718" t="n">
        <v>0</v>
      </c>
      <c r="I718" t="n">
        <v>0</v>
      </c>
      <c r="J718" t="n">
        <v>0</v>
      </c>
      <c r="K718" t="n">
        <v>0</v>
      </c>
      <c r="L718" t="n">
        <v>0</v>
      </c>
      <c r="M718" t="n">
        <v>0</v>
      </c>
      <c r="N718" t="n">
        <v>0</v>
      </c>
      <c r="O718" t="n">
        <v>0</v>
      </c>
      <c r="P718" t="n">
        <v>0</v>
      </c>
      <c r="Q718" t="n">
        <v>0</v>
      </c>
      <c r="R718" s="2" t="inlineStr"/>
    </row>
    <row r="719" ht="15" customHeight="1">
      <c r="A719" t="inlineStr">
        <is>
          <t>A 55109-2023</t>
        </is>
      </c>
      <c r="B719" s="1" t="n">
        <v>45230</v>
      </c>
      <c r="C719" s="1" t="n">
        <v>45781</v>
      </c>
      <c r="D719" t="inlineStr">
        <is>
          <t>JÄMTLANDS LÄN</t>
        </is>
      </c>
      <c r="E719" t="inlineStr">
        <is>
          <t>ÅRE</t>
        </is>
      </c>
      <c r="G719" t="n">
        <v>1.7</v>
      </c>
      <c r="H719" t="n">
        <v>0</v>
      </c>
      <c r="I719" t="n">
        <v>0</v>
      </c>
      <c r="J719" t="n">
        <v>0</v>
      </c>
      <c r="K719" t="n">
        <v>0</v>
      </c>
      <c r="L719" t="n">
        <v>0</v>
      </c>
      <c r="M719" t="n">
        <v>0</v>
      </c>
      <c r="N719" t="n">
        <v>0</v>
      </c>
      <c r="O719" t="n">
        <v>0</v>
      </c>
      <c r="P719" t="n">
        <v>0</v>
      </c>
      <c r="Q719" t="n">
        <v>0</v>
      </c>
      <c r="R719" s="2" t="inlineStr"/>
    </row>
    <row r="720" ht="15" customHeight="1">
      <c r="A720" t="inlineStr">
        <is>
          <t>A 53899-2023</t>
        </is>
      </c>
      <c r="B720" s="1" t="n">
        <v>45231</v>
      </c>
      <c r="C720" s="1" t="n">
        <v>45781</v>
      </c>
      <c r="D720" t="inlineStr">
        <is>
          <t>JÄMTLANDS LÄN</t>
        </is>
      </c>
      <c r="E720" t="inlineStr">
        <is>
          <t>ÅRE</t>
        </is>
      </c>
      <c r="G720" t="n">
        <v>20.4</v>
      </c>
      <c r="H720" t="n">
        <v>0</v>
      </c>
      <c r="I720" t="n">
        <v>0</v>
      </c>
      <c r="J720" t="n">
        <v>0</v>
      </c>
      <c r="K720" t="n">
        <v>0</v>
      </c>
      <c r="L720" t="n">
        <v>0</v>
      </c>
      <c r="M720" t="n">
        <v>0</v>
      </c>
      <c r="N720" t="n">
        <v>0</v>
      </c>
      <c r="O720" t="n">
        <v>0</v>
      </c>
      <c r="P720" t="n">
        <v>0</v>
      </c>
      <c r="Q720" t="n">
        <v>0</v>
      </c>
      <c r="R720" s="2" t="inlineStr"/>
    </row>
    <row r="721" ht="15" customHeight="1">
      <c r="A721" t="inlineStr">
        <is>
          <t>A 54164-2023</t>
        </is>
      </c>
      <c r="B721" s="1" t="n">
        <v>45232</v>
      </c>
      <c r="C721" s="1" t="n">
        <v>45781</v>
      </c>
      <c r="D721" t="inlineStr">
        <is>
          <t>JÄMTLANDS LÄN</t>
        </is>
      </c>
      <c r="E721" t="inlineStr">
        <is>
          <t>ÅRE</t>
        </is>
      </c>
      <c r="G721" t="n">
        <v>2.6</v>
      </c>
      <c r="H721" t="n">
        <v>0</v>
      </c>
      <c r="I721" t="n">
        <v>0</v>
      </c>
      <c r="J721" t="n">
        <v>0</v>
      </c>
      <c r="K721" t="n">
        <v>0</v>
      </c>
      <c r="L721" t="n">
        <v>0</v>
      </c>
      <c r="M721" t="n">
        <v>0</v>
      </c>
      <c r="N721" t="n">
        <v>0</v>
      </c>
      <c r="O721" t="n">
        <v>0</v>
      </c>
      <c r="P721" t="n">
        <v>0</v>
      </c>
      <c r="Q721" t="n">
        <v>0</v>
      </c>
      <c r="R721" s="2" t="inlineStr"/>
    </row>
    <row r="722" ht="15" customHeight="1">
      <c r="A722" t="inlineStr">
        <is>
          <t>A 54116-2023</t>
        </is>
      </c>
      <c r="B722" s="1" t="n">
        <v>45232</v>
      </c>
      <c r="C722" s="1" t="n">
        <v>45781</v>
      </c>
      <c r="D722" t="inlineStr">
        <is>
          <t>JÄMTLANDS LÄN</t>
        </is>
      </c>
      <c r="E722" t="inlineStr">
        <is>
          <t>ÅRE</t>
        </is>
      </c>
      <c r="G722" t="n">
        <v>3.8</v>
      </c>
      <c r="H722" t="n">
        <v>0</v>
      </c>
      <c r="I722" t="n">
        <v>0</v>
      </c>
      <c r="J722" t="n">
        <v>0</v>
      </c>
      <c r="K722" t="n">
        <v>0</v>
      </c>
      <c r="L722" t="n">
        <v>0</v>
      </c>
      <c r="M722" t="n">
        <v>0</v>
      </c>
      <c r="N722" t="n">
        <v>0</v>
      </c>
      <c r="O722" t="n">
        <v>0</v>
      </c>
      <c r="P722" t="n">
        <v>0</v>
      </c>
      <c r="Q722" t="n">
        <v>0</v>
      </c>
      <c r="R722" s="2" t="inlineStr"/>
    </row>
    <row r="723" ht="15" customHeight="1">
      <c r="A723" t="inlineStr">
        <is>
          <t>A 54175-2023</t>
        </is>
      </c>
      <c r="B723" s="1" t="n">
        <v>45232</v>
      </c>
      <c r="C723" s="1" t="n">
        <v>45781</v>
      </c>
      <c r="D723" t="inlineStr">
        <is>
          <t>JÄMTLANDS LÄN</t>
        </is>
      </c>
      <c r="E723" t="inlineStr">
        <is>
          <t>ÅRE</t>
        </is>
      </c>
      <c r="G723" t="n">
        <v>0.1</v>
      </c>
      <c r="H723" t="n">
        <v>0</v>
      </c>
      <c r="I723" t="n">
        <v>0</v>
      </c>
      <c r="J723" t="n">
        <v>0</v>
      </c>
      <c r="K723" t="n">
        <v>0</v>
      </c>
      <c r="L723" t="n">
        <v>0</v>
      </c>
      <c r="M723" t="n">
        <v>0</v>
      </c>
      <c r="N723" t="n">
        <v>0</v>
      </c>
      <c r="O723" t="n">
        <v>0</v>
      </c>
      <c r="P723" t="n">
        <v>0</v>
      </c>
      <c r="Q723" t="n">
        <v>0</v>
      </c>
      <c r="R723" s="2" t="inlineStr"/>
    </row>
    <row r="724" ht="15" customHeight="1">
      <c r="A724" t="inlineStr">
        <is>
          <t>A 56044-2023</t>
        </is>
      </c>
      <c r="B724" s="1" t="n">
        <v>45233</v>
      </c>
      <c r="C724" s="1" t="n">
        <v>45781</v>
      </c>
      <c r="D724" t="inlineStr">
        <is>
          <t>JÄMTLANDS LÄN</t>
        </is>
      </c>
      <c r="E724" t="inlineStr">
        <is>
          <t>ÅRE</t>
        </is>
      </c>
      <c r="G724" t="n">
        <v>5.3</v>
      </c>
      <c r="H724" t="n">
        <v>0</v>
      </c>
      <c r="I724" t="n">
        <v>0</v>
      </c>
      <c r="J724" t="n">
        <v>0</v>
      </c>
      <c r="K724" t="n">
        <v>0</v>
      </c>
      <c r="L724" t="n">
        <v>0</v>
      </c>
      <c r="M724" t="n">
        <v>0</v>
      </c>
      <c r="N724" t="n">
        <v>0</v>
      </c>
      <c r="O724" t="n">
        <v>0</v>
      </c>
      <c r="P724" t="n">
        <v>0</v>
      </c>
      <c r="Q724" t="n">
        <v>0</v>
      </c>
      <c r="R724" s="2" t="inlineStr"/>
    </row>
    <row r="725" ht="15" customHeight="1">
      <c r="A725" t="inlineStr">
        <is>
          <t>A 54385-2023</t>
        </is>
      </c>
      <c r="B725" s="1" t="n">
        <v>45233</v>
      </c>
      <c r="C725" s="1" t="n">
        <v>45781</v>
      </c>
      <c r="D725" t="inlineStr">
        <is>
          <t>JÄMTLANDS LÄN</t>
        </is>
      </c>
      <c r="E725" t="inlineStr">
        <is>
          <t>ÅRE</t>
        </is>
      </c>
      <c r="G725" t="n">
        <v>3.7</v>
      </c>
      <c r="H725" t="n">
        <v>0</v>
      </c>
      <c r="I725" t="n">
        <v>0</v>
      </c>
      <c r="J725" t="n">
        <v>0</v>
      </c>
      <c r="K725" t="n">
        <v>0</v>
      </c>
      <c r="L725" t="n">
        <v>0</v>
      </c>
      <c r="M725" t="n">
        <v>0</v>
      </c>
      <c r="N725" t="n">
        <v>0</v>
      </c>
      <c r="O725" t="n">
        <v>0</v>
      </c>
      <c r="P725" t="n">
        <v>0</v>
      </c>
      <c r="Q725" t="n">
        <v>0</v>
      </c>
      <c r="R725" s="2" t="inlineStr"/>
    </row>
    <row r="726" ht="15" customHeight="1">
      <c r="A726" t="inlineStr">
        <is>
          <t>A 54377-2023</t>
        </is>
      </c>
      <c r="B726" s="1" t="n">
        <v>45233</v>
      </c>
      <c r="C726" s="1" t="n">
        <v>45781</v>
      </c>
      <c r="D726" t="inlineStr">
        <is>
          <t>JÄMTLANDS LÄN</t>
        </is>
      </c>
      <c r="E726" t="inlineStr">
        <is>
          <t>ÅRE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54373-2023</t>
        </is>
      </c>
      <c r="B727" s="1" t="n">
        <v>45233</v>
      </c>
      <c r="C727" s="1" t="n">
        <v>45781</v>
      </c>
      <c r="D727" t="inlineStr">
        <is>
          <t>JÄMTLANDS LÄN</t>
        </is>
      </c>
      <c r="E727" t="inlineStr">
        <is>
          <t>ÅRE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54781-2023</t>
        </is>
      </c>
      <c r="B728" s="1" t="n">
        <v>45236</v>
      </c>
      <c r="C728" s="1" t="n">
        <v>45781</v>
      </c>
      <c r="D728" t="inlineStr">
        <is>
          <t>JÄMTLANDS LÄN</t>
        </is>
      </c>
      <c r="E728" t="inlineStr">
        <is>
          <t>ÅRE</t>
        </is>
      </c>
      <c r="G728" t="n">
        <v>3.5</v>
      </c>
      <c r="H728" t="n">
        <v>0</v>
      </c>
      <c r="I728" t="n">
        <v>0</v>
      </c>
      <c r="J728" t="n">
        <v>0</v>
      </c>
      <c r="K728" t="n">
        <v>0</v>
      </c>
      <c r="L728" t="n">
        <v>0</v>
      </c>
      <c r="M728" t="n">
        <v>0</v>
      </c>
      <c r="N728" t="n">
        <v>0</v>
      </c>
      <c r="O728" t="n">
        <v>0</v>
      </c>
      <c r="P728" t="n">
        <v>0</v>
      </c>
      <c r="Q728" t="n">
        <v>0</v>
      </c>
      <c r="R728" s="2" t="inlineStr"/>
    </row>
    <row r="729" ht="15" customHeight="1">
      <c r="A729" t="inlineStr">
        <is>
          <t>A 54796-2023</t>
        </is>
      </c>
      <c r="B729" s="1" t="n">
        <v>45236</v>
      </c>
      <c r="C729" s="1" t="n">
        <v>45781</v>
      </c>
      <c r="D729" t="inlineStr">
        <is>
          <t>JÄMTLANDS LÄN</t>
        </is>
      </c>
      <c r="E729" t="inlineStr">
        <is>
          <t>ÅRE</t>
        </is>
      </c>
      <c r="G729" t="n">
        <v>9.1</v>
      </c>
      <c r="H729" t="n">
        <v>0</v>
      </c>
      <c r="I729" t="n">
        <v>0</v>
      </c>
      <c r="J729" t="n">
        <v>0</v>
      </c>
      <c r="K729" t="n">
        <v>0</v>
      </c>
      <c r="L729" t="n">
        <v>0</v>
      </c>
      <c r="M729" t="n">
        <v>0</v>
      </c>
      <c r="N729" t="n">
        <v>0</v>
      </c>
      <c r="O729" t="n">
        <v>0</v>
      </c>
      <c r="P729" t="n">
        <v>0</v>
      </c>
      <c r="Q729" t="n">
        <v>0</v>
      </c>
      <c r="R729" s="2" t="inlineStr"/>
    </row>
    <row r="730" ht="15" customHeight="1">
      <c r="A730" t="inlineStr">
        <is>
          <t>A 54898-2023</t>
        </is>
      </c>
      <c r="B730" s="1" t="n">
        <v>45236</v>
      </c>
      <c r="C730" s="1" t="n">
        <v>45781</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54907-2023</t>
        </is>
      </c>
      <c r="B731" s="1" t="n">
        <v>45236</v>
      </c>
      <c r="C731" s="1" t="n">
        <v>45781</v>
      </c>
      <c r="D731" t="inlineStr">
        <is>
          <t>JÄMTLANDS LÄN</t>
        </is>
      </c>
      <c r="E731" t="inlineStr">
        <is>
          <t>ÅRE</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55860-2023</t>
        </is>
      </c>
      <c r="B732" s="1" t="n">
        <v>45239</v>
      </c>
      <c r="C732" s="1" t="n">
        <v>45781</v>
      </c>
      <c r="D732" t="inlineStr">
        <is>
          <t>JÄMTLANDS LÄN</t>
        </is>
      </c>
      <c r="E732" t="inlineStr">
        <is>
          <t>ÅRE</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56609-2023</t>
        </is>
      </c>
      <c r="B733" s="1" t="n">
        <v>45243</v>
      </c>
      <c r="C733" s="1" t="n">
        <v>45781</v>
      </c>
      <c r="D733" t="inlineStr">
        <is>
          <t>JÄMTLANDS LÄN</t>
        </is>
      </c>
      <c r="E733" t="inlineStr">
        <is>
          <t>ÅRE</t>
        </is>
      </c>
      <c r="G733" t="n">
        <v>17.9</v>
      </c>
      <c r="H733" t="n">
        <v>0</v>
      </c>
      <c r="I733" t="n">
        <v>0</v>
      </c>
      <c r="J733" t="n">
        <v>0</v>
      </c>
      <c r="K733" t="n">
        <v>0</v>
      </c>
      <c r="L733" t="n">
        <v>0</v>
      </c>
      <c r="M733" t="n">
        <v>0</v>
      </c>
      <c r="N733" t="n">
        <v>0</v>
      </c>
      <c r="O733" t="n">
        <v>0</v>
      </c>
      <c r="P733" t="n">
        <v>0</v>
      </c>
      <c r="Q733" t="n">
        <v>0</v>
      </c>
      <c r="R733" s="2" t="inlineStr"/>
    </row>
    <row r="734" ht="15" customHeight="1">
      <c r="A734" t="inlineStr">
        <is>
          <t>A 56679-2023</t>
        </is>
      </c>
      <c r="B734" s="1" t="n">
        <v>45243</v>
      </c>
      <c r="C734" s="1" t="n">
        <v>45781</v>
      </c>
      <c r="D734" t="inlineStr">
        <is>
          <t>JÄMTLANDS LÄN</t>
        </is>
      </c>
      <c r="E734" t="inlineStr">
        <is>
          <t>ÅRE</t>
        </is>
      </c>
      <c r="G734" t="n">
        <v>4.3</v>
      </c>
      <c r="H734" t="n">
        <v>0</v>
      </c>
      <c r="I734" t="n">
        <v>0</v>
      </c>
      <c r="J734" t="n">
        <v>0</v>
      </c>
      <c r="K734" t="n">
        <v>0</v>
      </c>
      <c r="L734" t="n">
        <v>0</v>
      </c>
      <c r="M734" t="n">
        <v>0</v>
      </c>
      <c r="N734" t="n">
        <v>0</v>
      </c>
      <c r="O734" t="n">
        <v>0</v>
      </c>
      <c r="P734" t="n">
        <v>0</v>
      </c>
      <c r="Q734" t="n">
        <v>0</v>
      </c>
      <c r="R734" s="2" t="inlineStr"/>
    </row>
    <row r="735" ht="15" customHeight="1">
      <c r="A735" t="inlineStr">
        <is>
          <t>A 56736-2023</t>
        </is>
      </c>
      <c r="B735" s="1" t="n">
        <v>45244</v>
      </c>
      <c r="C735" s="1" t="n">
        <v>45781</v>
      </c>
      <c r="D735" t="inlineStr">
        <is>
          <t>JÄMTLANDS LÄN</t>
        </is>
      </c>
      <c r="E735" t="inlineStr">
        <is>
          <t>ÅRE</t>
        </is>
      </c>
      <c r="F735" t="inlineStr">
        <is>
          <t>Övriga Aktiebolag</t>
        </is>
      </c>
      <c r="G735" t="n">
        <v>10.7</v>
      </c>
      <c r="H735" t="n">
        <v>0</v>
      </c>
      <c r="I735" t="n">
        <v>0</v>
      </c>
      <c r="J735" t="n">
        <v>0</v>
      </c>
      <c r="K735" t="n">
        <v>0</v>
      </c>
      <c r="L735" t="n">
        <v>0</v>
      </c>
      <c r="M735" t="n">
        <v>0</v>
      </c>
      <c r="N735" t="n">
        <v>0</v>
      </c>
      <c r="O735" t="n">
        <v>0</v>
      </c>
      <c r="P735" t="n">
        <v>0</v>
      </c>
      <c r="Q735" t="n">
        <v>0</v>
      </c>
      <c r="R735" s="2" t="inlineStr"/>
    </row>
    <row r="736" ht="15" customHeight="1">
      <c r="A736" t="inlineStr">
        <is>
          <t>A 56976-2023</t>
        </is>
      </c>
      <c r="B736" s="1" t="n">
        <v>45244</v>
      </c>
      <c r="C736" s="1" t="n">
        <v>45781</v>
      </c>
      <c r="D736" t="inlineStr">
        <is>
          <t>JÄMTLANDS LÄN</t>
        </is>
      </c>
      <c r="E736" t="inlineStr">
        <is>
          <t>ÅRE</t>
        </is>
      </c>
      <c r="F736" t="inlineStr">
        <is>
          <t>Övriga Aktiebolag</t>
        </is>
      </c>
      <c r="G736" t="n">
        <v>4.9</v>
      </c>
      <c r="H736" t="n">
        <v>0</v>
      </c>
      <c r="I736" t="n">
        <v>0</v>
      </c>
      <c r="J736" t="n">
        <v>0</v>
      </c>
      <c r="K736" t="n">
        <v>0</v>
      </c>
      <c r="L736" t="n">
        <v>0</v>
      </c>
      <c r="M736" t="n">
        <v>0</v>
      </c>
      <c r="N736" t="n">
        <v>0</v>
      </c>
      <c r="O736" t="n">
        <v>0</v>
      </c>
      <c r="P736" t="n">
        <v>0</v>
      </c>
      <c r="Q736" t="n">
        <v>0</v>
      </c>
      <c r="R736" s="2" t="inlineStr"/>
    </row>
    <row r="737" ht="15" customHeight="1">
      <c r="A737" t="inlineStr">
        <is>
          <t>A 57448-2023</t>
        </is>
      </c>
      <c r="B737" s="1" t="n">
        <v>45246</v>
      </c>
      <c r="C737" s="1" t="n">
        <v>45781</v>
      </c>
      <c r="D737" t="inlineStr">
        <is>
          <t>JÄMTLANDS LÄN</t>
        </is>
      </c>
      <c r="E737" t="inlineStr">
        <is>
          <t>ÅRE</t>
        </is>
      </c>
      <c r="G737" t="n">
        <v>11.9</v>
      </c>
      <c r="H737" t="n">
        <v>0</v>
      </c>
      <c r="I737" t="n">
        <v>0</v>
      </c>
      <c r="J737" t="n">
        <v>0</v>
      </c>
      <c r="K737" t="n">
        <v>0</v>
      </c>
      <c r="L737" t="n">
        <v>0</v>
      </c>
      <c r="M737" t="n">
        <v>0</v>
      </c>
      <c r="N737" t="n">
        <v>0</v>
      </c>
      <c r="O737" t="n">
        <v>0</v>
      </c>
      <c r="P737" t="n">
        <v>0</v>
      </c>
      <c r="Q737" t="n">
        <v>0</v>
      </c>
      <c r="R737" s="2" t="inlineStr"/>
    </row>
    <row r="738" ht="15" customHeight="1">
      <c r="A738" t="inlineStr">
        <is>
          <t>A 57772-2023</t>
        </is>
      </c>
      <c r="B738" s="1" t="n">
        <v>45246</v>
      </c>
      <c r="C738" s="1" t="n">
        <v>45781</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57770-2023</t>
        </is>
      </c>
      <c r="B739" s="1" t="n">
        <v>45246</v>
      </c>
      <c r="C739" s="1" t="n">
        <v>45781</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58508-2023</t>
        </is>
      </c>
      <c r="B740" s="1" t="n">
        <v>45246</v>
      </c>
      <c r="C740" s="1" t="n">
        <v>45781</v>
      </c>
      <c r="D740" t="inlineStr">
        <is>
          <t>JÄMTLANDS LÄN</t>
        </is>
      </c>
      <c r="E740" t="inlineStr">
        <is>
          <t>ÅRE</t>
        </is>
      </c>
      <c r="G740" t="n">
        <v>21.8</v>
      </c>
      <c r="H740" t="n">
        <v>0</v>
      </c>
      <c r="I740" t="n">
        <v>0</v>
      </c>
      <c r="J740" t="n">
        <v>0</v>
      </c>
      <c r="K740" t="n">
        <v>0</v>
      </c>
      <c r="L740" t="n">
        <v>0</v>
      </c>
      <c r="M740" t="n">
        <v>0</v>
      </c>
      <c r="N740" t="n">
        <v>0</v>
      </c>
      <c r="O740" t="n">
        <v>0</v>
      </c>
      <c r="P740" t="n">
        <v>0</v>
      </c>
      <c r="Q740" t="n">
        <v>0</v>
      </c>
      <c r="R740" s="2" t="inlineStr"/>
    </row>
    <row r="741" ht="15" customHeight="1">
      <c r="A741" t="inlineStr">
        <is>
          <t>A 58178-2023</t>
        </is>
      </c>
      <c r="B741" s="1" t="n">
        <v>45250</v>
      </c>
      <c r="C741" s="1" t="n">
        <v>45781</v>
      </c>
      <c r="D741" t="inlineStr">
        <is>
          <t>JÄMTLANDS LÄN</t>
        </is>
      </c>
      <c r="E741" t="inlineStr">
        <is>
          <t>ÅRE</t>
        </is>
      </c>
      <c r="G741" t="n">
        <v>2.9</v>
      </c>
      <c r="H741" t="n">
        <v>0</v>
      </c>
      <c r="I741" t="n">
        <v>0</v>
      </c>
      <c r="J741" t="n">
        <v>0</v>
      </c>
      <c r="K741" t="n">
        <v>0</v>
      </c>
      <c r="L741" t="n">
        <v>0</v>
      </c>
      <c r="M741" t="n">
        <v>0</v>
      </c>
      <c r="N741" t="n">
        <v>0</v>
      </c>
      <c r="O741" t="n">
        <v>0</v>
      </c>
      <c r="P741" t="n">
        <v>0</v>
      </c>
      <c r="Q741" t="n">
        <v>0</v>
      </c>
      <c r="R741" s="2" t="inlineStr"/>
    </row>
    <row r="742" ht="15" customHeight="1">
      <c r="A742" t="inlineStr">
        <is>
          <t>A 58196-2023</t>
        </is>
      </c>
      <c r="B742" s="1" t="n">
        <v>45250</v>
      </c>
      <c r="C742" s="1" t="n">
        <v>45781</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58302-2023</t>
        </is>
      </c>
      <c r="B743" s="1" t="n">
        <v>45250</v>
      </c>
      <c r="C743" s="1" t="n">
        <v>45781</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58296-2023</t>
        </is>
      </c>
      <c r="B744" s="1" t="n">
        <v>45250</v>
      </c>
      <c r="C744" s="1" t="n">
        <v>45781</v>
      </c>
      <c r="D744" t="inlineStr">
        <is>
          <t>JÄMTLANDS LÄN</t>
        </is>
      </c>
      <c r="E744" t="inlineStr">
        <is>
          <t>ÅRE</t>
        </is>
      </c>
      <c r="G744" t="n">
        <v>6.3</v>
      </c>
      <c r="H744" t="n">
        <v>0</v>
      </c>
      <c r="I744" t="n">
        <v>0</v>
      </c>
      <c r="J744" t="n">
        <v>0</v>
      </c>
      <c r="K744" t="n">
        <v>0</v>
      </c>
      <c r="L744" t="n">
        <v>0</v>
      </c>
      <c r="M744" t="n">
        <v>0</v>
      </c>
      <c r="N744" t="n">
        <v>0</v>
      </c>
      <c r="O744" t="n">
        <v>0</v>
      </c>
      <c r="P744" t="n">
        <v>0</v>
      </c>
      <c r="Q744" t="n">
        <v>0</v>
      </c>
      <c r="R744" s="2" t="inlineStr"/>
    </row>
    <row r="745" ht="15" customHeight="1">
      <c r="A745" t="inlineStr">
        <is>
          <t>A 58299-2023</t>
        </is>
      </c>
      <c r="B745" s="1" t="n">
        <v>45250</v>
      </c>
      <c r="C745" s="1" t="n">
        <v>45781</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58907-2023</t>
        </is>
      </c>
      <c r="B746" s="1" t="n">
        <v>45252</v>
      </c>
      <c r="C746" s="1" t="n">
        <v>45781</v>
      </c>
      <c r="D746" t="inlineStr">
        <is>
          <t>JÄMTLANDS LÄN</t>
        </is>
      </c>
      <c r="E746" t="inlineStr">
        <is>
          <t>ÅRE</t>
        </is>
      </c>
      <c r="G746" t="n">
        <v>5.3</v>
      </c>
      <c r="H746" t="n">
        <v>0</v>
      </c>
      <c r="I746" t="n">
        <v>0</v>
      </c>
      <c r="J746" t="n">
        <v>0</v>
      </c>
      <c r="K746" t="n">
        <v>0</v>
      </c>
      <c r="L746" t="n">
        <v>0</v>
      </c>
      <c r="M746" t="n">
        <v>0</v>
      </c>
      <c r="N746" t="n">
        <v>0</v>
      </c>
      <c r="O746" t="n">
        <v>0</v>
      </c>
      <c r="P746" t="n">
        <v>0</v>
      </c>
      <c r="Q746" t="n">
        <v>0</v>
      </c>
      <c r="R746" s="2" t="inlineStr"/>
    </row>
    <row r="747" ht="15" customHeight="1">
      <c r="A747" t="inlineStr">
        <is>
          <t>A 59267-2023</t>
        </is>
      </c>
      <c r="B747" s="1" t="n">
        <v>45253</v>
      </c>
      <c r="C747" s="1" t="n">
        <v>45781</v>
      </c>
      <c r="D747" t="inlineStr">
        <is>
          <t>JÄMTLANDS LÄN</t>
        </is>
      </c>
      <c r="E747" t="inlineStr">
        <is>
          <t>ÅRE</t>
        </is>
      </c>
      <c r="G747" t="n">
        <v>2.7</v>
      </c>
      <c r="H747" t="n">
        <v>0</v>
      </c>
      <c r="I747" t="n">
        <v>0</v>
      </c>
      <c r="J747" t="n">
        <v>0</v>
      </c>
      <c r="K747" t="n">
        <v>0</v>
      </c>
      <c r="L747" t="n">
        <v>0</v>
      </c>
      <c r="M747" t="n">
        <v>0</v>
      </c>
      <c r="N747" t="n">
        <v>0</v>
      </c>
      <c r="O747" t="n">
        <v>0</v>
      </c>
      <c r="P747" t="n">
        <v>0</v>
      </c>
      <c r="Q747" t="n">
        <v>0</v>
      </c>
      <c r="R747" s="2" t="inlineStr"/>
    </row>
    <row r="748" ht="15" customHeight="1">
      <c r="A748" t="inlineStr">
        <is>
          <t>A 59274-2023</t>
        </is>
      </c>
      <c r="B748" s="1" t="n">
        <v>45253</v>
      </c>
      <c r="C748" s="1" t="n">
        <v>45781</v>
      </c>
      <c r="D748" t="inlineStr">
        <is>
          <t>JÄMTLANDS LÄN</t>
        </is>
      </c>
      <c r="E748" t="inlineStr">
        <is>
          <t>ÅRE</t>
        </is>
      </c>
      <c r="G748" t="n">
        <v>1.5</v>
      </c>
      <c r="H748" t="n">
        <v>0</v>
      </c>
      <c r="I748" t="n">
        <v>0</v>
      </c>
      <c r="J748" t="n">
        <v>0</v>
      </c>
      <c r="K748" t="n">
        <v>0</v>
      </c>
      <c r="L748" t="n">
        <v>0</v>
      </c>
      <c r="M748" t="n">
        <v>0</v>
      </c>
      <c r="N748" t="n">
        <v>0</v>
      </c>
      <c r="O748" t="n">
        <v>0</v>
      </c>
      <c r="P748" t="n">
        <v>0</v>
      </c>
      <c r="Q748" t="n">
        <v>0</v>
      </c>
      <c r="R748" s="2" t="inlineStr"/>
    </row>
    <row r="749" ht="15" customHeight="1">
      <c r="A749" t="inlineStr">
        <is>
          <t>A 59400-2023</t>
        </is>
      </c>
      <c r="B749" s="1" t="n">
        <v>45253</v>
      </c>
      <c r="C749" s="1" t="n">
        <v>45781</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59398-2023</t>
        </is>
      </c>
      <c r="B750" s="1" t="n">
        <v>45253</v>
      </c>
      <c r="C750" s="1" t="n">
        <v>45781</v>
      </c>
      <c r="D750" t="inlineStr">
        <is>
          <t>JÄMTLANDS LÄN</t>
        </is>
      </c>
      <c r="E750" t="inlineStr">
        <is>
          <t>ÅRE</t>
        </is>
      </c>
      <c r="G750" t="n">
        <v>2.3</v>
      </c>
      <c r="H750" t="n">
        <v>0</v>
      </c>
      <c r="I750" t="n">
        <v>0</v>
      </c>
      <c r="J750" t="n">
        <v>0</v>
      </c>
      <c r="K750" t="n">
        <v>0</v>
      </c>
      <c r="L750" t="n">
        <v>0</v>
      </c>
      <c r="M750" t="n">
        <v>0</v>
      </c>
      <c r="N750" t="n">
        <v>0</v>
      </c>
      <c r="O750" t="n">
        <v>0</v>
      </c>
      <c r="P750" t="n">
        <v>0</v>
      </c>
      <c r="Q750" t="n">
        <v>0</v>
      </c>
      <c r="R750" s="2" t="inlineStr"/>
    </row>
    <row r="751" ht="15" customHeight="1">
      <c r="A751" t="inlineStr">
        <is>
          <t>A 59414-2023</t>
        </is>
      </c>
      <c r="B751" s="1" t="n">
        <v>45254</v>
      </c>
      <c r="C751" s="1" t="n">
        <v>45781</v>
      </c>
      <c r="D751" t="inlineStr">
        <is>
          <t>JÄMTLANDS LÄN</t>
        </is>
      </c>
      <c r="E751" t="inlineStr">
        <is>
          <t>ÅRE</t>
        </is>
      </c>
      <c r="G751" t="n">
        <v>3.6</v>
      </c>
      <c r="H751" t="n">
        <v>0</v>
      </c>
      <c r="I751" t="n">
        <v>0</v>
      </c>
      <c r="J751" t="n">
        <v>0</v>
      </c>
      <c r="K751" t="n">
        <v>0</v>
      </c>
      <c r="L751" t="n">
        <v>0</v>
      </c>
      <c r="M751" t="n">
        <v>0</v>
      </c>
      <c r="N751" t="n">
        <v>0</v>
      </c>
      <c r="O751" t="n">
        <v>0</v>
      </c>
      <c r="P751" t="n">
        <v>0</v>
      </c>
      <c r="Q751" t="n">
        <v>0</v>
      </c>
      <c r="R751" s="2" t="inlineStr"/>
    </row>
    <row r="752" ht="15" customHeight="1">
      <c r="A752" t="inlineStr">
        <is>
          <t>A 59413-2023</t>
        </is>
      </c>
      <c r="B752" s="1" t="n">
        <v>45254</v>
      </c>
      <c r="C752" s="1" t="n">
        <v>45781</v>
      </c>
      <c r="D752" t="inlineStr">
        <is>
          <t>JÄMTLANDS LÄN</t>
        </is>
      </c>
      <c r="E752" t="inlineStr">
        <is>
          <t>ÅRE</t>
        </is>
      </c>
      <c r="G752" t="n">
        <v>4</v>
      </c>
      <c r="H752" t="n">
        <v>0</v>
      </c>
      <c r="I752" t="n">
        <v>0</v>
      </c>
      <c r="J752" t="n">
        <v>0</v>
      </c>
      <c r="K752" t="n">
        <v>0</v>
      </c>
      <c r="L752" t="n">
        <v>0</v>
      </c>
      <c r="M752" t="n">
        <v>0</v>
      </c>
      <c r="N752" t="n">
        <v>0</v>
      </c>
      <c r="O752" t="n">
        <v>0</v>
      </c>
      <c r="P752" t="n">
        <v>0</v>
      </c>
      <c r="Q752" t="n">
        <v>0</v>
      </c>
      <c r="R752" s="2" t="inlineStr"/>
    </row>
    <row r="753" ht="15" customHeight="1">
      <c r="A753" t="inlineStr">
        <is>
          <t>A 59666-2023</t>
        </is>
      </c>
      <c r="B753" s="1" t="n">
        <v>45255</v>
      </c>
      <c r="C753" s="1" t="n">
        <v>45781</v>
      </c>
      <c r="D753" t="inlineStr">
        <is>
          <t>JÄMTLANDS LÄN</t>
        </is>
      </c>
      <c r="E753" t="inlineStr">
        <is>
          <t>ÅRE</t>
        </is>
      </c>
      <c r="G753" t="n">
        <v>6.6</v>
      </c>
      <c r="H753" t="n">
        <v>0</v>
      </c>
      <c r="I753" t="n">
        <v>0</v>
      </c>
      <c r="J753" t="n">
        <v>0</v>
      </c>
      <c r="K753" t="n">
        <v>0</v>
      </c>
      <c r="L753" t="n">
        <v>0</v>
      </c>
      <c r="M753" t="n">
        <v>0</v>
      </c>
      <c r="N753" t="n">
        <v>0</v>
      </c>
      <c r="O753" t="n">
        <v>0</v>
      </c>
      <c r="P753" t="n">
        <v>0</v>
      </c>
      <c r="Q753" t="n">
        <v>0</v>
      </c>
      <c r="R753" s="2" t="inlineStr"/>
    </row>
    <row r="754" ht="15" customHeight="1">
      <c r="A754" t="inlineStr">
        <is>
          <t>A 59753-2023</t>
        </is>
      </c>
      <c r="B754" s="1" t="n">
        <v>45254</v>
      </c>
      <c r="C754" s="1" t="n">
        <v>45781</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59968-2023</t>
        </is>
      </c>
      <c r="B755" s="1" t="n">
        <v>45254</v>
      </c>
      <c r="C755" s="1" t="n">
        <v>45781</v>
      </c>
      <c r="D755" t="inlineStr">
        <is>
          <t>JÄMTLANDS LÄN</t>
        </is>
      </c>
      <c r="E755" t="inlineStr">
        <is>
          <t>ÅRE</t>
        </is>
      </c>
      <c r="G755" t="n">
        <v>1.7</v>
      </c>
      <c r="H755" t="n">
        <v>0</v>
      </c>
      <c r="I755" t="n">
        <v>0</v>
      </c>
      <c r="J755" t="n">
        <v>0</v>
      </c>
      <c r="K755" t="n">
        <v>0</v>
      </c>
      <c r="L755" t="n">
        <v>0</v>
      </c>
      <c r="M755" t="n">
        <v>0</v>
      </c>
      <c r="N755" t="n">
        <v>0</v>
      </c>
      <c r="O755" t="n">
        <v>0</v>
      </c>
      <c r="P755" t="n">
        <v>0</v>
      </c>
      <c r="Q755" t="n">
        <v>0</v>
      </c>
      <c r="R755" s="2" t="inlineStr"/>
    </row>
    <row r="756" ht="15" customHeight="1">
      <c r="A756" t="inlineStr">
        <is>
          <t>A 59916-2023</t>
        </is>
      </c>
      <c r="B756" s="1" t="n">
        <v>45257</v>
      </c>
      <c r="C756" s="1" t="n">
        <v>45781</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59864-2023</t>
        </is>
      </c>
      <c r="B757" s="1" t="n">
        <v>45257</v>
      </c>
      <c r="C757" s="1" t="n">
        <v>45781</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59878-2023</t>
        </is>
      </c>
      <c r="B758" s="1" t="n">
        <v>45257</v>
      </c>
      <c r="C758" s="1" t="n">
        <v>45781</v>
      </c>
      <c r="D758" t="inlineStr">
        <is>
          <t>JÄMTLANDS LÄN</t>
        </is>
      </c>
      <c r="E758" t="inlineStr">
        <is>
          <t>ÅRE</t>
        </is>
      </c>
      <c r="G758" t="n">
        <v>0.6</v>
      </c>
      <c r="H758" t="n">
        <v>0</v>
      </c>
      <c r="I758" t="n">
        <v>0</v>
      </c>
      <c r="J758" t="n">
        <v>0</v>
      </c>
      <c r="K758" t="n">
        <v>0</v>
      </c>
      <c r="L758" t="n">
        <v>0</v>
      </c>
      <c r="M758" t="n">
        <v>0</v>
      </c>
      <c r="N758" t="n">
        <v>0</v>
      </c>
      <c r="O758" t="n">
        <v>0</v>
      </c>
      <c r="P758" t="n">
        <v>0</v>
      </c>
      <c r="Q758" t="n">
        <v>0</v>
      </c>
      <c r="R758" s="2" t="inlineStr"/>
    </row>
    <row r="759" ht="15" customHeight="1">
      <c r="A759" t="inlineStr">
        <is>
          <t>A 59892-2023</t>
        </is>
      </c>
      <c r="B759" s="1" t="n">
        <v>45257</v>
      </c>
      <c r="C759" s="1" t="n">
        <v>45781</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60332-2023</t>
        </is>
      </c>
      <c r="B760" s="1" t="n">
        <v>45258</v>
      </c>
      <c r="C760" s="1" t="n">
        <v>45781</v>
      </c>
      <c r="D760" t="inlineStr">
        <is>
          <t>JÄMTLANDS LÄN</t>
        </is>
      </c>
      <c r="E760" t="inlineStr">
        <is>
          <t>ÅRE</t>
        </is>
      </c>
      <c r="G760" t="n">
        <v>12.5</v>
      </c>
      <c r="H760" t="n">
        <v>0</v>
      </c>
      <c r="I760" t="n">
        <v>0</v>
      </c>
      <c r="J760" t="n">
        <v>0</v>
      </c>
      <c r="K760" t="n">
        <v>0</v>
      </c>
      <c r="L760" t="n">
        <v>0</v>
      </c>
      <c r="M760" t="n">
        <v>0</v>
      </c>
      <c r="N760" t="n">
        <v>0</v>
      </c>
      <c r="O760" t="n">
        <v>0</v>
      </c>
      <c r="P760" t="n">
        <v>0</v>
      </c>
      <c r="Q760" t="n">
        <v>0</v>
      </c>
      <c r="R760" s="2" t="inlineStr"/>
    </row>
    <row r="761" ht="15" customHeight="1">
      <c r="A761" t="inlineStr">
        <is>
          <t>A 60808-2023</t>
        </is>
      </c>
      <c r="B761" s="1" t="n">
        <v>45260</v>
      </c>
      <c r="C761" s="1" t="n">
        <v>45781</v>
      </c>
      <c r="D761" t="inlineStr">
        <is>
          <t>JÄMTLANDS LÄN</t>
        </is>
      </c>
      <c r="E761" t="inlineStr">
        <is>
          <t>ÅRE</t>
        </is>
      </c>
      <c r="G761" t="n">
        <v>10.4</v>
      </c>
      <c r="H761" t="n">
        <v>0</v>
      </c>
      <c r="I761" t="n">
        <v>0</v>
      </c>
      <c r="J761" t="n">
        <v>0</v>
      </c>
      <c r="K761" t="n">
        <v>0</v>
      </c>
      <c r="L761" t="n">
        <v>0</v>
      </c>
      <c r="M761" t="n">
        <v>0</v>
      </c>
      <c r="N761" t="n">
        <v>0</v>
      </c>
      <c r="O761" t="n">
        <v>0</v>
      </c>
      <c r="P761" t="n">
        <v>0</v>
      </c>
      <c r="Q761" t="n">
        <v>0</v>
      </c>
      <c r="R761" s="2" t="inlineStr"/>
    </row>
    <row r="762" ht="15" customHeight="1">
      <c r="A762" t="inlineStr">
        <is>
          <t>A 60973-2023</t>
        </is>
      </c>
      <c r="B762" s="1" t="n">
        <v>45261</v>
      </c>
      <c r="C762" s="1" t="n">
        <v>45781</v>
      </c>
      <c r="D762" t="inlineStr">
        <is>
          <t>JÄMTLANDS LÄN</t>
        </is>
      </c>
      <c r="E762" t="inlineStr">
        <is>
          <t>ÅRE</t>
        </is>
      </c>
      <c r="G762" t="n">
        <v>3.1</v>
      </c>
      <c r="H762" t="n">
        <v>0</v>
      </c>
      <c r="I762" t="n">
        <v>0</v>
      </c>
      <c r="J762" t="n">
        <v>0</v>
      </c>
      <c r="K762" t="n">
        <v>0</v>
      </c>
      <c r="L762" t="n">
        <v>0</v>
      </c>
      <c r="M762" t="n">
        <v>0</v>
      </c>
      <c r="N762" t="n">
        <v>0</v>
      </c>
      <c r="O762" t="n">
        <v>0</v>
      </c>
      <c r="P762" t="n">
        <v>0</v>
      </c>
      <c r="Q762" t="n">
        <v>0</v>
      </c>
      <c r="R762" s="2" t="inlineStr"/>
    </row>
    <row r="763" ht="15" customHeight="1">
      <c r="A763" t="inlineStr">
        <is>
          <t>A 60962-2023</t>
        </is>
      </c>
      <c r="B763" s="1" t="n">
        <v>45261</v>
      </c>
      <c r="C763" s="1" t="n">
        <v>45781</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61622-2023</t>
        </is>
      </c>
      <c r="B764" s="1" t="n">
        <v>45261</v>
      </c>
      <c r="C764" s="1" t="n">
        <v>45781</v>
      </c>
      <c r="D764" t="inlineStr">
        <is>
          <t>JÄMTLANDS LÄN</t>
        </is>
      </c>
      <c r="E764" t="inlineStr">
        <is>
          <t>ÅRE</t>
        </is>
      </c>
      <c r="G764" t="n">
        <v>1.6</v>
      </c>
      <c r="H764" t="n">
        <v>0</v>
      </c>
      <c r="I764" t="n">
        <v>0</v>
      </c>
      <c r="J764" t="n">
        <v>0</v>
      </c>
      <c r="K764" t="n">
        <v>0</v>
      </c>
      <c r="L764" t="n">
        <v>0</v>
      </c>
      <c r="M764" t="n">
        <v>0</v>
      </c>
      <c r="N764" t="n">
        <v>0</v>
      </c>
      <c r="O764" t="n">
        <v>0</v>
      </c>
      <c r="P764" t="n">
        <v>0</v>
      </c>
      <c r="Q764" t="n">
        <v>0</v>
      </c>
      <c r="R764" s="2" t="inlineStr"/>
    </row>
    <row r="765" ht="15" customHeight="1">
      <c r="A765" t="inlineStr">
        <is>
          <t>A 61183-2023</t>
        </is>
      </c>
      <c r="B765" s="1" t="n">
        <v>45263</v>
      </c>
      <c r="C765" s="1" t="n">
        <v>45781</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61295-2023</t>
        </is>
      </c>
      <c r="B766" s="1" t="n">
        <v>45264</v>
      </c>
      <c r="C766" s="1" t="n">
        <v>45781</v>
      </c>
      <c r="D766" t="inlineStr">
        <is>
          <t>JÄMTLANDS LÄN</t>
        </is>
      </c>
      <c r="E766" t="inlineStr">
        <is>
          <t>ÅRE</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61477-2023</t>
        </is>
      </c>
      <c r="B767" s="1" t="n">
        <v>45264</v>
      </c>
      <c r="C767" s="1" t="n">
        <v>45781</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61479-2023</t>
        </is>
      </c>
      <c r="B768" s="1" t="n">
        <v>45264</v>
      </c>
      <c r="C768" s="1" t="n">
        <v>45781</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61482-2023</t>
        </is>
      </c>
      <c r="B769" s="1" t="n">
        <v>45264</v>
      </c>
      <c r="C769" s="1" t="n">
        <v>45781</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61480-2023</t>
        </is>
      </c>
      <c r="B770" s="1" t="n">
        <v>45264</v>
      </c>
      <c r="C770" s="1" t="n">
        <v>45781</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61978-2023</t>
        </is>
      </c>
      <c r="B771" s="1" t="n">
        <v>45266</v>
      </c>
      <c r="C771" s="1" t="n">
        <v>45781</v>
      </c>
      <c r="D771" t="inlineStr">
        <is>
          <t>JÄMTLANDS LÄN</t>
        </is>
      </c>
      <c r="E771" t="inlineStr">
        <is>
          <t>ÅRE</t>
        </is>
      </c>
      <c r="G771" t="n">
        <v>5.5</v>
      </c>
      <c r="H771" t="n">
        <v>0</v>
      </c>
      <c r="I771" t="n">
        <v>0</v>
      </c>
      <c r="J771" t="n">
        <v>0</v>
      </c>
      <c r="K771" t="n">
        <v>0</v>
      </c>
      <c r="L771" t="n">
        <v>0</v>
      </c>
      <c r="M771" t="n">
        <v>0</v>
      </c>
      <c r="N771" t="n">
        <v>0</v>
      </c>
      <c r="O771" t="n">
        <v>0</v>
      </c>
      <c r="P771" t="n">
        <v>0</v>
      </c>
      <c r="Q771" t="n">
        <v>0</v>
      </c>
      <c r="R771" s="2" t="inlineStr"/>
    </row>
    <row r="772" ht="15" customHeight="1">
      <c r="A772" t="inlineStr">
        <is>
          <t>A 63906-2023</t>
        </is>
      </c>
      <c r="B772" s="1" t="n">
        <v>45278</v>
      </c>
      <c r="C772" s="1" t="n">
        <v>45781</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64312-2023</t>
        </is>
      </c>
      <c r="B773" s="1" t="n">
        <v>45279</v>
      </c>
      <c r="C773" s="1" t="n">
        <v>45781</v>
      </c>
      <c r="D773" t="inlineStr">
        <is>
          <t>JÄMTLANDS LÄN</t>
        </is>
      </c>
      <c r="E773" t="inlineStr">
        <is>
          <t>ÅRE</t>
        </is>
      </c>
      <c r="G773" t="n">
        <v>13.4</v>
      </c>
      <c r="H773" t="n">
        <v>0</v>
      </c>
      <c r="I773" t="n">
        <v>0</v>
      </c>
      <c r="J773" t="n">
        <v>0</v>
      </c>
      <c r="K773" t="n">
        <v>0</v>
      </c>
      <c r="L773" t="n">
        <v>0</v>
      </c>
      <c r="M773" t="n">
        <v>0</v>
      </c>
      <c r="N773" t="n">
        <v>0</v>
      </c>
      <c r="O773" t="n">
        <v>0</v>
      </c>
      <c r="P773" t="n">
        <v>0</v>
      </c>
      <c r="Q773" t="n">
        <v>0</v>
      </c>
      <c r="R773" s="2" t="inlineStr"/>
    </row>
    <row r="774" ht="15" customHeight="1">
      <c r="A774" t="inlineStr">
        <is>
          <t>A 64758-2023</t>
        </is>
      </c>
      <c r="B774" s="1" t="n">
        <v>45281</v>
      </c>
      <c r="C774" s="1" t="n">
        <v>45781</v>
      </c>
      <c r="D774" t="inlineStr">
        <is>
          <t>JÄMTLANDS LÄN</t>
        </is>
      </c>
      <c r="E774" t="inlineStr">
        <is>
          <t>ÅRE</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65029-2023</t>
        </is>
      </c>
      <c r="B775" s="1" t="n">
        <v>45287</v>
      </c>
      <c r="C775" s="1" t="n">
        <v>45781</v>
      </c>
      <c r="D775" t="inlineStr">
        <is>
          <t>JÄMTLANDS LÄN</t>
        </is>
      </c>
      <c r="E775" t="inlineStr">
        <is>
          <t>ÅRE</t>
        </is>
      </c>
      <c r="G775" t="n">
        <v>18.2</v>
      </c>
      <c r="H775" t="n">
        <v>0</v>
      </c>
      <c r="I775" t="n">
        <v>0</v>
      </c>
      <c r="J775" t="n">
        <v>0</v>
      </c>
      <c r="K775" t="n">
        <v>0</v>
      </c>
      <c r="L775" t="n">
        <v>0</v>
      </c>
      <c r="M775" t="n">
        <v>0</v>
      </c>
      <c r="N775" t="n">
        <v>0</v>
      </c>
      <c r="O775" t="n">
        <v>0</v>
      </c>
      <c r="P775" t="n">
        <v>0</v>
      </c>
      <c r="Q775" t="n">
        <v>0</v>
      </c>
      <c r="R775" s="2" t="inlineStr"/>
    </row>
    <row r="776" ht="15" customHeight="1">
      <c r="A776" t="inlineStr">
        <is>
          <t>A 65079-2023</t>
        </is>
      </c>
      <c r="B776" s="1" t="n">
        <v>45288</v>
      </c>
      <c r="C776" s="1" t="n">
        <v>45781</v>
      </c>
      <c r="D776" t="inlineStr">
        <is>
          <t>JÄMTLANDS LÄN</t>
        </is>
      </c>
      <c r="E776" t="inlineStr">
        <is>
          <t>ÅRE</t>
        </is>
      </c>
      <c r="G776" t="n">
        <v>6</v>
      </c>
      <c r="H776" t="n">
        <v>0</v>
      </c>
      <c r="I776" t="n">
        <v>0</v>
      </c>
      <c r="J776" t="n">
        <v>0</v>
      </c>
      <c r="K776" t="n">
        <v>0</v>
      </c>
      <c r="L776" t="n">
        <v>0</v>
      </c>
      <c r="M776" t="n">
        <v>0</v>
      </c>
      <c r="N776" t="n">
        <v>0</v>
      </c>
      <c r="O776" t="n">
        <v>0</v>
      </c>
      <c r="P776" t="n">
        <v>0</v>
      </c>
      <c r="Q776" t="n">
        <v>0</v>
      </c>
      <c r="R776" s="2" t="inlineStr"/>
    </row>
    <row r="777" ht="15" customHeight="1">
      <c r="A777" t="inlineStr">
        <is>
          <t>A 65078-2023</t>
        </is>
      </c>
      <c r="B777" s="1" t="n">
        <v>45288</v>
      </c>
      <c r="C777" s="1" t="n">
        <v>45781</v>
      </c>
      <c r="D777" t="inlineStr">
        <is>
          <t>JÄMTLANDS LÄN</t>
        </is>
      </c>
      <c r="E777" t="inlineStr">
        <is>
          <t>ÅRE</t>
        </is>
      </c>
      <c r="G777" t="n">
        <v>2.2</v>
      </c>
      <c r="H777" t="n">
        <v>0</v>
      </c>
      <c r="I777" t="n">
        <v>0</v>
      </c>
      <c r="J777" t="n">
        <v>0</v>
      </c>
      <c r="K777" t="n">
        <v>0</v>
      </c>
      <c r="L777" t="n">
        <v>0</v>
      </c>
      <c r="M777" t="n">
        <v>0</v>
      </c>
      <c r="N777" t="n">
        <v>0</v>
      </c>
      <c r="O777" t="n">
        <v>0</v>
      </c>
      <c r="P777" t="n">
        <v>0</v>
      </c>
      <c r="Q777" t="n">
        <v>0</v>
      </c>
      <c r="R777" s="2" t="inlineStr"/>
    </row>
    <row r="778" ht="15" customHeight="1">
      <c r="A778" t="inlineStr">
        <is>
          <t>A 65033-2023</t>
        </is>
      </c>
      <c r="B778" s="1" t="n">
        <v>45287</v>
      </c>
      <c r="C778" s="1" t="n">
        <v>45781</v>
      </c>
      <c r="D778" t="inlineStr">
        <is>
          <t>JÄMTLANDS LÄN</t>
        </is>
      </c>
      <c r="E778" t="inlineStr">
        <is>
          <t>ÅRE</t>
        </is>
      </c>
      <c r="G778" t="n">
        <v>2.8</v>
      </c>
      <c r="H778" t="n">
        <v>0</v>
      </c>
      <c r="I778" t="n">
        <v>0</v>
      </c>
      <c r="J778" t="n">
        <v>0</v>
      </c>
      <c r="K778" t="n">
        <v>0</v>
      </c>
      <c r="L778" t="n">
        <v>0</v>
      </c>
      <c r="M778" t="n">
        <v>0</v>
      </c>
      <c r="N778" t="n">
        <v>0</v>
      </c>
      <c r="O778" t="n">
        <v>0</v>
      </c>
      <c r="P778" t="n">
        <v>0</v>
      </c>
      <c r="Q778" t="n">
        <v>0</v>
      </c>
      <c r="R778" s="2" t="inlineStr"/>
    </row>
    <row r="779" ht="15" customHeight="1">
      <c r="A779" t="inlineStr">
        <is>
          <t>A 376-2024</t>
        </is>
      </c>
      <c r="B779" s="1" t="n">
        <v>45296</v>
      </c>
      <c r="C779" s="1" t="n">
        <v>45781</v>
      </c>
      <c r="D779" t="inlineStr">
        <is>
          <t>JÄMTLANDS LÄN</t>
        </is>
      </c>
      <c r="E779" t="inlineStr">
        <is>
          <t>ÅRE</t>
        </is>
      </c>
      <c r="F779" t="inlineStr">
        <is>
          <t>Kyrkan</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393-2024</t>
        </is>
      </c>
      <c r="B780" s="1" t="n">
        <v>45296</v>
      </c>
      <c r="C780" s="1" t="n">
        <v>45781</v>
      </c>
      <c r="D780" t="inlineStr">
        <is>
          <t>JÄMTLANDS LÄN</t>
        </is>
      </c>
      <c r="E780" t="inlineStr">
        <is>
          <t>ÅRE</t>
        </is>
      </c>
      <c r="G780" t="n">
        <v>6.5</v>
      </c>
      <c r="H780" t="n">
        <v>0</v>
      </c>
      <c r="I780" t="n">
        <v>0</v>
      </c>
      <c r="J780" t="n">
        <v>0</v>
      </c>
      <c r="K780" t="n">
        <v>0</v>
      </c>
      <c r="L780" t="n">
        <v>0</v>
      </c>
      <c r="M780" t="n">
        <v>0</v>
      </c>
      <c r="N780" t="n">
        <v>0</v>
      </c>
      <c r="O780" t="n">
        <v>0</v>
      </c>
      <c r="P780" t="n">
        <v>0</v>
      </c>
      <c r="Q780" t="n">
        <v>0</v>
      </c>
      <c r="R780" s="2" t="inlineStr"/>
    </row>
    <row r="781" ht="15" customHeight="1">
      <c r="A781" t="inlineStr">
        <is>
          <t>A 747-2024</t>
        </is>
      </c>
      <c r="B781" s="1" t="n">
        <v>45300</v>
      </c>
      <c r="C781" s="1" t="n">
        <v>45781</v>
      </c>
      <c r="D781" t="inlineStr">
        <is>
          <t>JÄMTLANDS LÄN</t>
        </is>
      </c>
      <c r="E781" t="inlineStr">
        <is>
          <t>ÅRE</t>
        </is>
      </c>
      <c r="G781" t="n">
        <v>4.8</v>
      </c>
      <c r="H781" t="n">
        <v>0</v>
      </c>
      <c r="I781" t="n">
        <v>0</v>
      </c>
      <c r="J781" t="n">
        <v>0</v>
      </c>
      <c r="K781" t="n">
        <v>0</v>
      </c>
      <c r="L781" t="n">
        <v>0</v>
      </c>
      <c r="M781" t="n">
        <v>0</v>
      </c>
      <c r="N781" t="n">
        <v>0</v>
      </c>
      <c r="O781" t="n">
        <v>0</v>
      </c>
      <c r="P781" t="n">
        <v>0</v>
      </c>
      <c r="Q781" t="n">
        <v>0</v>
      </c>
      <c r="R781" s="2" t="inlineStr"/>
    </row>
    <row r="782" ht="15" customHeight="1">
      <c r="A782" t="inlineStr">
        <is>
          <t>A 1050-2024</t>
        </is>
      </c>
      <c r="B782" s="1" t="n">
        <v>45301</v>
      </c>
      <c r="C782" s="1" t="n">
        <v>45781</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1378-2024</t>
        </is>
      </c>
      <c r="B783" s="1" t="n">
        <v>45303</v>
      </c>
      <c r="C783" s="1" t="n">
        <v>45781</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1460-2024</t>
        </is>
      </c>
      <c r="B784" s="1" t="n">
        <v>45303</v>
      </c>
      <c r="C784" s="1" t="n">
        <v>45781</v>
      </c>
      <c r="D784" t="inlineStr">
        <is>
          <t>JÄMTLANDS LÄN</t>
        </is>
      </c>
      <c r="E784" t="inlineStr">
        <is>
          <t>ÅRE</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1491-2024</t>
        </is>
      </c>
      <c r="B785" s="1" t="n">
        <v>45305</v>
      </c>
      <c r="C785" s="1" t="n">
        <v>45781</v>
      </c>
      <c r="D785" t="inlineStr">
        <is>
          <t>JÄMTLANDS LÄN</t>
        </is>
      </c>
      <c r="E785" t="inlineStr">
        <is>
          <t>ÅRE</t>
        </is>
      </c>
      <c r="G785" t="n">
        <v>31.4</v>
      </c>
      <c r="H785" t="n">
        <v>0</v>
      </c>
      <c r="I785" t="n">
        <v>0</v>
      </c>
      <c r="J785" t="n">
        <v>0</v>
      </c>
      <c r="K785" t="n">
        <v>0</v>
      </c>
      <c r="L785" t="n">
        <v>0</v>
      </c>
      <c r="M785" t="n">
        <v>0</v>
      </c>
      <c r="N785" t="n">
        <v>0</v>
      </c>
      <c r="O785" t="n">
        <v>0</v>
      </c>
      <c r="P785" t="n">
        <v>0</v>
      </c>
      <c r="Q785" t="n">
        <v>0</v>
      </c>
      <c r="R785" s="2" t="inlineStr"/>
    </row>
    <row r="786" ht="15" customHeight="1">
      <c r="A786" t="inlineStr">
        <is>
          <t>A 6825-2024</t>
        </is>
      </c>
      <c r="B786" s="1" t="n">
        <v>45342</v>
      </c>
      <c r="C786" s="1" t="n">
        <v>45781</v>
      </c>
      <c r="D786" t="inlineStr">
        <is>
          <t>JÄMTLANDS LÄN</t>
        </is>
      </c>
      <c r="E786" t="inlineStr">
        <is>
          <t>ÅRE</t>
        </is>
      </c>
      <c r="G786" t="n">
        <v>0.7</v>
      </c>
      <c r="H786" t="n">
        <v>0</v>
      </c>
      <c r="I786" t="n">
        <v>0</v>
      </c>
      <c r="J786" t="n">
        <v>0</v>
      </c>
      <c r="K786" t="n">
        <v>0</v>
      </c>
      <c r="L786" t="n">
        <v>0</v>
      </c>
      <c r="M786" t="n">
        <v>0</v>
      </c>
      <c r="N786" t="n">
        <v>0</v>
      </c>
      <c r="O786" t="n">
        <v>0</v>
      </c>
      <c r="P786" t="n">
        <v>0</v>
      </c>
      <c r="Q786" t="n">
        <v>0</v>
      </c>
      <c r="R786" s="2" t="inlineStr"/>
    </row>
    <row r="787" ht="15" customHeight="1">
      <c r="A787" t="inlineStr">
        <is>
          <t>A 7334-2024</t>
        </is>
      </c>
      <c r="B787" s="1" t="n">
        <v>45345</v>
      </c>
      <c r="C787" s="1" t="n">
        <v>45781</v>
      </c>
      <c r="D787" t="inlineStr">
        <is>
          <t>JÄMTLANDS LÄN</t>
        </is>
      </c>
      <c r="E787" t="inlineStr">
        <is>
          <t>ÅRE</t>
        </is>
      </c>
      <c r="G787" t="n">
        <v>12.7</v>
      </c>
      <c r="H787" t="n">
        <v>0</v>
      </c>
      <c r="I787" t="n">
        <v>0</v>
      </c>
      <c r="J787" t="n">
        <v>0</v>
      </c>
      <c r="K787" t="n">
        <v>0</v>
      </c>
      <c r="L787" t="n">
        <v>0</v>
      </c>
      <c r="M787" t="n">
        <v>0</v>
      </c>
      <c r="N787" t="n">
        <v>0</v>
      </c>
      <c r="O787" t="n">
        <v>0</v>
      </c>
      <c r="P787" t="n">
        <v>0</v>
      </c>
      <c r="Q787" t="n">
        <v>0</v>
      </c>
      <c r="R787" s="2" t="inlineStr"/>
    </row>
    <row r="788" ht="15" customHeight="1">
      <c r="A788" t="inlineStr">
        <is>
          <t>A 7323-2024</t>
        </is>
      </c>
      <c r="B788" s="1" t="n">
        <v>45345</v>
      </c>
      <c r="C788" s="1" t="n">
        <v>45781</v>
      </c>
      <c r="D788" t="inlineStr">
        <is>
          <t>JÄMTLANDS LÄN</t>
        </is>
      </c>
      <c r="E788" t="inlineStr">
        <is>
          <t>ÅRE</t>
        </is>
      </c>
      <c r="G788" t="n">
        <v>3.7</v>
      </c>
      <c r="H788" t="n">
        <v>0</v>
      </c>
      <c r="I788" t="n">
        <v>0</v>
      </c>
      <c r="J788" t="n">
        <v>0</v>
      </c>
      <c r="K788" t="n">
        <v>0</v>
      </c>
      <c r="L788" t="n">
        <v>0</v>
      </c>
      <c r="M788" t="n">
        <v>0</v>
      </c>
      <c r="N788" t="n">
        <v>0</v>
      </c>
      <c r="O788" t="n">
        <v>0</v>
      </c>
      <c r="P788" t="n">
        <v>0</v>
      </c>
      <c r="Q788" t="n">
        <v>0</v>
      </c>
      <c r="R788" s="2" t="inlineStr"/>
    </row>
    <row r="789" ht="15" customHeight="1">
      <c r="A789" t="inlineStr">
        <is>
          <t>A 8576-2024</t>
        </is>
      </c>
      <c r="B789" s="1" t="n">
        <v>45355</v>
      </c>
      <c r="C789" s="1" t="n">
        <v>45781</v>
      </c>
      <c r="D789" t="inlineStr">
        <is>
          <t>JÄMTLANDS LÄN</t>
        </is>
      </c>
      <c r="E789" t="inlineStr">
        <is>
          <t>ÅRE</t>
        </is>
      </c>
      <c r="G789" t="n">
        <v>21.7</v>
      </c>
      <c r="H789" t="n">
        <v>0</v>
      </c>
      <c r="I789" t="n">
        <v>0</v>
      </c>
      <c r="J789" t="n">
        <v>0</v>
      </c>
      <c r="K789" t="n">
        <v>0</v>
      </c>
      <c r="L789" t="n">
        <v>0</v>
      </c>
      <c r="M789" t="n">
        <v>0</v>
      </c>
      <c r="N789" t="n">
        <v>0</v>
      </c>
      <c r="O789" t="n">
        <v>0</v>
      </c>
      <c r="P789" t="n">
        <v>0</v>
      </c>
      <c r="Q789" t="n">
        <v>0</v>
      </c>
      <c r="R789" s="2" t="inlineStr"/>
    </row>
    <row r="790" ht="15" customHeight="1">
      <c r="A790" t="inlineStr">
        <is>
          <t>A 9926-2024</t>
        </is>
      </c>
      <c r="B790" s="1" t="n">
        <v>45363</v>
      </c>
      <c r="C790" s="1" t="n">
        <v>45781</v>
      </c>
      <c r="D790" t="inlineStr">
        <is>
          <t>JÄMTLANDS LÄN</t>
        </is>
      </c>
      <c r="E790" t="inlineStr">
        <is>
          <t>ÅRE</t>
        </is>
      </c>
      <c r="G790" t="n">
        <v>3.4</v>
      </c>
      <c r="H790" t="n">
        <v>0</v>
      </c>
      <c r="I790" t="n">
        <v>0</v>
      </c>
      <c r="J790" t="n">
        <v>0</v>
      </c>
      <c r="K790" t="n">
        <v>0</v>
      </c>
      <c r="L790" t="n">
        <v>0</v>
      </c>
      <c r="M790" t="n">
        <v>0</v>
      </c>
      <c r="N790" t="n">
        <v>0</v>
      </c>
      <c r="O790" t="n">
        <v>0</v>
      </c>
      <c r="P790" t="n">
        <v>0</v>
      </c>
      <c r="Q790" t="n">
        <v>0</v>
      </c>
      <c r="R790" s="2" t="inlineStr"/>
    </row>
    <row r="791" ht="15" customHeight="1">
      <c r="A791" t="inlineStr">
        <is>
          <t>A 9936-2024</t>
        </is>
      </c>
      <c r="B791" s="1" t="n">
        <v>45363</v>
      </c>
      <c r="C791" s="1" t="n">
        <v>45781</v>
      </c>
      <c r="D791" t="inlineStr">
        <is>
          <t>JÄMTLANDS LÄN</t>
        </is>
      </c>
      <c r="E791" t="inlineStr">
        <is>
          <t>ÅRE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11291-2024</t>
        </is>
      </c>
      <c r="B792" s="1" t="n">
        <v>45371</v>
      </c>
      <c r="C792" s="1" t="n">
        <v>45781</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11292-2024</t>
        </is>
      </c>
      <c r="B793" s="1" t="n">
        <v>45371</v>
      </c>
      <c r="C793" s="1" t="n">
        <v>45781</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11914-2024</t>
        </is>
      </c>
      <c r="B794" s="1" t="n">
        <v>45376</v>
      </c>
      <c r="C794" s="1" t="n">
        <v>45781</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11820-2024</t>
        </is>
      </c>
      <c r="B795" s="1" t="n">
        <v>45376</v>
      </c>
      <c r="C795" s="1" t="n">
        <v>45781</v>
      </c>
      <c r="D795" t="inlineStr">
        <is>
          <t>JÄMTLANDS LÄN</t>
        </is>
      </c>
      <c r="E795" t="inlineStr">
        <is>
          <t>ÅRE</t>
        </is>
      </c>
      <c r="G795" t="n">
        <v>9.9</v>
      </c>
      <c r="H795" t="n">
        <v>0</v>
      </c>
      <c r="I795" t="n">
        <v>0</v>
      </c>
      <c r="J795" t="n">
        <v>0</v>
      </c>
      <c r="K795" t="n">
        <v>0</v>
      </c>
      <c r="L795" t="n">
        <v>0</v>
      </c>
      <c r="M795" t="n">
        <v>0</v>
      </c>
      <c r="N795" t="n">
        <v>0</v>
      </c>
      <c r="O795" t="n">
        <v>0</v>
      </c>
      <c r="P795" t="n">
        <v>0</v>
      </c>
      <c r="Q795" t="n">
        <v>0</v>
      </c>
      <c r="R795" s="2" t="inlineStr"/>
    </row>
    <row r="796" ht="15" customHeight="1">
      <c r="A796" t="inlineStr">
        <is>
          <t>A 12427-2024</t>
        </is>
      </c>
      <c r="B796" s="1" t="n">
        <v>45379</v>
      </c>
      <c r="C796" s="1" t="n">
        <v>45781</v>
      </c>
      <c r="D796" t="inlineStr">
        <is>
          <t>JÄMTLANDS LÄN</t>
        </is>
      </c>
      <c r="E796" t="inlineStr">
        <is>
          <t>ÅRE</t>
        </is>
      </c>
      <c r="G796" t="n">
        <v>8.4</v>
      </c>
      <c r="H796" t="n">
        <v>0</v>
      </c>
      <c r="I796" t="n">
        <v>0</v>
      </c>
      <c r="J796" t="n">
        <v>0</v>
      </c>
      <c r="K796" t="n">
        <v>0</v>
      </c>
      <c r="L796" t="n">
        <v>0</v>
      </c>
      <c r="M796" t="n">
        <v>0</v>
      </c>
      <c r="N796" t="n">
        <v>0</v>
      </c>
      <c r="O796" t="n">
        <v>0</v>
      </c>
      <c r="P796" t="n">
        <v>0</v>
      </c>
      <c r="Q796" t="n">
        <v>0</v>
      </c>
      <c r="R796" s="2" t="inlineStr"/>
    </row>
    <row r="797" ht="15" customHeight="1">
      <c r="A797" t="inlineStr">
        <is>
          <t>A 12895-2024</t>
        </is>
      </c>
      <c r="B797" s="1" t="n">
        <v>45385</v>
      </c>
      <c r="C797" s="1" t="n">
        <v>45781</v>
      </c>
      <c r="D797" t="inlineStr">
        <is>
          <t>JÄMTLANDS LÄN</t>
        </is>
      </c>
      <c r="E797" t="inlineStr">
        <is>
          <t>ÅRE</t>
        </is>
      </c>
      <c r="G797" t="n">
        <v>7.1</v>
      </c>
      <c r="H797" t="n">
        <v>0</v>
      </c>
      <c r="I797" t="n">
        <v>0</v>
      </c>
      <c r="J797" t="n">
        <v>0</v>
      </c>
      <c r="K797" t="n">
        <v>0</v>
      </c>
      <c r="L797" t="n">
        <v>0</v>
      </c>
      <c r="M797" t="n">
        <v>0</v>
      </c>
      <c r="N797" t="n">
        <v>0</v>
      </c>
      <c r="O797" t="n">
        <v>0</v>
      </c>
      <c r="P797" t="n">
        <v>0</v>
      </c>
      <c r="Q797" t="n">
        <v>0</v>
      </c>
      <c r="R797" s="2" t="inlineStr"/>
    </row>
    <row r="798" ht="15" customHeight="1">
      <c r="A798" t="inlineStr">
        <is>
          <t>A 12933-2024</t>
        </is>
      </c>
      <c r="B798" s="1" t="n">
        <v>45385</v>
      </c>
      <c r="C798" s="1" t="n">
        <v>45781</v>
      </c>
      <c r="D798" t="inlineStr">
        <is>
          <t>JÄMTLANDS LÄN</t>
        </is>
      </c>
      <c r="E798" t="inlineStr">
        <is>
          <t>ÅRE</t>
        </is>
      </c>
      <c r="G798" t="n">
        <v>0.9</v>
      </c>
      <c r="H798" t="n">
        <v>0</v>
      </c>
      <c r="I798" t="n">
        <v>0</v>
      </c>
      <c r="J798" t="n">
        <v>0</v>
      </c>
      <c r="K798" t="n">
        <v>0</v>
      </c>
      <c r="L798" t="n">
        <v>0</v>
      </c>
      <c r="M798" t="n">
        <v>0</v>
      </c>
      <c r="N798" t="n">
        <v>0</v>
      </c>
      <c r="O798" t="n">
        <v>0</v>
      </c>
      <c r="P798" t="n">
        <v>0</v>
      </c>
      <c r="Q798" t="n">
        <v>0</v>
      </c>
      <c r="R798" s="2" t="inlineStr"/>
    </row>
    <row r="799" ht="15" customHeight="1">
      <c r="A799" t="inlineStr">
        <is>
          <t>A 12948-2024</t>
        </is>
      </c>
      <c r="B799" s="1" t="n">
        <v>45385</v>
      </c>
      <c r="C799" s="1" t="n">
        <v>45781</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13039-2024</t>
        </is>
      </c>
      <c r="B800" s="1" t="n">
        <v>45385</v>
      </c>
      <c r="C800" s="1" t="n">
        <v>45781</v>
      </c>
      <c r="D800" t="inlineStr">
        <is>
          <t>JÄMTLANDS LÄN</t>
        </is>
      </c>
      <c r="E800" t="inlineStr">
        <is>
          <t>ÅRE</t>
        </is>
      </c>
      <c r="G800" t="n">
        <v>1.8</v>
      </c>
      <c r="H800" t="n">
        <v>0</v>
      </c>
      <c r="I800" t="n">
        <v>0</v>
      </c>
      <c r="J800" t="n">
        <v>0</v>
      </c>
      <c r="K800" t="n">
        <v>0</v>
      </c>
      <c r="L800" t="n">
        <v>0</v>
      </c>
      <c r="M800" t="n">
        <v>0</v>
      </c>
      <c r="N800" t="n">
        <v>0</v>
      </c>
      <c r="O800" t="n">
        <v>0</v>
      </c>
      <c r="P800" t="n">
        <v>0</v>
      </c>
      <c r="Q800" t="n">
        <v>0</v>
      </c>
      <c r="R800" s="2" t="inlineStr"/>
    </row>
    <row r="801" ht="15" customHeight="1">
      <c r="A801" t="inlineStr">
        <is>
          <t>A 13033-2024</t>
        </is>
      </c>
      <c r="B801" s="1" t="n">
        <v>45385</v>
      </c>
      <c r="C801" s="1" t="n">
        <v>45781</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13062-2024</t>
        </is>
      </c>
      <c r="B802" s="1" t="n">
        <v>45385</v>
      </c>
      <c r="C802" s="1" t="n">
        <v>45781</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12930-2024</t>
        </is>
      </c>
      <c r="B803" s="1" t="n">
        <v>45385</v>
      </c>
      <c r="C803" s="1" t="n">
        <v>45781</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12951-2024</t>
        </is>
      </c>
      <c r="B804" s="1" t="n">
        <v>45385</v>
      </c>
      <c r="C804" s="1" t="n">
        <v>45781</v>
      </c>
      <c r="D804" t="inlineStr">
        <is>
          <t>JÄMTLANDS LÄN</t>
        </is>
      </c>
      <c r="E804" t="inlineStr">
        <is>
          <t>ÅRE</t>
        </is>
      </c>
      <c r="G804" t="n">
        <v>0.7</v>
      </c>
      <c r="H804" t="n">
        <v>0</v>
      </c>
      <c r="I804" t="n">
        <v>0</v>
      </c>
      <c r="J804" t="n">
        <v>0</v>
      </c>
      <c r="K804" t="n">
        <v>0</v>
      </c>
      <c r="L804" t="n">
        <v>0</v>
      </c>
      <c r="M804" t="n">
        <v>0</v>
      </c>
      <c r="N804" t="n">
        <v>0</v>
      </c>
      <c r="O804" t="n">
        <v>0</v>
      </c>
      <c r="P804" t="n">
        <v>0</v>
      </c>
      <c r="Q804" t="n">
        <v>0</v>
      </c>
      <c r="R804" s="2" t="inlineStr"/>
    </row>
    <row r="805" ht="15" customHeight="1">
      <c r="A805" t="inlineStr">
        <is>
          <t>A 13022-2024</t>
        </is>
      </c>
      <c r="B805" s="1" t="n">
        <v>45385</v>
      </c>
      <c r="C805" s="1" t="n">
        <v>45781</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12936-2024</t>
        </is>
      </c>
      <c r="B806" s="1" t="n">
        <v>45385</v>
      </c>
      <c r="C806" s="1" t="n">
        <v>45781</v>
      </c>
      <c r="D806" t="inlineStr">
        <is>
          <t>JÄMTLANDS LÄN</t>
        </is>
      </c>
      <c r="E806" t="inlineStr">
        <is>
          <t>ÅRE</t>
        </is>
      </c>
      <c r="G806" t="n">
        <v>4.9</v>
      </c>
      <c r="H806" t="n">
        <v>0</v>
      </c>
      <c r="I806" t="n">
        <v>0</v>
      </c>
      <c r="J806" t="n">
        <v>0</v>
      </c>
      <c r="K806" t="n">
        <v>0</v>
      </c>
      <c r="L806" t="n">
        <v>0</v>
      </c>
      <c r="M806" t="n">
        <v>0</v>
      </c>
      <c r="N806" t="n">
        <v>0</v>
      </c>
      <c r="O806" t="n">
        <v>0</v>
      </c>
      <c r="P806" t="n">
        <v>0</v>
      </c>
      <c r="Q806" t="n">
        <v>0</v>
      </c>
      <c r="R806" s="2" t="inlineStr"/>
    </row>
    <row r="807" ht="15" customHeight="1">
      <c r="A807" t="inlineStr">
        <is>
          <t>A 12940-2024</t>
        </is>
      </c>
      <c r="B807" s="1" t="n">
        <v>45385</v>
      </c>
      <c r="C807" s="1" t="n">
        <v>45781</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13301-2024</t>
        </is>
      </c>
      <c r="B808" s="1" t="n">
        <v>45386</v>
      </c>
      <c r="C808" s="1" t="n">
        <v>45781</v>
      </c>
      <c r="D808" t="inlineStr">
        <is>
          <t>JÄMTLANDS LÄN</t>
        </is>
      </c>
      <c r="E808" t="inlineStr">
        <is>
          <t>ÅRE</t>
        </is>
      </c>
      <c r="G808" t="n">
        <v>9</v>
      </c>
      <c r="H808" t="n">
        <v>0</v>
      </c>
      <c r="I808" t="n">
        <v>0</v>
      </c>
      <c r="J808" t="n">
        <v>0</v>
      </c>
      <c r="K808" t="n">
        <v>0</v>
      </c>
      <c r="L808" t="n">
        <v>0</v>
      </c>
      <c r="M808" t="n">
        <v>0</v>
      </c>
      <c r="N808" t="n">
        <v>0</v>
      </c>
      <c r="O808" t="n">
        <v>0</v>
      </c>
      <c r="P808" t="n">
        <v>0</v>
      </c>
      <c r="Q808" t="n">
        <v>0</v>
      </c>
      <c r="R808" s="2" t="inlineStr"/>
    </row>
    <row r="809" ht="15" customHeight="1">
      <c r="A809" t="inlineStr">
        <is>
          <t>A 13370-2024</t>
        </is>
      </c>
      <c r="B809" s="1" t="n">
        <v>45387</v>
      </c>
      <c r="C809" s="1" t="n">
        <v>45781</v>
      </c>
      <c r="D809" t="inlineStr">
        <is>
          <t>JÄMTLANDS LÄN</t>
        </is>
      </c>
      <c r="E809" t="inlineStr">
        <is>
          <t>ÅRE</t>
        </is>
      </c>
      <c r="G809" t="n">
        <v>8.5</v>
      </c>
      <c r="H809" t="n">
        <v>0</v>
      </c>
      <c r="I809" t="n">
        <v>0</v>
      </c>
      <c r="J809" t="n">
        <v>0</v>
      </c>
      <c r="K809" t="n">
        <v>0</v>
      </c>
      <c r="L809" t="n">
        <v>0</v>
      </c>
      <c r="M809" t="n">
        <v>0</v>
      </c>
      <c r="N809" t="n">
        <v>0</v>
      </c>
      <c r="O809" t="n">
        <v>0</v>
      </c>
      <c r="P809" t="n">
        <v>0</v>
      </c>
      <c r="Q809" t="n">
        <v>0</v>
      </c>
      <c r="R809" s="2" t="inlineStr"/>
    </row>
    <row r="810" ht="15" customHeight="1">
      <c r="A810" t="inlineStr">
        <is>
          <t>A 14497-2024</t>
        </is>
      </c>
      <c r="B810" s="1" t="n">
        <v>45394</v>
      </c>
      <c r="C810" s="1" t="n">
        <v>45781</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14898-2024</t>
        </is>
      </c>
      <c r="B811" s="1" t="n">
        <v>45398</v>
      </c>
      <c r="C811" s="1" t="n">
        <v>45781</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15517-2024</t>
        </is>
      </c>
      <c r="B812" s="1" t="n">
        <v>45401</v>
      </c>
      <c r="C812" s="1" t="n">
        <v>45781</v>
      </c>
      <c r="D812" t="inlineStr">
        <is>
          <t>JÄMTLANDS LÄN</t>
        </is>
      </c>
      <c r="E812" t="inlineStr">
        <is>
          <t>ÅRE</t>
        </is>
      </c>
      <c r="G812" t="n">
        <v>1.4</v>
      </c>
      <c r="H812" t="n">
        <v>0</v>
      </c>
      <c r="I812" t="n">
        <v>0</v>
      </c>
      <c r="J812" t="n">
        <v>0</v>
      </c>
      <c r="K812" t="n">
        <v>0</v>
      </c>
      <c r="L812" t="n">
        <v>0</v>
      </c>
      <c r="M812" t="n">
        <v>0</v>
      </c>
      <c r="N812" t="n">
        <v>0</v>
      </c>
      <c r="O812" t="n">
        <v>0</v>
      </c>
      <c r="P812" t="n">
        <v>0</v>
      </c>
      <c r="Q812" t="n">
        <v>0</v>
      </c>
      <c r="R812" s="2" t="inlineStr"/>
    </row>
    <row r="813" ht="15" customHeight="1">
      <c r="A813" t="inlineStr">
        <is>
          <t>A 15481-2024</t>
        </is>
      </c>
      <c r="B813" s="1" t="n">
        <v>45401</v>
      </c>
      <c r="C813" s="1" t="n">
        <v>45781</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15482-2024</t>
        </is>
      </c>
      <c r="B814" s="1" t="n">
        <v>45401</v>
      </c>
      <c r="C814" s="1" t="n">
        <v>45781</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15480-2024</t>
        </is>
      </c>
      <c r="B815" s="1" t="n">
        <v>45401</v>
      </c>
      <c r="C815" s="1" t="n">
        <v>45781</v>
      </c>
      <c r="D815" t="inlineStr">
        <is>
          <t>JÄMTLANDS LÄN</t>
        </is>
      </c>
      <c r="E815" t="inlineStr">
        <is>
          <t>ÅRE</t>
        </is>
      </c>
      <c r="G815" t="n">
        <v>11.8</v>
      </c>
      <c r="H815" t="n">
        <v>0</v>
      </c>
      <c r="I815" t="n">
        <v>0</v>
      </c>
      <c r="J815" t="n">
        <v>0</v>
      </c>
      <c r="K815" t="n">
        <v>0</v>
      </c>
      <c r="L815" t="n">
        <v>0</v>
      </c>
      <c r="M815" t="n">
        <v>0</v>
      </c>
      <c r="N815" t="n">
        <v>0</v>
      </c>
      <c r="O815" t="n">
        <v>0</v>
      </c>
      <c r="P815" t="n">
        <v>0</v>
      </c>
      <c r="Q815" t="n">
        <v>0</v>
      </c>
      <c r="R815" s="2" t="inlineStr"/>
    </row>
    <row r="816" ht="15" customHeight="1">
      <c r="A816" t="inlineStr">
        <is>
          <t>A 15521-2024</t>
        </is>
      </c>
      <c r="B816" s="1" t="n">
        <v>45401</v>
      </c>
      <c r="C816" s="1" t="n">
        <v>45781</v>
      </c>
      <c r="D816" t="inlineStr">
        <is>
          <t>JÄMTLANDS LÄN</t>
        </is>
      </c>
      <c r="E816" t="inlineStr">
        <is>
          <t>ÅRE</t>
        </is>
      </c>
      <c r="G816" t="n">
        <v>6.3</v>
      </c>
      <c r="H816" t="n">
        <v>0</v>
      </c>
      <c r="I816" t="n">
        <v>0</v>
      </c>
      <c r="J816" t="n">
        <v>0</v>
      </c>
      <c r="K816" t="n">
        <v>0</v>
      </c>
      <c r="L816" t="n">
        <v>0</v>
      </c>
      <c r="M816" t="n">
        <v>0</v>
      </c>
      <c r="N816" t="n">
        <v>0</v>
      </c>
      <c r="O816" t="n">
        <v>0</v>
      </c>
      <c r="P816" t="n">
        <v>0</v>
      </c>
      <c r="Q816" t="n">
        <v>0</v>
      </c>
      <c r="R816" s="2" t="inlineStr"/>
    </row>
    <row r="817" ht="15" customHeight="1">
      <c r="A817" t="inlineStr">
        <is>
          <t>A 15519-2024</t>
        </is>
      </c>
      <c r="B817" s="1" t="n">
        <v>45401</v>
      </c>
      <c r="C817" s="1" t="n">
        <v>45781</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16348-2024</t>
        </is>
      </c>
      <c r="B818" s="1" t="n">
        <v>45407</v>
      </c>
      <c r="C818" s="1" t="n">
        <v>45781</v>
      </c>
      <c r="D818" t="inlineStr">
        <is>
          <t>JÄMTLANDS LÄN</t>
        </is>
      </c>
      <c r="E818" t="inlineStr">
        <is>
          <t>ÅRE</t>
        </is>
      </c>
      <c r="G818" t="n">
        <v>4.6</v>
      </c>
      <c r="H818" t="n">
        <v>0</v>
      </c>
      <c r="I818" t="n">
        <v>0</v>
      </c>
      <c r="J818" t="n">
        <v>0</v>
      </c>
      <c r="K818" t="n">
        <v>0</v>
      </c>
      <c r="L818" t="n">
        <v>0</v>
      </c>
      <c r="M818" t="n">
        <v>0</v>
      </c>
      <c r="N818" t="n">
        <v>0</v>
      </c>
      <c r="O818" t="n">
        <v>0</v>
      </c>
      <c r="P818" t="n">
        <v>0</v>
      </c>
      <c r="Q818" t="n">
        <v>0</v>
      </c>
      <c r="R818" s="2" t="inlineStr"/>
    </row>
    <row r="819" ht="15" customHeight="1">
      <c r="A819" t="inlineStr">
        <is>
          <t>A 16885-2024</t>
        </is>
      </c>
      <c r="B819" s="1" t="n">
        <v>45411</v>
      </c>
      <c r="C819" s="1" t="n">
        <v>45781</v>
      </c>
      <c r="D819" t="inlineStr">
        <is>
          <t>JÄMTLANDS LÄN</t>
        </is>
      </c>
      <c r="E819" t="inlineStr">
        <is>
          <t>ÅRE</t>
        </is>
      </c>
      <c r="G819" t="n">
        <v>13.7</v>
      </c>
      <c r="H819" t="n">
        <v>0</v>
      </c>
      <c r="I819" t="n">
        <v>0</v>
      </c>
      <c r="J819" t="n">
        <v>0</v>
      </c>
      <c r="K819" t="n">
        <v>0</v>
      </c>
      <c r="L819" t="n">
        <v>0</v>
      </c>
      <c r="M819" t="n">
        <v>0</v>
      </c>
      <c r="N819" t="n">
        <v>0</v>
      </c>
      <c r="O819" t="n">
        <v>0</v>
      </c>
      <c r="P819" t="n">
        <v>0</v>
      </c>
      <c r="Q819" t="n">
        <v>0</v>
      </c>
      <c r="R819" s="2" t="inlineStr"/>
    </row>
    <row r="820" ht="15" customHeight="1">
      <c r="A820" t="inlineStr">
        <is>
          <t>A 17576-2024</t>
        </is>
      </c>
      <c r="B820" s="1" t="n">
        <v>45415</v>
      </c>
      <c r="C820" s="1" t="n">
        <v>45781</v>
      </c>
      <c r="D820" t="inlineStr">
        <is>
          <t>JÄMTLANDS LÄN</t>
        </is>
      </c>
      <c r="E820" t="inlineStr">
        <is>
          <t>ÅRE</t>
        </is>
      </c>
      <c r="G820" t="n">
        <v>0.1</v>
      </c>
      <c r="H820" t="n">
        <v>0</v>
      </c>
      <c r="I820" t="n">
        <v>0</v>
      </c>
      <c r="J820" t="n">
        <v>0</v>
      </c>
      <c r="K820" t="n">
        <v>0</v>
      </c>
      <c r="L820" t="n">
        <v>0</v>
      </c>
      <c r="M820" t="n">
        <v>0</v>
      </c>
      <c r="N820" t="n">
        <v>0</v>
      </c>
      <c r="O820" t="n">
        <v>0</v>
      </c>
      <c r="P820" t="n">
        <v>0</v>
      </c>
      <c r="Q820" t="n">
        <v>0</v>
      </c>
      <c r="R820" s="2" t="inlineStr"/>
    </row>
    <row r="821" ht="15" customHeight="1">
      <c r="A821" t="inlineStr">
        <is>
          <t>A 17777-2024</t>
        </is>
      </c>
      <c r="B821" s="1" t="n">
        <v>45418</v>
      </c>
      <c r="C821" s="1" t="n">
        <v>45781</v>
      </c>
      <c r="D821" t="inlineStr">
        <is>
          <t>JÄMTLANDS LÄN</t>
        </is>
      </c>
      <c r="E821" t="inlineStr">
        <is>
          <t>ÅRE</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17630-2024</t>
        </is>
      </c>
      <c r="B822" s="1" t="n">
        <v>45418</v>
      </c>
      <c r="C822" s="1" t="n">
        <v>45781</v>
      </c>
      <c r="D822" t="inlineStr">
        <is>
          <t>JÄMTLANDS LÄN</t>
        </is>
      </c>
      <c r="E822" t="inlineStr">
        <is>
          <t>ÅRE</t>
        </is>
      </c>
      <c r="F822" t="inlineStr">
        <is>
          <t>Övriga Aktiebolag</t>
        </is>
      </c>
      <c r="G822" t="n">
        <v>29.2</v>
      </c>
      <c r="H822" t="n">
        <v>0</v>
      </c>
      <c r="I822" t="n">
        <v>0</v>
      </c>
      <c r="J822" t="n">
        <v>0</v>
      </c>
      <c r="K822" t="n">
        <v>0</v>
      </c>
      <c r="L822" t="n">
        <v>0</v>
      </c>
      <c r="M822" t="n">
        <v>0</v>
      </c>
      <c r="N822" t="n">
        <v>0</v>
      </c>
      <c r="O822" t="n">
        <v>0</v>
      </c>
      <c r="P822" t="n">
        <v>0</v>
      </c>
      <c r="Q822" t="n">
        <v>0</v>
      </c>
      <c r="R822" s="2" t="inlineStr"/>
    </row>
    <row r="823" ht="15" customHeight="1">
      <c r="A823" t="inlineStr">
        <is>
          <t>A 18072-2024</t>
        </is>
      </c>
      <c r="B823" s="1" t="n">
        <v>45420</v>
      </c>
      <c r="C823" s="1" t="n">
        <v>45781</v>
      </c>
      <c r="D823" t="inlineStr">
        <is>
          <t>JÄMTLANDS LÄN</t>
        </is>
      </c>
      <c r="E823" t="inlineStr">
        <is>
          <t>ÅRE</t>
        </is>
      </c>
      <c r="G823" t="n">
        <v>1.1</v>
      </c>
      <c r="H823" t="n">
        <v>0</v>
      </c>
      <c r="I823" t="n">
        <v>0</v>
      </c>
      <c r="J823" t="n">
        <v>0</v>
      </c>
      <c r="K823" t="n">
        <v>0</v>
      </c>
      <c r="L823" t="n">
        <v>0</v>
      </c>
      <c r="M823" t="n">
        <v>0</v>
      </c>
      <c r="N823" t="n">
        <v>0</v>
      </c>
      <c r="O823" t="n">
        <v>0</v>
      </c>
      <c r="P823" t="n">
        <v>0</v>
      </c>
      <c r="Q823" t="n">
        <v>0</v>
      </c>
      <c r="R823" s="2" t="inlineStr"/>
    </row>
    <row r="824" ht="15" customHeight="1">
      <c r="A824" t="inlineStr">
        <is>
          <t>A 18928-2024</t>
        </is>
      </c>
      <c r="B824" s="1" t="n">
        <v>45427</v>
      </c>
      <c r="C824" s="1" t="n">
        <v>45781</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20202-2024</t>
        </is>
      </c>
      <c r="B825" s="1" t="n">
        <v>45434</v>
      </c>
      <c r="C825" s="1" t="n">
        <v>45781</v>
      </c>
      <c r="D825" t="inlineStr">
        <is>
          <t>JÄMTLANDS LÄN</t>
        </is>
      </c>
      <c r="E825" t="inlineStr">
        <is>
          <t>ÅRE</t>
        </is>
      </c>
      <c r="G825" t="n">
        <v>6.7</v>
      </c>
      <c r="H825" t="n">
        <v>0</v>
      </c>
      <c r="I825" t="n">
        <v>0</v>
      </c>
      <c r="J825" t="n">
        <v>0</v>
      </c>
      <c r="K825" t="n">
        <v>0</v>
      </c>
      <c r="L825" t="n">
        <v>0</v>
      </c>
      <c r="M825" t="n">
        <v>0</v>
      </c>
      <c r="N825" t="n">
        <v>0</v>
      </c>
      <c r="O825" t="n">
        <v>0</v>
      </c>
      <c r="P825" t="n">
        <v>0</v>
      </c>
      <c r="Q825" t="n">
        <v>0</v>
      </c>
      <c r="R825" s="2" t="inlineStr"/>
    </row>
    <row r="826" ht="15" customHeight="1">
      <c r="A826" t="inlineStr">
        <is>
          <t>A 20485-2024</t>
        </is>
      </c>
      <c r="B826" s="1" t="n">
        <v>45435</v>
      </c>
      <c r="C826" s="1" t="n">
        <v>45781</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20480-2024</t>
        </is>
      </c>
      <c r="B827" s="1" t="n">
        <v>45435</v>
      </c>
      <c r="C827" s="1" t="n">
        <v>45781</v>
      </c>
      <c r="D827" t="inlineStr">
        <is>
          <t>JÄMTLANDS LÄN</t>
        </is>
      </c>
      <c r="E827" t="inlineStr">
        <is>
          <t>ÅRE</t>
        </is>
      </c>
      <c r="G827" t="n">
        <v>2.7</v>
      </c>
      <c r="H827" t="n">
        <v>0</v>
      </c>
      <c r="I827" t="n">
        <v>0</v>
      </c>
      <c r="J827" t="n">
        <v>0</v>
      </c>
      <c r="K827" t="n">
        <v>0</v>
      </c>
      <c r="L827" t="n">
        <v>0</v>
      </c>
      <c r="M827" t="n">
        <v>0</v>
      </c>
      <c r="N827" t="n">
        <v>0</v>
      </c>
      <c r="O827" t="n">
        <v>0</v>
      </c>
      <c r="P827" t="n">
        <v>0</v>
      </c>
      <c r="Q827" t="n">
        <v>0</v>
      </c>
      <c r="R827" s="2" t="inlineStr"/>
    </row>
    <row r="828" ht="15" customHeight="1">
      <c r="A828" t="inlineStr">
        <is>
          <t>A 20804-2024</t>
        </is>
      </c>
      <c r="B828" s="1" t="n">
        <v>45439</v>
      </c>
      <c r="C828" s="1" t="n">
        <v>45781</v>
      </c>
      <c r="D828" t="inlineStr">
        <is>
          <t>JÄMTLANDS LÄN</t>
        </is>
      </c>
      <c r="E828" t="inlineStr">
        <is>
          <t>ÅRE</t>
        </is>
      </c>
      <c r="G828" t="n">
        <v>6.4</v>
      </c>
      <c r="H828" t="n">
        <v>0</v>
      </c>
      <c r="I828" t="n">
        <v>0</v>
      </c>
      <c r="J828" t="n">
        <v>0</v>
      </c>
      <c r="K828" t="n">
        <v>0</v>
      </c>
      <c r="L828" t="n">
        <v>0</v>
      </c>
      <c r="M828" t="n">
        <v>0</v>
      </c>
      <c r="N828" t="n">
        <v>0</v>
      </c>
      <c r="O828" t="n">
        <v>0</v>
      </c>
      <c r="P828" t="n">
        <v>0</v>
      </c>
      <c r="Q828" t="n">
        <v>0</v>
      </c>
      <c r="R828" s="2" t="inlineStr"/>
    </row>
    <row r="829" ht="15" customHeight="1">
      <c r="A829" t="inlineStr">
        <is>
          <t>A 20999-2024</t>
        </is>
      </c>
      <c r="B829" s="1" t="n">
        <v>45439</v>
      </c>
      <c r="C829" s="1" t="n">
        <v>45781</v>
      </c>
      <c r="D829" t="inlineStr">
        <is>
          <t>JÄMTLANDS LÄN</t>
        </is>
      </c>
      <c r="E829" t="inlineStr">
        <is>
          <t>ÅRE</t>
        </is>
      </c>
      <c r="G829" t="n">
        <v>5.7</v>
      </c>
      <c r="H829" t="n">
        <v>0</v>
      </c>
      <c r="I829" t="n">
        <v>0</v>
      </c>
      <c r="J829" t="n">
        <v>0</v>
      </c>
      <c r="K829" t="n">
        <v>0</v>
      </c>
      <c r="L829" t="n">
        <v>0</v>
      </c>
      <c r="M829" t="n">
        <v>0</v>
      </c>
      <c r="N829" t="n">
        <v>0</v>
      </c>
      <c r="O829" t="n">
        <v>0</v>
      </c>
      <c r="P829" t="n">
        <v>0</v>
      </c>
      <c r="Q829" t="n">
        <v>0</v>
      </c>
      <c r="R829" s="2" t="inlineStr"/>
    </row>
    <row r="830" ht="15" customHeight="1">
      <c r="A830" t="inlineStr">
        <is>
          <t>A 21640-2024</t>
        </is>
      </c>
      <c r="B830" s="1" t="n">
        <v>45442</v>
      </c>
      <c r="C830" s="1" t="n">
        <v>45781</v>
      </c>
      <c r="D830" t="inlineStr">
        <is>
          <t>JÄMTLANDS LÄN</t>
        </is>
      </c>
      <c r="E830" t="inlineStr">
        <is>
          <t>ÅRE</t>
        </is>
      </c>
      <c r="G830" t="n">
        <v>16.4</v>
      </c>
      <c r="H830" t="n">
        <v>0</v>
      </c>
      <c r="I830" t="n">
        <v>0</v>
      </c>
      <c r="J830" t="n">
        <v>0</v>
      </c>
      <c r="K830" t="n">
        <v>0</v>
      </c>
      <c r="L830" t="n">
        <v>0</v>
      </c>
      <c r="M830" t="n">
        <v>0</v>
      </c>
      <c r="N830" t="n">
        <v>0</v>
      </c>
      <c r="O830" t="n">
        <v>0</v>
      </c>
      <c r="P830" t="n">
        <v>0</v>
      </c>
      <c r="Q830" t="n">
        <v>0</v>
      </c>
      <c r="R830" s="2" t="inlineStr"/>
    </row>
    <row r="831" ht="15" customHeight="1">
      <c r="A831" t="inlineStr">
        <is>
          <t>A 22600-2024</t>
        </is>
      </c>
      <c r="B831" s="1" t="n">
        <v>45447</v>
      </c>
      <c r="C831" s="1" t="n">
        <v>45781</v>
      </c>
      <c r="D831" t="inlineStr">
        <is>
          <t>JÄMTLANDS LÄN</t>
        </is>
      </c>
      <c r="E831" t="inlineStr">
        <is>
          <t>ÅRE</t>
        </is>
      </c>
      <c r="G831" t="n">
        <v>22.5</v>
      </c>
      <c r="H831" t="n">
        <v>0</v>
      </c>
      <c r="I831" t="n">
        <v>0</v>
      </c>
      <c r="J831" t="n">
        <v>0</v>
      </c>
      <c r="K831" t="n">
        <v>0</v>
      </c>
      <c r="L831" t="n">
        <v>0</v>
      </c>
      <c r="M831" t="n">
        <v>0</v>
      </c>
      <c r="N831" t="n">
        <v>0</v>
      </c>
      <c r="O831" t="n">
        <v>0</v>
      </c>
      <c r="P831" t="n">
        <v>0</v>
      </c>
      <c r="Q831" t="n">
        <v>0</v>
      </c>
      <c r="R831" s="2" t="inlineStr"/>
    </row>
    <row r="832" ht="15" customHeight="1">
      <c r="A832" t="inlineStr">
        <is>
          <t>A 22687-2024</t>
        </is>
      </c>
      <c r="B832" s="1" t="n">
        <v>45448</v>
      </c>
      <c r="C832" s="1" t="n">
        <v>45781</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23159-2024</t>
        </is>
      </c>
      <c r="B833" s="1" t="n">
        <v>45450</v>
      </c>
      <c r="C833" s="1" t="n">
        <v>45781</v>
      </c>
      <c r="D833" t="inlineStr">
        <is>
          <t>JÄMTLANDS LÄN</t>
        </is>
      </c>
      <c r="E833" t="inlineStr">
        <is>
          <t>ÅRE</t>
        </is>
      </c>
      <c r="G833" t="n">
        <v>1.2</v>
      </c>
      <c r="H833" t="n">
        <v>0</v>
      </c>
      <c r="I833" t="n">
        <v>0</v>
      </c>
      <c r="J833" t="n">
        <v>0</v>
      </c>
      <c r="K833" t="n">
        <v>0</v>
      </c>
      <c r="L833" t="n">
        <v>0</v>
      </c>
      <c r="M833" t="n">
        <v>0</v>
      </c>
      <c r="N833" t="n">
        <v>0</v>
      </c>
      <c r="O833" t="n">
        <v>0</v>
      </c>
      <c r="P833" t="n">
        <v>0</v>
      </c>
      <c r="Q833" t="n">
        <v>0</v>
      </c>
      <c r="R833" s="2" t="inlineStr"/>
    </row>
    <row r="834" ht="15" customHeight="1">
      <c r="A834" t="inlineStr">
        <is>
          <t>A 23805-2024</t>
        </is>
      </c>
      <c r="B834" s="1" t="n">
        <v>45455</v>
      </c>
      <c r="C834" s="1" t="n">
        <v>45781</v>
      </c>
      <c r="D834" t="inlineStr">
        <is>
          <t>JÄMTLANDS LÄN</t>
        </is>
      </c>
      <c r="E834" t="inlineStr">
        <is>
          <t>ÅRE</t>
        </is>
      </c>
      <c r="G834" t="n">
        <v>1.5</v>
      </c>
      <c r="H834" t="n">
        <v>0</v>
      </c>
      <c r="I834" t="n">
        <v>0</v>
      </c>
      <c r="J834" t="n">
        <v>0</v>
      </c>
      <c r="K834" t="n">
        <v>0</v>
      </c>
      <c r="L834" t="n">
        <v>0</v>
      </c>
      <c r="M834" t="n">
        <v>0</v>
      </c>
      <c r="N834" t="n">
        <v>0</v>
      </c>
      <c r="O834" t="n">
        <v>0</v>
      </c>
      <c r="P834" t="n">
        <v>0</v>
      </c>
      <c r="Q834" t="n">
        <v>0</v>
      </c>
      <c r="R834" s="2" t="inlineStr"/>
    </row>
    <row r="835" ht="15" customHeight="1">
      <c r="A835" t="inlineStr">
        <is>
          <t>A 23822-2024</t>
        </is>
      </c>
      <c r="B835" s="1" t="n">
        <v>45455</v>
      </c>
      <c r="C835" s="1" t="n">
        <v>45781</v>
      </c>
      <c r="D835" t="inlineStr">
        <is>
          <t>JÄMTLANDS LÄN</t>
        </is>
      </c>
      <c r="E835" t="inlineStr">
        <is>
          <t>ÅRE</t>
        </is>
      </c>
      <c r="G835" t="n">
        <v>4.8</v>
      </c>
      <c r="H835" t="n">
        <v>0</v>
      </c>
      <c r="I835" t="n">
        <v>0</v>
      </c>
      <c r="J835" t="n">
        <v>0</v>
      </c>
      <c r="K835" t="n">
        <v>0</v>
      </c>
      <c r="L835" t="n">
        <v>0</v>
      </c>
      <c r="M835" t="n">
        <v>0</v>
      </c>
      <c r="N835" t="n">
        <v>0</v>
      </c>
      <c r="O835" t="n">
        <v>0</v>
      </c>
      <c r="P835" t="n">
        <v>0</v>
      </c>
      <c r="Q835" t="n">
        <v>0</v>
      </c>
      <c r="R835" s="2" t="inlineStr"/>
    </row>
    <row r="836" ht="15" customHeight="1">
      <c r="A836" t="inlineStr">
        <is>
          <t>A 24344-2024</t>
        </is>
      </c>
      <c r="B836" s="1" t="n">
        <v>45457</v>
      </c>
      <c r="C836" s="1" t="n">
        <v>45781</v>
      </c>
      <c r="D836" t="inlineStr">
        <is>
          <t>JÄMTLANDS LÄN</t>
        </is>
      </c>
      <c r="E836" t="inlineStr">
        <is>
          <t>ÅRE</t>
        </is>
      </c>
      <c r="G836" t="n">
        <v>1.4</v>
      </c>
      <c r="H836" t="n">
        <v>0</v>
      </c>
      <c r="I836" t="n">
        <v>0</v>
      </c>
      <c r="J836" t="n">
        <v>0</v>
      </c>
      <c r="K836" t="n">
        <v>0</v>
      </c>
      <c r="L836" t="n">
        <v>0</v>
      </c>
      <c r="M836" t="n">
        <v>0</v>
      </c>
      <c r="N836" t="n">
        <v>0</v>
      </c>
      <c r="O836" t="n">
        <v>0</v>
      </c>
      <c r="P836" t="n">
        <v>0</v>
      </c>
      <c r="Q836" t="n">
        <v>0</v>
      </c>
      <c r="R836" s="2" t="inlineStr"/>
    </row>
    <row r="837" ht="15" customHeight="1">
      <c r="A837" t="inlineStr">
        <is>
          <t>A 25379-2024</t>
        </is>
      </c>
      <c r="B837" s="1" t="n">
        <v>45462</v>
      </c>
      <c r="C837" s="1" t="n">
        <v>45781</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25710-2024</t>
        </is>
      </c>
      <c r="B838" s="1" t="n">
        <v>45463</v>
      </c>
      <c r="C838" s="1" t="n">
        <v>45781</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25517-2024</t>
        </is>
      </c>
      <c r="B839" s="1" t="n">
        <v>45463</v>
      </c>
      <c r="C839" s="1" t="n">
        <v>45781</v>
      </c>
      <c r="D839" t="inlineStr">
        <is>
          <t>JÄMTLANDS LÄN</t>
        </is>
      </c>
      <c r="E839" t="inlineStr">
        <is>
          <t>ÅRE</t>
        </is>
      </c>
      <c r="G839" t="n">
        <v>5.3</v>
      </c>
      <c r="H839" t="n">
        <v>0</v>
      </c>
      <c r="I839" t="n">
        <v>0</v>
      </c>
      <c r="J839" t="n">
        <v>0</v>
      </c>
      <c r="K839" t="n">
        <v>0</v>
      </c>
      <c r="L839" t="n">
        <v>0</v>
      </c>
      <c r="M839" t="n">
        <v>0</v>
      </c>
      <c r="N839" t="n">
        <v>0</v>
      </c>
      <c r="O839" t="n">
        <v>0</v>
      </c>
      <c r="P839" t="n">
        <v>0</v>
      </c>
      <c r="Q839" t="n">
        <v>0</v>
      </c>
      <c r="R839" s="2" t="inlineStr"/>
    </row>
    <row r="840" ht="15" customHeight="1">
      <c r="A840" t="inlineStr">
        <is>
          <t>A 26312-2024</t>
        </is>
      </c>
      <c r="B840" s="1" t="n">
        <v>45468</v>
      </c>
      <c r="C840" s="1" t="n">
        <v>45781</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27500-2024</t>
        </is>
      </c>
      <c r="B841" s="1" t="n">
        <v>45474</v>
      </c>
      <c r="C841" s="1" t="n">
        <v>45781</v>
      </c>
      <c r="D841" t="inlineStr">
        <is>
          <t>JÄMTLANDS LÄN</t>
        </is>
      </c>
      <c r="E841" t="inlineStr">
        <is>
          <t>ÅRE</t>
        </is>
      </c>
      <c r="G841" t="n">
        <v>4.1</v>
      </c>
      <c r="H841" t="n">
        <v>0</v>
      </c>
      <c r="I841" t="n">
        <v>0</v>
      </c>
      <c r="J841" t="n">
        <v>0</v>
      </c>
      <c r="K841" t="n">
        <v>0</v>
      </c>
      <c r="L841" t="n">
        <v>0</v>
      </c>
      <c r="M841" t="n">
        <v>0</v>
      </c>
      <c r="N841" t="n">
        <v>0</v>
      </c>
      <c r="O841" t="n">
        <v>0</v>
      </c>
      <c r="P841" t="n">
        <v>0</v>
      </c>
      <c r="Q841" t="n">
        <v>0</v>
      </c>
      <c r="R841" s="2" t="inlineStr"/>
    </row>
    <row r="842" ht="15" customHeight="1">
      <c r="A842" t="inlineStr">
        <is>
          <t>A 27456-2024</t>
        </is>
      </c>
      <c r="B842" s="1" t="n">
        <v>45474</v>
      </c>
      <c r="C842" s="1" t="n">
        <v>45781</v>
      </c>
      <c r="D842" t="inlineStr">
        <is>
          <t>JÄMTLANDS LÄN</t>
        </is>
      </c>
      <c r="E842" t="inlineStr">
        <is>
          <t>ÅRE</t>
        </is>
      </c>
      <c r="G842" t="n">
        <v>6.1</v>
      </c>
      <c r="H842" t="n">
        <v>0</v>
      </c>
      <c r="I842" t="n">
        <v>0</v>
      </c>
      <c r="J842" t="n">
        <v>0</v>
      </c>
      <c r="K842" t="n">
        <v>0</v>
      </c>
      <c r="L842" t="n">
        <v>0</v>
      </c>
      <c r="M842" t="n">
        <v>0</v>
      </c>
      <c r="N842" t="n">
        <v>0</v>
      </c>
      <c r="O842" t="n">
        <v>0</v>
      </c>
      <c r="P842" t="n">
        <v>0</v>
      </c>
      <c r="Q842" t="n">
        <v>0</v>
      </c>
      <c r="R842" s="2" t="inlineStr"/>
    </row>
    <row r="843" ht="15" customHeight="1">
      <c r="A843" t="inlineStr">
        <is>
          <t>A 28642-2024</t>
        </is>
      </c>
      <c r="B843" s="1" t="n">
        <v>45478</v>
      </c>
      <c r="C843" s="1" t="n">
        <v>45781</v>
      </c>
      <c r="D843" t="inlineStr">
        <is>
          <t>JÄMTLANDS LÄN</t>
        </is>
      </c>
      <c r="E843" t="inlineStr">
        <is>
          <t>ÅRE</t>
        </is>
      </c>
      <c r="G843" t="n">
        <v>3.2</v>
      </c>
      <c r="H843" t="n">
        <v>0</v>
      </c>
      <c r="I843" t="n">
        <v>0</v>
      </c>
      <c r="J843" t="n">
        <v>0</v>
      </c>
      <c r="K843" t="n">
        <v>0</v>
      </c>
      <c r="L843" t="n">
        <v>0</v>
      </c>
      <c r="M843" t="n">
        <v>0</v>
      </c>
      <c r="N843" t="n">
        <v>0</v>
      </c>
      <c r="O843" t="n">
        <v>0</v>
      </c>
      <c r="P843" t="n">
        <v>0</v>
      </c>
      <c r="Q843" t="n">
        <v>0</v>
      </c>
      <c r="R843" s="2" t="inlineStr"/>
    </row>
    <row r="844" ht="15" customHeight="1">
      <c r="A844" t="inlineStr">
        <is>
          <t>A 29177-2024</t>
        </is>
      </c>
      <c r="B844" s="1" t="n">
        <v>45482</v>
      </c>
      <c r="C844" s="1" t="n">
        <v>45781</v>
      </c>
      <c r="D844" t="inlineStr">
        <is>
          <t>JÄMTLANDS LÄN</t>
        </is>
      </c>
      <c r="E844" t="inlineStr">
        <is>
          <t>ÅRE</t>
        </is>
      </c>
      <c r="G844" t="n">
        <v>2.5</v>
      </c>
      <c r="H844" t="n">
        <v>0</v>
      </c>
      <c r="I844" t="n">
        <v>0</v>
      </c>
      <c r="J844" t="n">
        <v>0</v>
      </c>
      <c r="K844" t="n">
        <v>0</v>
      </c>
      <c r="L844" t="n">
        <v>0</v>
      </c>
      <c r="M844" t="n">
        <v>0</v>
      </c>
      <c r="N844" t="n">
        <v>0</v>
      </c>
      <c r="O844" t="n">
        <v>0</v>
      </c>
      <c r="P844" t="n">
        <v>0</v>
      </c>
      <c r="Q844" t="n">
        <v>0</v>
      </c>
      <c r="R844" s="2" t="inlineStr"/>
    </row>
    <row r="845" ht="15" customHeight="1">
      <c r="A845" t="inlineStr">
        <is>
          <t>A 30080-2024</t>
        </is>
      </c>
      <c r="B845" s="1" t="n">
        <v>45485</v>
      </c>
      <c r="C845" s="1" t="n">
        <v>45781</v>
      </c>
      <c r="D845" t="inlineStr">
        <is>
          <t>JÄMTLANDS LÄN</t>
        </is>
      </c>
      <c r="E845" t="inlineStr">
        <is>
          <t>ÅRE</t>
        </is>
      </c>
      <c r="G845" t="n">
        <v>24.6</v>
      </c>
      <c r="H845" t="n">
        <v>0</v>
      </c>
      <c r="I845" t="n">
        <v>0</v>
      </c>
      <c r="J845" t="n">
        <v>0</v>
      </c>
      <c r="K845" t="n">
        <v>0</v>
      </c>
      <c r="L845" t="n">
        <v>0</v>
      </c>
      <c r="M845" t="n">
        <v>0</v>
      </c>
      <c r="N845" t="n">
        <v>0</v>
      </c>
      <c r="O845" t="n">
        <v>0</v>
      </c>
      <c r="P845" t="n">
        <v>0</v>
      </c>
      <c r="Q845" t="n">
        <v>0</v>
      </c>
      <c r="R845" s="2" t="inlineStr"/>
    </row>
    <row r="846" ht="15" customHeight="1">
      <c r="A846" t="inlineStr">
        <is>
          <t>A 30081-2024</t>
        </is>
      </c>
      <c r="B846" s="1" t="n">
        <v>45485</v>
      </c>
      <c r="C846" s="1" t="n">
        <v>45781</v>
      </c>
      <c r="D846" t="inlineStr">
        <is>
          <t>JÄMTLANDS LÄN</t>
        </is>
      </c>
      <c r="E846" t="inlineStr">
        <is>
          <t>ÅRE</t>
        </is>
      </c>
      <c r="G846" t="n">
        <v>17.8</v>
      </c>
      <c r="H846" t="n">
        <v>0</v>
      </c>
      <c r="I846" t="n">
        <v>0</v>
      </c>
      <c r="J846" t="n">
        <v>0</v>
      </c>
      <c r="K846" t="n">
        <v>0</v>
      </c>
      <c r="L846" t="n">
        <v>0</v>
      </c>
      <c r="M846" t="n">
        <v>0</v>
      </c>
      <c r="N846" t="n">
        <v>0</v>
      </c>
      <c r="O846" t="n">
        <v>0</v>
      </c>
      <c r="P846" t="n">
        <v>0</v>
      </c>
      <c r="Q846" t="n">
        <v>0</v>
      </c>
      <c r="R846" s="2" t="inlineStr"/>
    </row>
    <row r="847" ht="15" customHeight="1">
      <c r="A847" t="inlineStr">
        <is>
          <t>A 30379-2024</t>
        </is>
      </c>
      <c r="B847" s="1" t="n">
        <v>45491</v>
      </c>
      <c r="C847" s="1" t="n">
        <v>45781</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33230-2024</t>
        </is>
      </c>
      <c r="B848" s="1" t="n">
        <v>45518</v>
      </c>
      <c r="C848" s="1" t="n">
        <v>45781</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33239-2024</t>
        </is>
      </c>
      <c r="B849" s="1" t="n">
        <v>45518</v>
      </c>
      <c r="C849" s="1" t="n">
        <v>45781</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33379-2024</t>
        </is>
      </c>
      <c r="B850" s="1" t="n">
        <v>45519</v>
      </c>
      <c r="C850" s="1" t="n">
        <v>45781</v>
      </c>
      <c r="D850" t="inlineStr">
        <is>
          <t>JÄMTLANDS LÄN</t>
        </is>
      </c>
      <c r="E850" t="inlineStr">
        <is>
          <t>ÅRE</t>
        </is>
      </c>
      <c r="G850" t="n">
        <v>1.5</v>
      </c>
      <c r="H850" t="n">
        <v>0</v>
      </c>
      <c r="I850" t="n">
        <v>0</v>
      </c>
      <c r="J850" t="n">
        <v>0</v>
      </c>
      <c r="K850" t="n">
        <v>0</v>
      </c>
      <c r="L850" t="n">
        <v>0</v>
      </c>
      <c r="M850" t="n">
        <v>0</v>
      </c>
      <c r="N850" t="n">
        <v>0</v>
      </c>
      <c r="O850" t="n">
        <v>0</v>
      </c>
      <c r="P850" t="n">
        <v>0</v>
      </c>
      <c r="Q850" t="n">
        <v>0</v>
      </c>
      <c r="R850" s="2" t="inlineStr"/>
    </row>
    <row r="851" ht="15" customHeight="1">
      <c r="A851" t="inlineStr">
        <is>
          <t>A 34149-2024</t>
        </is>
      </c>
      <c r="B851" s="1" t="n">
        <v>45524</v>
      </c>
      <c r="C851" s="1" t="n">
        <v>45781</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35745-2024</t>
        </is>
      </c>
      <c r="B852" s="1" t="n">
        <v>45532</v>
      </c>
      <c r="C852" s="1" t="n">
        <v>45781</v>
      </c>
      <c r="D852" t="inlineStr">
        <is>
          <t>JÄMTLANDS LÄN</t>
        </is>
      </c>
      <c r="E852" t="inlineStr">
        <is>
          <t>ÅRE</t>
        </is>
      </c>
      <c r="G852" t="n">
        <v>4.2</v>
      </c>
      <c r="H852" t="n">
        <v>0</v>
      </c>
      <c r="I852" t="n">
        <v>0</v>
      </c>
      <c r="J852" t="n">
        <v>0</v>
      </c>
      <c r="K852" t="n">
        <v>0</v>
      </c>
      <c r="L852" t="n">
        <v>0</v>
      </c>
      <c r="M852" t="n">
        <v>0</v>
      </c>
      <c r="N852" t="n">
        <v>0</v>
      </c>
      <c r="O852" t="n">
        <v>0</v>
      </c>
      <c r="P852" t="n">
        <v>0</v>
      </c>
      <c r="Q852" t="n">
        <v>0</v>
      </c>
      <c r="R852" s="2" t="inlineStr"/>
    </row>
    <row r="853" ht="15" customHeight="1">
      <c r="A853" t="inlineStr">
        <is>
          <t>A 37718-2024</t>
        </is>
      </c>
      <c r="B853" s="1" t="n">
        <v>45541</v>
      </c>
      <c r="C853" s="1" t="n">
        <v>45781</v>
      </c>
      <c r="D853" t="inlineStr">
        <is>
          <t>JÄMTLANDS LÄN</t>
        </is>
      </c>
      <c r="E853" t="inlineStr">
        <is>
          <t>ÅRE</t>
        </is>
      </c>
      <c r="G853" t="n">
        <v>2.9</v>
      </c>
      <c r="H853" t="n">
        <v>0</v>
      </c>
      <c r="I853" t="n">
        <v>0</v>
      </c>
      <c r="J853" t="n">
        <v>0</v>
      </c>
      <c r="K853" t="n">
        <v>0</v>
      </c>
      <c r="L853" t="n">
        <v>0</v>
      </c>
      <c r="M853" t="n">
        <v>0</v>
      </c>
      <c r="N853" t="n">
        <v>0</v>
      </c>
      <c r="O853" t="n">
        <v>0</v>
      </c>
      <c r="P853" t="n">
        <v>0</v>
      </c>
      <c r="Q853" t="n">
        <v>0</v>
      </c>
      <c r="R853" s="2" t="inlineStr"/>
    </row>
    <row r="854" ht="15" customHeight="1">
      <c r="A854" t="inlineStr">
        <is>
          <t>A 38227-2024</t>
        </is>
      </c>
      <c r="B854" s="1" t="n">
        <v>45545</v>
      </c>
      <c r="C854" s="1" t="n">
        <v>45781</v>
      </c>
      <c r="D854" t="inlineStr">
        <is>
          <t>JÄMTLANDS LÄN</t>
        </is>
      </c>
      <c r="E854" t="inlineStr">
        <is>
          <t>ÅRE</t>
        </is>
      </c>
      <c r="G854" t="n">
        <v>3.9</v>
      </c>
      <c r="H854" t="n">
        <v>0</v>
      </c>
      <c r="I854" t="n">
        <v>0</v>
      </c>
      <c r="J854" t="n">
        <v>0</v>
      </c>
      <c r="K854" t="n">
        <v>0</v>
      </c>
      <c r="L854" t="n">
        <v>0</v>
      </c>
      <c r="M854" t="n">
        <v>0</v>
      </c>
      <c r="N854" t="n">
        <v>0</v>
      </c>
      <c r="O854" t="n">
        <v>0</v>
      </c>
      <c r="P854" t="n">
        <v>0</v>
      </c>
      <c r="Q854" t="n">
        <v>0</v>
      </c>
      <c r="R854" s="2" t="inlineStr"/>
    </row>
    <row r="855" ht="15" customHeight="1">
      <c r="A855" t="inlineStr">
        <is>
          <t>A 38263-2024</t>
        </is>
      </c>
      <c r="B855" s="1" t="n">
        <v>45545</v>
      </c>
      <c r="C855" s="1" t="n">
        <v>45781</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38268-2024</t>
        </is>
      </c>
      <c r="B856" s="1" t="n">
        <v>45545</v>
      </c>
      <c r="C856" s="1" t="n">
        <v>45781</v>
      </c>
      <c r="D856" t="inlineStr">
        <is>
          <t>JÄMTLANDS LÄN</t>
        </is>
      </c>
      <c r="E856" t="inlineStr">
        <is>
          <t>ÅRE</t>
        </is>
      </c>
      <c r="G856" t="n">
        <v>1.2</v>
      </c>
      <c r="H856" t="n">
        <v>0</v>
      </c>
      <c r="I856" t="n">
        <v>0</v>
      </c>
      <c r="J856" t="n">
        <v>0</v>
      </c>
      <c r="K856" t="n">
        <v>0</v>
      </c>
      <c r="L856" t="n">
        <v>0</v>
      </c>
      <c r="M856" t="n">
        <v>0</v>
      </c>
      <c r="N856" t="n">
        <v>0</v>
      </c>
      <c r="O856" t="n">
        <v>0</v>
      </c>
      <c r="P856" t="n">
        <v>0</v>
      </c>
      <c r="Q856" t="n">
        <v>0</v>
      </c>
      <c r="R856" s="2" t="inlineStr"/>
    </row>
    <row r="857" ht="15" customHeight="1">
      <c r="A857" t="inlineStr">
        <is>
          <t>A 38276-2024</t>
        </is>
      </c>
      <c r="B857" s="1" t="n">
        <v>45545</v>
      </c>
      <c r="C857" s="1" t="n">
        <v>45781</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38791-2024</t>
        </is>
      </c>
      <c r="B858" s="1" t="n">
        <v>45547</v>
      </c>
      <c r="C858" s="1" t="n">
        <v>45781</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39069-2024</t>
        </is>
      </c>
      <c r="B859" s="1" t="n">
        <v>45548</v>
      </c>
      <c r="C859" s="1" t="n">
        <v>45781</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39068-2024</t>
        </is>
      </c>
      <c r="B860" s="1" t="n">
        <v>45548</v>
      </c>
      <c r="C860" s="1" t="n">
        <v>45781</v>
      </c>
      <c r="D860" t="inlineStr">
        <is>
          <t>JÄMTLANDS LÄN</t>
        </is>
      </c>
      <c r="E860" t="inlineStr">
        <is>
          <t>ÅRE</t>
        </is>
      </c>
      <c r="G860" t="n">
        <v>14.8</v>
      </c>
      <c r="H860" t="n">
        <v>0</v>
      </c>
      <c r="I860" t="n">
        <v>0</v>
      </c>
      <c r="J860" t="n">
        <v>0</v>
      </c>
      <c r="K860" t="n">
        <v>0</v>
      </c>
      <c r="L860" t="n">
        <v>0</v>
      </c>
      <c r="M860" t="n">
        <v>0</v>
      </c>
      <c r="N860" t="n">
        <v>0</v>
      </c>
      <c r="O860" t="n">
        <v>0</v>
      </c>
      <c r="P860" t="n">
        <v>0</v>
      </c>
      <c r="Q860" t="n">
        <v>0</v>
      </c>
      <c r="R860" s="2" t="inlineStr"/>
    </row>
    <row r="861" ht="15" customHeight="1">
      <c r="A861" t="inlineStr">
        <is>
          <t>A 39072-2024</t>
        </is>
      </c>
      <c r="B861" s="1" t="n">
        <v>45548</v>
      </c>
      <c r="C861" s="1" t="n">
        <v>45781</v>
      </c>
      <c r="D861" t="inlineStr">
        <is>
          <t>JÄMTLANDS LÄN</t>
        </is>
      </c>
      <c r="E861" t="inlineStr">
        <is>
          <t>ÅRE</t>
        </is>
      </c>
      <c r="G861" t="n">
        <v>1.4</v>
      </c>
      <c r="H861" t="n">
        <v>0</v>
      </c>
      <c r="I861" t="n">
        <v>0</v>
      </c>
      <c r="J861" t="n">
        <v>0</v>
      </c>
      <c r="K861" t="n">
        <v>0</v>
      </c>
      <c r="L861" t="n">
        <v>0</v>
      </c>
      <c r="M861" t="n">
        <v>0</v>
      </c>
      <c r="N861" t="n">
        <v>0</v>
      </c>
      <c r="O861" t="n">
        <v>0</v>
      </c>
      <c r="P861" t="n">
        <v>0</v>
      </c>
      <c r="Q861" t="n">
        <v>0</v>
      </c>
      <c r="R861" s="2" t="inlineStr"/>
    </row>
    <row r="862" ht="15" customHeight="1">
      <c r="A862" t="inlineStr">
        <is>
          <t>A 39071-2024</t>
        </is>
      </c>
      <c r="B862" s="1" t="n">
        <v>45548</v>
      </c>
      <c r="C862" s="1" t="n">
        <v>45781</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39070-2024</t>
        </is>
      </c>
      <c r="B863" s="1" t="n">
        <v>45548</v>
      </c>
      <c r="C863" s="1" t="n">
        <v>45781</v>
      </c>
      <c r="D863" t="inlineStr">
        <is>
          <t>JÄMTLANDS LÄN</t>
        </is>
      </c>
      <c r="E863" t="inlineStr">
        <is>
          <t>ÅRE</t>
        </is>
      </c>
      <c r="G863" t="n">
        <v>2.1</v>
      </c>
      <c r="H863" t="n">
        <v>0</v>
      </c>
      <c r="I863" t="n">
        <v>0</v>
      </c>
      <c r="J863" t="n">
        <v>0</v>
      </c>
      <c r="K863" t="n">
        <v>0</v>
      </c>
      <c r="L863" t="n">
        <v>0</v>
      </c>
      <c r="M863" t="n">
        <v>0</v>
      </c>
      <c r="N863" t="n">
        <v>0</v>
      </c>
      <c r="O863" t="n">
        <v>0</v>
      </c>
      <c r="P863" t="n">
        <v>0</v>
      </c>
      <c r="Q863" t="n">
        <v>0</v>
      </c>
      <c r="R863" s="2" t="inlineStr"/>
    </row>
    <row r="864" ht="15" customHeight="1">
      <c r="A864" t="inlineStr">
        <is>
          <t>A 39195-2024</t>
        </is>
      </c>
      <c r="B864" s="1" t="n">
        <v>45548</v>
      </c>
      <c r="C864" s="1" t="n">
        <v>45781</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41268-2024</t>
        </is>
      </c>
      <c r="B865" s="1" t="n">
        <v>45559</v>
      </c>
      <c r="C865" s="1" t="n">
        <v>45781</v>
      </c>
      <c r="D865" t="inlineStr">
        <is>
          <t>JÄMTLANDS LÄN</t>
        </is>
      </c>
      <c r="E865" t="inlineStr">
        <is>
          <t>ÅRE</t>
        </is>
      </c>
      <c r="G865" t="n">
        <v>1.1</v>
      </c>
      <c r="H865" t="n">
        <v>0</v>
      </c>
      <c r="I865" t="n">
        <v>0</v>
      </c>
      <c r="J865" t="n">
        <v>0</v>
      </c>
      <c r="K865" t="n">
        <v>0</v>
      </c>
      <c r="L865" t="n">
        <v>0</v>
      </c>
      <c r="M865" t="n">
        <v>0</v>
      </c>
      <c r="N865" t="n">
        <v>0</v>
      </c>
      <c r="O865" t="n">
        <v>0</v>
      </c>
      <c r="P865" t="n">
        <v>0</v>
      </c>
      <c r="Q865" t="n">
        <v>0</v>
      </c>
      <c r="R865" s="2" t="inlineStr"/>
    </row>
    <row r="866" ht="15" customHeight="1">
      <c r="A866" t="inlineStr">
        <is>
          <t>A 41267-2024</t>
        </is>
      </c>
      <c r="B866" s="1" t="n">
        <v>45559</v>
      </c>
      <c r="C866" s="1" t="n">
        <v>45781</v>
      </c>
      <c r="D866" t="inlineStr">
        <is>
          <t>JÄMTLANDS LÄN</t>
        </is>
      </c>
      <c r="E866" t="inlineStr">
        <is>
          <t>ÅRE</t>
        </is>
      </c>
      <c r="G866" t="n">
        <v>3.4</v>
      </c>
      <c r="H866" t="n">
        <v>0</v>
      </c>
      <c r="I866" t="n">
        <v>0</v>
      </c>
      <c r="J866" t="n">
        <v>0</v>
      </c>
      <c r="K866" t="n">
        <v>0</v>
      </c>
      <c r="L866" t="n">
        <v>0</v>
      </c>
      <c r="M866" t="n">
        <v>0</v>
      </c>
      <c r="N866" t="n">
        <v>0</v>
      </c>
      <c r="O866" t="n">
        <v>0</v>
      </c>
      <c r="P866" t="n">
        <v>0</v>
      </c>
      <c r="Q866" t="n">
        <v>0</v>
      </c>
      <c r="R866" s="2" t="inlineStr"/>
    </row>
    <row r="867" ht="15" customHeight="1">
      <c r="A867" t="inlineStr">
        <is>
          <t>A 42274-2024</t>
        </is>
      </c>
      <c r="B867" s="1" t="n">
        <v>45559</v>
      </c>
      <c r="C867" s="1" t="n">
        <v>45781</v>
      </c>
      <c r="D867" t="inlineStr">
        <is>
          <t>JÄMTLANDS LÄN</t>
        </is>
      </c>
      <c r="E867" t="inlineStr">
        <is>
          <t>ÅRE</t>
        </is>
      </c>
      <c r="G867" t="n">
        <v>2.2</v>
      </c>
      <c r="H867" t="n">
        <v>0</v>
      </c>
      <c r="I867" t="n">
        <v>0</v>
      </c>
      <c r="J867" t="n">
        <v>0</v>
      </c>
      <c r="K867" t="n">
        <v>0</v>
      </c>
      <c r="L867" t="n">
        <v>0</v>
      </c>
      <c r="M867" t="n">
        <v>0</v>
      </c>
      <c r="N867" t="n">
        <v>0</v>
      </c>
      <c r="O867" t="n">
        <v>0</v>
      </c>
      <c r="P867" t="n">
        <v>0</v>
      </c>
      <c r="Q867" t="n">
        <v>0</v>
      </c>
      <c r="R867" s="2" t="inlineStr"/>
    </row>
    <row r="868" ht="15" customHeight="1">
      <c r="A868" t="inlineStr">
        <is>
          <t>A 41266-2024</t>
        </is>
      </c>
      <c r="B868" s="1" t="n">
        <v>45559</v>
      </c>
      <c r="C868" s="1" t="n">
        <v>45781</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41677-2024</t>
        </is>
      </c>
      <c r="B869" s="1" t="n">
        <v>45560</v>
      </c>
      <c r="C869" s="1" t="n">
        <v>45781</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41653-2024</t>
        </is>
      </c>
      <c r="B870" s="1" t="n">
        <v>45560</v>
      </c>
      <c r="C870" s="1" t="n">
        <v>45781</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41686-2024</t>
        </is>
      </c>
      <c r="B871" s="1" t="n">
        <v>45560</v>
      </c>
      <c r="C871" s="1" t="n">
        <v>45781</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41688-2024</t>
        </is>
      </c>
      <c r="B872" s="1" t="n">
        <v>45560</v>
      </c>
      <c r="C872" s="1" t="n">
        <v>45781</v>
      </c>
      <c r="D872" t="inlineStr">
        <is>
          <t>JÄMTLANDS LÄN</t>
        </is>
      </c>
      <c r="E872" t="inlineStr">
        <is>
          <t>ÅRE</t>
        </is>
      </c>
      <c r="G872" t="n">
        <v>0.8</v>
      </c>
      <c r="H872" t="n">
        <v>0</v>
      </c>
      <c r="I872" t="n">
        <v>0</v>
      </c>
      <c r="J872" t="n">
        <v>0</v>
      </c>
      <c r="K872" t="n">
        <v>0</v>
      </c>
      <c r="L872" t="n">
        <v>0</v>
      </c>
      <c r="M872" t="n">
        <v>0</v>
      </c>
      <c r="N872" t="n">
        <v>0</v>
      </c>
      <c r="O872" t="n">
        <v>0</v>
      </c>
      <c r="P872" t="n">
        <v>0</v>
      </c>
      <c r="Q872" t="n">
        <v>0</v>
      </c>
      <c r="R872" s="2" t="inlineStr"/>
    </row>
    <row r="873" ht="15" customHeight="1">
      <c r="A873" t="inlineStr">
        <is>
          <t>A 41814-2024</t>
        </is>
      </c>
      <c r="B873" s="1" t="n">
        <v>45561</v>
      </c>
      <c r="C873" s="1" t="n">
        <v>45781</v>
      </c>
      <c r="D873" t="inlineStr">
        <is>
          <t>JÄMTLANDS LÄN</t>
        </is>
      </c>
      <c r="E873" t="inlineStr">
        <is>
          <t>ÅRE</t>
        </is>
      </c>
      <c r="G873" t="n">
        <v>5.4</v>
      </c>
      <c r="H873" t="n">
        <v>0</v>
      </c>
      <c r="I873" t="n">
        <v>0</v>
      </c>
      <c r="J873" t="n">
        <v>0</v>
      </c>
      <c r="K873" t="n">
        <v>0</v>
      </c>
      <c r="L873" t="n">
        <v>0</v>
      </c>
      <c r="M873" t="n">
        <v>0</v>
      </c>
      <c r="N873" t="n">
        <v>0</v>
      </c>
      <c r="O873" t="n">
        <v>0</v>
      </c>
      <c r="P873" t="n">
        <v>0</v>
      </c>
      <c r="Q873" t="n">
        <v>0</v>
      </c>
      <c r="R873" s="2" t="inlineStr"/>
    </row>
    <row r="874" ht="15" customHeight="1">
      <c r="A874" t="inlineStr">
        <is>
          <t>A 41797-2024</t>
        </is>
      </c>
      <c r="B874" s="1" t="n">
        <v>45561</v>
      </c>
      <c r="C874" s="1" t="n">
        <v>45781</v>
      </c>
      <c r="D874" t="inlineStr">
        <is>
          <t>JÄMTLANDS LÄN</t>
        </is>
      </c>
      <c r="E874" t="inlineStr">
        <is>
          <t>ÅRE</t>
        </is>
      </c>
      <c r="G874" t="n">
        <v>10.5</v>
      </c>
      <c r="H874" t="n">
        <v>0</v>
      </c>
      <c r="I874" t="n">
        <v>0</v>
      </c>
      <c r="J874" t="n">
        <v>0</v>
      </c>
      <c r="K874" t="n">
        <v>0</v>
      </c>
      <c r="L874" t="n">
        <v>0</v>
      </c>
      <c r="M874" t="n">
        <v>0</v>
      </c>
      <c r="N874" t="n">
        <v>0</v>
      </c>
      <c r="O874" t="n">
        <v>0</v>
      </c>
      <c r="P874" t="n">
        <v>0</v>
      </c>
      <c r="Q874" t="n">
        <v>0</v>
      </c>
      <c r="R874" s="2" t="inlineStr"/>
    </row>
    <row r="875" ht="15" customHeight="1">
      <c r="A875" t="inlineStr">
        <is>
          <t>A 42244-2024</t>
        </is>
      </c>
      <c r="B875" s="1" t="n">
        <v>45562</v>
      </c>
      <c r="C875" s="1" t="n">
        <v>45781</v>
      </c>
      <c r="D875" t="inlineStr">
        <is>
          <t>JÄMTLANDS LÄN</t>
        </is>
      </c>
      <c r="E875" t="inlineStr">
        <is>
          <t>ÅRE</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42592-2024</t>
        </is>
      </c>
      <c r="B876" s="1" t="n">
        <v>45565</v>
      </c>
      <c r="C876" s="1" t="n">
        <v>45781</v>
      </c>
      <c r="D876" t="inlineStr">
        <is>
          <t>JÄMTLANDS LÄN</t>
        </is>
      </c>
      <c r="E876" t="inlineStr">
        <is>
          <t>ÅRE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43307-2024</t>
        </is>
      </c>
      <c r="B877" s="1" t="n">
        <v>45568</v>
      </c>
      <c r="C877" s="1" t="n">
        <v>45781</v>
      </c>
      <c r="D877" t="inlineStr">
        <is>
          <t>JÄMTLANDS LÄN</t>
        </is>
      </c>
      <c r="E877" t="inlineStr">
        <is>
          <t>ÅRE</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43342-2024</t>
        </is>
      </c>
      <c r="B878" s="1" t="n">
        <v>45568</v>
      </c>
      <c r="C878" s="1" t="n">
        <v>45781</v>
      </c>
      <c r="D878" t="inlineStr">
        <is>
          <t>JÄMTLANDS LÄN</t>
        </is>
      </c>
      <c r="E878" t="inlineStr">
        <is>
          <t>ÅRE</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44722-2024</t>
        </is>
      </c>
      <c r="B879" s="1" t="n">
        <v>45574</v>
      </c>
      <c r="C879" s="1" t="n">
        <v>45781</v>
      </c>
      <c r="D879" t="inlineStr">
        <is>
          <t>JÄMTLANDS LÄN</t>
        </is>
      </c>
      <c r="E879" t="inlineStr">
        <is>
          <t>ÅRE</t>
        </is>
      </c>
      <c r="G879" t="n">
        <v>4.1</v>
      </c>
      <c r="H879" t="n">
        <v>0</v>
      </c>
      <c r="I879" t="n">
        <v>0</v>
      </c>
      <c r="J879" t="n">
        <v>0</v>
      </c>
      <c r="K879" t="n">
        <v>0</v>
      </c>
      <c r="L879" t="n">
        <v>0</v>
      </c>
      <c r="M879" t="n">
        <v>0</v>
      </c>
      <c r="N879" t="n">
        <v>0</v>
      </c>
      <c r="O879" t="n">
        <v>0</v>
      </c>
      <c r="P879" t="n">
        <v>0</v>
      </c>
      <c r="Q879" t="n">
        <v>0</v>
      </c>
      <c r="R879" s="2" t="inlineStr"/>
    </row>
    <row r="880" ht="15" customHeight="1">
      <c r="A880" t="inlineStr">
        <is>
          <t>A 44609-2024</t>
        </is>
      </c>
      <c r="B880" s="1" t="n">
        <v>45574</v>
      </c>
      <c r="C880" s="1" t="n">
        <v>45781</v>
      </c>
      <c r="D880" t="inlineStr">
        <is>
          <t>JÄMTLANDS LÄN</t>
        </is>
      </c>
      <c r="E880" t="inlineStr">
        <is>
          <t>ÅRE</t>
        </is>
      </c>
      <c r="G880" t="n">
        <v>1.9</v>
      </c>
      <c r="H880" t="n">
        <v>0</v>
      </c>
      <c r="I880" t="n">
        <v>0</v>
      </c>
      <c r="J880" t="n">
        <v>0</v>
      </c>
      <c r="K880" t="n">
        <v>0</v>
      </c>
      <c r="L880" t="n">
        <v>0</v>
      </c>
      <c r="M880" t="n">
        <v>0</v>
      </c>
      <c r="N880" t="n">
        <v>0</v>
      </c>
      <c r="O880" t="n">
        <v>0</v>
      </c>
      <c r="P880" t="n">
        <v>0</v>
      </c>
      <c r="Q880" t="n">
        <v>0</v>
      </c>
      <c r="R880" s="2" t="inlineStr"/>
    </row>
    <row r="881" ht="15" customHeight="1">
      <c r="A881" t="inlineStr">
        <is>
          <t>A 44797-2024</t>
        </is>
      </c>
      <c r="B881" s="1" t="n">
        <v>45574</v>
      </c>
      <c r="C881" s="1" t="n">
        <v>45781</v>
      </c>
      <c r="D881" t="inlineStr">
        <is>
          <t>JÄMTLANDS LÄN</t>
        </is>
      </c>
      <c r="E881" t="inlineStr">
        <is>
          <t>ÅRE</t>
        </is>
      </c>
      <c r="G881" t="n">
        <v>21.4</v>
      </c>
      <c r="H881" t="n">
        <v>0</v>
      </c>
      <c r="I881" t="n">
        <v>0</v>
      </c>
      <c r="J881" t="n">
        <v>0</v>
      </c>
      <c r="K881" t="n">
        <v>0</v>
      </c>
      <c r="L881" t="n">
        <v>0</v>
      </c>
      <c r="M881" t="n">
        <v>0</v>
      </c>
      <c r="N881" t="n">
        <v>0</v>
      </c>
      <c r="O881" t="n">
        <v>0</v>
      </c>
      <c r="P881" t="n">
        <v>0</v>
      </c>
      <c r="Q881" t="n">
        <v>0</v>
      </c>
      <c r="R881" s="2" t="inlineStr"/>
    </row>
    <row r="882" ht="15" customHeight="1">
      <c r="A882" t="inlineStr">
        <is>
          <t>A 45113-2024</t>
        </is>
      </c>
      <c r="B882" s="1" t="n">
        <v>45575</v>
      </c>
      <c r="C882" s="1" t="n">
        <v>45781</v>
      </c>
      <c r="D882" t="inlineStr">
        <is>
          <t>JÄMTLANDS LÄN</t>
        </is>
      </c>
      <c r="E882" t="inlineStr">
        <is>
          <t>ÅRE</t>
        </is>
      </c>
      <c r="G882" t="n">
        <v>3.7</v>
      </c>
      <c r="H882" t="n">
        <v>0</v>
      </c>
      <c r="I882" t="n">
        <v>0</v>
      </c>
      <c r="J882" t="n">
        <v>0</v>
      </c>
      <c r="K882" t="n">
        <v>0</v>
      </c>
      <c r="L882" t="n">
        <v>0</v>
      </c>
      <c r="M882" t="n">
        <v>0</v>
      </c>
      <c r="N882" t="n">
        <v>0</v>
      </c>
      <c r="O882" t="n">
        <v>0</v>
      </c>
      <c r="P882" t="n">
        <v>0</v>
      </c>
      <c r="Q882" t="n">
        <v>0</v>
      </c>
      <c r="R882" s="2" t="inlineStr"/>
    </row>
    <row r="883" ht="15" customHeight="1">
      <c r="A883" t="inlineStr">
        <is>
          <t>A 45130-2024</t>
        </is>
      </c>
      <c r="B883" s="1" t="n">
        <v>45575</v>
      </c>
      <c r="C883" s="1" t="n">
        <v>45781</v>
      </c>
      <c r="D883" t="inlineStr">
        <is>
          <t>JÄMTLANDS LÄN</t>
        </is>
      </c>
      <c r="E883" t="inlineStr">
        <is>
          <t>ÅRE</t>
        </is>
      </c>
      <c r="G883" t="n">
        <v>5.2</v>
      </c>
      <c r="H883" t="n">
        <v>0</v>
      </c>
      <c r="I883" t="n">
        <v>0</v>
      </c>
      <c r="J883" t="n">
        <v>0</v>
      </c>
      <c r="K883" t="n">
        <v>0</v>
      </c>
      <c r="L883" t="n">
        <v>0</v>
      </c>
      <c r="M883" t="n">
        <v>0</v>
      </c>
      <c r="N883" t="n">
        <v>0</v>
      </c>
      <c r="O883" t="n">
        <v>0</v>
      </c>
      <c r="P883" t="n">
        <v>0</v>
      </c>
      <c r="Q883" t="n">
        <v>0</v>
      </c>
      <c r="R883" s="2" t="inlineStr"/>
    </row>
    <row r="884" ht="15" customHeight="1">
      <c r="A884" t="inlineStr">
        <is>
          <t>A 45105-2024</t>
        </is>
      </c>
      <c r="B884" s="1" t="n">
        <v>45575</v>
      </c>
      <c r="C884" s="1" t="n">
        <v>45781</v>
      </c>
      <c r="D884" t="inlineStr">
        <is>
          <t>JÄMTLANDS LÄN</t>
        </is>
      </c>
      <c r="E884" t="inlineStr">
        <is>
          <t>ÅRE</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45161-2024</t>
        </is>
      </c>
      <c r="B885" s="1" t="n">
        <v>45575</v>
      </c>
      <c r="C885" s="1" t="n">
        <v>45781</v>
      </c>
      <c r="D885" t="inlineStr">
        <is>
          <t>JÄMTLANDS LÄN</t>
        </is>
      </c>
      <c r="E885" t="inlineStr">
        <is>
          <t>ÅRE</t>
        </is>
      </c>
      <c r="G885" t="n">
        <v>6.9</v>
      </c>
      <c r="H885" t="n">
        <v>0</v>
      </c>
      <c r="I885" t="n">
        <v>0</v>
      </c>
      <c r="J885" t="n">
        <v>0</v>
      </c>
      <c r="K885" t="n">
        <v>0</v>
      </c>
      <c r="L885" t="n">
        <v>0</v>
      </c>
      <c r="M885" t="n">
        <v>0</v>
      </c>
      <c r="N885" t="n">
        <v>0</v>
      </c>
      <c r="O885" t="n">
        <v>0</v>
      </c>
      <c r="P885" t="n">
        <v>0</v>
      </c>
      <c r="Q885" t="n">
        <v>0</v>
      </c>
      <c r="R885" s="2" t="inlineStr"/>
    </row>
    <row r="886" ht="15" customHeight="1">
      <c r="A886" t="inlineStr">
        <is>
          <t>A 44925-2024</t>
        </is>
      </c>
      <c r="B886" s="1" t="n">
        <v>45575</v>
      </c>
      <c r="C886" s="1" t="n">
        <v>45781</v>
      </c>
      <c r="D886" t="inlineStr">
        <is>
          <t>JÄMTLANDS LÄN</t>
        </is>
      </c>
      <c r="E886" t="inlineStr">
        <is>
          <t>ÅRE</t>
        </is>
      </c>
      <c r="F886" t="inlineStr">
        <is>
          <t>Övriga Aktiebolag</t>
        </is>
      </c>
      <c r="G886" t="n">
        <v>22.3</v>
      </c>
      <c r="H886" t="n">
        <v>0</v>
      </c>
      <c r="I886" t="n">
        <v>0</v>
      </c>
      <c r="J886" t="n">
        <v>0</v>
      </c>
      <c r="K886" t="n">
        <v>0</v>
      </c>
      <c r="L886" t="n">
        <v>0</v>
      </c>
      <c r="M886" t="n">
        <v>0</v>
      </c>
      <c r="N886" t="n">
        <v>0</v>
      </c>
      <c r="O886" t="n">
        <v>0</v>
      </c>
      <c r="P886" t="n">
        <v>0</v>
      </c>
      <c r="Q886" t="n">
        <v>0</v>
      </c>
      <c r="R886" s="2" t="inlineStr"/>
    </row>
    <row r="887" ht="15" customHeight="1">
      <c r="A887" t="inlineStr">
        <is>
          <t>A 45286-2024</t>
        </is>
      </c>
      <c r="B887" s="1" t="n">
        <v>45576</v>
      </c>
      <c r="C887" s="1" t="n">
        <v>45781</v>
      </c>
      <c r="D887" t="inlineStr">
        <is>
          <t>JÄMTLANDS LÄN</t>
        </is>
      </c>
      <c r="E887" t="inlineStr">
        <is>
          <t>ÅRE</t>
        </is>
      </c>
      <c r="G887" t="n">
        <v>0.7</v>
      </c>
      <c r="H887" t="n">
        <v>0</v>
      </c>
      <c r="I887" t="n">
        <v>0</v>
      </c>
      <c r="J887" t="n">
        <v>0</v>
      </c>
      <c r="K887" t="n">
        <v>0</v>
      </c>
      <c r="L887" t="n">
        <v>0</v>
      </c>
      <c r="M887" t="n">
        <v>0</v>
      </c>
      <c r="N887" t="n">
        <v>0</v>
      </c>
      <c r="O887" t="n">
        <v>0</v>
      </c>
      <c r="P887" t="n">
        <v>0</v>
      </c>
      <c r="Q887" t="n">
        <v>0</v>
      </c>
      <c r="R887" s="2" t="inlineStr"/>
    </row>
    <row r="888" ht="15" customHeight="1">
      <c r="A888" t="inlineStr">
        <is>
          <t>A 45453-2024</t>
        </is>
      </c>
      <c r="B888" s="1" t="n">
        <v>45576</v>
      </c>
      <c r="C888" s="1" t="n">
        <v>45781</v>
      </c>
      <c r="D888" t="inlineStr">
        <is>
          <t>JÄMTLANDS LÄN</t>
        </is>
      </c>
      <c r="E888" t="inlineStr">
        <is>
          <t>ÅRE</t>
        </is>
      </c>
      <c r="G888" t="n">
        <v>0.6</v>
      </c>
      <c r="H888" t="n">
        <v>0</v>
      </c>
      <c r="I888" t="n">
        <v>0</v>
      </c>
      <c r="J888" t="n">
        <v>0</v>
      </c>
      <c r="K888" t="n">
        <v>0</v>
      </c>
      <c r="L888" t="n">
        <v>0</v>
      </c>
      <c r="M888" t="n">
        <v>0</v>
      </c>
      <c r="N888" t="n">
        <v>0</v>
      </c>
      <c r="O888" t="n">
        <v>0</v>
      </c>
      <c r="P888" t="n">
        <v>0</v>
      </c>
      <c r="Q888" t="n">
        <v>0</v>
      </c>
      <c r="R888" s="2" t="inlineStr"/>
    </row>
    <row r="889" ht="15" customHeight="1">
      <c r="A889" t="inlineStr">
        <is>
          <t>A 45324-2024</t>
        </is>
      </c>
      <c r="B889" s="1" t="n">
        <v>45576</v>
      </c>
      <c r="C889" s="1" t="n">
        <v>45781</v>
      </c>
      <c r="D889" t="inlineStr">
        <is>
          <t>JÄMTLANDS LÄN</t>
        </is>
      </c>
      <c r="E889" t="inlineStr">
        <is>
          <t>ÅRE</t>
        </is>
      </c>
      <c r="G889" t="n">
        <v>9.4</v>
      </c>
      <c r="H889" t="n">
        <v>0</v>
      </c>
      <c r="I889" t="n">
        <v>0</v>
      </c>
      <c r="J889" t="n">
        <v>0</v>
      </c>
      <c r="K889" t="n">
        <v>0</v>
      </c>
      <c r="L889" t="n">
        <v>0</v>
      </c>
      <c r="M889" t="n">
        <v>0</v>
      </c>
      <c r="N889" t="n">
        <v>0</v>
      </c>
      <c r="O889" t="n">
        <v>0</v>
      </c>
      <c r="P889" t="n">
        <v>0</v>
      </c>
      <c r="Q889" t="n">
        <v>0</v>
      </c>
      <c r="R889" s="2" t="inlineStr"/>
    </row>
    <row r="890" ht="15" customHeight="1">
      <c r="A890" t="inlineStr">
        <is>
          <t>A 45279-2024</t>
        </is>
      </c>
      <c r="B890" s="1" t="n">
        <v>45576</v>
      </c>
      <c r="C890" s="1" t="n">
        <v>45781</v>
      </c>
      <c r="D890" t="inlineStr">
        <is>
          <t>JÄMTLANDS LÄN</t>
        </is>
      </c>
      <c r="E890" t="inlineStr">
        <is>
          <t>ÅRE</t>
        </is>
      </c>
      <c r="G890" t="n">
        <v>17.2</v>
      </c>
      <c r="H890" t="n">
        <v>0</v>
      </c>
      <c r="I890" t="n">
        <v>0</v>
      </c>
      <c r="J890" t="n">
        <v>0</v>
      </c>
      <c r="K890" t="n">
        <v>0</v>
      </c>
      <c r="L890" t="n">
        <v>0</v>
      </c>
      <c r="M890" t="n">
        <v>0</v>
      </c>
      <c r="N890" t="n">
        <v>0</v>
      </c>
      <c r="O890" t="n">
        <v>0</v>
      </c>
      <c r="P890" t="n">
        <v>0</v>
      </c>
      <c r="Q890" t="n">
        <v>0</v>
      </c>
      <c r="R890" s="2" t="inlineStr"/>
    </row>
    <row r="891" ht="15" customHeight="1">
      <c r="A891" t="inlineStr">
        <is>
          <t>A 45833-2024</t>
        </is>
      </c>
      <c r="B891" s="1" t="n">
        <v>45579</v>
      </c>
      <c r="C891" s="1" t="n">
        <v>45781</v>
      </c>
      <c r="D891" t="inlineStr">
        <is>
          <t>JÄMTLANDS LÄN</t>
        </is>
      </c>
      <c r="E891" t="inlineStr">
        <is>
          <t>ÅRE</t>
        </is>
      </c>
      <c r="G891" t="n">
        <v>16.7</v>
      </c>
      <c r="H891" t="n">
        <v>0</v>
      </c>
      <c r="I891" t="n">
        <v>0</v>
      </c>
      <c r="J891" t="n">
        <v>0</v>
      </c>
      <c r="K891" t="n">
        <v>0</v>
      </c>
      <c r="L891" t="n">
        <v>0</v>
      </c>
      <c r="M891" t="n">
        <v>0</v>
      </c>
      <c r="N891" t="n">
        <v>0</v>
      </c>
      <c r="O891" t="n">
        <v>0</v>
      </c>
      <c r="P891" t="n">
        <v>0</v>
      </c>
      <c r="Q891" t="n">
        <v>0</v>
      </c>
      <c r="R891" s="2" t="inlineStr"/>
    </row>
    <row r="892" ht="15" customHeight="1">
      <c r="A892" t="inlineStr">
        <is>
          <t>A 45796-2024</t>
        </is>
      </c>
      <c r="B892" s="1" t="n">
        <v>45579</v>
      </c>
      <c r="C892" s="1" t="n">
        <v>45781</v>
      </c>
      <c r="D892" t="inlineStr">
        <is>
          <t>JÄMTLANDS LÄN</t>
        </is>
      </c>
      <c r="E892" t="inlineStr">
        <is>
          <t>ÅRE</t>
        </is>
      </c>
      <c r="G892" t="n">
        <v>5</v>
      </c>
      <c r="H892" t="n">
        <v>0</v>
      </c>
      <c r="I892" t="n">
        <v>0</v>
      </c>
      <c r="J892" t="n">
        <v>0</v>
      </c>
      <c r="K892" t="n">
        <v>0</v>
      </c>
      <c r="L892" t="n">
        <v>0</v>
      </c>
      <c r="M892" t="n">
        <v>0</v>
      </c>
      <c r="N892" t="n">
        <v>0</v>
      </c>
      <c r="O892" t="n">
        <v>0</v>
      </c>
      <c r="P892" t="n">
        <v>0</v>
      </c>
      <c r="Q892" t="n">
        <v>0</v>
      </c>
      <c r="R892" s="2" t="inlineStr"/>
    </row>
    <row r="893" ht="15" customHeight="1">
      <c r="A893" t="inlineStr">
        <is>
          <t>A 45736-2024</t>
        </is>
      </c>
      <c r="B893" s="1" t="n">
        <v>45579</v>
      </c>
      <c r="C893" s="1" t="n">
        <v>45781</v>
      </c>
      <c r="D893" t="inlineStr">
        <is>
          <t>JÄMTLANDS LÄN</t>
        </is>
      </c>
      <c r="E893" t="inlineStr">
        <is>
          <t>ÅRE</t>
        </is>
      </c>
      <c r="G893" t="n">
        <v>14.3</v>
      </c>
      <c r="H893" t="n">
        <v>0</v>
      </c>
      <c r="I893" t="n">
        <v>0</v>
      </c>
      <c r="J893" t="n">
        <v>0</v>
      </c>
      <c r="K893" t="n">
        <v>0</v>
      </c>
      <c r="L893" t="n">
        <v>0</v>
      </c>
      <c r="M893" t="n">
        <v>0</v>
      </c>
      <c r="N893" t="n">
        <v>0</v>
      </c>
      <c r="O893" t="n">
        <v>0</v>
      </c>
      <c r="P893" t="n">
        <v>0</v>
      </c>
      <c r="Q893" t="n">
        <v>0</v>
      </c>
      <c r="R893" s="2" t="inlineStr"/>
    </row>
    <row r="894" ht="15" customHeight="1">
      <c r="A894" t="inlineStr">
        <is>
          <t>A 45834-2024</t>
        </is>
      </c>
      <c r="B894" s="1" t="n">
        <v>45579</v>
      </c>
      <c r="C894" s="1" t="n">
        <v>45781</v>
      </c>
      <c r="D894" t="inlineStr">
        <is>
          <t>JÄMTLANDS LÄN</t>
        </is>
      </c>
      <c r="E894" t="inlineStr">
        <is>
          <t>ÅRE</t>
        </is>
      </c>
      <c r="G894" t="n">
        <v>3.9</v>
      </c>
      <c r="H894" t="n">
        <v>0</v>
      </c>
      <c r="I894" t="n">
        <v>0</v>
      </c>
      <c r="J894" t="n">
        <v>0</v>
      </c>
      <c r="K894" t="n">
        <v>0</v>
      </c>
      <c r="L894" t="n">
        <v>0</v>
      </c>
      <c r="M894" t="n">
        <v>0</v>
      </c>
      <c r="N894" t="n">
        <v>0</v>
      </c>
      <c r="O894" t="n">
        <v>0</v>
      </c>
      <c r="P894" t="n">
        <v>0</v>
      </c>
      <c r="Q894" t="n">
        <v>0</v>
      </c>
      <c r="R894" s="2" t="inlineStr"/>
    </row>
    <row r="895" ht="15" customHeight="1">
      <c r="A895" t="inlineStr">
        <is>
          <t>A 45946-2024</t>
        </is>
      </c>
      <c r="B895" s="1" t="n">
        <v>45580</v>
      </c>
      <c r="C895" s="1" t="n">
        <v>45781</v>
      </c>
      <c r="D895" t="inlineStr">
        <is>
          <t>JÄMTLANDS LÄN</t>
        </is>
      </c>
      <c r="E895" t="inlineStr">
        <is>
          <t>ÅRE</t>
        </is>
      </c>
      <c r="G895" t="n">
        <v>32</v>
      </c>
      <c r="H895" t="n">
        <v>0</v>
      </c>
      <c r="I895" t="n">
        <v>0</v>
      </c>
      <c r="J895" t="n">
        <v>0</v>
      </c>
      <c r="K895" t="n">
        <v>0</v>
      </c>
      <c r="L895" t="n">
        <v>0</v>
      </c>
      <c r="M895" t="n">
        <v>0</v>
      </c>
      <c r="N895" t="n">
        <v>0</v>
      </c>
      <c r="O895" t="n">
        <v>0</v>
      </c>
      <c r="P895" t="n">
        <v>0</v>
      </c>
      <c r="Q895" t="n">
        <v>0</v>
      </c>
      <c r="R895" s="2" t="inlineStr"/>
    </row>
    <row r="896" ht="15" customHeight="1">
      <c r="A896" t="inlineStr">
        <is>
          <t>A 46259-2024</t>
        </is>
      </c>
      <c r="B896" s="1" t="n">
        <v>45581</v>
      </c>
      <c r="C896" s="1" t="n">
        <v>45781</v>
      </c>
      <c r="D896" t="inlineStr">
        <is>
          <t>JÄMTLANDS LÄN</t>
        </is>
      </c>
      <c r="E896" t="inlineStr">
        <is>
          <t>ÅRE</t>
        </is>
      </c>
      <c r="G896" t="n">
        <v>4.7</v>
      </c>
      <c r="H896" t="n">
        <v>0</v>
      </c>
      <c r="I896" t="n">
        <v>0</v>
      </c>
      <c r="J896" t="n">
        <v>0</v>
      </c>
      <c r="K896" t="n">
        <v>0</v>
      </c>
      <c r="L896" t="n">
        <v>0</v>
      </c>
      <c r="M896" t="n">
        <v>0</v>
      </c>
      <c r="N896" t="n">
        <v>0</v>
      </c>
      <c r="O896" t="n">
        <v>0</v>
      </c>
      <c r="P896" t="n">
        <v>0</v>
      </c>
      <c r="Q896" t="n">
        <v>0</v>
      </c>
      <c r="R896" s="2" t="inlineStr"/>
    </row>
    <row r="897" ht="15" customHeight="1">
      <c r="A897" t="inlineStr">
        <is>
          <t>A 46546-2024</t>
        </is>
      </c>
      <c r="B897" s="1" t="n">
        <v>45582</v>
      </c>
      <c r="C897" s="1" t="n">
        <v>45781</v>
      </c>
      <c r="D897" t="inlineStr">
        <is>
          <t>JÄMTLANDS LÄN</t>
        </is>
      </c>
      <c r="E897" t="inlineStr">
        <is>
          <t>ÅRE</t>
        </is>
      </c>
      <c r="G897" t="n">
        <v>7.5</v>
      </c>
      <c r="H897" t="n">
        <v>0</v>
      </c>
      <c r="I897" t="n">
        <v>0</v>
      </c>
      <c r="J897" t="n">
        <v>0</v>
      </c>
      <c r="K897" t="n">
        <v>0</v>
      </c>
      <c r="L897" t="n">
        <v>0</v>
      </c>
      <c r="M897" t="n">
        <v>0</v>
      </c>
      <c r="N897" t="n">
        <v>0</v>
      </c>
      <c r="O897" t="n">
        <v>0</v>
      </c>
      <c r="P897" t="n">
        <v>0</v>
      </c>
      <c r="Q897" t="n">
        <v>0</v>
      </c>
      <c r="R897" s="2" t="inlineStr"/>
    </row>
    <row r="898" ht="15" customHeight="1">
      <c r="A898" t="inlineStr">
        <is>
          <t>A 46559-2024</t>
        </is>
      </c>
      <c r="B898" s="1" t="n">
        <v>45582</v>
      </c>
      <c r="C898" s="1" t="n">
        <v>45781</v>
      </c>
      <c r="D898" t="inlineStr">
        <is>
          <t>JÄMTLANDS LÄN</t>
        </is>
      </c>
      <c r="E898" t="inlineStr">
        <is>
          <t>ÅRE</t>
        </is>
      </c>
      <c r="G898" t="n">
        <v>6.2</v>
      </c>
      <c r="H898" t="n">
        <v>0</v>
      </c>
      <c r="I898" t="n">
        <v>0</v>
      </c>
      <c r="J898" t="n">
        <v>0</v>
      </c>
      <c r="K898" t="n">
        <v>0</v>
      </c>
      <c r="L898" t="n">
        <v>0</v>
      </c>
      <c r="M898" t="n">
        <v>0</v>
      </c>
      <c r="N898" t="n">
        <v>0</v>
      </c>
      <c r="O898" t="n">
        <v>0</v>
      </c>
      <c r="P898" t="n">
        <v>0</v>
      </c>
      <c r="Q898" t="n">
        <v>0</v>
      </c>
      <c r="R898" s="2" t="inlineStr"/>
    </row>
    <row r="899" ht="15" customHeight="1">
      <c r="A899" t="inlineStr">
        <is>
          <t>A 46444-2024</t>
        </is>
      </c>
      <c r="B899" s="1" t="n">
        <v>45582</v>
      </c>
      <c r="C899" s="1" t="n">
        <v>45781</v>
      </c>
      <c r="D899" t="inlineStr">
        <is>
          <t>JÄMTLANDS LÄN</t>
        </is>
      </c>
      <c r="E899" t="inlineStr">
        <is>
          <t>ÅRE</t>
        </is>
      </c>
      <c r="G899" t="n">
        <v>19.6</v>
      </c>
      <c r="H899" t="n">
        <v>0</v>
      </c>
      <c r="I899" t="n">
        <v>0</v>
      </c>
      <c r="J899" t="n">
        <v>0</v>
      </c>
      <c r="K899" t="n">
        <v>0</v>
      </c>
      <c r="L899" t="n">
        <v>0</v>
      </c>
      <c r="M899" t="n">
        <v>0</v>
      </c>
      <c r="N899" t="n">
        <v>0</v>
      </c>
      <c r="O899" t="n">
        <v>0</v>
      </c>
      <c r="P899" t="n">
        <v>0</v>
      </c>
      <c r="Q899" t="n">
        <v>0</v>
      </c>
      <c r="R899" s="2" t="inlineStr"/>
    </row>
    <row r="900" ht="15" customHeight="1">
      <c r="A900" t="inlineStr">
        <is>
          <t>A 46788-2024</t>
        </is>
      </c>
      <c r="B900" s="1" t="n">
        <v>45583</v>
      </c>
      <c r="C900" s="1" t="n">
        <v>45781</v>
      </c>
      <c r="D900" t="inlineStr">
        <is>
          <t>JÄMTLANDS LÄN</t>
        </is>
      </c>
      <c r="E900" t="inlineStr">
        <is>
          <t>ÅRE</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46789-2024</t>
        </is>
      </c>
      <c r="B901" s="1" t="n">
        <v>45583</v>
      </c>
      <c r="C901" s="1" t="n">
        <v>45781</v>
      </c>
      <c r="D901" t="inlineStr">
        <is>
          <t>JÄMTLANDS LÄN</t>
        </is>
      </c>
      <c r="E901" t="inlineStr">
        <is>
          <t>ÅRE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47094-2024</t>
        </is>
      </c>
      <c r="B902" s="1" t="n">
        <v>45586</v>
      </c>
      <c r="C902" s="1" t="n">
        <v>45781</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47076-2024</t>
        </is>
      </c>
      <c r="B903" s="1" t="n">
        <v>45586</v>
      </c>
      <c r="C903" s="1" t="n">
        <v>45781</v>
      </c>
      <c r="D903" t="inlineStr">
        <is>
          <t>JÄMTLANDS LÄN</t>
        </is>
      </c>
      <c r="E903" t="inlineStr">
        <is>
          <t>ÅRE</t>
        </is>
      </c>
      <c r="G903" t="n">
        <v>6.5</v>
      </c>
      <c r="H903" t="n">
        <v>0</v>
      </c>
      <c r="I903" t="n">
        <v>0</v>
      </c>
      <c r="J903" t="n">
        <v>0</v>
      </c>
      <c r="K903" t="n">
        <v>0</v>
      </c>
      <c r="L903" t="n">
        <v>0</v>
      </c>
      <c r="M903" t="n">
        <v>0</v>
      </c>
      <c r="N903" t="n">
        <v>0</v>
      </c>
      <c r="O903" t="n">
        <v>0</v>
      </c>
      <c r="P903" t="n">
        <v>0</v>
      </c>
      <c r="Q903" t="n">
        <v>0</v>
      </c>
      <c r="R903" s="2" t="inlineStr"/>
    </row>
    <row r="904" ht="15" customHeight="1">
      <c r="A904" t="inlineStr">
        <is>
          <t>A 47064-2024</t>
        </is>
      </c>
      <c r="B904" s="1" t="n">
        <v>45586</v>
      </c>
      <c r="C904" s="1" t="n">
        <v>45781</v>
      </c>
      <c r="D904" t="inlineStr">
        <is>
          <t>JÄMTLANDS LÄN</t>
        </is>
      </c>
      <c r="E904" t="inlineStr">
        <is>
          <t>ÅRE</t>
        </is>
      </c>
      <c r="G904" t="n">
        <v>2.8</v>
      </c>
      <c r="H904" t="n">
        <v>0</v>
      </c>
      <c r="I904" t="n">
        <v>0</v>
      </c>
      <c r="J904" t="n">
        <v>0</v>
      </c>
      <c r="K904" t="n">
        <v>0</v>
      </c>
      <c r="L904" t="n">
        <v>0</v>
      </c>
      <c r="M904" t="n">
        <v>0</v>
      </c>
      <c r="N904" t="n">
        <v>0</v>
      </c>
      <c r="O904" t="n">
        <v>0</v>
      </c>
      <c r="P904" t="n">
        <v>0</v>
      </c>
      <c r="Q904" t="n">
        <v>0</v>
      </c>
      <c r="R904" s="2" t="inlineStr"/>
    </row>
    <row r="905" ht="15" customHeight="1">
      <c r="A905" t="inlineStr">
        <is>
          <t>A 47075-2024</t>
        </is>
      </c>
      <c r="B905" s="1" t="n">
        <v>45586</v>
      </c>
      <c r="C905" s="1" t="n">
        <v>45781</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47069-2024</t>
        </is>
      </c>
      <c r="B906" s="1" t="n">
        <v>45586</v>
      </c>
      <c r="C906" s="1" t="n">
        <v>45781</v>
      </c>
      <c r="D906" t="inlineStr">
        <is>
          <t>JÄMTLANDS LÄN</t>
        </is>
      </c>
      <c r="E906" t="inlineStr">
        <is>
          <t>ÅRE</t>
        </is>
      </c>
      <c r="G906" t="n">
        <v>7.1</v>
      </c>
      <c r="H906" t="n">
        <v>0</v>
      </c>
      <c r="I906" t="n">
        <v>0</v>
      </c>
      <c r="J906" t="n">
        <v>0</v>
      </c>
      <c r="K906" t="n">
        <v>0</v>
      </c>
      <c r="L906" t="n">
        <v>0</v>
      </c>
      <c r="M906" t="n">
        <v>0</v>
      </c>
      <c r="N906" t="n">
        <v>0</v>
      </c>
      <c r="O906" t="n">
        <v>0</v>
      </c>
      <c r="P906" t="n">
        <v>0</v>
      </c>
      <c r="Q906" t="n">
        <v>0</v>
      </c>
      <c r="R906" s="2" t="inlineStr"/>
    </row>
    <row r="907" ht="15" customHeight="1">
      <c r="A907" t="inlineStr">
        <is>
          <t>A 47279-2024</t>
        </is>
      </c>
      <c r="B907" s="1" t="n">
        <v>45587</v>
      </c>
      <c r="C907" s="1" t="n">
        <v>45781</v>
      </c>
      <c r="D907" t="inlineStr">
        <is>
          <t>JÄMTLANDS LÄN</t>
        </is>
      </c>
      <c r="E907" t="inlineStr">
        <is>
          <t>ÅRE</t>
        </is>
      </c>
      <c r="G907" t="n">
        <v>11.9</v>
      </c>
      <c r="H907" t="n">
        <v>0</v>
      </c>
      <c r="I907" t="n">
        <v>0</v>
      </c>
      <c r="J907" t="n">
        <v>0</v>
      </c>
      <c r="K907" t="n">
        <v>0</v>
      </c>
      <c r="L907" t="n">
        <v>0</v>
      </c>
      <c r="M907" t="n">
        <v>0</v>
      </c>
      <c r="N907" t="n">
        <v>0</v>
      </c>
      <c r="O907" t="n">
        <v>0</v>
      </c>
      <c r="P907" t="n">
        <v>0</v>
      </c>
      <c r="Q907" t="n">
        <v>0</v>
      </c>
      <c r="R907" s="2" t="inlineStr"/>
    </row>
    <row r="908" ht="15" customHeight="1">
      <c r="A908" t="inlineStr">
        <is>
          <t>A 47556-2024</t>
        </is>
      </c>
      <c r="B908" s="1" t="n">
        <v>45587</v>
      </c>
      <c r="C908" s="1" t="n">
        <v>45781</v>
      </c>
      <c r="D908" t="inlineStr">
        <is>
          <t>JÄMTLANDS LÄN</t>
        </is>
      </c>
      <c r="E908" t="inlineStr">
        <is>
          <t>ÅRE</t>
        </is>
      </c>
      <c r="G908" t="n">
        <v>2.2</v>
      </c>
      <c r="H908" t="n">
        <v>0</v>
      </c>
      <c r="I908" t="n">
        <v>0</v>
      </c>
      <c r="J908" t="n">
        <v>0</v>
      </c>
      <c r="K908" t="n">
        <v>0</v>
      </c>
      <c r="L908" t="n">
        <v>0</v>
      </c>
      <c r="M908" t="n">
        <v>0</v>
      </c>
      <c r="N908" t="n">
        <v>0</v>
      </c>
      <c r="O908" t="n">
        <v>0</v>
      </c>
      <c r="P908" t="n">
        <v>0</v>
      </c>
      <c r="Q908" t="n">
        <v>0</v>
      </c>
      <c r="R908" s="2" t="inlineStr"/>
    </row>
    <row r="909" ht="15" customHeight="1">
      <c r="A909" t="inlineStr">
        <is>
          <t>A 48766-2024</t>
        </is>
      </c>
      <c r="B909" s="1" t="n">
        <v>45593</v>
      </c>
      <c r="C909" s="1" t="n">
        <v>45781</v>
      </c>
      <c r="D909" t="inlineStr">
        <is>
          <t>JÄMTLANDS LÄN</t>
        </is>
      </c>
      <c r="E909" t="inlineStr">
        <is>
          <t>ÅRE</t>
        </is>
      </c>
      <c r="G909" t="n">
        <v>3.3</v>
      </c>
      <c r="H909" t="n">
        <v>0</v>
      </c>
      <c r="I909" t="n">
        <v>0</v>
      </c>
      <c r="J909" t="n">
        <v>0</v>
      </c>
      <c r="K909" t="n">
        <v>0</v>
      </c>
      <c r="L909" t="n">
        <v>0</v>
      </c>
      <c r="M909" t="n">
        <v>0</v>
      </c>
      <c r="N909" t="n">
        <v>0</v>
      </c>
      <c r="O909" t="n">
        <v>0</v>
      </c>
      <c r="P909" t="n">
        <v>0</v>
      </c>
      <c r="Q909" t="n">
        <v>0</v>
      </c>
      <c r="R909" s="2" t="inlineStr"/>
    </row>
    <row r="910" ht="15" customHeight="1">
      <c r="A910" t="inlineStr">
        <is>
          <t>A 48839-2024</t>
        </is>
      </c>
      <c r="B910" s="1" t="n">
        <v>45593</v>
      </c>
      <c r="C910" s="1" t="n">
        <v>45781</v>
      </c>
      <c r="D910" t="inlineStr">
        <is>
          <t>JÄMTLANDS LÄN</t>
        </is>
      </c>
      <c r="E910" t="inlineStr">
        <is>
          <t>ÅRE</t>
        </is>
      </c>
      <c r="G910" t="n">
        <v>9.6</v>
      </c>
      <c r="H910" t="n">
        <v>0</v>
      </c>
      <c r="I910" t="n">
        <v>0</v>
      </c>
      <c r="J910" t="n">
        <v>0</v>
      </c>
      <c r="K910" t="n">
        <v>0</v>
      </c>
      <c r="L910" t="n">
        <v>0</v>
      </c>
      <c r="M910" t="n">
        <v>0</v>
      </c>
      <c r="N910" t="n">
        <v>0</v>
      </c>
      <c r="O910" t="n">
        <v>0</v>
      </c>
      <c r="P910" t="n">
        <v>0</v>
      </c>
      <c r="Q910" t="n">
        <v>0</v>
      </c>
      <c r="R910" s="2" t="inlineStr"/>
    </row>
    <row r="911" ht="15" customHeight="1">
      <c r="A911" t="inlineStr">
        <is>
          <t>A 48769-2024</t>
        </is>
      </c>
      <c r="B911" s="1" t="n">
        <v>45593</v>
      </c>
      <c r="C911" s="1" t="n">
        <v>45781</v>
      </c>
      <c r="D911" t="inlineStr">
        <is>
          <t>JÄMTLANDS LÄN</t>
        </is>
      </c>
      <c r="E911" t="inlineStr">
        <is>
          <t>ÅRE</t>
        </is>
      </c>
      <c r="G911" t="n">
        <v>3</v>
      </c>
      <c r="H911" t="n">
        <v>0</v>
      </c>
      <c r="I911" t="n">
        <v>0</v>
      </c>
      <c r="J911" t="n">
        <v>0</v>
      </c>
      <c r="K911" t="n">
        <v>0</v>
      </c>
      <c r="L911" t="n">
        <v>0</v>
      </c>
      <c r="M911" t="n">
        <v>0</v>
      </c>
      <c r="N911" t="n">
        <v>0</v>
      </c>
      <c r="O911" t="n">
        <v>0</v>
      </c>
      <c r="P911" t="n">
        <v>0</v>
      </c>
      <c r="Q911" t="n">
        <v>0</v>
      </c>
      <c r="R911" s="2" t="inlineStr"/>
    </row>
    <row r="912" ht="15" customHeight="1">
      <c r="A912" t="inlineStr">
        <is>
          <t>A 49110-2024</t>
        </is>
      </c>
      <c r="B912" s="1" t="n">
        <v>45594</v>
      </c>
      <c r="C912" s="1" t="n">
        <v>45781</v>
      </c>
      <c r="D912" t="inlineStr">
        <is>
          <t>JÄMTLANDS LÄN</t>
        </is>
      </c>
      <c r="E912" t="inlineStr">
        <is>
          <t>ÅRE</t>
        </is>
      </c>
      <c r="G912" t="n">
        <v>10</v>
      </c>
      <c r="H912" t="n">
        <v>0</v>
      </c>
      <c r="I912" t="n">
        <v>0</v>
      </c>
      <c r="J912" t="n">
        <v>0</v>
      </c>
      <c r="K912" t="n">
        <v>0</v>
      </c>
      <c r="L912" t="n">
        <v>0</v>
      </c>
      <c r="M912" t="n">
        <v>0</v>
      </c>
      <c r="N912" t="n">
        <v>0</v>
      </c>
      <c r="O912" t="n">
        <v>0</v>
      </c>
      <c r="P912" t="n">
        <v>0</v>
      </c>
      <c r="Q912" t="n">
        <v>0</v>
      </c>
      <c r="R912" s="2" t="inlineStr"/>
    </row>
    <row r="913" ht="15" customHeight="1">
      <c r="A913" t="inlineStr">
        <is>
          <t>A 49267-2024</t>
        </is>
      </c>
      <c r="B913" s="1" t="n">
        <v>45595</v>
      </c>
      <c r="C913" s="1" t="n">
        <v>45781</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49296-2024</t>
        </is>
      </c>
      <c r="B914" s="1" t="n">
        <v>45595</v>
      </c>
      <c r="C914" s="1" t="n">
        <v>45781</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49313-2024</t>
        </is>
      </c>
      <c r="B915" s="1" t="n">
        <v>45595</v>
      </c>
      <c r="C915" s="1" t="n">
        <v>45781</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49320-2024</t>
        </is>
      </c>
      <c r="B916" s="1" t="n">
        <v>45595</v>
      </c>
      <c r="C916" s="1" t="n">
        <v>45781</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49303-2024</t>
        </is>
      </c>
      <c r="B917" s="1" t="n">
        <v>45595</v>
      </c>
      <c r="C917" s="1" t="n">
        <v>45781</v>
      </c>
      <c r="D917" t="inlineStr">
        <is>
          <t>JÄMTLANDS LÄN</t>
        </is>
      </c>
      <c r="E917" t="inlineStr">
        <is>
          <t>ÅRE</t>
        </is>
      </c>
      <c r="G917" t="n">
        <v>1.2</v>
      </c>
      <c r="H917" t="n">
        <v>0</v>
      </c>
      <c r="I917" t="n">
        <v>0</v>
      </c>
      <c r="J917" t="n">
        <v>0</v>
      </c>
      <c r="K917" t="n">
        <v>0</v>
      </c>
      <c r="L917" t="n">
        <v>0</v>
      </c>
      <c r="M917" t="n">
        <v>0</v>
      </c>
      <c r="N917" t="n">
        <v>0</v>
      </c>
      <c r="O917" t="n">
        <v>0</v>
      </c>
      <c r="P917" t="n">
        <v>0</v>
      </c>
      <c r="Q917" t="n">
        <v>0</v>
      </c>
      <c r="R917" s="2" t="inlineStr"/>
    </row>
    <row r="918" ht="15" customHeight="1">
      <c r="A918" t="inlineStr">
        <is>
          <t>A 49678-2024</t>
        </is>
      </c>
      <c r="B918" s="1" t="n">
        <v>45596</v>
      </c>
      <c r="C918" s="1" t="n">
        <v>45781</v>
      </c>
      <c r="D918" t="inlineStr">
        <is>
          <t>JÄMTLANDS LÄN</t>
        </is>
      </c>
      <c r="E918" t="inlineStr">
        <is>
          <t>ÅRE</t>
        </is>
      </c>
      <c r="G918" t="n">
        <v>2.6</v>
      </c>
      <c r="H918" t="n">
        <v>0</v>
      </c>
      <c r="I918" t="n">
        <v>0</v>
      </c>
      <c r="J918" t="n">
        <v>0</v>
      </c>
      <c r="K918" t="n">
        <v>0</v>
      </c>
      <c r="L918" t="n">
        <v>0</v>
      </c>
      <c r="M918" t="n">
        <v>0</v>
      </c>
      <c r="N918" t="n">
        <v>0</v>
      </c>
      <c r="O918" t="n">
        <v>0</v>
      </c>
      <c r="P918" t="n">
        <v>0</v>
      </c>
      <c r="Q918" t="n">
        <v>0</v>
      </c>
      <c r="R918" s="2" t="inlineStr"/>
    </row>
    <row r="919" ht="15" customHeight="1">
      <c r="A919" t="inlineStr">
        <is>
          <t>A 49702-2024</t>
        </is>
      </c>
      <c r="B919" s="1" t="n">
        <v>45596</v>
      </c>
      <c r="C919" s="1" t="n">
        <v>45781</v>
      </c>
      <c r="D919" t="inlineStr">
        <is>
          <t>JÄMTLANDS LÄN</t>
        </is>
      </c>
      <c r="E919" t="inlineStr">
        <is>
          <t>ÅRE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49799-2024</t>
        </is>
      </c>
      <c r="B920" s="1" t="n">
        <v>45596</v>
      </c>
      <c r="C920" s="1" t="n">
        <v>45781</v>
      </c>
      <c r="D920" t="inlineStr">
        <is>
          <t>JÄMTLANDS LÄN</t>
        </is>
      </c>
      <c r="E920" t="inlineStr">
        <is>
          <t>ÅRE</t>
        </is>
      </c>
      <c r="G920" t="n">
        <v>7.2</v>
      </c>
      <c r="H920" t="n">
        <v>0</v>
      </c>
      <c r="I920" t="n">
        <v>0</v>
      </c>
      <c r="J920" t="n">
        <v>0</v>
      </c>
      <c r="K920" t="n">
        <v>0</v>
      </c>
      <c r="L920" t="n">
        <v>0</v>
      </c>
      <c r="M920" t="n">
        <v>0</v>
      </c>
      <c r="N920" t="n">
        <v>0</v>
      </c>
      <c r="O920" t="n">
        <v>0</v>
      </c>
      <c r="P920" t="n">
        <v>0</v>
      </c>
      <c r="Q920" t="n">
        <v>0</v>
      </c>
      <c r="R920" s="2" t="inlineStr"/>
    </row>
    <row r="921" ht="15" customHeight="1">
      <c r="A921" t="inlineStr">
        <is>
          <t>A 49778-2024</t>
        </is>
      </c>
      <c r="B921" s="1" t="n">
        <v>45596</v>
      </c>
      <c r="C921" s="1" t="n">
        <v>45781</v>
      </c>
      <c r="D921" t="inlineStr">
        <is>
          <t>JÄMTLANDS LÄN</t>
        </is>
      </c>
      <c r="E921" t="inlineStr">
        <is>
          <t>ÅRE</t>
        </is>
      </c>
      <c r="G921" t="n">
        <v>34.5</v>
      </c>
      <c r="H921" t="n">
        <v>0</v>
      </c>
      <c r="I921" t="n">
        <v>0</v>
      </c>
      <c r="J921" t="n">
        <v>0</v>
      </c>
      <c r="K921" t="n">
        <v>0</v>
      </c>
      <c r="L921" t="n">
        <v>0</v>
      </c>
      <c r="M921" t="n">
        <v>0</v>
      </c>
      <c r="N921" t="n">
        <v>0</v>
      </c>
      <c r="O921" t="n">
        <v>0</v>
      </c>
      <c r="P921" t="n">
        <v>0</v>
      </c>
      <c r="Q921" t="n">
        <v>0</v>
      </c>
      <c r="R921" s="2" t="inlineStr"/>
    </row>
    <row r="922" ht="15" customHeight="1">
      <c r="A922" t="inlineStr">
        <is>
          <t>A 49805-2024</t>
        </is>
      </c>
      <c r="B922" s="1" t="n">
        <v>45596</v>
      </c>
      <c r="C922" s="1" t="n">
        <v>45781</v>
      </c>
      <c r="D922" t="inlineStr">
        <is>
          <t>JÄMTLANDS LÄN</t>
        </is>
      </c>
      <c r="E922" t="inlineStr">
        <is>
          <t>ÅRE</t>
        </is>
      </c>
      <c r="G922" t="n">
        <v>3.5</v>
      </c>
      <c r="H922" t="n">
        <v>0</v>
      </c>
      <c r="I922" t="n">
        <v>0</v>
      </c>
      <c r="J922" t="n">
        <v>0</v>
      </c>
      <c r="K922" t="n">
        <v>0</v>
      </c>
      <c r="L922" t="n">
        <v>0</v>
      </c>
      <c r="M922" t="n">
        <v>0</v>
      </c>
      <c r="N922" t="n">
        <v>0</v>
      </c>
      <c r="O922" t="n">
        <v>0</v>
      </c>
      <c r="P922" t="n">
        <v>0</v>
      </c>
      <c r="Q922" t="n">
        <v>0</v>
      </c>
      <c r="R922" s="2" t="inlineStr"/>
    </row>
    <row r="923" ht="15" customHeight="1">
      <c r="A923" t="inlineStr">
        <is>
          <t>A 49834-2024</t>
        </is>
      </c>
      <c r="B923" s="1" t="n">
        <v>45597</v>
      </c>
      <c r="C923" s="1" t="n">
        <v>45781</v>
      </c>
      <c r="D923" t="inlineStr">
        <is>
          <t>JÄMTLANDS LÄN</t>
        </is>
      </c>
      <c r="E923" t="inlineStr">
        <is>
          <t>ÅRE</t>
        </is>
      </c>
      <c r="G923" t="n">
        <v>0.9</v>
      </c>
      <c r="H923" t="n">
        <v>0</v>
      </c>
      <c r="I923" t="n">
        <v>0</v>
      </c>
      <c r="J923" t="n">
        <v>0</v>
      </c>
      <c r="K923" t="n">
        <v>0</v>
      </c>
      <c r="L923" t="n">
        <v>0</v>
      </c>
      <c r="M923" t="n">
        <v>0</v>
      </c>
      <c r="N923" t="n">
        <v>0</v>
      </c>
      <c r="O923" t="n">
        <v>0</v>
      </c>
      <c r="P923" t="n">
        <v>0</v>
      </c>
      <c r="Q923" t="n">
        <v>0</v>
      </c>
      <c r="R923" s="2" t="inlineStr"/>
    </row>
    <row r="924" ht="15" customHeight="1">
      <c r="A924" t="inlineStr">
        <is>
          <t>A 50034-2024</t>
        </is>
      </c>
      <c r="B924" s="1" t="n">
        <v>45599</v>
      </c>
      <c r="C924" s="1" t="n">
        <v>45781</v>
      </c>
      <c r="D924" t="inlineStr">
        <is>
          <t>JÄMTLANDS LÄN</t>
        </is>
      </c>
      <c r="E924" t="inlineStr">
        <is>
          <t>ÅRE</t>
        </is>
      </c>
      <c r="G924" t="n">
        <v>1.5</v>
      </c>
      <c r="H924" t="n">
        <v>0</v>
      </c>
      <c r="I924" t="n">
        <v>0</v>
      </c>
      <c r="J924" t="n">
        <v>0</v>
      </c>
      <c r="K924" t="n">
        <v>0</v>
      </c>
      <c r="L924" t="n">
        <v>0</v>
      </c>
      <c r="M924" t="n">
        <v>0</v>
      </c>
      <c r="N924" t="n">
        <v>0</v>
      </c>
      <c r="O924" t="n">
        <v>0</v>
      </c>
      <c r="P924" t="n">
        <v>0</v>
      </c>
      <c r="Q924" t="n">
        <v>0</v>
      </c>
      <c r="R924" s="2" t="inlineStr"/>
    </row>
    <row r="925" ht="15" customHeight="1">
      <c r="A925" t="inlineStr">
        <is>
          <t>A 50344-2024</t>
        </is>
      </c>
      <c r="B925" s="1" t="n">
        <v>45600</v>
      </c>
      <c r="C925" s="1" t="n">
        <v>45781</v>
      </c>
      <c r="D925" t="inlineStr">
        <is>
          <t>JÄMTLANDS LÄN</t>
        </is>
      </c>
      <c r="E925" t="inlineStr">
        <is>
          <t>ÅRE</t>
        </is>
      </c>
      <c r="G925" t="n">
        <v>4</v>
      </c>
      <c r="H925" t="n">
        <v>0</v>
      </c>
      <c r="I925" t="n">
        <v>0</v>
      </c>
      <c r="J925" t="n">
        <v>0</v>
      </c>
      <c r="K925" t="n">
        <v>0</v>
      </c>
      <c r="L925" t="n">
        <v>0</v>
      </c>
      <c r="M925" t="n">
        <v>0</v>
      </c>
      <c r="N925" t="n">
        <v>0</v>
      </c>
      <c r="O925" t="n">
        <v>0</v>
      </c>
      <c r="P925" t="n">
        <v>0</v>
      </c>
      <c r="Q925" t="n">
        <v>0</v>
      </c>
      <c r="R925" s="2" t="inlineStr"/>
    </row>
    <row r="926" ht="15" customHeight="1">
      <c r="A926" t="inlineStr">
        <is>
          <t>A 50397-2024</t>
        </is>
      </c>
      <c r="B926" s="1" t="n">
        <v>45601</v>
      </c>
      <c r="C926" s="1" t="n">
        <v>45781</v>
      </c>
      <c r="D926" t="inlineStr">
        <is>
          <t>JÄMTLANDS LÄN</t>
        </is>
      </c>
      <c r="E926" t="inlineStr">
        <is>
          <t>ÅRE</t>
        </is>
      </c>
      <c r="G926" t="n">
        <v>4.3</v>
      </c>
      <c r="H926" t="n">
        <v>0</v>
      </c>
      <c r="I926" t="n">
        <v>0</v>
      </c>
      <c r="J926" t="n">
        <v>0</v>
      </c>
      <c r="K926" t="n">
        <v>0</v>
      </c>
      <c r="L926" t="n">
        <v>0</v>
      </c>
      <c r="M926" t="n">
        <v>0</v>
      </c>
      <c r="N926" t="n">
        <v>0</v>
      </c>
      <c r="O926" t="n">
        <v>0</v>
      </c>
      <c r="P926" t="n">
        <v>0</v>
      </c>
      <c r="Q926" t="n">
        <v>0</v>
      </c>
      <c r="R926" s="2" t="inlineStr"/>
    </row>
    <row r="927" ht="15" customHeight="1">
      <c r="A927" t="inlineStr">
        <is>
          <t>A 50920-2024</t>
        </is>
      </c>
      <c r="B927" s="1" t="n">
        <v>45602</v>
      </c>
      <c r="C927" s="1" t="n">
        <v>45781</v>
      </c>
      <c r="D927" t="inlineStr">
        <is>
          <t>JÄMTLANDS LÄN</t>
        </is>
      </c>
      <c r="E927" t="inlineStr">
        <is>
          <t>ÅRE</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51444-2024</t>
        </is>
      </c>
      <c r="B928" s="1" t="n">
        <v>45604</v>
      </c>
      <c r="C928" s="1" t="n">
        <v>45781</v>
      </c>
      <c r="D928" t="inlineStr">
        <is>
          <t>JÄMTLANDS LÄN</t>
        </is>
      </c>
      <c r="E928" t="inlineStr">
        <is>
          <t>ÅRE</t>
        </is>
      </c>
      <c r="G928" t="n">
        <v>2.2</v>
      </c>
      <c r="H928" t="n">
        <v>0</v>
      </c>
      <c r="I928" t="n">
        <v>0</v>
      </c>
      <c r="J928" t="n">
        <v>0</v>
      </c>
      <c r="K928" t="n">
        <v>0</v>
      </c>
      <c r="L928" t="n">
        <v>0</v>
      </c>
      <c r="M928" t="n">
        <v>0</v>
      </c>
      <c r="N928" t="n">
        <v>0</v>
      </c>
      <c r="O928" t="n">
        <v>0</v>
      </c>
      <c r="P928" t="n">
        <v>0</v>
      </c>
      <c r="Q928" t="n">
        <v>0</v>
      </c>
      <c r="R928" s="2" t="inlineStr"/>
    </row>
    <row r="929" ht="15" customHeight="1">
      <c r="A929" t="inlineStr">
        <is>
          <t>A 51452-2024</t>
        </is>
      </c>
      <c r="B929" s="1" t="n">
        <v>45604</v>
      </c>
      <c r="C929" s="1" t="n">
        <v>45781</v>
      </c>
      <c r="D929" t="inlineStr">
        <is>
          <t>JÄMTLANDS LÄN</t>
        </is>
      </c>
      <c r="E929" t="inlineStr">
        <is>
          <t>ÅRE</t>
        </is>
      </c>
      <c r="G929" t="n">
        <v>8</v>
      </c>
      <c r="H929" t="n">
        <v>0</v>
      </c>
      <c r="I929" t="n">
        <v>0</v>
      </c>
      <c r="J929" t="n">
        <v>0</v>
      </c>
      <c r="K929" t="n">
        <v>0</v>
      </c>
      <c r="L929" t="n">
        <v>0</v>
      </c>
      <c r="M929" t="n">
        <v>0</v>
      </c>
      <c r="N929" t="n">
        <v>0</v>
      </c>
      <c r="O929" t="n">
        <v>0</v>
      </c>
      <c r="P929" t="n">
        <v>0</v>
      </c>
      <c r="Q929" t="n">
        <v>0</v>
      </c>
      <c r="R929" s="2" t="inlineStr"/>
    </row>
    <row r="930" ht="15" customHeight="1">
      <c r="A930" t="inlineStr">
        <is>
          <t>A 51500-2024</t>
        </is>
      </c>
      <c r="B930" s="1" t="n">
        <v>45604</v>
      </c>
      <c r="C930" s="1" t="n">
        <v>45781</v>
      </c>
      <c r="D930" t="inlineStr">
        <is>
          <t>JÄMTLANDS LÄN</t>
        </is>
      </c>
      <c r="E930" t="inlineStr">
        <is>
          <t>ÅRE</t>
        </is>
      </c>
      <c r="G930" t="n">
        <v>1.7</v>
      </c>
      <c r="H930" t="n">
        <v>0</v>
      </c>
      <c r="I930" t="n">
        <v>0</v>
      </c>
      <c r="J930" t="n">
        <v>0</v>
      </c>
      <c r="K930" t="n">
        <v>0</v>
      </c>
      <c r="L930" t="n">
        <v>0</v>
      </c>
      <c r="M930" t="n">
        <v>0</v>
      </c>
      <c r="N930" t="n">
        <v>0</v>
      </c>
      <c r="O930" t="n">
        <v>0</v>
      </c>
      <c r="P930" t="n">
        <v>0</v>
      </c>
      <c r="Q930" t="n">
        <v>0</v>
      </c>
      <c r="R930" s="2" t="inlineStr"/>
    </row>
    <row r="931" ht="15" customHeight="1">
      <c r="A931" t="inlineStr">
        <is>
          <t>A 51925-2024</t>
        </is>
      </c>
      <c r="B931" s="1" t="n">
        <v>45607</v>
      </c>
      <c r="C931" s="1" t="n">
        <v>45781</v>
      </c>
      <c r="D931" t="inlineStr">
        <is>
          <t>JÄMTLANDS LÄN</t>
        </is>
      </c>
      <c r="E931" t="inlineStr">
        <is>
          <t>ÅRE</t>
        </is>
      </c>
      <c r="G931" t="n">
        <v>6.1</v>
      </c>
      <c r="H931" t="n">
        <v>0</v>
      </c>
      <c r="I931" t="n">
        <v>0</v>
      </c>
      <c r="J931" t="n">
        <v>0</v>
      </c>
      <c r="K931" t="n">
        <v>0</v>
      </c>
      <c r="L931" t="n">
        <v>0</v>
      </c>
      <c r="M931" t="n">
        <v>0</v>
      </c>
      <c r="N931" t="n">
        <v>0</v>
      </c>
      <c r="O931" t="n">
        <v>0</v>
      </c>
      <c r="P931" t="n">
        <v>0</v>
      </c>
      <c r="Q931" t="n">
        <v>0</v>
      </c>
      <c r="R931" s="2" t="inlineStr"/>
    </row>
    <row r="932" ht="15" customHeight="1">
      <c r="A932" t="inlineStr">
        <is>
          <t>A 51894-2024</t>
        </is>
      </c>
      <c r="B932" s="1" t="n">
        <v>45607</v>
      </c>
      <c r="C932" s="1" t="n">
        <v>45781</v>
      </c>
      <c r="D932" t="inlineStr">
        <is>
          <t>JÄMTLANDS LÄN</t>
        </is>
      </c>
      <c r="E932" t="inlineStr">
        <is>
          <t>ÅRE</t>
        </is>
      </c>
      <c r="G932" t="n">
        <v>6.8</v>
      </c>
      <c r="H932" t="n">
        <v>0</v>
      </c>
      <c r="I932" t="n">
        <v>0</v>
      </c>
      <c r="J932" t="n">
        <v>0</v>
      </c>
      <c r="K932" t="n">
        <v>0</v>
      </c>
      <c r="L932" t="n">
        <v>0</v>
      </c>
      <c r="M932" t="n">
        <v>0</v>
      </c>
      <c r="N932" t="n">
        <v>0</v>
      </c>
      <c r="O932" t="n">
        <v>0</v>
      </c>
      <c r="P932" t="n">
        <v>0</v>
      </c>
      <c r="Q932" t="n">
        <v>0</v>
      </c>
      <c r="R932" s="2" t="inlineStr"/>
    </row>
    <row r="933" ht="15" customHeight="1">
      <c r="A933" t="inlineStr">
        <is>
          <t>A 52677-2024</t>
        </is>
      </c>
      <c r="B933" s="1" t="n">
        <v>45610</v>
      </c>
      <c r="C933" s="1" t="n">
        <v>45781</v>
      </c>
      <c r="D933" t="inlineStr">
        <is>
          <t>JÄMTLANDS LÄN</t>
        </is>
      </c>
      <c r="E933" t="inlineStr">
        <is>
          <t>ÅRE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53500-2024</t>
        </is>
      </c>
      <c r="B934" s="1" t="n">
        <v>45614</v>
      </c>
      <c r="C934" s="1" t="n">
        <v>45781</v>
      </c>
      <c r="D934" t="inlineStr">
        <is>
          <t>JÄMTLANDS LÄN</t>
        </is>
      </c>
      <c r="E934" t="inlineStr">
        <is>
          <t>ÅRE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53611-2024</t>
        </is>
      </c>
      <c r="B935" s="1" t="n">
        <v>45614</v>
      </c>
      <c r="C935" s="1" t="n">
        <v>45781</v>
      </c>
      <c r="D935" t="inlineStr">
        <is>
          <t>JÄMTLANDS LÄN</t>
        </is>
      </c>
      <c r="E935" t="inlineStr">
        <is>
          <t>ÅRE</t>
        </is>
      </c>
      <c r="F935" t="inlineStr">
        <is>
          <t>Övriga Aktiebolag</t>
        </is>
      </c>
      <c r="G935" t="n">
        <v>2.2</v>
      </c>
      <c r="H935" t="n">
        <v>0</v>
      </c>
      <c r="I935" t="n">
        <v>0</v>
      </c>
      <c r="J935" t="n">
        <v>0</v>
      </c>
      <c r="K935" t="n">
        <v>0</v>
      </c>
      <c r="L935" t="n">
        <v>0</v>
      </c>
      <c r="M935" t="n">
        <v>0</v>
      </c>
      <c r="N935" t="n">
        <v>0</v>
      </c>
      <c r="O935" t="n">
        <v>0</v>
      </c>
      <c r="P935" t="n">
        <v>0</v>
      </c>
      <c r="Q935" t="n">
        <v>0</v>
      </c>
      <c r="R935" s="2" t="inlineStr"/>
    </row>
    <row r="936" ht="15" customHeight="1">
      <c r="A936" t="inlineStr">
        <is>
          <t>A 53308-2024</t>
        </is>
      </c>
      <c r="B936" s="1" t="n">
        <v>45614</v>
      </c>
      <c r="C936" s="1" t="n">
        <v>45781</v>
      </c>
      <c r="D936" t="inlineStr">
        <is>
          <t>JÄMTLANDS LÄN</t>
        </is>
      </c>
      <c r="E936" t="inlineStr">
        <is>
          <t>ÅRE</t>
        </is>
      </c>
      <c r="G936" t="n">
        <v>5</v>
      </c>
      <c r="H936" t="n">
        <v>0</v>
      </c>
      <c r="I936" t="n">
        <v>0</v>
      </c>
      <c r="J936" t="n">
        <v>0</v>
      </c>
      <c r="K936" t="n">
        <v>0</v>
      </c>
      <c r="L936" t="n">
        <v>0</v>
      </c>
      <c r="M936" t="n">
        <v>0</v>
      </c>
      <c r="N936" t="n">
        <v>0</v>
      </c>
      <c r="O936" t="n">
        <v>0</v>
      </c>
      <c r="P936" t="n">
        <v>0</v>
      </c>
      <c r="Q936" t="n">
        <v>0</v>
      </c>
      <c r="R936" s="2" t="inlineStr"/>
    </row>
    <row r="937" ht="15" customHeight="1">
      <c r="A937" t="inlineStr">
        <is>
          <t>A 54253-2024</t>
        </is>
      </c>
      <c r="B937" s="1" t="n">
        <v>45616</v>
      </c>
      <c r="C937" s="1" t="n">
        <v>45781</v>
      </c>
      <c r="D937" t="inlineStr">
        <is>
          <t>JÄMTLANDS LÄN</t>
        </is>
      </c>
      <c r="E937" t="inlineStr">
        <is>
          <t>ÅRE</t>
        </is>
      </c>
      <c r="G937" t="n">
        <v>1.8</v>
      </c>
      <c r="H937" t="n">
        <v>0</v>
      </c>
      <c r="I937" t="n">
        <v>0</v>
      </c>
      <c r="J937" t="n">
        <v>0</v>
      </c>
      <c r="K937" t="n">
        <v>0</v>
      </c>
      <c r="L937" t="n">
        <v>0</v>
      </c>
      <c r="M937" t="n">
        <v>0</v>
      </c>
      <c r="N937" t="n">
        <v>0</v>
      </c>
      <c r="O937" t="n">
        <v>0</v>
      </c>
      <c r="P937" t="n">
        <v>0</v>
      </c>
      <c r="Q937" t="n">
        <v>0</v>
      </c>
      <c r="R937" s="2" t="inlineStr"/>
    </row>
    <row r="938" ht="15" customHeight="1">
      <c r="A938" t="inlineStr">
        <is>
          <t>A 54179-2024</t>
        </is>
      </c>
      <c r="B938" s="1" t="n">
        <v>45616</v>
      </c>
      <c r="C938" s="1" t="n">
        <v>45781</v>
      </c>
      <c r="D938" t="inlineStr">
        <is>
          <t>JÄMTLANDS LÄN</t>
        </is>
      </c>
      <c r="E938" t="inlineStr">
        <is>
          <t>ÅRE</t>
        </is>
      </c>
      <c r="G938" t="n">
        <v>0.8</v>
      </c>
      <c r="H938" t="n">
        <v>0</v>
      </c>
      <c r="I938" t="n">
        <v>0</v>
      </c>
      <c r="J938" t="n">
        <v>0</v>
      </c>
      <c r="K938" t="n">
        <v>0</v>
      </c>
      <c r="L938" t="n">
        <v>0</v>
      </c>
      <c r="M938" t="n">
        <v>0</v>
      </c>
      <c r="N938" t="n">
        <v>0</v>
      </c>
      <c r="O938" t="n">
        <v>0</v>
      </c>
      <c r="P938" t="n">
        <v>0</v>
      </c>
      <c r="Q938" t="n">
        <v>0</v>
      </c>
      <c r="R938" s="2" t="inlineStr"/>
    </row>
    <row r="939" ht="15" customHeight="1">
      <c r="A939" t="inlineStr">
        <is>
          <t>A 54247-2024</t>
        </is>
      </c>
      <c r="B939" s="1" t="n">
        <v>45616</v>
      </c>
      <c r="C939" s="1" t="n">
        <v>45781</v>
      </c>
      <c r="D939" t="inlineStr">
        <is>
          <t>JÄMTLANDS LÄN</t>
        </is>
      </c>
      <c r="E939" t="inlineStr">
        <is>
          <t>ÅRE</t>
        </is>
      </c>
      <c r="G939" t="n">
        <v>0.5</v>
      </c>
      <c r="H939" t="n">
        <v>0</v>
      </c>
      <c r="I939" t="n">
        <v>0</v>
      </c>
      <c r="J939" t="n">
        <v>0</v>
      </c>
      <c r="K939" t="n">
        <v>0</v>
      </c>
      <c r="L939" t="n">
        <v>0</v>
      </c>
      <c r="M939" t="n">
        <v>0</v>
      </c>
      <c r="N939" t="n">
        <v>0</v>
      </c>
      <c r="O939" t="n">
        <v>0</v>
      </c>
      <c r="P939" t="n">
        <v>0</v>
      </c>
      <c r="Q939" t="n">
        <v>0</v>
      </c>
      <c r="R939" s="2" t="inlineStr"/>
    </row>
    <row r="940" ht="15" customHeight="1">
      <c r="A940" t="inlineStr">
        <is>
          <t>A 54182-2024</t>
        </is>
      </c>
      <c r="B940" s="1" t="n">
        <v>45616</v>
      </c>
      <c r="C940" s="1" t="n">
        <v>45781</v>
      </c>
      <c r="D940" t="inlineStr">
        <is>
          <t>JÄMTLANDS LÄN</t>
        </is>
      </c>
      <c r="E940" t="inlineStr">
        <is>
          <t>ÅRE</t>
        </is>
      </c>
      <c r="G940" t="n">
        <v>4.4</v>
      </c>
      <c r="H940" t="n">
        <v>0</v>
      </c>
      <c r="I940" t="n">
        <v>0</v>
      </c>
      <c r="J940" t="n">
        <v>0</v>
      </c>
      <c r="K940" t="n">
        <v>0</v>
      </c>
      <c r="L940" t="n">
        <v>0</v>
      </c>
      <c r="M940" t="n">
        <v>0</v>
      </c>
      <c r="N940" t="n">
        <v>0</v>
      </c>
      <c r="O940" t="n">
        <v>0</v>
      </c>
      <c r="P940" t="n">
        <v>0</v>
      </c>
      <c r="Q940" t="n">
        <v>0</v>
      </c>
      <c r="R940" s="2" t="inlineStr"/>
    </row>
    <row r="941" ht="15" customHeight="1">
      <c r="A941" t="inlineStr">
        <is>
          <t>A 54186-2024</t>
        </is>
      </c>
      <c r="B941" s="1" t="n">
        <v>45616</v>
      </c>
      <c r="C941" s="1" t="n">
        <v>45781</v>
      </c>
      <c r="D941" t="inlineStr">
        <is>
          <t>JÄMTLANDS LÄN</t>
        </is>
      </c>
      <c r="E941" t="inlineStr">
        <is>
          <t>ÅRE</t>
        </is>
      </c>
      <c r="G941" t="n">
        <v>2.9</v>
      </c>
      <c r="H941" t="n">
        <v>0</v>
      </c>
      <c r="I941" t="n">
        <v>0</v>
      </c>
      <c r="J941" t="n">
        <v>0</v>
      </c>
      <c r="K941" t="n">
        <v>0</v>
      </c>
      <c r="L941" t="n">
        <v>0</v>
      </c>
      <c r="M941" t="n">
        <v>0</v>
      </c>
      <c r="N941" t="n">
        <v>0</v>
      </c>
      <c r="O941" t="n">
        <v>0</v>
      </c>
      <c r="P941" t="n">
        <v>0</v>
      </c>
      <c r="Q941" t="n">
        <v>0</v>
      </c>
      <c r="R941" s="2" t="inlineStr"/>
    </row>
    <row r="942" ht="15" customHeight="1">
      <c r="A942" t="inlineStr">
        <is>
          <t>A 54226-2024</t>
        </is>
      </c>
      <c r="B942" s="1" t="n">
        <v>45616</v>
      </c>
      <c r="C942" s="1" t="n">
        <v>45781</v>
      </c>
      <c r="D942" t="inlineStr">
        <is>
          <t>JÄMTLANDS LÄN</t>
        </is>
      </c>
      <c r="E942" t="inlineStr">
        <is>
          <t>ÅRE</t>
        </is>
      </c>
      <c r="G942" t="n">
        <v>1.2</v>
      </c>
      <c r="H942" t="n">
        <v>0</v>
      </c>
      <c r="I942" t="n">
        <v>0</v>
      </c>
      <c r="J942" t="n">
        <v>0</v>
      </c>
      <c r="K942" t="n">
        <v>0</v>
      </c>
      <c r="L942" t="n">
        <v>0</v>
      </c>
      <c r="M942" t="n">
        <v>0</v>
      </c>
      <c r="N942" t="n">
        <v>0</v>
      </c>
      <c r="O942" t="n">
        <v>0</v>
      </c>
      <c r="P942" t="n">
        <v>0</v>
      </c>
      <c r="Q942" t="n">
        <v>0</v>
      </c>
      <c r="R942" s="2" t="inlineStr"/>
    </row>
    <row r="943" ht="15" customHeight="1">
      <c r="A943" t="inlineStr">
        <is>
          <t>A 54250-2024</t>
        </is>
      </c>
      <c r="B943" s="1" t="n">
        <v>45616</v>
      </c>
      <c r="C943" s="1" t="n">
        <v>45781</v>
      </c>
      <c r="D943" t="inlineStr">
        <is>
          <t>JÄMTLANDS LÄN</t>
        </is>
      </c>
      <c r="E943" t="inlineStr">
        <is>
          <t>ÅRE</t>
        </is>
      </c>
      <c r="G943" t="n">
        <v>2.8</v>
      </c>
      <c r="H943" t="n">
        <v>0</v>
      </c>
      <c r="I943" t="n">
        <v>0</v>
      </c>
      <c r="J943" t="n">
        <v>0</v>
      </c>
      <c r="K943" t="n">
        <v>0</v>
      </c>
      <c r="L943" t="n">
        <v>0</v>
      </c>
      <c r="M943" t="n">
        <v>0</v>
      </c>
      <c r="N943" t="n">
        <v>0</v>
      </c>
      <c r="O943" t="n">
        <v>0</v>
      </c>
      <c r="P943" t="n">
        <v>0</v>
      </c>
      <c r="Q943" t="n">
        <v>0</v>
      </c>
      <c r="R943" s="2" t="inlineStr"/>
    </row>
    <row r="944" ht="15" customHeight="1">
      <c r="A944" t="inlineStr">
        <is>
          <t>A 54180-2024</t>
        </is>
      </c>
      <c r="B944" s="1" t="n">
        <v>45616</v>
      </c>
      <c r="C944" s="1" t="n">
        <v>45781</v>
      </c>
      <c r="D944" t="inlineStr">
        <is>
          <t>JÄMTLANDS LÄN</t>
        </is>
      </c>
      <c r="E944" t="inlineStr">
        <is>
          <t>ÅRE</t>
        </is>
      </c>
      <c r="G944" t="n">
        <v>2.3</v>
      </c>
      <c r="H944" t="n">
        <v>0</v>
      </c>
      <c r="I944" t="n">
        <v>0</v>
      </c>
      <c r="J944" t="n">
        <v>0</v>
      </c>
      <c r="K944" t="n">
        <v>0</v>
      </c>
      <c r="L944" t="n">
        <v>0</v>
      </c>
      <c r="M944" t="n">
        <v>0</v>
      </c>
      <c r="N944" t="n">
        <v>0</v>
      </c>
      <c r="O944" t="n">
        <v>0</v>
      </c>
      <c r="P944" t="n">
        <v>0</v>
      </c>
      <c r="Q944" t="n">
        <v>0</v>
      </c>
      <c r="R944" s="2" t="inlineStr"/>
    </row>
    <row r="945" ht="15" customHeight="1">
      <c r="A945" t="inlineStr">
        <is>
          <t>A 54649-2024</t>
        </is>
      </c>
      <c r="B945" s="1" t="n">
        <v>45617</v>
      </c>
      <c r="C945" s="1" t="n">
        <v>45781</v>
      </c>
      <c r="D945" t="inlineStr">
        <is>
          <t>JÄMTLANDS LÄN</t>
        </is>
      </c>
      <c r="E945" t="inlineStr">
        <is>
          <t>ÅRE</t>
        </is>
      </c>
      <c r="G945" t="n">
        <v>0.9</v>
      </c>
      <c r="H945" t="n">
        <v>0</v>
      </c>
      <c r="I945" t="n">
        <v>0</v>
      </c>
      <c r="J945" t="n">
        <v>0</v>
      </c>
      <c r="K945" t="n">
        <v>0</v>
      </c>
      <c r="L945" t="n">
        <v>0</v>
      </c>
      <c r="M945" t="n">
        <v>0</v>
      </c>
      <c r="N945" t="n">
        <v>0</v>
      </c>
      <c r="O945" t="n">
        <v>0</v>
      </c>
      <c r="P945" t="n">
        <v>0</v>
      </c>
      <c r="Q945" t="n">
        <v>0</v>
      </c>
      <c r="R945" s="2" t="inlineStr"/>
    </row>
    <row r="946" ht="15" customHeight="1">
      <c r="A946" t="inlineStr">
        <is>
          <t>A 55056-2024</t>
        </is>
      </c>
      <c r="B946" s="1" t="n">
        <v>45621</v>
      </c>
      <c r="C946" s="1" t="n">
        <v>45781</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55033-2024</t>
        </is>
      </c>
      <c r="B947" s="1" t="n">
        <v>45621</v>
      </c>
      <c r="C947" s="1" t="n">
        <v>45781</v>
      </c>
      <c r="D947" t="inlineStr">
        <is>
          <t>JÄMTLANDS LÄN</t>
        </is>
      </c>
      <c r="E947" t="inlineStr">
        <is>
          <t>ÅRE</t>
        </is>
      </c>
      <c r="G947" t="n">
        <v>1.1</v>
      </c>
      <c r="H947" t="n">
        <v>0</v>
      </c>
      <c r="I947" t="n">
        <v>0</v>
      </c>
      <c r="J947" t="n">
        <v>0</v>
      </c>
      <c r="K947" t="n">
        <v>0</v>
      </c>
      <c r="L947" t="n">
        <v>0</v>
      </c>
      <c r="M947" t="n">
        <v>0</v>
      </c>
      <c r="N947" t="n">
        <v>0</v>
      </c>
      <c r="O947" t="n">
        <v>0</v>
      </c>
      <c r="P947" t="n">
        <v>0</v>
      </c>
      <c r="Q947" t="n">
        <v>0</v>
      </c>
      <c r="R947" s="2" t="inlineStr"/>
    </row>
    <row r="948" ht="15" customHeight="1">
      <c r="A948" t="inlineStr">
        <is>
          <t>A 56568-2024</t>
        </is>
      </c>
      <c r="B948" s="1" t="n">
        <v>45625</v>
      </c>
      <c r="C948" s="1" t="n">
        <v>45781</v>
      </c>
      <c r="D948" t="inlineStr">
        <is>
          <t>JÄMTLANDS LÄN</t>
        </is>
      </c>
      <c r="E948" t="inlineStr">
        <is>
          <t>ÅRE</t>
        </is>
      </c>
      <c r="G948" t="n">
        <v>3.4</v>
      </c>
      <c r="H948" t="n">
        <v>0</v>
      </c>
      <c r="I948" t="n">
        <v>0</v>
      </c>
      <c r="J948" t="n">
        <v>0</v>
      </c>
      <c r="K948" t="n">
        <v>0</v>
      </c>
      <c r="L948" t="n">
        <v>0</v>
      </c>
      <c r="M948" t="n">
        <v>0</v>
      </c>
      <c r="N948" t="n">
        <v>0</v>
      </c>
      <c r="O948" t="n">
        <v>0</v>
      </c>
      <c r="P948" t="n">
        <v>0</v>
      </c>
      <c r="Q948" t="n">
        <v>0</v>
      </c>
      <c r="R948" s="2" t="inlineStr"/>
    </row>
    <row r="949" ht="15" customHeight="1">
      <c r="A949" t="inlineStr">
        <is>
          <t>A 56575-2024</t>
        </is>
      </c>
      <c r="B949" s="1" t="n">
        <v>45625</v>
      </c>
      <c r="C949" s="1" t="n">
        <v>45781</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56607-2024</t>
        </is>
      </c>
      <c r="B950" s="1" t="n">
        <v>45625</v>
      </c>
      <c r="C950" s="1" t="n">
        <v>45781</v>
      </c>
      <c r="D950" t="inlineStr">
        <is>
          <t>JÄMTLANDS LÄN</t>
        </is>
      </c>
      <c r="E950" t="inlineStr">
        <is>
          <t>ÅRE</t>
        </is>
      </c>
      <c r="G950" t="n">
        <v>5.3</v>
      </c>
      <c r="H950" t="n">
        <v>0</v>
      </c>
      <c r="I950" t="n">
        <v>0</v>
      </c>
      <c r="J950" t="n">
        <v>0</v>
      </c>
      <c r="K950" t="n">
        <v>0</v>
      </c>
      <c r="L950" t="n">
        <v>0</v>
      </c>
      <c r="M950" t="n">
        <v>0</v>
      </c>
      <c r="N950" t="n">
        <v>0</v>
      </c>
      <c r="O950" t="n">
        <v>0</v>
      </c>
      <c r="P950" t="n">
        <v>0</v>
      </c>
      <c r="Q950" t="n">
        <v>0</v>
      </c>
      <c r="R950" s="2" t="inlineStr"/>
    </row>
    <row r="951" ht="15" customHeight="1">
      <c r="A951" t="inlineStr">
        <is>
          <t>A 57102-2024</t>
        </is>
      </c>
      <c r="B951" s="1" t="n">
        <v>45629</v>
      </c>
      <c r="C951" s="1" t="n">
        <v>45781</v>
      </c>
      <c r="D951" t="inlineStr">
        <is>
          <t>JÄMTLANDS LÄN</t>
        </is>
      </c>
      <c r="E951" t="inlineStr">
        <is>
          <t>ÅRE</t>
        </is>
      </c>
      <c r="G951" t="n">
        <v>3.3</v>
      </c>
      <c r="H951" t="n">
        <v>0</v>
      </c>
      <c r="I951" t="n">
        <v>0</v>
      </c>
      <c r="J951" t="n">
        <v>0</v>
      </c>
      <c r="K951" t="n">
        <v>0</v>
      </c>
      <c r="L951" t="n">
        <v>0</v>
      </c>
      <c r="M951" t="n">
        <v>0</v>
      </c>
      <c r="N951" t="n">
        <v>0</v>
      </c>
      <c r="O951" t="n">
        <v>0</v>
      </c>
      <c r="P951" t="n">
        <v>0</v>
      </c>
      <c r="Q951" t="n">
        <v>0</v>
      </c>
      <c r="R951" s="2" t="inlineStr"/>
    </row>
    <row r="952" ht="15" customHeight="1">
      <c r="A952" t="inlineStr">
        <is>
          <t>A 57143-2024</t>
        </is>
      </c>
      <c r="B952" s="1" t="n">
        <v>45629</v>
      </c>
      <c r="C952" s="1" t="n">
        <v>45781</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57125-2024</t>
        </is>
      </c>
      <c r="B953" s="1" t="n">
        <v>45629</v>
      </c>
      <c r="C953" s="1" t="n">
        <v>45781</v>
      </c>
      <c r="D953" t="inlineStr">
        <is>
          <t>JÄMTLANDS LÄN</t>
        </is>
      </c>
      <c r="E953" t="inlineStr">
        <is>
          <t>ÅRE</t>
        </is>
      </c>
      <c r="G953" t="n">
        <v>1.9</v>
      </c>
      <c r="H953" t="n">
        <v>0</v>
      </c>
      <c r="I953" t="n">
        <v>0</v>
      </c>
      <c r="J953" t="n">
        <v>0</v>
      </c>
      <c r="K953" t="n">
        <v>0</v>
      </c>
      <c r="L953" t="n">
        <v>0</v>
      </c>
      <c r="M953" t="n">
        <v>0</v>
      </c>
      <c r="N953" t="n">
        <v>0</v>
      </c>
      <c r="O953" t="n">
        <v>0</v>
      </c>
      <c r="P953" t="n">
        <v>0</v>
      </c>
      <c r="Q953" t="n">
        <v>0</v>
      </c>
      <c r="R953" s="2" t="inlineStr"/>
    </row>
    <row r="954" ht="15" customHeight="1">
      <c r="A954" t="inlineStr">
        <is>
          <t>A 57253-2024</t>
        </is>
      </c>
      <c r="B954" s="1" t="n">
        <v>45629</v>
      </c>
      <c r="C954" s="1" t="n">
        <v>45781</v>
      </c>
      <c r="D954" t="inlineStr">
        <is>
          <t>JÄMTLANDS LÄN</t>
        </is>
      </c>
      <c r="E954" t="inlineStr">
        <is>
          <t>ÅRE</t>
        </is>
      </c>
      <c r="G954" t="n">
        <v>2.7</v>
      </c>
      <c r="H954" t="n">
        <v>0</v>
      </c>
      <c r="I954" t="n">
        <v>0</v>
      </c>
      <c r="J954" t="n">
        <v>0</v>
      </c>
      <c r="K954" t="n">
        <v>0</v>
      </c>
      <c r="L954" t="n">
        <v>0</v>
      </c>
      <c r="M954" t="n">
        <v>0</v>
      </c>
      <c r="N954" t="n">
        <v>0</v>
      </c>
      <c r="O954" t="n">
        <v>0</v>
      </c>
      <c r="P954" t="n">
        <v>0</v>
      </c>
      <c r="Q954" t="n">
        <v>0</v>
      </c>
      <c r="R954" s="2" t="inlineStr"/>
    </row>
    <row r="955" ht="15" customHeight="1">
      <c r="A955" t="inlineStr">
        <is>
          <t>A 57260-2024</t>
        </is>
      </c>
      <c r="B955" s="1" t="n">
        <v>45629</v>
      </c>
      <c r="C955" s="1" t="n">
        <v>45781</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57283-2024</t>
        </is>
      </c>
      <c r="B956" s="1" t="n">
        <v>45629</v>
      </c>
      <c r="C956" s="1" t="n">
        <v>45781</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57814-2024</t>
        </is>
      </c>
      <c r="B957" s="1" t="n">
        <v>45631</v>
      </c>
      <c r="C957" s="1" t="n">
        <v>45781</v>
      </c>
      <c r="D957" t="inlineStr">
        <is>
          <t>JÄMTLANDS LÄN</t>
        </is>
      </c>
      <c r="E957" t="inlineStr">
        <is>
          <t>ÅRE</t>
        </is>
      </c>
      <c r="G957" t="n">
        <v>4.4</v>
      </c>
      <c r="H957" t="n">
        <v>0</v>
      </c>
      <c r="I957" t="n">
        <v>0</v>
      </c>
      <c r="J957" t="n">
        <v>0</v>
      </c>
      <c r="K957" t="n">
        <v>0</v>
      </c>
      <c r="L957" t="n">
        <v>0</v>
      </c>
      <c r="M957" t="n">
        <v>0</v>
      </c>
      <c r="N957" t="n">
        <v>0</v>
      </c>
      <c r="O957" t="n">
        <v>0</v>
      </c>
      <c r="P957" t="n">
        <v>0</v>
      </c>
      <c r="Q957" t="n">
        <v>0</v>
      </c>
      <c r="R957" s="2" t="inlineStr"/>
    </row>
    <row r="958" ht="15" customHeight="1">
      <c r="A958" t="inlineStr">
        <is>
          <t>A 57910-2024</t>
        </is>
      </c>
      <c r="B958" s="1" t="n">
        <v>45631</v>
      </c>
      <c r="C958" s="1" t="n">
        <v>45781</v>
      </c>
      <c r="D958" t="inlineStr">
        <is>
          <t>JÄMTLANDS LÄN</t>
        </is>
      </c>
      <c r="E958" t="inlineStr">
        <is>
          <t>ÅRE</t>
        </is>
      </c>
      <c r="G958" t="n">
        <v>10.3</v>
      </c>
      <c r="H958" t="n">
        <v>0</v>
      </c>
      <c r="I958" t="n">
        <v>0</v>
      </c>
      <c r="J958" t="n">
        <v>0</v>
      </c>
      <c r="K958" t="n">
        <v>0</v>
      </c>
      <c r="L958" t="n">
        <v>0</v>
      </c>
      <c r="M958" t="n">
        <v>0</v>
      </c>
      <c r="N958" t="n">
        <v>0</v>
      </c>
      <c r="O958" t="n">
        <v>0</v>
      </c>
      <c r="P958" t="n">
        <v>0</v>
      </c>
      <c r="Q958" t="n">
        <v>0</v>
      </c>
      <c r="R958" s="2" t="inlineStr"/>
    </row>
    <row r="959" ht="15" customHeight="1">
      <c r="A959" t="inlineStr">
        <is>
          <t>A 57864-2024</t>
        </is>
      </c>
      <c r="B959" s="1" t="n">
        <v>45631</v>
      </c>
      <c r="C959" s="1" t="n">
        <v>45781</v>
      </c>
      <c r="D959" t="inlineStr">
        <is>
          <t>JÄMTLANDS LÄN</t>
        </is>
      </c>
      <c r="E959" t="inlineStr">
        <is>
          <t>ÅRE</t>
        </is>
      </c>
      <c r="G959" t="n">
        <v>1.5</v>
      </c>
      <c r="H959" t="n">
        <v>0</v>
      </c>
      <c r="I959" t="n">
        <v>0</v>
      </c>
      <c r="J959" t="n">
        <v>0</v>
      </c>
      <c r="K959" t="n">
        <v>0</v>
      </c>
      <c r="L959" t="n">
        <v>0</v>
      </c>
      <c r="M959" t="n">
        <v>0</v>
      </c>
      <c r="N959" t="n">
        <v>0</v>
      </c>
      <c r="O959" t="n">
        <v>0</v>
      </c>
      <c r="P959" t="n">
        <v>0</v>
      </c>
      <c r="Q959" t="n">
        <v>0</v>
      </c>
      <c r="R959" s="2" t="inlineStr"/>
    </row>
    <row r="960" ht="15" customHeight="1">
      <c r="A960" t="inlineStr">
        <is>
          <t>A 58433-2024</t>
        </is>
      </c>
      <c r="B960" s="1" t="n">
        <v>45634</v>
      </c>
      <c r="C960" s="1" t="n">
        <v>45781</v>
      </c>
      <c r="D960" t="inlineStr">
        <is>
          <t>JÄMTLANDS LÄN</t>
        </is>
      </c>
      <c r="E960" t="inlineStr">
        <is>
          <t>ÅRE</t>
        </is>
      </c>
      <c r="G960" t="n">
        <v>2.2</v>
      </c>
      <c r="H960" t="n">
        <v>0</v>
      </c>
      <c r="I960" t="n">
        <v>0</v>
      </c>
      <c r="J960" t="n">
        <v>0</v>
      </c>
      <c r="K960" t="n">
        <v>0</v>
      </c>
      <c r="L960" t="n">
        <v>0</v>
      </c>
      <c r="M960" t="n">
        <v>0</v>
      </c>
      <c r="N960" t="n">
        <v>0</v>
      </c>
      <c r="O960" t="n">
        <v>0</v>
      </c>
      <c r="P960" t="n">
        <v>0</v>
      </c>
      <c r="Q960" t="n">
        <v>0</v>
      </c>
      <c r="R960" s="2" t="inlineStr"/>
    </row>
    <row r="961" ht="15" customHeight="1">
      <c r="A961" t="inlineStr">
        <is>
          <t>A 58431-2024</t>
        </is>
      </c>
      <c r="B961" s="1" t="n">
        <v>45634</v>
      </c>
      <c r="C961" s="1" t="n">
        <v>45781</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59325-2024</t>
        </is>
      </c>
      <c r="B962" s="1" t="n">
        <v>45636</v>
      </c>
      <c r="C962" s="1" t="n">
        <v>45781</v>
      </c>
      <c r="D962" t="inlineStr">
        <is>
          <t>JÄMTLANDS LÄN</t>
        </is>
      </c>
      <c r="E962" t="inlineStr">
        <is>
          <t>ÅRE</t>
        </is>
      </c>
      <c r="G962" t="n">
        <v>0.6</v>
      </c>
      <c r="H962" t="n">
        <v>0</v>
      </c>
      <c r="I962" t="n">
        <v>0</v>
      </c>
      <c r="J962" t="n">
        <v>0</v>
      </c>
      <c r="K962" t="n">
        <v>0</v>
      </c>
      <c r="L962" t="n">
        <v>0</v>
      </c>
      <c r="M962" t="n">
        <v>0</v>
      </c>
      <c r="N962" t="n">
        <v>0</v>
      </c>
      <c r="O962" t="n">
        <v>0</v>
      </c>
      <c r="P962" t="n">
        <v>0</v>
      </c>
      <c r="Q962" t="n">
        <v>0</v>
      </c>
      <c r="R962" s="2" t="inlineStr"/>
    </row>
    <row r="963" ht="15" customHeight="1">
      <c r="A963" t="inlineStr">
        <is>
          <t>A 59215-2024</t>
        </is>
      </c>
      <c r="B963" s="1" t="n">
        <v>45636</v>
      </c>
      <c r="C963" s="1" t="n">
        <v>45781</v>
      </c>
      <c r="D963" t="inlineStr">
        <is>
          <t>JÄMTLANDS LÄN</t>
        </is>
      </c>
      <c r="E963" t="inlineStr">
        <is>
          <t>ÅRE</t>
        </is>
      </c>
      <c r="G963" t="n">
        <v>0.8</v>
      </c>
      <c r="H963" t="n">
        <v>0</v>
      </c>
      <c r="I963" t="n">
        <v>0</v>
      </c>
      <c r="J963" t="n">
        <v>0</v>
      </c>
      <c r="K963" t="n">
        <v>0</v>
      </c>
      <c r="L963" t="n">
        <v>0</v>
      </c>
      <c r="M963" t="n">
        <v>0</v>
      </c>
      <c r="N963" t="n">
        <v>0</v>
      </c>
      <c r="O963" t="n">
        <v>0</v>
      </c>
      <c r="P963" t="n">
        <v>0</v>
      </c>
      <c r="Q963" t="n">
        <v>0</v>
      </c>
      <c r="R963" s="2" t="inlineStr"/>
    </row>
    <row r="964" ht="15" customHeight="1">
      <c r="A964" t="inlineStr">
        <is>
          <t>A 59784-2024</t>
        </is>
      </c>
      <c r="B964" s="1" t="n">
        <v>45639</v>
      </c>
      <c r="C964" s="1" t="n">
        <v>45781</v>
      </c>
      <c r="D964" t="inlineStr">
        <is>
          <t>JÄMTLANDS LÄN</t>
        </is>
      </c>
      <c r="E964" t="inlineStr">
        <is>
          <t>ÅRE</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60133-2024</t>
        </is>
      </c>
      <c r="B965" s="1" t="n">
        <v>45639</v>
      </c>
      <c r="C965" s="1" t="n">
        <v>45781</v>
      </c>
      <c r="D965" t="inlineStr">
        <is>
          <t>JÄMTLANDS LÄN</t>
        </is>
      </c>
      <c r="E965" t="inlineStr">
        <is>
          <t>ÅRE</t>
        </is>
      </c>
      <c r="G965" t="n">
        <v>6.1</v>
      </c>
      <c r="H965" t="n">
        <v>0</v>
      </c>
      <c r="I965" t="n">
        <v>0</v>
      </c>
      <c r="J965" t="n">
        <v>0</v>
      </c>
      <c r="K965" t="n">
        <v>0</v>
      </c>
      <c r="L965" t="n">
        <v>0</v>
      </c>
      <c r="M965" t="n">
        <v>0</v>
      </c>
      <c r="N965" t="n">
        <v>0</v>
      </c>
      <c r="O965" t="n">
        <v>0</v>
      </c>
      <c r="P965" t="n">
        <v>0</v>
      </c>
      <c r="Q965" t="n">
        <v>0</v>
      </c>
      <c r="R965" s="2" t="inlineStr"/>
    </row>
    <row r="966" ht="15" customHeight="1">
      <c r="A966" t="inlineStr">
        <is>
          <t>A 60137-2024</t>
        </is>
      </c>
      <c r="B966" s="1" t="n">
        <v>45639</v>
      </c>
      <c r="C966" s="1" t="n">
        <v>45781</v>
      </c>
      <c r="D966" t="inlineStr">
        <is>
          <t>JÄMTLANDS LÄN</t>
        </is>
      </c>
      <c r="E966" t="inlineStr">
        <is>
          <t>ÅRE</t>
        </is>
      </c>
      <c r="G966" t="n">
        <v>7</v>
      </c>
      <c r="H966" t="n">
        <v>0</v>
      </c>
      <c r="I966" t="n">
        <v>0</v>
      </c>
      <c r="J966" t="n">
        <v>0</v>
      </c>
      <c r="K966" t="n">
        <v>0</v>
      </c>
      <c r="L966" t="n">
        <v>0</v>
      </c>
      <c r="M966" t="n">
        <v>0</v>
      </c>
      <c r="N966" t="n">
        <v>0</v>
      </c>
      <c r="O966" t="n">
        <v>0</v>
      </c>
      <c r="P966" t="n">
        <v>0</v>
      </c>
      <c r="Q966" t="n">
        <v>0</v>
      </c>
      <c r="R966" s="2" t="inlineStr"/>
    </row>
    <row r="967" ht="15" customHeight="1">
      <c r="A967" t="inlineStr">
        <is>
          <t>A 61014-2024</t>
        </is>
      </c>
      <c r="B967" s="1" t="n">
        <v>45645</v>
      </c>
      <c r="C967" s="1" t="n">
        <v>45781</v>
      </c>
      <c r="D967" t="inlineStr">
        <is>
          <t>JÄMTLANDS LÄN</t>
        </is>
      </c>
      <c r="E967" t="inlineStr">
        <is>
          <t>ÅRE</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1112-2025</t>
        </is>
      </c>
      <c r="B968" s="1" t="n">
        <v>45666</v>
      </c>
      <c r="C968" s="1" t="n">
        <v>45781</v>
      </c>
      <c r="D968" t="inlineStr">
        <is>
          <t>JÄMTLANDS LÄN</t>
        </is>
      </c>
      <c r="E968" t="inlineStr">
        <is>
          <t>ÅRE</t>
        </is>
      </c>
      <c r="F968" t="inlineStr">
        <is>
          <t>Övriga Aktiebolag</t>
        </is>
      </c>
      <c r="G968" t="n">
        <v>17.7</v>
      </c>
      <c r="H968" t="n">
        <v>0</v>
      </c>
      <c r="I968" t="n">
        <v>0</v>
      </c>
      <c r="J968" t="n">
        <v>0</v>
      </c>
      <c r="K968" t="n">
        <v>0</v>
      </c>
      <c r="L968" t="n">
        <v>0</v>
      </c>
      <c r="M968" t="n">
        <v>0</v>
      </c>
      <c r="N968" t="n">
        <v>0</v>
      </c>
      <c r="O968" t="n">
        <v>0</v>
      </c>
      <c r="P968" t="n">
        <v>0</v>
      </c>
      <c r="Q968" t="n">
        <v>0</v>
      </c>
      <c r="R968" s="2" t="inlineStr"/>
    </row>
    <row r="969" ht="15" customHeight="1">
      <c r="A969" t="inlineStr">
        <is>
          <t>A 1541-2025</t>
        </is>
      </c>
      <c r="B969" s="1" t="n">
        <v>45670</v>
      </c>
      <c r="C969" s="1" t="n">
        <v>45781</v>
      </c>
      <c r="D969" t="inlineStr">
        <is>
          <t>JÄMTLANDS LÄN</t>
        </is>
      </c>
      <c r="E969" t="inlineStr">
        <is>
          <t>ÅRE</t>
        </is>
      </c>
      <c r="G969" t="n">
        <v>16.4</v>
      </c>
      <c r="H969" t="n">
        <v>0</v>
      </c>
      <c r="I969" t="n">
        <v>0</v>
      </c>
      <c r="J969" t="n">
        <v>0</v>
      </c>
      <c r="K969" t="n">
        <v>0</v>
      </c>
      <c r="L969" t="n">
        <v>0</v>
      </c>
      <c r="M969" t="n">
        <v>0</v>
      </c>
      <c r="N969" t="n">
        <v>0</v>
      </c>
      <c r="O969" t="n">
        <v>0</v>
      </c>
      <c r="P969" t="n">
        <v>0</v>
      </c>
      <c r="Q969" t="n">
        <v>0</v>
      </c>
      <c r="R969" s="2" t="inlineStr"/>
    </row>
    <row r="970" ht="15" customHeight="1">
      <c r="A970" t="inlineStr">
        <is>
          <t>A 1529-2025</t>
        </is>
      </c>
      <c r="B970" s="1" t="n">
        <v>45670</v>
      </c>
      <c r="C970" s="1" t="n">
        <v>45781</v>
      </c>
      <c r="D970" t="inlineStr">
        <is>
          <t>JÄMTLANDS LÄN</t>
        </is>
      </c>
      <c r="E970" t="inlineStr">
        <is>
          <t>ÅRE</t>
        </is>
      </c>
      <c r="G970" t="n">
        <v>13.3</v>
      </c>
      <c r="H970" t="n">
        <v>0</v>
      </c>
      <c r="I970" t="n">
        <v>0</v>
      </c>
      <c r="J970" t="n">
        <v>0</v>
      </c>
      <c r="K970" t="n">
        <v>0</v>
      </c>
      <c r="L970" t="n">
        <v>0</v>
      </c>
      <c r="M970" t="n">
        <v>0</v>
      </c>
      <c r="N970" t="n">
        <v>0</v>
      </c>
      <c r="O970" t="n">
        <v>0</v>
      </c>
      <c r="P970" t="n">
        <v>0</v>
      </c>
      <c r="Q970" t="n">
        <v>0</v>
      </c>
      <c r="R970" s="2" t="inlineStr"/>
    </row>
    <row r="971" ht="15" customHeight="1">
      <c r="A971" t="inlineStr">
        <is>
          <t>A 3521-2025</t>
        </is>
      </c>
      <c r="B971" s="1" t="n">
        <v>45680</v>
      </c>
      <c r="C971" s="1" t="n">
        <v>45781</v>
      </c>
      <c r="D971" t="inlineStr">
        <is>
          <t>JÄMTLANDS LÄN</t>
        </is>
      </c>
      <c r="E971" t="inlineStr">
        <is>
          <t>ÅRE</t>
        </is>
      </c>
      <c r="G971" t="n">
        <v>19.9</v>
      </c>
      <c r="H971" t="n">
        <v>0</v>
      </c>
      <c r="I971" t="n">
        <v>0</v>
      </c>
      <c r="J971" t="n">
        <v>0</v>
      </c>
      <c r="K971" t="n">
        <v>0</v>
      </c>
      <c r="L971" t="n">
        <v>0</v>
      </c>
      <c r="M971" t="n">
        <v>0</v>
      </c>
      <c r="N971" t="n">
        <v>0</v>
      </c>
      <c r="O971" t="n">
        <v>0</v>
      </c>
      <c r="P971" t="n">
        <v>0</v>
      </c>
      <c r="Q971" t="n">
        <v>0</v>
      </c>
      <c r="R971" s="2" t="inlineStr"/>
    </row>
    <row r="972" ht="15" customHeight="1">
      <c r="A972" t="inlineStr">
        <is>
          <t>A 4272-2025</t>
        </is>
      </c>
      <c r="B972" s="1" t="n">
        <v>45685</v>
      </c>
      <c r="C972" s="1" t="n">
        <v>45781</v>
      </c>
      <c r="D972" t="inlineStr">
        <is>
          <t>JÄMTLANDS LÄN</t>
        </is>
      </c>
      <c r="E972" t="inlineStr">
        <is>
          <t>ÅRE</t>
        </is>
      </c>
      <c r="F972" t="inlineStr">
        <is>
          <t>Övriga Aktiebolag</t>
        </is>
      </c>
      <c r="G972" t="n">
        <v>16.6</v>
      </c>
      <c r="H972" t="n">
        <v>0</v>
      </c>
      <c r="I972" t="n">
        <v>0</v>
      </c>
      <c r="J972" t="n">
        <v>0</v>
      </c>
      <c r="K972" t="n">
        <v>0</v>
      </c>
      <c r="L972" t="n">
        <v>0</v>
      </c>
      <c r="M972" t="n">
        <v>0</v>
      </c>
      <c r="N972" t="n">
        <v>0</v>
      </c>
      <c r="O972" t="n">
        <v>0</v>
      </c>
      <c r="P972" t="n">
        <v>0</v>
      </c>
      <c r="Q972" t="n">
        <v>0</v>
      </c>
      <c r="R972" s="2" t="inlineStr"/>
    </row>
    <row r="973" ht="15" customHeight="1">
      <c r="A973" t="inlineStr">
        <is>
          <t>A 4218-2025</t>
        </is>
      </c>
      <c r="B973" s="1" t="n">
        <v>45685</v>
      </c>
      <c r="C973" s="1" t="n">
        <v>45781</v>
      </c>
      <c r="D973" t="inlineStr">
        <is>
          <t>JÄMTLANDS LÄN</t>
        </is>
      </c>
      <c r="E973" t="inlineStr">
        <is>
          <t>ÅRE</t>
        </is>
      </c>
      <c r="F973" t="inlineStr">
        <is>
          <t>Övriga Aktiebolag</t>
        </is>
      </c>
      <c r="G973" t="n">
        <v>10.1</v>
      </c>
      <c r="H973" t="n">
        <v>0</v>
      </c>
      <c r="I973" t="n">
        <v>0</v>
      </c>
      <c r="J973" t="n">
        <v>0</v>
      </c>
      <c r="K973" t="n">
        <v>0</v>
      </c>
      <c r="L973" t="n">
        <v>0</v>
      </c>
      <c r="M973" t="n">
        <v>0</v>
      </c>
      <c r="N973" t="n">
        <v>0</v>
      </c>
      <c r="O973" t="n">
        <v>0</v>
      </c>
      <c r="P973" t="n">
        <v>0</v>
      </c>
      <c r="Q973" t="n">
        <v>0</v>
      </c>
      <c r="R973" s="2" t="inlineStr"/>
    </row>
    <row r="974" ht="15" customHeight="1">
      <c r="A974" t="inlineStr">
        <is>
          <t>A 4181-2025</t>
        </is>
      </c>
      <c r="B974" s="1" t="n">
        <v>45685</v>
      </c>
      <c r="C974" s="1" t="n">
        <v>45781</v>
      </c>
      <c r="D974" t="inlineStr">
        <is>
          <t>JÄMTLANDS LÄN</t>
        </is>
      </c>
      <c r="E974" t="inlineStr">
        <is>
          <t>ÅRE</t>
        </is>
      </c>
      <c r="F974" t="inlineStr">
        <is>
          <t>Övriga Aktiebolag</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4216-2025</t>
        </is>
      </c>
      <c r="B975" s="1" t="n">
        <v>45685</v>
      </c>
      <c r="C975" s="1" t="n">
        <v>45781</v>
      </c>
      <c r="D975" t="inlineStr">
        <is>
          <t>JÄMTLANDS LÄN</t>
        </is>
      </c>
      <c r="E975" t="inlineStr">
        <is>
          <t>ÅRE</t>
        </is>
      </c>
      <c r="F975" t="inlineStr">
        <is>
          <t>Övriga Aktiebolag</t>
        </is>
      </c>
      <c r="G975" t="n">
        <v>14.6</v>
      </c>
      <c r="H975" t="n">
        <v>0</v>
      </c>
      <c r="I975" t="n">
        <v>0</v>
      </c>
      <c r="J975" t="n">
        <v>0</v>
      </c>
      <c r="K975" t="n">
        <v>0</v>
      </c>
      <c r="L975" t="n">
        <v>0</v>
      </c>
      <c r="M975" t="n">
        <v>0</v>
      </c>
      <c r="N975" t="n">
        <v>0</v>
      </c>
      <c r="O975" t="n">
        <v>0</v>
      </c>
      <c r="P975" t="n">
        <v>0</v>
      </c>
      <c r="Q975" t="n">
        <v>0</v>
      </c>
      <c r="R975" s="2" t="inlineStr"/>
    </row>
    <row r="976" ht="15" customHeight="1">
      <c r="A976" t="inlineStr">
        <is>
          <t>A 4777-2025</t>
        </is>
      </c>
      <c r="B976" s="1" t="n">
        <v>45688</v>
      </c>
      <c r="C976" s="1" t="n">
        <v>45781</v>
      </c>
      <c r="D976" t="inlineStr">
        <is>
          <t>JÄMTLANDS LÄN</t>
        </is>
      </c>
      <c r="E976" t="inlineStr">
        <is>
          <t>ÅRE</t>
        </is>
      </c>
      <c r="G976" t="n">
        <v>0.7</v>
      </c>
      <c r="H976" t="n">
        <v>0</v>
      </c>
      <c r="I976" t="n">
        <v>0</v>
      </c>
      <c r="J976" t="n">
        <v>0</v>
      </c>
      <c r="K976" t="n">
        <v>0</v>
      </c>
      <c r="L976" t="n">
        <v>0</v>
      </c>
      <c r="M976" t="n">
        <v>0</v>
      </c>
      <c r="N976" t="n">
        <v>0</v>
      </c>
      <c r="O976" t="n">
        <v>0</v>
      </c>
      <c r="P976" t="n">
        <v>0</v>
      </c>
      <c r="Q976" t="n">
        <v>0</v>
      </c>
      <c r="R976" s="2" t="inlineStr"/>
    </row>
    <row r="977" ht="15" customHeight="1">
      <c r="A977" t="inlineStr">
        <is>
          <t>A 4938-2025</t>
        </is>
      </c>
      <c r="B977" s="1" t="n">
        <v>45688</v>
      </c>
      <c r="C977" s="1" t="n">
        <v>45781</v>
      </c>
      <c r="D977" t="inlineStr">
        <is>
          <t>JÄMTLANDS LÄN</t>
        </is>
      </c>
      <c r="E977" t="inlineStr">
        <is>
          <t>ÅRE</t>
        </is>
      </c>
      <c r="G977" t="n">
        <v>0.9</v>
      </c>
      <c r="H977" t="n">
        <v>0</v>
      </c>
      <c r="I977" t="n">
        <v>0</v>
      </c>
      <c r="J977" t="n">
        <v>0</v>
      </c>
      <c r="K977" t="n">
        <v>0</v>
      </c>
      <c r="L977" t="n">
        <v>0</v>
      </c>
      <c r="M977" t="n">
        <v>0</v>
      </c>
      <c r="N977" t="n">
        <v>0</v>
      </c>
      <c r="O977" t="n">
        <v>0</v>
      </c>
      <c r="P977" t="n">
        <v>0</v>
      </c>
      <c r="Q977" t="n">
        <v>0</v>
      </c>
      <c r="R977" s="2" t="inlineStr"/>
    </row>
    <row r="978" ht="15" customHeight="1">
      <c r="A978" t="inlineStr">
        <is>
          <t>A 4937-2025</t>
        </is>
      </c>
      <c r="B978" s="1" t="n">
        <v>45688</v>
      </c>
      <c r="C978" s="1" t="n">
        <v>45781</v>
      </c>
      <c r="D978" t="inlineStr">
        <is>
          <t>JÄMTLANDS LÄN</t>
        </is>
      </c>
      <c r="E978" t="inlineStr">
        <is>
          <t>ÅRE</t>
        </is>
      </c>
      <c r="G978" t="n">
        <v>1.8</v>
      </c>
      <c r="H978" t="n">
        <v>0</v>
      </c>
      <c r="I978" t="n">
        <v>0</v>
      </c>
      <c r="J978" t="n">
        <v>0</v>
      </c>
      <c r="K978" t="n">
        <v>0</v>
      </c>
      <c r="L978" t="n">
        <v>0</v>
      </c>
      <c r="M978" t="n">
        <v>0</v>
      </c>
      <c r="N978" t="n">
        <v>0</v>
      </c>
      <c r="O978" t="n">
        <v>0</v>
      </c>
      <c r="P978" t="n">
        <v>0</v>
      </c>
      <c r="Q978" t="n">
        <v>0</v>
      </c>
      <c r="R978" s="2" t="inlineStr"/>
    </row>
    <row r="979" ht="15" customHeight="1">
      <c r="A979" t="inlineStr">
        <is>
          <t>A 4978-2025</t>
        </is>
      </c>
      <c r="B979" s="1" t="n">
        <v>45690</v>
      </c>
      <c r="C979" s="1" t="n">
        <v>45781</v>
      </c>
      <c r="D979" t="inlineStr">
        <is>
          <t>JÄMTLANDS LÄN</t>
        </is>
      </c>
      <c r="E979" t="inlineStr">
        <is>
          <t>ÅRE</t>
        </is>
      </c>
      <c r="G979" t="n">
        <v>1.5</v>
      </c>
      <c r="H979" t="n">
        <v>0</v>
      </c>
      <c r="I979" t="n">
        <v>0</v>
      </c>
      <c r="J979" t="n">
        <v>0</v>
      </c>
      <c r="K979" t="n">
        <v>0</v>
      </c>
      <c r="L979" t="n">
        <v>0</v>
      </c>
      <c r="M979" t="n">
        <v>0</v>
      </c>
      <c r="N979" t="n">
        <v>0</v>
      </c>
      <c r="O979" t="n">
        <v>0</v>
      </c>
      <c r="P979" t="n">
        <v>0</v>
      </c>
      <c r="Q979" t="n">
        <v>0</v>
      </c>
      <c r="R979" s="2" t="inlineStr"/>
    </row>
    <row r="980" ht="15" customHeight="1">
      <c r="A980" t="inlineStr">
        <is>
          <t>A 5611-2025</t>
        </is>
      </c>
      <c r="B980" s="1" t="n">
        <v>45693</v>
      </c>
      <c r="C980" s="1" t="n">
        <v>45781</v>
      </c>
      <c r="D980" t="inlineStr">
        <is>
          <t>JÄMTLANDS LÄN</t>
        </is>
      </c>
      <c r="E980" t="inlineStr">
        <is>
          <t>ÅRE</t>
        </is>
      </c>
      <c r="G980" t="n">
        <v>2.9</v>
      </c>
      <c r="H980" t="n">
        <v>0</v>
      </c>
      <c r="I980" t="n">
        <v>0</v>
      </c>
      <c r="J980" t="n">
        <v>0</v>
      </c>
      <c r="K980" t="n">
        <v>0</v>
      </c>
      <c r="L980" t="n">
        <v>0</v>
      </c>
      <c r="M980" t="n">
        <v>0</v>
      </c>
      <c r="N980" t="n">
        <v>0</v>
      </c>
      <c r="O980" t="n">
        <v>0</v>
      </c>
      <c r="P980" t="n">
        <v>0</v>
      </c>
      <c r="Q980" t="n">
        <v>0</v>
      </c>
      <c r="R980" s="2" t="inlineStr"/>
    </row>
    <row r="981" ht="15" customHeight="1">
      <c r="A981" t="inlineStr">
        <is>
          <t>A 5610-2025</t>
        </is>
      </c>
      <c r="B981" s="1" t="n">
        <v>45693</v>
      </c>
      <c r="C981" s="1" t="n">
        <v>45781</v>
      </c>
      <c r="D981" t="inlineStr">
        <is>
          <t>JÄMTLANDS LÄN</t>
        </is>
      </c>
      <c r="E981" t="inlineStr">
        <is>
          <t>ÅRE</t>
        </is>
      </c>
      <c r="G981" t="n">
        <v>1.6</v>
      </c>
      <c r="H981" t="n">
        <v>0</v>
      </c>
      <c r="I981" t="n">
        <v>0</v>
      </c>
      <c r="J981" t="n">
        <v>0</v>
      </c>
      <c r="K981" t="n">
        <v>0</v>
      </c>
      <c r="L981" t="n">
        <v>0</v>
      </c>
      <c r="M981" t="n">
        <v>0</v>
      </c>
      <c r="N981" t="n">
        <v>0</v>
      </c>
      <c r="O981" t="n">
        <v>0</v>
      </c>
      <c r="P981" t="n">
        <v>0</v>
      </c>
      <c r="Q981" t="n">
        <v>0</v>
      </c>
      <c r="R981" s="2" t="inlineStr"/>
    </row>
    <row r="982" ht="15" customHeight="1">
      <c r="A982" t="inlineStr">
        <is>
          <t>A 6049-2025</t>
        </is>
      </c>
      <c r="B982" s="1" t="n">
        <v>45695</v>
      </c>
      <c r="C982" s="1" t="n">
        <v>45781</v>
      </c>
      <c r="D982" t="inlineStr">
        <is>
          <t>JÄMTLANDS LÄN</t>
        </is>
      </c>
      <c r="E982" t="inlineStr">
        <is>
          <t>ÅRE</t>
        </is>
      </c>
      <c r="G982" t="n">
        <v>58.3</v>
      </c>
      <c r="H982" t="n">
        <v>0</v>
      </c>
      <c r="I982" t="n">
        <v>0</v>
      </c>
      <c r="J982" t="n">
        <v>0</v>
      </c>
      <c r="K982" t="n">
        <v>0</v>
      </c>
      <c r="L982" t="n">
        <v>0</v>
      </c>
      <c r="M982" t="n">
        <v>0</v>
      </c>
      <c r="N982" t="n">
        <v>0</v>
      </c>
      <c r="O982" t="n">
        <v>0</v>
      </c>
      <c r="P982" t="n">
        <v>0</v>
      </c>
      <c r="Q982" t="n">
        <v>0</v>
      </c>
      <c r="R982" s="2" t="inlineStr"/>
    </row>
    <row r="983" ht="15" customHeight="1">
      <c r="A983" t="inlineStr">
        <is>
          <t>A 6358-2025</t>
        </is>
      </c>
      <c r="B983" s="1" t="n">
        <v>45699</v>
      </c>
      <c r="C983" s="1" t="n">
        <v>45781</v>
      </c>
      <c r="D983" t="inlineStr">
        <is>
          <t>JÄMTLANDS LÄN</t>
        </is>
      </c>
      <c r="E983" t="inlineStr">
        <is>
          <t>ÅRE</t>
        </is>
      </c>
      <c r="G983" t="n">
        <v>5.6</v>
      </c>
      <c r="H983" t="n">
        <v>0</v>
      </c>
      <c r="I983" t="n">
        <v>0</v>
      </c>
      <c r="J983" t="n">
        <v>0</v>
      </c>
      <c r="K983" t="n">
        <v>0</v>
      </c>
      <c r="L983" t="n">
        <v>0</v>
      </c>
      <c r="M983" t="n">
        <v>0</v>
      </c>
      <c r="N983" t="n">
        <v>0</v>
      </c>
      <c r="O983" t="n">
        <v>0</v>
      </c>
      <c r="P983" t="n">
        <v>0</v>
      </c>
      <c r="Q983" t="n">
        <v>0</v>
      </c>
      <c r="R983" s="2" t="inlineStr"/>
    </row>
    <row r="984" ht="15" customHeight="1">
      <c r="A984" t="inlineStr">
        <is>
          <t>A 7614-2025</t>
        </is>
      </c>
      <c r="B984" s="1" t="n">
        <v>45705</v>
      </c>
      <c r="C984" s="1" t="n">
        <v>45781</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7776-2025</t>
        </is>
      </c>
      <c r="B985" s="1" t="n">
        <v>45706</v>
      </c>
      <c r="C985" s="1" t="n">
        <v>45781</v>
      </c>
      <c r="D985" t="inlineStr">
        <is>
          <t>JÄMTLANDS LÄN</t>
        </is>
      </c>
      <c r="E985" t="inlineStr">
        <is>
          <t>ÅRE</t>
        </is>
      </c>
      <c r="G985" t="n">
        <v>0.8</v>
      </c>
      <c r="H985" t="n">
        <v>0</v>
      </c>
      <c r="I985" t="n">
        <v>0</v>
      </c>
      <c r="J985" t="n">
        <v>0</v>
      </c>
      <c r="K985" t="n">
        <v>0</v>
      </c>
      <c r="L985" t="n">
        <v>0</v>
      </c>
      <c r="M985" t="n">
        <v>0</v>
      </c>
      <c r="N985" t="n">
        <v>0</v>
      </c>
      <c r="O985" t="n">
        <v>0</v>
      </c>
      <c r="P985" t="n">
        <v>0</v>
      </c>
      <c r="Q985" t="n">
        <v>0</v>
      </c>
      <c r="R985" s="2" t="inlineStr"/>
    </row>
    <row r="986" ht="15" customHeight="1">
      <c r="A986" t="inlineStr">
        <is>
          <t>A 8788-2025</t>
        </is>
      </c>
      <c r="B986" s="1" t="n">
        <v>45712</v>
      </c>
      <c r="C986" s="1" t="n">
        <v>45781</v>
      </c>
      <c r="D986" t="inlineStr">
        <is>
          <t>JÄMTLANDS LÄN</t>
        </is>
      </c>
      <c r="E986" t="inlineStr">
        <is>
          <t>ÅRE</t>
        </is>
      </c>
      <c r="G986" t="n">
        <v>2.7</v>
      </c>
      <c r="H986" t="n">
        <v>0</v>
      </c>
      <c r="I986" t="n">
        <v>0</v>
      </c>
      <c r="J986" t="n">
        <v>0</v>
      </c>
      <c r="K986" t="n">
        <v>0</v>
      </c>
      <c r="L986" t="n">
        <v>0</v>
      </c>
      <c r="M986" t="n">
        <v>0</v>
      </c>
      <c r="N986" t="n">
        <v>0</v>
      </c>
      <c r="O986" t="n">
        <v>0</v>
      </c>
      <c r="P986" t="n">
        <v>0</v>
      </c>
      <c r="Q986" t="n">
        <v>0</v>
      </c>
      <c r="R986" s="2" t="inlineStr"/>
    </row>
    <row r="987" ht="15" customHeight="1">
      <c r="A987" t="inlineStr">
        <is>
          <t>A 8798-2025</t>
        </is>
      </c>
      <c r="B987" s="1" t="n">
        <v>45712</v>
      </c>
      <c r="C987" s="1" t="n">
        <v>45781</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9126-2025</t>
        </is>
      </c>
      <c r="B988" s="1" t="n">
        <v>45713</v>
      </c>
      <c r="C988" s="1" t="n">
        <v>45781</v>
      </c>
      <c r="D988" t="inlineStr">
        <is>
          <t>JÄMTLANDS LÄN</t>
        </is>
      </c>
      <c r="E988" t="inlineStr">
        <is>
          <t>ÅRE</t>
        </is>
      </c>
      <c r="G988" t="n">
        <v>2</v>
      </c>
      <c r="H988" t="n">
        <v>0</v>
      </c>
      <c r="I988" t="n">
        <v>0</v>
      </c>
      <c r="J988" t="n">
        <v>0</v>
      </c>
      <c r="K988" t="n">
        <v>0</v>
      </c>
      <c r="L988" t="n">
        <v>0</v>
      </c>
      <c r="M988" t="n">
        <v>0</v>
      </c>
      <c r="N988" t="n">
        <v>0</v>
      </c>
      <c r="O988" t="n">
        <v>0</v>
      </c>
      <c r="P988" t="n">
        <v>0</v>
      </c>
      <c r="Q988" t="n">
        <v>0</v>
      </c>
      <c r="R988" s="2" t="inlineStr"/>
    </row>
    <row r="989" ht="15" customHeight="1">
      <c r="A989" t="inlineStr">
        <is>
          <t>A 9312-2025</t>
        </is>
      </c>
      <c r="B989" s="1" t="n">
        <v>45714</v>
      </c>
      <c r="C989" s="1" t="n">
        <v>45781</v>
      </c>
      <c r="D989" t="inlineStr">
        <is>
          <t>JÄMTLANDS LÄN</t>
        </is>
      </c>
      <c r="E989" t="inlineStr">
        <is>
          <t>ÅRE</t>
        </is>
      </c>
      <c r="G989" t="n">
        <v>1.2</v>
      </c>
      <c r="H989" t="n">
        <v>0</v>
      </c>
      <c r="I989" t="n">
        <v>0</v>
      </c>
      <c r="J989" t="n">
        <v>0</v>
      </c>
      <c r="K989" t="n">
        <v>0</v>
      </c>
      <c r="L989" t="n">
        <v>0</v>
      </c>
      <c r="M989" t="n">
        <v>0</v>
      </c>
      <c r="N989" t="n">
        <v>0</v>
      </c>
      <c r="O989" t="n">
        <v>0</v>
      </c>
      <c r="P989" t="n">
        <v>0</v>
      </c>
      <c r="Q989" t="n">
        <v>0</v>
      </c>
      <c r="R989" s="2" t="inlineStr"/>
    </row>
    <row r="990" ht="15" customHeight="1">
      <c r="A990" t="inlineStr">
        <is>
          <t>A 12177-2025</t>
        </is>
      </c>
      <c r="B990" s="1" t="n">
        <v>45729</v>
      </c>
      <c r="C990" s="1" t="n">
        <v>45781</v>
      </c>
      <c r="D990" t="inlineStr">
        <is>
          <t>JÄMTLANDS LÄN</t>
        </is>
      </c>
      <c r="E990" t="inlineStr">
        <is>
          <t>ÅRE</t>
        </is>
      </c>
      <c r="F990" t="inlineStr">
        <is>
          <t>Övriga Aktiebolag</t>
        </is>
      </c>
      <c r="G990" t="n">
        <v>13.2</v>
      </c>
      <c r="H990" t="n">
        <v>0</v>
      </c>
      <c r="I990" t="n">
        <v>0</v>
      </c>
      <c r="J990" t="n">
        <v>0</v>
      </c>
      <c r="K990" t="n">
        <v>0</v>
      </c>
      <c r="L990" t="n">
        <v>0</v>
      </c>
      <c r="M990" t="n">
        <v>0</v>
      </c>
      <c r="N990" t="n">
        <v>0</v>
      </c>
      <c r="O990" t="n">
        <v>0</v>
      </c>
      <c r="P990" t="n">
        <v>0</v>
      </c>
      <c r="Q990" t="n">
        <v>0</v>
      </c>
      <c r="R990" s="2" t="inlineStr"/>
    </row>
    <row r="991" ht="15" customHeight="1">
      <c r="A991" t="inlineStr">
        <is>
          <t>A 13082-2025</t>
        </is>
      </c>
      <c r="B991" s="1" t="n">
        <v>45734</v>
      </c>
      <c r="C991" s="1" t="n">
        <v>45781</v>
      </c>
      <c r="D991" t="inlineStr">
        <is>
          <t>JÄMTLANDS LÄN</t>
        </is>
      </c>
      <c r="E991" t="inlineStr">
        <is>
          <t>ÅRE</t>
        </is>
      </c>
      <c r="G991" t="n">
        <v>3.5</v>
      </c>
      <c r="H991" t="n">
        <v>0</v>
      </c>
      <c r="I991" t="n">
        <v>0</v>
      </c>
      <c r="J991" t="n">
        <v>0</v>
      </c>
      <c r="K991" t="n">
        <v>0</v>
      </c>
      <c r="L991" t="n">
        <v>0</v>
      </c>
      <c r="M991" t="n">
        <v>0</v>
      </c>
      <c r="N991" t="n">
        <v>0</v>
      </c>
      <c r="O991" t="n">
        <v>0</v>
      </c>
      <c r="P991" t="n">
        <v>0</v>
      </c>
      <c r="Q991" t="n">
        <v>0</v>
      </c>
      <c r="R991" s="2" t="inlineStr"/>
    </row>
    <row r="992" ht="15" customHeight="1">
      <c r="A992" t="inlineStr">
        <is>
          <t>A 13559-2025</t>
        </is>
      </c>
      <c r="B992" s="1" t="n">
        <v>45736</v>
      </c>
      <c r="C992" s="1" t="n">
        <v>45781</v>
      </c>
      <c r="D992" t="inlineStr">
        <is>
          <t>JÄMTLANDS LÄN</t>
        </is>
      </c>
      <c r="E992" t="inlineStr">
        <is>
          <t>ÅRE</t>
        </is>
      </c>
      <c r="F992" t="inlineStr">
        <is>
          <t>Övriga statliga verk och myndigheter</t>
        </is>
      </c>
      <c r="G992" t="n">
        <v>0.4</v>
      </c>
      <c r="H992" t="n">
        <v>0</v>
      </c>
      <c r="I992" t="n">
        <v>0</v>
      </c>
      <c r="J992" t="n">
        <v>0</v>
      </c>
      <c r="K992" t="n">
        <v>0</v>
      </c>
      <c r="L992" t="n">
        <v>0</v>
      </c>
      <c r="M992" t="n">
        <v>0</v>
      </c>
      <c r="N992" t="n">
        <v>0</v>
      </c>
      <c r="O992" t="n">
        <v>0</v>
      </c>
      <c r="P992" t="n">
        <v>0</v>
      </c>
      <c r="Q992" t="n">
        <v>0</v>
      </c>
      <c r="R992" s="2" t="inlineStr"/>
    </row>
    <row r="993" ht="15" customHeight="1">
      <c r="A993" t="inlineStr">
        <is>
          <t>A 13561-2025</t>
        </is>
      </c>
      <c r="B993" s="1" t="n">
        <v>45736</v>
      </c>
      <c r="C993" s="1" t="n">
        <v>45781</v>
      </c>
      <c r="D993" t="inlineStr">
        <is>
          <t>JÄMTLANDS LÄN</t>
        </is>
      </c>
      <c r="E993" t="inlineStr">
        <is>
          <t>ÅRE</t>
        </is>
      </c>
      <c r="F993" t="inlineStr">
        <is>
          <t>Övriga statliga verk och myndigheter</t>
        </is>
      </c>
      <c r="G993" t="n">
        <v>3.8</v>
      </c>
      <c r="H993" t="n">
        <v>0</v>
      </c>
      <c r="I993" t="n">
        <v>0</v>
      </c>
      <c r="J993" t="n">
        <v>0</v>
      </c>
      <c r="K993" t="n">
        <v>0</v>
      </c>
      <c r="L993" t="n">
        <v>0</v>
      </c>
      <c r="M993" t="n">
        <v>0</v>
      </c>
      <c r="N993" t="n">
        <v>0</v>
      </c>
      <c r="O993" t="n">
        <v>0</v>
      </c>
      <c r="P993" t="n">
        <v>0</v>
      </c>
      <c r="Q993" t="n">
        <v>0</v>
      </c>
      <c r="R993" s="2" t="inlineStr"/>
    </row>
    <row r="994" ht="15" customHeight="1">
      <c r="A994" t="inlineStr">
        <is>
          <t>A 14283-2025</t>
        </is>
      </c>
      <c r="B994" s="1" t="n">
        <v>45740</v>
      </c>
      <c r="C994" s="1" t="n">
        <v>45781</v>
      </c>
      <c r="D994" t="inlineStr">
        <is>
          <t>JÄMTLANDS LÄN</t>
        </is>
      </c>
      <c r="E994" t="inlineStr">
        <is>
          <t>ÅRE</t>
        </is>
      </c>
      <c r="G994" t="n">
        <v>4.6</v>
      </c>
      <c r="H994" t="n">
        <v>0</v>
      </c>
      <c r="I994" t="n">
        <v>0</v>
      </c>
      <c r="J994" t="n">
        <v>0</v>
      </c>
      <c r="K994" t="n">
        <v>0</v>
      </c>
      <c r="L994" t="n">
        <v>0</v>
      </c>
      <c r="M994" t="n">
        <v>0</v>
      </c>
      <c r="N994" t="n">
        <v>0</v>
      </c>
      <c r="O994" t="n">
        <v>0</v>
      </c>
      <c r="P994" t="n">
        <v>0</v>
      </c>
      <c r="Q994" t="n">
        <v>0</v>
      </c>
      <c r="R994" s="2" t="inlineStr"/>
    </row>
    <row r="995" ht="15" customHeight="1">
      <c r="A995" t="inlineStr">
        <is>
          <t>A 15692-2025</t>
        </is>
      </c>
      <c r="B995" s="1" t="n">
        <v>45748</v>
      </c>
      <c r="C995" s="1" t="n">
        <v>45781</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15889-2025</t>
        </is>
      </c>
      <c r="B996" s="1" t="n">
        <v>45749</v>
      </c>
      <c r="C996" s="1" t="n">
        <v>45781</v>
      </c>
      <c r="D996" t="inlineStr">
        <is>
          <t>JÄMTLANDS LÄN</t>
        </is>
      </c>
      <c r="E996" t="inlineStr">
        <is>
          <t>ÅRE</t>
        </is>
      </c>
      <c r="G996" t="n">
        <v>1.4</v>
      </c>
      <c r="H996" t="n">
        <v>0</v>
      </c>
      <c r="I996" t="n">
        <v>0</v>
      </c>
      <c r="J996" t="n">
        <v>0</v>
      </c>
      <c r="K996" t="n">
        <v>0</v>
      </c>
      <c r="L996" t="n">
        <v>0</v>
      </c>
      <c r="M996" t="n">
        <v>0</v>
      </c>
      <c r="N996" t="n">
        <v>0</v>
      </c>
      <c r="O996" t="n">
        <v>0</v>
      </c>
      <c r="P996" t="n">
        <v>0</v>
      </c>
      <c r="Q996" t="n">
        <v>0</v>
      </c>
      <c r="R996" s="2" t="inlineStr"/>
    </row>
    <row r="997" ht="15" customHeight="1">
      <c r="A997" t="inlineStr">
        <is>
          <t>A 15905-2025</t>
        </is>
      </c>
      <c r="B997" s="1" t="n">
        <v>45749</v>
      </c>
      <c r="C997" s="1" t="n">
        <v>45781</v>
      </c>
      <c r="D997" t="inlineStr">
        <is>
          <t>JÄMTLANDS LÄN</t>
        </is>
      </c>
      <c r="E997" t="inlineStr">
        <is>
          <t>ÅRE</t>
        </is>
      </c>
      <c r="G997" t="n">
        <v>42.2</v>
      </c>
      <c r="H997" t="n">
        <v>0</v>
      </c>
      <c r="I997" t="n">
        <v>0</v>
      </c>
      <c r="J997" t="n">
        <v>0</v>
      </c>
      <c r="K997" t="n">
        <v>0</v>
      </c>
      <c r="L997" t="n">
        <v>0</v>
      </c>
      <c r="M997" t="n">
        <v>0</v>
      </c>
      <c r="N997" t="n">
        <v>0</v>
      </c>
      <c r="O997" t="n">
        <v>0</v>
      </c>
      <c r="P997" t="n">
        <v>0</v>
      </c>
      <c r="Q997" t="n">
        <v>0</v>
      </c>
      <c r="R997" s="2" t="inlineStr"/>
    </row>
    <row r="998" ht="15" customHeight="1">
      <c r="A998" t="inlineStr">
        <is>
          <t>A 15909-2025</t>
        </is>
      </c>
      <c r="B998" s="1" t="n">
        <v>45749</v>
      </c>
      <c r="C998" s="1" t="n">
        <v>45781</v>
      </c>
      <c r="D998" t="inlineStr">
        <is>
          <t>JÄMTLANDS LÄN</t>
        </is>
      </c>
      <c r="E998" t="inlineStr">
        <is>
          <t>ÅRE</t>
        </is>
      </c>
      <c r="G998" t="n">
        <v>23.8</v>
      </c>
      <c r="H998" t="n">
        <v>0</v>
      </c>
      <c r="I998" t="n">
        <v>0</v>
      </c>
      <c r="J998" t="n">
        <v>0</v>
      </c>
      <c r="K998" t="n">
        <v>0</v>
      </c>
      <c r="L998" t="n">
        <v>0</v>
      </c>
      <c r="M998" t="n">
        <v>0</v>
      </c>
      <c r="N998" t="n">
        <v>0</v>
      </c>
      <c r="O998" t="n">
        <v>0</v>
      </c>
      <c r="P998" t="n">
        <v>0</v>
      </c>
      <c r="Q998" t="n">
        <v>0</v>
      </c>
      <c r="R998" s="2" t="inlineStr"/>
    </row>
    <row r="999" ht="15" customHeight="1">
      <c r="A999" t="inlineStr">
        <is>
          <t>A 16667-2025</t>
        </is>
      </c>
      <c r="B999" s="1" t="n">
        <v>45754</v>
      </c>
      <c r="C999" s="1" t="n">
        <v>45781</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row r="1000" ht="15" customHeight="1">
      <c r="A1000" t="inlineStr">
        <is>
          <t>A 16681-2025</t>
        </is>
      </c>
      <c r="B1000" s="1" t="n">
        <v>45754</v>
      </c>
      <c r="C1000" s="1" t="n">
        <v>45781</v>
      </c>
      <c r="D1000" t="inlineStr">
        <is>
          <t>JÄMTLANDS LÄN</t>
        </is>
      </c>
      <c r="E1000" t="inlineStr">
        <is>
          <t>ÅRE</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17095-2025</t>
        </is>
      </c>
      <c r="B1001" s="1" t="n">
        <v>45755</v>
      </c>
      <c r="C1001" s="1" t="n">
        <v>45781</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17751-2025</t>
        </is>
      </c>
      <c r="B1002" s="1" t="n">
        <v>45758</v>
      </c>
      <c r="C1002" s="1" t="n">
        <v>45781</v>
      </c>
      <c r="D1002" t="inlineStr">
        <is>
          <t>JÄMTLANDS LÄN</t>
        </is>
      </c>
      <c r="E1002" t="inlineStr">
        <is>
          <t>ÅRE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18472-2025</t>
        </is>
      </c>
      <c r="B1003" s="1" t="n">
        <v>45762</v>
      </c>
      <c r="C1003" s="1" t="n">
        <v>45781</v>
      </c>
      <c r="D1003" t="inlineStr">
        <is>
          <t>JÄMTLANDS LÄN</t>
        </is>
      </c>
      <c r="E1003" t="inlineStr">
        <is>
          <t>ÅRE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19925-2025</t>
        </is>
      </c>
      <c r="B1004" s="1" t="n">
        <v>45771</v>
      </c>
      <c r="C1004" s="1" t="n">
        <v>45781</v>
      </c>
      <c r="D1004" t="inlineStr">
        <is>
          <t>JÄMTLANDS LÄN</t>
        </is>
      </c>
      <c r="E1004" t="inlineStr">
        <is>
          <t>ÅRE</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19800-2025</t>
        </is>
      </c>
      <c r="B1005" s="1" t="n">
        <v>45771</v>
      </c>
      <c r="C1005" s="1" t="n">
        <v>45781</v>
      </c>
      <c r="D1005" t="inlineStr">
        <is>
          <t>JÄMTLANDS LÄN</t>
        </is>
      </c>
      <c r="E1005" t="inlineStr">
        <is>
          <t>ÅRE</t>
        </is>
      </c>
      <c r="F1005" t="inlineStr">
        <is>
          <t>Övriga Aktiebolag</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19879-2025</t>
        </is>
      </c>
      <c r="B1006" s="1" t="n">
        <v>45771</v>
      </c>
      <c r="C1006" s="1" t="n">
        <v>45781</v>
      </c>
      <c r="D1006" t="inlineStr">
        <is>
          <t>JÄMTLANDS LÄN</t>
        </is>
      </c>
      <c r="E1006" t="inlineStr">
        <is>
          <t>ÅRE</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20160-2025</t>
        </is>
      </c>
      <c r="B1007" s="1" t="n">
        <v>45772</v>
      </c>
      <c r="C1007" s="1" t="n">
        <v>45781</v>
      </c>
      <c r="D1007" t="inlineStr">
        <is>
          <t>JÄMTLANDS LÄN</t>
        </is>
      </c>
      <c r="E1007" t="inlineStr">
        <is>
          <t>ÅRE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20170-2025</t>
        </is>
      </c>
      <c r="B1008" s="1" t="n">
        <v>45772</v>
      </c>
      <c r="C1008" s="1" t="n">
        <v>45781</v>
      </c>
      <c r="D1008" t="inlineStr">
        <is>
          <t>JÄMTLANDS LÄN</t>
        </is>
      </c>
      <c r="E1008" t="inlineStr">
        <is>
          <t>ÅRE</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20442-2025</t>
        </is>
      </c>
      <c r="B1009" s="1" t="n">
        <v>45775</v>
      </c>
      <c r="C1009" s="1" t="n">
        <v>45781</v>
      </c>
      <c r="D1009" t="inlineStr">
        <is>
          <t>JÄMTLANDS LÄN</t>
        </is>
      </c>
      <c r="E1009" t="inlineStr">
        <is>
          <t>ÅRE</t>
        </is>
      </c>
      <c r="G1009" t="n">
        <v>25.1</v>
      </c>
      <c r="H1009" t="n">
        <v>0</v>
      </c>
      <c r="I1009" t="n">
        <v>0</v>
      </c>
      <c r="J1009" t="n">
        <v>0</v>
      </c>
      <c r="K1009" t="n">
        <v>0</v>
      </c>
      <c r="L1009" t="n">
        <v>0</v>
      </c>
      <c r="M1009" t="n">
        <v>0</v>
      </c>
      <c r="N1009" t="n">
        <v>0</v>
      </c>
      <c r="O1009" t="n">
        <v>0</v>
      </c>
      <c r="P1009" t="n">
        <v>0</v>
      </c>
      <c r="Q1009" t="n">
        <v>0</v>
      </c>
      <c r="R1009" s="2" t="inlineStr"/>
    </row>
    <row r="1010" ht="15" customHeight="1">
      <c r="A1010" t="inlineStr">
        <is>
          <t>A 21167-2025</t>
        </is>
      </c>
      <c r="B1010" s="1" t="n">
        <v>45779</v>
      </c>
      <c r="C1010" s="1" t="n">
        <v>45781</v>
      </c>
      <c r="D1010" t="inlineStr">
        <is>
          <t>JÄMTLANDS LÄN</t>
        </is>
      </c>
      <c r="E1010" t="inlineStr">
        <is>
          <t>ÅRE</t>
        </is>
      </c>
      <c r="G1010" t="n">
        <v>0.4</v>
      </c>
      <c r="H1010" t="n">
        <v>0</v>
      </c>
      <c r="I1010" t="n">
        <v>0</v>
      </c>
      <c r="J1010" t="n">
        <v>0</v>
      </c>
      <c r="K1010" t="n">
        <v>0</v>
      </c>
      <c r="L1010" t="n">
        <v>0</v>
      </c>
      <c r="M1010" t="n">
        <v>0</v>
      </c>
      <c r="N1010" t="n">
        <v>0</v>
      </c>
      <c r="O1010" t="n">
        <v>0</v>
      </c>
      <c r="P1010" t="n">
        <v>0</v>
      </c>
      <c r="Q1010" t="n">
        <v>0</v>
      </c>
      <c r="R1010" s="2" t="inlineStr"/>
    </row>
    <row r="1011">
      <c r="A1011" t="inlineStr">
        <is>
          <t>A 21181-2025</t>
        </is>
      </c>
      <c r="B1011" s="1" t="n">
        <v>45779</v>
      </c>
      <c r="C1011" s="1" t="n">
        <v>45781</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2025-05-04T21:28:05Z</dcterms:created>
  <dcterms:modified xmlns:dcterms="http://purl.org/dc/terms/" xmlns:xsi="http://www.w3.org/2001/XMLSchema-instance" xsi:type="dcterms:W3CDTF">2025-05-04T21:28:06Z</dcterms:modified>
</cp:coreProperties>
</file>