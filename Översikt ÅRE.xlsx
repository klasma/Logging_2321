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45822</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45822</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45822</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45822</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45822</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45822</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45822</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45822</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45822</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45822</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45822</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45822</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45822</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45822</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45822</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45822</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45822</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45822</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45822</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45822</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45822</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45822</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45822</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45822</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45822</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45822</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45822</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45822</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45822</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45822</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45822</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45822</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45822</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45822</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45822</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45822</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45822</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45822</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45822</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45822</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45822</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45822</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45822</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45822</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45822</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45822</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45822</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45822</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45822</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45822</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45822</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45822</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45822</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45822</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45822</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45822</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45822</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45822</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45822</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45822</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45822</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45822</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45822</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45822</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45822</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45822</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45822</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45822</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45822</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45822</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45822</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45822</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45822</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45822</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45822</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45822</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45822</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45822</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45822</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45822</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45822</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45822</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45822</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45822</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45822</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45822</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45822</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45822</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45822</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45822</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45822</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24163-2019</t>
        </is>
      </c>
      <c r="B114" s="1" t="n">
        <v>43598</v>
      </c>
      <c r="C114" s="1" t="n">
        <v>45822</v>
      </c>
      <c r="D114" t="inlineStr">
        <is>
          <t>JÄMTLANDS LÄN</t>
        </is>
      </c>
      <c r="E114" t="inlineStr">
        <is>
          <t>ÅRE</t>
        </is>
      </c>
      <c r="G114" t="n">
        <v>16.5</v>
      </c>
      <c r="H114" t="n">
        <v>0</v>
      </c>
      <c r="I114" t="n">
        <v>0</v>
      </c>
      <c r="J114" t="n">
        <v>3</v>
      </c>
      <c r="K114" t="n">
        <v>0</v>
      </c>
      <c r="L114" t="n">
        <v>0</v>
      </c>
      <c r="M114" t="n">
        <v>0</v>
      </c>
      <c r="N114" t="n">
        <v>0</v>
      </c>
      <c r="O114" t="n">
        <v>3</v>
      </c>
      <c r="P114" t="n">
        <v>0</v>
      </c>
      <c r="Q114" t="n">
        <v>3</v>
      </c>
      <c r="R114" s="2" t="inlineStr">
        <is>
          <t>Garnlav
Lunglav
Rosenticka</t>
        </is>
      </c>
      <c r="S114">
        <f>HYPERLINK("https://klasma.github.io/Logging_2321/artfynd/A 24163-2019 artfynd.xlsx", "A 24163-2019")</f>
        <v/>
      </c>
      <c r="T114">
        <f>HYPERLINK("https://klasma.github.io/Logging_2321/kartor/A 24163-2019 karta.png", "A 24163-2019")</f>
        <v/>
      </c>
      <c r="V114">
        <f>HYPERLINK("https://klasma.github.io/Logging_2321/klagomål/A 24163-2019 FSC-klagomål.docx", "A 24163-2019")</f>
        <v/>
      </c>
      <c r="W114">
        <f>HYPERLINK("https://klasma.github.io/Logging_2321/klagomålsmail/A 24163-2019 FSC-klagomål mail.docx", "A 24163-2019")</f>
        <v/>
      </c>
      <c r="X114">
        <f>HYPERLINK("https://klasma.github.io/Logging_2321/tillsyn/A 24163-2019 tillsynsbegäran.docx", "A 24163-2019")</f>
        <v/>
      </c>
      <c r="Y114">
        <f>HYPERLINK("https://klasma.github.io/Logging_2321/tillsynsmail/A 24163-2019 tillsynsbegäran mail.docx", "A 24163-2019")</f>
        <v/>
      </c>
    </row>
    <row r="115" ht="15" customHeight="1">
      <c r="A115" t="inlineStr">
        <is>
          <t>A 29082-2020</t>
        </is>
      </c>
      <c r="B115" s="1" t="n">
        <v>44002</v>
      </c>
      <c r="C115" s="1" t="n">
        <v>45822</v>
      </c>
      <c r="D115" t="inlineStr">
        <is>
          <t>JÄMTLANDS LÄN</t>
        </is>
      </c>
      <c r="E115" t="inlineStr">
        <is>
          <t>ÅRE</t>
        </is>
      </c>
      <c r="G115" t="n">
        <v>3.1</v>
      </c>
      <c r="H115" t="n">
        <v>1</v>
      </c>
      <c r="I115" t="n">
        <v>0</v>
      </c>
      <c r="J115" t="n">
        <v>2</v>
      </c>
      <c r="K115" t="n">
        <v>0</v>
      </c>
      <c r="L115" t="n">
        <v>0</v>
      </c>
      <c r="M115" t="n">
        <v>0</v>
      </c>
      <c r="N115" t="n">
        <v>0</v>
      </c>
      <c r="O115" t="n">
        <v>2</v>
      </c>
      <c r="P115" t="n">
        <v>0</v>
      </c>
      <c r="Q115" t="n">
        <v>3</v>
      </c>
      <c r="R115" s="2" t="inlineStr">
        <is>
          <t>Garnlav
Granticka
Fläcknycklar</t>
        </is>
      </c>
      <c r="S115">
        <f>HYPERLINK("https://klasma.github.io/Logging_2321/artfynd/A 29082-2020 artfynd.xlsx", "A 29082-2020")</f>
        <v/>
      </c>
      <c r="T115">
        <f>HYPERLINK("https://klasma.github.io/Logging_2321/kartor/A 29082-2020 karta.png", "A 29082-2020")</f>
        <v/>
      </c>
      <c r="V115">
        <f>HYPERLINK("https://klasma.github.io/Logging_2321/klagomål/A 29082-2020 FSC-klagomål.docx", "A 29082-2020")</f>
        <v/>
      </c>
      <c r="W115">
        <f>HYPERLINK("https://klasma.github.io/Logging_2321/klagomålsmail/A 29082-2020 FSC-klagomål mail.docx", "A 29082-2020")</f>
        <v/>
      </c>
      <c r="X115">
        <f>HYPERLINK("https://klasma.github.io/Logging_2321/tillsyn/A 29082-2020 tillsynsbegäran.docx", "A 29082-2020")</f>
        <v/>
      </c>
      <c r="Y115">
        <f>HYPERLINK("https://klasma.github.io/Logging_2321/tillsynsmail/A 29082-2020 tillsynsbegäran mail.docx", "A 29082-2020")</f>
        <v/>
      </c>
    </row>
    <row r="116" ht="15" customHeight="1">
      <c r="A116" t="inlineStr">
        <is>
          <t>A 54743-2020</t>
        </is>
      </c>
      <c r="B116" s="1" t="n">
        <v>44127</v>
      </c>
      <c r="C116" s="1" t="n">
        <v>45822</v>
      </c>
      <c r="D116" t="inlineStr">
        <is>
          <t>JÄMTLANDS LÄN</t>
        </is>
      </c>
      <c r="E116" t="inlineStr">
        <is>
          <t>ÅRE</t>
        </is>
      </c>
      <c r="G116" t="n">
        <v>3.4</v>
      </c>
      <c r="H116" t="n">
        <v>0</v>
      </c>
      <c r="I116" t="n">
        <v>2</v>
      </c>
      <c r="J116" t="n">
        <v>1</v>
      </c>
      <c r="K116" t="n">
        <v>0</v>
      </c>
      <c r="L116" t="n">
        <v>0</v>
      </c>
      <c r="M116" t="n">
        <v>0</v>
      </c>
      <c r="N116" t="n">
        <v>0</v>
      </c>
      <c r="O116" t="n">
        <v>1</v>
      </c>
      <c r="P116" t="n">
        <v>0</v>
      </c>
      <c r="Q116" t="n">
        <v>3</v>
      </c>
      <c r="R116" s="2" t="inlineStr">
        <is>
          <t>Dofttaggsvamp
Kryddspindling
Svavelriska</t>
        </is>
      </c>
      <c r="S116">
        <f>HYPERLINK("https://klasma.github.io/Logging_2321/artfynd/A 54743-2020 artfynd.xlsx", "A 54743-2020")</f>
        <v/>
      </c>
      <c r="T116">
        <f>HYPERLINK("https://klasma.github.io/Logging_2321/kartor/A 54743-2020 karta.png", "A 54743-2020")</f>
        <v/>
      </c>
      <c r="V116">
        <f>HYPERLINK("https://klasma.github.io/Logging_2321/klagomål/A 54743-2020 FSC-klagomål.docx", "A 54743-2020")</f>
        <v/>
      </c>
      <c r="W116">
        <f>HYPERLINK("https://klasma.github.io/Logging_2321/klagomålsmail/A 54743-2020 FSC-klagomål mail.docx", "A 54743-2020")</f>
        <v/>
      </c>
      <c r="X116">
        <f>HYPERLINK("https://klasma.github.io/Logging_2321/tillsyn/A 54743-2020 tillsynsbegäran.docx", "A 54743-2020")</f>
        <v/>
      </c>
      <c r="Y116">
        <f>HYPERLINK("https://klasma.github.io/Logging_2321/tillsynsmail/A 54743-2020 tillsynsbegäran mail.docx", "A 54743-2020")</f>
        <v/>
      </c>
    </row>
    <row r="117" ht="15" customHeight="1">
      <c r="A117" t="inlineStr">
        <is>
          <t>A 54988-2020</t>
        </is>
      </c>
      <c r="B117" s="1" t="n">
        <v>44130</v>
      </c>
      <c r="C117" s="1" t="n">
        <v>45822</v>
      </c>
      <c r="D117" t="inlineStr">
        <is>
          <t>JÄMTLANDS LÄN</t>
        </is>
      </c>
      <c r="E117" t="inlineStr">
        <is>
          <t>ÅRE</t>
        </is>
      </c>
      <c r="G117" t="n">
        <v>13.2</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54988-2020 artfynd.xlsx", "A 54988-2020")</f>
        <v/>
      </c>
      <c r="T117">
        <f>HYPERLINK("https://klasma.github.io/Logging_2321/kartor/A 54988-2020 karta.png", "A 54988-2020")</f>
        <v/>
      </c>
      <c r="V117">
        <f>HYPERLINK("https://klasma.github.io/Logging_2321/klagomål/A 54988-2020 FSC-klagomål.docx", "A 54988-2020")</f>
        <v/>
      </c>
      <c r="W117">
        <f>HYPERLINK("https://klasma.github.io/Logging_2321/klagomålsmail/A 54988-2020 FSC-klagomål mail.docx", "A 54988-2020")</f>
        <v/>
      </c>
      <c r="X117">
        <f>HYPERLINK("https://klasma.github.io/Logging_2321/tillsyn/A 54988-2020 tillsynsbegäran.docx", "A 54988-2020")</f>
        <v/>
      </c>
      <c r="Y117">
        <f>HYPERLINK("https://klasma.github.io/Logging_2321/tillsynsmail/A 54988-2020 tillsynsbegäran mail.docx", "A 54988-2020")</f>
        <v/>
      </c>
      <c r="Z117">
        <f>HYPERLINK("https://klasma.github.io/Logging_2321/fåglar/A 54988-2020 prioriterade fågelarter.docx", "A 54988-2020")</f>
        <v/>
      </c>
    </row>
    <row r="118" ht="15" customHeight="1">
      <c r="A118" t="inlineStr">
        <is>
          <t>A 61189-2020</t>
        </is>
      </c>
      <c r="B118" s="1" t="n">
        <v>44155</v>
      </c>
      <c r="C118" s="1" t="n">
        <v>45822</v>
      </c>
      <c r="D118" t="inlineStr">
        <is>
          <t>JÄMTLANDS LÄN</t>
        </is>
      </c>
      <c r="E118" t="inlineStr">
        <is>
          <t>ÅRE</t>
        </is>
      </c>
      <c r="F118" t="inlineStr">
        <is>
          <t>Övriga Aktiebolag</t>
        </is>
      </c>
      <c r="G118" t="n">
        <v>26.5</v>
      </c>
      <c r="H118" t="n">
        <v>0</v>
      </c>
      <c r="I118" t="n">
        <v>0</v>
      </c>
      <c r="J118" t="n">
        <v>3</v>
      </c>
      <c r="K118" t="n">
        <v>0</v>
      </c>
      <c r="L118" t="n">
        <v>0</v>
      </c>
      <c r="M118" t="n">
        <v>0</v>
      </c>
      <c r="N118" t="n">
        <v>0</v>
      </c>
      <c r="O118" t="n">
        <v>3</v>
      </c>
      <c r="P118" t="n">
        <v>0</v>
      </c>
      <c r="Q118" t="n">
        <v>3</v>
      </c>
      <c r="R118" s="2" t="inlineStr">
        <is>
          <t>Gammelgransskål
Garnlav
Gränsticka</t>
        </is>
      </c>
      <c r="S118">
        <f>HYPERLINK("https://klasma.github.io/Logging_2321/artfynd/A 61189-2020 artfynd.xlsx", "A 61189-2020")</f>
        <v/>
      </c>
      <c r="T118">
        <f>HYPERLINK("https://klasma.github.io/Logging_2321/kartor/A 61189-2020 karta.png", "A 61189-2020")</f>
        <v/>
      </c>
      <c r="V118">
        <f>HYPERLINK("https://klasma.github.io/Logging_2321/klagomål/A 61189-2020 FSC-klagomål.docx", "A 61189-2020")</f>
        <v/>
      </c>
      <c r="W118">
        <f>HYPERLINK("https://klasma.github.io/Logging_2321/klagomålsmail/A 61189-2020 FSC-klagomål mail.docx", "A 61189-2020")</f>
        <v/>
      </c>
      <c r="X118">
        <f>HYPERLINK("https://klasma.github.io/Logging_2321/tillsyn/A 61189-2020 tillsynsbegäran.docx", "A 61189-2020")</f>
        <v/>
      </c>
      <c r="Y118">
        <f>HYPERLINK("https://klasma.github.io/Logging_2321/tillsynsmail/A 61189-2020 tillsynsbegäran mail.docx", "A 61189-2020")</f>
        <v/>
      </c>
    </row>
    <row r="119" ht="15" customHeight="1">
      <c r="A119" t="inlineStr">
        <is>
          <t>A 61510-2020</t>
        </is>
      </c>
      <c r="B119" s="1" t="n">
        <v>44158</v>
      </c>
      <c r="C119" s="1" t="n">
        <v>45822</v>
      </c>
      <c r="D119" t="inlineStr">
        <is>
          <t>JÄMTLANDS LÄN</t>
        </is>
      </c>
      <c r="E119" t="inlineStr">
        <is>
          <t>ÅRE</t>
        </is>
      </c>
      <c r="F119" t="inlineStr">
        <is>
          <t>Övriga Aktiebolag</t>
        </is>
      </c>
      <c r="G119" t="n">
        <v>5.9</v>
      </c>
      <c r="H119" t="n">
        <v>2</v>
      </c>
      <c r="I119" t="n">
        <v>0</v>
      </c>
      <c r="J119" t="n">
        <v>2</v>
      </c>
      <c r="K119" t="n">
        <v>0</v>
      </c>
      <c r="L119" t="n">
        <v>0</v>
      </c>
      <c r="M119" t="n">
        <v>0</v>
      </c>
      <c r="N119" t="n">
        <v>0</v>
      </c>
      <c r="O119" t="n">
        <v>2</v>
      </c>
      <c r="P119" t="n">
        <v>0</v>
      </c>
      <c r="Q119" t="n">
        <v>3</v>
      </c>
      <c r="R119" s="2" t="inlineStr">
        <is>
          <t>Garnlav
Tretåig hackspett
Enkelbeckasin</t>
        </is>
      </c>
      <c r="S119">
        <f>HYPERLINK("https://klasma.github.io/Logging_2321/artfynd/A 61510-2020 artfynd.xlsx", "A 61510-2020")</f>
        <v/>
      </c>
      <c r="T119">
        <f>HYPERLINK("https://klasma.github.io/Logging_2321/kartor/A 61510-2020 karta.png", "A 61510-2020")</f>
        <v/>
      </c>
      <c r="V119">
        <f>HYPERLINK("https://klasma.github.io/Logging_2321/klagomål/A 61510-2020 FSC-klagomål.docx", "A 61510-2020")</f>
        <v/>
      </c>
      <c r="W119">
        <f>HYPERLINK("https://klasma.github.io/Logging_2321/klagomålsmail/A 61510-2020 FSC-klagomål mail.docx", "A 61510-2020")</f>
        <v/>
      </c>
      <c r="X119">
        <f>HYPERLINK("https://klasma.github.io/Logging_2321/tillsyn/A 61510-2020 tillsynsbegäran.docx", "A 61510-2020")</f>
        <v/>
      </c>
      <c r="Y119">
        <f>HYPERLINK("https://klasma.github.io/Logging_2321/tillsynsmail/A 61510-2020 tillsynsbegäran mail.docx", "A 61510-2020")</f>
        <v/>
      </c>
      <c r="Z119">
        <f>HYPERLINK("https://klasma.github.io/Logging_2321/fåglar/A 61510-2020 prioriterade fågelarter.docx", "A 61510-2020")</f>
        <v/>
      </c>
    </row>
    <row r="120" ht="15" customHeight="1">
      <c r="A120" t="inlineStr">
        <is>
          <t>A 10773-2021</t>
        </is>
      </c>
      <c r="B120" s="1" t="n">
        <v>44259</v>
      </c>
      <c r="C120" s="1" t="n">
        <v>45822</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10773-2021 artfynd.xlsx", "A 10773-2021")</f>
        <v/>
      </c>
      <c r="T120">
        <f>HYPERLINK("https://klasma.github.io/Logging_2321/kartor/A 10773-2021 karta.png", "A 10773-2021")</f>
        <v/>
      </c>
      <c r="V120">
        <f>HYPERLINK("https://klasma.github.io/Logging_2321/klagomål/A 10773-2021 FSC-klagomål.docx", "A 10773-2021")</f>
        <v/>
      </c>
      <c r="W120">
        <f>HYPERLINK("https://klasma.github.io/Logging_2321/klagomålsmail/A 10773-2021 FSC-klagomål mail.docx", "A 10773-2021")</f>
        <v/>
      </c>
      <c r="X120">
        <f>HYPERLINK("https://klasma.github.io/Logging_2321/tillsyn/A 10773-2021 tillsynsbegäran.docx", "A 10773-2021")</f>
        <v/>
      </c>
      <c r="Y120">
        <f>HYPERLINK("https://klasma.github.io/Logging_2321/tillsynsmail/A 10773-2021 tillsynsbegäran mail.docx", "A 10773-2021")</f>
        <v/>
      </c>
      <c r="Z120">
        <f>HYPERLINK("https://klasma.github.io/Logging_2321/fåglar/A 10773-2021 prioriterade fågelarter.docx", "A 10773-2021")</f>
        <v/>
      </c>
    </row>
    <row r="121" ht="15" customHeight="1">
      <c r="A121" t="inlineStr">
        <is>
          <t>A 14198-2021</t>
        </is>
      </c>
      <c r="B121" s="1" t="n">
        <v>44278</v>
      </c>
      <c r="C121" s="1" t="n">
        <v>45822</v>
      </c>
      <c r="D121" t="inlineStr">
        <is>
          <t>JÄMTLANDS LÄN</t>
        </is>
      </c>
      <c r="E121" t="inlineStr">
        <is>
          <t>ÅRE</t>
        </is>
      </c>
      <c r="G121" t="n">
        <v>28.4</v>
      </c>
      <c r="H121" t="n">
        <v>1</v>
      </c>
      <c r="I121" t="n">
        <v>1</v>
      </c>
      <c r="J121" t="n">
        <v>2</v>
      </c>
      <c r="K121" t="n">
        <v>0</v>
      </c>
      <c r="L121" t="n">
        <v>0</v>
      </c>
      <c r="M121" t="n">
        <v>0</v>
      </c>
      <c r="N121" t="n">
        <v>0</v>
      </c>
      <c r="O121" t="n">
        <v>2</v>
      </c>
      <c r="P121" t="n">
        <v>0</v>
      </c>
      <c r="Q121" t="n">
        <v>3</v>
      </c>
      <c r="R121" s="2" t="inlineStr">
        <is>
          <t>Skrovellav
Tretåig hackspett
Stuplav</t>
        </is>
      </c>
      <c r="S121">
        <f>HYPERLINK("https://klasma.github.io/Logging_2321/artfynd/A 14198-2021 artfynd.xlsx", "A 14198-2021")</f>
        <v/>
      </c>
      <c r="T121">
        <f>HYPERLINK("https://klasma.github.io/Logging_2321/kartor/A 14198-2021 karta.png", "A 14198-2021")</f>
        <v/>
      </c>
      <c r="V121">
        <f>HYPERLINK("https://klasma.github.io/Logging_2321/klagomål/A 14198-2021 FSC-klagomål.docx", "A 14198-2021")</f>
        <v/>
      </c>
      <c r="W121">
        <f>HYPERLINK("https://klasma.github.io/Logging_2321/klagomålsmail/A 14198-2021 FSC-klagomål mail.docx", "A 14198-2021")</f>
        <v/>
      </c>
      <c r="X121">
        <f>HYPERLINK("https://klasma.github.io/Logging_2321/tillsyn/A 14198-2021 tillsynsbegäran.docx", "A 14198-2021")</f>
        <v/>
      </c>
      <c r="Y121">
        <f>HYPERLINK("https://klasma.github.io/Logging_2321/tillsynsmail/A 14198-2021 tillsynsbegäran mail.docx", "A 14198-2021")</f>
        <v/>
      </c>
      <c r="Z121">
        <f>HYPERLINK("https://klasma.github.io/Logging_2321/fåglar/A 14198-2021 prioriterade fågelarter.docx", "A 14198-2021")</f>
        <v/>
      </c>
    </row>
    <row r="122" ht="15" customHeight="1">
      <c r="A122" t="inlineStr">
        <is>
          <t>A 23572-2021</t>
        </is>
      </c>
      <c r="B122" s="1" t="n">
        <v>44334</v>
      </c>
      <c r="C122" s="1" t="n">
        <v>45822</v>
      </c>
      <c r="D122" t="inlineStr">
        <is>
          <t>JÄMTLANDS LÄN</t>
        </is>
      </c>
      <c r="E122" t="inlineStr">
        <is>
          <t>ÅRE</t>
        </is>
      </c>
      <c r="G122" t="n">
        <v>1.6</v>
      </c>
      <c r="H122" t="n">
        <v>0</v>
      </c>
      <c r="I122" t="n">
        <v>1</v>
      </c>
      <c r="J122" t="n">
        <v>2</v>
      </c>
      <c r="K122" t="n">
        <v>0</v>
      </c>
      <c r="L122" t="n">
        <v>0</v>
      </c>
      <c r="M122" t="n">
        <v>0</v>
      </c>
      <c r="N122" t="n">
        <v>0</v>
      </c>
      <c r="O122" t="n">
        <v>2</v>
      </c>
      <c r="P122" t="n">
        <v>0</v>
      </c>
      <c r="Q122" t="n">
        <v>3</v>
      </c>
      <c r="R122" s="2" t="inlineStr">
        <is>
          <t>Garnlav
Skrovellav
Stuplav</t>
        </is>
      </c>
      <c r="S122">
        <f>HYPERLINK("https://klasma.github.io/Logging_2321/artfynd/A 23572-2021 artfynd.xlsx", "A 23572-2021")</f>
        <v/>
      </c>
      <c r="T122">
        <f>HYPERLINK("https://klasma.github.io/Logging_2321/kartor/A 23572-2021 karta.png", "A 23572-2021")</f>
        <v/>
      </c>
      <c r="V122">
        <f>HYPERLINK("https://klasma.github.io/Logging_2321/klagomål/A 23572-2021 FSC-klagomål.docx", "A 23572-2021")</f>
        <v/>
      </c>
      <c r="W122">
        <f>HYPERLINK("https://klasma.github.io/Logging_2321/klagomålsmail/A 23572-2021 FSC-klagomål mail.docx", "A 23572-2021")</f>
        <v/>
      </c>
      <c r="X122">
        <f>HYPERLINK("https://klasma.github.io/Logging_2321/tillsyn/A 23572-2021 tillsynsbegäran.docx", "A 23572-2021")</f>
        <v/>
      </c>
      <c r="Y122">
        <f>HYPERLINK("https://klasma.github.io/Logging_2321/tillsynsmail/A 23572-2021 tillsynsbegäran mail.docx", "A 23572-2021")</f>
        <v/>
      </c>
    </row>
    <row r="123" ht="15" customHeight="1">
      <c r="A123" t="inlineStr">
        <is>
          <t>A 72934-2021</t>
        </is>
      </c>
      <c r="B123" s="1" t="n">
        <v>44547</v>
      </c>
      <c r="C123" s="1" t="n">
        <v>45822</v>
      </c>
      <c r="D123" t="inlineStr">
        <is>
          <t>JÄMTLANDS LÄN</t>
        </is>
      </c>
      <c r="E123" t="inlineStr">
        <is>
          <t>ÅRE</t>
        </is>
      </c>
      <c r="G123" t="n">
        <v>31.9</v>
      </c>
      <c r="H123" t="n">
        <v>0</v>
      </c>
      <c r="I123" t="n">
        <v>0</v>
      </c>
      <c r="J123" t="n">
        <v>3</v>
      </c>
      <c r="K123" t="n">
        <v>0</v>
      </c>
      <c r="L123" t="n">
        <v>0</v>
      </c>
      <c r="M123" t="n">
        <v>0</v>
      </c>
      <c r="N123" t="n">
        <v>0</v>
      </c>
      <c r="O123" t="n">
        <v>3</v>
      </c>
      <c r="P123" t="n">
        <v>0</v>
      </c>
      <c r="Q123" t="n">
        <v>3</v>
      </c>
      <c r="R123" s="2" t="inlineStr">
        <is>
          <t>Gränsticka
Skrovellav
Stjärntagging</t>
        </is>
      </c>
      <c r="S123">
        <f>HYPERLINK("https://klasma.github.io/Logging_2321/artfynd/A 72934-2021 artfynd.xlsx", "A 72934-2021")</f>
        <v/>
      </c>
      <c r="T123">
        <f>HYPERLINK("https://klasma.github.io/Logging_2321/kartor/A 72934-2021 karta.png", "A 72934-2021")</f>
        <v/>
      </c>
      <c r="V123">
        <f>HYPERLINK("https://klasma.github.io/Logging_2321/klagomål/A 72934-2021 FSC-klagomål.docx", "A 72934-2021")</f>
        <v/>
      </c>
      <c r="W123">
        <f>HYPERLINK("https://klasma.github.io/Logging_2321/klagomålsmail/A 72934-2021 FSC-klagomål mail.docx", "A 72934-2021")</f>
        <v/>
      </c>
      <c r="X123">
        <f>HYPERLINK("https://klasma.github.io/Logging_2321/tillsyn/A 72934-2021 tillsynsbegäran.docx", "A 72934-2021")</f>
        <v/>
      </c>
      <c r="Y123">
        <f>HYPERLINK("https://klasma.github.io/Logging_2321/tillsynsmail/A 72934-2021 tillsynsbegäran mail.docx", "A 72934-2021")</f>
        <v/>
      </c>
    </row>
    <row r="124" ht="15" customHeight="1">
      <c r="A124" t="inlineStr">
        <is>
          <t>A 12269-2022</t>
        </is>
      </c>
      <c r="B124" s="1" t="n">
        <v>44637</v>
      </c>
      <c r="C124" s="1" t="n">
        <v>45822</v>
      </c>
      <c r="D124" t="inlineStr">
        <is>
          <t>JÄMTLANDS LÄN</t>
        </is>
      </c>
      <c r="E124" t="inlineStr">
        <is>
          <t>ÅRE</t>
        </is>
      </c>
      <c r="G124" t="n">
        <v>16.6</v>
      </c>
      <c r="H124" t="n">
        <v>0</v>
      </c>
      <c r="I124" t="n">
        <v>0</v>
      </c>
      <c r="J124" t="n">
        <v>3</v>
      </c>
      <c r="K124" t="n">
        <v>0</v>
      </c>
      <c r="L124" t="n">
        <v>0</v>
      </c>
      <c r="M124" t="n">
        <v>0</v>
      </c>
      <c r="N124" t="n">
        <v>0</v>
      </c>
      <c r="O124" t="n">
        <v>3</v>
      </c>
      <c r="P124" t="n">
        <v>0</v>
      </c>
      <c r="Q124" t="n">
        <v>3</v>
      </c>
      <c r="R124" s="2" t="inlineStr">
        <is>
          <t>Gammelgransskål
Granticka
Knottrig blåslav</t>
        </is>
      </c>
      <c r="S124">
        <f>HYPERLINK("https://klasma.github.io/Logging_2321/artfynd/A 12269-2022 artfynd.xlsx", "A 12269-2022")</f>
        <v/>
      </c>
      <c r="T124">
        <f>HYPERLINK("https://klasma.github.io/Logging_2321/kartor/A 12269-2022 karta.png", "A 12269-2022")</f>
        <v/>
      </c>
      <c r="V124">
        <f>HYPERLINK("https://klasma.github.io/Logging_2321/klagomål/A 12269-2022 FSC-klagomål.docx", "A 12269-2022")</f>
        <v/>
      </c>
      <c r="W124">
        <f>HYPERLINK("https://klasma.github.io/Logging_2321/klagomålsmail/A 12269-2022 FSC-klagomål mail.docx", "A 12269-2022")</f>
        <v/>
      </c>
      <c r="X124">
        <f>HYPERLINK("https://klasma.github.io/Logging_2321/tillsyn/A 12269-2022 tillsynsbegäran.docx", "A 12269-2022")</f>
        <v/>
      </c>
      <c r="Y124">
        <f>HYPERLINK("https://klasma.github.io/Logging_2321/tillsynsmail/A 12269-2022 tillsynsbegäran mail.docx", "A 12269-2022")</f>
        <v/>
      </c>
    </row>
    <row r="125" ht="15" customHeight="1">
      <c r="A125" t="inlineStr">
        <is>
          <t>A 21006-2022</t>
        </is>
      </c>
      <c r="B125" s="1" t="n">
        <v>44701</v>
      </c>
      <c r="C125" s="1" t="n">
        <v>45822</v>
      </c>
      <c r="D125" t="inlineStr">
        <is>
          <t>JÄMTLANDS LÄN</t>
        </is>
      </c>
      <c r="E125" t="inlineStr">
        <is>
          <t>ÅRE</t>
        </is>
      </c>
      <c r="G125" t="n">
        <v>5.5</v>
      </c>
      <c r="H125" t="n">
        <v>1</v>
      </c>
      <c r="I125" t="n">
        <v>0</v>
      </c>
      <c r="J125" t="n">
        <v>3</v>
      </c>
      <c r="K125" t="n">
        <v>0</v>
      </c>
      <c r="L125" t="n">
        <v>0</v>
      </c>
      <c r="M125" t="n">
        <v>0</v>
      </c>
      <c r="N125" t="n">
        <v>0</v>
      </c>
      <c r="O125" t="n">
        <v>3</v>
      </c>
      <c r="P125" t="n">
        <v>0</v>
      </c>
      <c r="Q125" t="n">
        <v>3</v>
      </c>
      <c r="R125" s="2" t="inlineStr">
        <is>
          <t>Gammelgransskål
Granticka
Tretåig hackspett</t>
        </is>
      </c>
      <c r="S125">
        <f>HYPERLINK("https://klasma.github.io/Logging_2321/artfynd/A 21006-2022 artfynd.xlsx", "A 21006-2022")</f>
        <v/>
      </c>
      <c r="T125">
        <f>HYPERLINK("https://klasma.github.io/Logging_2321/kartor/A 21006-2022 karta.png", "A 21006-2022")</f>
        <v/>
      </c>
      <c r="V125">
        <f>HYPERLINK("https://klasma.github.io/Logging_2321/klagomål/A 21006-2022 FSC-klagomål.docx", "A 21006-2022")</f>
        <v/>
      </c>
      <c r="W125">
        <f>HYPERLINK("https://klasma.github.io/Logging_2321/klagomålsmail/A 21006-2022 FSC-klagomål mail.docx", "A 21006-2022")</f>
        <v/>
      </c>
      <c r="X125">
        <f>HYPERLINK("https://klasma.github.io/Logging_2321/tillsyn/A 21006-2022 tillsynsbegäran.docx", "A 21006-2022")</f>
        <v/>
      </c>
      <c r="Y125">
        <f>HYPERLINK("https://klasma.github.io/Logging_2321/tillsynsmail/A 21006-2022 tillsynsbegäran mail.docx", "A 21006-2022")</f>
        <v/>
      </c>
      <c r="Z125">
        <f>HYPERLINK("https://klasma.github.io/Logging_2321/fåglar/A 21006-2022 prioriterade fågelarter.docx", "A 21006-2022")</f>
        <v/>
      </c>
    </row>
    <row r="126" ht="15" customHeight="1">
      <c r="A126" t="inlineStr">
        <is>
          <t>A 58082-2022</t>
        </is>
      </c>
      <c r="B126" s="1" t="n">
        <v>44900</v>
      </c>
      <c r="C126" s="1" t="n">
        <v>45822</v>
      </c>
      <c r="D126" t="inlineStr">
        <is>
          <t>JÄMTLANDS LÄN</t>
        </is>
      </c>
      <c r="E126" t="inlineStr">
        <is>
          <t>ÅRE</t>
        </is>
      </c>
      <c r="G126" t="n">
        <v>28.2</v>
      </c>
      <c r="H126" t="n">
        <v>2</v>
      </c>
      <c r="I126" t="n">
        <v>1</v>
      </c>
      <c r="J126" t="n">
        <v>2</v>
      </c>
      <c r="K126" t="n">
        <v>0</v>
      </c>
      <c r="L126" t="n">
        <v>0</v>
      </c>
      <c r="M126" t="n">
        <v>0</v>
      </c>
      <c r="N126" t="n">
        <v>0</v>
      </c>
      <c r="O126" t="n">
        <v>2</v>
      </c>
      <c r="P126" t="n">
        <v>0</v>
      </c>
      <c r="Q126" t="n">
        <v>3</v>
      </c>
      <c r="R126" s="2" t="inlineStr">
        <is>
          <t>Spillkråka
Tretåig hackspett
Kambräken</t>
        </is>
      </c>
      <c r="S126">
        <f>HYPERLINK("https://klasma.github.io/Logging_2321/artfynd/A 58082-2022 artfynd.xlsx", "A 58082-2022")</f>
        <v/>
      </c>
      <c r="T126">
        <f>HYPERLINK("https://klasma.github.io/Logging_2321/kartor/A 58082-2022 karta.png", "A 58082-2022")</f>
        <v/>
      </c>
      <c r="V126">
        <f>HYPERLINK("https://klasma.github.io/Logging_2321/klagomål/A 58082-2022 FSC-klagomål.docx", "A 58082-2022")</f>
        <v/>
      </c>
      <c r="W126">
        <f>HYPERLINK("https://klasma.github.io/Logging_2321/klagomålsmail/A 58082-2022 FSC-klagomål mail.docx", "A 58082-2022")</f>
        <v/>
      </c>
      <c r="X126">
        <f>HYPERLINK("https://klasma.github.io/Logging_2321/tillsyn/A 58082-2022 tillsynsbegäran.docx", "A 58082-2022")</f>
        <v/>
      </c>
      <c r="Y126">
        <f>HYPERLINK("https://klasma.github.io/Logging_2321/tillsynsmail/A 58082-2022 tillsynsbegäran mail.docx", "A 58082-2022")</f>
        <v/>
      </c>
      <c r="Z126">
        <f>HYPERLINK("https://klasma.github.io/Logging_2321/fåglar/A 58082-2022 prioriterade fågelarter.docx", "A 58082-2022")</f>
        <v/>
      </c>
    </row>
    <row r="127" ht="15" customHeight="1">
      <c r="A127" t="inlineStr">
        <is>
          <t>A 59237-2022</t>
        </is>
      </c>
      <c r="B127" s="1" t="n">
        <v>44904</v>
      </c>
      <c r="C127" s="1" t="n">
        <v>45822</v>
      </c>
      <c r="D127" t="inlineStr">
        <is>
          <t>JÄMTLANDS LÄN</t>
        </is>
      </c>
      <c r="E127" t="inlineStr">
        <is>
          <t>ÅRE</t>
        </is>
      </c>
      <c r="G127" t="n">
        <v>33.7</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HYPERLINK("https://klasma.github.io/Logging_2321/artfynd/A 59237-2022 artfynd.xlsx", "A 59237-2022")</f>
        <v/>
      </c>
      <c r="T127">
        <f>HYPERLINK("https://klasma.github.io/Logging_2321/kartor/A 59237-2022 karta.png", "A 59237-2022")</f>
        <v/>
      </c>
      <c r="V127">
        <f>HYPERLINK("https://klasma.github.io/Logging_2321/klagomål/A 59237-2022 FSC-klagomål.docx", "A 59237-2022")</f>
        <v/>
      </c>
      <c r="W127">
        <f>HYPERLINK("https://klasma.github.io/Logging_2321/klagomålsmail/A 59237-2022 FSC-klagomål mail.docx", "A 59237-2022")</f>
        <v/>
      </c>
      <c r="X127">
        <f>HYPERLINK("https://klasma.github.io/Logging_2321/tillsyn/A 59237-2022 tillsynsbegäran.docx", "A 59237-2022")</f>
        <v/>
      </c>
      <c r="Y127">
        <f>HYPERLINK("https://klasma.github.io/Logging_2321/tillsynsmail/A 59237-2022 tillsynsbegäran mail.docx", "A 59237-2022")</f>
        <v/>
      </c>
      <c r="Z127">
        <f>HYPERLINK("https://klasma.github.io/Logging_2321/fåglar/A 59237-2022 prioriterade fågelarter.docx", "A 59237-2022")</f>
        <v/>
      </c>
    </row>
    <row r="128" ht="15" customHeight="1">
      <c r="A128" t="inlineStr">
        <is>
          <t>A 8438-2023</t>
        </is>
      </c>
      <c r="B128" s="1" t="n">
        <v>44977</v>
      </c>
      <c r="C128" s="1" t="n">
        <v>45822</v>
      </c>
      <c r="D128" t="inlineStr">
        <is>
          <t>JÄMTLANDS LÄN</t>
        </is>
      </c>
      <c r="E128" t="inlineStr">
        <is>
          <t>ÅRE</t>
        </is>
      </c>
      <c r="F128" t="inlineStr">
        <is>
          <t>Övriga Aktiebolag</t>
        </is>
      </c>
      <c r="G128" t="n">
        <v>0.6</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8438-2023 artfynd.xlsx", "A 8438-2023")</f>
        <v/>
      </c>
      <c r="T128">
        <f>HYPERLINK("https://klasma.github.io/Logging_2321/kartor/A 8438-2023 karta.png", "A 8438-2023")</f>
        <v/>
      </c>
      <c r="V128">
        <f>HYPERLINK("https://klasma.github.io/Logging_2321/klagomål/A 8438-2023 FSC-klagomål.docx", "A 8438-2023")</f>
        <v/>
      </c>
      <c r="W128">
        <f>HYPERLINK("https://klasma.github.io/Logging_2321/klagomålsmail/A 8438-2023 FSC-klagomål mail.docx", "A 8438-2023")</f>
        <v/>
      </c>
      <c r="X128">
        <f>HYPERLINK("https://klasma.github.io/Logging_2321/tillsyn/A 8438-2023 tillsynsbegäran.docx", "A 8438-2023")</f>
        <v/>
      </c>
      <c r="Y128">
        <f>HYPERLINK("https://klasma.github.io/Logging_2321/tillsynsmail/A 8438-2023 tillsynsbegäran mail.docx", "A 8438-2023")</f>
        <v/>
      </c>
      <c r="Z128">
        <f>HYPERLINK("https://klasma.github.io/Logging_2321/fåglar/A 8438-2023 prioriterade fågelarter.docx", "A 8438-2023")</f>
        <v/>
      </c>
    </row>
    <row r="129" ht="15" customHeight="1">
      <c r="A129" t="inlineStr">
        <is>
          <t>A 8470-2023</t>
        </is>
      </c>
      <c r="B129" s="1" t="n">
        <v>44977</v>
      </c>
      <c r="C129" s="1" t="n">
        <v>45822</v>
      </c>
      <c r="D129" t="inlineStr">
        <is>
          <t>JÄMTLANDS LÄN</t>
        </is>
      </c>
      <c r="E129" t="inlineStr">
        <is>
          <t>ÅRE</t>
        </is>
      </c>
      <c r="F129" t="inlineStr">
        <is>
          <t>Övriga Aktiebolag</t>
        </is>
      </c>
      <c r="G129" t="n">
        <v>8.699999999999999</v>
      </c>
      <c r="H129" t="n">
        <v>1</v>
      </c>
      <c r="I129" t="n">
        <v>1</v>
      </c>
      <c r="J129" t="n">
        <v>2</v>
      </c>
      <c r="K129" t="n">
        <v>0</v>
      </c>
      <c r="L129" t="n">
        <v>0</v>
      </c>
      <c r="M129" t="n">
        <v>0</v>
      </c>
      <c r="N129" t="n">
        <v>0</v>
      </c>
      <c r="O129" t="n">
        <v>2</v>
      </c>
      <c r="P129" t="n">
        <v>0</v>
      </c>
      <c r="Q129" t="n">
        <v>3</v>
      </c>
      <c r="R129" s="2" t="inlineStr">
        <is>
          <t>Granticka
Tretåig hackspett
Skinnlav</t>
        </is>
      </c>
      <c r="S129">
        <f>HYPERLINK("https://klasma.github.io/Logging_2321/artfynd/A 8470-2023 artfynd.xlsx", "A 8470-2023")</f>
        <v/>
      </c>
      <c r="T129">
        <f>HYPERLINK("https://klasma.github.io/Logging_2321/kartor/A 8470-2023 karta.png", "A 8470-2023")</f>
        <v/>
      </c>
      <c r="V129">
        <f>HYPERLINK("https://klasma.github.io/Logging_2321/klagomål/A 8470-2023 FSC-klagomål.docx", "A 8470-2023")</f>
        <v/>
      </c>
      <c r="W129">
        <f>HYPERLINK("https://klasma.github.io/Logging_2321/klagomålsmail/A 8470-2023 FSC-klagomål mail.docx", "A 8470-2023")</f>
        <v/>
      </c>
      <c r="X129">
        <f>HYPERLINK("https://klasma.github.io/Logging_2321/tillsyn/A 8470-2023 tillsynsbegäran.docx", "A 8470-2023")</f>
        <v/>
      </c>
      <c r="Y129">
        <f>HYPERLINK("https://klasma.github.io/Logging_2321/tillsynsmail/A 8470-2023 tillsynsbegäran mail.docx", "A 8470-2023")</f>
        <v/>
      </c>
      <c r="Z129">
        <f>HYPERLINK("https://klasma.github.io/Logging_2321/fåglar/A 8470-2023 prioriterade fågelarter.docx", "A 8470-2023")</f>
        <v/>
      </c>
    </row>
    <row r="130" ht="15" customHeight="1">
      <c r="A130" t="inlineStr">
        <is>
          <t>A 10627-2023</t>
        </is>
      </c>
      <c r="B130" s="1" t="n">
        <v>44984</v>
      </c>
      <c r="C130" s="1" t="n">
        <v>45822</v>
      </c>
      <c r="D130" t="inlineStr">
        <is>
          <t>JÄMTLANDS LÄN</t>
        </is>
      </c>
      <c r="E130" t="inlineStr">
        <is>
          <t>ÅRE</t>
        </is>
      </c>
      <c r="G130" t="n">
        <v>29.1</v>
      </c>
      <c r="H130" t="n">
        <v>1</v>
      </c>
      <c r="I130" t="n">
        <v>0</v>
      </c>
      <c r="J130" t="n">
        <v>3</v>
      </c>
      <c r="K130" t="n">
        <v>0</v>
      </c>
      <c r="L130" t="n">
        <v>0</v>
      </c>
      <c r="M130" t="n">
        <v>0</v>
      </c>
      <c r="N130" t="n">
        <v>0</v>
      </c>
      <c r="O130" t="n">
        <v>3</v>
      </c>
      <c r="P130" t="n">
        <v>0</v>
      </c>
      <c r="Q130" t="n">
        <v>3</v>
      </c>
      <c r="R130" s="2" t="inlineStr">
        <is>
          <t>Harticka
Tretåig hackspett
Vitgrynig nållav</t>
        </is>
      </c>
      <c r="S130">
        <f>HYPERLINK("https://klasma.github.io/Logging_2321/artfynd/A 10627-2023 artfynd.xlsx", "A 10627-2023")</f>
        <v/>
      </c>
      <c r="T130">
        <f>HYPERLINK("https://klasma.github.io/Logging_2321/kartor/A 10627-2023 karta.png", "A 10627-2023")</f>
        <v/>
      </c>
      <c r="V130">
        <f>HYPERLINK("https://klasma.github.io/Logging_2321/klagomål/A 10627-2023 FSC-klagomål.docx", "A 10627-2023")</f>
        <v/>
      </c>
      <c r="W130">
        <f>HYPERLINK("https://klasma.github.io/Logging_2321/klagomålsmail/A 10627-2023 FSC-klagomål mail.docx", "A 10627-2023")</f>
        <v/>
      </c>
      <c r="X130">
        <f>HYPERLINK("https://klasma.github.io/Logging_2321/tillsyn/A 10627-2023 tillsynsbegäran.docx", "A 10627-2023")</f>
        <v/>
      </c>
      <c r="Y130">
        <f>HYPERLINK("https://klasma.github.io/Logging_2321/tillsynsmail/A 10627-2023 tillsynsbegäran mail.docx", "A 10627-2023")</f>
        <v/>
      </c>
      <c r="Z130">
        <f>HYPERLINK("https://klasma.github.io/Logging_2321/fåglar/A 10627-2023 prioriterade fågelarter.docx", "A 10627-2023")</f>
        <v/>
      </c>
    </row>
    <row r="131" ht="15" customHeight="1">
      <c r="A131" t="inlineStr">
        <is>
          <t>A 13625-2023</t>
        </is>
      </c>
      <c r="B131" s="1" t="n">
        <v>45006</v>
      </c>
      <c r="C131" s="1" t="n">
        <v>45822</v>
      </c>
      <c r="D131" t="inlineStr">
        <is>
          <t>JÄMTLANDS LÄN</t>
        </is>
      </c>
      <c r="E131" t="inlineStr">
        <is>
          <t>ÅRE</t>
        </is>
      </c>
      <c r="G131" t="n">
        <v>22.9</v>
      </c>
      <c r="H131" t="n">
        <v>1</v>
      </c>
      <c r="I131" t="n">
        <v>0</v>
      </c>
      <c r="J131" t="n">
        <v>3</v>
      </c>
      <c r="K131" t="n">
        <v>0</v>
      </c>
      <c r="L131" t="n">
        <v>0</v>
      </c>
      <c r="M131" t="n">
        <v>0</v>
      </c>
      <c r="N131" t="n">
        <v>0</v>
      </c>
      <c r="O131" t="n">
        <v>3</v>
      </c>
      <c r="P131" t="n">
        <v>0</v>
      </c>
      <c r="Q131" t="n">
        <v>3</v>
      </c>
      <c r="R131" s="2" t="inlineStr">
        <is>
          <t>Lunglav
Tretåig hackspett
Vitskaftad svartspik</t>
        </is>
      </c>
      <c r="S131">
        <f>HYPERLINK("https://klasma.github.io/Logging_2321/artfynd/A 13625-2023 artfynd.xlsx", "A 13625-2023")</f>
        <v/>
      </c>
      <c r="T131">
        <f>HYPERLINK("https://klasma.github.io/Logging_2321/kartor/A 13625-2023 karta.png", "A 13625-2023")</f>
        <v/>
      </c>
      <c r="V131">
        <f>HYPERLINK("https://klasma.github.io/Logging_2321/klagomål/A 13625-2023 FSC-klagomål.docx", "A 13625-2023")</f>
        <v/>
      </c>
      <c r="W131">
        <f>HYPERLINK("https://klasma.github.io/Logging_2321/klagomålsmail/A 13625-2023 FSC-klagomål mail.docx", "A 13625-2023")</f>
        <v/>
      </c>
      <c r="X131">
        <f>HYPERLINK("https://klasma.github.io/Logging_2321/tillsyn/A 13625-2023 tillsynsbegäran.docx", "A 13625-2023")</f>
        <v/>
      </c>
      <c r="Y131">
        <f>HYPERLINK("https://klasma.github.io/Logging_2321/tillsynsmail/A 13625-2023 tillsynsbegäran mail.docx", "A 13625-2023")</f>
        <v/>
      </c>
      <c r="Z131">
        <f>HYPERLINK("https://klasma.github.io/Logging_2321/fåglar/A 13625-2023 prioriterade fågelarter.docx", "A 13625-2023")</f>
        <v/>
      </c>
    </row>
    <row r="132" ht="15" customHeight="1">
      <c r="A132" t="inlineStr">
        <is>
          <t>A 20124-2023</t>
        </is>
      </c>
      <c r="B132" s="1" t="n">
        <v>45055</v>
      </c>
      <c r="C132" s="1" t="n">
        <v>45822</v>
      </c>
      <c r="D132" t="inlineStr">
        <is>
          <t>JÄMTLANDS LÄN</t>
        </is>
      </c>
      <c r="E132" t="inlineStr">
        <is>
          <t>ÅRE</t>
        </is>
      </c>
      <c r="G132" t="n">
        <v>3.4</v>
      </c>
      <c r="H132" t="n">
        <v>0</v>
      </c>
      <c r="I132" t="n">
        <v>3</v>
      </c>
      <c r="J132" t="n">
        <v>0</v>
      </c>
      <c r="K132" t="n">
        <v>0</v>
      </c>
      <c r="L132" t="n">
        <v>0</v>
      </c>
      <c r="M132" t="n">
        <v>0</v>
      </c>
      <c r="N132" t="n">
        <v>0</v>
      </c>
      <c r="O132" t="n">
        <v>0</v>
      </c>
      <c r="P132" t="n">
        <v>0</v>
      </c>
      <c r="Q132" t="n">
        <v>3</v>
      </c>
      <c r="R132" s="2" t="inlineStr">
        <is>
          <t>Finbräken
Svart trolldruva
Underviol</t>
        </is>
      </c>
      <c r="S132">
        <f>HYPERLINK("https://klasma.github.io/Logging_2321/artfynd/A 20124-2023 artfynd.xlsx", "A 20124-2023")</f>
        <v/>
      </c>
      <c r="T132">
        <f>HYPERLINK("https://klasma.github.io/Logging_2321/kartor/A 20124-2023 karta.png", "A 20124-2023")</f>
        <v/>
      </c>
      <c r="V132">
        <f>HYPERLINK("https://klasma.github.io/Logging_2321/klagomål/A 20124-2023 FSC-klagomål.docx", "A 20124-2023")</f>
        <v/>
      </c>
      <c r="W132">
        <f>HYPERLINK("https://klasma.github.io/Logging_2321/klagomålsmail/A 20124-2023 FSC-klagomål mail.docx", "A 20124-2023")</f>
        <v/>
      </c>
      <c r="X132">
        <f>HYPERLINK("https://klasma.github.io/Logging_2321/tillsyn/A 20124-2023 tillsynsbegäran.docx", "A 20124-2023")</f>
        <v/>
      </c>
      <c r="Y132">
        <f>HYPERLINK("https://klasma.github.io/Logging_2321/tillsynsmail/A 20124-2023 tillsynsbegäran mail.docx", "A 20124-2023")</f>
        <v/>
      </c>
    </row>
    <row r="133" ht="15" customHeight="1">
      <c r="A133" t="inlineStr">
        <is>
          <t>A 23638-2023</t>
        </is>
      </c>
      <c r="B133" s="1" t="n">
        <v>45072</v>
      </c>
      <c r="C133" s="1" t="n">
        <v>45822</v>
      </c>
      <c r="D133" t="inlineStr">
        <is>
          <t>JÄMTLANDS LÄN</t>
        </is>
      </c>
      <c r="E133" t="inlineStr">
        <is>
          <t>ÅRE</t>
        </is>
      </c>
      <c r="G133" t="n">
        <v>11.2</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23638-2023 artfynd.xlsx", "A 23638-2023")</f>
        <v/>
      </c>
      <c r="T133">
        <f>HYPERLINK("https://klasma.github.io/Logging_2321/kartor/A 23638-2023 karta.png", "A 23638-2023")</f>
        <v/>
      </c>
      <c r="V133">
        <f>HYPERLINK("https://klasma.github.io/Logging_2321/klagomål/A 23638-2023 FSC-klagomål.docx", "A 23638-2023")</f>
        <v/>
      </c>
      <c r="W133">
        <f>HYPERLINK("https://klasma.github.io/Logging_2321/klagomålsmail/A 23638-2023 FSC-klagomål mail.docx", "A 23638-2023")</f>
        <v/>
      </c>
      <c r="X133">
        <f>HYPERLINK("https://klasma.github.io/Logging_2321/tillsyn/A 23638-2023 tillsynsbegäran.docx", "A 23638-2023")</f>
        <v/>
      </c>
      <c r="Y133">
        <f>HYPERLINK("https://klasma.github.io/Logging_2321/tillsynsmail/A 23638-2023 tillsynsbegäran mail.docx", "A 23638-2023")</f>
        <v/>
      </c>
      <c r="Z133">
        <f>HYPERLINK("https://klasma.github.io/Logging_2321/fåglar/A 23638-2023 prioriterade fågelarter.docx", "A 23638-2023")</f>
        <v/>
      </c>
    </row>
    <row r="134" ht="15" customHeight="1">
      <c r="A134" t="inlineStr">
        <is>
          <t>A 23729-2023</t>
        </is>
      </c>
      <c r="B134" s="1" t="n">
        <v>45072</v>
      </c>
      <c r="C134" s="1" t="n">
        <v>45822</v>
      </c>
      <c r="D134" t="inlineStr">
        <is>
          <t>JÄMTLANDS LÄN</t>
        </is>
      </c>
      <c r="E134" t="inlineStr">
        <is>
          <t>ÅRE</t>
        </is>
      </c>
      <c r="G134" t="n">
        <v>4.3</v>
      </c>
      <c r="H134" t="n">
        <v>1</v>
      </c>
      <c r="I134" t="n">
        <v>0</v>
      </c>
      <c r="J134" t="n">
        <v>3</v>
      </c>
      <c r="K134" t="n">
        <v>0</v>
      </c>
      <c r="L134" t="n">
        <v>0</v>
      </c>
      <c r="M134" t="n">
        <v>0</v>
      </c>
      <c r="N134" t="n">
        <v>0</v>
      </c>
      <c r="O134" t="n">
        <v>3</v>
      </c>
      <c r="P134" t="n">
        <v>0</v>
      </c>
      <c r="Q134" t="n">
        <v>3</v>
      </c>
      <c r="R134" s="2" t="inlineStr">
        <is>
          <t>Granticka
Lunglav
Tretåig hackspett</t>
        </is>
      </c>
      <c r="S134">
        <f>HYPERLINK("https://klasma.github.io/Logging_2321/artfynd/A 23729-2023 artfynd.xlsx", "A 23729-2023")</f>
        <v/>
      </c>
      <c r="T134">
        <f>HYPERLINK("https://klasma.github.io/Logging_2321/kartor/A 23729-2023 karta.png", "A 23729-2023")</f>
        <v/>
      </c>
      <c r="V134">
        <f>HYPERLINK("https://klasma.github.io/Logging_2321/klagomål/A 23729-2023 FSC-klagomål.docx", "A 23729-2023")</f>
        <v/>
      </c>
      <c r="W134">
        <f>HYPERLINK("https://klasma.github.io/Logging_2321/klagomålsmail/A 23729-2023 FSC-klagomål mail.docx", "A 23729-2023")</f>
        <v/>
      </c>
      <c r="X134">
        <f>HYPERLINK("https://klasma.github.io/Logging_2321/tillsyn/A 23729-2023 tillsynsbegäran.docx", "A 23729-2023")</f>
        <v/>
      </c>
      <c r="Y134">
        <f>HYPERLINK("https://klasma.github.io/Logging_2321/tillsynsmail/A 23729-2023 tillsynsbegäran mail.docx", "A 23729-2023")</f>
        <v/>
      </c>
      <c r="Z134">
        <f>HYPERLINK("https://klasma.github.io/Logging_2321/fåglar/A 23729-2023 prioriterade fågelarter.docx", "A 23729-2023")</f>
        <v/>
      </c>
    </row>
    <row r="135" ht="15" customHeight="1">
      <c r="A135" t="inlineStr">
        <is>
          <t>A 24549-2023</t>
        </is>
      </c>
      <c r="B135" s="1" t="n">
        <v>45082</v>
      </c>
      <c r="C135" s="1" t="n">
        <v>45822</v>
      </c>
      <c r="D135" t="inlineStr">
        <is>
          <t>JÄMTLANDS LÄN</t>
        </is>
      </c>
      <c r="E135" t="inlineStr">
        <is>
          <t>ÅRE</t>
        </is>
      </c>
      <c r="G135" t="n">
        <v>6.4</v>
      </c>
      <c r="H135" t="n">
        <v>2</v>
      </c>
      <c r="I135" t="n">
        <v>2</v>
      </c>
      <c r="J135" t="n">
        <v>0</v>
      </c>
      <c r="K135" t="n">
        <v>0</v>
      </c>
      <c r="L135" t="n">
        <v>0</v>
      </c>
      <c r="M135" t="n">
        <v>0</v>
      </c>
      <c r="N135" t="n">
        <v>0</v>
      </c>
      <c r="O135" t="n">
        <v>0</v>
      </c>
      <c r="P135" t="n">
        <v>0</v>
      </c>
      <c r="Q135" t="n">
        <v>3</v>
      </c>
      <c r="R135" s="2" t="inlineStr">
        <is>
          <t>Spindelblomster
Ögonpyrola
Revlummer</t>
        </is>
      </c>
      <c r="S135">
        <f>HYPERLINK("https://klasma.github.io/Logging_2321/artfynd/A 24549-2023 artfynd.xlsx", "A 24549-2023")</f>
        <v/>
      </c>
      <c r="T135">
        <f>HYPERLINK("https://klasma.github.io/Logging_2321/kartor/A 24549-2023 karta.png", "A 24549-2023")</f>
        <v/>
      </c>
      <c r="V135">
        <f>HYPERLINK("https://klasma.github.io/Logging_2321/klagomål/A 24549-2023 FSC-klagomål.docx", "A 24549-2023")</f>
        <v/>
      </c>
      <c r="W135">
        <f>HYPERLINK("https://klasma.github.io/Logging_2321/klagomålsmail/A 24549-2023 FSC-klagomål mail.docx", "A 24549-2023")</f>
        <v/>
      </c>
      <c r="X135">
        <f>HYPERLINK("https://klasma.github.io/Logging_2321/tillsyn/A 24549-2023 tillsynsbegäran.docx", "A 24549-2023")</f>
        <v/>
      </c>
      <c r="Y135">
        <f>HYPERLINK("https://klasma.github.io/Logging_2321/tillsynsmail/A 24549-2023 tillsynsbegäran mail.docx", "A 24549-2023")</f>
        <v/>
      </c>
    </row>
    <row r="136" ht="15" customHeight="1">
      <c r="A136" t="inlineStr">
        <is>
          <t>A 36260-2023</t>
        </is>
      </c>
      <c r="B136" s="1" t="n">
        <v>45151</v>
      </c>
      <c r="C136" s="1" t="n">
        <v>45822</v>
      </c>
      <c r="D136" t="inlineStr">
        <is>
          <t>JÄMTLANDS LÄN</t>
        </is>
      </c>
      <c r="E136" t="inlineStr">
        <is>
          <t>ÅRE</t>
        </is>
      </c>
      <c r="G136" t="n">
        <v>2.6</v>
      </c>
      <c r="H136" t="n">
        <v>0</v>
      </c>
      <c r="I136" t="n">
        <v>3</v>
      </c>
      <c r="J136" t="n">
        <v>0</v>
      </c>
      <c r="K136" t="n">
        <v>0</v>
      </c>
      <c r="L136" t="n">
        <v>0</v>
      </c>
      <c r="M136" t="n">
        <v>0</v>
      </c>
      <c r="N136" t="n">
        <v>0</v>
      </c>
      <c r="O136" t="n">
        <v>0</v>
      </c>
      <c r="P136" t="n">
        <v>0</v>
      </c>
      <c r="Q136" t="n">
        <v>3</v>
      </c>
      <c r="R136" s="2" t="inlineStr">
        <is>
          <t>Svavelriska
Underviol
Vedticka</t>
        </is>
      </c>
      <c r="S136">
        <f>HYPERLINK("https://klasma.github.io/Logging_2321/artfynd/A 36260-2023 artfynd.xlsx", "A 36260-2023")</f>
        <v/>
      </c>
      <c r="T136">
        <f>HYPERLINK("https://klasma.github.io/Logging_2321/kartor/A 36260-2023 karta.png", "A 36260-2023")</f>
        <v/>
      </c>
      <c r="V136">
        <f>HYPERLINK("https://klasma.github.io/Logging_2321/klagomål/A 36260-2023 FSC-klagomål.docx", "A 36260-2023")</f>
        <v/>
      </c>
      <c r="W136">
        <f>HYPERLINK("https://klasma.github.io/Logging_2321/klagomålsmail/A 36260-2023 FSC-klagomål mail.docx", "A 36260-2023")</f>
        <v/>
      </c>
      <c r="X136">
        <f>HYPERLINK("https://klasma.github.io/Logging_2321/tillsyn/A 36260-2023 tillsynsbegäran.docx", "A 36260-2023")</f>
        <v/>
      </c>
      <c r="Y136">
        <f>HYPERLINK("https://klasma.github.io/Logging_2321/tillsynsmail/A 36260-2023 tillsynsbegäran mail.docx", "A 36260-2023")</f>
        <v/>
      </c>
    </row>
    <row r="137" ht="15" customHeight="1">
      <c r="A137" t="inlineStr">
        <is>
          <t>A 40245-2023</t>
        </is>
      </c>
      <c r="B137" s="1" t="n">
        <v>45167</v>
      </c>
      <c r="C137" s="1" t="n">
        <v>45822</v>
      </c>
      <c r="D137" t="inlineStr">
        <is>
          <t>JÄMTLANDS LÄN</t>
        </is>
      </c>
      <c r="E137" t="inlineStr">
        <is>
          <t>ÅRE</t>
        </is>
      </c>
      <c r="G137" t="n">
        <v>18.8</v>
      </c>
      <c r="H137" t="n">
        <v>1</v>
      </c>
      <c r="I137" t="n">
        <v>0</v>
      </c>
      <c r="J137" t="n">
        <v>3</v>
      </c>
      <c r="K137" t="n">
        <v>0</v>
      </c>
      <c r="L137" t="n">
        <v>0</v>
      </c>
      <c r="M137" t="n">
        <v>0</v>
      </c>
      <c r="N137" t="n">
        <v>0</v>
      </c>
      <c r="O137" t="n">
        <v>3</v>
      </c>
      <c r="P137" t="n">
        <v>0</v>
      </c>
      <c r="Q137" t="n">
        <v>3</v>
      </c>
      <c r="R137" s="2" t="inlineStr">
        <is>
          <t>Lunglav
Skrovellav
Tretåig hackspett</t>
        </is>
      </c>
      <c r="S137">
        <f>HYPERLINK("https://klasma.github.io/Logging_2321/artfynd/A 40245-2023 artfynd.xlsx", "A 40245-2023")</f>
        <v/>
      </c>
      <c r="T137">
        <f>HYPERLINK("https://klasma.github.io/Logging_2321/kartor/A 40245-2023 karta.png", "A 40245-2023")</f>
        <v/>
      </c>
      <c r="V137">
        <f>HYPERLINK("https://klasma.github.io/Logging_2321/klagomål/A 40245-2023 FSC-klagomål.docx", "A 40245-2023")</f>
        <v/>
      </c>
      <c r="W137">
        <f>HYPERLINK("https://klasma.github.io/Logging_2321/klagomålsmail/A 40245-2023 FSC-klagomål mail.docx", "A 40245-2023")</f>
        <v/>
      </c>
      <c r="X137">
        <f>HYPERLINK("https://klasma.github.io/Logging_2321/tillsyn/A 40245-2023 tillsynsbegäran.docx", "A 40245-2023")</f>
        <v/>
      </c>
      <c r="Y137">
        <f>HYPERLINK("https://klasma.github.io/Logging_2321/tillsynsmail/A 40245-2023 tillsynsbegäran mail.docx", "A 40245-2023")</f>
        <v/>
      </c>
      <c r="Z137">
        <f>HYPERLINK("https://klasma.github.io/Logging_2321/fåglar/A 40245-2023 prioriterade fågelarter.docx", "A 40245-2023")</f>
        <v/>
      </c>
    </row>
    <row r="138" ht="15" customHeight="1">
      <c r="A138" t="inlineStr">
        <is>
          <t>A 58387-2023</t>
        </is>
      </c>
      <c r="B138" s="1" t="n">
        <v>45250</v>
      </c>
      <c r="C138" s="1" t="n">
        <v>45822</v>
      </c>
      <c r="D138" t="inlineStr">
        <is>
          <t>JÄMTLANDS LÄN</t>
        </is>
      </c>
      <c r="E138" t="inlineStr">
        <is>
          <t>ÅRE</t>
        </is>
      </c>
      <c r="G138" t="n">
        <v>24.7</v>
      </c>
      <c r="H138" t="n">
        <v>3</v>
      </c>
      <c r="I138" t="n">
        <v>0</v>
      </c>
      <c r="J138" t="n">
        <v>2</v>
      </c>
      <c r="K138" t="n">
        <v>0</v>
      </c>
      <c r="L138" t="n">
        <v>0</v>
      </c>
      <c r="M138" t="n">
        <v>0</v>
      </c>
      <c r="N138" t="n">
        <v>0</v>
      </c>
      <c r="O138" t="n">
        <v>2</v>
      </c>
      <c r="P138" t="n">
        <v>0</v>
      </c>
      <c r="Q138" t="n">
        <v>3</v>
      </c>
      <c r="R138" s="2" t="inlineStr">
        <is>
          <t>Spillkråka
Tretåig hackspett
Lavskrika</t>
        </is>
      </c>
      <c r="S138">
        <f>HYPERLINK("https://klasma.github.io/Logging_2321/artfynd/A 58387-2023 artfynd.xlsx", "A 58387-2023")</f>
        <v/>
      </c>
      <c r="T138">
        <f>HYPERLINK("https://klasma.github.io/Logging_2321/kartor/A 58387-2023 karta.png", "A 58387-2023")</f>
        <v/>
      </c>
      <c r="V138">
        <f>HYPERLINK("https://klasma.github.io/Logging_2321/klagomål/A 58387-2023 FSC-klagomål.docx", "A 58387-2023")</f>
        <v/>
      </c>
      <c r="W138">
        <f>HYPERLINK("https://klasma.github.io/Logging_2321/klagomålsmail/A 58387-2023 FSC-klagomål mail.docx", "A 58387-2023")</f>
        <v/>
      </c>
      <c r="X138">
        <f>HYPERLINK("https://klasma.github.io/Logging_2321/tillsyn/A 58387-2023 tillsynsbegäran.docx", "A 58387-2023")</f>
        <v/>
      </c>
      <c r="Y138">
        <f>HYPERLINK("https://klasma.github.io/Logging_2321/tillsynsmail/A 58387-2023 tillsynsbegäran mail.docx", "A 58387-2023")</f>
        <v/>
      </c>
      <c r="Z138">
        <f>HYPERLINK("https://klasma.github.io/Logging_2321/fåglar/A 58387-2023 prioriterade fågelarter.docx", "A 58387-2023")</f>
        <v/>
      </c>
    </row>
    <row r="139" ht="15" customHeight="1">
      <c r="A139" t="inlineStr">
        <is>
          <t>A 8121-2024</t>
        </is>
      </c>
      <c r="B139" s="1" t="n">
        <v>45351</v>
      </c>
      <c r="C139" s="1" t="n">
        <v>45822</v>
      </c>
      <c r="D139" t="inlineStr">
        <is>
          <t>JÄMTLANDS LÄN</t>
        </is>
      </c>
      <c r="E139" t="inlineStr">
        <is>
          <t>ÅRE</t>
        </is>
      </c>
      <c r="F139" t="inlineStr">
        <is>
          <t>Övriga Aktiebolag</t>
        </is>
      </c>
      <c r="G139" t="n">
        <v>14.7</v>
      </c>
      <c r="H139" t="n">
        <v>0</v>
      </c>
      <c r="I139" t="n">
        <v>0</v>
      </c>
      <c r="J139" t="n">
        <v>3</v>
      </c>
      <c r="K139" t="n">
        <v>0</v>
      </c>
      <c r="L139" t="n">
        <v>0</v>
      </c>
      <c r="M139" t="n">
        <v>0</v>
      </c>
      <c r="N139" t="n">
        <v>0</v>
      </c>
      <c r="O139" t="n">
        <v>3</v>
      </c>
      <c r="P139" t="n">
        <v>0</v>
      </c>
      <c r="Q139" t="n">
        <v>3</v>
      </c>
      <c r="R139" s="2" t="inlineStr">
        <is>
          <t>Dvärgbägarlav
Nordtagging
Skrovellav</t>
        </is>
      </c>
      <c r="S139">
        <f>HYPERLINK("https://klasma.github.io/Logging_2321/artfynd/A 8121-2024 artfynd.xlsx", "A 8121-2024")</f>
        <v/>
      </c>
      <c r="T139">
        <f>HYPERLINK("https://klasma.github.io/Logging_2321/kartor/A 8121-2024 karta.png", "A 8121-2024")</f>
        <v/>
      </c>
      <c r="V139">
        <f>HYPERLINK("https://klasma.github.io/Logging_2321/klagomål/A 8121-2024 FSC-klagomål.docx", "A 8121-2024")</f>
        <v/>
      </c>
      <c r="W139">
        <f>HYPERLINK("https://klasma.github.io/Logging_2321/klagomålsmail/A 8121-2024 FSC-klagomål mail.docx", "A 8121-2024")</f>
        <v/>
      </c>
      <c r="X139">
        <f>HYPERLINK("https://klasma.github.io/Logging_2321/tillsyn/A 8121-2024 tillsynsbegäran.docx", "A 8121-2024")</f>
        <v/>
      </c>
      <c r="Y139">
        <f>HYPERLINK("https://klasma.github.io/Logging_2321/tillsynsmail/A 8121-2024 tillsynsbegäran mail.docx", "A 8121-2024")</f>
        <v/>
      </c>
    </row>
    <row r="140" ht="15" customHeight="1">
      <c r="A140" t="inlineStr">
        <is>
          <t>A 10501-2024</t>
        </is>
      </c>
      <c r="B140" s="1" t="n">
        <v>45366</v>
      </c>
      <c r="C140" s="1" t="n">
        <v>45822</v>
      </c>
      <c r="D140" t="inlineStr">
        <is>
          <t>JÄMTLANDS LÄN</t>
        </is>
      </c>
      <c r="E140" t="inlineStr">
        <is>
          <t>ÅRE</t>
        </is>
      </c>
      <c r="G140" t="n">
        <v>4.5</v>
      </c>
      <c r="H140" t="n">
        <v>0</v>
      </c>
      <c r="I140" t="n">
        <v>0</v>
      </c>
      <c r="J140" t="n">
        <v>3</v>
      </c>
      <c r="K140" t="n">
        <v>0</v>
      </c>
      <c r="L140" t="n">
        <v>0</v>
      </c>
      <c r="M140" t="n">
        <v>0</v>
      </c>
      <c r="N140" t="n">
        <v>0</v>
      </c>
      <c r="O140" t="n">
        <v>3</v>
      </c>
      <c r="P140" t="n">
        <v>0</v>
      </c>
      <c r="Q140" t="n">
        <v>3</v>
      </c>
      <c r="R140" s="2" t="inlineStr">
        <is>
          <t>Doftskinn
Granticka
Harticka</t>
        </is>
      </c>
      <c r="S140">
        <f>HYPERLINK("https://klasma.github.io/Logging_2321/artfynd/A 10501-2024 artfynd.xlsx", "A 10501-2024")</f>
        <v/>
      </c>
      <c r="T140">
        <f>HYPERLINK("https://klasma.github.io/Logging_2321/kartor/A 10501-2024 karta.png", "A 10501-2024")</f>
        <v/>
      </c>
      <c r="V140">
        <f>HYPERLINK("https://klasma.github.io/Logging_2321/klagomål/A 10501-2024 FSC-klagomål.docx", "A 10501-2024")</f>
        <v/>
      </c>
      <c r="W140">
        <f>HYPERLINK("https://klasma.github.io/Logging_2321/klagomålsmail/A 10501-2024 FSC-klagomål mail.docx", "A 10501-2024")</f>
        <v/>
      </c>
      <c r="X140">
        <f>HYPERLINK("https://klasma.github.io/Logging_2321/tillsyn/A 10501-2024 tillsynsbegäran.docx", "A 10501-2024")</f>
        <v/>
      </c>
      <c r="Y140">
        <f>HYPERLINK("https://klasma.github.io/Logging_2321/tillsynsmail/A 10501-2024 tillsynsbegäran mail.docx", "A 10501-2024")</f>
        <v/>
      </c>
    </row>
    <row r="141" ht="15" customHeight="1">
      <c r="A141" t="inlineStr">
        <is>
          <t>A 17637-2024</t>
        </is>
      </c>
      <c r="B141" s="1" t="n">
        <v>45418</v>
      </c>
      <c r="C141" s="1" t="n">
        <v>45822</v>
      </c>
      <c r="D141" t="inlineStr">
        <is>
          <t>JÄMTLANDS LÄN</t>
        </is>
      </c>
      <c r="E141" t="inlineStr">
        <is>
          <t>ÅRE</t>
        </is>
      </c>
      <c r="F141" t="inlineStr">
        <is>
          <t>Övriga Aktiebolag</t>
        </is>
      </c>
      <c r="G141" t="n">
        <v>16.1</v>
      </c>
      <c r="H141" t="n">
        <v>1</v>
      </c>
      <c r="I141" t="n">
        <v>0</v>
      </c>
      <c r="J141" t="n">
        <v>2</v>
      </c>
      <c r="K141" t="n">
        <v>0</v>
      </c>
      <c r="L141" t="n">
        <v>0</v>
      </c>
      <c r="M141" t="n">
        <v>0</v>
      </c>
      <c r="N141" t="n">
        <v>0</v>
      </c>
      <c r="O141" t="n">
        <v>2</v>
      </c>
      <c r="P141" t="n">
        <v>0</v>
      </c>
      <c r="Q141" t="n">
        <v>3</v>
      </c>
      <c r="R141" s="2" t="inlineStr">
        <is>
          <t>Doftskinn
Garnlav
Fläcknycklar</t>
        </is>
      </c>
      <c r="S141">
        <f>HYPERLINK("https://klasma.github.io/Logging_2321/artfynd/A 17637-2024 artfynd.xlsx", "A 17637-2024")</f>
        <v/>
      </c>
      <c r="T141">
        <f>HYPERLINK("https://klasma.github.io/Logging_2321/kartor/A 17637-2024 karta.png", "A 17637-2024")</f>
        <v/>
      </c>
      <c r="V141">
        <f>HYPERLINK("https://klasma.github.io/Logging_2321/klagomål/A 17637-2024 FSC-klagomål.docx", "A 17637-2024")</f>
        <v/>
      </c>
      <c r="W141">
        <f>HYPERLINK("https://klasma.github.io/Logging_2321/klagomålsmail/A 17637-2024 FSC-klagomål mail.docx", "A 17637-2024")</f>
        <v/>
      </c>
      <c r="X141">
        <f>HYPERLINK("https://klasma.github.io/Logging_2321/tillsyn/A 17637-2024 tillsynsbegäran.docx", "A 17637-2024")</f>
        <v/>
      </c>
      <c r="Y141">
        <f>HYPERLINK("https://klasma.github.io/Logging_2321/tillsynsmail/A 17637-2024 tillsynsbegäran mail.docx", "A 17637-2024")</f>
        <v/>
      </c>
    </row>
    <row r="142" ht="15" customHeight="1">
      <c r="A142" t="inlineStr">
        <is>
          <t>A 18716-2024</t>
        </is>
      </c>
      <c r="B142" s="1" t="n">
        <v>45426</v>
      </c>
      <c r="C142" s="1" t="n">
        <v>45822</v>
      </c>
      <c r="D142" t="inlineStr">
        <is>
          <t>JÄMTLANDS LÄN</t>
        </is>
      </c>
      <c r="E142" t="inlineStr">
        <is>
          <t>ÅRE</t>
        </is>
      </c>
      <c r="F142" t="inlineStr">
        <is>
          <t>Övriga Aktiebolag</t>
        </is>
      </c>
      <c r="G142" t="n">
        <v>1.3</v>
      </c>
      <c r="H142" t="n">
        <v>1</v>
      </c>
      <c r="I142" t="n">
        <v>0</v>
      </c>
      <c r="J142" t="n">
        <v>3</v>
      </c>
      <c r="K142" t="n">
        <v>0</v>
      </c>
      <c r="L142" t="n">
        <v>0</v>
      </c>
      <c r="M142" t="n">
        <v>0</v>
      </c>
      <c r="N142" t="n">
        <v>0</v>
      </c>
      <c r="O142" t="n">
        <v>3</v>
      </c>
      <c r="P142" t="n">
        <v>0</v>
      </c>
      <c r="Q142" t="n">
        <v>3</v>
      </c>
      <c r="R142" s="2" t="inlineStr">
        <is>
          <t>Doftskinn
Granticka
Tretåig hackspett</t>
        </is>
      </c>
      <c r="S142">
        <f>HYPERLINK("https://klasma.github.io/Logging_2321/artfynd/A 18716-2024 artfynd.xlsx", "A 18716-2024")</f>
        <v/>
      </c>
      <c r="T142">
        <f>HYPERLINK("https://klasma.github.io/Logging_2321/kartor/A 18716-2024 karta.png", "A 18716-2024")</f>
        <v/>
      </c>
      <c r="V142">
        <f>HYPERLINK("https://klasma.github.io/Logging_2321/klagomål/A 18716-2024 FSC-klagomål.docx", "A 18716-2024")</f>
        <v/>
      </c>
      <c r="W142">
        <f>HYPERLINK("https://klasma.github.io/Logging_2321/klagomålsmail/A 18716-2024 FSC-klagomål mail.docx", "A 18716-2024")</f>
        <v/>
      </c>
      <c r="X142">
        <f>HYPERLINK("https://klasma.github.io/Logging_2321/tillsyn/A 18716-2024 tillsynsbegäran.docx", "A 18716-2024")</f>
        <v/>
      </c>
      <c r="Y142">
        <f>HYPERLINK("https://klasma.github.io/Logging_2321/tillsynsmail/A 18716-2024 tillsynsbegäran mail.docx", "A 18716-2024")</f>
        <v/>
      </c>
      <c r="Z142">
        <f>HYPERLINK("https://klasma.github.io/Logging_2321/fåglar/A 18716-2024 prioriterade fågelarter.docx", "A 18716-2024")</f>
        <v/>
      </c>
    </row>
    <row r="143" ht="15" customHeight="1">
      <c r="A143" t="inlineStr">
        <is>
          <t>A 41563-2024</t>
        </is>
      </c>
      <c r="B143" s="1" t="n">
        <v>45560</v>
      </c>
      <c r="C143" s="1" t="n">
        <v>45822</v>
      </c>
      <c r="D143" t="inlineStr">
        <is>
          <t>JÄMTLANDS LÄN</t>
        </is>
      </c>
      <c r="E143" t="inlineStr">
        <is>
          <t>ÅRE</t>
        </is>
      </c>
      <c r="G143" t="n">
        <v>9.4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HYPERLINK("https://klasma.github.io/Logging_2321/artfynd/A 41563-2024 artfynd.xlsx", "A 41563-2024")</f>
        <v/>
      </c>
      <c r="T143">
        <f>HYPERLINK("https://klasma.github.io/Logging_2321/kartor/A 41563-2024 karta.png", "A 41563-2024")</f>
        <v/>
      </c>
      <c r="V143">
        <f>HYPERLINK("https://klasma.github.io/Logging_2321/klagomål/A 41563-2024 FSC-klagomål.docx", "A 41563-2024")</f>
        <v/>
      </c>
      <c r="W143">
        <f>HYPERLINK("https://klasma.github.io/Logging_2321/klagomålsmail/A 41563-2024 FSC-klagomål mail.docx", "A 41563-2024")</f>
        <v/>
      </c>
      <c r="X143">
        <f>HYPERLINK("https://klasma.github.io/Logging_2321/tillsyn/A 41563-2024 tillsynsbegäran.docx", "A 41563-2024")</f>
        <v/>
      </c>
      <c r="Y143">
        <f>HYPERLINK("https://klasma.github.io/Logging_2321/tillsynsmail/A 41563-2024 tillsynsbegäran mail.docx", "A 41563-2024")</f>
        <v/>
      </c>
      <c r="Z143">
        <f>HYPERLINK("https://klasma.github.io/Logging_2321/fåglar/A 41563-2024 prioriterade fågelarter.docx", "A 41563-2024")</f>
        <v/>
      </c>
    </row>
    <row r="144" ht="15" customHeight="1">
      <c r="A144" t="inlineStr">
        <is>
          <t>A 52588-2024</t>
        </is>
      </c>
      <c r="B144" s="1" t="n">
        <v>45609</v>
      </c>
      <c r="C144" s="1" t="n">
        <v>45822</v>
      </c>
      <c r="D144" t="inlineStr">
        <is>
          <t>JÄMTLANDS LÄN</t>
        </is>
      </c>
      <c r="E144" t="inlineStr">
        <is>
          <t>ÅRE</t>
        </is>
      </c>
      <c r="G144" t="n">
        <v>6.5</v>
      </c>
      <c r="H144" t="n">
        <v>0</v>
      </c>
      <c r="I144" t="n">
        <v>1</v>
      </c>
      <c r="J144" t="n">
        <v>2</v>
      </c>
      <c r="K144" t="n">
        <v>0</v>
      </c>
      <c r="L144" t="n">
        <v>0</v>
      </c>
      <c r="M144" t="n">
        <v>0</v>
      </c>
      <c r="N144" t="n">
        <v>0</v>
      </c>
      <c r="O144" t="n">
        <v>2</v>
      </c>
      <c r="P144" t="n">
        <v>0</v>
      </c>
      <c r="Q144" t="n">
        <v>3</v>
      </c>
      <c r="R144" s="2" t="inlineStr">
        <is>
          <t>Garnlav
Liten svartspik
Vedticka</t>
        </is>
      </c>
      <c r="S144">
        <f>HYPERLINK("https://klasma.github.io/Logging_2321/artfynd/A 52588-2024 artfynd.xlsx", "A 52588-2024")</f>
        <v/>
      </c>
      <c r="T144">
        <f>HYPERLINK("https://klasma.github.io/Logging_2321/kartor/A 52588-2024 karta.png", "A 52588-2024")</f>
        <v/>
      </c>
      <c r="V144">
        <f>HYPERLINK("https://klasma.github.io/Logging_2321/klagomål/A 52588-2024 FSC-klagomål.docx", "A 52588-2024")</f>
        <v/>
      </c>
      <c r="W144">
        <f>HYPERLINK("https://klasma.github.io/Logging_2321/klagomålsmail/A 52588-2024 FSC-klagomål mail.docx", "A 52588-2024")</f>
        <v/>
      </c>
      <c r="X144">
        <f>HYPERLINK("https://klasma.github.io/Logging_2321/tillsyn/A 52588-2024 tillsynsbegäran.docx", "A 52588-2024")</f>
        <v/>
      </c>
      <c r="Y144">
        <f>HYPERLINK("https://klasma.github.io/Logging_2321/tillsynsmail/A 52588-2024 tillsynsbegäran mail.docx", "A 52588-2024")</f>
        <v/>
      </c>
    </row>
    <row r="145" ht="15" customHeight="1">
      <c r="A145" t="inlineStr">
        <is>
          <t>A 57918-2024</t>
        </is>
      </c>
      <c r="B145" s="1" t="n">
        <v>45631</v>
      </c>
      <c r="C145" s="1" t="n">
        <v>45822</v>
      </c>
      <c r="D145" t="inlineStr">
        <is>
          <t>JÄMTLANDS LÄN</t>
        </is>
      </c>
      <c r="E145" t="inlineStr">
        <is>
          <t>ÅRE</t>
        </is>
      </c>
      <c r="F145" t="inlineStr">
        <is>
          <t>Övriga Aktiebolag</t>
        </is>
      </c>
      <c r="G145" t="n">
        <v>18.8</v>
      </c>
      <c r="H145" t="n">
        <v>1</v>
      </c>
      <c r="I145" t="n">
        <v>0</v>
      </c>
      <c r="J145" t="n">
        <v>3</v>
      </c>
      <c r="K145" t="n">
        <v>0</v>
      </c>
      <c r="L145" t="n">
        <v>0</v>
      </c>
      <c r="M145" t="n">
        <v>0</v>
      </c>
      <c r="N145" t="n">
        <v>0</v>
      </c>
      <c r="O145" t="n">
        <v>3</v>
      </c>
      <c r="P145" t="n">
        <v>0</v>
      </c>
      <c r="Q145" t="n">
        <v>3</v>
      </c>
      <c r="R145" s="2" t="inlineStr">
        <is>
          <t>Gammelgransskål
Garnlav
Tretåig hackspett</t>
        </is>
      </c>
      <c r="S145">
        <f>HYPERLINK("https://klasma.github.io/Logging_2321/artfynd/A 57918-2024 artfynd.xlsx", "A 57918-2024")</f>
        <v/>
      </c>
      <c r="T145">
        <f>HYPERLINK("https://klasma.github.io/Logging_2321/kartor/A 57918-2024 karta.png", "A 57918-2024")</f>
        <v/>
      </c>
      <c r="V145">
        <f>HYPERLINK("https://klasma.github.io/Logging_2321/klagomål/A 57918-2024 FSC-klagomål.docx", "A 57918-2024")</f>
        <v/>
      </c>
      <c r="W145">
        <f>HYPERLINK("https://klasma.github.io/Logging_2321/klagomålsmail/A 57918-2024 FSC-klagomål mail.docx", "A 57918-2024")</f>
        <v/>
      </c>
      <c r="X145">
        <f>HYPERLINK("https://klasma.github.io/Logging_2321/tillsyn/A 57918-2024 tillsynsbegäran.docx", "A 57918-2024")</f>
        <v/>
      </c>
      <c r="Y145">
        <f>HYPERLINK("https://klasma.github.io/Logging_2321/tillsynsmail/A 57918-2024 tillsynsbegäran mail.docx", "A 57918-2024")</f>
        <v/>
      </c>
      <c r="Z145">
        <f>HYPERLINK("https://klasma.github.io/Logging_2321/fåglar/A 57918-2024 prioriterade fågelarter.docx", "A 57918-2024")</f>
        <v/>
      </c>
    </row>
    <row r="146" ht="15" customHeight="1">
      <c r="A146" t="inlineStr">
        <is>
          <t>A 61875-2024</t>
        </is>
      </c>
      <c r="B146" s="1" t="n">
        <v>45651</v>
      </c>
      <c r="C146" s="1" t="n">
        <v>45822</v>
      </c>
      <c r="D146" t="inlineStr">
        <is>
          <t>JÄMTLANDS LÄN</t>
        </is>
      </c>
      <c r="E146" t="inlineStr">
        <is>
          <t>ÅRE</t>
        </is>
      </c>
      <c r="G146" t="n">
        <v>35.5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HYPERLINK("https://klasma.github.io/Logging_2321/artfynd/A 61875-2024 artfynd.xlsx", "A 61875-2024")</f>
        <v/>
      </c>
      <c r="T146">
        <f>HYPERLINK("https://klasma.github.io/Logging_2321/kartor/A 61875-2024 karta.png", "A 61875-2024")</f>
        <v/>
      </c>
      <c r="V146">
        <f>HYPERLINK("https://klasma.github.io/Logging_2321/klagomål/A 61875-2024 FSC-klagomål.docx", "A 61875-2024")</f>
        <v/>
      </c>
      <c r="W146">
        <f>HYPERLINK("https://klasma.github.io/Logging_2321/klagomålsmail/A 61875-2024 FSC-klagomål mail.docx", "A 61875-2024")</f>
        <v/>
      </c>
      <c r="X146">
        <f>HYPERLINK("https://klasma.github.io/Logging_2321/tillsyn/A 61875-2024 tillsynsbegäran.docx", "A 61875-2024")</f>
        <v/>
      </c>
      <c r="Y146">
        <f>HYPERLINK("https://klasma.github.io/Logging_2321/tillsynsmail/A 61875-2024 tillsynsbegäran mail.docx", "A 61875-2024")</f>
        <v/>
      </c>
      <c r="Z146">
        <f>HYPERLINK("https://klasma.github.io/Logging_2321/fåglar/A 61875-2024 prioriterade fågelarter.docx", "A 61875-2024")</f>
        <v/>
      </c>
    </row>
    <row r="147" ht="15" customHeight="1">
      <c r="A147" t="inlineStr">
        <is>
          <t>A 6385-2025</t>
        </is>
      </c>
      <c r="B147" s="1" t="n">
        <v>45699</v>
      </c>
      <c r="C147" s="1" t="n">
        <v>45822</v>
      </c>
      <c r="D147" t="inlineStr">
        <is>
          <t>JÄMTLANDS LÄN</t>
        </is>
      </c>
      <c r="E147" t="inlineStr">
        <is>
          <t>ÅRE</t>
        </is>
      </c>
      <c r="G147" t="n">
        <v>78.2</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HYPERLINK("https://klasma.github.io/Logging_2321/artfynd/A 6385-2025 artfynd.xlsx", "A 6385-2025")</f>
        <v/>
      </c>
      <c r="T147">
        <f>HYPERLINK("https://klasma.github.io/Logging_2321/kartor/A 6385-2025 karta.png", "A 6385-2025")</f>
        <v/>
      </c>
      <c r="V147">
        <f>HYPERLINK("https://klasma.github.io/Logging_2321/klagomål/A 6385-2025 FSC-klagomål.docx", "A 6385-2025")</f>
        <v/>
      </c>
      <c r="W147">
        <f>HYPERLINK("https://klasma.github.io/Logging_2321/klagomålsmail/A 6385-2025 FSC-klagomål mail.docx", "A 6385-2025")</f>
        <v/>
      </c>
      <c r="X147">
        <f>HYPERLINK("https://klasma.github.io/Logging_2321/tillsyn/A 6385-2025 tillsynsbegäran.docx", "A 6385-2025")</f>
        <v/>
      </c>
      <c r="Y147">
        <f>HYPERLINK("https://klasma.github.io/Logging_2321/tillsynsmail/A 6385-2025 tillsynsbegäran mail.docx", "A 6385-2025")</f>
        <v/>
      </c>
      <c r="Z147">
        <f>HYPERLINK("https://klasma.github.io/Logging_2321/fåglar/A 6385-2025 prioriterade fågelarter.docx", "A 6385-2025")</f>
        <v/>
      </c>
    </row>
    <row r="148" ht="15" customHeight="1">
      <c r="A148" t="inlineStr">
        <is>
          <t>A 17107-2025</t>
        </is>
      </c>
      <c r="B148" s="1" t="n">
        <v>45755</v>
      </c>
      <c r="C148" s="1" t="n">
        <v>45822</v>
      </c>
      <c r="D148" t="inlineStr">
        <is>
          <t>JÄMTLANDS LÄN</t>
        </is>
      </c>
      <c r="E148" t="inlineStr">
        <is>
          <t>ÅRE</t>
        </is>
      </c>
      <c r="G148" t="n">
        <v>14.2</v>
      </c>
      <c r="H148" t="n">
        <v>1</v>
      </c>
      <c r="I148" t="n">
        <v>2</v>
      </c>
      <c r="J148" t="n">
        <v>1</v>
      </c>
      <c r="K148" t="n">
        <v>0</v>
      </c>
      <c r="L148" t="n">
        <v>0</v>
      </c>
      <c r="M148" t="n">
        <v>0</v>
      </c>
      <c r="N148" t="n">
        <v>0</v>
      </c>
      <c r="O148" t="n">
        <v>1</v>
      </c>
      <c r="P148" t="n">
        <v>0</v>
      </c>
      <c r="Q148" t="n">
        <v>3</v>
      </c>
      <c r="R148" s="2" t="inlineStr">
        <is>
          <t>Garnlav
Grönkulla
Mönjevaxing</t>
        </is>
      </c>
      <c r="S148">
        <f>HYPERLINK("https://klasma.github.io/Logging_232321/artfynd/A 17107-2025 artfynd.xlsx", "A 17107-2025")</f>
        <v/>
      </c>
      <c r="T148">
        <f>HYPERLINK("https://klasma.github.io/Logging_232321/kartor/A 17107-2025 karta.png", "A 17107-2025")</f>
        <v/>
      </c>
      <c r="V148">
        <f>HYPERLINK("https://klasma.github.io/Logging_232321/klagomål/A 17107-2025 FSC-klagomål.docx", "A 17107-2025")</f>
        <v/>
      </c>
      <c r="W148">
        <f>HYPERLINK("https://klasma.github.io/Logging_232321/klagomålsmail/A 17107-2025 FSC-klagomål mail.docx", "A 17107-2025")</f>
        <v/>
      </c>
      <c r="X148">
        <f>HYPERLINK("https://klasma.github.io/Logging_232321/tillsyn/A 17107-2025 tillsynsbegäran.docx", "A 17107-2025")</f>
        <v/>
      </c>
      <c r="Y148">
        <f>HYPERLINK("https://klasma.github.io/Logging_232321/tillsynsmail/A 17107-2025 tillsynsbegäran mail.docx", "A 17107-2025")</f>
        <v/>
      </c>
    </row>
    <row r="149" ht="15" customHeight="1">
      <c r="A149" t="inlineStr">
        <is>
          <t>A 22692-2025</t>
        </is>
      </c>
      <c r="B149" s="1" t="n">
        <v>45789</v>
      </c>
      <c r="C149" s="1" t="n">
        <v>45822</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45822</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45822</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45822</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45822</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45822</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45822</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45822</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45822</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45822</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45822</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45822</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45822</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45822</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45822</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45822</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45822</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45822</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45822</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45822</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45822</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45822</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45822</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45822</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45822</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45822</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45822</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45822</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45822</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45822</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45822</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45822</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45822</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45822</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45822</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45822</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45822</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45822</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45822</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45822</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45822</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45822</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45822</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45822</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45822</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45822</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45822</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45822</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45822</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45822</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45822</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45822</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45822</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45822</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45822</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45822</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45822</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45822</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45822</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45822</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45822</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45822</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45822</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45822</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45822</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45822</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45822</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45822</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45822</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45822</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45822</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45822</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45822</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45822</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45822</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45822</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45822</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45822</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45822</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45822</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45822</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45822</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45822</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45822</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45822</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45822</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45822</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45822</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45822</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45822</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45822</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45822</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45822</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45822</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45822</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45822</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45822</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45822</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45822</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45822</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45822</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45822</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45822</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45822</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45822</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45822</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45822</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45822</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45822</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45822</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45822</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45822</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45822</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45822</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45822</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45822</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45822</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45822</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45822</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45822</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45822</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45822</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45822</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45822</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45822</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45822</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45822</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45822</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45822</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45822</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45822</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45822</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45822</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45822</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45822</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45822</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45822</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45822</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45822</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45822</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45822</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45822</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45822</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45822</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45822</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45822</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45822</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45822</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45822</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45822</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45822</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45822</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45822</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45822</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45822</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45822</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45822</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45822</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45822</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45822</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45822</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45822</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45822</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45822</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45822</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45822</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45822</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45822</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45822</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45822</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45822</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45822</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45822</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45822</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45822</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45822</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45822</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45822</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45822</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45822</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45822</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45822</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45822</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45822</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45822</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45822</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45822</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45822</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45822</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45822</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45822</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45822</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45822</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45822</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45822</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45822</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45822</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45822</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45822</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45822</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45822</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45822</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45822</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45822</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45822</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45822</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45822</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45822</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45822</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45822</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45822</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45822</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45822</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45822</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45822</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45822</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45822</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45822</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45822</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45822</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45822</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45822</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45822</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45822</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45822</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45822</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45822</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45822</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45822</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45822</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45822</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45822</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45822</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45822</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45822</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45822</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45822</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45822</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45822</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45822</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45822</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45822</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45822</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45822</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45822</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45822</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45822</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45822</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45822</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45822</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45822</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45822</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45822</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45822</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45822</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45822</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45822</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45822</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45822</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45822</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45822</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45822</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45822</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45822</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45822</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45822</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45822</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45822</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45822</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45822</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45822</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45822</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45822</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45822</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45822</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45822</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45822</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45822</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45822</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45822</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45822</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45822</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45822</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45822</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45822</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45822</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45822</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45822</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45822</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45822</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45822</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45822</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45822</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45822</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45822</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45822</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45822</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45822</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45822</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45822</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45822</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45822</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45822</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45822</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45822</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45822</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45822</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45822</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45822</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45822</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45822</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45822</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45822</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45822</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45822</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45822</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45822</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45822</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45822</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45822</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45822</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45822</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45822</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45822</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45822</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45822</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45822</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45822</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45822</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45822</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45822</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45822</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45822</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45822</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45822</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45822</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45822</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45822</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45822</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45822</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45822</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45822</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45822</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45822</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45822</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45822</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45822</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45822</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45822</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45822</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45822</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45822</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45822</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45822</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45822</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45822</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45822</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45822</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45822</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45822</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45822</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45822</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45822</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45822</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45822</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45822</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45822</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45822</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45822</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45822</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45822</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45822</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45822</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45822</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45822</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45822</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45822</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45822</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45822</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45822</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45822</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45822</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45822</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45822</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45822</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45822</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45822</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45822</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45822</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45822</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45822</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45822</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45822</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45822</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45822</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45822</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45822</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45822</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45822</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45822</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45822</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45822</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45822</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45822</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45822</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45822</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45822</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45822</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45822</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45822</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45822</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45822</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45822</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45822</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45822</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45822</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45822</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45822</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45822</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45822</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45822</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45822</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45822</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45822</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45822</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45822</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45822</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45822</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45822</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45822</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45822</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45822</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45822</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45822</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45822</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45822</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45822</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45822</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45822</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45822</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45822</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45822</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45822</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45822</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45822</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45822</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45822</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45822</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45822</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45822</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45822</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45822</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45822</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45822</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45822</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45822</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45822</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45822</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45822</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45822</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45822</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45822</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45822</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45822</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45822</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45822</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45822</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45822</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45822</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45822</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45822</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45822</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45822</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45822</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45822</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45822</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45822</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45822</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45822</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45822</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45822</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45822</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45822</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45822</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45822</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45822</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45822</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45822</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45822</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45822</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45822</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45822</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45822</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45822</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45822</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45822</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45822</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45822</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45822</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45822</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45822</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45822</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45822</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45822</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45822</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45822</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45822</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45822</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45822</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45822</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45822</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45822</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45822</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45822</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45822</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45822</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45822</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45822</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45822</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45822</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45822</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45822</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45822</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45822</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45822</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45822</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45822</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45822</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45822</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45822</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45822</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45822</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45822</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45822</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45822</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45822</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45822</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45822</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45822</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45822</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45822</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45822</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45822</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45822</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45822</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45822</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45822</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45822</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45822</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45822</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45822</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45822</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45822</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45822</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45822</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45822</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45822</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45822</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45822</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45822</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45822</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45822</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45822</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45822</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45822</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45822</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45822</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45822</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45822</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45822</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45822</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45822</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45822</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45822</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45822</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45822</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45822</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45822</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45822</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45822</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45822</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45822</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45822</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45822</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45822</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45822</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45822</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45822</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45822</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45822</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45822</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45822</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45822</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45822</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45822</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45822</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45822</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45822</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45822</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45822</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45822</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45822</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45822</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45822</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45822</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45822</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45822</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45822</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45822</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45822</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45822</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45822</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45822</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45822</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45822</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45822</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45822</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45822</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45822</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45822</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45822</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45822</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45822</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45822</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45822</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45822</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45822</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45822</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45822</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45822</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45822</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45822</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45822</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45822</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45822</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45822</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45822</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45822</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45822</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45822</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45822</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45822</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45822</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45822</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45822</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45822</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45822</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45822</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45822</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45822</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45822</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45822</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45822</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45822</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45822</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45822</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45822</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45822</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45822</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45822</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45822</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45822</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45822</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45822</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45822</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45822</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45822</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45822</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45822</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45822</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45822</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45822</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45822</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45822</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45822</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45822</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45822</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45822</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45822</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45822</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45822</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45822</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45822</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45822</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45822</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45822</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45822</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45822</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45822</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45822</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45822</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45822</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45822</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45822</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45822</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45822</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45822</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45822</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45822</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45822</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45822</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45822</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45822</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45822</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45822</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45822</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45822</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45822</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45822</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45822</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45822</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45822</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45822</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45822</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45822</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45822</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45822</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45822</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45822</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45822</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45822</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45822</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45822</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45822</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45822</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45822</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45822</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45822</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45822</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45822</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45822</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45822</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45822</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45822</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45822</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45822</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45822</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45822</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45822</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45822</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45822</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45822</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45822</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45822</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45822</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45822</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45822</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45822</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45822</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45822</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45822</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45822</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45822</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45822</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45822</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45822</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45822</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45822</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45822</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45822</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45822</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45822</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45822</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45822</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45822</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45822</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45822</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45822</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45822</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45822</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45822</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45822</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45822</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45822</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45822</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45822</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45822</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45822</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45822</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45822</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45822</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45822</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45822</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45822</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45822</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45822</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45822</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45822</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45822</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45822</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45822</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45822</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45822</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45822</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45822</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45822</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45822</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45822</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45822</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45822</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45822</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45822</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45822</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45822</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45822</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45822</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45822</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45822</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45822</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45822</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45822</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45822</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45822</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45822</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45822</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45822</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45822</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45822</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45822</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45822</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45822</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45822</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45822</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45822</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45822</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45822</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45822</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45822</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45822</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45822</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45822</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45822</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45822</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45822</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45822</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45822</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45822</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45822</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45822</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45822</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45822</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45822</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45822</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45822</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45822</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45822</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45822</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45822</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45822</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45822</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45822</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45822</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45822</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45822</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45822</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45822</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45822</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45822</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45822</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45822</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45822</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45822</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45822</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45822</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45822</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45822</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45822</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45822</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45822</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45822</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45822</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45822</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45822</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45822</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45822</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45822</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45822</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2025-06-15T00:16:24Z</dcterms:created>
  <dcterms:modified xmlns:dcterms="http://purl.org/dc/terms/" xmlns:xsi="http://www.w3.org/2001/XMLSchema-instance" xsi:type="dcterms:W3CDTF">2025-06-15T00:16:25Z</dcterms:modified>
</cp:coreProperties>
</file>