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45894</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45894</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45894</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45894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45894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45894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45894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45894</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45894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45894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45894</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45894</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45894</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45894</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45894</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45894</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45894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45894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45894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20658-2021</t>
        </is>
      </c>
      <c r="B30" s="1" t="n">
        <v>44316</v>
      </c>
      <c r="C30" s="1" t="n">
        <v>45894</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45894</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45111-2022</t>
        </is>
      </c>
      <c r="B32" s="1" t="n">
        <v>44843.82278935185</v>
      </c>
      <c r="C32" s="1" t="n">
        <v>45894</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45894</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45894</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45894</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10619-2023</t>
        </is>
      </c>
      <c r="B36" s="1" t="n">
        <v>44984</v>
      </c>
      <c r="C36" s="1" t="n">
        <v>45894</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45894</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45894</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45894</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45894</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31953-2021</t>
        </is>
      </c>
      <c r="B41" s="1" t="n">
        <v>44370</v>
      </c>
      <c r="C41" s="1" t="n">
        <v>45894</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45894</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45894</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45894</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45894</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45894</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45894</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45894</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45894</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45894</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45894</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45894</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30035-2024</t>
        </is>
      </c>
      <c r="B53" s="1" t="n">
        <v>45485</v>
      </c>
      <c r="C53" s="1" t="n">
        <v>45894</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30035-2024 artfynd.xlsx", "A 30035-2024")</f>
        <v/>
      </c>
      <c r="T53">
        <f>HYPERLINK("https://klasma.github.io/Logging_2321/kartor/A 30035-2024 karta.png", "A 30035-2024")</f>
        <v/>
      </c>
      <c r="V53">
        <f>HYPERLINK("https://klasma.github.io/Logging_2321/klagomål/A 30035-2024 FSC-klagomål.docx", "A 30035-2024")</f>
        <v/>
      </c>
      <c r="W53">
        <f>HYPERLINK("https://klasma.github.io/Logging_2321/klagomålsmail/A 30035-2024 FSC-klagomål mail.docx", "A 30035-2024")</f>
        <v/>
      </c>
      <c r="X53">
        <f>HYPERLINK("https://klasma.github.io/Logging_2321/tillsyn/A 30035-2024 tillsynsbegäran.docx", "A 30035-2024")</f>
        <v/>
      </c>
      <c r="Y53">
        <f>HYPERLINK("https://klasma.github.io/Logging_2321/tillsynsmail/A 30035-2024 tillsynsbegäran mail.docx", "A 30035-2024")</f>
        <v/>
      </c>
      <c r="Z53">
        <f>HYPERLINK("https://klasma.github.io/Logging_2321/fåglar/A 30035-2024 prioriterade fågelarter.docx", "A 30035-2024")</f>
        <v/>
      </c>
    </row>
    <row r="54" ht="15" customHeight="1">
      <c r="A54" t="inlineStr">
        <is>
          <t>A 42629-2020</t>
        </is>
      </c>
      <c r="B54" s="1" t="n">
        <v>44077</v>
      </c>
      <c r="C54" s="1" t="n">
        <v>45894</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45894</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45894</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59380-2020</t>
        </is>
      </c>
      <c r="B57" s="1" t="n">
        <v>44145</v>
      </c>
      <c r="C57" s="1" t="n">
        <v>45894</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45114-2022</t>
        </is>
      </c>
      <c r="B58" s="1" t="n">
        <v>44843.84256944444</v>
      </c>
      <c r="C58" s="1" t="n">
        <v>45894</v>
      </c>
      <c r="D58" t="inlineStr">
        <is>
          <t>JÄMTLANDS LÄN</t>
        </is>
      </c>
      <c r="E58" t="inlineStr">
        <is>
          <t>ÅRE</t>
        </is>
      </c>
      <c r="G58" t="n">
        <v>2.1</v>
      </c>
      <c r="H58" t="n">
        <v>1</v>
      </c>
      <c r="I58" t="n">
        <v>3</v>
      </c>
      <c r="J58" t="n">
        <v>1</v>
      </c>
      <c r="K58" t="n">
        <v>0</v>
      </c>
      <c r="L58" t="n">
        <v>0</v>
      </c>
      <c r="M58" t="n">
        <v>0</v>
      </c>
      <c r="N58" t="n">
        <v>0</v>
      </c>
      <c r="O58" t="n">
        <v>1</v>
      </c>
      <c r="P58" t="n">
        <v>0</v>
      </c>
      <c r="Q58" t="n">
        <v>5</v>
      </c>
      <c r="R58" s="2" t="inlineStr">
        <is>
          <t>Lunglav
Luddlav
Strutbräken
Stuplav
Fläcknycklar</t>
        </is>
      </c>
      <c r="S58">
        <f>HYPERLINK("https://klasma.github.io/Logging_2321/artfynd/A 45114-2022 artfynd.xlsx", "A 45114-2022")</f>
        <v/>
      </c>
      <c r="T58">
        <f>HYPERLINK("https://klasma.github.io/Logging_2321/kartor/A 45114-2022 karta.png", "A 45114-2022")</f>
        <v/>
      </c>
      <c r="V58">
        <f>HYPERLINK("https://klasma.github.io/Logging_2321/klagomål/A 45114-2022 FSC-klagomål.docx", "A 45114-2022")</f>
        <v/>
      </c>
      <c r="W58">
        <f>HYPERLINK("https://klasma.github.io/Logging_2321/klagomålsmail/A 45114-2022 FSC-klagomål mail.docx", "A 45114-2022")</f>
        <v/>
      </c>
      <c r="X58">
        <f>HYPERLINK("https://klasma.github.io/Logging_2321/tillsyn/A 45114-2022 tillsynsbegäran.docx", "A 45114-2022")</f>
        <v/>
      </c>
      <c r="Y58">
        <f>HYPERLINK("https://klasma.github.io/Logging_2321/tillsynsmail/A 45114-2022 tillsynsbegäran mail.docx", "A 45114-2022")</f>
        <v/>
      </c>
    </row>
    <row r="59" ht="15" customHeight="1">
      <c r="A59" t="inlineStr">
        <is>
          <t>A 12988-2021</t>
        </is>
      </c>
      <c r="B59" s="1" t="n">
        <v>44271</v>
      </c>
      <c r="C59" s="1" t="n">
        <v>45894</v>
      </c>
      <c r="D59" t="inlineStr">
        <is>
          <t>JÄMTLANDS LÄN</t>
        </is>
      </c>
      <c r="E59" t="inlineStr">
        <is>
          <t>ÅRE</t>
        </is>
      </c>
      <c r="G59" t="n">
        <v>25.9</v>
      </c>
      <c r="H59" t="n">
        <v>1</v>
      </c>
      <c r="I59" t="n">
        <v>2</v>
      </c>
      <c r="J59" t="n">
        <v>3</v>
      </c>
      <c r="K59" t="n">
        <v>0</v>
      </c>
      <c r="L59" t="n">
        <v>0</v>
      </c>
      <c r="M59" t="n">
        <v>0</v>
      </c>
      <c r="N59" t="n">
        <v>0</v>
      </c>
      <c r="O59" t="n">
        <v>3</v>
      </c>
      <c r="P59" t="n">
        <v>0</v>
      </c>
      <c r="Q59" t="n">
        <v>5</v>
      </c>
      <c r="R59" s="2" t="inlineStr">
        <is>
          <t>Granticka
Skrovellav
Ullticka
Spindelblomster
Stuplav</t>
        </is>
      </c>
      <c r="S59">
        <f>HYPERLINK("https://klasma.github.io/Logging_2321/artfynd/A 12988-2021 artfynd.xlsx", "A 12988-2021")</f>
        <v/>
      </c>
      <c r="T59">
        <f>HYPERLINK("https://klasma.github.io/Logging_2321/kartor/A 12988-2021 karta.png", "A 12988-2021")</f>
        <v/>
      </c>
      <c r="V59">
        <f>HYPERLINK("https://klasma.github.io/Logging_2321/klagomål/A 12988-2021 FSC-klagomål.docx", "A 12988-2021")</f>
        <v/>
      </c>
      <c r="W59">
        <f>HYPERLINK("https://klasma.github.io/Logging_2321/klagomålsmail/A 12988-2021 FSC-klagomål mail.docx", "A 12988-2021")</f>
        <v/>
      </c>
      <c r="X59">
        <f>HYPERLINK("https://klasma.github.io/Logging_2321/tillsyn/A 12988-2021 tillsynsbegäran.docx", "A 12988-2021")</f>
        <v/>
      </c>
      <c r="Y59">
        <f>HYPERLINK("https://klasma.github.io/Logging_2321/tillsynsmail/A 12988-2021 tillsynsbegäran mail.docx", "A 12988-2021")</f>
        <v/>
      </c>
    </row>
    <row r="60" ht="15" customHeight="1">
      <c r="A60" t="inlineStr">
        <is>
          <t>A 14195-2021</t>
        </is>
      </c>
      <c r="B60" s="1" t="n">
        <v>44278</v>
      </c>
      <c r="C60" s="1" t="n">
        <v>45894</v>
      </c>
      <c r="D60" t="inlineStr">
        <is>
          <t>JÄMTLANDS LÄN</t>
        </is>
      </c>
      <c r="E60" t="inlineStr">
        <is>
          <t>ÅRE</t>
        </is>
      </c>
      <c r="G60" t="n">
        <v>23.1</v>
      </c>
      <c r="H60" t="n">
        <v>2</v>
      </c>
      <c r="I60" t="n">
        <v>0</v>
      </c>
      <c r="J60" t="n">
        <v>5</v>
      </c>
      <c r="K60" t="n">
        <v>0</v>
      </c>
      <c r="L60" t="n">
        <v>0</v>
      </c>
      <c r="M60" t="n">
        <v>0</v>
      </c>
      <c r="N60" t="n">
        <v>0</v>
      </c>
      <c r="O60" t="n">
        <v>5</v>
      </c>
      <c r="P60" t="n">
        <v>0</v>
      </c>
      <c r="Q60" t="n">
        <v>5</v>
      </c>
      <c r="R60" s="2" t="inlineStr">
        <is>
          <t>Garnlav
Granticka
Knottrig blåslav
Spillkråka
Tretåig hackspett</t>
        </is>
      </c>
      <c r="S60">
        <f>HYPERLINK("https://klasma.github.io/Logging_2321/artfynd/A 14195-2021 artfynd.xlsx", "A 14195-2021")</f>
        <v/>
      </c>
      <c r="T60">
        <f>HYPERLINK("https://klasma.github.io/Logging_2321/kartor/A 14195-2021 karta.png", "A 14195-2021")</f>
        <v/>
      </c>
      <c r="V60">
        <f>HYPERLINK("https://klasma.github.io/Logging_2321/klagomål/A 14195-2021 FSC-klagomål.docx", "A 14195-2021")</f>
        <v/>
      </c>
      <c r="W60">
        <f>HYPERLINK("https://klasma.github.io/Logging_2321/klagomålsmail/A 14195-2021 FSC-klagomål mail.docx", "A 14195-2021")</f>
        <v/>
      </c>
      <c r="X60">
        <f>HYPERLINK("https://klasma.github.io/Logging_2321/tillsyn/A 14195-2021 tillsynsbegäran.docx", "A 14195-2021")</f>
        <v/>
      </c>
      <c r="Y60">
        <f>HYPERLINK("https://klasma.github.io/Logging_2321/tillsynsmail/A 14195-2021 tillsynsbegäran mail.docx", "A 14195-2021")</f>
        <v/>
      </c>
      <c r="Z60">
        <f>HYPERLINK("https://klasma.github.io/Logging_2321/fåglar/A 14195-2021 prioriterade fågelarter.docx", "A 14195-2021")</f>
        <v/>
      </c>
    </row>
    <row r="61" ht="15" customHeight="1">
      <c r="A61" t="inlineStr">
        <is>
          <t>A 20039-2024</t>
        </is>
      </c>
      <c r="B61" s="1" t="n">
        <v>45434</v>
      </c>
      <c r="C61" s="1" t="n">
        <v>45894</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19925-2025</t>
        </is>
      </c>
      <c r="B62" s="1" t="n">
        <v>45771.634375</v>
      </c>
      <c r="C62" s="1" t="n">
        <v>45894</v>
      </c>
      <c r="D62" t="inlineStr">
        <is>
          <t>JÄMTLANDS LÄN</t>
        </is>
      </c>
      <c r="E62" t="inlineStr">
        <is>
          <t>ÅRE</t>
        </is>
      </c>
      <c r="G62" t="n">
        <v>7.6</v>
      </c>
      <c r="H62" t="n">
        <v>1</v>
      </c>
      <c r="I62" t="n">
        <v>1</v>
      </c>
      <c r="J62" t="n">
        <v>2</v>
      </c>
      <c r="K62" t="n">
        <v>0</v>
      </c>
      <c r="L62" t="n">
        <v>1</v>
      </c>
      <c r="M62" t="n">
        <v>0</v>
      </c>
      <c r="N62" t="n">
        <v>0</v>
      </c>
      <c r="O62" t="n">
        <v>3</v>
      </c>
      <c r="P62" t="n">
        <v>1</v>
      </c>
      <c r="Q62" t="n">
        <v>5</v>
      </c>
      <c r="R62" s="2" t="inlineStr">
        <is>
          <t>Skarptandad daggkåpa
Liten svartspik
Vitgrynig nållav
Kornig nållav
Blåsippa</t>
        </is>
      </c>
      <c r="S62">
        <f>HYPERLINK("https://klasma.github.io/Logging_2321/artfynd/A 19925-2025 artfynd.xlsx", "A 19925-2025")</f>
        <v/>
      </c>
      <c r="T62">
        <f>HYPERLINK("https://klasma.github.io/Logging_2321/kartor/A 19925-2025 karta.png", "A 19925-2025")</f>
        <v/>
      </c>
      <c r="V62">
        <f>HYPERLINK("https://klasma.github.io/Logging_2321/klagomål/A 19925-2025 FSC-klagomål.docx", "A 19925-2025")</f>
        <v/>
      </c>
      <c r="W62">
        <f>HYPERLINK("https://klasma.github.io/Logging_2321/klagomålsmail/A 19925-2025 FSC-klagomål mail.docx", "A 19925-2025")</f>
        <v/>
      </c>
      <c r="X62">
        <f>HYPERLINK("https://klasma.github.io/Logging_2321/tillsyn/A 19925-2025 tillsynsbegäran.docx", "A 19925-2025")</f>
        <v/>
      </c>
      <c r="Y62">
        <f>HYPERLINK("https://klasma.github.io/Logging_2321/tillsynsmail/A 19925-2025 tillsynsbegäran mail.docx", "A 19925-2025")</f>
        <v/>
      </c>
    </row>
    <row r="63" ht="15" customHeight="1">
      <c r="A63" t="inlineStr">
        <is>
          <t>A 17855-2024</t>
        </is>
      </c>
      <c r="B63" s="1" t="n">
        <v>45419</v>
      </c>
      <c r="C63" s="1" t="n">
        <v>45894</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30034-2024</t>
        </is>
      </c>
      <c r="B64" s="1" t="n">
        <v>45485</v>
      </c>
      <c r="C64" s="1" t="n">
        <v>45894</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30034-2024 artfynd.xlsx", "A 30034-2024")</f>
        <v/>
      </c>
      <c r="T64">
        <f>HYPERLINK("https://klasma.github.io/Logging_2321/kartor/A 30034-2024 karta.png", "A 30034-2024")</f>
        <v/>
      </c>
      <c r="V64">
        <f>HYPERLINK("https://klasma.github.io/Logging_2321/klagomål/A 30034-2024 FSC-klagomål.docx", "A 30034-2024")</f>
        <v/>
      </c>
      <c r="W64">
        <f>HYPERLINK("https://klasma.github.io/Logging_2321/klagomålsmail/A 30034-2024 FSC-klagomål mail.docx", "A 30034-2024")</f>
        <v/>
      </c>
      <c r="X64">
        <f>HYPERLINK("https://klasma.github.io/Logging_2321/tillsyn/A 30034-2024 tillsynsbegäran.docx", "A 30034-2024")</f>
        <v/>
      </c>
      <c r="Y64">
        <f>HYPERLINK("https://klasma.github.io/Logging_2321/tillsynsmail/A 30034-2024 tillsynsbegäran mail.docx", "A 30034-2024")</f>
        <v/>
      </c>
    </row>
    <row r="65" ht="15" customHeight="1">
      <c r="A65" t="inlineStr">
        <is>
          <t>A 42565-2024</t>
        </is>
      </c>
      <c r="B65" s="1" t="n">
        <v>45565</v>
      </c>
      <c r="C65" s="1" t="n">
        <v>45894</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45894</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10491-2024</t>
        </is>
      </c>
      <c r="B67" s="1" t="n">
        <v>45366</v>
      </c>
      <c r="C67" s="1" t="n">
        <v>45894</v>
      </c>
      <c r="D67" t="inlineStr">
        <is>
          <t>JÄMTLANDS LÄN</t>
        </is>
      </c>
      <c r="E67" t="inlineStr">
        <is>
          <t>ÅRE</t>
        </is>
      </c>
      <c r="G67" t="n">
        <v>13.5</v>
      </c>
      <c r="H67" t="n">
        <v>0</v>
      </c>
      <c r="I67" t="n">
        <v>0</v>
      </c>
      <c r="J67" t="n">
        <v>4</v>
      </c>
      <c r="K67" t="n">
        <v>1</v>
      </c>
      <c r="L67" t="n">
        <v>0</v>
      </c>
      <c r="M67" t="n">
        <v>0</v>
      </c>
      <c r="N67" t="n">
        <v>0</v>
      </c>
      <c r="O67" t="n">
        <v>5</v>
      </c>
      <c r="P67" t="n">
        <v>1</v>
      </c>
      <c r="Q67" t="n">
        <v>5</v>
      </c>
      <c r="R67" s="2" t="inlineStr">
        <is>
          <t>Ulltickeporing
Brunpudrad nållav
Harticka
Rödbrun blekspik
Ullticka</t>
        </is>
      </c>
      <c r="S67">
        <f>HYPERLINK("https://klasma.github.io/Logging_2321/artfynd/A 10491-2024 artfynd.xlsx", "A 10491-2024")</f>
        <v/>
      </c>
      <c r="T67">
        <f>HYPERLINK("https://klasma.github.io/Logging_2321/kartor/A 10491-2024 karta.png", "A 10491-2024")</f>
        <v/>
      </c>
      <c r="V67">
        <f>HYPERLINK("https://klasma.github.io/Logging_2321/klagomål/A 10491-2024 FSC-klagomål.docx", "A 10491-2024")</f>
        <v/>
      </c>
      <c r="W67">
        <f>HYPERLINK("https://klasma.github.io/Logging_2321/klagomålsmail/A 10491-2024 FSC-klagomål mail.docx", "A 10491-2024")</f>
        <v/>
      </c>
      <c r="X67">
        <f>HYPERLINK("https://klasma.github.io/Logging_2321/tillsyn/A 10491-2024 tillsynsbegäran.docx", "A 10491-2024")</f>
        <v/>
      </c>
      <c r="Y67">
        <f>HYPERLINK("https://klasma.github.io/Logging_2321/tillsynsmail/A 10491-2024 tillsynsbegäran mail.docx", "A 10491-2024")</f>
        <v/>
      </c>
    </row>
    <row r="68" ht="15" customHeight="1">
      <c r="A68" t="inlineStr">
        <is>
          <t>A 19277-2021</t>
        </is>
      </c>
      <c r="B68" s="1" t="n">
        <v>44309</v>
      </c>
      <c r="C68" s="1" t="n">
        <v>45894</v>
      </c>
      <c r="D68" t="inlineStr">
        <is>
          <t>JÄMTLANDS LÄN</t>
        </is>
      </c>
      <c r="E68" t="inlineStr">
        <is>
          <t>ÅRE</t>
        </is>
      </c>
      <c r="G68" t="n">
        <v>3.2</v>
      </c>
      <c r="H68" t="n">
        <v>0</v>
      </c>
      <c r="I68" t="n">
        <v>2</v>
      </c>
      <c r="J68" t="n">
        <v>2</v>
      </c>
      <c r="K68" t="n">
        <v>0</v>
      </c>
      <c r="L68" t="n">
        <v>0</v>
      </c>
      <c r="M68" t="n">
        <v>0</v>
      </c>
      <c r="N68" t="n">
        <v>0</v>
      </c>
      <c r="O68" t="n">
        <v>2</v>
      </c>
      <c r="P68" t="n">
        <v>0</v>
      </c>
      <c r="Q68" t="n">
        <v>4</v>
      </c>
      <c r="R68" s="2" t="inlineStr">
        <is>
          <t>Garnlav
Gränsticka
Korallblylav
Stuplav</t>
        </is>
      </c>
      <c r="S68">
        <f>HYPERLINK("https://klasma.github.io/Logging_2321/artfynd/A 19277-2021 artfynd.xlsx", "A 19277-2021")</f>
        <v/>
      </c>
      <c r="T68">
        <f>HYPERLINK("https://klasma.github.io/Logging_2321/kartor/A 19277-2021 karta.png", "A 19277-2021")</f>
        <v/>
      </c>
      <c r="V68">
        <f>HYPERLINK("https://klasma.github.io/Logging_2321/klagomål/A 19277-2021 FSC-klagomål.docx", "A 19277-2021")</f>
        <v/>
      </c>
      <c r="W68">
        <f>HYPERLINK("https://klasma.github.io/Logging_2321/klagomålsmail/A 19277-2021 FSC-klagomål mail.docx", "A 19277-2021")</f>
        <v/>
      </c>
      <c r="X68">
        <f>HYPERLINK("https://klasma.github.io/Logging_2321/tillsyn/A 19277-2021 tillsynsbegäran.docx", "A 19277-2021")</f>
        <v/>
      </c>
      <c r="Y68">
        <f>HYPERLINK("https://klasma.github.io/Logging_2321/tillsynsmail/A 19277-2021 tillsynsbegäran mail.docx", "A 19277-2021")</f>
        <v/>
      </c>
    </row>
    <row r="69" ht="15" customHeight="1">
      <c r="A69" t="inlineStr">
        <is>
          <t>A 57537-2024</t>
        </is>
      </c>
      <c r="B69" s="1" t="n">
        <v>45630</v>
      </c>
      <c r="C69" s="1" t="n">
        <v>45894</v>
      </c>
      <c r="D69" t="inlineStr">
        <is>
          <t>JÄMTLANDS LÄN</t>
        </is>
      </c>
      <c r="E69" t="inlineStr">
        <is>
          <t>ÅRE</t>
        </is>
      </c>
      <c r="G69" t="n">
        <v>19.1</v>
      </c>
      <c r="H69" t="n">
        <v>1</v>
      </c>
      <c r="I69" t="n">
        <v>0</v>
      </c>
      <c r="J69" t="n">
        <v>4</v>
      </c>
      <c r="K69" t="n">
        <v>0</v>
      </c>
      <c r="L69" t="n">
        <v>0</v>
      </c>
      <c r="M69" t="n">
        <v>0</v>
      </c>
      <c r="N69" t="n">
        <v>0</v>
      </c>
      <c r="O69" t="n">
        <v>4</v>
      </c>
      <c r="P69" t="n">
        <v>0</v>
      </c>
      <c r="Q69" t="n">
        <v>4</v>
      </c>
      <c r="R69" s="2" t="inlineStr">
        <is>
          <t>Garnlav
Granticka
Tretåig hackspett
Ullticka</t>
        </is>
      </c>
      <c r="S69">
        <f>HYPERLINK("https://klasma.github.io/Logging_2321/artfynd/A 57537-2024 artfynd.xlsx", "A 57537-2024")</f>
        <v/>
      </c>
      <c r="T69">
        <f>HYPERLINK("https://klasma.github.io/Logging_2321/kartor/A 57537-2024 karta.png", "A 57537-2024")</f>
        <v/>
      </c>
      <c r="V69">
        <f>HYPERLINK("https://klasma.github.io/Logging_2321/klagomål/A 57537-2024 FSC-klagomål.docx", "A 57537-2024")</f>
        <v/>
      </c>
      <c r="W69">
        <f>HYPERLINK("https://klasma.github.io/Logging_2321/klagomålsmail/A 57537-2024 FSC-klagomål mail.docx", "A 57537-2024")</f>
        <v/>
      </c>
      <c r="X69">
        <f>HYPERLINK("https://klasma.github.io/Logging_2321/tillsyn/A 57537-2024 tillsynsbegäran.docx", "A 57537-2024")</f>
        <v/>
      </c>
      <c r="Y69">
        <f>HYPERLINK("https://klasma.github.io/Logging_2321/tillsynsmail/A 57537-2024 tillsynsbegäran mail.docx", "A 57537-2024")</f>
        <v/>
      </c>
      <c r="Z69">
        <f>HYPERLINK("https://klasma.github.io/Logging_2321/fåglar/A 57537-2024 prioriterade fågelarter.docx", "A 57537-2024")</f>
        <v/>
      </c>
    </row>
    <row r="70" ht="15" customHeight="1">
      <c r="A70" t="inlineStr">
        <is>
          <t>A 56183-2022</t>
        </is>
      </c>
      <c r="B70" s="1" t="n">
        <v>44889</v>
      </c>
      <c r="C70" s="1" t="n">
        <v>45894</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45894</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12271-2022</t>
        </is>
      </c>
      <c r="B72" s="1" t="n">
        <v>44637</v>
      </c>
      <c r="C72" s="1" t="n">
        <v>45894</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20035-2024</t>
        </is>
      </c>
      <c r="B73" s="1" t="n">
        <v>45434</v>
      </c>
      <c r="C73" s="1" t="n">
        <v>45894</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13625-2023</t>
        </is>
      </c>
      <c r="B74" s="1" t="n">
        <v>45006</v>
      </c>
      <c r="C74" s="1" t="n">
        <v>45894</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Lunglav
Tretåig hackspett
Vitskaftad svartspik</t>
        </is>
      </c>
      <c r="S74">
        <f>HYPERLINK("https://klasma.github.io/Logging_2321/artfynd/A 13625-2023 artfynd.xlsx", "A 13625-2023")</f>
        <v/>
      </c>
      <c r="T74">
        <f>HYPERLINK("https://klasma.github.io/Logging_2321/kartor/A 13625-2023 karta.png", "A 13625-2023")</f>
        <v/>
      </c>
      <c r="V74">
        <f>HYPERLINK("https://klasma.github.io/Logging_2321/klagomål/A 13625-2023 FSC-klagomål.docx", "A 13625-2023")</f>
        <v/>
      </c>
      <c r="W74">
        <f>HYPERLINK("https://klasma.github.io/Logging_2321/klagomålsmail/A 13625-2023 FSC-klagomål mail.docx", "A 13625-2023")</f>
        <v/>
      </c>
      <c r="X74">
        <f>HYPERLINK("https://klasma.github.io/Logging_2321/tillsyn/A 13625-2023 tillsynsbegäran.docx", "A 13625-2023")</f>
        <v/>
      </c>
      <c r="Y74">
        <f>HYPERLINK("https://klasma.github.io/Logging_2321/tillsynsmail/A 13625-2023 tillsynsbegäran mail.docx", "A 13625-2023")</f>
        <v/>
      </c>
      <c r="Z74">
        <f>HYPERLINK("https://klasma.github.io/Logging_2321/fåglar/A 13625-2023 prioriterade fågelarter.docx", "A 13625-2023")</f>
        <v/>
      </c>
    </row>
    <row r="75" ht="15" customHeight="1">
      <c r="A75" t="inlineStr">
        <is>
          <t>A 58082-2022</t>
        </is>
      </c>
      <c r="B75" s="1" t="n">
        <v>44900</v>
      </c>
      <c r="C75" s="1" t="n">
        <v>45894</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72934-2021</t>
        </is>
      </c>
      <c r="B76" s="1" t="n">
        <v>44547</v>
      </c>
      <c r="C76" s="1" t="n">
        <v>45894</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23638-2023</t>
        </is>
      </c>
      <c r="B77" s="1" t="n">
        <v>45072</v>
      </c>
      <c r="C77" s="1" t="n">
        <v>45894</v>
      </c>
      <c r="D77" t="inlineStr">
        <is>
          <t>JÄMTLANDS LÄN</t>
        </is>
      </c>
      <c r="E77" t="inlineStr">
        <is>
          <t>ÅRE</t>
        </is>
      </c>
      <c r="G77" t="n">
        <v>11.2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23638-2023 artfynd.xlsx", "A 23638-2023")</f>
        <v/>
      </c>
      <c r="T77">
        <f>HYPERLINK("https://klasma.github.io/Logging_2321/kartor/A 23638-2023 karta.png", "A 23638-2023")</f>
        <v/>
      </c>
      <c r="V77">
        <f>HYPERLINK("https://klasma.github.io/Logging_2321/klagomål/A 23638-2023 FSC-klagomål.docx", "A 23638-2023")</f>
        <v/>
      </c>
      <c r="W77">
        <f>HYPERLINK("https://klasma.github.io/Logging_2321/klagomålsmail/A 23638-2023 FSC-klagomål mail.docx", "A 23638-2023")</f>
        <v/>
      </c>
      <c r="X77">
        <f>HYPERLINK("https://klasma.github.io/Logging_2321/tillsyn/A 23638-2023 tillsynsbegäran.docx", "A 23638-2023")</f>
        <v/>
      </c>
      <c r="Y77">
        <f>HYPERLINK("https://klasma.github.io/Logging_2321/tillsynsmail/A 23638-2023 tillsynsbegäran mail.docx", "A 23638-2023")</f>
        <v/>
      </c>
      <c r="Z77">
        <f>HYPERLINK("https://klasma.github.io/Logging_2321/fåglar/A 23638-2023 prioriterade fågelarter.docx", "A 23638-2023")</f>
        <v/>
      </c>
    </row>
    <row r="78" ht="15" customHeight="1">
      <c r="A78" t="inlineStr">
        <is>
          <t>A 59237-2022</t>
        </is>
      </c>
      <c r="B78" s="1" t="n">
        <v>44904</v>
      </c>
      <c r="C78" s="1" t="n">
        <v>45894</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10627-2023</t>
        </is>
      </c>
      <c r="B79" s="1" t="n">
        <v>44984</v>
      </c>
      <c r="C79" s="1" t="n">
        <v>45894</v>
      </c>
      <c r="D79" t="inlineStr">
        <is>
          <t>JÄMTLANDS LÄN</t>
        </is>
      </c>
      <c r="E79" t="inlineStr">
        <is>
          <t>ÅRE</t>
        </is>
      </c>
      <c r="G79" t="n">
        <v>29.1</v>
      </c>
      <c r="H79" t="n">
        <v>1</v>
      </c>
      <c r="I79" t="n">
        <v>0</v>
      </c>
      <c r="J79" t="n">
        <v>3</v>
      </c>
      <c r="K79" t="n">
        <v>0</v>
      </c>
      <c r="L79" t="n">
        <v>0</v>
      </c>
      <c r="M79" t="n">
        <v>0</v>
      </c>
      <c r="N79" t="n">
        <v>0</v>
      </c>
      <c r="O79" t="n">
        <v>3</v>
      </c>
      <c r="P79" t="n">
        <v>0</v>
      </c>
      <c r="Q79" t="n">
        <v>3</v>
      </c>
      <c r="R79" s="2" t="inlineStr">
        <is>
          <t>Harticka
Tretåig hackspett
Vitgrynig nållav</t>
        </is>
      </c>
      <c r="S79">
        <f>HYPERLINK("https://klasma.github.io/Logging_2321/artfynd/A 10627-2023 artfynd.xlsx", "A 10627-2023")</f>
        <v/>
      </c>
      <c r="T79">
        <f>HYPERLINK("https://klasma.github.io/Logging_2321/kartor/A 10627-2023 karta.png", "A 10627-2023")</f>
        <v/>
      </c>
      <c r="V79">
        <f>HYPERLINK("https://klasma.github.io/Logging_2321/klagomål/A 10627-2023 FSC-klagomål.docx", "A 10627-2023")</f>
        <v/>
      </c>
      <c r="W79">
        <f>HYPERLINK("https://klasma.github.io/Logging_2321/klagomålsmail/A 10627-2023 FSC-klagomål mail.docx", "A 10627-2023")</f>
        <v/>
      </c>
      <c r="X79">
        <f>HYPERLINK("https://klasma.github.io/Logging_2321/tillsyn/A 10627-2023 tillsynsbegäran.docx", "A 10627-2023")</f>
        <v/>
      </c>
      <c r="Y79">
        <f>HYPERLINK("https://klasma.github.io/Logging_2321/tillsynsmail/A 10627-2023 tillsynsbegäran mail.docx", "A 10627-2023")</f>
        <v/>
      </c>
      <c r="Z79">
        <f>HYPERLINK("https://klasma.github.io/Logging_2321/fåglar/A 10627-2023 prioriterade fågelarter.docx", "A 10627-2023")</f>
        <v/>
      </c>
    </row>
    <row r="80" ht="15" customHeight="1">
      <c r="A80" t="inlineStr">
        <is>
          <t>A 10773-2021</t>
        </is>
      </c>
      <c r="B80" s="1" t="n">
        <v>44259</v>
      </c>
      <c r="C80" s="1" t="n">
        <v>45894</v>
      </c>
      <c r="D80" t="inlineStr">
        <is>
          <t>JÄMTLANDS LÄN</t>
        </is>
      </c>
      <c r="E80" t="inlineStr">
        <is>
          <t>ÅRE</t>
        </is>
      </c>
      <c r="G80" t="n">
        <v>22.9</v>
      </c>
      <c r="H80" t="n">
        <v>1</v>
      </c>
      <c r="I80" t="n">
        <v>0</v>
      </c>
      <c r="J80" t="n">
        <v>3</v>
      </c>
      <c r="K80" t="n">
        <v>0</v>
      </c>
      <c r="L80" t="n">
        <v>0</v>
      </c>
      <c r="M80" t="n">
        <v>0</v>
      </c>
      <c r="N80" t="n">
        <v>0</v>
      </c>
      <c r="O80" t="n">
        <v>3</v>
      </c>
      <c r="P80" t="n">
        <v>0</v>
      </c>
      <c r="Q80" t="n">
        <v>3</v>
      </c>
      <c r="R80" s="2" t="inlineStr">
        <is>
          <t>Garnlav
Granticka
Tretåig hackspett</t>
        </is>
      </c>
      <c r="S80">
        <f>HYPERLINK("https://klasma.github.io/Logging_2321/artfynd/A 10773-2021 artfynd.xlsx", "A 10773-2021")</f>
        <v/>
      </c>
      <c r="T80">
        <f>HYPERLINK("https://klasma.github.io/Logging_2321/kartor/A 10773-2021 karta.png", "A 10773-2021")</f>
        <v/>
      </c>
      <c r="V80">
        <f>HYPERLINK("https://klasma.github.io/Logging_2321/klagomål/A 10773-2021 FSC-klagomål.docx", "A 10773-2021")</f>
        <v/>
      </c>
      <c r="W80">
        <f>HYPERLINK("https://klasma.github.io/Logging_2321/klagomålsmail/A 10773-2021 FSC-klagomål mail.docx", "A 10773-2021")</f>
        <v/>
      </c>
      <c r="X80">
        <f>HYPERLINK("https://klasma.github.io/Logging_2321/tillsyn/A 10773-2021 tillsynsbegäran.docx", "A 10773-2021")</f>
        <v/>
      </c>
      <c r="Y80">
        <f>HYPERLINK("https://klasma.github.io/Logging_2321/tillsynsmail/A 10773-2021 tillsynsbegäran mail.docx", "A 10773-2021")</f>
        <v/>
      </c>
      <c r="Z80">
        <f>HYPERLINK("https://klasma.github.io/Logging_2321/fåglar/A 10773-2021 prioriterade fågelarter.docx", "A 10773-2021")</f>
        <v/>
      </c>
    </row>
    <row r="81" ht="15" customHeight="1">
      <c r="A81" t="inlineStr">
        <is>
          <t>A 22692-2025</t>
        </is>
      </c>
      <c r="B81" s="1" t="n">
        <v>45789.53834490741</v>
      </c>
      <c r="C81" s="1" t="n">
        <v>45894</v>
      </c>
      <c r="D81" t="inlineStr">
        <is>
          <t>JÄMTLANDS LÄN</t>
        </is>
      </c>
      <c r="E81" t="inlineStr">
        <is>
          <t>ÅRE</t>
        </is>
      </c>
      <c r="G81" t="n">
        <v>10.6</v>
      </c>
      <c r="H81" t="n">
        <v>0</v>
      </c>
      <c r="I81" t="n">
        <v>0</v>
      </c>
      <c r="J81" t="n">
        <v>3</v>
      </c>
      <c r="K81" t="n">
        <v>0</v>
      </c>
      <c r="L81" t="n">
        <v>0</v>
      </c>
      <c r="M81" t="n">
        <v>0</v>
      </c>
      <c r="N81" t="n">
        <v>0</v>
      </c>
      <c r="O81" t="n">
        <v>3</v>
      </c>
      <c r="P81" t="n">
        <v>0</v>
      </c>
      <c r="Q81" t="n">
        <v>3</v>
      </c>
      <c r="R81" s="2" t="inlineStr">
        <is>
          <t>Gammelgransskål
Garnlav
Skrovellav</t>
        </is>
      </c>
      <c r="S81">
        <f>HYPERLINK("https://klasma.github.io/Logging_2321/artfynd/A 22692-2025 artfynd.xlsx", "A 22692-2025")</f>
        <v/>
      </c>
      <c r="T81">
        <f>HYPERLINK("https://klasma.github.io/Logging_2321/kartor/A 22692-2025 karta.png", "A 22692-2025")</f>
        <v/>
      </c>
      <c r="V81">
        <f>HYPERLINK("https://klasma.github.io/Logging_2321/klagomål/A 22692-2025 FSC-klagomål.docx", "A 22692-2025")</f>
        <v/>
      </c>
      <c r="W81">
        <f>HYPERLINK("https://klasma.github.io/Logging_2321/klagomålsmail/A 22692-2025 FSC-klagomål mail.docx", "A 22692-2025")</f>
        <v/>
      </c>
      <c r="X81">
        <f>HYPERLINK("https://klasma.github.io/Logging_2321/tillsyn/A 22692-2025 tillsynsbegäran.docx", "A 22692-2025")</f>
        <v/>
      </c>
      <c r="Y81">
        <f>HYPERLINK("https://klasma.github.io/Logging_2321/tillsynsmail/A 22692-2025 tillsynsbegäran mail.docx", "A 22692-2025")</f>
        <v/>
      </c>
    </row>
    <row r="82" ht="15" customHeight="1">
      <c r="A82" t="inlineStr">
        <is>
          <t>A 54988-2020</t>
        </is>
      </c>
      <c r="B82" s="1" t="n">
        <v>44130</v>
      </c>
      <c r="C82" s="1" t="n">
        <v>45894</v>
      </c>
      <c r="D82" t="inlineStr">
        <is>
          <t>JÄMTLANDS LÄN</t>
        </is>
      </c>
      <c r="E82" t="inlineStr">
        <is>
          <t>ÅRE</t>
        </is>
      </c>
      <c r="G82" t="n">
        <v>13.2</v>
      </c>
      <c r="H82" t="n">
        <v>1</v>
      </c>
      <c r="I82" t="n">
        <v>0</v>
      </c>
      <c r="J82" t="n">
        <v>3</v>
      </c>
      <c r="K82" t="n">
        <v>0</v>
      </c>
      <c r="L82" t="n">
        <v>0</v>
      </c>
      <c r="M82" t="n">
        <v>0</v>
      </c>
      <c r="N82" t="n">
        <v>0</v>
      </c>
      <c r="O82" t="n">
        <v>3</v>
      </c>
      <c r="P82" t="n">
        <v>0</v>
      </c>
      <c r="Q82" t="n">
        <v>3</v>
      </c>
      <c r="R82" s="2" t="inlineStr">
        <is>
          <t>Garnlav
Granticka
Tretåig hackspett</t>
        </is>
      </c>
      <c r="S82">
        <f>HYPERLINK("https://klasma.github.io/Logging_2321/artfynd/A 54988-2020 artfynd.xlsx", "A 54988-2020")</f>
        <v/>
      </c>
      <c r="T82">
        <f>HYPERLINK("https://klasma.github.io/Logging_2321/kartor/A 54988-2020 karta.png", "A 54988-2020")</f>
        <v/>
      </c>
      <c r="V82">
        <f>HYPERLINK("https://klasma.github.io/Logging_2321/klagomål/A 54988-2020 FSC-klagomål.docx", "A 54988-2020")</f>
        <v/>
      </c>
      <c r="W82">
        <f>HYPERLINK("https://klasma.github.io/Logging_2321/klagomålsmail/A 54988-2020 FSC-klagomål mail.docx", "A 54988-2020")</f>
        <v/>
      </c>
      <c r="X82">
        <f>HYPERLINK("https://klasma.github.io/Logging_2321/tillsyn/A 54988-2020 tillsynsbegäran.docx", "A 54988-2020")</f>
        <v/>
      </c>
      <c r="Y82">
        <f>HYPERLINK("https://klasma.github.io/Logging_2321/tillsynsmail/A 54988-2020 tillsynsbegäran mail.docx", "A 54988-2020")</f>
        <v/>
      </c>
      <c r="Z82">
        <f>HYPERLINK("https://klasma.github.io/Logging_2321/fåglar/A 54988-2020 prioriterade fågelarter.docx", "A 54988-2020")</f>
        <v/>
      </c>
    </row>
    <row r="83" ht="15" customHeight="1">
      <c r="A83" t="inlineStr">
        <is>
          <t>A 20124-2023</t>
        </is>
      </c>
      <c r="B83" s="1" t="n">
        <v>45055</v>
      </c>
      <c r="C83" s="1" t="n">
        <v>45894</v>
      </c>
      <c r="D83" t="inlineStr">
        <is>
          <t>JÄMTLANDS LÄN</t>
        </is>
      </c>
      <c r="E83" t="inlineStr">
        <is>
          <t>ÅRE</t>
        </is>
      </c>
      <c r="G83" t="n">
        <v>3.4</v>
      </c>
      <c r="H83" t="n">
        <v>0</v>
      </c>
      <c r="I83" t="n">
        <v>3</v>
      </c>
      <c r="J83" t="n">
        <v>0</v>
      </c>
      <c r="K83" t="n">
        <v>0</v>
      </c>
      <c r="L83" t="n">
        <v>0</v>
      </c>
      <c r="M83" t="n">
        <v>0</v>
      </c>
      <c r="N83" t="n">
        <v>0</v>
      </c>
      <c r="O83" t="n">
        <v>0</v>
      </c>
      <c r="P83" t="n">
        <v>0</v>
      </c>
      <c r="Q83" t="n">
        <v>3</v>
      </c>
      <c r="R83" s="2" t="inlineStr">
        <is>
          <t>Finbräken
Svart trolldruva
Underviol</t>
        </is>
      </c>
      <c r="S83">
        <f>HYPERLINK("https://klasma.github.io/Logging_2321/artfynd/A 20124-2023 artfynd.xlsx", "A 20124-2023")</f>
        <v/>
      </c>
      <c r="T83">
        <f>HYPERLINK("https://klasma.github.io/Logging_2321/kartor/A 20124-2023 karta.png", "A 20124-2023")</f>
        <v/>
      </c>
      <c r="V83">
        <f>HYPERLINK("https://klasma.github.io/Logging_2321/klagomål/A 20124-2023 FSC-klagomål.docx", "A 20124-2023")</f>
        <v/>
      </c>
      <c r="W83">
        <f>HYPERLINK("https://klasma.github.io/Logging_2321/klagomålsmail/A 20124-2023 FSC-klagomål mail.docx", "A 20124-2023")</f>
        <v/>
      </c>
      <c r="X83">
        <f>HYPERLINK("https://klasma.github.io/Logging_2321/tillsyn/A 20124-2023 tillsynsbegäran.docx", "A 20124-2023")</f>
        <v/>
      </c>
      <c r="Y83">
        <f>HYPERLINK("https://klasma.github.io/Logging_2321/tillsynsmail/A 20124-2023 tillsynsbegäran mail.docx", "A 20124-2023")</f>
        <v/>
      </c>
    </row>
    <row r="84" ht="15" customHeight="1">
      <c r="A84" t="inlineStr">
        <is>
          <t>A 52588-2024</t>
        </is>
      </c>
      <c r="B84" s="1" t="n">
        <v>45609.69825231482</v>
      </c>
      <c r="C84" s="1" t="n">
        <v>45894</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14198-2021</t>
        </is>
      </c>
      <c r="B85" s="1" t="n">
        <v>44278</v>
      </c>
      <c r="C85" s="1" t="n">
        <v>45894</v>
      </c>
      <c r="D85" t="inlineStr">
        <is>
          <t>JÄMTLANDS LÄN</t>
        </is>
      </c>
      <c r="E85" t="inlineStr">
        <is>
          <t>ÅRE</t>
        </is>
      </c>
      <c r="G85" t="n">
        <v>28.4</v>
      </c>
      <c r="H85" t="n">
        <v>1</v>
      </c>
      <c r="I85" t="n">
        <v>1</v>
      </c>
      <c r="J85" t="n">
        <v>2</v>
      </c>
      <c r="K85" t="n">
        <v>0</v>
      </c>
      <c r="L85" t="n">
        <v>0</v>
      </c>
      <c r="M85" t="n">
        <v>0</v>
      </c>
      <c r="N85" t="n">
        <v>0</v>
      </c>
      <c r="O85" t="n">
        <v>2</v>
      </c>
      <c r="P85" t="n">
        <v>0</v>
      </c>
      <c r="Q85" t="n">
        <v>3</v>
      </c>
      <c r="R85" s="2" t="inlineStr">
        <is>
          <t>Skrovellav
Tretåig hackspett
Stuplav</t>
        </is>
      </c>
      <c r="S85">
        <f>HYPERLINK("https://klasma.github.io/Logging_2321/artfynd/A 14198-2021 artfynd.xlsx", "A 14198-2021")</f>
        <v/>
      </c>
      <c r="T85">
        <f>HYPERLINK("https://klasma.github.io/Logging_2321/kartor/A 14198-2021 karta.png", "A 14198-2021")</f>
        <v/>
      </c>
      <c r="V85">
        <f>HYPERLINK("https://klasma.github.io/Logging_2321/klagomål/A 14198-2021 FSC-klagomål.docx", "A 14198-2021")</f>
        <v/>
      </c>
      <c r="W85">
        <f>HYPERLINK("https://klasma.github.io/Logging_2321/klagomålsmail/A 14198-2021 FSC-klagomål mail.docx", "A 14198-2021")</f>
        <v/>
      </c>
      <c r="X85">
        <f>HYPERLINK("https://klasma.github.io/Logging_2321/tillsyn/A 14198-2021 tillsynsbegäran.docx", "A 14198-2021")</f>
        <v/>
      </c>
      <c r="Y85">
        <f>HYPERLINK("https://klasma.github.io/Logging_2321/tillsynsmail/A 14198-2021 tillsynsbegäran mail.docx", "A 14198-2021")</f>
        <v/>
      </c>
      <c r="Z85">
        <f>HYPERLINK("https://klasma.github.io/Logging_2321/fåglar/A 14198-2021 prioriterade fågelarter.docx", "A 14198-2021")</f>
        <v/>
      </c>
    </row>
    <row r="86" ht="15" customHeight="1">
      <c r="A86" t="inlineStr">
        <is>
          <t>A 36260-2023</t>
        </is>
      </c>
      <c r="B86" s="1" t="n">
        <v>45151</v>
      </c>
      <c r="C86" s="1" t="n">
        <v>45894</v>
      </c>
      <c r="D86" t="inlineStr">
        <is>
          <t>JÄMTLANDS LÄN</t>
        </is>
      </c>
      <c r="E86" t="inlineStr">
        <is>
          <t>ÅRE</t>
        </is>
      </c>
      <c r="G86" t="n">
        <v>2.6</v>
      </c>
      <c r="H86" t="n">
        <v>0</v>
      </c>
      <c r="I86" t="n">
        <v>3</v>
      </c>
      <c r="J86" t="n">
        <v>0</v>
      </c>
      <c r="K86" t="n">
        <v>0</v>
      </c>
      <c r="L86" t="n">
        <v>0</v>
      </c>
      <c r="M86" t="n">
        <v>0</v>
      </c>
      <c r="N86" t="n">
        <v>0</v>
      </c>
      <c r="O86" t="n">
        <v>0</v>
      </c>
      <c r="P86" t="n">
        <v>0</v>
      </c>
      <c r="Q86" t="n">
        <v>3</v>
      </c>
      <c r="R86" s="2" t="inlineStr">
        <is>
          <t>Svavelriska
Underviol
Vedticka</t>
        </is>
      </c>
      <c r="S86">
        <f>HYPERLINK("https://klasma.github.io/Logging_2321/artfynd/A 36260-2023 artfynd.xlsx", "A 36260-2023")</f>
        <v/>
      </c>
      <c r="T86">
        <f>HYPERLINK("https://klasma.github.io/Logging_2321/kartor/A 36260-2023 karta.png", "A 36260-2023")</f>
        <v/>
      </c>
      <c r="V86">
        <f>HYPERLINK("https://klasma.github.io/Logging_2321/klagomål/A 36260-2023 FSC-klagomål.docx", "A 36260-2023")</f>
        <v/>
      </c>
      <c r="W86">
        <f>HYPERLINK("https://klasma.github.io/Logging_2321/klagomålsmail/A 36260-2023 FSC-klagomål mail.docx", "A 36260-2023")</f>
        <v/>
      </c>
      <c r="X86">
        <f>HYPERLINK("https://klasma.github.io/Logging_2321/tillsyn/A 36260-2023 tillsynsbegäran.docx", "A 36260-2023")</f>
        <v/>
      </c>
      <c r="Y86">
        <f>HYPERLINK("https://klasma.github.io/Logging_2321/tillsynsmail/A 36260-2023 tillsynsbegäran mail.docx", "A 36260-2023")</f>
        <v/>
      </c>
    </row>
    <row r="87" ht="15" customHeight="1">
      <c r="A87" t="inlineStr">
        <is>
          <t>A 10501-2024</t>
        </is>
      </c>
      <c r="B87" s="1" t="n">
        <v>45366</v>
      </c>
      <c r="C87" s="1" t="n">
        <v>45894</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58387-2023</t>
        </is>
      </c>
      <c r="B88" s="1" t="n">
        <v>45250</v>
      </c>
      <c r="C88" s="1" t="n">
        <v>45894</v>
      </c>
      <c r="D88" t="inlineStr">
        <is>
          <t>JÄMTLANDS LÄN</t>
        </is>
      </c>
      <c r="E88" t="inlineStr">
        <is>
          <t>ÅRE</t>
        </is>
      </c>
      <c r="G88" t="n">
        <v>24.7</v>
      </c>
      <c r="H88" t="n">
        <v>3</v>
      </c>
      <c r="I88" t="n">
        <v>0</v>
      </c>
      <c r="J88" t="n">
        <v>2</v>
      </c>
      <c r="K88" t="n">
        <v>0</v>
      </c>
      <c r="L88" t="n">
        <v>0</v>
      </c>
      <c r="M88" t="n">
        <v>0</v>
      </c>
      <c r="N88" t="n">
        <v>0</v>
      </c>
      <c r="O88" t="n">
        <v>2</v>
      </c>
      <c r="P88" t="n">
        <v>0</v>
      </c>
      <c r="Q88" t="n">
        <v>3</v>
      </c>
      <c r="R88" s="2" t="inlineStr">
        <is>
          <t>Spillkråka
Tretåig hackspett
Lavskrika</t>
        </is>
      </c>
      <c r="S88">
        <f>HYPERLINK("https://klasma.github.io/Logging_2321/artfynd/A 58387-2023 artfynd.xlsx", "A 58387-2023")</f>
        <v/>
      </c>
      <c r="T88">
        <f>HYPERLINK("https://klasma.github.io/Logging_2321/kartor/A 58387-2023 karta.png", "A 58387-2023")</f>
        <v/>
      </c>
      <c r="V88">
        <f>HYPERLINK("https://klasma.github.io/Logging_2321/klagomål/A 58387-2023 FSC-klagomål.docx", "A 58387-2023")</f>
        <v/>
      </c>
      <c r="W88">
        <f>HYPERLINK("https://klasma.github.io/Logging_2321/klagomålsmail/A 58387-2023 FSC-klagomål mail.docx", "A 58387-2023")</f>
        <v/>
      </c>
      <c r="X88">
        <f>HYPERLINK("https://klasma.github.io/Logging_2321/tillsyn/A 58387-2023 tillsynsbegäran.docx", "A 58387-2023")</f>
        <v/>
      </c>
      <c r="Y88">
        <f>HYPERLINK("https://klasma.github.io/Logging_2321/tillsynsmail/A 58387-2023 tillsynsbegäran mail.docx", "A 58387-2023")</f>
        <v/>
      </c>
      <c r="Z88">
        <f>HYPERLINK("https://klasma.github.io/Logging_2321/fåglar/A 58387-2023 prioriterade fågelarter.docx", "A 58387-2023")</f>
        <v/>
      </c>
    </row>
    <row r="89" ht="15" customHeight="1">
      <c r="A89" t="inlineStr">
        <is>
          <t>A 23572-2021</t>
        </is>
      </c>
      <c r="B89" s="1" t="n">
        <v>44334</v>
      </c>
      <c r="C89" s="1" t="n">
        <v>45894</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61875-2024</t>
        </is>
      </c>
      <c r="B90" s="1" t="n">
        <v>45651</v>
      </c>
      <c r="C90" s="1" t="n">
        <v>45894</v>
      </c>
      <c r="D90" t="inlineStr">
        <is>
          <t>JÄMTLANDS LÄN</t>
        </is>
      </c>
      <c r="E90" t="inlineStr">
        <is>
          <t>ÅRE</t>
        </is>
      </c>
      <c r="G90" t="n">
        <v>35.5</v>
      </c>
      <c r="H90" t="n">
        <v>1</v>
      </c>
      <c r="I90" t="n">
        <v>0</v>
      </c>
      <c r="J90" t="n">
        <v>3</v>
      </c>
      <c r="K90" t="n">
        <v>0</v>
      </c>
      <c r="L90" t="n">
        <v>0</v>
      </c>
      <c r="M90" t="n">
        <v>0</v>
      </c>
      <c r="N90" t="n">
        <v>0</v>
      </c>
      <c r="O90" t="n">
        <v>3</v>
      </c>
      <c r="P90" t="n">
        <v>0</v>
      </c>
      <c r="Q90" t="n">
        <v>3</v>
      </c>
      <c r="R90" s="2" t="inlineStr">
        <is>
          <t>Rosenticka
Tretåig hackspett
Ullticka</t>
        </is>
      </c>
      <c r="S90">
        <f>HYPERLINK("https://klasma.github.io/Logging_2321/artfynd/A 61875-2024 artfynd.xlsx", "A 61875-2024")</f>
        <v/>
      </c>
      <c r="T90">
        <f>HYPERLINK("https://klasma.github.io/Logging_2321/kartor/A 61875-2024 karta.png", "A 61875-2024")</f>
        <v/>
      </c>
      <c r="V90">
        <f>HYPERLINK("https://klasma.github.io/Logging_2321/klagomål/A 61875-2024 FSC-klagomål.docx", "A 61875-2024")</f>
        <v/>
      </c>
      <c r="W90">
        <f>HYPERLINK("https://klasma.github.io/Logging_2321/klagomålsmail/A 61875-2024 FSC-klagomål mail.docx", "A 61875-2024")</f>
        <v/>
      </c>
      <c r="X90">
        <f>HYPERLINK("https://klasma.github.io/Logging_2321/tillsyn/A 61875-2024 tillsynsbegäran.docx", "A 61875-2024")</f>
        <v/>
      </c>
      <c r="Y90">
        <f>HYPERLINK("https://klasma.github.io/Logging_2321/tillsynsmail/A 61875-2024 tillsynsbegäran mail.docx", "A 61875-2024")</f>
        <v/>
      </c>
      <c r="Z90">
        <f>HYPERLINK("https://klasma.github.io/Logging_2321/fåglar/A 61875-2024 prioriterade fågelarter.docx", "A 61875-2024")</f>
        <v/>
      </c>
    </row>
    <row r="91" ht="15" customHeight="1">
      <c r="A91" t="inlineStr">
        <is>
          <t>A 57918-2024</t>
        </is>
      </c>
      <c r="B91" s="1" t="n">
        <v>45631</v>
      </c>
      <c r="C91" s="1" t="n">
        <v>45894</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23729-2023</t>
        </is>
      </c>
      <c r="B92" s="1" t="n">
        <v>45072</v>
      </c>
      <c r="C92" s="1" t="n">
        <v>45894</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21006-2022</t>
        </is>
      </c>
      <c r="B93" s="1" t="n">
        <v>44701</v>
      </c>
      <c r="C93" s="1" t="n">
        <v>45894</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12269-2022</t>
        </is>
      </c>
      <c r="B94" s="1" t="n">
        <v>44637</v>
      </c>
      <c r="C94" s="1" t="n">
        <v>45894</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40245-2023</t>
        </is>
      </c>
      <c r="B95" s="1" t="n">
        <v>45167</v>
      </c>
      <c r="C95" s="1" t="n">
        <v>45894</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22601-2024</t>
        </is>
      </c>
      <c r="B96" s="1" t="n">
        <v>45447</v>
      </c>
      <c r="C96" s="1" t="n">
        <v>45894</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52778-2020</t>
        </is>
      </c>
      <c r="B97" s="1" t="n">
        <v>44119</v>
      </c>
      <c r="C97" s="1" t="n">
        <v>45894</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17489-2024</t>
        </is>
      </c>
      <c r="B98" s="1" t="n">
        <v>45415</v>
      </c>
      <c r="C98" s="1" t="n">
        <v>45894</v>
      </c>
      <c r="D98" t="inlineStr">
        <is>
          <t>JÄMTLANDS LÄN</t>
        </is>
      </c>
      <c r="E98" t="inlineStr">
        <is>
          <t>ÅRE</t>
        </is>
      </c>
      <c r="G98" t="n">
        <v>12.9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17489-2024 artfynd.xlsx", "A 17489-2024")</f>
        <v/>
      </c>
      <c r="T98">
        <f>HYPERLINK("https://klasma.github.io/Logging_2321/kartor/A 17489-2024 karta.png", "A 17489-2024")</f>
        <v/>
      </c>
      <c r="V98">
        <f>HYPERLINK("https://klasma.github.io/Logging_2321/klagomål/A 17489-2024 FSC-klagomål.docx", "A 17489-2024")</f>
        <v/>
      </c>
      <c r="W98">
        <f>HYPERLINK("https://klasma.github.io/Logging_2321/klagomålsmail/A 17489-2024 FSC-klagomål mail.docx", "A 17489-2024")</f>
        <v/>
      </c>
      <c r="X98">
        <f>HYPERLINK("https://klasma.github.io/Logging_2321/tillsyn/A 17489-2024 tillsynsbegäran.docx", "A 17489-2024")</f>
        <v/>
      </c>
      <c r="Y98">
        <f>HYPERLINK("https://klasma.github.io/Logging_2321/tillsynsmail/A 17489-2024 tillsynsbegäran mail.docx", "A 17489-2024")</f>
        <v/>
      </c>
      <c r="Z98">
        <f>HYPERLINK("https://klasma.github.io/Logging_2321/fåglar/A 17489-2024 prioriterade fågelarter.docx", "A 17489-2024")</f>
        <v/>
      </c>
    </row>
    <row r="99" ht="15" customHeight="1">
      <c r="A99" t="inlineStr">
        <is>
          <t>A 23625-2024</t>
        </is>
      </c>
      <c r="B99" s="1" t="n">
        <v>45454</v>
      </c>
      <c r="C99" s="1" t="n">
        <v>45894</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45894</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8982-2025</t>
        </is>
      </c>
      <c r="B101" s="1" t="n">
        <v>45713.53458333333</v>
      </c>
      <c r="C101" s="1" t="n">
        <v>45894</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22231-2022</t>
        </is>
      </c>
      <c r="B102" s="1" t="n">
        <v>44712</v>
      </c>
      <c r="C102" s="1" t="n">
        <v>45894</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54128-2023</t>
        </is>
      </c>
      <c r="B103" s="1" t="n">
        <v>45232</v>
      </c>
      <c r="C103" s="1" t="n">
        <v>45894</v>
      </c>
      <c r="D103" t="inlineStr">
        <is>
          <t>JÄMTLANDS LÄN</t>
        </is>
      </c>
      <c r="E103" t="inlineStr">
        <is>
          <t>ÅRE</t>
        </is>
      </c>
      <c r="G103" t="n">
        <v>3.9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54128-2023 artfynd.xlsx", "A 54128-2023")</f>
        <v/>
      </c>
      <c r="T103">
        <f>HYPERLINK("https://klasma.github.io/Logging_2321/kartor/A 54128-2023 karta.png", "A 54128-2023")</f>
        <v/>
      </c>
      <c r="V103">
        <f>HYPERLINK("https://klasma.github.io/Logging_2321/klagomål/A 54128-2023 FSC-klagomål.docx", "A 54128-2023")</f>
        <v/>
      </c>
      <c r="W103">
        <f>HYPERLINK("https://klasma.github.io/Logging_2321/klagomålsmail/A 54128-2023 FSC-klagomål mail.docx", "A 54128-2023")</f>
        <v/>
      </c>
      <c r="X103">
        <f>HYPERLINK("https://klasma.github.io/Logging_2321/tillsyn/A 54128-2023 tillsynsbegäran.docx", "A 54128-2023")</f>
        <v/>
      </c>
      <c r="Y103">
        <f>HYPERLINK("https://klasma.github.io/Logging_2321/tillsynsmail/A 54128-2023 tillsynsbegäran mail.docx", "A 54128-2023")</f>
        <v/>
      </c>
      <c r="Z103">
        <f>HYPERLINK("https://klasma.github.io/Logging_2321/fåglar/A 54128-2023 prioriterade fågelarter.docx", "A 54128-2023")</f>
        <v/>
      </c>
    </row>
    <row r="104" ht="15" customHeight="1">
      <c r="A104" t="inlineStr">
        <is>
          <t>A 64668-2021</t>
        </is>
      </c>
      <c r="B104" s="1" t="n">
        <v>44512</v>
      </c>
      <c r="C104" s="1" t="n">
        <v>45894</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32207-2022</t>
        </is>
      </c>
      <c r="B105" s="1" t="n">
        <v>44781</v>
      </c>
      <c r="C105" s="1" t="n">
        <v>45894</v>
      </c>
      <c r="D105" t="inlineStr">
        <is>
          <t>JÄMTLANDS LÄN</t>
        </is>
      </c>
      <c r="E105" t="inlineStr">
        <is>
          <t>ÅRE</t>
        </is>
      </c>
      <c r="G105" t="n">
        <v>5.5</v>
      </c>
      <c r="H105" t="n">
        <v>1</v>
      </c>
      <c r="I105" t="n">
        <v>2</v>
      </c>
      <c r="J105" t="n">
        <v>0</v>
      </c>
      <c r="K105" t="n">
        <v>0</v>
      </c>
      <c r="L105" t="n">
        <v>0</v>
      </c>
      <c r="M105" t="n">
        <v>0</v>
      </c>
      <c r="N105" t="n">
        <v>0</v>
      </c>
      <c r="O105" t="n">
        <v>0</v>
      </c>
      <c r="P105" t="n">
        <v>0</v>
      </c>
      <c r="Q105" t="n">
        <v>2</v>
      </c>
      <c r="R105" s="2" t="inlineStr">
        <is>
          <t>Korallrot
Ögonpyrola</t>
        </is>
      </c>
      <c r="S105">
        <f>HYPERLINK("https://klasma.github.io/Logging_2321/artfynd/A 32207-2022 artfynd.xlsx", "A 32207-2022")</f>
        <v/>
      </c>
      <c r="T105">
        <f>HYPERLINK("https://klasma.github.io/Logging_2321/kartor/A 32207-2022 karta.png", "A 32207-2022")</f>
        <v/>
      </c>
      <c r="V105">
        <f>HYPERLINK("https://klasma.github.io/Logging_2321/klagomål/A 32207-2022 FSC-klagomål.docx", "A 32207-2022")</f>
        <v/>
      </c>
      <c r="W105">
        <f>HYPERLINK("https://klasma.github.io/Logging_2321/klagomålsmail/A 32207-2022 FSC-klagomål mail.docx", "A 32207-2022")</f>
        <v/>
      </c>
      <c r="X105">
        <f>HYPERLINK("https://klasma.github.io/Logging_2321/tillsyn/A 32207-2022 tillsynsbegäran.docx", "A 32207-2022")</f>
        <v/>
      </c>
      <c r="Y105">
        <f>HYPERLINK("https://klasma.github.io/Logging_2321/tillsynsmail/A 32207-2022 tillsynsbegäran mail.docx", "A 32207-2022")</f>
        <v/>
      </c>
    </row>
    <row r="106" ht="15" customHeight="1">
      <c r="A106" t="inlineStr">
        <is>
          <t>A 18851-2022</t>
        </is>
      </c>
      <c r="B106" s="1" t="n">
        <v>44690</v>
      </c>
      <c r="C106" s="1" t="n">
        <v>45894</v>
      </c>
      <c r="D106" t="inlineStr">
        <is>
          <t>JÄMTLANDS LÄN</t>
        </is>
      </c>
      <c r="E106" t="inlineStr">
        <is>
          <t>ÅRE</t>
        </is>
      </c>
      <c r="G106" t="n">
        <v>10.4</v>
      </c>
      <c r="H106" t="n">
        <v>1</v>
      </c>
      <c r="I106" t="n">
        <v>0</v>
      </c>
      <c r="J106" t="n">
        <v>1</v>
      </c>
      <c r="K106" t="n">
        <v>0</v>
      </c>
      <c r="L106" t="n">
        <v>0</v>
      </c>
      <c r="M106" t="n">
        <v>0</v>
      </c>
      <c r="N106" t="n">
        <v>0</v>
      </c>
      <c r="O106" t="n">
        <v>1</v>
      </c>
      <c r="P106" t="n">
        <v>0</v>
      </c>
      <c r="Q106" t="n">
        <v>2</v>
      </c>
      <c r="R106" s="2" t="inlineStr">
        <is>
          <t>Garnlav
Orre</t>
        </is>
      </c>
      <c r="S106">
        <f>HYPERLINK("https://klasma.github.io/Logging_2321/artfynd/A 18851-2022 artfynd.xlsx", "A 18851-2022")</f>
        <v/>
      </c>
      <c r="T106">
        <f>HYPERLINK("https://klasma.github.io/Logging_2321/kartor/A 18851-2022 karta.png", "A 18851-2022")</f>
        <v/>
      </c>
      <c r="V106">
        <f>HYPERLINK("https://klasma.github.io/Logging_2321/klagomål/A 18851-2022 FSC-klagomål.docx", "A 18851-2022")</f>
        <v/>
      </c>
      <c r="W106">
        <f>HYPERLINK("https://klasma.github.io/Logging_2321/klagomålsmail/A 18851-2022 FSC-klagomål mail.docx", "A 18851-2022")</f>
        <v/>
      </c>
      <c r="X106">
        <f>HYPERLINK("https://klasma.github.io/Logging_2321/tillsyn/A 18851-2022 tillsynsbegäran.docx", "A 18851-2022")</f>
        <v/>
      </c>
      <c r="Y106">
        <f>HYPERLINK("https://klasma.github.io/Logging_2321/tillsynsmail/A 18851-2022 tillsynsbegäran mail.docx", "A 18851-2022")</f>
        <v/>
      </c>
      <c r="Z106">
        <f>HYPERLINK("https://klasma.github.io/Logging_2321/fåglar/A 18851-2022 prioriterade fågelarter.docx", "A 18851-2022")</f>
        <v/>
      </c>
    </row>
    <row r="107" ht="15" customHeight="1">
      <c r="A107" t="inlineStr">
        <is>
          <t>A 23566-2021</t>
        </is>
      </c>
      <c r="B107" s="1" t="n">
        <v>44334</v>
      </c>
      <c r="C107" s="1" t="n">
        <v>45894</v>
      </c>
      <c r="D107" t="inlineStr">
        <is>
          <t>JÄMTLANDS LÄN</t>
        </is>
      </c>
      <c r="E107" t="inlineStr">
        <is>
          <t>ÅRE</t>
        </is>
      </c>
      <c r="G107" t="n">
        <v>20</v>
      </c>
      <c r="H107" t="n">
        <v>1</v>
      </c>
      <c r="I107" t="n">
        <v>1</v>
      </c>
      <c r="J107" t="n">
        <v>1</v>
      </c>
      <c r="K107" t="n">
        <v>0</v>
      </c>
      <c r="L107" t="n">
        <v>0</v>
      </c>
      <c r="M107" t="n">
        <v>0</v>
      </c>
      <c r="N107" t="n">
        <v>0</v>
      </c>
      <c r="O107" t="n">
        <v>1</v>
      </c>
      <c r="P107" t="n">
        <v>0</v>
      </c>
      <c r="Q107" t="n">
        <v>2</v>
      </c>
      <c r="R107" s="2" t="inlineStr">
        <is>
          <t>Skrovellav
Spindelblomster</t>
        </is>
      </c>
      <c r="S107">
        <f>HYPERLINK("https://klasma.github.io/Logging_2321/artfynd/A 23566-2021 artfynd.xlsx", "A 23566-2021")</f>
        <v/>
      </c>
      <c r="T107">
        <f>HYPERLINK("https://klasma.github.io/Logging_2321/kartor/A 23566-2021 karta.png", "A 23566-2021")</f>
        <v/>
      </c>
      <c r="V107">
        <f>HYPERLINK("https://klasma.github.io/Logging_2321/klagomål/A 23566-2021 FSC-klagomål.docx", "A 23566-2021")</f>
        <v/>
      </c>
      <c r="W107">
        <f>HYPERLINK("https://klasma.github.io/Logging_2321/klagomålsmail/A 23566-2021 FSC-klagomål mail.docx", "A 23566-2021")</f>
        <v/>
      </c>
      <c r="X107">
        <f>HYPERLINK("https://klasma.github.io/Logging_2321/tillsyn/A 23566-2021 tillsynsbegäran.docx", "A 23566-2021")</f>
        <v/>
      </c>
      <c r="Y107">
        <f>HYPERLINK("https://klasma.github.io/Logging_2321/tillsynsmail/A 23566-2021 tillsynsbegäran mail.docx", "A 23566-2021")</f>
        <v/>
      </c>
    </row>
    <row r="108" ht="15" customHeight="1">
      <c r="A108" t="inlineStr">
        <is>
          <t>A 5531-2023</t>
        </is>
      </c>
      <c r="B108" s="1" t="n">
        <v>44957</v>
      </c>
      <c r="C108" s="1" t="n">
        <v>45894</v>
      </c>
      <c r="D108" t="inlineStr">
        <is>
          <t>JÄMTLANDS LÄN</t>
        </is>
      </c>
      <c r="E108" t="inlineStr">
        <is>
          <t>ÅRE</t>
        </is>
      </c>
      <c r="G108" t="n">
        <v>3.8</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HYPERLINK("https://klasma.github.io/Logging_2321/artfynd/A 5531-2023 artfynd.xlsx", "A 5531-2023")</f>
        <v/>
      </c>
      <c r="T108">
        <f>HYPERLINK("https://klasma.github.io/Logging_2321/kartor/A 5531-2023 karta.png", "A 5531-2023")</f>
        <v/>
      </c>
      <c r="V108">
        <f>HYPERLINK("https://klasma.github.io/Logging_2321/klagomål/A 5531-2023 FSC-klagomål.docx", "A 5531-2023")</f>
        <v/>
      </c>
      <c r="W108">
        <f>HYPERLINK("https://klasma.github.io/Logging_2321/klagomålsmail/A 5531-2023 FSC-klagomål mail.docx", "A 5531-2023")</f>
        <v/>
      </c>
      <c r="X108">
        <f>HYPERLINK("https://klasma.github.io/Logging_2321/tillsyn/A 5531-2023 tillsynsbegäran.docx", "A 5531-2023")</f>
        <v/>
      </c>
      <c r="Y108">
        <f>HYPERLINK("https://klasma.github.io/Logging_2321/tillsynsmail/A 5531-2023 tillsynsbegäran mail.docx", "A 5531-2023")</f>
        <v/>
      </c>
      <c r="Z108">
        <f>HYPERLINK("https://klasma.github.io/Logging_2321/fåglar/A 5531-2023 prioriterade fågelarter.docx", "A 5531-2023")</f>
        <v/>
      </c>
    </row>
    <row r="109" ht="15" customHeight="1">
      <c r="A109" t="inlineStr">
        <is>
          <t>A 46984-2021</t>
        </is>
      </c>
      <c r="B109" s="1" t="n">
        <v>44446</v>
      </c>
      <c r="C109" s="1" t="n">
        <v>45894</v>
      </c>
      <c r="D109" t="inlineStr">
        <is>
          <t>JÄMTLANDS LÄN</t>
        </is>
      </c>
      <c r="E109" t="inlineStr">
        <is>
          <t>ÅRE</t>
        </is>
      </c>
      <c r="G109" t="n">
        <v>0.2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46984-2021 artfynd.xlsx", "A 46984-2021")</f>
        <v/>
      </c>
      <c r="T109">
        <f>HYPERLINK("https://klasma.github.io/Logging_2321/kartor/A 46984-2021 karta.png", "A 46984-2021")</f>
        <v/>
      </c>
      <c r="V109">
        <f>HYPERLINK("https://klasma.github.io/Logging_2321/klagomål/A 46984-2021 FSC-klagomål.docx", "A 46984-2021")</f>
        <v/>
      </c>
      <c r="W109">
        <f>HYPERLINK("https://klasma.github.io/Logging_2321/klagomålsmail/A 46984-2021 FSC-klagomål mail.docx", "A 46984-2021")</f>
        <v/>
      </c>
      <c r="X109">
        <f>HYPERLINK("https://klasma.github.io/Logging_2321/tillsyn/A 46984-2021 tillsynsbegäran.docx", "A 46984-2021")</f>
        <v/>
      </c>
      <c r="Y109">
        <f>HYPERLINK("https://klasma.github.io/Logging_2321/tillsynsmail/A 46984-2021 tillsynsbegäran mail.docx", "A 46984-2021")</f>
        <v/>
      </c>
      <c r="Z109">
        <f>HYPERLINK("https://klasma.github.io/Logging_2321/fåglar/A 46984-2021 prioriterade fågelarter.docx", "A 46984-2021")</f>
        <v/>
      </c>
    </row>
    <row r="110" ht="15" customHeight="1">
      <c r="A110" t="inlineStr">
        <is>
          <t>A 60533-2022</t>
        </is>
      </c>
      <c r="B110" s="1" t="n">
        <v>44904</v>
      </c>
      <c r="C110" s="1" t="n">
        <v>45894</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6108-2023</t>
        </is>
      </c>
      <c r="B111" s="1" t="n">
        <v>44964</v>
      </c>
      <c r="C111" s="1" t="n">
        <v>45894</v>
      </c>
      <c r="D111" t="inlineStr">
        <is>
          <t>JÄMTLANDS LÄN</t>
        </is>
      </c>
      <c r="E111" t="inlineStr">
        <is>
          <t>ÅRE</t>
        </is>
      </c>
      <c r="G111" t="n">
        <v>15.4</v>
      </c>
      <c r="H111" t="n">
        <v>1</v>
      </c>
      <c r="I111" t="n">
        <v>0</v>
      </c>
      <c r="J111" t="n">
        <v>2</v>
      </c>
      <c r="K111" t="n">
        <v>0</v>
      </c>
      <c r="L111" t="n">
        <v>0</v>
      </c>
      <c r="M111" t="n">
        <v>0</v>
      </c>
      <c r="N111" t="n">
        <v>0</v>
      </c>
      <c r="O111" t="n">
        <v>2</v>
      </c>
      <c r="P111" t="n">
        <v>0</v>
      </c>
      <c r="Q111" t="n">
        <v>2</v>
      </c>
      <c r="R111" s="2" t="inlineStr">
        <is>
          <t>Skrovellav
Tretåig hackspett</t>
        </is>
      </c>
      <c r="S111">
        <f>HYPERLINK("https://klasma.github.io/Logging_2321/artfynd/A 6108-2023 artfynd.xlsx", "A 6108-2023")</f>
        <v/>
      </c>
      <c r="T111">
        <f>HYPERLINK("https://klasma.github.io/Logging_2321/kartor/A 6108-2023 karta.png", "A 6108-2023")</f>
        <v/>
      </c>
      <c r="V111">
        <f>HYPERLINK("https://klasma.github.io/Logging_2321/klagomål/A 6108-2023 FSC-klagomål.docx", "A 6108-2023")</f>
        <v/>
      </c>
      <c r="W111">
        <f>HYPERLINK("https://klasma.github.io/Logging_2321/klagomålsmail/A 6108-2023 FSC-klagomål mail.docx", "A 6108-2023")</f>
        <v/>
      </c>
      <c r="X111">
        <f>HYPERLINK("https://klasma.github.io/Logging_2321/tillsyn/A 6108-2023 tillsynsbegäran.docx", "A 6108-2023")</f>
        <v/>
      </c>
      <c r="Y111">
        <f>HYPERLINK("https://klasma.github.io/Logging_2321/tillsynsmail/A 6108-2023 tillsynsbegäran mail.docx", "A 6108-2023")</f>
        <v/>
      </c>
      <c r="Z111">
        <f>HYPERLINK("https://klasma.github.io/Logging_2321/fåglar/A 6108-2023 prioriterade fågelarter.docx", "A 6108-2023")</f>
        <v/>
      </c>
    </row>
    <row r="112" ht="15" customHeight="1">
      <c r="A112" t="inlineStr">
        <is>
          <t>A 3152-2023</t>
        </is>
      </c>
      <c r="B112" s="1" t="n">
        <v>44946</v>
      </c>
      <c r="C112" s="1" t="n">
        <v>45894</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36395-2025</t>
        </is>
      </c>
      <c r="B113" s="1" t="n">
        <v>45868.6211574074</v>
      </c>
      <c r="C113" s="1" t="n">
        <v>45894</v>
      </c>
      <c r="D113" t="inlineStr">
        <is>
          <t>JÄMTLANDS LÄN</t>
        </is>
      </c>
      <c r="E113" t="inlineStr">
        <is>
          <t>ÅRE</t>
        </is>
      </c>
      <c r="G113" t="n">
        <v>19.6</v>
      </c>
      <c r="H113" t="n">
        <v>2</v>
      </c>
      <c r="I113" t="n">
        <v>0</v>
      </c>
      <c r="J113" t="n">
        <v>2</v>
      </c>
      <c r="K113" t="n">
        <v>0</v>
      </c>
      <c r="L113" t="n">
        <v>0</v>
      </c>
      <c r="M113" t="n">
        <v>0</v>
      </c>
      <c r="N113" t="n">
        <v>0</v>
      </c>
      <c r="O113" t="n">
        <v>2</v>
      </c>
      <c r="P113" t="n">
        <v>0</v>
      </c>
      <c r="Q113" t="n">
        <v>2</v>
      </c>
      <c r="R113" s="2" t="inlineStr">
        <is>
          <t>Spillkråka
Tretåig hackspett</t>
        </is>
      </c>
      <c r="S113">
        <f>HYPERLINK("https://klasma.github.io/Logging_2321/artfynd/A 36395-2025 artfynd.xlsx", "A 36395-2025")</f>
        <v/>
      </c>
      <c r="T113">
        <f>HYPERLINK("https://klasma.github.io/Logging_2321/kartor/A 36395-2025 karta.png", "A 36395-2025")</f>
        <v/>
      </c>
      <c r="V113">
        <f>HYPERLINK("https://klasma.github.io/Logging_2321/klagomål/A 36395-2025 FSC-klagomål.docx", "A 36395-2025")</f>
        <v/>
      </c>
      <c r="W113">
        <f>HYPERLINK("https://klasma.github.io/Logging_2321/klagomålsmail/A 36395-2025 FSC-klagomål mail.docx", "A 36395-2025")</f>
        <v/>
      </c>
      <c r="X113">
        <f>HYPERLINK("https://klasma.github.io/Logging_2321/tillsyn/A 36395-2025 tillsynsbegäran.docx", "A 36395-2025")</f>
        <v/>
      </c>
      <c r="Y113">
        <f>HYPERLINK("https://klasma.github.io/Logging_2321/tillsynsmail/A 36395-2025 tillsynsbegäran mail.docx", "A 36395-2025")</f>
        <v/>
      </c>
      <c r="Z113">
        <f>HYPERLINK("https://klasma.github.io/Logging_2321/fåglar/A 36395-2025 prioriterade fågelarter.docx", "A 36395-2025")</f>
        <v/>
      </c>
    </row>
    <row r="114" ht="15" customHeight="1">
      <c r="A114" t="inlineStr">
        <is>
          <t>A 37204-2025</t>
        </is>
      </c>
      <c r="B114" s="1" t="n">
        <v>45875.69826388889</v>
      </c>
      <c r="C114" s="1" t="n">
        <v>45894</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32114-2025</t>
        </is>
      </c>
      <c r="B115" s="1" t="n">
        <v>45835.48488425926</v>
      </c>
      <c r="C115" s="1" t="n">
        <v>45894</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18719-2024</t>
        </is>
      </c>
      <c r="B116" s="1" t="n">
        <v>45426</v>
      </c>
      <c r="C116" s="1" t="n">
        <v>45894</v>
      </c>
      <c r="D116" t="inlineStr">
        <is>
          <t>JÄMTLANDS LÄN</t>
        </is>
      </c>
      <c r="E116" t="inlineStr">
        <is>
          <t>ÅRE</t>
        </is>
      </c>
      <c r="F116" t="inlineStr">
        <is>
          <t>Övriga Aktiebolag</t>
        </is>
      </c>
      <c r="G116" t="n">
        <v>6.6</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18719-2024 artfynd.xlsx", "A 18719-2024")</f>
        <v/>
      </c>
      <c r="T116">
        <f>HYPERLINK("https://klasma.github.io/Logging_2321/kartor/A 18719-2024 karta.png", "A 18719-2024")</f>
        <v/>
      </c>
      <c r="V116">
        <f>HYPERLINK("https://klasma.github.io/Logging_2321/klagomål/A 18719-2024 FSC-klagomål.docx", "A 18719-2024")</f>
        <v/>
      </c>
      <c r="W116">
        <f>HYPERLINK("https://klasma.github.io/Logging_2321/klagomålsmail/A 18719-2024 FSC-klagomål mail.docx", "A 18719-2024")</f>
        <v/>
      </c>
      <c r="X116">
        <f>HYPERLINK("https://klasma.github.io/Logging_2321/tillsyn/A 18719-2024 tillsynsbegäran.docx", "A 18719-2024")</f>
        <v/>
      </c>
      <c r="Y116">
        <f>HYPERLINK("https://klasma.github.io/Logging_2321/tillsynsmail/A 18719-2024 tillsynsbegäran mail.docx", "A 18719-2024")</f>
        <v/>
      </c>
      <c r="Z116">
        <f>HYPERLINK("https://klasma.github.io/Logging_2321/fåglar/A 18719-2024 prioriterade fågelarter.docx", "A 18719-2024")</f>
        <v/>
      </c>
    </row>
    <row r="117" ht="15" customHeight="1">
      <c r="A117" t="inlineStr">
        <is>
          <t>A 5388-2021</t>
        </is>
      </c>
      <c r="B117" s="1" t="n">
        <v>44229</v>
      </c>
      <c r="C117" s="1" t="n">
        <v>45894</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5418-2023</t>
        </is>
      </c>
      <c r="B118" s="1" t="n">
        <v>44957</v>
      </c>
      <c r="C118" s="1" t="n">
        <v>45894</v>
      </c>
      <c r="D118" t="inlineStr">
        <is>
          <t>JÄMTLANDS LÄN</t>
        </is>
      </c>
      <c r="E118" t="inlineStr">
        <is>
          <t>ÅRE</t>
        </is>
      </c>
      <c r="G118" t="n">
        <v>5</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5418-2023 artfynd.xlsx", "A 5418-2023")</f>
        <v/>
      </c>
      <c r="T118">
        <f>HYPERLINK("https://klasma.github.io/Logging_2321/kartor/A 5418-2023 karta.png", "A 5418-2023")</f>
        <v/>
      </c>
      <c r="V118">
        <f>HYPERLINK("https://klasma.github.io/Logging_2321/klagomål/A 5418-2023 FSC-klagomål.docx", "A 5418-2023")</f>
        <v/>
      </c>
      <c r="W118">
        <f>HYPERLINK("https://klasma.github.io/Logging_2321/klagomålsmail/A 5418-2023 FSC-klagomål mail.docx", "A 5418-2023")</f>
        <v/>
      </c>
      <c r="X118">
        <f>HYPERLINK("https://klasma.github.io/Logging_2321/tillsyn/A 5418-2023 tillsynsbegäran.docx", "A 5418-2023")</f>
        <v/>
      </c>
      <c r="Y118">
        <f>HYPERLINK("https://klasma.github.io/Logging_2321/tillsynsmail/A 5418-2023 tillsynsbegäran mail.docx", "A 5418-2023")</f>
        <v/>
      </c>
      <c r="Z118">
        <f>HYPERLINK("https://klasma.github.io/Logging_2321/fåglar/A 5418-2023 prioriterade fågelarter.docx", "A 5418-2023")</f>
        <v/>
      </c>
    </row>
    <row r="119" ht="15" customHeight="1">
      <c r="A119" t="inlineStr">
        <is>
          <t>A 54055-2023</t>
        </is>
      </c>
      <c r="B119" s="1" t="n">
        <v>45231</v>
      </c>
      <c r="C119" s="1" t="n">
        <v>45894</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22974-2022</t>
        </is>
      </c>
      <c r="B120" s="1" t="n">
        <v>44716</v>
      </c>
      <c r="C120" s="1" t="n">
        <v>45894</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20501-2021</t>
        </is>
      </c>
      <c r="B121" s="1" t="n">
        <v>44315.68802083333</v>
      </c>
      <c r="C121" s="1" t="n">
        <v>45894</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45894</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45894</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45894</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45894</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45894</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45894</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45894</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45894</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45894</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45894</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46966-2020</t>
        </is>
      </c>
      <c r="B132" s="1" t="n">
        <v>44090</v>
      </c>
      <c r="C132" s="1" t="n">
        <v>45894</v>
      </c>
      <c r="D132" t="inlineStr">
        <is>
          <t>JÄMTLANDS LÄN</t>
        </is>
      </c>
      <c r="E132" t="inlineStr">
        <is>
          <t>ÅRE</t>
        </is>
      </c>
      <c r="G132" t="n">
        <v>13.7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46966-2020 artfynd.xlsx", "A 46966-2020")</f>
        <v/>
      </c>
      <c r="T132">
        <f>HYPERLINK("https://klasma.github.io/Logging_2321/kartor/A 46966-2020 karta.png", "A 46966-2020")</f>
        <v/>
      </c>
      <c r="V132">
        <f>HYPERLINK("https://klasma.github.io/Logging_2321/klagomål/A 46966-2020 FSC-klagomål.docx", "A 46966-2020")</f>
        <v/>
      </c>
      <c r="W132">
        <f>HYPERLINK("https://klasma.github.io/Logging_2321/klagomålsmail/A 46966-2020 FSC-klagomål mail.docx", "A 46966-2020")</f>
        <v/>
      </c>
      <c r="X132">
        <f>HYPERLINK("https://klasma.github.io/Logging_2321/tillsyn/A 46966-2020 tillsynsbegäran.docx", "A 46966-2020")</f>
        <v/>
      </c>
      <c r="Y132">
        <f>HYPERLINK("https://klasma.github.io/Logging_2321/tillsynsmail/A 46966-2020 tillsynsbegäran mail.docx", "A 46966-2020")</f>
        <v/>
      </c>
      <c r="Z132">
        <f>HYPERLINK("https://klasma.github.io/Logging_2321/fåglar/A 46966-2020 prioriterade fågelarter.docx", "A 46966-2020")</f>
        <v/>
      </c>
    </row>
    <row r="133" ht="15" customHeight="1">
      <c r="A133" t="inlineStr">
        <is>
          <t>A 5611-2023</t>
        </is>
      </c>
      <c r="B133" s="1" t="n">
        <v>44958</v>
      </c>
      <c r="C133" s="1" t="n">
        <v>45894</v>
      </c>
      <c r="D133" t="inlineStr">
        <is>
          <t>JÄMTLANDS LÄN</t>
        </is>
      </c>
      <c r="E133" t="inlineStr">
        <is>
          <t>ÅRE</t>
        </is>
      </c>
      <c r="G133" t="n">
        <v>10.5</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5611-2023 artfynd.xlsx", "A 5611-2023")</f>
        <v/>
      </c>
      <c r="T133">
        <f>HYPERLINK("https://klasma.github.io/Logging_2321/kartor/A 5611-2023 karta.png", "A 5611-2023")</f>
        <v/>
      </c>
      <c r="V133">
        <f>HYPERLINK("https://klasma.github.io/Logging_2321/klagomål/A 5611-2023 FSC-klagomål.docx", "A 5611-2023")</f>
        <v/>
      </c>
      <c r="W133">
        <f>HYPERLINK("https://klasma.github.io/Logging_2321/klagomålsmail/A 5611-2023 FSC-klagomål mail.docx", "A 5611-2023")</f>
        <v/>
      </c>
      <c r="X133">
        <f>HYPERLINK("https://klasma.github.io/Logging_2321/tillsyn/A 5611-2023 tillsynsbegäran.docx", "A 5611-2023")</f>
        <v/>
      </c>
      <c r="Y133">
        <f>HYPERLINK("https://klasma.github.io/Logging_2321/tillsynsmail/A 5611-2023 tillsynsbegäran mail.docx", "A 5611-2023")</f>
        <v/>
      </c>
      <c r="Z133">
        <f>HYPERLINK("https://klasma.github.io/Logging_2321/fåglar/A 5611-2023 prioriterade fågelarter.docx", "A 5611-2023")</f>
        <v/>
      </c>
    </row>
    <row r="134" ht="15" customHeight="1">
      <c r="A134" t="inlineStr">
        <is>
          <t>A 8131-2024</t>
        </is>
      </c>
      <c r="B134" s="1" t="n">
        <v>45351</v>
      </c>
      <c r="C134" s="1" t="n">
        <v>45894</v>
      </c>
      <c r="D134" t="inlineStr">
        <is>
          <t>JÄMTLANDS LÄN</t>
        </is>
      </c>
      <c r="E134" t="inlineStr">
        <is>
          <t>ÅRE</t>
        </is>
      </c>
      <c r="F134" t="inlineStr">
        <is>
          <t>Övriga Aktiebolag</t>
        </is>
      </c>
      <c r="G134" t="n">
        <v>3.1</v>
      </c>
      <c r="H134" t="n">
        <v>0</v>
      </c>
      <c r="I134" t="n">
        <v>0</v>
      </c>
      <c r="J134" t="n">
        <v>0</v>
      </c>
      <c r="K134" t="n">
        <v>1</v>
      </c>
      <c r="L134" t="n">
        <v>0</v>
      </c>
      <c r="M134" t="n">
        <v>0</v>
      </c>
      <c r="N134" t="n">
        <v>0</v>
      </c>
      <c r="O134" t="n">
        <v>1</v>
      </c>
      <c r="P134" t="n">
        <v>1</v>
      </c>
      <c r="Q134" t="n">
        <v>1</v>
      </c>
      <c r="R134" s="2" t="inlineStr">
        <is>
          <t>Gräddporing</t>
        </is>
      </c>
      <c r="S134">
        <f>HYPERLINK("https://klasma.github.io/Logging_2321/artfynd/A 8131-2024 artfynd.xlsx", "A 8131-2024")</f>
        <v/>
      </c>
      <c r="T134">
        <f>HYPERLINK("https://klasma.github.io/Logging_2321/kartor/A 8131-2024 karta.png", "A 8131-2024")</f>
        <v/>
      </c>
      <c r="V134">
        <f>HYPERLINK("https://klasma.github.io/Logging_2321/klagomål/A 8131-2024 FSC-klagomål.docx", "A 8131-2024")</f>
        <v/>
      </c>
      <c r="W134">
        <f>HYPERLINK("https://klasma.github.io/Logging_2321/klagomålsmail/A 8131-2024 FSC-klagomål mail.docx", "A 8131-2024")</f>
        <v/>
      </c>
      <c r="X134">
        <f>HYPERLINK("https://klasma.github.io/Logging_2321/tillsyn/A 8131-2024 tillsynsbegäran.docx", "A 8131-2024")</f>
        <v/>
      </c>
      <c r="Y134">
        <f>HYPERLINK("https://klasma.github.io/Logging_2321/tillsynsmail/A 8131-2024 tillsynsbegäran mail.docx", "A 8131-2024")</f>
        <v/>
      </c>
    </row>
    <row r="135" ht="15" customHeight="1">
      <c r="A135" t="inlineStr">
        <is>
          <t>A 10632-2023</t>
        </is>
      </c>
      <c r="B135" s="1" t="n">
        <v>44984</v>
      </c>
      <c r="C135" s="1" t="n">
        <v>45894</v>
      </c>
      <c r="D135" t="inlineStr">
        <is>
          <t>JÄMTLANDS LÄN</t>
        </is>
      </c>
      <c r="E135" t="inlineStr">
        <is>
          <t>ÅRE</t>
        </is>
      </c>
      <c r="G135" t="n">
        <v>5.4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10632-2023 artfynd.xlsx", "A 10632-2023")</f>
        <v/>
      </c>
      <c r="T135">
        <f>HYPERLINK("https://klasma.github.io/Logging_2321/kartor/A 10632-2023 karta.png", "A 10632-2023")</f>
        <v/>
      </c>
      <c r="V135">
        <f>HYPERLINK("https://klasma.github.io/Logging_2321/klagomål/A 10632-2023 FSC-klagomål.docx", "A 10632-2023")</f>
        <v/>
      </c>
      <c r="W135">
        <f>HYPERLINK("https://klasma.github.io/Logging_2321/klagomålsmail/A 10632-2023 FSC-klagomål mail.docx", "A 10632-2023")</f>
        <v/>
      </c>
      <c r="X135">
        <f>HYPERLINK("https://klasma.github.io/Logging_2321/tillsyn/A 10632-2023 tillsynsbegäran.docx", "A 10632-2023")</f>
        <v/>
      </c>
      <c r="Y135">
        <f>HYPERLINK("https://klasma.github.io/Logging_2321/tillsynsmail/A 10632-2023 tillsynsbegäran mail.docx", "A 10632-2023")</f>
        <v/>
      </c>
      <c r="Z135">
        <f>HYPERLINK("https://klasma.github.io/Logging_2321/fåglar/A 10632-2023 prioriterade fågelarter.docx", "A 10632-2023")</f>
        <v/>
      </c>
    </row>
    <row r="136" ht="15" customHeight="1">
      <c r="A136" t="inlineStr">
        <is>
          <t>A 50321-2024</t>
        </is>
      </c>
      <c r="B136" s="1" t="n">
        <v>45600</v>
      </c>
      <c r="C136" s="1" t="n">
        <v>45894</v>
      </c>
      <c r="D136" t="inlineStr">
        <is>
          <t>JÄMTLANDS LÄN</t>
        </is>
      </c>
      <c r="E136" t="inlineStr">
        <is>
          <t>ÅRE</t>
        </is>
      </c>
      <c r="F136" t="inlineStr">
        <is>
          <t>Övriga Aktiebolag</t>
        </is>
      </c>
      <c r="G136" t="n">
        <v>2.6</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50321-2024 artfynd.xlsx", "A 50321-2024")</f>
        <v/>
      </c>
      <c r="T136">
        <f>HYPERLINK("https://klasma.github.io/Logging_2321/kartor/A 50321-2024 karta.png", "A 50321-2024")</f>
        <v/>
      </c>
      <c r="V136">
        <f>HYPERLINK("https://klasma.github.io/Logging_2321/klagomål/A 50321-2024 FSC-klagomål.docx", "A 50321-2024")</f>
        <v/>
      </c>
      <c r="W136">
        <f>HYPERLINK("https://klasma.github.io/Logging_2321/klagomålsmail/A 50321-2024 FSC-klagomål mail.docx", "A 50321-2024")</f>
        <v/>
      </c>
      <c r="X136">
        <f>HYPERLINK("https://klasma.github.io/Logging_2321/tillsyn/A 50321-2024 tillsynsbegäran.docx", "A 50321-2024")</f>
        <v/>
      </c>
      <c r="Y136">
        <f>HYPERLINK("https://klasma.github.io/Logging_2321/tillsynsmail/A 50321-2024 tillsynsbegäran mail.docx", "A 50321-2024")</f>
        <v/>
      </c>
      <c r="Z136">
        <f>HYPERLINK("https://klasma.github.io/Logging_2321/fåglar/A 50321-2024 prioriterade fågelarter.docx", "A 50321-2024")</f>
        <v/>
      </c>
    </row>
    <row r="137" ht="15" customHeight="1">
      <c r="A137" t="inlineStr">
        <is>
          <t>A 61471-2023</t>
        </is>
      </c>
      <c r="B137" s="1" t="n">
        <v>45264</v>
      </c>
      <c r="C137" s="1" t="n">
        <v>45894</v>
      </c>
      <c r="D137" t="inlineStr">
        <is>
          <t>JÄMTLANDS LÄN</t>
        </is>
      </c>
      <c r="E137" t="inlineStr">
        <is>
          <t>ÅRE</t>
        </is>
      </c>
      <c r="G137" t="n">
        <v>1</v>
      </c>
      <c r="H137" t="n">
        <v>0</v>
      </c>
      <c r="I137" t="n">
        <v>0</v>
      </c>
      <c r="J137" t="n">
        <v>1</v>
      </c>
      <c r="K137" t="n">
        <v>0</v>
      </c>
      <c r="L137" t="n">
        <v>0</v>
      </c>
      <c r="M137" t="n">
        <v>0</v>
      </c>
      <c r="N137" t="n">
        <v>0</v>
      </c>
      <c r="O137" t="n">
        <v>1</v>
      </c>
      <c r="P137" t="n">
        <v>0</v>
      </c>
      <c r="Q137" t="n">
        <v>1</v>
      </c>
      <c r="R137" s="2" t="inlineStr">
        <is>
          <t>Skrovellav</t>
        </is>
      </c>
      <c r="S137">
        <f>HYPERLINK("https://klasma.github.io/Logging_2321/artfynd/A 61471-2023 artfynd.xlsx", "A 61471-2023")</f>
        <v/>
      </c>
      <c r="T137">
        <f>HYPERLINK("https://klasma.github.io/Logging_2321/kartor/A 61471-2023 karta.png", "A 61471-2023")</f>
        <v/>
      </c>
      <c r="V137">
        <f>HYPERLINK("https://klasma.github.io/Logging_2321/klagomål/A 61471-2023 FSC-klagomål.docx", "A 61471-2023")</f>
        <v/>
      </c>
      <c r="W137">
        <f>HYPERLINK("https://klasma.github.io/Logging_2321/klagomålsmail/A 61471-2023 FSC-klagomål mail.docx", "A 61471-2023")</f>
        <v/>
      </c>
      <c r="X137">
        <f>HYPERLINK("https://klasma.github.io/Logging_2321/tillsyn/A 61471-2023 tillsynsbegäran.docx", "A 61471-2023")</f>
        <v/>
      </c>
      <c r="Y137">
        <f>HYPERLINK("https://klasma.github.io/Logging_2321/tillsynsmail/A 61471-2023 tillsynsbegäran mail.docx", "A 61471-2023")</f>
        <v/>
      </c>
    </row>
    <row r="138" ht="15" customHeight="1">
      <c r="A138" t="inlineStr">
        <is>
          <t>A 18543-2021</t>
        </is>
      </c>
      <c r="B138" s="1" t="n">
        <v>44306</v>
      </c>
      <c r="C138" s="1" t="n">
        <v>45894</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2422-2021</t>
        </is>
      </c>
      <c r="B139" s="1" t="n">
        <v>44214</v>
      </c>
      <c r="C139" s="1" t="n">
        <v>45894</v>
      </c>
      <c r="D139" t="inlineStr">
        <is>
          <t>JÄMTLANDS LÄN</t>
        </is>
      </c>
      <c r="E139" t="inlineStr">
        <is>
          <t>ÅRE</t>
        </is>
      </c>
      <c r="G139" t="n">
        <v>3.3</v>
      </c>
      <c r="H139" t="n">
        <v>1</v>
      </c>
      <c r="I139" t="n">
        <v>0</v>
      </c>
      <c r="J139" t="n">
        <v>0</v>
      </c>
      <c r="K139" t="n">
        <v>0</v>
      </c>
      <c r="L139" t="n">
        <v>0</v>
      </c>
      <c r="M139" t="n">
        <v>0</v>
      </c>
      <c r="N139" t="n">
        <v>0</v>
      </c>
      <c r="O139" t="n">
        <v>0</v>
      </c>
      <c r="P139" t="n">
        <v>0</v>
      </c>
      <c r="Q139" t="n">
        <v>1</v>
      </c>
      <c r="R139" s="2" t="inlineStr">
        <is>
          <t>Fläcknycklar</t>
        </is>
      </c>
      <c r="S139">
        <f>HYPERLINK("https://klasma.github.io/Logging_2321/artfynd/A 2422-2021 artfynd.xlsx", "A 2422-2021")</f>
        <v/>
      </c>
      <c r="T139">
        <f>HYPERLINK("https://klasma.github.io/Logging_2321/kartor/A 2422-2021 karta.png", "A 2422-2021")</f>
        <v/>
      </c>
      <c r="V139">
        <f>HYPERLINK("https://klasma.github.io/Logging_2321/klagomål/A 2422-2021 FSC-klagomål.docx", "A 2422-2021")</f>
        <v/>
      </c>
      <c r="W139">
        <f>HYPERLINK("https://klasma.github.io/Logging_2321/klagomålsmail/A 2422-2021 FSC-klagomål mail.docx", "A 2422-2021")</f>
        <v/>
      </c>
      <c r="X139">
        <f>HYPERLINK("https://klasma.github.io/Logging_2321/tillsyn/A 2422-2021 tillsynsbegäran.docx", "A 2422-2021")</f>
        <v/>
      </c>
      <c r="Y139">
        <f>HYPERLINK("https://klasma.github.io/Logging_2321/tillsynsmail/A 2422-2021 tillsynsbegäran mail.docx", "A 2422-2021")</f>
        <v/>
      </c>
    </row>
    <row r="140" ht="15" customHeight="1">
      <c r="A140" t="inlineStr">
        <is>
          <t>A 17692-2022</t>
        </is>
      </c>
      <c r="B140" s="1" t="n">
        <v>44680</v>
      </c>
      <c r="C140" s="1" t="n">
        <v>45894</v>
      </c>
      <c r="D140" t="inlineStr">
        <is>
          <t>JÄMTLANDS LÄN</t>
        </is>
      </c>
      <c r="E140" t="inlineStr">
        <is>
          <t>ÅRE</t>
        </is>
      </c>
      <c r="G140" t="n">
        <v>3.1</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17692-2022 artfynd.xlsx", "A 17692-2022")</f>
        <v/>
      </c>
      <c r="T140">
        <f>HYPERLINK("https://klasma.github.io/Logging_2321/kartor/A 17692-2022 karta.png", "A 17692-2022")</f>
        <v/>
      </c>
      <c r="V140">
        <f>HYPERLINK("https://klasma.github.io/Logging_2321/klagomål/A 17692-2022 FSC-klagomål.docx", "A 17692-2022")</f>
        <v/>
      </c>
      <c r="W140">
        <f>HYPERLINK("https://klasma.github.io/Logging_2321/klagomålsmail/A 17692-2022 FSC-klagomål mail.docx", "A 17692-2022")</f>
        <v/>
      </c>
      <c r="X140">
        <f>HYPERLINK("https://klasma.github.io/Logging_2321/tillsyn/A 17692-2022 tillsynsbegäran.docx", "A 17692-2022")</f>
        <v/>
      </c>
      <c r="Y140">
        <f>HYPERLINK("https://klasma.github.io/Logging_2321/tillsynsmail/A 17692-2022 tillsynsbegäran mail.docx", "A 17692-2022")</f>
        <v/>
      </c>
      <c r="Z140">
        <f>HYPERLINK("https://klasma.github.io/Logging_2321/fåglar/A 17692-2022 prioriterade fågelarter.docx", "A 17692-2022")</f>
        <v/>
      </c>
    </row>
    <row r="141" ht="15" customHeight="1">
      <c r="A141" t="inlineStr">
        <is>
          <t>A 21939-2025</t>
        </is>
      </c>
      <c r="B141" s="1" t="n">
        <v>45784.58445601852</v>
      </c>
      <c r="C141" s="1" t="n">
        <v>45894</v>
      </c>
      <c r="D141" t="inlineStr">
        <is>
          <t>JÄMTLANDS LÄN</t>
        </is>
      </c>
      <c r="E141" t="inlineStr">
        <is>
          <t>ÅRE</t>
        </is>
      </c>
      <c r="G141" t="n">
        <v>6.5</v>
      </c>
      <c r="H141" t="n">
        <v>0</v>
      </c>
      <c r="I141" t="n">
        <v>1</v>
      </c>
      <c r="J141" t="n">
        <v>0</v>
      </c>
      <c r="K141" t="n">
        <v>0</v>
      </c>
      <c r="L141" t="n">
        <v>0</v>
      </c>
      <c r="M141" t="n">
        <v>0</v>
      </c>
      <c r="N141" t="n">
        <v>0</v>
      </c>
      <c r="O141" t="n">
        <v>0</v>
      </c>
      <c r="P141" t="n">
        <v>0</v>
      </c>
      <c r="Q141" t="n">
        <v>1</v>
      </c>
      <c r="R141" s="2" t="inlineStr">
        <is>
          <t>Finbräken</t>
        </is>
      </c>
      <c r="S141">
        <f>HYPERLINK("https://klasma.github.io/Logging_2321/artfynd/A 21939-2025 artfynd.xlsx", "A 21939-2025")</f>
        <v/>
      </c>
      <c r="T141">
        <f>HYPERLINK("https://klasma.github.io/Logging_2321/kartor/A 21939-2025 karta.png", "A 21939-2025")</f>
        <v/>
      </c>
      <c r="V141">
        <f>HYPERLINK("https://klasma.github.io/Logging_2321/klagomål/A 21939-2025 FSC-klagomål.docx", "A 21939-2025")</f>
        <v/>
      </c>
      <c r="W141">
        <f>HYPERLINK("https://klasma.github.io/Logging_2321/klagomålsmail/A 21939-2025 FSC-klagomål mail.docx", "A 21939-2025")</f>
        <v/>
      </c>
      <c r="X141">
        <f>HYPERLINK("https://klasma.github.io/Logging_2321/tillsyn/A 21939-2025 tillsynsbegäran.docx", "A 21939-2025")</f>
        <v/>
      </c>
      <c r="Y141">
        <f>HYPERLINK("https://klasma.github.io/Logging_2321/tillsynsmail/A 21939-2025 tillsynsbegäran mail.docx", "A 21939-2025")</f>
        <v/>
      </c>
    </row>
    <row r="142" ht="15" customHeight="1">
      <c r="A142" t="inlineStr">
        <is>
          <t>A 58226-2021</t>
        </is>
      </c>
      <c r="B142" s="1" t="n">
        <v>44487</v>
      </c>
      <c r="C142" s="1" t="n">
        <v>45894</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23818-2025</t>
        </is>
      </c>
      <c r="B143" s="1" t="n">
        <v>45793.58469907408</v>
      </c>
      <c r="C143" s="1" t="n">
        <v>45894</v>
      </c>
      <c r="D143" t="inlineStr">
        <is>
          <t>JÄMTLANDS LÄN</t>
        </is>
      </c>
      <c r="E143" t="inlineStr">
        <is>
          <t>ÅRE</t>
        </is>
      </c>
      <c r="G143" t="n">
        <v>7.5</v>
      </c>
      <c r="H143" t="n">
        <v>1</v>
      </c>
      <c r="I143" t="n">
        <v>0</v>
      </c>
      <c r="J143" t="n">
        <v>0</v>
      </c>
      <c r="K143" t="n">
        <v>0</v>
      </c>
      <c r="L143" t="n">
        <v>0</v>
      </c>
      <c r="M143" t="n">
        <v>0</v>
      </c>
      <c r="N143" t="n">
        <v>0</v>
      </c>
      <c r="O143" t="n">
        <v>0</v>
      </c>
      <c r="P143" t="n">
        <v>0</v>
      </c>
      <c r="Q143" t="n">
        <v>1</v>
      </c>
      <c r="R143" s="2" t="inlineStr">
        <is>
          <t>Tjäder</t>
        </is>
      </c>
      <c r="S143">
        <f>HYPERLINK("https://klasma.github.io/Logging_2321/artfynd/A 23818-2025 artfynd.xlsx", "A 23818-2025")</f>
        <v/>
      </c>
      <c r="T143">
        <f>HYPERLINK("https://klasma.github.io/Logging_2321/kartor/A 23818-2025 karta.png", "A 23818-2025")</f>
        <v/>
      </c>
      <c r="V143">
        <f>HYPERLINK("https://klasma.github.io/Logging_2321/klagomål/A 23818-2025 FSC-klagomål.docx", "A 23818-2025")</f>
        <v/>
      </c>
      <c r="W143">
        <f>HYPERLINK("https://klasma.github.io/Logging_2321/klagomålsmail/A 23818-2025 FSC-klagomål mail.docx", "A 23818-2025")</f>
        <v/>
      </c>
      <c r="X143">
        <f>HYPERLINK("https://klasma.github.io/Logging_2321/tillsyn/A 23818-2025 tillsynsbegäran.docx", "A 23818-2025")</f>
        <v/>
      </c>
      <c r="Y143">
        <f>HYPERLINK("https://klasma.github.io/Logging_2321/tillsynsmail/A 23818-2025 tillsynsbegäran mail.docx", "A 23818-2025")</f>
        <v/>
      </c>
      <c r="Z143">
        <f>HYPERLINK("https://klasma.github.io/Logging_2321/fåglar/A 23818-2025 prioriterade fågelarter.docx", "A 23818-2025")</f>
        <v/>
      </c>
    </row>
    <row r="144" ht="15" customHeight="1">
      <c r="A144" t="inlineStr">
        <is>
          <t>A 32216-2022</t>
        </is>
      </c>
      <c r="B144" s="1" t="n">
        <v>44781</v>
      </c>
      <c r="C144" s="1" t="n">
        <v>45894</v>
      </c>
      <c r="D144" t="inlineStr">
        <is>
          <t>JÄMTLANDS LÄN</t>
        </is>
      </c>
      <c r="E144" t="inlineStr">
        <is>
          <t>ÅRE</t>
        </is>
      </c>
      <c r="G144" t="n">
        <v>27.3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32216-2022 artfynd.xlsx", "A 32216-2022")</f>
        <v/>
      </c>
      <c r="T144">
        <f>HYPERLINK("https://klasma.github.io/Logging_2321/kartor/A 32216-2022 karta.png", "A 32216-2022")</f>
        <v/>
      </c>
      <c r="V144">
        <f>HYPERLINK("https://klasma.github.io/Logging_2321/klagomål/A 32216-2022 FSC-klagomål.docx", "A 32216-2022")</f>
        <v/>
      </c>
      <c r="W144">
        <f>HYPERLINK("https://klasma.github.io/Logging_2321/klagomålsmail/A 32216-2022 FSC-klagomål mail.docx", "A 32216-2022")</f>
        <v/>
      </c>
      <c r="X144">
        <f>HYPERLINK("https://klasma.github.io/Logging_2321/tillsyn/A 32216-2022 tillsynsbegäran.docx", "A 32216-2022")</f>
        <v/>
      </c>
      <c r="Y144">
        <f>HYPERLINK("https://klasma.github.io/Logging_2321/tillsynsmail/A 32216-2022 tillsynsbegäran mail.docx", "A 32216-2022")</f>
        <v/>
      </c>
      <c r="Z144">
        <f>HYPERLINK("https://klasma.github.io/Logging_2321/fåglar/A 32216-2022 prioriterade fågelarter.docx", "A 32216-2022")</f>
        <v/>
      </c>
    </row>
    <row r="145" ht="15" customHeight="1">
      <c r="A145" t="inlineStr">
        <is>
          <t>A 4775-2025</t>
        </is>
      </c>
      <c r="B145" s="1" t="n">
        <v>45688</v>
      </c>
      <c r="C145" s="1" t="n">
        <v>45894</v>
      </c>
      <c r="D145" t="inlineStr">
        <is>
          <t>JÄMTLANDS LÄN</t>
        </is>
      </c>
      <c r="E145" t="inlineStr">
        <is>
          <t>ÅRE</t>
        </is>
      </c>
      <c r="G145" t="n">
        <v>0.7</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4775-2025 artfynd.xlsx", "A 4775-2025")</f>
        <v/>
      </c>
      <c r="T145">
        <f>HYPERLINK("https://klasma.github.io/Logging_2321/kartor/A 4775-2025 karta.png", "A 4775-2025")</f>
        <v/>
      </c>
      <c r="V145">
        <f>HYPERLINK("https://klasma.github.io/Logging_2321/klagomål/A 4775-2025 FSC-klagomål.docx", "A 4775-2025")</f>
        <v/>
      </c>
      <c r="W145">
        <f>HYPERLINK("https://klasma.github.io/Logging_2321/klagomålsmail/A 4775-2025 FSC-klagomål mail.docx", "A 4775-2025")</f>
        <v/>
      </c>
      <c r="X145">
        <f>HYPERLINK("https://klasma.github.io/Logging_2321/tillsyn/A 4775-2025 tillsynsbegäran.docx", "A 4775-2025")</f>
        <v/>
      </c>
      <c r="Y145">
        <f>HYPERLINK("https://klasma.github.io/Logging_2321/tillsynsmail/A 4775-2025 tillsynsbegäran mail.docx", "A 4775-2025")</f>
        <v/>
      </c>
      <c r="Z145">
        <f>HYPERLINK("https://klasma.github.io/Logging_2321/fåglar/A 4775-2025 prioriterade fågelarter.docx", "A 4775-2025")</f>
        <v/>
      </c>
    </row>
    <row r="146" ht="15" customHeight="1">
      <c r="A146" t="inlineStr">
        <is>
          <t>A 55194-2022</t>
        </is>
      </c>
      <c r="B146" s="1" t="n">
        <v>44886</v>
      </c>
      <c r="C146" s="1" t="n">
        <v>45894</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5480-2023</t>
        </is>
      </c>
      <c r="B147" s="1" t="n">
        <v>44957</v>
      </c>
      <c r="C147" s="1" t="n">
        <v>45894</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45894</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12970-2021</t>
        </is>
      </c>
      <c r="B149" s="1" t="n">
        <v>44271</v>
      </c>
      <c r="C149" s="1" t="n">
        <v>45894</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74392-2021</t>
        </is>
      </c>
      <c r="B150" s="1" t="n">
        <v>44559</v>
      </c>
      <c r="C150" s="1" t="n">
        <v>45894</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53462-2024</t>
        </is>
      </c>
      <c r="B151" s="1" t="n">
        <v>45614.55241898148</v>
      </c>
      <c r="C151" s="1" t="n">
        <v>45894</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17636-2024</t>
        </is>
      </c>
      <c r="B152" s="1" t="n">
        <v>45418</v>
      </c>
      <c r="C152" s="1" t="n">
        <v>45894</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14245-2025</t>
        </is>
      </c>
      <c r="B153" s="1" t="n">
        <v>45740</v>
      </c>
      <c r="C153" s="1" t="n">
        <v>45894</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15909-2025</t>
        </is>
      </c>
      <c r="B154" s="1" t="n">
        <v>45749</v>
      </c>
      <c r="C154" s="1" t="n">
        <v>45894</v>
      </c>
      <c r="D154" t="inlineStr">
        <is>
          <t>JÄMTLANDS LÄN</t>
        </is>
      </c>
      <c r="E154" t="inlineStr">
        <is>
          <t>ÅRE</t>
        </is>
      </c>
      <c r="G154" t="n">
        <v>23.8</v>
      </c>
      <c r="H154" t="n">
        <v>0</v>
      </c>
      <c r="I154" t="n">
        <v>0</v>
      </c>
      <c r="J154" t="n">
        <v>1</v>
      </c>
      <c r="K154" t="n">
        <v>0</v>
      </c>
      <c r="L154" t="n">
        <v>0</v>
      </c>
      <c r="M154" t="n">
        <v>0</v>
      </c>
      <c r="N154" t="n">
        <v>0</v>
      </c>
      <c r="O154" t="n">
        <v>1</v>
      </c>
      <c r="P154" t="n">
        <v>0</v>
      </c>
      <c r="Q154" t="n">
        <v>1</v>
      </c>
      <c r="R154" s="2" t="inlineStr">
        <is>
          <t>Garnlav</t>
        </is>
      </c>
      <c r="S154">
        <f>HYPERLINK("https://klasma.github.io/Logging_2321/artfynd/A 15909-2025 artfynd.xlsx", "A 15909-2025")</f>
        <v/>
      </c>
      <c r="T154">
        <f>HYPERLINK("https://klasma.github.io/Logging_2321/kartor/A 15909-2025 karta.png", "A 15909-2025")</f>
        <v/>
      </c>
      <c r="V154">
        <f>HYPERLINK("https://klasma.github.io/Logging_2321/klagomål/A 15909-2025 FSC-klagomål.docx", "A 15909-2025")</f>
        <v/>
      </c>
      <c r="W154">
        <f>HYPERLINK("https://klasma.github.io/Logging_2321/klagomålsmail/A 15909-2025 FSC-klagomål mail.docx", "A 15909-2025")</f>
        <v/>
      </c>
      <c r="X154">
        <f>HYPERLINK("https://klasma.github.io/Logging_2321/tillsyn/A 15909-2025 tillsynsbegäran.docx", "A 15909-2025")</f>
        <v/>
      </c>
      <c r="Y154">
        <f>HYPERLINK("https://klasma.github.io/Logging_2321/tillsynsmail/A 15909-2025 tillsynsbegäran mail.docx", "A 15909-2025")</f>
        <v/>
      </c>
    </row>
    <row r="155" ht="15" customHeight="1">
      <c r="A155" t="inlineStr">
        <is>
          <t>A 12242-2022</t>
        </is>
      </c>
      <c r="B155" s="1" t="n">
        <v>44637</v>
      </c>
      <c r="C155" s="1" t="n">
        <v>45894</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30032-2024</t>
        </is>
      </c>
      <c r="B156" s="1" t="n">
        <v>45485</v>
      </c>
      <c r="C156" s="1" t="n">
        <v>45894</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45144-2024</t>
        </is>
      </c>
      <c r="B157" s="1" t="n">
        <v>45575.63767361111</v>
      </c>
      <c r="C157" s="1" t="n">
        <v>45894</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45894</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45894</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32865-2024</t>
        </is>
      </c>
      <c r="B160" s="1" t="n">
        <v>45516</v>
      </c>
      <c r="C160" s="1" t="n">
        <v>45894</v>
      </c>
      <c r="D160" t="inlineStr">
        <is>
          <t>JÄMTLANDS LÄN</t>
        </is>
      </c>
      <c r="E160" t="inlineStr">
        <is>
          <t>ÅRE</t>
        </is>
      </c>
      <c r="G160" t="n">
        <v>29.5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14826-2021</t>
        </is>
      </c>
      <c r="B161" s="1" t="n">
        <v>44280</v>
      </c>
      <c r="C161" s="1" t="n">
        <v>45894</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45894</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45894</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45894</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45894</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45894</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45894</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45894</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45894</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45894</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45894</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45894</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45894</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45894</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45894</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45894</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45894</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45894</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45894</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45894</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45894</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45894</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45894</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45894</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45894</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45894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45894</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45894</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45894</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45894</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45894</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45894</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45894</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45894</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45894</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45894</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45894</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45894</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45894</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45894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45894</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45894</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45894</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45894</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45894</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45894</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45894</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45894</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45894</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45894</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57594-2020</t>
        </is>
      </c>
      <c r="B211" s="1" t="n">
        <v>44140</v>
      </c>
      <c r="C211" s="1" t="n">
        <v>45894</v>
      </c>
      <c r="D211" t="inlineStr">
        <is>
          <t>JÄMTLANDS LÄN</t>
        </is>
      </c>
      <c r="E211" t="inlineStr">
        <is>
          <t>ÅRE</t>
        </is>
      </c>
      <c r="G211" t="n">
        <v>14.9</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45894</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45894</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45894</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45894</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45894</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2230-2022</t>
        </is>
      </c>
      <c r="B217" s="1" t="n">
        <v>44578</v>
      </c>
      <c r="C217" s="1" t="n">
        <v>45894</v>
      </c>
      <c r="D217" t="inlineStr">
        <is>
          <t>JÄMTLANDS LÄN</t>
        </is>
      </c>
      <c r="E217" t="inlineStr">
        <is>
          <t>ÅRE</t>
        </is>
      </c>
      <c r="G217" t="n">
        <v>1.6</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45894</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45894</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45894</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45894</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45894</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23117-2022</t>
        </is>
      </c>
      <c r="B223" s="1" t="n">
        <v>44719.56572916666</v>
      </c>
      <c r="C223" s="1" t="n">
        <v>45894</v>
      </c>
      <c r="D223" t="inlineStr">
        <is>
          <t>JÄMTLANDS LÄN</t>
        </is>
      </c>
      <c r="E223" t="inlineStr">
        <is>
          <t>ÅRE</t>
        </is>
      </c>
      <c r="G223" t="n">
        <v>3.5</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45894</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2376-2023</t>
        </is>
      </c>
      <c r="B225" s="1" t="n">
        <v>44942</v>
      </c>
      <c r="C225" s="1" t="n">
        <v>45894</v>
      </c>
      <c r="D225" t="inlineStr">
        <is>
          <t>JÄMTLANDS LÄN</t>
        </is>
      </c>
      <c r="E225" t="inlineStr">
        <is>
          <t>ÅRE</t>
        </is>
      </c>
      <c r="G225" t="n">
        <v>0.1</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45894</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17751-2025</t>
        </is>
      </c>
      <c r="B227" s="1" t="n">
        <v>45758</v>
      </c>
      <c r="C227" s="1" t="n">
        <v>45894</v>
      </c>
      <c r="D227" t="inlineStr">
        <is>
          <t>JÄMTLANDS LÄN</t>
        </is>
      </c>
      <c r="E227" t="inlineStr">
        <is>
          <t>ÅRE</t>
        </is>
      </c>
      <c r="G227" t="n">
        <v>1.8</v>
      </c>
      <c r="H227" t="n">
        <v>0</v>
      </c>
      <c r="I227" t="n">
        <v>0</v>
      </c>
      <c r="J227" t="n">
        <v>0</v>
      </c>
      <c r="K227" t="n">
        <v>0</v>
      </c>
      <c r="L227" t="n">
        <v>0</v>
      </c>
      <c r="M227" t="n">
        <v>0</v>
      </c>
      <c r="N227" t="n">
        <v>0</v>
      </c>
      <c r="O227" t="n">
        <v>0</v>
      </c>
      <c r="P227" t="n">
        <v>0</v>
      </c>
      <c r="Q227" t="n">
        <v>0</v>
      </c>
      <c r="R227" s="2" t="inlineStr"/>
    </row>
    <row r="228" ht="15" customHeight="1">
      <c r="A228" t="inlineStr">
        <is>
          <t>A 6232-2021</t>
        </is>
      </c>
      <c r="B228" s="1" t="n">
        <v>44231</v>
      </c>
      <c r="C228" s="1" t="n">
        <v>45894</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37739-2023</t>
        </is>
      </c>
      <c r="B229" s="1" t="n">
        <v>45159</v>
      </c>
      <c r="C229" s="1" t="n">
        <v>45894</v>
      </c>
      <c r="D229" t="inlineStr">
        <is>
          <t>JÄMTLANDS LÄN</t>
        </is>
      </c>
      <c r="E229" t="inlineStr">
        <is>
          <t>ÅRE</t>
        </is>
      </c>
      <c r="G229" t="n">
        <v>1.1</v>
      </c>
      <c r="H229" t="n">
        <v>0</v>
      </c>
      <c r="I229" t="n">
        <v>0</v>
      </c>
      <c r="J229" t="n">
        <v>0</v>
      </c>
      <c r="K229" t="n">
        <v>0</v>
      </c>
      <c r="L229" t="n">
        <v>0</v>
      </c>
      <c r="M229" t="n">
        <v>0</v>
      </c>
      <c r="N229" t="n">
        <v>0</v>
      </c>
      <c r="O229" t="n">
        <v>0</v>
      </c>
      <c r="P229" t="n">
        <v>0</v>
      </c>
      <c r="Q229" t="n">
        <v>0</v>
      </c>
      <c r="R229" s="2" t="inlineStr"/>
    </row>
    <row r="230" ht="15" customHeight="1">
      <c r="A230" t="inlineStr">
        <is>
          <t>A 11500-2022</t>
        </is>
      </c>
      <c r="B230" s="1" t="n">
        <v>44631</v>
      </c>
      <c r="C230" s="1" t="n">
        <v>45894</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45894</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41653-2024</t>
        </is>
      </c>
      <c r="B232" s="1" t="n">
        <v>45560.64059027778</v>
      </c>
      <c r="C232" s="1" t="n">
        <v>45894</v>
      </c>
      <c r="D232" t="inlineStr">
        <is>
          <t>JÄMTLANDS LÄN</t>
        </is>
      </c>
      <c r="E232" t="inlineStr">
        <is>
          <t>ÅRE</t>
        </is>
      </c>
      <c r="G232" t="n">
        <v>0.5</v>
      </c>
      <c r="H232" t="n">
        <v>0</v>
      </c>
      <c r="I232" t="n">
        <v>0</v>
      </c>
      <c r="J232" t="n">
        <v>0</v>
      </c>
      <c r="K232" t="n">
        <v>0</v>
      </c>
      <c r="L232" t="n">
        <v>0</v>
      </c>
      <c r="M232" t="n">
        <v>0</v>
      </c>
      <c r="N232" t="n">
        <v>0</v>
      </c>
      <c r="O232" t="n">
        <v>0</v>
      </c>
      <c r="P232" t="n">
        <v>0</v>
      </c>
      <c r="Q232" t="n">
        <v>0</v>
      </c>
      <c r="R232" s="2" t="inlineStr"/>
    </row>
    <row r="233" ht="15" customHeight="1">
      <c r="A233" t="inlineStr">
        <is>
          <t>A 17883-2021</t>
        </is>
      </c>
      <c r="B233" s="1" t="n">
        <v>44301</v>
      </c>
      <c r="C233" s="1" t="n">
        <v>45894</v>
      </c>
      <c r="D233" t="inlineStr">
        <is>
          <t>JÄMTLANDS LÄN</t>
        </is>
      </c>
      <c r="E233" t="inlineStr">
        <is>
          <t>ÅRE</t>
        </is>
      </c>
      <c r="F233" t="inlineStr">
        <is>
          <t>Övriga Aktiebolag</t>
        </is>
      </c>
      <c r="G233" t="n">
        <v>6.7</v>
      </c>
      <c r="H233" t="n">
        <v>0</v>
      </c>
      <c r="I233" t="n">
        <v>0</v>
      </c>
      <c r="J233" t="n">
        <v>0</v>
      </c>
      <c r="K233" t="n">
        <v>0</v>
      </c>
      <c r="L233" t="n">
        <v>0</v>
      </c>
      <c r="M233" t="n">
        <v>0</v>
      </c>
      <c r="N233" t="n">
        <v>0</v>
      </c>
      <c r="O233" t="n">
        <v>0</v>
      </c>
      <c r="P233" t="n">
        <v>0</v>
      </c>
      <c r="Q233" t="n">
        <v>0</v>
      </c>
      <c r="R233" s="2" t="inlineStr"/>
    </row>
    <row r="234" ht="15" customHeight="1">
      <c r="A234" t="inlineStr">
        <is>
          <t>A 33015-2022</t>
        </is>
      </c>
      <c r="B234" s="1" t="n">
        <v>44784</v>
      </c>
      <c r="C234" s="1" t="n">
        <v>45894</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8798-2025</t>
        </is>
      </c>
      <c r="B235" s="1" t="n">
        <v>45712</v>
      </c>
      <c r="C235" s="1" t="n">
        <v>45894</v>
      </c>
      <c r="D235" t="inlineStr">
        <is>
          <t>JÄMTLANDS LÄN</t>
        </is>
      </c>
      <c r="E235" t="inlineStr">
        <is>
          <t>ÅRE</t>
        </is>
      </c>
      <c r="G235" t="n">
        <v>1.6</v>
      </c>
      <c r="H235" t="n">
        <v>0</v>
      </c>
      <c r="I235" t="n">
        <v>0</v>
      </c>
      <c r="J235" t="n">
        <v>0</v>
      </c>
      <c r="K235" t="n">
        <v>0</v>
      </c>
      <c r="L235" t="n">
        <v>0</v>
      </c>
      <c r="M235" t="n">
        <v>0</v>
      </c>
      <c r="N235" t="n">
        <v>0</v>
      </c>
      <c r="O235" t="n">
        <v>0</v>
      </c>
      <c r="P235" t="n">
        <v>0</v>
      </c>
      <c r="Q235" t="n">
        <v>0</v>
      </c>
      <c r="R235" s="2" t="inlineStr"/>
    </row>
    <row r="236" ht="15" customHeight="1">
      <c r="A236" t="inlineStr">
        <is>
          <t>A 31388-2021</t>
        </is>
      </c>
      <c r="B236" s="1" t="n">
        <v>44369</v>
      </c>
      <c r="C236" s="1" t="n">
        <v>45894</v>
      </c>
      <c r="D236" t="inlineStr">
        <is>
          <t>JÄMTLANDS LÄN</t>
        </is>
      </c>
      <c r="E236" t="inlineStr">
        <is>
          <t>ÅRE</t>
        </is>
      </c>
      <c r="G236" t="n">
        <v>2</v>
      </c>
      <c r="H236" t="n">
        <v>0</v>
      </c>
      <c r="I236" t="n">
        <v>0</v>
      </c>
      <c r="J236" t="n">
        <v>0</v>
      </c>
      <c r="K236" t="n">
        <v>0</v>
      </c>
      <c r="L236" t="n">
        <v>0</v>
      </c>
      <c r="M236" t="n">
        <v>0</v>
      </c>
      <c r="N236" t="n">
        <v>0</v>
      </c>
      <c r="O236" t="n">
        <v>0</v>
      </c>
      <c r="P236" t="n">
        <v>0</v>
      </c>
      <c r="Q236" t="n">
        <v>0</v>
      </c>
      <c r="R236" s="2" t="inlineStr"/>
    </row>
    <row r="237" ht="15" customHeight="1">
      <c r="A237" t="inlineStr">
        <is>
          <t>A 4218-2025</t>
        </is>
      </c>
      <c r="B237" s="1" t="n">
        <v>45685</v>
      </c>
      <c r="C237" s="1" t="n">
        <v>45894</v>
      </c>
      <c r="D237" t="inlineStr">
        <is>
          <t>JÄMTLANDS LÄN</t>
        </is>
      </c>
      <c r="E237" t="inlineStr">
        <is>
          <t>ÅRE</t>
        </is>
      </c>
      <c r="F237" t="inlineStr">
        <is>
          <t>Övriga Aktiebolag</t>
        </is>
      </c>
      <c r="G237" t="n">
        <v>10.1</v>
      </c>
      <c r="H237" t="n">
        <v>0</v>
      </c>
      <c r="I237" t="n">
        <v>0</v>
      </c>
      <c r="J237" t="n">
        <v>0</v>
      </c>
      <c r="K237" t="n">
        <v>0</v>
      </c>
      <c r="L237" t="n">
        <v>0</v>
      </c>
      <c r="M237" t="n">
        <v>0</v>
      </c>
      <c r="N237" t="n">
        <v>0</v>
      </c>
      <c r="O237" t="n">
        <v>0</v>
      </c>
      <c r="P237" t="n">
        <v>0</v>
      </c>
      <c r="Q237" t="n">
        <v>0</v>
      </c>
      <c r="R237" s="2" t="inlineStr"/>
    </row>
    <row r="238" ht="15" customHeight="1">
      <c r="A238" t="inlineStr">
        <is>
          <t>A 18253-2023</t>
        </is>
      </c>
      <c r="B238" s="1" t="n">
        <v>45041.48034722222</v>
      </c>
      <c r="C238" s="1" t="n">
        <v>45894</v>
      </c>
      <c r="D238" t="inlineStr">
        <is>
          <t>JÄMTLANDS LÄN</t>
        </is>
      </c>
      <c r="E238" t="inlineStr">
        <is>
          <t>ÅRE</t>
        </is>
      </c>
      <c r="G238" t="n">
        <v>1.3</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45894</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49313-2024</t>
        </is>
      </c>
      <c r="B240" s="1" t="n">
        <v>45595</v>
      </c>
      <c r="C240" s="1" t="n">
        <v>45894</v>
      </c>
      <c r="D240" t="inlineStr">
        <is>
          <t>JÄMTLANDS LÄN</t>
        </is>
      </c>
      <c r="E240" t="inlineStr">
        <is>
          <t>ÅRE</t>
        </is>
      </c>
      <c r="G240" t="n">
        <v>1.1</v>
      </c>
      <c r="H240" t="n">
        <v>0</v>
      </c>
      <c r="I240" t="n">
        <v>0</v>
      </c>
      <c r="J240" t="n">
        <v>0</v>
      </c>
      <c r="K240" t="n">
        <v>0</v>
      </c>
      <c r="L240" t="n">
        <v>0</v>
      </c>
      <c r="M240" t="n">
        <v>0</v>
      </c>
      <c r="N240" t="n">
        <v>0</v>
      </c>
      <c r="O240" t="n">
        <v>0</v>
      </c>
      <c r="P240" t="n">
        <v>0</v>
      </c>
      <c r="Q240" t="n">
        <v>0</v>
      </c>
      <c r="R240" s="2" t="inlineStr"/>
    </row>
    <row r="241" ht="15" customHeight="1">
      <c r="A241" t="inlineStr">
        <is>
          <t>A 278-2023</t>
        </is>
      </c>
      <c r="B241" s="1" t="n">
        <v>44928</v>
      </c>
      <c r="C241" s="1" t="n">
        <v>45894</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73086-2021</t>
        </is>
      </c>
      <c r="B242" s="1" t="n">
        <v>44550</v>
      </c>
      <c r="C242" s="1" t="n">
        <v>45894</v>
      </c>
      <c r="D242" t="inlineStr">
        <is>
          <t>JÄMTLANDS LÄN</t>
        </is>
      </c>
      <c r="E242" t="inlineStr">
        <is>
          <t>ÅRE</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3066-2023</t>
        </is>
      </c>
      <c r="B243" s="1" t="n">
        <v>44946</v>
      </c>
      <c r="C243" s="1" t="n">
        <v>45894</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54907-2023</t>
        </is>
      </c>
      <c r="B244" s="1" t="n">
        <v>45236.65784722222</v>
      </c>
      <c r="C244" s="1" t="n">
        <v>45894</v>
      </c>
      <c r="D244" t="inlineStr">
        <is>
          <t>JÄMTLANDS LÄN</t>
        </is>
      </c>
      <c r="E244" t="inlineStr">
        <is>
          <t>ÅRE</t>
        </is>
      </c>
      <c r="F244" t="inlineStr">
        <is>
          <t>Övriga Aktiebolag</t>
        </is>
      </c>
      <c r="G244" t="n">
        <v>2.6</v>
      </c>
      <c r="H244" t="n">
        <v>0</v>
      </c>
      <c r="I244" t="n">
        <v>0</v>
      </c>
      <c r="J244" t="n">
        <v>0</v>
      </c>
      <c r="K244" t="n">
        <v>0</v>
      </c>
      <c r="L244" t="n">
        <v>0</v>
      </c>
      <c r="M244" t="n">
        <v>0</v>
      </c>
      <c r="N244" t="n">
        <v>0</v>
      </c>
      <c r="O244" t="n">
        <v>0</v>
      </c>
      <c r="P244" t="n">
        <v>0</v>
      </c>
      <c r="Q244" t="n">
        <v>0</v>
      </c>
      <c r="R244" s="2" t="inlineStr"/>
    </row>
    <row r="245" ht="15" customHeight="1">
      <c r="A245" t="inlineStr">
        <is>
          <t>A 40341-2021</t>
        </is>
      </c>
      <c r="B245" s="1" t="n">
        <v>44419</v>
      </c>
      <c r="C245" s="1" t="n">
        <v>45894</v>
      </c>
      <c r="D245" t="inlineStr">
        <is>
          <t>JÄMTLANDS LÄN</t>
        </is>
      </c>
      <c r="E245" t="inlineStr">
        <is>
          <t>ÅRE</t>
        </is>
      </c>
      <c r="G245" t="n">
        <v>3</v>
      </c>
      <c r="H245" t="n">
        <v>0</v>
      </c>
      <c r="I245" t="n">
        <v>0</v>
      </c>
      <c r="J245" t="n">
        <v>0</v>
      </c>
      <c r="K245" t="n">
        <v>0</v>
      </c>
      <c r="L245" t="n">
        <v>0</v>
      </c>
      <c r="M245" t="n">
        <v>0</v>
      </c>
      <c r="N245" t="n">
        <v>0</v>
      </c>
      <c r="O245" t="n">
        <v>0</v>
      </c>
      <c r="P245" t="n">
        <v>0</v>
      </c>
      <c r="Q245" t="n">
        <v>0</v>
      </c>
      <c r="R245" s="2" t="inlineStr"/>
    </row>
    <row r="246" ht="15" customHeight="1">
      <c r="A246" t="inlineStr">
        <is>
          <t>A 41688-2024</t>
        </is>
      </c>
      <c r="B246" s="1" t="n">
        <v>45560.67542824074</v>
      </c>
      <c r="C246" s="1" t="n">
        <v>45894</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61815-2021</t>
        </is>
      </c>
      <c r="B247" s="1" t="n">
        <v>44498</v>
      </c>
      <c r="C247" s="1" t="n">
        <v>45894</v>
      </c>
      <c r="D247" t="inlineStr">
        <is>
          <t>JÄMTLANDS LÄN</t>
        </is>
      </c>
      <c r="E247" t="inlineStr">
        <is>
          <t>ÅRE</t>
        </is>
      </c>
      <c r="G247" t="n">
        <v>7.4</v>
      </c>
      <c r="H247" t="n">
        <v>0</v>
      </c>
      <c r="I247" t="n">
        <v>0</v>
      </c>
      <c r="J247" t="n">
        <v>0</v>
      </c>
      <c r="K247" t="n">
        <v>0</v>
      </c>
      <c r="L247" t="n">
        <v>0</v>
      </c>
      <c r="M247" t="n">
        <v>0</v>
      </c>
      <c r="N247" t="n">
        <v>0</v>
      </c>
      <c r="O247" t="n">
        <v>0</v>
      </c>
      <c r="P247" t="n">
        <v>0</v>
      </c>
      <c r="Q247" t="n">
        <v>0</v>
      </c>
      <c r="R247" s="2" t="inlineStr"/>
    </row>
    <row r="248" ht="15" customHeight="1">
      <c r="A248" t="inlineStr">
        <is>
          <t>A 29294-2023</t>
        </is>
      </c>
      <c r="B248" s="1" t="n">
        <v>45098</v>
      </c>
      <c r="C248" s="1" t="n">
        <v>45894</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69568-2021</t>
        </is>
      </c>
      <c r="B249" s="1" t="n">
        <v>44531</v>
      </c>
      <c r="C249" s="1" t="n">
        <v>45894</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19705-2023</t>
        </is>
      </c>
      <c r="B250" s="1" t="n">
        <v>45051</v>
      </c>
      <c r="C250" s="1" t="n">
        <v>45894</v>
      </c>
      <c r="D250" t="inlineStr">
        <is>
          <t>JÄMTLANDS LÄN</t>
        </is>
      </c>
      <c r="E250" t="inlineStr">
        <is>
          <t>ÅRE</t>
        </is>
      </c>
      <c r="G250" t="n">
        <v>4.7</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45894</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12177-2025</t>
        </is>
      </c>
      <c r="B252" s="1" t="n">
        <v>45729.45119212963</v>
      </c>
      <c r="C252" s="1" t="n">
        <v>45894</v>
      </c>
      <c r="D252" t="inlineStr">
        <is>
          <t>JÄMTLANDS LÄN</t>
        </is>
      </c>
      <c r="E252" t="inlineStr">
        <is>
          <t>ÅRE</t>
        </is>
      </c>
      <c r="F252" t="inlineStr">
        <is>
          <t>Övriga Aktiebolag</t>
        </is>
      </c>
      <c r="G252" t="n">
        <v>13.2</v>
      </c>
      <c r="H252" t="n">
        <v>0</v>
      </c>
      <c r="I252" t="n">
        <v>0</v>
      </c>
      <c r="J252" t="n">
        <v>0</v>
      </c>
      <c r="K252" t="n">
        <v>0</v>
      </c>
      <c r="L252" t="n">
        <v>0</v>
      </c>
      <c r="M252" t="n">
        <v>0</v>
      </c>
      <c r="N252" t="n">
        <v>0</v>
      </c>
      <c r="O252" t="n">
        <v>0</v>
      </c>
      <c r="P252" t="n">
        <v>0</v>
      </c>
      <c r="Q252" t="n">
        <v>0</v>
      </c>
      <c r="R252" s="2" t="inlineStr"/>
    </row>
    <row r="253" ht="15" customHeight="1">
      <c r="A253" t="inlineStr">
        <is>
          <t>A 9775-2023</t>
        </is>
      </c>
      <c r="B253" s="1" t="n">
        <v>44984.60255787037</v>
      </c>
      <c r="C253" s="1" t="n">
        <v>45894</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12857-2021</t>
        </is>
      </c>
      <c r="B254" s="1" t="n">
        <v>44270</v>
      </c>
      <c r="C254" s="1" t="n">
        <v>45894</v>
      </c>
      <c r="D254" t="inlineStr">
        <is>
          <t>JÄMTLANDS LÄN</t>
        </is>
      </c>
      <c r="E254" t="inlineStr">
        <is>
          <t>ÅRE</t>
        </is>
      </c>
      <c r="F254" t="inlineStr">
        <is>
          <t>Kommuner</t>
        </is>
      </c>
      <c r="G254" t="n">
        <v>17.2</v>
      </c>
      <c r="H254" t="n">
        <v>0</v>
      </c>
      <c r="I254" t="n">
        <v>0</v>
      </c>
      <c r="J254" t="n">
        <v>0</v>
      </c>
      <c r="K254" t="n">
        <v>0</v>
      </c>
      <c r="L254" t="n">
        <v>0</v>
      </c>
      <c r="M254" t="n">
        <v>0</v>
      </c>
      <c r="N254" t="n">
        <v>0</v>
      </c>
      <c r="O254" t="n">
        <v>0</v>
      </c>
      <c r="P254" t="n">
        <v>0</v>
      </c>
      <c r="Q254" t="n">
        <v>0</v>
      </c>
      <c r="R254" s="2" t="inlineStr"/>
    </row>
    <row r="255" ht="15" customHeight="1">
      <c r="A255" t="inlineStr">
        <is>
          <t>A 13033-2024</t>
        </is>
      </c>
      <c r="B255" s="1" t="n">
        <v>45385</v>
      </c>
      <c r="C255" s="1" t="n">
        <v>45894</v>
      </c>
      <c r="D255" t="inlineStr">
        <is>
          <t>JÄMTLANDS LÄN</t>
        </is>
      </c>
      <c r="E255" t="inlineStr">
        <is>
          <t>ÅRE</t>
        </is>
      </c>
      <c r="G255" t="n">
        <v>7.3</v>
      </c>
      <c r="H255" t="n">
        <v>0</v>
      </c>
      <c r="I255" t="n">
        <v>0</v>
      </c>
      <c r="J255" t="n">
        <v>0</v>
      </c>
      <c r="K255" t="n">
        <v>0</v>
      </c>
      <c r="L255" t="n">
        <v>0</v>
      </c>
      <c r="M255" t="n">
        <v>0</v>
      </c>
      <c r="N255" t="n">
        <v>0</v>
      </c>
      <c r="O255" t="n">
        <v>0</v>
      </c>
      <c r="P255" t="n">
        <v>0</v>
      </c>
      <c r="Q255" t="n">
        <v>0</v>
      </c>
      <c r="R255" s="2" t="inlineStr"/>
    </row>
    <row r="256" ht="15" customHeight="1">
      <c r="A256" t="inlineStr">
        <is>
          <t>A 23118-2022</t>
        </is>
      </c>
      <c r="B256" s="1" t="n">
        <v>44719.5662037037</v>
      </c>
      <c r="C256" s="1" t="n">
        <v>45894</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66083-2020</t>
        </is>
      </c>
      <c r="B257" s="1" t="n">
        <v>44172</v>
      </c>
      <c r="C257" s="1" t="n">
        <v>45894</v>
      </c>
      <c r="D257" t="inlineStr">
        <is>
          <t>JÄMTLANDS LÄN</t>
        </is>
      </c>
      <c r="E257" t="inlineStr">
        <is>
          <t>ÅRE</t>
        </is>
      </c>
      <c r="G257" t="n">
        <v>213.4</v>
      </c>
      <c r="H257" t="n">
        <v>0</v>
      </c>
      <c r="I257" t="n">
        <v>0</v>
      </c>
      <c r="J257" t="n">
        <v>0</v>
      </c>
      <c r="K257" t="n">
        <v>0</v>
      </c>
      <c r="L257" t="n">
        <v>0</v>
      </c>
      <c r="M257" t="n">
        <v>0</v>
      </c>
      <c r="N257" t="n">
        <v>0</v>
      </c>
      <c r="O257" t="n">
        <v>0</v>
      </c>
      <c r="P257" t="n">
        <v>0</v>
      </c>
      <c r="Q257" t="n">
        <v>0</v>
      </c>
      <c r="R257" s="2" t="inlineStr"/>
    </row>
    <row r="258" ht="15" customHeight="1">
      <c r="A258" t="inlineStr">
        <is>
          <t>A 1491-2024</t>
        </is>
      </c>
      <c r="B258" s="1" t="n">
        <v>45305</v>
      </c>
      <c r="C258" s="1" t="n">
        <v>45894</v>
      </c>
      <c r="D258" t="inlineStr">
        <is>
          <t>JÄMTLANDS LÄN</t>
        </is>
      </c>
      <c r="E258" t="inlineStr">
        <is>
          <t>ÅRE</t>
        </is>
      </c>
      <c r="G258" t="n">
        <v>31.4</v>
      </c>
      <c r="H258" t="n">
        <v>0</v>
      </c>
      <c r="I258" t="n">
        <v>0</v>
      </c>
      <c r="J258" t="n">
        <v>0</v>
      </c>
      <c r="K258" t="n">
        <v>0</v>
      </c>
      <c r="L258" t="n">
        <v>0</v>
      </c>
      <c r="M258" t="n">
        <v>0</v>
      </c>
      <c r="N258" t="n">
        <v>0</v>
      </c>
      <c r="O258" t="n">
        <v>0</v>
      </c>
      <c r="P258" t="n">
        <v>0</v>
      </c>
      <c r="Q258" t="n">
        <v>0</v>
      </c>
      <c r="R258" s="2" t="inlineStr"/>
    </row>
    <row r="259" ht="15" customHeight="1">
      <c r="A259" t="inlineStr">
        <is>
          <t>A 51500-2024</t>
        </is>
      </c>
      <c r="B259" s="1" t="n">
        <v>45604.54693287037</v>
      </c>
      <c r="C259" s="1" t="n">
        <v>45894</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55056-2024</t>
        </is>
      </c>
      <c r="B260" s="1" t="n">
        <v>45621.40034722222</v>
      </c>
      <c r="C260" s="1" t="n">
        <v>45894</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61014-2024</t>
        </is>
      </c>
      <c r="B261" s="1" t="n">
        <v>45645.449375</v>
      </c>
      <c r="C261" s="1" t="n">
        <v>45894</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11112-2022</t>
        </is>
      </c>
      <c r="B262" s="1" t="n">
        <v>44628</v>
      </c>
      <c r="C262" s="1" t="n">
        <v>45894</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44925-2024</t>
        </is>
      </c>
      <c r="B263" s="1" t="n">
        <v>45575.40700231482</v>
      </c>
      <c r="C263" s="1" t="n">
        <v>45894</v>
      </c>
      <c r="D263" t="inlineStr">
        <is>
          <t>JÄMTLANDS LÄN</t>
        </is>
      </c>
      <c r="E263" t="inlineStr">
        <is>
          <t>ÅRE</t>
        </is>
      </c>
      <c r="F263" t="inlineStr">
        <is>
          <t>Övriga Aktiebolag</t>
        </is>
      </c>
      <c r="G263" t="n">
        <v>22.3</v>
      </c>
      <c r="H263" t="n">
        <v>0</v>
      </c>
      <c r="I263" t="n">
        <v>0</v>
      </c>
      <c r="J263" t="n">
        <v>0</v>
      </c>
      <c r="K263" t="n">
        <v>0</v>
      </c>
      <c r="L263" t="n">
        <v>0</v>
      </c>
      <c r="M263" t="n">
        <v>0</v>
      </c>
      <c r="N263" t="n">
        <v>0</v>
      </c>
      <c r="O263" t="n">
        <v>0</v>
      </c>
      <c r="P263" t="n">
        <v>0</v>
      </c>
      <c r="Q263" t="n">
        <v>0</v>
      </c>
      <c r="R263" s="2" t="inlineStr"/>
    </row>
    <row r="264" ht="15" customHeight="1">
      <c r="A264" t="inlineStr">
        <is>
          <t>A 13561-2025</t>
        </is>
      </c>
      <c r="B264" s="1" t="n">
        <v>45736.5587037037</v>
      </c>
      <c r="C264" s="1" t="n">
        <v>45894</v>
      </c>
      <c r="D264" t="inlineStr">
        <is>
          <t>JÄMTLANDS LÄN</t>
        </is>
      </c>
      <c r="E264" t="inlineStr">
        <is>
          <t>ÅRE</t>
        </is>
      </c>
      <c r="F264" t="inlineStr">
        <is>
          <t>Övriga statliga verk och myndigheter</t>
        </is>
      </c>
      <c r="G264" t="n">
        <v>3.8</v>
      </c>
      <c r="H264" t="n">
        <v>0</v>
      </c>
      <c r="I264" t="n">
        <v>0</v>
      </c>
      <c r="J264" t="n">
        <v>0</v>
      </c>
      <c r="K264" t="n">
        <v>0</v>
      </c>
      <c r="L264" t="n">
        <v>0</v>
      </c>
      <c r="M264" t="n">
        <v>0</v>
      </c>
      <c r="N264" t="n">
        <v>0</v>
      </c>
      <c r="O264" t="n">
        <v>0</v>
      </c>
      <c r="P264" t="n">
        <v>0</v>
      </c>
      <c r="Q264" t="n">
        <v>0</v>
      </c>
      <c r="R264" s="2" t="inlineStr"/>
    </row>
    <row r="265" ht="15" customHeight="1">
      <c r="A265" t="inlineStr">
        <is>
          <t>A 65239-2021</t>
        </is>
      </c>
      <c r="B265" s="1" t="n">
        <v>44515</v>
      </c>
      <c r="C265" s="1" t="n">
        <v>45894</v>
      </c>
      <c r="D265" t="inlineStr">
        <is>
          <t>JÄMTLANDS LÄN</t>
        </is>
      </c>
      <c r="E265" t="inlineStr">
        <is>
          <t>ÅRE</t>
        </is>
      </c>
      <c r="G265" t="n">
        <v>0</v>
      </c>
      <c r="H265" t="n">
        <v>0</v>
      </c>
      <c r="I265" t="n">
        <v>0</v>
      </c>
      <c r="J265" t="n">
        <v>0</v>
      </c>
      <c r="K265" t="n">
        <v>0</v>
      </c>
      <c r="L265" t="n">
        <v>0</v>
      </c>
      <c r="M265" t="n">
        <v>0</v>
      </c>
      <c r="N265" t="n">
        <v>0</v>
      </c>
      <c r="O265" t="n">
        <v>0</v>
      </c>
      <c r="P265" t="n">
        <v>0</v>
      </c>
      <c r="Q265" t="n">
        <v>0</v>
      </c>
      <c r="R265" s="2" t="inlineStr"/>
    </row>
    <row r="266" ht="15" customHeight="1">
      <c r="A266" t="inlineStr">
        <is>
          <t>A 47052-2022</t>
        </is>
      </c>
      <c r="B266" s="1" t="n">
        <v>44851</v>
      </c>
      <c r="C266" s="1" t="n">
        <v>45894</v>
      </c>
      <c r="D266" t="inlineStr">
        <is>
          <t>JÄMTLANDS LÄN</t>
        </is>
      </c>
      <c r="E266" t="inlineStr">
        <is>
          <t>ÅRE</t>
        </is>
      </c>
      <c r="G266" t="n">
        <v>90.8</v>
      </c>
      <c r="H266" t="n">
        <v>0</v>
      </c>
      <c r="I266" t="n">
        <v>0</v>
      </c>
      <c r="J266" t="n">
        <v>0</v>
      </c>
      <c r="K266" t="n">
        <v>0</v>
      </c>
      <c r="L266" t="n">
        <v>0</v>
      </c>
      <c r="M266" t="n">
        <v>0</v>
      </c>
      <c r="N266" t="n">
        <v>0</v>
      </c>
      <c r="O266" t="n">
        <v>0</v>
      </c>
      <c r="P266" t="n">
        <v>0</v>
      </c>
      <c r="Q266" t="n">
        <v>0</v>
      </c>
      <c r="R266" s="2" t="inlineStr"/>
    </row>
    <row r="267" ht="15" customHeight="1">
      <c r="A267" t="inlineStr">
        <is>
          <t>A 59666-2023</t>
        </is>
      </c>
      <c r="B267" s="1" t="n">
        <v>45254.96476851852</v>
      </c>
      <c r="C267" s="1" t="n">
        <v>45894</v>
      </c>
      <c r="D267" t="inlineStr">
        <is>
          <t>JÄMTLANDS LÄN</t>
        </is>
      </c>
      <c r="E267" t="inlineStr">
        <is>
          <t>ÅRE</t>
        </is>
      </c>
      <c r="G267" t="n">
        <v>6.6</v>
      </c>
      <c r="H267" t="n">
        <v>0</v>
      </c>
      <c r="I267" t="n">
        <v>0</v>
      </c>
      <c r="J267" t="n">
        <v>0</v>
      </c>
      <c r="K267" t="n">
        <v>0</v>
      </c>
      <c r="L267" t="n">
        <v>0</v>
      </c>
      <c r="M267" t="n">
        <v>0</v>
      </c>
      <c r="N267" t="n">
        <v>0</v>
      </c>
      <c r="O267" t="n">
        <v>0</v>
      </c>
      <c r="P267" t="n">
        <v>0</v>
      </c>
      <c r="Q267" t="n">
        <v>0</v>
      </c>
      <c r="R267" s="2" t="inlineStr"/>
    </row>
    <row r="268" ht="15" customHeight="1">
      <c r="A268" t="inlineStr">
        <is>
          <t>A 20160-2025</t>
        </is>
      </c>
      <c r="B268" s="1" t="n">
        <v>45772.56753472222</v>
      </c>
      <c r="C268" s="1" t="n">
        <v>45894</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20999-2024</t>
        </is>
      </c>
      <c r="B269" s="1" t="n">
        <v>45439</v>
      </c>
      <c r="C269" s="1" t="n">
        <v>45894</v>
      </c>
      <c r="D269" t="inlineStr">
        <is>
          <t>JÄMTLANDS LÄN</t>
        </is>
      </c>
      <c r="E269" t="inlineStr">
        <is>
          <t>ÅRE</t>
        </is>
      </c>
      <c r="G269" t="n">
        <v>5.7</v>
      </c>
      <c r="H269" t="n">
        <v>0</v>
      </c>
      <c r="I269" t="n">
        <v>0</v>
      </c>
      <c r="J269" t="n">
        <v>0</v>
      </c>
      <c r="K269" t="n">
        <v>0</v>
      </c>
      <c r="L269" t="n">
        <v>0</v>
      </c>
      <c r="M269" t="n">
        <v>0</v>
      </c>
      <c r="N269" t="n">
        <v>0</v>
      </c>
      <c r="O269" t="n">
        <v>0</v>
      </c>
      <c r="P269" t="n">
        <v>0</v>
      </c>
      <c r="Q269" t="n">
        <v>0</v>
      </c>
      <c r="R269" s="2" t="inlineStr"/>
    </row>
    <row r="270" ht="15" customHeight="1">
      <c r="A270" t="inlineStr">
        <is>
          <t>A 61926-2022</t>
        </is>
      </c>
      <c r="B270" s="1" t="n">
        <v>44917</v>
      </c>
      <c r="C270" s="1" t="n">
        <v>45894</v>
      </c>
      <c r="D270" t="inlineStr">
        <is>
          <t>JÄMTLANDS LÄN</t>
        </is>
      </c>
      <c r="E270" t="inlineStr">
        <is>
          <t>ÅRE</t>
        </is>
      </c>
      <c r="G270" t="n">
        <v>18</v>
      </c>
      <c r="H270" t="n">
        <v>0</v>
      </c>
      <c r="I270" t="n">
        <v>0</v>
      </c>
      <c r="J270" t="n">
        <v>0</v>
      </c>
      <c r="K270" t="n">
        <v>0</v>
      </c>
      <c r="L270" t="n">
        <v>0</v>
      </c>
      <c r="M270" t="n">
        <v>0</v>
      </c>
      <c r="N270" t="n">
        <v>0</v>
      </c>
      <c r="O270" t="n">
        <v>0</v>
      </c>
      <c r="P270" t="n">
        <v>0</v>
      </c>
      <c r="Q270" t="n">
        <v>0</v>
      </c>
      <c r="R270" s="2" t="inlineStr"/>
    </row>
    <row r="271" ht="15" customHeight="1">
      <c r="A271" t="inlineStr">
        <is>
          <t>A 50099-2021</t>
        </is>
      </c>
      <c r="B271" s="1" t="n">
        <v>44456</v>
      </c>
      <c r="C271" s="1" t="n">
        <v>45894</v>
      </c>
      <c r="D271" t="inlineStr">
        <is>
          <t>JÄMTLANDS LÄN</t>
        </is>
      </c>
      <c r="E271" t="inlineStr">
        <is>
          <t>ÅRE</t>
        </is>
      </c>
      <c r="G271" t="n">
        <v>6.2</v>
      </c>
      <c r="H271" t="n">
        <v>0</v>
      </c>
      <c r="I271" t="n">
        <v>0</v>
      </c>
      <c r="J271" t="n">
        <v>0</v>
      </c>
      <c r="K271" t="n">
        <v>0</v>
      </c>
      <c r="L271" t="n">
        <v>0</v>
      </c>
      <c r="M271" t="n">
        <v>0</v>
      </c>
      <c r="N271" t="n">
        <v>0</v>
      </c>
      <c r="O271" t="n">
        <v>0</v>
      </c>
      <c r="P271" t="n">
        <v>0</v>
      </c>
      <c r="Q271" t="n">
        <v>0</v>
      </c>
      <c r="R271" s="2" t="inlineStr"/>
    </row>
    <row r="272" ht="15" customHeight="1">
      <c r="A272" t="inlineStr">
        <is>
          <t>A 69170-2021</t>
        </is>
      </c>
      <c r="B272" s="1" t="n">
        <v>44529</v>
      </c>
      <c r="C272" s="1" t="n">
        <v>45894</v>
      </c>
      <c r="D272" t="inlineStr">
        <is>
          <t>JÄMTLANDS LÄN</t>
        </is>
      </c>
      <c r="E272" t="inlineStr">
        <is>
          <t>ÅRE</t>
        </is>
      </c>
      <c r="G272" t="n">
        <v>114.4</v>
      </c>
      <c r="H272" t="n">
        <v>0</v>
      </c>
      <c r="I272" t="n">
        <v>0</v>
      </c>
      <c r="J272" t="n">
        <v>0</v>
      </c>
      <c r="K272" t="n">
        <v>0</v>
      </c>
      <c r="L272" t="n">
        <v>0</v>
      </c>
      <c r="M272" t="n">
        <v>0</v>
      </c>
      <c r="N272" t="n">
        <v>0</v>
      </c>
      <c r="O272" t="n">
        <v>0</v>
      </c>
      <c r="P272" t="n">
        <v>0</v>
      </c>
      <c r="Q272" t="n">
        <v>0</v>
      </c>
      <c r="R272" s="2" t="inlineStr"/>
    </row>
    <row r="273" ht="15" customHeight="1">
      <c r="A273" t="inlineStr">
        <is>
          <t>A 53014-2023</t>
        </is>
      </c>
      <c r="B273" s="1" t="n">
        <v>45226</v>
      </c>
      <c r="C273" s="1" t="n">
        <v>45894</v>
      </c>
      <c r="D273" t="inlineStr">
        <is>
          <t>JÄMTLANDS LÄN</t>
        </is>
      </c>
      <c r="E273" t="inlineStr">
        <is>
          <t>ÅRE</t>
        </is>
      </c>
      <c r="F273" t="inlineStr">
        <is>
          <t>Övriga Aktiebolag</t>
        </is>
      </c>
      <c r="G273" t="n">
        <v>7.5</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45894</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45894</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41677-2024</t>
        </is>
      </c>
      <c r="B276" s="1" t="n">
        <v>45560.66037037037</v>
      </c>
      <c r="C276" s="1" t="n">
        <v>45894</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41686-2024</t>
        </is>
      </c>
      <c r="B277" s="1" t="n">
        <v>45560.67016203704</v>
      </c>
      <c r="C277" s="1" t="n">
        <v>45894</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51444-2024</t>
        </is>
      </c>
      <c r="B278" s="1" t="n">
        <v>45604.48304398148</v>
      </c>
      <c r="C278" s="1" t="n">
        <v>45894</v>
      </c>
      <c r="D278" t="inlineStr">
        <is>
          <t>JÄMTLANDS LÄN</t>
        </is>
      </c>
      <c r="E278" t="inlineStr">
        <is>
          <t>ÅRE</t>
        </is>
      </c>
      <c r="G278" t="n">
        <v>2.2</v>
      </c>
      <c r="H278" t="n">
        <v>0</v>
      </c>
      <c r="I278" t="n">
        <v>0</v>
      </c>
      <c r="J278" t="n">
        <v>0</v>
      </c>
      <c r="K278" t="n">
        <v>0</v>
      </c>
      <c r="L278" t="n">
        <v>0</v>
      </c>
      <c r="M278" t="n">
        <v>0</v>
      </c>
      <c r="N278" t="n">
        <v>0</v>
      </c>
      <c r="O278" t="n">
        <v>0</v>
      </c>
      <c r="P278" t="n">
        <v>0</v>
      </c>
      <c r="Q278" t="n">
        <v>0</v>
      </c>
      <c r="R278" s="2" t="inlineStr"/>
    </row>
    <row r="279" ht="15" customHeight="1">
      <c r="A279" t="inlineStr">
        <is>
          <t>A 56842-2022</t>
        </is>
      </c>
      <c r="B279" s="1" t="n">
        <v>44894.47856481482</v>
      </c>
      <c r="C279" s="1" t="n">
        <v>45894</v>
      </c>
      <c r="D279" t="inlineStr">
        <is>
          <t>JÄMTLANDS LÄN</t>
        </is>
      </c>
      <c r="E279" t="inlineStr">
        <is>
          <t>ÅRE</t>
        </is>
      </c>
      <c r="F279" t="inlineStr">
        <is>
          <t>Övriga Aktiebolag</t>
        </is>
      </c>
      <c r="G279" t="n">
        <v>7.9</v>
      </c>
      <c r="H279" t="n">
        <v>0</v>
      </c>
      <c r="I279" t="n">
        <v>0</v>
      </c>
      <c r="J279" t="n">
        <v>0</v>
      </c>
      <c r="K279" t="n">
        <v>0</v>
      </c>
      <c r="L279" t="n">
        <v>0</v>
      </c>
      <c r="M279" t="n">
        <v>0</v>
      </c>
      <c r="N279" t="n">
        <v>0</v>
      </c>
      <c r="O279" t="n">
        <v>0</v>
      </c>
      <c r="P279" t="n">
        <v>0</v>
      </c>
      <c r="Q279" t="n">
        <v>0</v>
      </c>
      <c r="R279" s="2" t="inlineStr"/>
    </row>
    <row r="280" ht="15" customHeight="1">
      <c r="A280" t="inlineStr">
        <is>
          <t>A 44889-2023</t>
        </is>
      </c>
      <c r="B280" s="1" t="n">
        <v>45190</v>
      </c>
      <c r="C280" s="1" t="n">
        <v>45894</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56609-2023</t>
        </is>
      </c>
      <c r="B281" s="1" t="n">
        <v>45243.66828703704</v>
      </c>
      <c r="C281" s="1" t="n">
        <v>45894</v>
      </c>
      <c r="D281" t="inlineStr">
        <is>
          <t>JÄMTLANDS LÄN</t>
        </is>
      </c>
      <c r="E281" t="inlineStr">
        <is>
          <t>ÅRE</t>
        </is>
      </c>
      <c r="G281" t="n">
        <v>17.9</v>
      </c>
      <c r="H281" t="n">
        <v>0</v>
      </c>
      <c r="I281" t="n">
        <v>0</v>
      </c>
      <c r="J281" t="n">
        <v>0</v>
      </c>
      <c r="K281" t="n">
        <v>0</v>
      </c>
      <c r="L281" t="n">
        <v>0</v>
      </c>
      <c r="M281" t="n">
        <v>0</v>
      </c>
      <c r="N281" t="n">
        <v>0</v>
      </c>
      <c r="O281" t="n">
        <v>0</v>
      </c>
      <c r="P281" t="n">
        <v>0</v>
      </c>
      <c r="Q281" t="n">
        <v>0</v>
      </c>
      <c r="R281" s="2" t="inlineStr"/>
    </row>
    <row r="282" ht="15" customHeight="1">
      <c r="A282" t="inlineStr">
        <is>
          <t>A 12182-2023</t>
        </is>
      </c>
      <c r="B282" s="1" t="n">
        <v>44998</v>
      </c>
      <c r="C282" s="1" t="n">
        <v>45894</v>
      </c>
      <c r="D282" t="inlineStr">
        <is>
          <t>JÄMTLANDS LÄN</t>
        </is>
      </c>
      <c r="E282" t="inlineStr">
        <is>
          <t>ÅRE</t>
        </is>
      </c>
      <c r="G282" t="n">
        <v>11.7</v>
      </c>
      <c r="H282" t="n">
        <v>0</v>
      </c>
      <c r="I282" t="n">
        <v>0</v>
      </c>
      <c r="J282" t="n">
        <v>0</v>
      </c>
      <c r="K282" t="n">
        <v>0</v>
      </c>
      <c r="L282" t="n">
        <v>0</v>
      </c>
      <c r="M282" t="n">
        <v>0</v>
      </c>
      <c r="N282" t="n">
        <v>0</v>
      </c>
      <c r="O282" t="n">
        <v>0</v>
      </c>
      <c r="P282" t="n">
        <v>0</v>
      </c>
      <c r="Q282" t="n">
        <v>0</v>
      </c>
      <c r="R282" s="2" t="inlineStr"/>
    </row>
    <row r="283" ht="15" customHeight="1">
      <c r="A283" t="inlineStr">
        <is>
          <t>A 71968-2021</t>
        </is>
      </c>
      <c r="B283" s="1" t="n">
        <v>44540</v>
      </c>
      <c r="C283" s="1" t="n">
        <v>45894</v>
      </c>
      <c r="D283" t="inlineStr">
        <is>
          <t>JÄMTLANDS LÄN</t>
        </is>
      </c>
      <c r="E283" t="inlineStr">
        <is>
          <t>ÅRE</t>
        </is>
      </c>
      <c r="G283" t="n">
        <v>7</v>
      </c>
      <c r="H283" t="n">
        <v>0</v>
      </c>
      <c r="I283" t="n">
        <v>0</v>
      </c>
      <c r="J283" t="n">
        <v>0</v>
      </c>
      <c r="K283" t="n">
        <v>0</v>
      </c>
      <c r="L283" t="n">
        <v>0</v>
      </c>
      <c r="M283" t="n">
        <v>0</v>
      </c>
      <c r="N283" t="n">
        <v>0</v>
      </c>
      <c r="O283" t="n">
        <v>0</v>
      </c>
      <c r="P283" t="n">
        <v>0</v>
      </c>
      <c r="Q283" t="n">
        <v>0</v>
      </c>
      <c r="R283" s="2" t="inlineStr"/>
    </row>
    <row r="284" ht="15" customHeight="1">
      <c r="A284" t="inlineStr">
        <is>
          <t>A 15480-2024</t>
        </is>
      </c>
      <c r="B284" s="1" t="n">
        <v>45401.49065972222</v>
      </c>
      <c r="C284" s="1" t="n">
        <v>45894</v>
      </c>
      <c r="D284" t="inlineStr">
        <is>
          <t>JÄMTLANDS LÄN</t>
        </is>
      </c>
      <c r="E284" t="inlineStr">
        <is>
          <t>ÅRE</t>
        </is>
      </c>
      <c r="G284" t="n">
        <v>11.8</v>
      </c>
      <c r="H284" t="n">
        <v>0</v>
      </c>
      <c r="I284" t="n">
        <v>0</v>
      </c>
      <c r="J284" t="n">
        <v>0</v>
      </c>
      <c r="K284" t="n">
        <v>0</v>
      </c>
      <c r="L284" t="n">
        <v>0</v>
      </c>
      <c r="M284" t="n">
        <v>0</v>
      </c>
      <c r="N284" t="n">
        <v>0</v>
      </c>
      <c r="O284" t="n">
        <v>0</v>
      </c>
      <c r="P284" t="n">
        <v>0</v>
      </c>
      <c r="Q284" t="n">
        <v>0</v>
      </c>
      <c r="R284" s="2" t="inlineStr"/>
    </row>
    <row r="285" ht="15" customHeight="1">
      <c r="A285" t="inlineStr">
        <is>
          <t>A 54324-2023</t>
        </is>
      </c>
      <c r="B285" s="1" t="n">
        <v>45225</v>
      </c>
      <c r="C285" s="1" t="n">
        <v>45894</v>
      </c>
      <c r="D285" t="inlineStr">
        <is>
          <t>JÄMTLANDS LÄN</t>
        </is>
      </c>
      <c r="E285" t="inlineStr">
        <is>
          <t>ÅRE</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54385-2023</t>
        </is>
      </c>
      <c r="B286" s="1" t="n">
        <v>45233.35863425926</v>
      </c>
      <c r="C286" s="1" t="n">
        <v>45894</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13082-2025</t>
        </is>
      </c>
      <c r="B287" s="1" t="n">
        <v>45734.62666666666</v>
      </c>
      <c r="C287" s="1" t="n">
        <v>45894</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48599-2023</t>
        </is>
      </c>
      <c r="B288" s="1" t="n">
        <v>45208</v>
      </c>
      <c r="C288" s="1" t="n">
        <v>45894</v>
      </c>
      <c r="D288" t="inlineStr">
        <is>
          <t>JÄMTLANDS LÄN</t>
        </is>
      </c>
      <c r="E288" t="inlineStr">
        <is>
          <t>ÅRE</t>
        </is>
      </c>
      <c r="G288" t="n">
        <v>1.1</v>
      </c>
      <c r="H288" t="n">
        <v>0</v>
      </c>
      <c r="I288" t="n">
        <v>0</v>
      </c>
      <c r="J288" t="n">
        <v>0</v>
      </c>
      <c r="K288" t="n">
        <v>0</v>
      </c>
      <c r="L288" t="n">
        <v>0</v>
      </c>
      <c r="M288" t="n">
        <v>0</v>
      </c>
      <c r="N288" t="n">
        <v>0</v>
      </c>
      <c r="O288" t="n">
        <v>0</v>
      </c>
      <c r="P288" t="n">
        <v>0</v>
      </c>
      <c r="Q288" t="n">
        <v>0</v>
      </c>
      <c r="R288" s="2" t="inlineStr"/>
    </row>
    <row r="289" ht="15" customHeight="1">
      <c r="A289" t="inlineStr">
        <is>
          <t>A 53611-2024</t>
        </is>
      </c>
      <c r="B289" s="1" t="n">
        <v>45614.70510416666</v>
      </c>
      <c r="C289" s="1" t="n">
        <v>45894</v>
      </c>
      <c r="D289" t="inlineStr">
        <is>
          <t>JÄMTLANDS LÄN</t>
        </is>
      </c>
      <c r="E289" t="inlineStr">
        <is>
          <t>ÅRE</t>
        </is>
      </c>
      <c r="F289" t="inlineStr">
        <is>
          <t>Övriga Aktiebolag</t>
        </is>
      </c>
      <c r="G289" t="n">
        <v>2.2</v>
      </c>
      <c r="H289" t="n">
        <v>0</v>
      </c>
      <c r="I289" t="n">
        <v>0</v>
      </c>
      <c r="J289" t="n">
        <v>0</v>
      </c>
      <c r="K289" t="n">
        <v>0</v>
      </c>
      <c r="L289" t="n">
        <v>0</v>
      </c>
      <c r="M289" t="n">
        <v>0</v>
      </c>
      <c r="N289" t="n">
        <v>0</v>
      </c>
      <c r="O289" t="n">
        <v>0</v>
      </c>
      <c r="P289" t="n">
        <v>0</v>
      </c>
      <c r="Q289" t="n">
        <v>0</v>
      </c>
      <c r="R289" s="2" t="inlineStr"/>
    </row>
    <row r="290" ht="15" customHeight="1">
      <c r="A290" t="inlineStr">
        <is>
          <t>A 3149-2023</t>
        </is>
      </c>
      <c r="B290" s="1" t="n">
        <v>44946.5500925926</v>
      </c>
      <c r="C290" s="1" t="n">
        <v>45894</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42244-2024</t>
        </is>
      </c>
      <c r="B291" s="1" t="n">
        <v>45562.56747685185</v>
      </c>
      <c r="C291" s="1" t="n">
        <v>45894</v>
      </c>
      <c r="D291" t="inlineStr">
        <is>
          <t>JÄMTLANDS LÄN</t>
        </is>
      </c>
      <c r="E291" t="inlineStr">
        <is>
          <t>ÅRE</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34357-2021</t>
        </is>
      </c>
      <c r="B292" s="1" t="n">
        <v>44379</v>
      </c>
      <c r="C292" s="1" t="n">
        <v>45894</v>
      </c>
      <c r="D292" t="inlineStr">
        <is>
          <t>JÄMTLANDS LÄN</t>
        </is>
      </c>
      <c r="E292" t="inlineStr">
        <is>
          <t>ÅRE</t>
        </is>
      </c>
      <c r="G292" t="n">
        <v>7.1</v>
      </c>
      <c r="H292" t="n">
        <v>0</v>
      </c>
      <c r="I292" t="n">
        <v>0</v>
      </c>
      <c r="J292" t="n">
        <v>0</v>
      </c>
      <c r="K292" t="n">
        <v>0</v>
      </c>
      <c r="L292" t="n">
        <v>0</v>
      </c>
      <c r="M292" t="n">
        <v>0</v>
      </c>
      <c r="N292" t="n">
        <v>0</v>
      </c>
      <c r="O292" t="n">
        <v>0</v>
      </c>
      <c r="P292" t="n">
        <v>0</v>
      </c>
      <c r="Q292" t="n">
        <v>0</v>
      </c>
      <c r="R292" s="2" t="inlineStr"/>
    </row>
    <row r="293" ht="15" customHeight="1">
      <c r="A293" t="inlineStr">
        <is>
          <t>A 26032-2023</t>
        </is>
      </c>
      <c r="B293" s="1" t="n">
        <v>45091.31304398148</v>
      </c>
      <c r="C293" s="1" t="n">
        <v>45894</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26033-2023</t>
        </is>
      </c>
      <c r="B294" s="1" t="n">
        <v>45091.31530092593</v>
      </c>
      <c r="C294" s="1" t="n">
        <v>45894</v>
      </c>
      <c r="D294" t="inlineStr">
        <is>
          <t>JÄMTLANDS LÄN</t>
        </is>
      </c>
      <c r="E294" t="inlineStr">
        <is>
          <t>ÅRE</t>
        </is>
      </c>
      <c r="G294" t="n">
        <v>0.7</v>
      </c>
      <c r="H294" t="n">
        <v>0</v>
      </c>
      <c r="I294" t="n">
        <v>0</v>
      </c>
      <c r="J294" t="n">
        <v>0</v>
      </c>
      <c r="K294" t="n">
        <v>0</v>
      </c>
      <c r="L294" t="n">
        <v>0</v>
      </c>
      <c r="M294" t="n">
        <v>0</v>
      </c>
      <c r="N294" t="n">
        <v>0</v>
      </c>
      <c r="O294" t="n">
        <v>0</v>
      </c>
      <c r="P294" t="n">
        <v>0</v>
      </c>
      <c r="Q294" t="n">
        <v>0</v>
      </c>
      <c r="R294" s="2" t="inlineStr"/>
    </row>
    <row r="295" ht="15" customHeight="1">
      <c r="A295" t="inlineStr">
        <is>
          <t>A 13221-2022</t>
        </is>
      </c>
      <c r="B295" s="1" t="n">
        <v>44644</v>
      </c>
      <c r="C295" s="1" t="n">
        <v>45894</v>
      </c>
      <c r="D295" t="inlineStr">
        <is>
          <t>JÄMTLANDS LÄN</t>
        </is>
      </c>
      <c r="E295" t="inlineStr">
        <is>
          <t>ÅRE</t>
        </is>
      </c>
      <c r="F295" t="inlineStr">
        <is>
          <t>Övriga Aktiebolag</t>
        </is>
      </c>
      <c r="G295" t="n">
        <v>6.6</v>
      </c>
      <c r="H295" t="n">
        <v>0</v>
      </c>
      <c r="I295" t="n">
        <v>0</v>
      </c>
      <c r="J295" t="n">
        <v>0</v>
      </c>
      <c r="K295" t="n">
        <v>0</v>
      </c>
      <c r="L295" t="n">
        <v>0</v>
      </c>
      <c r="M295" t="n">
        <v>0</v>
      </c>
      <c r="N295" t="n">
        <v>0</v>
      </c>
      <c r="O295" t="n">
        <v>0</v>
      </c>
      <c r="P295" t="n">
        <v>0</v>
      </c>
      <c r="Q295" t="n">
        <v>0</v>
      </c>
      <c r="R295" s="2" t="inlineStr"/>
    </row>
    <row r="296" ht="15" customHeight="1">
      <c r="A296" t="inlineStr">
        <is>
          <t>A 57710-2021</t>
        </is>
      </c>
      <c r="B296" s="1" t="n">
        <v>44484</v>
      </c>
      <c r="C296" s="1" t="n">
        <v>45894</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27630-2025</t>
        </is>
      </c>
      <c r="B297" s="1" t="n">
        <v>45813</v>
      </c>
      <c r="C297" s="1" t="n">
        <v>45894</v>
      </c>
      <c r="D297" t="inlineStr">
        <is>
          <t>JÄMTLANDS LÄN</t>
        </is>
      </c>
      <c r="E297" t="inlineStr">
        <is>
          <t>ÅRE</t>
        </is>
      </c>
      <c r="G297" t="n">
        <v>8.4</v>
      </c>
      <c r="H297" t="n">
        <v>0</v>
      </c>
      <c r="I297" t="n">
        <v>0</v>
      </c>
      <c r="J297" t="n">
        <v>0</v>
      </c>
      <c r="K297" t="n">
        <v>0</v>
      </c>
      <c r="L297" t="n">
        <v>0</v>
      </c>
      <c r="M297" t="n">
        <v>0</v>
      </c>
      <c r="N297" t="n">
        <v>0</v>
      </c>
      <c r="O297" t="n">
        <v>0</v>
      </c>
      <c r="P297" t="n">
        <v>0</v>
      </c>
      <c r="Q297" t="n">
        <v>0</v>
      </c>
      <c r="R297" s="2" t="inlineStr"/>
    </row>
    <row r="298" ht="15" customHeight="1">
      <c r="A298" t="inlineStr">
        <is>
          <t>A 12193-2023</t>
        </is>
      </c>
      <c r="B298" s="1" t="n">
        <v>44998</v>
      </c>
      <c r="C298" s="1" t="n">
        <v>45894</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9613-2021</t>
        </is>
      </c>
      <c r="B299" s="1" t="n">
        <v>44251</v>
      </c>
      <c r="C299" s="1" t="n">
        <v>45894</v>
      </c>
      <c r="D299" t="inlineStr">
        <is>
          <t>JÄMTLANDS LÄN</t>
        </is>
      </c>
      <c r="E299" t="inlineStr">
        <is>
          <t>ÅRE</t>
        </is>
      </c>
      <c r="G299" t="n">
        <v>2</v>
      </c>
      <c r="H299" t="n">
        <v>0</v>
      </c>
      <c r="I299" t="n">
        <v>0</v>
      </c>
      <c r="J299" t="n">
        <v>0</v>
      </c>
      <c r="K299" t="n">
        <v>0</v>
      </c>
      <c r="L299" t="n">
        <v>0</v>
      </c>
      <c r="M299" t="n">
        <v>0</v>
      </c>
      <c r="N299" t="n">
        <v>0</v>
      </c>
      <c r="O299" t="n">
        <v>0</v>
      </c>
      <c r="P299" t="n">
        <v>0</v>
      </c>
      <c r="Q299" t="n">
        <v>0</v>
      </c>
      <c r="R299" s="2" t="inlineStr"/>
    </row>
    <row r="300" ht="15" customHeight="1">
      <c r="A300" t="inlineStr">
        <is>
          <t>A 39071-2024</t>
        </is>
      </c>
      <c r="B300" s="1" t="n">
        <v>45548.53193287037</v>
      </c>
      <c r="C300" s="1" t="n">
        <v>45894</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61803-2021</t>
        </is>
      </c>
      <c r="B301" s="1" t="n">
        <v>44498</v>
      </c>
      <c r="C301" s="1" t="n">
        <v>45894</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6232-2021</t>
        </is>
      </c>
      <c r="B302" s="1" t="n">
        <v>44231</v>
      </c>
      <c r="C302" s="1" t="n">
        <v>45894</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57770-2023</t>
        </is>
      </c>
      <c r="B303" s="1" t="n">
        <v>45246.92542824074</v>
      </c>
      <c r="C303" s="1" t="n">
        <v>45894</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59325-2024</t>
        </is>
      </c>
      <c r="B304" s="1" t="n">
        <v>45636</v>
      </c>
      <c r="C304" s="1" t="n">
        <v>45894</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61622-2023</t>
        </is>
      </c>
      <c r="B305" s="1" t="n">
        <v>45261</v>
      </c>
      <c r="C305" s="1" t="n">
        <v>45894</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69592-2021</t>
        </is>
      </c>
      <c r="B306" s="1" t="n">
        <v>44531</v>
      </c>
      <c r="C306" s="1" t="n">
        <v>45894</v>
      </c>
      <c r="D306" t="inlineStr">
        <is>
          <t>JÄMTLANDS LÄN</t>
        </is>
      </c>
      <c r="E306" t="inlineStr">
        <is>
          <t>ÅRE</t>
        </is>
      </c>
      <c r="G306" t="n">
        <v>4.7</v>
      </c>
      <c r="H306" t="n">
        <v>0</v>
      </c>
      <c r="I306" t="n">
        <v>0</v>
      </c>
      <c r="J306" t="n">
        <v>0</v>
      </c>
      <c r="K306" t="n">
        <v>0</v>
      </c>
      <c r="L306" t="n">
        <v>0</v>
      </c>
      <c r="M306" t="n">
        <v>0</v>
      </c>
      <c r="N306" t="n">
        <v>0</v>
      </c>
      <c r="O306" t="n">
        <v>0</v>
      </c>
      <c r="P306" t="n">
        <v>0</v>
      </c>
      <c r="Q306" t="n">
        <v>0</v>
      </c>
      <c r="R306" s="2" t="inlineStr"/>
    </row>
    <row r="307" ht="15" customHeight="1">
      <c r="A307" t="inlineStr">
        <is>
          <t>A 30080-2024</t>
        </is>
      </c>
      <c r="B307" s="1" t="n">
        <v>45485</v>
      </c>
      <c r="C307" s="1" t="n">
        <v>45894</v>
      </c>
      <c r="D307" t="inlineStr">
        <is>
          <t>JÄMTLANDS LÄN</t>
        </is>
      </c>
      <c r="E307" t="inlineStr">
        <is>
          <t>ÅRE</t>
        </is>
      </c>
      <c r="G307" t="n">
        <v>24.6</v>
      </c>
      <c r="H307" t="n">
        <v>0</v>
      </c>
      <c r="I307" t="n">
        <v>0</v>
      </c>
      <c r="J307" t="n">
        <v>0</v>
      </c>
      <c r="K307" t="n">
        <v>0</v>
      </c>
      <c r="L307" t="n">
        <v>0</v>
      </c>
      <c r="M307" t="n">
        <v>0</v>
      </c>
      <c r="N307" t="n">
        <v>0</v>
      </c>
      <c r="O307" t="n">
        <v>0</v>
      </c>
      <c r="P307" t="n">
        <v>0</v>
      </c>
      <c r="Q307" t="n">
        <v>0</v>
      </c>
      <c r="R307" s="2" t="inlineStr"/>
    </row>
    <row r="308" ht="15" customHeight="1">
      <c r="A308" t="inlineStr">
        <is>
          <t>A 30081-2024</t>
        </is>
      </c>
      <c r="B308" s="1" t="n">
        <v>45485</v>
      </c>
      <c r="C308" s="1" t="n">
        <v>45894</v>
      </c>
      <c r="D308" t="inlineStr">
        <is>
          <t>JÄMTLANDS LÄN</t>
        </is>
      </c>
      <c r="E308" t="inlineStr">
        <is>
          <t>ÅRE</t>
        </is>
      </c>
      <c r="G308" t="n">
        <v>17.8</v>
      </c>
      <c r="H308" t="n">
        <v>0</v>
      </c>
      <c r="I308" t="n">
        <v>0</v>
      </c>
      <c r="J308" t="n">
        <v>0</v>
      </c>
      <c r="K308" t="n">
        <v>0</v>
      </c>
      <c r="L308" t="n">
        <v>0</v>
      </c>
      <c r="M308" t="n">
        <v>0</v>
      </c>
      <c r="N308" t="n">
        <v>0</v>
      </c>
      <c r="O308" t="n">
        <v>0</v>
      </c>
      <c r="P308" t="n">
        <v>0</v>
      </c>
      <c r="Q308" t="n">
        <v>0</v>
      </c>
      <c r="R308" s="2" t="inlineStr"/>
    </row>
    <row r="309" ht="15" customHeight="1">
      <c r="A309" t="inlineStr">
        <is>
          <t>A 57150-2021</t>
        </is>
      </c>
      <c r="B309" s="1" t="n">
        <v>44482</v>
      </c>
      <c r="C309" s="1" t="n">
        <v>45894</v>
      </c>
      <c r="D309" t="inlineStr">
        <is>
          <t>JÄMTLANDS LÄN</t>
        </is>
      </c>
      <c r="E309" t="inlineStr">
        <is>
          <t>ÅRE</t>
        </is>
      </c>
      <c r="G309" t="n">
        <v>1.3</v>
      </c>
      <c r="H309" t="n">
        <v>0</v>
      </c>
      <c r="I309" t="n">
        <v>0</v>
      </c>
      <c r="J309" t="n">
        <v>0</v>
      </c>
      <c r="K309" t="n">
        <v>0</v>
      </c>
      <c r="L309" t="n">
        <v>0</v>
      </c>
      <c r="M309" t="n">
        <v>0</v>
      </c>
      <c r="N309" t="n">
        <v>0</v>
      </c>
      <c r="O309" t="n">
        <v>0</v>
      </c>
      <c r="P309" t="n">
        <v>0</v>
      </c>
      <c r="Q309" t="n">
        <v>0</v>
      </c>
      <c r="R309" s="2" t="inlineStr"/>
    </row>
    <row r="310" ht="15" customHeight="1">
      <c r="A310" t="inlineStr">
        <is>
          <t>A 9126-2025</t>
        </is>
      </c>
      <c r="B310" s="1" t="n">
        <v>45713</v>
      </c>
      <c r="C310" s="1" t="n">
        <v>45894</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60426-2022</t>
        </is>
      </c>
      <c r="B311" s="1" t="n">
        <v>44911.32092592592</v>
      </c>
      <c r="C311" s="1" t="n">
        <v>45894</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45894</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20804-2024</t>
        </is>
      </c>
      <c r="B313" s="1" t="n">
        <v>45439.30988425926</v>
      </c>
      <c r="C313" s="1" t="n">
        <v>45894</v>
      </c>
      <c r="D313" t="inlineStr">
        <is>
          <t>JÄMTLANDS LÄN</t>
        </is>
      </c>
      <c r="E313" t="inlineStr">
        <is>
          <t>ÅRE</t>
        </is>
      </c>
      <c r="G313" t="n">
        <v>6.4</v>
      </c>
      <c r="H313" t="n">
        <v>0</v>
      </c>
      <c r="I313" t="n">
        <v>0</v>
      </c>
      <c r="J313" t="n">
        <v>0</v>
      </c>
      <c r="K313" t="n">
        <v>0</v>
      </c>
      <c r="L313" t="n">
        <v>0</v>
      </c>
      <c r="M313" t="n">
        <v>0</v>
      </c>
      <c r="N313" t="n">
        <v>0</v>
      </c>
      <c r="O313" t="n">
        <v>0</v>
      </c>
      <c r="P313" t="n">
        <v>0</v>
      </c>
      <c r="Q313" t="n">
        <v>0</v>
      </c>
      <c r="R313" s="2" t="inlineStr"/>
    </row>
    <row r="314" ht="15" customHeight="1">
      <c r="A314" t="inlineStr">
        <is>
          <t>A 11914-2024</t>
        </is>
      </c>
      <c r="B314" s="1" t="n">
        <v>45376.58467592593</v>
      </c>
      <c r="C314" s="1" t="n">
        <v>45894</v>
      </c>
      <c r="D314" t="inlineStr">
        <is>
          <t>JÄMTLANDS LÄN</t>
        </is>
      </c>
      <c r="E314" t="inlineStr">
        <is>
          <t>ÅRE</t>
        </is>
      </c>
      <c r="G314" t="n">
        <v>2.5</v>
      </c>
      <c r="H314" t="n">
        <v>0</v>
      </c>
      <c r="I314" t="n">
        <v>0</v>
      </c>
      <c r="J314" t="n">
        <v>0</v>
      </c>
      <c r="K314" t="n">
        <v>0</v>
      </c>
      <c r="L314" t="n">
        <v>0</v>
      </c>
      <c r="M314" t="n">
        <v>0</v>
      </c>
      <c r="N314" t="n">
        <v>0</v>
      </c>
      <c r="O314" t="n">
        <v>0</v>
      </c>
      <c r="P314" t="n">
        <v>0</v>
      </c>
      <c r="Q314" t="n">
        <v>0</v>
      </c>
      <c r="R314" s="2" t="inlineStr"/>
    </row>
    <row r="315" ht="15" customHeight="1">
      <c r="A315" t="inlineStr">
        <is>
          <t>A 13559-2025</t>
        </is>
      </c>
      <c r="B315" s="1" t="n">
        <v>45736.55288194444</v>
      </c>
      <c r="C315" s="1" t="n">
        <v>45894</v>
      </c>
      <c r="D315" t="inlineStr">
        <is>
          <t>JÄMTLANDS LÄN</t>
        </is>
      </c>
      <c r="E315" t="inlineStr">
        <is>
          <t>ÅRE</t>
        </is>
      </c>
      <c r="F315" t="inlineStr">
        <is>
          <t>Övriga statliga verk och myndigheter</t>
        </is>
      </c>
      <c r="G315" t="n">
        <v>0.4</v>
      </c>
      <c r="H315" t="n">
        <v>0</v>
      </c>
      <c r="I315" t="n">
        <v>0</v>
      </c>
      <c r="J315" t="n">
        <v>0</v>
      </c>
      <c r="K315" t="n">
        <v>0</v>
      </c>
      <c r="L315" t="n">
        <v>0</v>
      </c>
      <c r="M315" t="n">
        <v>0</v>
      </c>
      <c r="N315" t="n">
        <v>0</v>
      </c>
      <c r="O315" t="n">
        <v>0</v>
      </c>
      <c r="P315" t="n">
        <v>0</v>
      </c>
      <c r="Q315" t="n">
        <v>0</v>
      </c>
      <c r="R315" s="2" t="inlineStr"/>
    </row>
    <row r="316" ht="15" customHeight="1">
      <c r="A316" t="inlineStr">
        <is>
          <t>A 61347-2020</t>
        </is>
      </c>
      <c r="B316" s="1" t="n">
        <v>44155</v>
      </c>
      <c r="C316" s="1" t="n">
        <v>45894</v>
      </c>
      <c r="D316" t="inlineStr">
        <is>
          <t>JÄMTLANDS LÄN</t>
        </is>
      </c>
      <c r="E316" t="inlineStr">
        <is>
          <t>ÅRE</t>
        </is>
      </c>
      <c r="G316" t="n">
        <v>3.1</v>
      </c>
      <c r="H316" t="n">
        <v>0</v>
      </c>
      <c r="I316" t="n">
        <v>0</v>
      </c>
      <c r="J316" t="n">
        <v>0</v>
      </c>
      <c r="K316" t="n">
        <v>0</v>
      </c>
      <c r="L316" t="n">
        <v>0</v>
      </c>
      <c r="M316" t="n">
        <v>0</v>
      </c>
      <c r="N316" t="n">
        <v>0</v>
      </c>
      <c r="O316" t="n">
        <v>0</v>
      </c>
      <c r="P316" t="n">
        <v>0</v>
      </c>
      <c r="Q316" t="n">
        <v>0</v>
      </c>
      <c r="R316" s="2" t="inlineStr"/>
    </row>
    <row r="317" ht="15" customHeight="1">
      <c r="A317" t="inlineStr">
        <is>
          <t>A 12669-2023</t>
        </is>
      </c>
      <c r="B317" s="1" t="n">
        <v>45000</v>
      </c>
      <c r="C317" s="1" t="n">
        <v>45894</v>
      </c>
      <c r="D317" t="inlineStr">
        <is>
          <t>JÄMTLANDS LÄN</t>
        </is>
      </c>
      <c r="E317" t="inlineStr">
        <is>
          <t>ÅRE</t>
        </is>
      </c>
      <c r="F317" t="inlineStr">
        <is>
          <t>Övriga Aktiebolag</t>
        </is>
      </c>
      <c r="G317" t="n">
        <v>2.8</v>
      </c>
      <c r="H317" t="n">
        <v>0</v>
      </c>
      <c r="I317" t="n">
        <v>0</v>
      </c>
      <c r="J317" t="n">
        <v>0</v>
      </c>
      <c r="K317" t="n">
        <v>0</v>
      </c>
      <c r="L317" t="n">
        <v>0</v>
      </c>
      <c r="M317" t="n">
        <v>0</v>
      </c>
      <c r="N317" t="n">
        <v>0</v>
      </c>
      <c r="O317" t="n">
        <v>0</v>
      </c>
      <c r="P317" t="n">
        <v>0</v>
      </c>
      <c r="Q317" t="n">
        <v>0</v>
      </c>
      <c r="R317" s="2" t="inlineStr"/>
    </row>
    <row r="318" ht="15" customHeight="1">
      <c r="A318" t="inlineStr">
        <is>
          <t>A 59784-2024</t>
        </is>
      </c>
      <c r="B318" s="1" t="n">
        <v>45639.57988425926</v>
      </c>
      <c r="C318" s="1" t="n">
        <v>45894</v>
      </c>
      <c r="D318" t="inlineStr">
        <is>
          <t>JÄMTLANDS LÄN</t>
        </is>
      </c>
      <c r="E318" t="inlineStr">
        <is>
          <t>ÅRE</t>
        </is>
      </c>
      <c r="F318" t="inlineStr">
        <is>
          <t>Övriga Aktiebolag</t>
        </is>
      </c>
      <c r="G318" t="n">
        <v>1.3</v>
      </c>
      <c r="H318" t="n">
        <v>0</v>
      </c>
      <c r="I318" t="n">
        <v>0</v>
      </c>
      <c r="J318" t="n">
        <v>0</v>
      </c>
      <c r="K318" t="n">
        <v>0</v>
      </c>
      <c r="L318" t="n">
        <v>0</v>
      </c>
      <c r="M318" t="n">
        <v>0</v>
      </c>
      <c r="N318" t="n">
        <v>0</v>
      </c>
      <c r="O318" t="n">
        <v>0</v>
      </c>
      <c r="P318" t="n">
        <v>0</v>
      </c>
      <c r="Q318" t="n">
        <v>0</v>
      </c>
      <c r="R318" s="2" t="inlineStr"/>
    </row>
    <row r="319" ht="15" customHeight="1">
      <c r="A319" t="inlineStr">
        <is>
          <t>A 21897-2021</t>
        </is>
      </c>
      <c r="B319" s="1" t="n">
        <v>44322</v>
      </c>
      <c r="C319" s="1" t="n">
        <v>45894</v>
      </c>
      <c r="D319" t="inlineStr">
        <is>
          <t>JÄMTLANDS LÄN</t>
        </is>
      </c>
      <c r="E319" t="inlineStr">
        <is>
          <t>ÅRE</t>
        </is>
      </c>
      <c r="G319" t="n">
        <v>41.4</v>
      </c>
      <c r="H319" t="n">
        <v>0</v>
      </c>
      <c r="I319" t="n">
        <v>0</v>
      </c>
      <c r="J319" t="n">
        <v>0</v>
      </c>
      <c r="K319" t="n">
        <v>0</v>
      </c>
      <c r="L319" t="n">
        <v>0</v>
      </c>
      <c r="M319" t="n">
        <v>0</v>
      </c>
      <c r="N319" t="n">
        <v>0</v>
      </c>
      <c r="O319" t="n">
        <v>0</v>
      </c>
      <c r="P319" t="n">
        <v>0</v>
      </c>
      <c r="Q319" t="n">
        <v>0</v>
      </c>
      <c r="R319" s="2" t="inlineStr"/>
    </row>
    <row r="320" ht="15" customHeight="1">
      <c r="A320" t="inlineStr">
        <is>
          <t>A 49267-2024</t>
        </is>
      </c>
      <c r="B320" s="1" t="n">
        <v>45595</v>
      </c>
      <c r="C320" s="1" t="n">
        <v>45894</v>
      </c>
      <c r="D320" t="inlineStr">
        <is>
          <t>JÄMTLANDS LÄN</t>
        </is>
      </c>
      <c r="E320" t="inlineStr">
        <is>
          <t>ÅRE</t>
        </is>
      </c>
      <c r="G320" t="n">
        <v>1</v>
      </c>
      <c r="H320" t="n">
        <v>0</v>
      </c>
      <c r="I320" t="n">
        <v>0</v>
      </c>
      <c r="J320" t="n">
        <v>0</v>
      </c>
      <c r="K320" t="n">
        <v>0</v>
      </c>
      <c r="L320" t="n">
        <v>0</v>
      </c>
      <c r="M320" t="n">
        <v>0</v>
      </c>
      <c r="N320" t="n">
        <v>0</v>
      </c>
      <c r="O320" t="n">
        <v>0</v>
      </c>
      <c r="P320" t="n">
        <v>0</v>
      </c>
      <c r="Q320" t="n">
        <v>0</v>
      </c>
      <c r="R320" s="2" t="inlineStr"/>
    </row>
    <row r="321" ht="15" customHeight="1">
      <c r="A321" t="inlineStr">
        <is>
          <t>A 13383-2022</t>
        </is>
      </c>
      <c r="B321" s="1" t="n">
        <v>44637</v>
      </c>
      <c r="C321" s="1" t="n">
        <v>45894</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49747-2020</t>
        </is>
      </c>
      <c r="B322" s="1" t="n">
        <v>44106</v>
      </c>
      <c r="C322" s="1" t="n">
        <v>45894</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14204-2021</t>
        </is>
      </c>
      <c r="B323" s="1" t="n">
        <v>44278</v>
      </c>
      <c r="C323" s="1" t="n">
        <v>45894</v>
      </c>
      <c r="D323" t="inlineStr">
        <is>
          <t>JÄMTLANDS LÄN</t>
        </is>
      </c>
      <c r="E323" t="inlineStr">
        <is>
          <t>ÅRE</t>
        </is>
      </c>
      <c r="G323" t="n">
        <v>24.6</v>
      </c>
      <c r="H323" t="n">
        <v>0</v>
      </c>
      <c r="I323" t="n">
        <v>0</v>
      </c>
      <c r="J323" t="n">
        <v>0</v>
      </c>
      <c r="K323" t="n">
        <v>0</v>
      </c>
      <c r="L323" t="n">
        <v>0</v>
      </c>
      <c r="M323" t="n">
        <v>0</v>
      </c>
      <c r="N323" t="n">
        <v>0</v>
      </c>
      <c r="O323" t="n">
        <v>0</v>
      </c>
      <c r="P323" t="n">
        <v>0</v>
      </c>
      <c r="Q323" t="n">
        <v>0</v>
      </c>
      <c r="R323" s="2" t="inlineStr"/>
    </row>
    <row r="324" ht="15" customHeight="1">
      <c r="A324" t="inlineStr">
        <is>
          <t>A 57102-2024</t>
        </is>
      </c>
      <c r="B324" s="1" t="n">
        <v>45629.35856481481</v>
      </c>
      <c r="C324" s="1" t="n">
        <v>45894</v>
      </c>
      <c r="D324" t="inlineStr">
        <is>
          <t>JÄMTLANDS LÄN</t>
        </is>
      </c>
      <c r="E324" t="inlineStr">
        <is>
          <t>ÅRE</t>
        </is>
      </c>
      <c r="G324" t="n">
        <v>3.3</v>
      </c>
      <c r="H324" t="n">
        <v>0</v>
      </c>
      <c r="I324" t="n">
        <v>0</v>
      </c>
      <c r="J324" t="n">
        <v>0</v>
      </c>
      <c r="K324" t="n">
        <v>0</v>
      </c>
      <c r="L324" t="n">
        <v>0</v>
      </c>
      <c r="M324" t="n">
        <v>0</v>
      </c>
      <c r="N324" t="n">
        <v>0</v>
      </c>
      <c r="O324" t="n">
        <v>0</v>
      </c>
      <c r="P324" t="n">
        <v>0</v>
      </c>
      <c r="Q324" t="n">
        <v>0</v>
      </c>
      <c r="R324" s="2" t="inlineStr"/>
    </row>
    <row r="325" ht="15" customHeight="1">
      <c r="A325" t="inlineStr">
        <is>
          <t>A 23805-2024</t>
        </is>
      </c>
      <c r="B325" s="1" t="n">
        <v>45455.44194444444</v>
      </c>
      <c r="C325" s="1" t="n">
        <v>45894</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54175-2023</t>
        </is>
      </c>
      <c r="B326" s="1" t="n">
        <v>45232</v>
      </c>
      <c r="C326" s="1" t="n">
        <v>45894</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12224-2023</t>
        </is>
      </c>
      <c r="B327" s="1" t="n">
        <v>44998.59913194444</v>
      </c>
      <c r="C327" s="1" t="n">
        <v>45894</v>
      </c>
      <c r="D327" t="inlineStr">
        <is>
          <t>JÄMTLANDS LÄN</t>
        </is>
      </c>
      <c r="E327" t="inlineStr">
        <is>
          <t>ÅRE</t>
        </is>
      </c>
      <c r="G327" t="n">
        <v>3.2</v>
      </c>
      <c r="H327" t="n">
        <v>0</v>
      </c>
      <c r="I327" t="n">
        <v>0</v>
      </c>
      <c r="J327" t="n">
        <v>0</v>
      </c>
      <c r="K327" t="n">
        <v>0</v>
      </c>
      <c r="L327" t="n">
        <v>0</v>
      </c>
      <c r="M327" t="n">
        <v>0</v>
      </c>
      <c r="N327" t="n">
        <v>0</v>
      </c>
      <c r="O327" t="n">
        <v>0</v>
      </c>
      <c r="P327" t="n">
        <v>0</v>
      </c>
      <c r="Q327" t="n">
        <v>0</v>
      </c>
      <c r="R327" s="2" t="inlineStr"/>
    </row>
    <row r="328" ht="15" customHeight="1">
      <c r="A328" t="inlineStr">
        <is>
          <t>A 12286-2023</t>
        </is>
      </c>
      <c r="B328" s="1" t="n">
        <v>44998.72263888889</v>
      </c>
      <c r="C328" s="1" t="n">
        <v>45894</v>
      </c>
      <c r="D328" t="inlineStr">
        <is>
          <t>JÄMTLANDS LÄN</t>
        </is>
      </c>
      <c r="E328" t="inlineStr">
        <is>
          <t>ÅRE</t>
        </is>
      </c>
      <c r="G328" t="n">
        <v>7.3</v>
      </c>
      <c r="H328" t="n">
        <v>0</v>
      </c>
      <c r="I328" t="n">
        <v>0</v>
      </c>
      <c r="J328" t="n">
        <v>0</v>
      </c>
      <c r="K328" t="n">
        <v>0</v>
      </c>
      <c r="L328" t="n">
        <v>0</v>
      </c>
      <c r="M328" t="n">
        <v>0</v>
      </c>
      <c r="N328" t="n">
        <v>0</v>
      </c>
      <c r="O328" t="n">
        <v>0</v>
      </c>
      <c r="P328" t="n">
        <v>0</v>
      </c>
      <c r="Q328" t="n">
        <v>0</v>
      </c>
      <c r="R328" s="2" t="inlineStr"/>
    </row>
    <row r="329" ht="15" customHeight="1">
      <c r="A329" t="inlineStr">
        <is>
          <t>A 46789-2024</t>
        </is>
      </c>
      <c r="B329" s="1" t="n">
        <v>45583.53219907408</v>
      </c>
      <c r="C329" s="1" t="n">
        <v>45894</v>
      </c>
      <c r="D329" t="inlineStr">
        <is>
          <t>JÄMTLANDS LÄN</t>
        </is>
      </c>
      <c r="E329" t="inlineStr">
        <is>
          <t>ÅRE</t>
        </is>
      </c>
      <c r="F329" t="inlineStr">
        <is>
          <t>Övriga Aktiebolag</t>
        </is>
      </c>
      <c r="G329" t="n">
        <v>2.7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45894</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71043-2021</t>
        </is>
      </c>
      <c r="B331" s="1" t="n">
        <v>44538</v>
      </c>
      <c r="C331" s="1" t="n">
        <v>45894</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15889-2025</t>
        </is>
      </c>
      <c r="B332" s="1" t="n">
        <v>45749.4075</v>
      </c>
      <c r="C332" s="1" t="n">
        <v>45894</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59753-2023</t>
        </is>
      </c>
      <c r="B333" s="1" t="n">
        <v>45254</v>
      </c>
      <c r="C333" s="1" t="n">
        <v>45894</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17566-2023</t>
        </is>
      </c>
      <c r="B334" s="1" t="n">
        <v>45034</v>
      </c>
      <c r="C334" s="1" t="n">
        <v>45894</v>
      </c>
      <c r="D334" t="inlineStr">
        <is>
          <t>JÄMTLANDS LÄN</t>
        </is>
      </c>
      <c r="E334" t="inlineStr">
        <is>
          <t>ÅRE</t>
        </is>
      </c>
      <c r="G334" t="n">
        <v>4.8</v>
      </c>
      <c r="H334" t="n">
        <v>0</v>
      </c>
      <c r="I334" t="n">
        <v>0</v>
      </c>
      <c r="J334" t="n">
        <v>0</v>
      </c>
      <c r="K334" t="n">
        <v>0</v>
      </c>
      <c r="L334" t="n">
        <v>0</v>
      </c>
      <c r="M334" t="n">
        <v>0</v>
      </c>
      <c r="N334" t="n">
        <v>0</v>
      </c>
      <c r="O334" t="n">
        <v>0</v>
      </c>
      <c r="P334" t="n">
        <v>0</v>
      </c>
      <c r="Q334" t="n">
        <v>0</v>
      </c>
      <c r="R334" s="2" t="inlineStr"/>
    </row>
    <row r="335" ht="15" customHeight="1">
      <c r="A335" t="inlineStr">
        <is>
          <t>A 54186-2024</t>
        </is>
      </c>
      <c r="B335" s="1" t="n">
        <v>45616</v>
      </c>
      <c r="C335" s="1" t="n">
        <v>45894</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25710-2024</t>
        </is>
      </c>
      <c r="B336" s="1" t="n">
        <v>45463</v>
      </c>
      <c r="C336" s="1" t="n">
        <v>45894</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8443-2023</t>
        </is>
      </c>
      <c r="B337" s="1" t="n">
        <v>44977</v>
      </c>
      <c r="C337" s="1" t="n">
        <v>45894</v>
      </c>
      <c r="D337" t="inlineStr">
        <is>
          <t>JÄMTLANDS LÄN</t>
        </is>
      </c>
      <c r="E337" t="inlineStr">
        <is>
          <t>ÅRE</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45894</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47069-2024</t>
        </is>
      </c>
      <c r="B339" s="1" t="n">
        <v>45586.48003472222</v>
      </c>
      <c r="C339" s="1" t="n">
        <v>45894</v>
      </c>
      <c r="D339" t="inlineStr">
        <is>
          <t>JÄMTLANDS LÄN</t>
        </is>
      </c>
      <c r="E339" t="inlineStr">
        <is>
          <t>ÅRE</t>
        </is>
      </c>
      <c r="G339" t="n">
        <v>7.1</v>
      </c>
      <c r="H339" t="n">
        <v>0</v>
      </c>
      <c r="I339" t="n">
        <v>0</v>
      </c>
      <c r="J339" t="n">
        <v>0</v>
      </c>
      <c r="K339" t="n">
        <v>0</v>
      </c>
      <c r="L339" t="n">
        <v>0</v>
      </c>
      <c r="M339" t="n">
        <v>0</v>
      </c>
      <c r="N339" t="n">
        <v>0</v>
      </c>
      <c r="O339" t="n">
        <v>0</v>
      </c>
      <c r="P339" t="n">
        <v>0</v>
      </c>
      <c r="Q339" t="n">
        <v>0</v>
      </c>
      <c r="R339" s="2" t="inlineStr"/>
    </row>
    <row r="340" ht="15" customHeight="1">
      <c r="A340" t="inlineStr">
        <is>
          <t>A 33625-2022</t>
        </is>
      </c>
      <c r="B340" s="1" t="n">
        <v>44789</v>
      </c>
      <c r="C340" s="1" t="n">
        <v>45894</v>
      </c>
      <c r="D340" t="inlineStr">
        <is>
          <t>JÄMTLANDS LÄN</t>
        </is>
      </c>
      <c r="E340" t="inlineStr">
        <is>
          <t>ÅRE</t>
        </is>
      </c>
      <c r="G340" t="n">
        <v>20.7</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45894</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21464-2022</t>
        </is>
      </c>
      <c r="B342" s="1" t="n">
        <v>44706</v>
      </c>
      <c r="C342" s="1" t="n">
        <v>45894</v>
      </c>
      <c r="D342" t="inlineStr">
        <is>
          <t>JÄMTLANDS LÄN</t>
        </is>
      </c>
      <c r="E342" t="inlineStr">
        <is>
          <t>ÅRE</t>
        </is>
      </c>
      <c r="G342" t="n">
        <v>10.9</v>
      </c>
      <c r="H342" t="n">
        <v>0</v>
      </c>
      <c r="I342" t="n">
        <v>0</v>
      </c>
      <c r="J342" t="n">
        <v>0</v>
      </c>
      <c r="K342" t="n">
        <v>0</v>
      </c>
      <c r="L342" t="n">
        <v>0</v>
      </c>
      <c r="M342" t="n">
        <v>0</v>
      </c>
      <c r="N342" t="n">
        <v>0</v>
      </c>
      <c r="O342" t="n">
        <v>0</v>
      </c>
      <c r="P342" t="n">
        <v>0</v>
      </c>
      <c r="Q342" t="n">
        <v>0</v>
      </c>
      <c r="R342" s="2" t="inlineStr"/>
    </row>
    <row r="343" ht="15" customHeight="1">
      <c r="A343" t="inlineStr">
        <is>
          <t>A 21167-2025</t>
        </is>
      </c>
      <c r="B343" s="1" t="n">
        <v>45779.41253472222</v>
      </c>
      <c r="C343" s="1" t="n">
        <v>45894</v>
      </c>
      <c r="D343" t="inlineStr">
        <is>
          <t>JÄMTLANDS LÄN</t>
        </is>
      </c>
      <c r="E343" t="inlineStr">
        <is>
          <t>ÅRE</t>
        </is>
      </c>
      <c r="G343" t="n">
        <v>0.4</v>
      </c>
      <c r="H343" t="n">
        <v>0</v>
      </c>
      <c r="I343" t="n">
        <v>0</v>
      </c>
      <c r="J343" t="n">
        <v>0</v>
      </c>
      <c r="K343" t="n">
        <v>0</v>
      </c>
      <c r="L343" t="n">
        <v>0</v>
      </c>
      <c r="M343" t="n">
        <v>0</v>
      </c>
      <c r="N343" t="n">
        <v>0</v>
      </c>
      <c r="O343" t="n">
        <v>0</v>
      </c>
      <c r="P343" t="n">
        <v>0</v>
      </c>
      <c r="Q343" t="n">
        <v>0</v>
      </c>
      <c r="R343" s="2" t="inlineStr"/>
    </row>
    <row r="344" ht="15" customHeight="1">
      <c r="A344" t="inlineStr">
        <is>
          <t>A 15884-2023</t>
        </is>
      </c>
      <c r="B344" s="1" t="n">
        <v>45022</v>
      </c>
      <c r="C344" s="1" t="n">
        <v>45894</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21181-2025</t>
        </is>
      </c>
      <c r="B345" s="1" t="n">
        <v>45779.43696759259</v>
      </c>
      <c r="C345" s="1" t="n">
        <v>45894</v>
      </c>
      <c r="D345" t="inlineStr">
        <is>
          <t>JÄMTLANDS LÄN</t>
        </is>
      </c>
      <c r="E345" t="inlineStr">
        <is>
          <t>ÅRE</t>
        </is>
      </c>
      <c r="G345" t="n">
        <v>2.9</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45894</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68518-2020</t>
        </is>
      </c>
      <c r="B347" s="1" t="n">
        <v>44186</v>
      </c>
      <c r="C347" s="1" t="n">
        <v>45894</v>
      </c>
      <c r="D347" t="inlineStr">
        <is>
          <t>JÄMTLANDS LÄN</t>
        </is>
      </c>
      <c r="E347" t="inlineStr">
        <is>
          <t>ÅRE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3196-2023</t>
        </is>
      </c>
      <c r="B348" s="1" t="n">
        <v>44946</v>
      </c>
      <c r="C348" s="1" t="n">
        <v>45894</v>
      </c>
      <c r="D348" t="inlineStr">
        <is>
          <t>JÄMTLANDS LÄN</t>
        </is>
      </c>
      <c r="E348" t="inlineStr">
        <is>
          <t>ÅRE</t>
        </is>
      </c>
      <c r="G348" t="n">
        <v>5.1</v>
      </c>
      <c r="H348" t="n">
        <v>0</v>
      </c>
      <c r="I348" t="n">
        <v>0</v>
      </c>
      <c r="J348" t="n">
        <v>0</v>
      </c>
      <c r="K348" t="n">
        <v>0</v>
      </c>
      <c r="L348" t="n">
        <v>0</v>
      </c>
      <c r="M348" t="n">
        <v>0</v>
      </c>
      <c r="N348" t="n">
        <v>0</v>
      </c>
      <c r="O348" t="n">
        <v>0</v>
      </c>
      <c r="P348" t="n">
        <v>0</v>
      </c>
      <c r="Q348" t="n">
        <v>0</v>
      </c>
      <c r="R348" s="2" t="inlineStr"/>
    </row>
    <row r="349" ht="15" customHeight="1">
      <c r="A349" t="inlineStr">
        <is>
          <t>A 56736-2023</t>
        </is>
      </c>
      <c r="B349" s="1" t="n">
        <v>45244</v>
      </c>
      <c r="C349" s="1" t="n">
        <v>45894</v>
      </c>
      <c r="D349" t="inlineStr">
        <is>
          <t>JÄMTLANDS LÄN</t>
        </is>
      </c>
      <c r="E349" t="inlineStr">
        <is>
          <t>ÅRE</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51452-2024</t>
        </is>
      </c>
      <c r="B350" s="1" t="n">
        <v>45604.49045138889</v>
      </c>
      <c r="C350" s="1" t="n">
        <v>45894</v>
      </c>
      <c r="D350" t="inlineStr">
        <is>
          <t>JÄMTLANDS LÄN</t>
        </is>
      </c>
      <c r="E350" t="inlineStr">
        <is>
          <t>ÅRE</t>
        </is>
      </c>
      <c r="G350" t="n">
        <v>8</v>
      </c>
      <c r="H350" t="n">
        <v>0</v>
      </c>
      <c r="I350" t="n">
        <v>0</v>
      </c>
      <c r="J350" t="n">
        <v>0</v>
      </c>
      <c r="K350" t="n">
        <v>0</v>
      </c>
      <c r="L350" t="n">
        <v>0</v>
      </c>
      <c r="M350" t="n">
        <v>0</v>
      </c>
      <c r="N350" t="n">
        <v>0</v>
      </c>
      <c r="O350" t="n">
        <v>0</v>
      </c>
      <c r="P350" t="n">
        <v>0</v>
      </c>
      <c r="Q350" t="n">
        <v>0</v>
      </c>
      <c r="R350" s="2" t="inlineStr"/>
    </row>
    <row r="351" ht="15" customHeight="1">
      <c r="A351" t="inlineStr">
        <is>
          <t>A 51317-2023</t>
        </is>
      </c>
      <c r="B351" s="1" t="n">
        <v>45219.57061342592</v>
      </c>
      <c r="C351" s="1" t="n">
        <v>45894</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15482-2024</t>
        </is>
      </c>
      <c r="B352" s="1" t="n">
        <v>45401.49361111111</v>
      </c>
      <c r="C352" s="1" t="n">
        <v>45894</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73800-2021</t>
        </is>
      </c>
      <c r="B353" s="1" t="n">
        <v>44552</v>
      </c>
      <c r="C353" s="1" t="n">
        <v>45894</v>
      </c>
      <c r="D353" t="inlineStr">
        <is>
          <t>JÄMTLANDS LÄN</t>
        </is>
      </c>
      <c r="E353" t="inlineStr">
        <is>
          <t>ÅRE</t>
        </is>
      </c>
      <c r="G353" t="n">
        <v>8.6</v>
      </c>
      <c r="H353" t="n">
        <v>0</v>
      </c>
      <c r="I353" t="n">
        <v>0</v>
      </c>
      <c r="J353" t="n">
        <v>0</v>
      </c>
      <c r="K353" t="n">
        <v>0</v>
      </c>
      <c r="L353" t="n">
        <v>0</v>
      </c>
      <c r="M353" t="n">
        <v>0</v>
      </c>
      <c r="N353" t="n">
        <v>0</v>
      </c>
      <c r="O353" t="n">
        <v>0</v>
      </c>
      <c r="P353" t="n">
        <v>0</v>
      </c>
      <c r="Q353" t="n">
        <v>0</v>
      </c>
      <c r="R353" s="2" t="inlineStr"/>
    </row>
    <row r="354" ht="15" customHeight="1">
      <c r="A354" t="inlineStr">
        <is>
          <t>A 58232-2021</t>
        </is>
      </c>
      <c r="B354" s="1" t="n">
        <v>44487</v>
      </c>
      <c r="C354" s="1" t="n">
        <v>45894</v>
      </c>
      <c r="D354" t="inlineStr">
        <is>
          <t>JÄMTLANDS LÄN</t>
        </is>
      </c>
      <c r="E354" t="inlineStr">
        <is>
          <t>ÅRE</t>
        </is>
      </c>
      <c r="G354" t="n">
        <v>43.7</v>
      </c>
      <c r="H354" t="n">
        <v>0</v>
      </c>
      <c r="I354" t="n">
        <v>0</v>
      </c>
      <c r="J354" t="n">
        <v>0</v>
      </c>
      <c r="K354" t="n">
        <v>0</v>
      </c>
      <c r="L354" t="n">
        <v>0</v>
      </c>
      <c r="M354" t="n">
        <v>0</v>
      </c>
      <c r="N354" t="n">
        <v>0</v>
      </c>
      <c r="O354" t="n">
        <v>0</v>
      </c>
      <c r="P354" t="n">
        <v>0</v>
      </c>
      <c r="Q354" t="n">
        <v>0</v>
      </c>
      <c r="R354" s="2" t="inlineStr"/>
    </row>
    <row r="355" ht="15" customHeight="1">
      <c r="A355" t="inlineStr">
        <is>
          <t>A 58758-2022</t>
        </is>
      </c>
      <c r="B355" s="1" t="n">
        <v>44903</v>
      </c>
      <c r="C355" s="1" t="n">
        <v>45894</v>
      </c>
      <c r="D355" t="inlineStr">
        <is>
          <t>JÄMTLANDS LÄN</t>
        </is>
      </c>
      <c r="E355" t="inlineStr">
        <is>
          <t>ÅRE</t>
        </is>
      </c>
      <c r="F355" t="inlineStr">
        <is>
          <t>Övriga Aktiebolag</t>
        </is>
      </c>
      <c r="G355" t="n">
        <v>42.9</v>
      </c>
      <c r="H355" t="n">
        <v>0</v>
      </c>
      <c r="I355" t="n">
        <v>0</v>
      </c>
      <c r="J355" t="n">
        <v>0</v>
      </c>
      <c r="K355" t="n">
        <v>0</v>
      </c>
      <c r="L355" t="n">
        <v>0</v>
      </c>
      <c r="M355" t="n">
        <v>0</v>
      </c>
      <c r="N355" t="n">
        <v>0</v>
      </c>
      <c r="O355" t="n">
        <v>0</v>
      </c>
      <c r="P355" t="n">
        <v>0</v>
      </c>
      <c r="Q355" t="n">
        <v>0</v>
      </c>
      <c r="R355" s="2" t="inlineStr"/>
    </row>
    <row r="356" ht="15" customHeight="1">
      <c r="A356" t="inlineStr">
        <is>
          <t>A 20485-2024</t>
        </is>
      </c>
      <c r="B356" s="1" t="n">
        <v>45435.7403125</v>
      </c>
      <c r="C356" s="1" t="n">
        <v>45894</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15305-2021</t>
        </is>
      </c>
      <c r="B357" s="1" t="n">
        <v>44284</v>
      </c>
      <c r="C357" s="1" t="n">
        <v>45894</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33003-2022</t>
        </is>
      </c>
      <c r="B358" s="1" t="n">
        <v>44784</v>
      </c>
      <c r="C358" s="1" t="n">
        <v>45894</v>
      </c>
      <c r="D358" t="inlineStr">
        <is>
          <t>JÄMTLANDS LÄN</t>
        </is>
      </c>
      <c r="E358" t="inlineStr">
        <is>
          <t>ÅRE</t>
        </is>
      </c>
      <c r="G358" t="n">
        <v>6.1</v>
      </c>
      <c r="H358" t="n">
        <v>0</v>
      </c>
      <c r="I358" t="n">
        <v>0</v>
      </c>
      <c r="J358" t="n">
        <v>0</v>
      </c>
      <c r="K358" t="n">
        <v>0</v>
      </c>
      <c r="L358" t="n">
        <v>0</v>
      </c>
      <c r="M358" t="n">
        <v>0</v>
      </c>
      <c r="N358" t="n">
        <v>0</v>
      </c>
      <c r="O358" t="n">
        <v>0</v>
      </c>
      <c r="P358" t="n">
        <v>0</v>
      </c>
      <c r="Q358" t="n">
        <v>0</v>
      </c>
      <c r="R358" s="2" t="inlineStr"/>
    </row>
    <row r="359" ht="15" customHeight="1">
      <c r="A359" t="inlineStr">
        <is>
          <t>A 47075-2024</t>
        </is>
      </c>
      <c r="B359" s="1" t="n">
        <v>45586.5008912037</v>
      </c>
      <c r="C359" s="1" t="n">
        <v>45894</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13370-2024</t>
        </is>
      </c>
      <c r="B360" s="1" t="n">
        <v>45387</v>
      </c>
      <c r="C360" s="1" t="n">
        <v>45894</v>
      </c>
      <c r="D360" t="inlineStr">
        <is>
          <t>JÄMTLANDS LÄN</t>
        </is>
      </c>
      <c r="E360" t="inlineStr">
        <is>
          <t>ÅRE</t>
        </is>
      </c>
      <c r="G360" t="n">
        <v>8.5</v>
      </c>
      <c r="H360" t="n">
        <v>0</v>
      </c>
      <c r="I360" t="n">
        <v>0</v>
      </c>
      <c r="J360" t="n">
        <v>0</v>
      </c>
      <c r="K360" t="n">
        <v>0</v>
      </c>
      <c r="L360" t="n">
        <v>0</v>
      </c>
      <c r="M360" t="n">
        <v>0</v>
      </c>
      <c r="N360" t="n">
        <v>0</v>
      </c>
      <c r="O360" t="n">
        <v>0</v>
      </c>
      <c r="P360" t="n">
        <v>0</v>
      </c>
      <c r="Q360" t="n">
        <v>0</v>
      </c>
      <c r="R360" s="2" t="inlineStr"/>
    </row>
    <row r="361" ht="15" customHeight="1">
      <c r="A361" t="inlineStr">
        <is>
          <t>A 46559-2024</t>
        </is>
      </c>
      <c r="B361" s="1" t="n">
        <v>45582</v>
      </c>
      <c r="C361" s="1" t="n">
        <v>45894</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40653-2022</t>
        </is>
      </c>
      <c r="B362" s="1" t="n">
        <v>44818</v>
      </c>
      <c r="C362" s="1" t="n">
        <v>45894</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32758-2022</t>
        </is>
      </c>
      <c r="B363" s="1" t="n">
        <v>44783</v>
      </c>
      <c r="C363" s="1" t="n">
        <v>45894</v>
      </c>
      <c r="D363" t="inlineStr">
        <is>
          <t>JÄMTLANDS LÄN</t>
        </is>
      </c>
      <c r="E363" t="inlineStr">
        <is>
          <t>ÅRE</t>
        </is>
      </c>
      <c r="G363" t="n">
        <v>8.4</v>
      </c>
      <c r="H363" t="n">
        <v>0</v>
      </c>
      <c r="I363" t="n">
        <v>0</v>
      </c>
      <c r="J363" t="n">
        <v>0</v>
      </c>
      <c r="K363" t="n">
        <v>0</v>
      </c>
      <c r="L363" t="n">
        <v>0</v>
      </c>
      <c r="M363" t="n">
        <v>0</v>
      </c>
      <c r="N363" t="n">
        <v>0</v>
      </c>
      <c r="O363" t="n">
        <v>0</v>
      </c>
      <c r="P363" t="n">
        <v>0</v>
      </c>
      <c r="Q363" t="n">
        <v>0</v>
      </c>
      <c r="R363" s="2" t="inlineStr"/>
    </row>
    <row r="364" ht="15" customHeight="1">
      <c r="A364" t="inlineStr">
        <is>
          <t>A 13301-2024</t>
        </is>
      </c>
      <c r="B364" s="1" t="n">
        <v>45386</v>
      </c>
      <c r="C364" s="1" t="n">
        <v>45894</v>
      </c>
      <c r="D364" t="inlineStr">
        <is>
          <t>JÄMTLANDS LÄN</t>
        </is>
      </c>
      <c r="E364" t="inlineStr">
        <is>
          <t>ÅRE</t>
        </is>
      </c>
      <c r="G364" t="n">
        <v>9</v>
      </c>
      <c r="H364" t="n">
        <v>0</v>
      </c>
      <c r="I364" t="n">
        <v>0</v>
      </c>
      <c r="J364" t="n">
        <v>0</v>
      </c>
      <c r="K364" t="n">
        <v>0</v>
      </c>
      <c r="L364" t="n">
        <v>0</v>
      </c>
      <c r="M364" t="n">
        <v>0</v>
      </c>
      <c r="N364" t="n">
        <v>0</v>
      </c>
      <c r="O364" t="n">
        <v>0</v>
      </c>
      <c r="P364" t="n">
        <v>0</v>
      </c>
      <c r="Q364" t="n">
        <v>0</v>
      </c>
      <c r="R364" s="2" t="inlineStr"/>
    </row>
    <row r="365" ht="15" customHeight="1">
      <c r="A365" t="inlineStr">
        <is>
          <t>A 49296-2024</t>
        </is>
      </c>
      <c r="B365" s="1" t="n">
        <v>45595</v>
      </c>
      <c r="C365" s="1" t="n">
        <v>45894</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33239-2024</t>
        </is>
      </c>
      <c r="B366" s="1" t="n">
        <v>45518.59618055556</v>
      </c>
      <c r="C366" s="1" t="n">
        <v>45894</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39195-2024</t>
        </is>
      </c>
      <c r="B367" s="1" t="n">
        <v>45548.6934837963</v>
      </c>
      <c r="C367" s="1" t="n">
        <v>45894</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37758-2023</t>
        </is>
      </c>
      <c r="B368" s="1" t="n">
        <v>45159</v>
      </c>
      <c r="C368" s="1" t="n">
        <v>45894</v>
      </c>
      <c r="D368" t="inlineStr">
        <is>
          <t>JÄMTLANDS LÄN</t>
        </is>
      </c>
      <c r="E368" t="inlineStr">
        <is>
          <t>ÅRE</t>
        </is>
      </c>
      <c r="G368" t="n">
        <v>20.1</v>
      </c>
      <c r="H368" t="n">
        <v>0</v>
      </c>
      <c r="I368" t="n">
        <v>0</v>
      </c>
      <c r="J368" t="n">
        <v>0</v>
      </c>
      <c r="K368" t="n">
        <v>0</v>
      </c>
      <c r="L368" t="n">
        <v>0</v>
      </c>
      <c r="M368" t="n">
        <v>0</v>
      </c>
      <c r="N368" t="n">
        <v>0</v>
      </c>
      <c r="O368" t="n">
        <v>0</v>
      </c>
      <c r="P368" t="n">
        <v>0</v>
      </c>
      <c r="Q368" t="n">
        <v>0</v>
      </c>
      <c r="R368" s="2" t="inlineStr"/>
    </row>
    <row r="369" ht="15" customHeight="1">
      <c r="A369" t="inlineStr">
        <is>
          <t>A 24655-2023</t>
        </is>
      </c>
      <c r="B369" s="1" t="n">
        <v>45084.47790509259</v>
      </c>
      <c r="C369" s="1" t="n">
        <v>45894</v>
      </c>
      <c r="D369" t="inlineStr">
        <is>
          <t>JÄMTLANDS LÄN</t>
        </is>
      </c>
      <c r="E369" t="inlineStr">
        <is>
          <t>ÅRE</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56910-2022</t>
        </is>
      </c>
      <c r="B370" s="1" t="n">
        <v>44894.59936342593</v>
      </c>
      <c r="C370" s="1" t="n">
        <v>45894</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18264-2023</t>
        </is>
      </c>
      <c r="B371" s="1" t="n">
        <v>45041</v>
      </c>
      <c r="C371" s="1" t="n">
        <v>45894</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52677-2024</t>
        </is>
      </c>
      <c r="B372" s="1" t="n">
        <v>45610.38560185185</v>
      </c>
      <c r="C372" s="1" t="n">
        <v>45894</v>
      </c>
      <c r="D372" t="inlineStr">
        <is>
          <t>JÄMTLANDS LÄN</t>
        </is>
      </c>
      <c r="E372" t="inlineStr">
        <is>
          <t>ÅRE</t>
        </is>
      </c>
      <c r="F372" t="inlineStr">
        <is>
          <t>Övriga Aktiebolag</t>
        </is>
      </c>
      <c r="G372" t="n">
        <v>3</v>
      </c>
      <c r="H372" t="n">
        <v>0</v>
      </c>
      <c r="I372" t="n">
        <v>0</v>
      </c>
      <c r="J372" t="n">
        <v>0</v>
      </c>
      <c r="K372" t="n">
        <v>0</v>
      </c>
      <c r="L372" t="n">
        <v>0</v>
      </c>
      <c r="M372" t="n">
        <v>0</v>
      </c>
      <c r="N372" t="n">
        <v>0</v>
      </c>
      <c r="O372" t="n">
        <v>0</v>
      </c>
      <c r="P372" t="n">
        <v>0</v>
      </c>
      <c r="Q372" t="n">
        <v>0</v>
      </c>
      <c r="R372" s="2" t="inlineStr"/>
    </row>
    <row r="373" ht="15" customHeight="1">
      <c r="A373" t="inlineStr">
        <is>
          <t>A 5923-2022</t>
        </is>
      </c>
      <c r="B373" s="1" t="n">
        <v>44598.64403935185</v>
      </c>
      <c r="C373" s="1" t="n">
        <v>45894</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8576-2024</t>
        </is>
      </c>
      <c r="B374" s="1" t="n">
        <v>45355</v>
      </c>
      <c r="C374" s="1" t="n">
        <v>45894</v>
      </c>
      <c r="D374" t="inlineStr">
        <is>
          <t>JÄMTLANDS LÄN</t>
        </is>
      </c>
      <c r="E374" t="inlineStr">
        <is>
          <t>ÅRE</t>
        </is>
      </c>
      <c r="G374" t="n">
        <v>21.7</v>
      </c>
      <c r="H374" t="n">
        <v>0</v>
      </c>
      <c r="I374" t="n">
        <v>0</v>
      </c>
      <c r="J374" t="n">
        <v>0</v>
      </c>
      <c r="K374" t="n">
        <v>0</v>
      </c>
      <c r="L374" t="n">
        <v>0</v>
      </c>
      <c r="M374" t="n">
        <v>0</v>
      </c>
      <c r="N374" t="n">
        <v>0</v>
      </c>
      <c r="O374" t="n">
        <v>0</v>
      </c>
      <c r="P374" t="n">
        <v>0</v>
      </c>
      <c r="Q374" t="n">
        <v>0</v>
      </c>
      <c r="R374" s="2" t="inlineStr"/>
    </row>
    <row r="375" ht="15" customHeight="1">
      <c r="A375" t="inlineStr">
        <is>
          <t>A 60122-2021</t>
        </is>
      </c>
      <c r="B375" s="1" t="n">
        <v>44495</v>
      </c>
      <c r="C375" s="1" t="n">
        <v>45894</v>
      </c>
      <c r="D375" t="inlineStr">
        <is>
          <t>JÄMTLANDS LÄN</t>
        </is>
      </c>
      <c r="E375" t="inlineStr">
        <is>
          <t>ÅRE</t>
        </is>
      </c>
      <c r="G375" t="n">
        <v>46.7</v>
      </c>
      <c r="H375" t="n">
        <v>0</v>
      </c>
      <c r="I375" t="n">
        <v>0</v>
      </c>
      <c r="J375" t="n">
        <v>0</v>
      </c>
      <c r="K375" t="n">
        <v>0</v>
      </c>
      <c r="L375" t="n">
        <v>0</v>
      </c>
      <c r="M375" t="n">
        <v>0</v>
      </c>
      <c r="N375" t="n">
        <v>0</v>
      </c>
      <c r="O375" t="n">
        <v>0</v>
      </c>
      <c r="P375" t="n">
        <v>0</v>
      </c>
      <c r="Q375" t="n">
        <v>0</v>
      </c>
      <c r="R375" s="2" t="inlineStr"/>
    </row>
    <row r="376" ht="15" customHeight="1">
      <c r="A376" t="inlineStr">
        <is>
          <t>A 43307-2024</t>
        </is>
      </c>
      <c r="B376" s="1" t="n">
        <v>45568.44303240741</v>
      </c>
      <c r="C376" s="1" t="n">
        <v>45894</v>
      </c>
      <c r="D376" t="inlineStr">
        <is>
          <t>JÄMTLANDS LÄN</t>
        </is>
      </c>
      <c r="E376" t="inlineStr">
        <is>
          <t>ÅRE</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54116-2023</t>
        </is>
      </c>
      <c r="B377" s="1" t="n">
        <v>45232</v>
      </c>
      <c r="C377" s="1" t="n">
        <v>45894</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8788-2025</t>
        </is>
      </c>
      <c r="B378" s="1" t="n">
        <v>45712</v>
      </c>
      <c r="C378" s="1" t="n">
        <v>45894</v>
      </c>
      <c r="D378" t="inlineStr">
        <is>
          <t>JÄMTLANDS LÄN</t>
        </is>
      </c>
      <c r="E378" t="inlineStr">
        <is>
          <t>ÅRE</t>
        </is>
      </c>
      <c r="G378" t="n">
        <v>2.7</v>
      </c>
      <c r="H378" t="n">
        <v>0</v>
      </c>
      <c r="I378" t="n">
        <v>0</v>
      </c>
      <c r="J378" t="n">
        <v>0</v>
      </c>
      <c r="K378" t="n">
        <v>0</v>
      </c>
      <c r="L378" t="n">
        <v>0</v>
      </c>
      <c r="M378" t="n">
        <v>0</v>
      </c>
      <c r="N378" t="n">
        <v>0</v>
      </c>
      <c r="O378" t="n">
        <v>0</v>
      </c>
      <c r="P378" t="n">
        <v>0</v>
      </c>
      <c r="Q378" t="n">
        <v>0</v>
      </c>
      <c r="R378" s="2" t="inlineStr"/>
    </row>
    <row r="379" ht="15" customHeight="1">
      <c r="A379" t="inlineStr">
        <is>
          <t>A 12292-2023</t>
        </is>
      </c>
      <c r="B379" s="1" t="n">
        <v>44998</v>
      </c>
      <c r="C379" s="1" t="n">
        <v>45894</v>
      </c>
      <c r="D379" t="inlineStr">
        <is>
          <t>JÄMTLANDS LÄN</t>
        </is>
      </c>
      <c r="E379" t="inlineStr">
        <is>
          <t>ÅRE</t>
        </is>
      </c>
      <c r="G379" t="n">
        <v>3.5</v>
      </c>
      <c r="H379" t="n">
        <v>0</v>
      </c>
      <c r="I379" t="n">
        <v>0</v>
      </c>
      <c r="J379" t="n">
        <v>0</v>
      </c>
      <c r="K379" t="n">
        <v>0</v>
      </c>
      <c r="L379" t="n">
        <v>0</v>
      </c>
      <c r="M379" t="n">
        <v>0</v>
      </c>
      <c r="N379" t="n">
        <v>0</v>
      </c>
      <c r="O379" t="n">
        <v>0</v>
      </c>
      <c r="P379" t="n">
        <v>0</v>
      </c>
      <c r="Q379" t="n">
        <v>0</v>
      </c>
      <c r="R379" s="2" t="inlineStr"/>
    </row>
    <row r="380" ht="15" customHeight="1">
      <c r="A380" t="inlineStr">
        <is>
          <t>A 12294-2023</t>
        </is>
      </c>
      <c r="B380" s="1" t="n">
        <v>44998.75266203703</v>
      </c>
      <c r="C380" s="1" t="n">
        <v>45894</v>
      </c>
      <c r="D380" t="inlineStr">
        <is>
          <t>JÄMTLANDS LÄN</t>
        </is>
      </c>
      <c r="E380" t="inlineStr">
        <is>
          <t>ÅRE</t>
        </is>
      </c>
      <c r="G380" t="n">
        <v>1.4</v>
      </c>
      <c r="H380" t="n">
        <v>0</v>
      </c>
      <c r="I380" t="n">
        <v>0</v>
      </c>
      <c r="J380" t="n">
        <v>0</v>
      </c>
      <c r="K380" t="n">
        <v>0</v>
      </c>
      <c r="L380" t="n">
        <v>0</v>
      </c>
      <c r="M380" t="n">
        <v>0</v>
      </c>
      <c r="N380" t="n">
        <v>0</v>
      </c>
      <c r="O380" t="n">
        <v>0</v>
      </c>
      <c r="P380" t="n">
        <v>0</v>
      </c>
      <c r="Q380" t="n">
        <v>0</v>
      </c>
      <c r="R380" s="2" t="inlineStr"/>
    </row>
    <row r="381" ht="15" customHeight="1">
      <c r="A381" t="inlineStr">
        <is>
          <t>A 18531-2021</t>
        </is>
      </c>
      <c r="B381" s="1" t="n">
        <v>44306</v>
      </c>
      <c r="C381" s="1" t="n">
        <v>45894</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32210-2022</t>
        </is>
      </c>
      <c r="B382" s="1" t="n">
        <v>44781</v>
      </c>
      <c r="C382" s="1" t="n">
        <v>45894</v>
      </c>
      <c r="D382" t="inlineStr">
        <is>
          <t>JÄMTLANDS LÄN</t>
        </is>
      </c>
      <c r="E382" t="inlineStr">
        <is>
          <t>ÅRE</t>
        </is>
      </c>
      <c r="G382" t="n">
        <v>17.3</v>
      </c>
      <c r="H382" t="n">
        <v>0</v>
      </c>
      <c r="I382" t="n">
        <v>0</v>
      </c>
      <c r="J382" t="n">
        <v>0</v>
      </c>
      <c r="K382" t="n">
        <v>0</v>
      </c>
      <c r="L382" t="n">
        <v>0</v>
      </c>
      <c r="M382" t="n">
        <v>0</v>
      </c>
      <c r="N382" t="n">
        <v>0</v>
      </c>
      <c r="O382" t="n">
        <v>0</v>
      </c>
      <c r="P382" t="n">
        <v>0</v>
      </c>
      <c r="Q382" t="n">
        <v>0</v>
      </c>
      <c r="R382" s="2" t="inlineStr"/>
    </row>
    <row r="383" ht="15" customHeight="1">
      <c r="A383" t="inlineStr">
        <is>
          <t>A 3147-2023</t>
        </is>
      </c>
      <c r="B383" s="1" t="n">
        <v>44946</v>
      </c>
      <c r="C383" s="1" t="n">
        <v>45894</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49303-2024</t>
        </is>
      </c>
      <c r="B384" s="1" t="n">
        <v>45595</v>
      </c>
      <c r="C384" s="1" t="n">
        <v>45894</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64758-2023</t>
        </is>
      </c>
      <c r="B385" s="1" t="n">
        <v>45281</v>
      </c>
      <c r="C385" s="1" t="n">
        <v>45894</v>
      </c>
      <c r="D385" t="inlineStr">
        <is>
          <t>JÄMTLANDS LÄN</t>
        </is>
      </c>
      <c r="E385" t="inlineStr">
        <is>
          <t>ÅRE</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61978-2023</t>
        </is>
      </c>
      <c r="B386" s="1" t="n">
        <v>45266.59711805556</v>
      </c>
      <c r="C386" s="1" t="n">
        <v>45894</v>
      </c>
      <c r="D386" t="inlineStr">
        <is>
          <t>JÄMTLANDS LÄN</t>
        </is>
      </c>
      <c r="E386" t="inlineStr">
        <is>
          <t>ÅRE</t>
        </is>
      </c>
      <c r="G386" t="n">
        <v>5.5</v>
      </c>
      <c r="H386" t="n">
        <v>0</v>
      </c>
      <c r="I386" t="n">
        <v>0</v>
      </c>
      <c r="J386" t="n">
        <v>0</v>
      </c>
      <c r="K386" t="n">
        <v>0</v>
      </c>
      <c r="L386" t="n">
        <v>0</v>
      </c>
      <c r="M386" t="n">
        <v>0</v>
      </c>
      <c r="N386" t="n">
        <v>0</v>
      </c>
      <c r="O386" t="n">
        <v>0</v>
      </c>
      <c r="P386" t="n">
        <v>0</v>
      </c>
      <c r="Q386" t="n">
        <v>0</v>
      </c>
      <c r="R386" s="2" t="inlineStr"/>
    </row>
    <row r="387" ht="15" customHeight="1">
      <c r="A387" t="inlineStr">
        <is>
          <t>A 9777-2021</t>
        </is>
      </c>
      <c r="B387" s="1" t="n">
        <v>44252</v>
      </c>
      <c r="C387" s="1" t="n">
        <v>45894</v>
      </c>
      <c r="D387" t="inlineStr">
        <is>
          <t>JÄMTLANDS LÄN</t>
        </is>
      </c>
      <c r="E387" t="inlineStr">
        <is>
          <t>ÅRE</t>
        </is>
      </c>
      <c r="G387" t="n">
        <v>4.2</v>
      </c>
      <c r="H387" t="n">
        <v>0</v>
      </c>
      <c r="I387" t="n">
        <v>0</v>
      </c>
      <c r="J387" t="n">
        <v>0</v>
      </c>
      <c r="K387" t="n">
        <v>0</v>
      </c>
      <c r="L387" t="n">
        <v>0</v>
      </c>
      <c r="M387" t="n">
        <v>0</v>
      </c>
      <c r="N387" t="n">
        <v>0</v>
      </c>
      <c r="O387" t="n">
        <v>0</v>
      </c>
      <c r="P387" t="n">
        <v>0</v>
      </c>
      <c r="Q387" t="n">
        <v>0</v>
      </c>
      <c r="R387" s="2" t="inlineStr"/>
    </row>
    <row r="388" ht="15" customHeight="1">
      <c r="A388" t="inlineStr">
        <is>
          <t>A 56576-2022</t>
        </is>
      </c>
      <c r="B388" s="1" t="n">
        <v>44893</v>
      </c>
      <c r="C388" s="1" t="n">
        <v>45894</v>
      </c>
      <c r="D388" t="inlineStr">
        <is>
          <t>JÄMTLANDS LÄN</t>
        </is>
      </c>
      <c r="E388" t="inlineStr">
        <is>
          <t>ÅRE</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61924-2022</t>
        </is>
      </c>
      <c r="B389" s="1" t="n">
        <v>44917</v>
      </c>
      <c r="C389" s="1" t="n">
        <v>45894</v>
      </c>
      <c r="D389" t="inlineStr">
        <is>
          <t>JÄMTLANDS LÄN</t>
        </is>
      </c>
      <c r="E389" t="inlineStr">
        <is>
          <t>ÅRE</t>
        </is>
      </c>
      <c r="G389" t="n">
        <v>39.8</v>
      </c>
      <c r="H389" t="n">
        <v>0</v>
      </c>
      <c r="I389" t="n">
        <v>0</v>
      </c>
      <c r="J389" t="n">
        <v>0</v>
      </c>
      <c r="K389" t="n">
        <v>0</v>
      </c>
      <c r="L389" t="n">
        <v>0</v>
      </c>
      <c r="M389" t="n">
        <v>0</v>
      </c>
      <c r="N389" t="n">
        <v>0</v>
      </c>
      <c r="O389" t="n">
        <v>0</v>
      </c>
      <c r="P389" t="n">
        <v>0</v>
      </c>
      <c r="Q389" t="n">
        <v>0</v>
      </c>
      <c r="R389" s="2" t="inlineStr"/>
    </row>
    <row r="390" ht="15" customHeight="1">
      <c r="A390" t="inlineStr">
        <is>
          <t>A 12940-2024</t>
        </is>
      </c>
      <c r="B390" s="1" t="n">
        <v>45385.46263888889</v>
      </c>
      <c r="C390" s="1" t="n">
        <v>45894</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58508-2023</t>
        </is>
      </c>
      <c r="B391" s="1" t="n">
        <v>45246</v>
      </c>
      <c r="C391" s="1" t="n">
        <v>45894</v>
      </c>
      <c r="D391" t="inlineStr">
        <is>
          <t>JÄMTLANDS LÄN</t>
        </is>
      </c>
      <c r="E391" t="inlineStr">
        <is>
          <t>ÅRE</t>
        </is>
      </c>
      <c r="G391" t="n">
        <v>21.8</v>
      </c>
      <c r="H391" t="n">
        <v>0</v>
      </c>
      <c r="I391" t="n">
        <v>0</v>
      </c>
      <c r="J391" t="n">
        <v>0</v>
      </c>
      <c r="K391" t="n">
        <v>0</v>
      </c>
      <c r="L391" t="n">
        <v>0</v>
      </c>
      <c r="M391" t="n">
        <v>0</v>
      </c>
      <c r="N391" t="n">
        <v>0</v>
      </c>
      <c r="O391" t="n">
        <v>0</v>
      </c>
      <c r="P391" t="n">
        <v>0</v>
      </c>
      <c r="Q391" t="n">
        <v>0</v>
      </c>
      <c r="R391" s="2" t="inlineStr"/>
    </row>
    <row r="392" ht="15" customHeight="1">
      <c r="A392" t="inlineStr">
        <is>
          <t>A 39069-2024</t>
        </is>
      </c>
      <c r="B392" s="1" t="n">
        <v>45548.53166666667</v>
      </c>
      <c r="C392" s="1" t="n">
        <v>45894</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12944-2024</t>
        </is>
      </c>
      <c r="B393" s="1" t="n">
        <v>45385</v>
      </c>
      <c r="C393" s="1" t="n">
        <v>45894</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64237-2021</t>
        </is>
      </c>
      <c r="B394" s="1" t="n">
        <v>44510</v>
      </c>
      <c r="C394" s="1" t="n">
        <v>45894</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45894</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13841-2024</t>
        </is>
      </c>
      <c r="B396" s="1" t="n">
        <v>45391</v>
      </c>
      <c r="C396" s="1" t="n">
        <v>45894</v>
      </c>
      <c r="D396" t="inlineStr">
        <is>
          <t>JÄMTLANDS LÄN</t>
        </is>
      </c>
      <c r="E396" t="inlineStr">
        <is>
          <t>ÅRE</t>
        </is>
      </c>
      <c r="G396" t="n">
        <v>6.7</v>
      </c>
      <c r="H396" t="n">
        <v>0</v>
      </c>
      <c r="I396" t="n">
        <v>0</v>
      </c>
      <c r="J396" t="n">
        <v>0</v>
      </c>
      <c r="K396" t="n">
        <v>0</v>
      </c>
      <c r="L396" t="n">
        <v>0</v>
      </c>
      <c r="M396" t="n">
        <v>0</v>
      </c>
      <c r="N396" t="n">
        <v>0</v>
      </c>
      <c r="O396" t="n">
        <v>0</v>
      </c>
      <c r="P396" t="n">
        <v>0</v>
      </c>
      <c r="Q396" t="n">
        <v>0</v>
      </c>
      <c r="R396" s="2" t="inlineStr"/>
    </row>
    <row r="397" ht="15" customHeight="1">
      <c r="A397" t="inlineStr">
        <is>
          <t>A 45242-2023</t>
        </is>
      </c>
      <c r="B397" s="1" t="n">
        <v>45187</v>
      </c>
      <c r="C397" s="1" t="n">
        <v>45894</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10285-2021</t>
        </is>
      </c>
      <c r="B398" s="1" t="n">
        <v>44257</v>
      </c>
      <c r="C398" s="1" t="n">
        <v>45894</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61183-2023</t>
        </is>
      </c>
      <c r="B399" s="1" t="n">
        <v>45263</v>
      </c>
      <c r="C399" s="1" t="n">
        <v>45894</v>
      </c>
      <c r="D399" t="inlineStr">
        <is>
          <t>JÄMTLANDS LÄN</t>
        </is>
      </c>
      <c r="E399" t="inlineStr">
        <is>
          <t>ÅRE</t>
        </is>
      </c>
      <c r="G399" t="n">
        <v>8.4</v>
      </c>
      <c r="H399" t="n">
        <v>0</v>
      </c>
      <c r="I399" t="n">
        <v>0</v>
      </c>
      <c r="J399" t="n">
        <v>0</v>
      </c>
      <c r="K399" t="n">
        <v>0</v>
      </c>
      <c r="L399" t="n">
        <v>0</v>
      </c>
      <c r="M399" t="n">
        <v>0</v>
      </c>
      <c r="N399" t="n">
        <v>0</v>
      </c>
      <c r="O399" t="n">
        <v>0</v>
      </c>
      <c r="P399" t="n">
        <v>0</v>
      </c>
      <c r="Q399" t="n">
        <v>0</v>
      </c>
      <c r="R399" s="2" t="inlineStr"/>
    </row>
    <row r="400" ht="15" customHeight="1">
      <c r="A400" t="inlineStr">
        <is>
          <t>A 18849-2022</t>
        </is>
      </c>
      <c r="B400" s="1" t="n">
        <v>44690</v>
      </c>
      <c r="C400" s="1" t="n">
        <v>45894</v>
      </c>
      <c r="D400" t="inlineStr">
        <is>
          <t>JÄMTLANDS LÄN</t>
        </is>
      </c>
      <c r="E400" t="inlineStr">
        <is>
          <t>ÅRE</t>
        </is>
      </c>
      <c r="G400" t="n">
        <v>12.8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45894</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52676-2023</t>
        </is>
      </c>
      <c r="B402" s="1" t="n">
        <v>45225.6890625</v>
      </c>
      <c r="C402" s="1" t="n">
        <v>45894</v>
      </c>
      <c r="D402" t="inlineStr">
        <is>
          <t>JÄMTLANDS LÄN</t>
        </is>
      </c>
      <c r="E402" t="inlineStr">
        <is>
          <t>ÅRE</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25224-2025</t>
        </is>
      </c>
      <c r="B403" s="1" t="n">
        <v>45800.48087962963</v>
      </c>
      <c r="C403" s="1" t="n">
        <v>45894</v>
      </c>
      <c r="D403" t="inlineStr">
        <is>
          <t>JÄMTLANDS LÄN</t>
        </is>
      </c>
      <c r="E403" t="inlineStr">
        <is>
          <t>ÅRE</t>
        </is>
      </c>
      <c r="G403" t="n">
        <v>1</v>
      </c>
      <c r="H403" t="n">
        <v>0</v>
      </c>
      <c r="I403" t="n">
        <v>0</v>
      </c>
      <c r="J403" t="n">
        <v>0</v>
      </c>
      <c r="K403" t="n">
        <v>0</v>
      </c>
      <c r="L403" t="n">
        <v>0</v>
      </c>
      <c r="M403" t="n">
        <v>0</v>
      </c>
      <c r="N403" t="n">
        <v>0</v>
      </c>
      <c r="O403" t="n">
        <v>0</v>
      </c>
      <c r="P403" t="n">
        <v>0</v>
      </c>
      <c r="Q403" t="n">
        <v>0</v>
      </c>
      <c r="R403" s="2" t="inlineStr"/>
    </row>
    <row r="404" ht="15" customHeight="1">
      <c r="A404" t="inlineStr">
        <is>
          <t>A 25200-2025</t>
        </is>
      </c>
      <c r="B404" s="1" t="n">
        <v>45800.4615625</v>
      </c>
      <c r="C404" s="1" t="n">
        <v>45894</v>
      </c>
      <c r="D404" t="inlineStr">
        <is>
          <t>JÄMTLANDS LÄN</t>
        </is>
      </c>
      <c r="E404" t="inlineStr">
        <is>
          <t>ÅRE</t>
        </is>
      </c>
      <c r="G404" t="n">
        <v>3.3</v>
      </c>
      <c r="H404" t="n">
        <v>0</v>
      </c>
      <c r="I404" t="n">
        <v>0</v>
      </c>
      <c r="J404" t="n">
        <v>0</v>
      </c>
      <c r="K404" t="n">
        <v>0</v>
      </c>
      <c r="L404" t="n">
        <v>0</v>
      </c>
      <c r="M404" t="n">
        <v>0</v>
      </c>
      <c r="N404" t="n">
        <v>0</v>
      </c>
      <c r="O404" t="n">
        <v>0</v>
      </c>
      <c r="P404" t="n">
        <v>0</v>
      </c>
      <c r="Q404" t="n">
        <v>0</v>
      </c>
      <c r="R404" s="2" t="inlineStr"/>
    </row>
    <row r="405" ht="15" customHeight="1">
      <c r="A405" t="inlineStr">
        <is>
          <t>A 25208-2025</t>
        </is>
      </c>
      <c r="B405" s="1" t="n">
        <v>45800.46927083333</v>
      </c>
      <c r="C405" s="1" t="n">
        <v>45894</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7970-2023</t>
        </is>
      </c>
      <c r="B406" s="1" t="n">
        <v>44970</v>
      </c>
      <c r="C406" s="1" t="n">
        <v>45894</v>
      </c>
      <c r="D406" t="inlineStr">
        <is>
          <t>JÄMTLANDS LÄN</t>
        </is>
      </c>
      <c r="E406" t="inlineStr">
        <is>
          <t>ÅRE</t>
        </is>
      </c>
      <c r="G406" t="n">
        <v>3.5</v>
      </c>
      <c r="H406" t="n">
        <v>0</v>
      </c>
      <c r="I406" t="n">
        <v>0</v>
      </c>
      <c r="J406" t="n">
        <v>0</v>
      </c>
      <c r="K406" t="n">
        <v>0</v>
      </c>
      <c r="L406" t="n">
        <v>0</v>
      </c>
      <c r="M406" t="n">
        <v>0</v>
      </c>
      <c r="N406" t="n">
        <v>0</v>
      </c>
      <c r="O406" t="n">
        <v>0</v>
      </c>
      <c r="P406" t="n">
        <v>0</v>
      </c>
      <c r="Q406" t="n">
        <v>0</v>
      </c>
      <c r="R406" s="2" t="inlineStr"/>
    </row>
    <row r="407" ht="15" customHeight="1">
      <c r="A407" t="inlineStr">
        <is>
          <t>A 44609-2024</t>
        </is>
      </c>
      <c r="B407" s="1" t="n">
        <v>45574.51212962963</v>
      </c>
      <c r="C407" s="1" t="n">
        <v>45894</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43449-2023</t>
        </is>
      </c>
      <c r="B408" s="1" t="n">
        <v>45184.36697916667</v>
      </c>
      <c r="C408" s="1" t="n">
        <v>45894</v>
      </c>
      <c r="D408" t="inlineStr">
        <is>
          <t>JÄMTLANDS LÄN</t>
        </is>
      </c>
      <c r="E408" t="inlineStr">
        <is>
          <t>ÅRE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50344-2024</t>
        </is>
      </c>
      <c r="B409" s="1" t="n">
        <v>45600</v>
      </c>
      <c r="C409" s="1" t="n">
        <v>45894</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12290-2023</t>
        </is>
      </c>
      <c r="B410" s="1" t="n">
        <v>44998.73545138889</v>
      </c>
      <c r="C410" s="1" t="n">
        <v>45894</v>
      </c>
      <c r="D410" t="inlineStr">
        <is>
          <t>JÄMTLANDS LÄN</t>
        </is>
      </c>
      <c r="E410" t="inlineStr">
        <is>
          <t>ÅRE</t>
        </is>
      </c>
      <c r="G410" t="n">
        <v>2.8</v>
      </c>
      <c r="H410" t="n">
        <v>0</v>
      </c>
      <c r="I410" t="n">
        <v>0</v>
      </c>
      <c r="J410" t="n">
        <v>0</v>
      </c>
      <c r="K410" t="n">
        <v>0</v>
      </c>
      <c r="L410" t="n">
        <v>0</v>
      </c>
      <c r="M410" t="n">
        <v>0</v>
      </c>
      <c r="N410" t="n">
        <v>0</v>
      </c>
      <c r="O410" t="n">
        <v>0</v>
      </c>
      <c r="P410" t="n">
        <v>0</v>
      </c>
      <c r="Q410" t="n">
        <v>0</v>
      </c>
      <c r="R410" s="2" t="inlineStr"/>
    </row>
    <row r="411" ht="15" customHeight="1">
      <c r="A411" t="inlineStr">
        <is>
          <t>A 12291-2023</t>
        </is>
      </c>
      <c r="B411" s="1" t="n">
        <v>44998.74140046296</v>
      </c>
      <c r="C411" s="1" t="n">
        <v>45894</v>
      </c>
      <c r="D411" t="inlineStr">
        <is>
          <t>JÄMTLANDS LÄN</t>
        </is>
      </c>
      <c r="E411" t="inlineStr">
        <is>
          <t>ÅRE</t>
        </is>
      </c>
      <c r="G411" t="n">
        <v>6</v>
      </c>
      <c r="H411" t="n">
        <v>0</v>
      </c>
      <c r="I411" t="n">
        <v>0</v>
      </c>
      <c r="J411" t="n">
        <v>0</v>
      </c>
      <c r="K411" t="n">
        <v>0</v>
      </c>
      <c r="L411" t="n">
        <v>0</v>
      </c>
      <c r="M411" t="n">
        <v>0</v>
      </c>
      <c r="N411" t="n">
        <v>0</v>
      </c>
      <c r="O411" t="n">
        <v>0</v>
      </c>
      <c r="P411" t="n">
        <v>0</v>
      </c>
      <c r="Q411" t="n">
        <v>0</v>
      </c>
      <c r="R411" s="2" t="inlineStr"/>
    </row>
    <row r="412" ht="15" customHeight="1">
      <c r="A412" t="inlineStr">
        <is>
          <t>A 48177-2020</t>
        </is>
      </c>
      <c r="B412" s="1" t="n">
        <v>44102</v>
      </c>
      <c r="C412" s="1" t="n">
        <v>45894</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44512-2023</t>
        </is>
      </c>
      <c r="B413" s="1" t="n">
        <v>45184</v>
      </c>
      <c r="C413" s="1" t="n">
        <v>45894</v>
      </c>
      <c r="D413" t="inlineStr">
        <is>
          <t>JÄMTLANDS LÄN</t>
        </is>
      </c>
      <c r="E413" t="inlineStr">
        <is>
          <t>ÅRE</t>
        </is>
      </c>
      <c r="G413" t="n">
        <v>12.5</v>
      </c>
      <c r="H413" t="n">
        <v>0</v>
      </c>
      <c r="I413" t="n">
        <v>0</v>
      </c>
      <c r="J413" t="n">
        <v>0</v>
      </c>
      <c r="K413" t="n">
        <v>0</v>
      </c>
      <c r="L413" t="n">
        <v>0</v>
      </c>
      <c r="M413" t="n">
        <v>0</v>
      </c>
      <c r="N413" t="n">
        <v>0</v>
      </c>
      <c r="O413" t="n">
        <v>0</v>
      </c>
      <c r="P413" t="n">
        <v>0</v>
      </c>
      <c r="Q413" t="n">
        <v>0</v>
      </c>
      <c r="R413" s="2" t="inlineStr"/>
    </row>
    <row r="414" ht="15" customHeight="1">
      <c r="A414" t="inlineStr">
        <is>
          <t>A 3521-2025</t>
        </is>
      </c>
      <c r="B414" s="1" t="n">
        <v>45680</v>
      </c>
      <c r="C414" s="1" t="n">
        <v>45894</v>
      </c>
      <c r="D414" t="inlineStr">
        <is>
          <t>JÄMTLANDS LÄN</t>
        </is>
      </c>
      <c r="E414" t="inlineStr">
        <is>
          <t>ÅRE</t>
        </is>
      </c>
      <c r="G414" t="n">
        <v>19.9</v>
      </c>
      <c r="H414" t="n">
        <v>0</v>
      </c>
      <c r="I414" t="n">
        <v>0</v>
      </c>
      <c r="J414" t="n">
        <v>0</v>
      </c>
      <c r="K414" t="n">
        <v>0</v>
      </c>
      <c r="L414" t="n">
        <v>0</v>
      </c>
      <c r="M414" t="n">
        <v>0</v>
      </c>
      <c r="N414" t="n">
        <v>0</v>
      </c>
      <c r="O414" t="n">
        <v>0</v>
      </c>
      <c r="P414" t="n">
        <v>0</v>
      </c>
      <c r="Q414" t="n">
        <v>0</v>
      </c>
      <c r="R414" s="2" t="inlineStr"/>
    </row>
    <row r="415" ht="15" customHeight="1">
      <c r="A415" t="inlineStr">
        <is>
          <t>A 52707-2022</t>
        </is>
      </c>
      <c r="B415" s="1" t="n">
        <v>44874</v>
      </c>
      <c r="C415" s="1" t="n">
        <v>45894</v>
      </c>
      <c r="D415" t="inlineStr">
        <is>
          <t>JÄMTLANDS LÄN</t>
        </is>
      </c>
      <c r="E415" t="inlineStr">
        <is>
          <t>ÅRE</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1112-2025</t>
        </is>
      </c>
      <c r="B416" s="1" t="n">
        <v>45666</v>
      </c>
      <c r="C416" s="1" t="n">
        <v>45894</v>
      </c>
      <c r="D416" t="inlineStr">
        <is>
          <t>JÄMTLANDS LÄN</t>
        </is>
      </c>
      <c r="E416" t="inlineStr">
        <is>
          <t>ÅRE</t>
        </is>
      </c>
      <c r="F416" t="inlineStr">
        <is>
          <t>Övriga Aktiebolag</t>
        </is>
      </c>
      <c r="G416" t="n">
        <v>17.7</v>
      </c>
      <c r="H416" t="n">
        <v>0</v>
      </c>
      <c r="I416" t="n">
        <v>0</v>
      </c>
      <c r="J416" t="n">
        <v>0</v>
      </c>
      <c r="K416" t="n">
        <v>0</v>
      </c>
      <c r="L416" t="n">
        <v>0</v>
      </c>
      <c r="M416" t="n">
        <v>0</v>
      </c>
      <c r="N416" t="n">
        <v>0</v>
      </c>
      <c r="O416" t="n">
        <v>0</v>
      </c>
      <c r="P416" t="n">
        <v>0</v>
      </c>
      <c r="Q416" t="n">
        <v>0</v>
      </c>
      <c r="R416" s="2" t="inlineStr"/>
    </row>
    <row r="417" ht="15" customHeight="1">
      <c r="A417" t="inlineStr">
        <is>
          <t>A 59387-2022</t>
        </is>
      </c>
      <c r="B417" s="1" t="n">
        <v>44905</v>
      </c>
      <c r="C417" s="1" t="n">
        <v>45894</v>
      </c>
      <c r="D417" t="inlineStr">
        <is>
          <t>JÄMTLANDS LÄN</t>
        </is>
      </c>
      <c r="E417" t="inlineStr">
        <is>
          <t>ÅRE</t>
        </is>
      </c>
      <c r="G417" t="n">
        <v>0.6</v>
      </c>
      <c r="H417" t="n">
        <v>0</v>
      </c>
      <c r="I417" t="n">
        <v>0</v>
      </c>
      <c r="J417" t="n">
        <v>0</v>
      </c>
      <c r="K417" t="n">
        <v>0</v>
      </c>
      <c r="L417" t="n">
        <v>0</v>
      </c>
      <c r="M417" t="n">
        <v>0</v>
      </c>
      <c r="N417" t="n">
        <v>0</v>
      </c>
      <c r="O417" t="n">
        <v>0</v>
      </c>
      <c r="P417" t="n">
        <v>0</v>
      </c>
      <c r="Q417" t="n">
        <v>0</v>
      </c>
      <c r="R417" s="2" t="inlineStr"/>
    </row>
    <row r="418" ht="15" customHeight="1">
      <c r="A418" t="inlineStr">
        <is>
          <t>A 45796-2024</t>
        </is>
      </c>
      <c r="B418" s="1" t="n">
        <v>45579.67354166666</v>
      </c>
      <c r="C418" s="1" t="n">
        <v>45894</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32241-2021</t>
        </is>
      </c>
      <c r="B419" s="1" t="n">
        <v>44371</v>
      </c>
      <c r="C419" s="1" t="n">
        <v>45894</v>
      </c>
      <c r="D419" t="inlineStr">
        <is>
          <t>JÄMTLANDS LÄN</t>
        </is>
      </c>
      <c r="E419" t="inlineStr">
        <is>
          <t>ÅRE</t>
        </is>
      </c>
      <c r="G419" t="n">
        <v>2.3</v>
      </c>
      <c r="H419" t="n">
        <v>0</v>
      </c>
      <c r="I419" t="n">
        <v>0</v>
      </c>
      <c r="J419" t="n">
        <v>0</v>
      </c>
      <c r="K419" t="n">
        <v>0</v>
      </c>
      <c r="L419" t="n">
        <v>0</v>
      </c>
      <c r="M419" t="n">
        <v>0</v>
      </c>
      <c r="N419" t="n">
        <v>0</v>
      </c>
      <c r="O419" t="n">
        <v>0</v>
      </c>
      <c r="P419" t="n">
        <v>0</v>
      </c>
      <c r="Q419" t="n">
        <v>0</v>
      </c>
      <c r="R419" s="2" t="inlineStr"/>
    </row>
    <row r="420" ht="15" customHeight="1">
      <c r="A420" t="inlineStr">
        <is>
          <t>A 42136-2022</t>
        </is>
      </c>
      <c r="B420" s="1" t="n">
        <v>44830</v>
      </c>
      <c r="C420" s="1" t="n">
        <v>45894</v>
      </c>
      <c r="D420" t="inlineStr">
        <is>
          <t>JÄMTLANDS LÄN</t>
        </is>
      </c>
      <c r="E420" t="inlineStr">
        <is>
          <t>ÅRE</t>
        </is>
      </c>
      <c r="F420" t="inlineStr">
        <is>
          <t>Bergvik skog öst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52470-2022</t>
        </is>
      </c>
      <c r="B421" s="1" t="n">
        <v>44874.48167824074</v>
      </c>
      <c r="C421" s="1" t="n">
        <v>45894</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60016-2020</t>
        </is>
      </c>
      <c r="B422" s="1" t="n">
        <v>44151</v>
      </c>
      <c r="C422" s="1" t="n">
        <v>45894</v>
      </c>
      <c r="D422" t="inlineStr">
        <is>
          <t>JÄMTLANDS LÄN</t>
        </is>
      </c>
      <c r="E422" t="inlineStr">
        <is>
          <t>ÅRE</t>
        </is>
      </c>
      <c r="G422" t="n">
        <v>14.7</v>
      </c>
      <c r="H422" t="n">
        <v>0</v>
      </c>
      <c r="I422" t="n">
        <v>0</v>
      </c>
      <c r="J422" t="n">
        <v>0</v>
      </c>
      <c r="K422" t="n">
        <v>0</v>
      </c>
      <c r="L422" t="n">
        <v>0</v>
      </c>
      <c r="M422" t="n">
        <v>0</v>
      </c>
      <c r="N422" t="n">
        <v>0</v>
      </c>
      <c r="O422" t="n">
        <v>0</v>
      </c>
      <c r="P422" t="n">
        <v>0</v>
      </c>
      <c r="Q422" t="n">
        <v>0</v>
      </c>
      <c r="R422" s="2" t="inlineStr"/>
    </row>
    <row r="423" ht="15" customHeight="1">
      <c r="A423" t="inlineStr">
        <is>
          <t>A 21905-2021</t>
        </is>
      </c>
      <c r="B423" s="1" t="n">
        <v>44322</v>
      </c>
      <c r="C423" s="1" t="n">
        <v>45894</v>
      </c>
      <c r="D423" t="inlineStr">
        <is>
          <t>JÄMTLANDS LÄN</t>
        </is>
      </c>
      <c r="E423" t="inlineStr">
        <is>
          <t>ÅRE</t>
        </is>
      </c>
      <c r="G423" t="n">
        <v>14.3</v>
      </c>
      <c r="H423" t="n">
        <v>0</v>
      </c>
      <c r="I423" t="n">
        <v>0</v>
      </c>
      <c r="J423" t="n">
        <v>0</v>
      </c>
      <c r="K423" t="n">
        <v>0</v>
      </c>
      <c r="L423" t="n">
        <v>0</v>
      </c>
      <c r="M423" t="n">
        <v>0</v>
      </c>
      <c r="N423" t="n">
        <v>0</v>
      </c>
      <c r="O423" t="n">
        <v>0</v>
      </c>
      <c r="P423" t="n">
        <v>0</v>
      </c>
      <c r="Q423" t="n">
        <v>0</v>
      </c>
      <c r="R423" s="2" t="inlineStr"/>
    </row>
    <row r="424" ht="15" customHeight="1">
      <c r="A424" t="inlineStr">
        <is>
          <t>A 16681-2025</t>
        </is>
      </c>
      <c r="B424" s="1" t="n">
        <v>45754</v>
      </c>
      <c r="C424" s="1" t="n">
        <v>45894</v>
      </c>
      <c r="D424" t="inlineStr">
        <is>
          <t>JÄMTLANDS LÄN</t>
        </is>
      </c>
      <c r="E424" t="inlineStr">
        <is>
          <t>ÅRE</t>
        </is>
      </c>
      <c r="G424" t="n">
        <v>9.9</v>
      </c>
      <c r="H424" t="n">
        <v>0</v>
      </c>
      <c r="I424" t="n">
        <v>0</v>
      </c>
      <c r="J424" t="n">
        <v>0</v>
      </c>
      <c r="K424" t="n">
        <v>0</v>
      </c>
      <c r="L424" t="n">
        <v>0</v>
      </c>
      <c r="M424" t="n">
        <v>0</v>
      </c>
      <c r="N424" t="n">
        <v>0</v>
      </c>
      <c r="O424" t="n">
        <v>0</v>
      </c>
      <c r="P424" t="n">
        <v>0</v>
      </c>
      <c r="Q424" t="n">
        <v>0</v>
      </c>
      <c r="R424" s="2" t="inlineStr"/>
    </row>
    <row r="425" ht="15" customHeight="1">
      <c r="A425" t="inlineStr">
        <is>
          <t>A 54615-2022</t>
        </is>
      </c>
      <c r="B425" s="1" t="n">
        <v>44883.36125</v>
      </c>
      <c r="C425" s="1" t="n">
        <v>45894</v>
      </c>
      <c r="D425" t="inlineStr">
        <is>
          <t>JÄMTLANDS LÄN</t>
        </is>
      </c>
      <c r="E425" t="inlineStr">
        <is>
          <t>ÅRE</t>
        </is>
      </c>
      <c r="F425" t="inlineStr">
        <is>
          <t>Övriga Aktiebolag</t>
        </is>
      </c>
      <c r="G425" t="n">
        <v>5.1</v>
      </c>
      <c r="H425" t="n">
        <v>0</v>
      </c>
      <c r="I425" t="n">
        <v>0</v>
      </c>
      <c r="J425" t="n">
        <v>0</v>
      </c>
      <c r="K425" t="n">
        <v>0</v>
      </c>
      <c r="L425" t="n">
        <v>0</v>
      </c>
      <c r="M425" t="n">
        <v>0</v>
      </c>
      <c r="N425" t="n">
        <v>0</v>
      </c>
      <c r="O425" t="n">
        <v>0</v>
      </c>
      <c r="P425" t="n">
        <v>0</v>
      </c>
      <c r="Q425" t="n">
        <v>0</v>
      </c>
      <c r="R425" s="2" t="inlineStr"/>
    </row>
    <row r="426" ht="15" customHeight="1">
      <c r="A426" t="inlineStr">
        <is>
          <t>A 23561-2021</t>
        </is>
      </c>
      <c r="B426" s="1" t="n">
        <v>44334</v>
      </c>
      <c r="C426" s="1" t="n">
        <v>45894</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33117-2023</t>
        </is>
      </c>
      <c r="B427" s="1" t="n">
        <v>45126</v>
      </c>
      <c r="C427" s="1" t="n">
        <v>45894</v>
      </c>
      <c r="D427" t="inlineStr">
        <is>
          <t>JÄMTLANDS LÄN</t>
        </is>
      </c>
      <c r="E427" t="inlineStr">
        <is>
          <t>ÅRE</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59916-2023</t>
        </is>
      </c>
      <c r="B428" s="1" t="n">
        <v>45257.64270833333</v>
      </c>
      <c r="C428" s="1" t="n">
        <v>45894</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17095-2025</t>
        </is>
      </c>
      <c r="B429" s="1" t="n">
        <v>45755</v>
      </c>
      <c r="C429" s="1" t="n">
        <v>45894</v>
      </c>
      <c r="D429" t="inlineStr">
        <is>
          <t>JÄMTLANDS LÄN</t>
        </is>
      </c>
      <c r="E429" t="inlineStr">
        <is>
          <t>ÅRE</t>
        </is>
      </c>
      <c r="G429" t="n">
        <v>6.3</v>
      </c>
      <c r="H429" t="n">
        <v>0</v>
      </c>
      <c r="I429" t="n">
        <v>0</v>
      </c>
      <c r="J429" t="n">
        <v>0</v>
      </c>
      <c r="K429" t="n">
        <v>0</v>
      </c>
      <c r="L429" t="n">
        <v>0</v>
      </c>
      <c r="M429" t="n">
        <v>0</v>
      </c>
      <c r="N429" t="n">
        <v>0</v>
      </c>
      <c r="O429" t="n">
        <v>0</v>
      </c>
      <c r="P429" t="n">
        <v>0</v>
      </c>
      <c r="Q429" t="n">
        <v>0</v>
      </c>
      <c r="R429" s="2" t="inlineStr"/>
    </row>
    <row r="430" ht="15" customHeight="1">
      <c r="A430" t="inlineStr">
        <is>
          <t>A 25275-2025</t>
        </is>
      </c>
      <c r="B430" s="1" t="n">
        <v>45800.55372685185</v>
      </c>
      <c r="C430" s="1" t="n">
        <v>45894</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1529-2025</t>
        </is>
      </c>
      <c r="B431" s="1" t="n">
        <v>45670</v>
      </c>
      <c r="C431" s="1" t="n">
        <v>45894</v>
      </c>
      <c r="D431" t="inlineStr">
        <is>
          <t>JÄMTLANDS LÄN</t>
        </is>
      </c>
      <c r="E431" t="inlineStr">
        <is>
          <t>ÅRE</t>
        </is>
      </c>
      <c r="G431" t="n">
        <v>13.3</v>
      </c>
      <c r="H431" t="n">
        <v>0</v>
      </c>
      <c r="I431" t="n">
        <v>0</v>
      </c>
      <c r="J431" t="n">
        <v>0</v>
      </c>
      <c r="K431" t="n">
        <v>0</v>
      </c>
      <c r="L431" t="n">
        <v>0</v>
      </c>
      <c r="M431" t="n">
        <v>0</v>
      </c>
      <c r="N431" t="n">
        <v>0</v>
      </c>
      <c r="O431" t="n">
        <v>0</v>
      </c>
      <c r="P431" t="n">
        <v>0</v>
      </c>
      <c r="Q431" t="n">
        <v>0</v>
      </c>
      <c r="R431" s="2" t="inlineStr"/>
    </row>
    <row r="432" ht="15" customHeight="1">
      <c r="A432" t="inlineStr">
        <is>
          <t>A 12288-2023</t>
        </is>
      </c>
      <c r="B432" s="1" t="n">
        <v>44998.73143518518</v>
      </c>
      <c r="C432" s="1" t="n">
        <v>45894</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1541-2025</t>
        </is>
      </c>
      <c r="B433" s="1" t="n">
        <v>45670</v>
      </c>
      <c r="C433" s="1" t="n">
        <v>45894</v>
      </c>
      <c r="D433" t="inlineStr">
        <is>
          <t>JÄMTLANDS LÄN</t>
        </is>
      </c>
      <c r="E433" t="inlineStr">
        <is>
          <t>ÅRE</t>
        </is>
      </c>
      <c r="G433" t="n">
        <v>16.4</v>
      </c>
      <c r="H433" t="n">
        <v>0</v>
      </c>
      <c r="I433" t="n">
        <v>0</v>
      </c>
      <c r="J433" t="n">
        <v>0</v>
      </c>
      <c r="K433" t="n">
        <v>0</v>
      </c>
      <c r="L433" t="n">
        <v>0</v>
      </c>
      <c r="M433" t="n">
        <v>0</v>
      </c>
      <c r="N433" t="n">
        <v>0</v>
      </c>
      <c r="O433" t="n">
        <v>0</v>
      </c>
      <c r="P433" t="n">
        <v>0</v>
      </c>
      <c r="Q433" t="n">
        <v>0</v>
      </c>
      <c r="R433" s="2" t="inlineStr"/>
    </row>
    <row r="434" ht="15" customHeight="1">
      <c r="A434" t="inlineStr">
        <is>
          <t>A 16667-2025</t>
        </is>
      </c>
      <c r="B434" s="1" t="n">
        <v>45754</v>
      </c>
      <c r="C434" s="1" t="n">
        <v>45894</v>
      </c>
      <c r="D434" t="inlineStr">
        <is>
          <t>JÄMTLANDS LÄN</t>
        </is>
      </c>
      <c r="E434" t="inlineStr">
        <is>
          <t>ÅRE</t>
        </is>
      </c>
      <c r="G434" t="n">
        <v>9.5</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45894</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61566-2021</t>
        </is>
      </c>
      <c r="B436" s="1" t="n">
        <v>44496</v>
      </c>
      <c r="C436" s="1" t="n">
        <v>45894</v>
      </c>
      <c r="D436" t="inlineStr">
        <is>
          <t>JÄMTLANDS LÄN</t>
        </is>
      </c>
      <c r="E436" t="inlineStr">
        <is>
          <t>ÅRE</t>
        </is>
      </c>
      <c r="F436" t="inlineStr">
        <is>
          <t>Övriga statliga verk och myndigheter</t>
        </is>
      </c>
      <c r="G436" t="n">
        <v>10.9</v>
      </c>
      <c r="H436" t="n">
        <v>0</v>
      </c>
      <c r="I436" t="n">
        <v>0</v>
      </c>
      <c r="J436" t="n">
        <v>0</v>
      </c>
      <c r="K436" t="n">
        <v>0</v>
      </c>
      <c r="L436" t="n">
        <v>0</v>
      </c>
      <c r="M436" t="n">
        <v>0</v>
      </c>
      <c r="N436" t="n">
        <v>0</v>
      </c>
      <c r="O436" t="n">
        <v>0</v>
      </c>
      <c r="P436" t="n">
        <v>0</v>
      </c>
      <c r="Q436" t="n">
        <v>0</v>
      </c>
      <c r="R436" s="2" t="inlineStr"/>
    </row>
    <row r="437" ht="15" customHeight="1">
      <c r="A437" t="inlineStr">
        <is>
          <t>A 29177-2024</t>
        </is>
      </c>
      <c r="B437" s="1" t="n">
        <v>45482.53859953704</v>
      </c>
      <c r="C437" s="1" t="n">
        <v>45894</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4272-2025</t>
        </is>
      </c>
      <c r="B438" s="1" t="n">
        <v>45685</v>
      </c>
      <c r="C438" s="1" t="n">
        <v>45894</v>
      </c>
      <c r="D438" t="inlineStr">
        <is>
          <t>JÄMTLANDS LÄN</t>
        </is>
      </c>
      <c r="E438" t="inlineStr">
        <is>
          <t>ÅRE</t>
        </is>
      </c>
      <c r="F438" t="inlineStr">
        <is>
          <t>Övriga Aktiebolag</t>
        </is>
      </c>
      <c r="G438" t="n">
        <v>16.6</v>
      </c>
      <c r="H438" t="n">
        <v>0</v>
      </c>
      <c r="I438" t="n">
        <v>0</v>
      </c>
      <c r="J438" t="n">
        <v>0</v>
      </c>
      <c r="K438" t="n">
        <v>0</v>
      </c>
      <c r="L438" t="n">
        <v>0</v>
      </c>
      <c r="M438" t="n">
        <v>0</v>
      </c>
      <c r="N438" t="n">
        <v>0</v>
      </c>
      <c r="O438" t="n">
        <v>0</v>
      </c>
      <c r="P438" t="n">
        <v>0</v>
      </c>
      <c r="Q438" t="n">
        <v>0</v>
      </c>
      <c r="R438" s="2" t="inlineStr"/>
    </row>
    <row r="439" ht="15" customHeight="1">
      <c r="A439" t="inlineStr">
        <is>
          <t>A 25379-2024</t>
        </is>
      </c>
      <c r="B439" s="1" t="n">
        <v>45462</v>
      </c>
      <c r="C439" s="1" t="n">
        <v>45894</v>
      </c>
      <c r="D439" t="inlineStr">
        <is>
          <t>JÄMTLANDS LÄN</t>
        </is>
      </c>
      <c r="E439" t="inlineStr">
        <is>
          <t>ÅRE</t>
        </is>
      </c>
      <c r="G439" t="n">
        <v>4.5</v>
      </c>
      <c r="H439" t="n">
        <v>0</v>
      </c>
      <c r="I439" t="n">
        <v>0</v>
      </c>
      <c r="J439" t="n">
        <v>0</v>
      </c>
      <c r="K439" t="n">
        <v>0</v>
      </c>
      <c r="L439" t="n">
        <v>0</v>
      </c>
      <c r="M439" t="n">
        <v>0</v>
      </c>
      <c r="N439" t="n">
        <v>0</v>
      </c>
      <c r="O439" t="n">
        <v>0</v>
      </c>
      <c r="P439" t="n">
        <v>0</v>
      </c>
      <c r="Q439" t="n">
        <v>0</v>
      </c>
      <c r="R439" s="2" t="inlineStr"/>
    </row>
    <row r="440" ht="15" customHeight="1">
      <c r="A440" t="inlineStr">
        <is>
          <t>A 45834-2024</t>
        </is>
      </c>
      <c r="B440" s="1" t="n">
        <v>45579.91509259259</v>
      </c>
      <c r="C440" s="1" t="n">
        <v>45894</v>
      </c>
      <c r="D440" t="inlineStr">
        <is>
          <t>JÄMTLANDS LÄN</t>
        </is>
      </c>
      <c r="E440" t="inlineStr">
        <is>
          <t>ÅRE</t>
        </is>
      </c>
      <c r="G440" t="n">
        <v>3.9</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45894</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7573-2023</t>
        </is>
      </c>
      <c r="B442" s="1" t="n">
        <v>44967</v>
      </c>
      <c r="C442" s="1" t="n">
        <v>45894</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68537-2020</t>
        </is>
      </c>
      <c r="B443" s="1" t="n">
        <v>44186</v>
      </c>
      <c r="C443" s="1" t="n">
        <v>45894</v>
      </c>
      <c r="D443" t="inlineStr">
        <is>
          <t>JÄMTLANDS LÄN</t>
        </is>
      </c>
      <c r="E443" t="inlineStr">
        <is>
          <t>ÅRE</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68545-2020</t>
        </is>
      </c>
      <c r="B444" s="1" t="n">
        <v>44186</v>
      </c>
      <c r="C444" s="1" t="n">
        <v>45894</v>
      </c>
      <c r="D444" t="inlineStr">
        <is>
          <t>JÄMTLANDS LÄN</t>
        </is>
      </c>
      <c r="E444" t="inlineStr">
        <is>
          <t>ÅRE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5651-2023</t>
        </is>
      </c>
      <c r="B445" s="1" t="n">
        <v>44958</v>
      </c>
      <c r="C445" s="1" t="n">
        <v>45894</v>
      </c>
      <c r="D445" t="inlineStr">
        <is>
          <t>JÄMTLANDS LÄN</t>
        </is>
      </c>
      <c r="E445" t="inlineStr">
        <is>
          <t>ÅRE</t>
        </is>
      </c>
      <c r="G445" t="n">
        <v>5.7</v>
      </c>
      <c r="H445" t="n">
        <v>0</v>
      </c>
      <c r="I445" t="n">
        <v>0</v>
      </c>
      <c r="J445" t="n">
        <v>0</v>
      </c>
      <c r="K445" t="n">
        <v>0</v>
      </c>
      <c r="L445" t="n">
        <v>0</v>
      </c>
      <c r="M445" t="n">
        <v>0</v>
      </c>
      <c r="N445" t="n">
        <v>0</v>
      </c>
      <c r="O445" t="n">
        <v>0</v>
      </c>
      <c r="P445" t="n">
        <v>0</v>
      </c>
      <c r="Q445" t="n">
        <v>0</v>
      </c>
      <c r="R445" s="2" t="inlineStr"/>
    </row>
    <row r="446" ht="15" customHeight="1">
      <c r="A446" t="inlineStr">
        <is>
          <t>A 43342-2024</t>
        </is>
      </c>
      <c r="B446" s="1" t="n">
        <v>45568.55114583333</v>
      </c>
      <c r="C446" s="1" t="n">
        <v>45894</v>
      </c>
      <c r="D446" t="inlineStr">
        <is>
          <t>JÄMTLANDS LÄN</t>
        </is>
      </c>
      <c r="E446" t="inlineStr">
        <is>
          <t>ÅRE</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13039-2024</t>
        </is>
      </c>
      <c r="B447" s="1" t="n">
        <v>45385</v>
      </c>
      <c r="C447" s="1" t="n">
        <v>45894</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46976-2024</t>
        </is>
      </c>
      <c r="B448" s="1" t="n">
        <v>45586</v>
      </c>
      <c r="C448" s="1" t="n">
        <v>45894</v>
      </c>
      <c r="D448" t="inlineStr">
        <is>
          <t>JÄMTLANDS LÄN</t>
        </is>
      </c>
      <c r="E448" t="inlineStr">
        <is>
          <t>ÅRE</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34538-2023</t>
        </is>
      </c>
      <c r="B449" s="1" t="n">
        <v>45134</v>
      </c>
      <c r="C449" s="1" t="n">
        <v>45894</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36219-2022</t>
        </is>
      </c>
      <c r="B450" s="1" t="n">
        <v>44803</v>
      </c>
      <c r="C450" s="1" t="n">
        <v>45894</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38268-2024</t>
        </is>
      </c>
      <c r="B451" s="1" t="n">
        <v>45545.59842592593</v>
      </c>
      <c r="C451" s="1" t="n">
        <v>45894</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60962-2023</t>
        </is>
      </c>
      <c r="B452" s="1" t="n">
        <v>45261.46787037037</v>
      </c>
      <c r="C452" s="1" t="n">
        <v>45894</v>
      </c>
      <c r="D452" t="inlineStr">
        <is>
          <t>JÄMTLANDS LÄN</t>
        </is>
      </c>
      <c r="E452" t="inlineStr">
        <is>
          <t>ÅRE</t>
        </is>
      </c>
      <c r="G452" t="n">
        <v>3.2</v>
      </c>
      <c r="H452" t="n">
        <v>0</v>
      </c>
      <c r="I452" t="n">
        <v>0</v>
      </c>
      <c r="J452" t="n">
        <v>0</v>
      </c>
      <c r="K452" t="n">
        <v>0</v>
      </c>
      <c r="L452" t="n">
        <v>0</v>
      </c>
      <c r="M452" t="n">
        <v>0</v>
      </c>
      <c r="N452" t="n">
        <v>0</v>
      </c>
      <c r="O452" t="n">
        <v>0</v>
      </c>
      <c r="P452" t="n">
        <v>0</v>
      </c>
      <c r="Q452" t="n">
        <v>0</v>
      </c>
      <c r="R452" s="2" t="inlineStr"/>
    </row>
    <row r="453" ht="15" customHeight="1">
      <c r="A453" t="inlineStr">
        <is>
          <t>A 60973-2023</t>
        </is>
      </c>
      <c r="B453" s="1" t="n">
        <v>45261.47321759259</v>
      </c>
      <c r="C453" s="1" t="n">
        <v>45894</v>
      </c>
      <c r="D453" t="inlineStr">
        <is>
          <t>JÄMTLANDS LÄN</t>
        </is>
      </c>
      <c r="E453" t="inlineStr">
        <is>
          <t>ÅRE</t>
        </is>
      </c>
      <c r="G453" t="n">
        <v>3.1</v>
      </c>
      <c r="H453" t="n">
        <v>0</v>
      </c>
      <c r="I453" t="n">
        <v>0</v>
      </c>
      <c r="J453" t="n">
        <v>0</v>
      </c>
      <c r="K453" t="n">
        <v>0</v>
      </c>
      <c r="L453" t="n">
        <v>0</v>
      </c>
      <c r="M453" t="n">
        <v>0</v>
      </c>
      <c r="N453" t="n">
        <v>0</v>
      </c>
      <c r="O453" t="n">
        <v>0</v>
      </c>
      <c r="P453" t="n">
        <v>0</v>
      </c>
      <c r="Q453" t="n">
        <v>0</v>
      </c>
      <c r="R453" s="2" t="inlineStr"/>
    </row>
    <row r="454" ht="15" customHeight="1">
      <c r="A454" t="inlineStr">
        <is>
          <t>A 54904-2022</t>
        </is>
      </c>
      <c r="B454" s="1" t="n">
        <v>44886</v>
      </c>
      <c r="C454" s="1" t="n">
        <v>45894</v>
      </c>
      <c r="D454" t="inlineStr">
        <is>
          <t>JÄMTLANDS LÄN</t>
        </is>
      </c>
      <c r="E454" t="inlineStr">
        <is>
          <t>ÅRE</t>
        </is>
      </c>
      <c r="F454" t="inlineStr">
        <is>
          <t>Övriga Aktiebolag</t>
        </is>
      </c>
      <c r="G454" t="n">
        <v>12.2</v>
      </c>
      <c r="H454" t="n">
        <v>0</v>
      </c>
      <c r="I454" t="n">
        <v>0</v>
      </c>
      <c r="J454" t="n">
        <v>0</v>
      </c>
      <c r="K454" t="n">
        <v>0</v>
      </c>
      <c r="L454" t="n">
        <v>0</v>
      </c>
      <c r="M454" t="n">
        <v>0</v>
      </c>
      <c r="N454" t="n">
        <v>0</v>
      </c>
      <c r="O454" t="n">
        <v>0</v>
      </c>
      <c r="P454" t="n">
        <v>0</v>
      </c>
      <c r="Q454" t="n">
        <v>0</v>
      </c>
      <c r="R454" s="2" t="inlineStr"/>
    </row>
    <row r="455" ht="15" customHeight="1">
      <c r="A455" t="inlineStr">
        <is>
          <t>A 25267-2025</t>
        </is>
      </c>
      <c r="B455" s="1" t="n">
        <v>45800.54049768519</v>
      </c>
      <c r="C455" s="1" t="n">
        <v>45894</v>
      </c>
      <c r="D455" t="inlineStr">
        <is>
          <t>JÄMTLANDS LÄN</t>
        </is>
      </c>
      <c r="E455" t="inlineStr">
        <is>
          <t>ÅRE</t>
        </is>
      </c>
      <c r="G455" t="n">
        <v>8.1</v>
      </c>
      <c r="H455" t="n">
        <v>0</v>
      </c>
      <c r="I455" t="n">
        <v>0</v>
      </c>
      <c r="J455" t="n">
        <v>0</v>
      </c>
      <c r="K455" t="n">
        <v>0</v>
      </c>
      <c r="L455" t="n">
        <v>0</v>
      </c>
      <c r="M455" t="n">
        <v>0</v>
      </c>
      <c r="N455" t="n">
        <v>0</v>
      </c>
      <c r="O455" t="n">
        <v>0</v>
      </c>
      <c r="P455" t="n">
        <v>0</v>
      </c>
      <c r="Q455" t="n">
        <v>0</v>
      </c>
      <c r="R455" s="2" t="inlineStr"/>
    </row>
    <row r="456" ht="15" customHeight="1">
      <c r="A456" t="inlineStr">
        <is>
          <t>A 59352-2021</t>
        </is>
      </c>
      <c r="B456" s="1" t="n">
        <v>44490</v>
      </c>
      <c r="C456" s="1" t="n">
        <v>45894</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6113-2024</t>
        </is>
      </c>
      <c r="B457" s="1" t="n">
        <v>45337</v>
      </c>
      <c r="C457" s="1" t="n">
        <v>45894</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58882-2022</t>
        </is>
      </c>
      <c r="B458" s="1" t="n">
        <v>44896</v>
      </c>
      <c r="C458" s="1" t="n">
        <v>45894</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5460-2023</t>
        </is>
      </c>
      <c r="B459" s="1" t="n">
        <v>44960</v>
      </c>
      <c r="C459" s="1" t="n">
        <v>45894</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57158-2021</t>
        </is>
      </c>
      <c r="B460" s="1" t="n">
        <v>44482</v>
      </c>
      <c r="C460" s="1" t="n">
        <v>45894</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3263-2023</t>
        </is>
      </c>
      <c r="B461" s="1" t="n">
        <v>44948.98751157407</v>
      </c>
      <c r="C461" s="1" t="n">
        <v>45894</v>
      </c>
      <c r="D461" t="inlineStr">
        <is>
          <t>JÄMTLANDS LÄN</t>
        </is>
      </c>
      <c r="E461" t="inlineStr">
        <is>
          <t>ÅRE</t>
        </is>
      </c>
      <c r="G461" t="n">
        <v>1.7</v>
      </c>
      <c r="H461" t="n">
        <v>0</v>
      </c>
      <c r="I461" t="n">
        <v>0</v>
      </c>
      <c r="J461" t="n">
        <v>0</v>
      </c>
      <c r="K461" t="n">
        <v>0</v>
      </c>
      <c r="L461" t="n">
        <v>0</v>
      </c>
      <c r="M461" t="n">
        <v>0</v>
      </c>
      <c r="N461" t="n">
        <v>0</v>
      </c>
      <c r="O461" t="n">
        <v>0</v>
      </c>
      <c r="P461" t="n">
        <v>0</v>
      </c>
      <c r="Q461" t="n">
        <v>0</v>
      </c>
      <c r="R461" s="2" t="inlineStr"/>
    </row>
    <row r="462" ht="15" customHeight="1">
      <c r="A462" t="inlineStr">
        <is>
          <t>A 43446-2023</t>
        </is>
      </c>
      <c r="B462" s="1" t="n">
        <v>45184.35760416667</v>
      </c>
      <c r="C462" s="1" t="n">
        <v>45894</v>
      </c>
      <c r="D462" t="inlineStr">
        <is>
          <t>JÄMTLANDS LÄN</t>
        </is>
      </c>
      <c r="E462" t="inlineStr">
        <is>
          <t>ÅRE</t>
        </is>
      </c>
      <c r="F462" t="inlineStr">
        <is>
          <t>Övriga Aktiebolag</t>
        </is>
      </c>
      <c r="G462" t="n">
        <v>6.4</v>
      </c>
      <c r="H462" t="n">
        <v>0</v>
      </c>
      <c r="I462" t="n">
        <v>0</v>
      </c>
      <c r="J462" t="n">
        <v>0</v>
      </c>
      <c r="K462" t="n">
        <v>0</v>
      </c>
      <c r="L462" t="n">
        <v>0</v>
      </c>
      <c r="M462" t="n">
        <v>0</v>
      </c>
      <c r="N462" t="n">
        <v>0</v>
      </c>
      <c r="O462" t="n">
        <v>0</v>
      </c>
      <c r="P462" t="n">
        <v>0</v>
      </c>
      <c r="Q462" t="n">
        <v>0</v>
      </c>
      <c r="R462" s="2" t="inlineStr"/>
    </row>
    <row r="463" ht="15" customHeight="1">
      <c r="A463" t="inlineStr">
        <is>
          <t>A 26722-2021</t>
        </is>
      </c>
      <c r="B463" s="1" t="n">
        <v>44349</v>
      </c>
      <c r="C463" s="1" t="n">
        <v>45894</v>
      </c>
      <c r="D463" t="inlineStr">
        <is>
          <t>JÄMTLANDS LÄN</t>
        </is>
      </c>
      <c r="E463" t="inlineStr">
        <is>
          <t>ÅRE</t>
        </is>
      </c>
      <c r="G463" t="n">
        <v>11.4</v>
      </c>
      <c r="H463" t="n">
        <v>0</v>
      </c>
      <c r="I463" t="n">
        <v>0</v>
      </c>
      <c r="J463" t="n">
        <v>0</v>
      </c>
      <c r="K463" t="n">
        <v>0</v>
      </c>
      <c r="L463" t="n">
        <v>0</v>
      </c>
      <c r="M463" t="n">
        <v>0</v>
      </c>
      <c r="N463" t="n">
        <v>0</v>
      </c>
      <c r="O463" t="n">
        <v>0</v>
      </c>
      <c r="P463" t="n">
        <v>0</v>
      </c>
      <c r="Q463" t="n">
        <v>0</v>
      </c>
      <c r="R463" s="2" t="inlineStr"/>
    </row>
    <row r="464" ht="15" customHeight="1">
      <c r="A464" t="inlineStr">
        <is>
          <t>A 45161-2024</t>
        </is>
      </c>
      <c r="B464" s="1" t="n">
        <v>45575.64982638889</v>
      </c>
      <c r="C464" s="1" t="n">
        <v>45894</v>
      </c>
      <c r="D464" t="inlineStr">
        <is>
          <t>JÄMTLANDS LÄN</t>
        </is>
      </c>
      <c r="E464" t="inlineStr">
        <is>
          <t>ÅRE</t>
        </is>
      </c>
      <c r="G464" t="n">
        <v>6.9</v>
      </c>
      <c r="H464" t="n">
        <v>0</v>
      </c>
      <c r="I464" t="n">
        <v>0</v>
      </c>
      <c r="J464" t="n">
        <v>0</v>
      </c>
      <c r="K464" t="n">
        <v>0</v>
      </c>
      <c r="L464" t="n">
        <v>0</v>
      </c>
      <c r="M464" t="n">
        <v>0</v>
      </c>
      <c r="N464" t="n">
        <v>0</v>
      </c>
      <c r="O464" t="n">
        <v>0</v>
      </c>
      <c r="P464" t="n">
        <v>0</v>
      </c>
      <c r="Q464" t="n">
        <v>0</v>
      </c>
      <c r="R464" s="2" t="inlineStr"/>
    </row>
    <row r="465" ht="15" customHeight="1">
      <c r="A465" t="inlineStr">
        <is>
          <t>A 53500-2024</t>
        </is>
      </c>
      <c r="B465" s="1" t="n">
        <v>45614</v>
      </c>
      <c r="C465" s="1" t="n">
        <v>45894</v>
      </c>
      <c r="D465" t="inlineStr">
        <is>
          <t>JÄMTLANDS LÄN</t>
        </is>
      </c>
      <c r="E465" t="inlineStr">
        <is>
          <t>ÅRE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36015-2025</t>
        </is>
      </c>
      <c r="B466" s="1" t="n">
        <v>45863.61373842593</v>
      </c>
      <c r="C466" s="1" t="n">
        <v>45894</v>
      </c>
      <c r="D466" t="inlineStr">
        <is>
          <t>JÄMTLANDS LÄN</t>
        </is>
      </c>
      <c r="E466" t="inlineStr">
        <is>
          <t>ÅRE</t>
        </is>
      </c>
      <c r="G466" t="n">
        <v>0.7</v>
      </c>
      <c r="H466" t="n">
        <v>0</v>
      </c>
      <c r="I466" t="n">
        <v>0</v>
      </c>
      <c r="J466" t="n">
        <v>0</v>
      </c>
      <c r="K466" t="n">
        <v>0</v>
      </c>
      <c r="L466" t="n">
        <v>0</v>
      </c>
      <c r="M466" t="n">
        <v>0</v>
      </c>
      <c r="N466" t="n">
        <v>0</v>
      </c>
      <c r="O466" t="n">
        <v>0</v>
      </c>
      <c r="P466" t="n">
        <v>0</v>
      </c>
      <c r="Q466" t="n">
        <v>0</v>
      </c>
      <c r="R466" s="2" t="inlineStr"/>
    </row>
    <row r="467" ht="15" customHeight="1">
      <c r="A467" t="inlineStr">
        <is>
          <t>A 36013-2025</t>
        </is>
      </c>
      <c r="B467" s="1" t="n">
        <v>45863.60643518518</v>
      </c>
      <c r="C467" s="1" t="n">
        <v>45894</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40339-2021</t>
        </is>
      </c>
      <c r="B468" s="1" t="n">
        <v>44419</v>
      </c>
      <c r="C468" s="1" t="n">
        <v>45894</v>
      </c>
      <c r="D468" t="inlineStr">
        <is>
          <t>JÄMTLANDS LÄN</t>
        </is>
      </c>
      <c r="E468" t="inlineStr">
        <is>
          <t>ÅRE</t>
        </is>
      </c>
      <c r="G468" t="n">
        <v>6.4</v>
      </c>
      <c r="H468" t="n">
        <v>0</v>
      </c>
      <c r="I468" t="n">
        <v>0</v>
      </c>
      <c r="J468" t="n">
        <v>0</v>
      </c>
      <c r="K468" t="n">
        <v>0</v>
      </c>
      <c r="L468" t="n">
        <v>0</v>
      </c>
      <c r="M468" t="n">
        <v>0</v>
      </c>
      <c r="N468" t="n">
        <v>0</v>
      </c>
      <c r="O468" t="n">
        <v>0</v>
      </c>
      <c r="P468" t="n">
        <v>0</v>
      </c>
      <c r="Q468" t="n">
        <v>0</v>
      </c>
      <c r="R468" s="2" t="inlineStr"/>
    </row>
    <row r="469" ht="15" customHeight="1">
      <c r="A469" t="inlineStr">
        <is>
          <t>A 56352-2020</t>
        </is>
      </c>
      <c r="B469" s="1" t="n">
        <v>44135</v>
      </c>
      <c r="C469" s="1" t="n">
        <v>45894</v>
      </c>
      <c r="D469" t="inlineStr">
        <is>
          <t>JÄMTLANDS LÄN</t>
        </is>
      </c>
      <c r="E469" t="inlineStr">
        <is>
          <t>ÅRE</t>
        </is>
      </c>
      <c r="G469" t="n">
        <v>95.09999999999999</v>
      </c>
      <c r="H469" t="n">
        <v>0</v>
      </c>
      <c r="I469" t="n">
        <v>0</v>
      </c>
      <c r="J469" t="n">
        <v>0</v>
      </c>
      <c r="K469" t="n">
        <v>0</v>
      </c>
      <c r="L469" t="n">
        <v>0</v>
      </c>
      <c r="M469" t="n">
        <v>0</v>
      </c>
      <c r="N469" t="n">
        <v>0</v>
      </c>
      <c r="O469" t="n">
        <v>0</v>
      </c>
      <c r="P469" t="n">
        <v>0</v>
      </c>
      <c r="Q469" t="n">
        <v>0</v>
      </c>
      <c r="R469" s="2" t="inlineStr"/>
    </row>
    <row r="470" ht="15" customHeight="1">
      <c r="A470" t="inlineStr">
        <is>
          <t>A 66790-2020</t>
        </is>
      </c>
      <c r="B470" s="1" t="n">
        <v>44179</v>
      </c>
      <c r="C470" s="1" t="n">
        <v>45894</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376-2024</t>
        </is>
      </c>
      <c r="B471" s="1" t="n">
        <v>45296</v>
      </c>
      <c r="C471" s="1" t="n">
        <v>45894</v>
      </c>
      <c r="D471" t="inlineStr">
        <is>
          <t>JÄMTLANDS LÄN</t>
        </is>
      </c>
      <c r="E471" t="inlineStr">
        <is>
          <t>ÅRE</t>
        </is>
      </c>
      <c r="F471" t="inlineStr">
        <is>
          <t>Kyrkan</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49702-2024</t>
        </is>
      </c>
      <c r="B472" s="1" t="n">
        <v>45596</v>
      </c>
      <c r="C472" s="1" t="n">
        <v>45894</v>
      </c>
      <c r="D472" t="inlineStr">
        <is>
          <t>JÄMTLANDS LÄN</t>
        </is>
      </c>
      <c r="E472" t="inlineStr">
        <is>
          <t>ÅRE</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61295-2023</t>
        </is>
      </c>
      <c r="B473" s="1" t="n">
        <v>45264</v>
      </c>
      <c r="C473" s="1" t="n">
        <v>45894</v>
      </c>
      <c r="D473" t="inlineStr">
        <is>
          <t>JÄMTLANDS LÄN</t>
        </is>
      </c>
      <c r="E473" t="inlineStr">
        <is>
          <t>ÅRE</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47076-2024</t>
        </is>
      </c>
      <c r="B474" s="1" t="n">
        <v>45586.50180555556</v>
      </c>
      <c r="C474" s="1" t="n">
        <v>45894</v>
      </c>
      <c r="D474" t="inlineStr">
        <is>
          <t>JÄMTLANDS LÄN</t>
        </is>
      </c>
      <c r="E474" t="inlineStr">
        <is>
          <t>ÅRE</t>
        </is>
      </c>
      <c r="G474" t="n">
        <v>6.5</v>
      </c>
      <c r="H474" t="n">
        <v>0</v>
      </c>
      <c r="I474" t="n">
        <v>0</v>
      </c>
      <c r="J474" t="n">
        <v>0</v>
      </c>
      <c r="K474" t="n">
        <v>0</v>
      </c>
      <c r="L474" t="n">
        <v>0</v>
      </c>
      <c r="M474" t="n">
        <v>0</v>
      </c>
      <c r="N474" t="n">
        <v>0</v>
      </c>
      <c r="O474" t="n">
        <v>0</v>
      </c>
      <c r="P474" t="n">
        <v>0</v>
      </c>
      <c r="Q474" t="n">
        <v>0</v>
      </c>
      <c r="R474" s="2" t="inlineStr"/>
    </row>
    <row r="475" ht="15" customHeight="1">
      <c r="A475" t="inlineStr">
        <is>
          <t>A 3204-2023</t>
        </is>
      </c>
      <c r="B475" s="1" t="n">
        <v>44946</v>
      </c>
      <c r="C475" s="1" t="n">
        <v>45894</v>
      </c>
      <c r="D475" t="inlineStr">
        <is>
          <t>JÄMTLANDS LÄN</t>
        </is>
      </c>
      <c r="E475" t="inlineStr">
        <is>
          <t>ÅRE</t>
        </is>
      </c>
      <c r="G475" t="n">
        <v>1.9</v>
      </c>
      <c r="H475" t="n">
        <v>0</v>
      </c>
      <c r="I475" t="n">
        <v>0</v>
      </c>
      <c r="J475" t="n">
        <v>0</v>
      </c>
      <c r="K475" t="n">
        <v>0</v>
      </c>
      <c r="L475" t="n">
        <v>0</v>
      </c>
      <c r="M475" t="n">
        <v>0</v>
      </c>
      <c r="N475" t="n">
        <v>0</v>
      </c>
      <c r="O475" t="n">
        <v>0</v>
      </c>
      <c r="P475" t="n">
        <v>0</v>
      </c>
      <c r="Q475" t="n">
        <v>0</v>
      </c>
      <c r="R475" s="2" t="inlineStr"/>
    </row>
    <row r="476" ht="15" customHeight="1">
      <c r="A476" t="inlineStr">
        <is>
          <t>A 61331-2021</t>
        </is>
      </c>
      <c r="B476" s="1" t="n">
        <v>44498</v>
      </c>
      <c r="C476" s="1" t="n">
        <v>45894</v>
      </c>
      <c r="D476" t="inlineStr">
        <is>
          <t>JÄMTLANDS LÄN</t>
        </is>
      </c>
      <c r="E476" t="inlineStr">
        <is>
          <t>ÅRE</t>
        </is>
      </c>
      <c r="G476" t="n">
        <v>8.4</v>
      </c>
      <c r="H476" t="n">
        <v>0</v>
      </c>
      <c r="I476" t="n">
        <v>0</v>
      </c>
      <c r="J476" t="n">
        <v>0</v>
      </c>
      <c r="K476" t="n">
        <v>0</v>
      </c>
      <c r="L476" t="n">
        <v>0</v>
      </c>
      <c r="M476" t="n">
        <v>0</v>
      </c>
      <c r="N476" t="n">
        <v>0</v>
      </c>
      <c r="O476" t="n">
        <v>0</v>
      </c>
      <c r="P476" t="n">
        <v>0</v>
      </c>
      <c r="Q476" t="n">
        <v>0</v>
      </c>
      <c r="R476" s="2" t="inlineStr"/>
    </row>
    <row r="477" ht="15" customHeight="1">
      <c r="A477" t="inlineStr">
        <is>
          <t>A 61806-2021</t>
        </is>
      </c>
      <c r="B477" s="1" t="n">
        <v>44498</v>
      </c>
      <c r="C477" s="1" t="n">
        <v>45894</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51277-2023</t>
        </is>
      </c>
      <c r="B478" s="1" t="n">
        <v>45219</v>
      </c>
      <c r="C478" s="1" t="n">
        <v>45894</v>
      </c>
      <c r="D478" t="inlineStr">
        <is>
          <t>JÄMTLANDS LÄN</t>
        </is>
      </c>
      <c r="E478" t="inlineStr">
        <is>
          <t>ÅRE</t>
        </is>
      </c>
      <c r="G478" t="n">
        <v>0.9</v>
      </c>
      <c r="H478" t="n">
        <v>0</v>
      </c>
      <c r="I478" t="n">
        <v>0</v>
      </c>
      <c r="J478" t="n">
        <v>0</v>
      </c>
      <c r="K478" t="n">
        <v>0</v>
      </c>
      <c r="L478" t="n">
        <v>0</v>
      </c>
      <c r="M478" t="n">
        <v>0</v>
      </c>
      <c r="N478" t="n">
        <v>0</v>
      </c>
      <c r="O478" t="n">
        <v>0</v>
      </c>
      <c r="P478" t="n">
        <v>0</v>
      </c>
      <c r="Q478" t="n">
        <v>0</v>
      </c>
      <c r="R478" s="2" t="inlineStr"/>
    </row>
    <row r="479" ht="15" customHeight="1">
      <c r="A479" t="inlineStr">
        <is>
          <t>A 51282-2023</t>
        </is>
      </c>
      <c r="B479" s="1" t="n">
        <v>45219</v>
      </c>
      <c r="C479" s="1" t="n">
        <v>45894</v>
      </c>
      <c r="D479" t="inlineStr">
        <is>
          <t>JÄMTLANDS LÄN</t>
        </is>
      </c>
      <c r="E479" t="inlineStr">
        <is>
          <t>ÅRE</t>
        </is>
      </c>
      <c r="G479" t="n">
        <v>2.3</v>
      </c>
      <c r="H479" t="n">
        <v>0</v>
      </c>
      <c r="I479" t="n">
        <v>0</v>
      </c>
      <c r="J479" t="n">
        <v>0</v>
      </c>
      <c r="K479" t="n">
        <v>0</v>
      </c>
      <c r="L479" t="n">
        <v>0</v>
      </c>
      <c r="M479" t="n">
        <v>0</v>
      </c>
      <c r="N479" t="n">
        <v>0</v>
      </c>
      <c r="O479" t="n">
        <v>0</v>
      </c>
      <c r="P479" t="n">
        <v>0</v>
      </c>
      <c r="Q479" t="n">
        <v>0</v>
      </c>
      <c r="R479" s="2" t="inlineStr"/>
    </row>
    <row r="480" ht="15" customHeight="1">
      <c r="A480" t="inlineStr">
        <is>
          <t>A 46788-2024</t>
        </is>
      </c>
      <c r="B480" s="1" t="n">
        <v>45583.53219907408</v>
      </c>
      <c r="C480" s="1" t="n">
        <v>45894</v>
      </c>
      <c r="D480" t="inlineStr">
        <is>
          <t>JÄMTLANDS LÄN</t>
        </is>
      </c>
      <c r="E480" t="inlineStr">
        <is>
          <t>ÅRE</t>
        </is>
      </c>
      <c r="F480" t="inlineStr">
        <is>
          <t>Övriga Aktiebolag</t>
        </is>
      </c>
      <c r="G480" t="n">
        <v>0.3</v>
      </c>
      <c r="H480" t="n">
        <v>0</v>
      </c>
      <c r="I480" t="n">
        <v>0</v>
      </c>
      <c r="J480" t="n">
        <v>0</v>
      </c>
      <c r="K480" t="n">
        <v>0</v>
      </c>
      <c r="L480" t="n">
        <v>0</v>
      </c>
      <c r="M480" t="n">
        <v>0</v>
      </c>
      <c r="N480" t="n">
        <v>0</v>
      </c>
      <c r="O480" t="n">
        <v>0</v>
      </c>
      <c r="P480" t="n">
        <v>0</v>
      </c>
      <c r="Q480" t="n">
        <v>0</v>
      </c>
      <c r="R480" s="2" t="inlineStr"/>
    </row>
    <row r="481" ht="15" customHeight="1">
      <c r="A481" t="inlineStr">
        <is>
          <t>A 60899-2022</t>
        </is>
      </c>
      <c r="B481" s="1" t="n">
        <v>44908</v>
      </c>
      <c r="C481" s="1" t="n">
        <v>45894</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34931-2025</t>
        </is>
      </c>
      <c r="B482" s="1" t="n">
        <v>45849</v>
      </c>
      <c r="C482" s="1" t="n">
        <v>45894</v>
      </c>
      <c r="D482" t="inlineStr">
        <is>
          <t>JÄMTLANDS LÄN</t>
        </is>
      </c>
      <c r="E482" t="inlineStr">
        <is>
          <t>ÅRE</t>
        </is>
      </c>
      <c r="G482" t="n">
        <v>1.4</v>
      </c>
      <c r="H482" t="n">
        <v>0</v>
      </c>
      <c r="I482" t="n">
        <v>0</v>
      </c>
      <c r="J482" t="n">
        <v>0</v>
      </c>
      <c r="K482" t="n">
        <v>0</v>
      </c>
      <c r="L482" t="n">
        <v>0</v>
      </c>
      <c r="M482" t="n">
        <v>0</v>
      </c>
      <c r="N482" t="n">
        <v>0</v>
      </c>
      <c r="O482" t="n">
        <v>0</v>
      </c>
      <c r="P482" t="n">
        <v>0</v>
      </c>
      <c r="Q482" t="n">
        <v>0</v>
      </c>
      <c r="R482" s="2" t="inlineStr"/>
    </row>
    <row r="483" ht="15" customHeight="1">
      <c r="A483" t="inlineStr">
        <is>
          <t>A 1159-2023</t>
        </is>
      </c>
      <c r="B483" s="1" t="n">
        <v>44935.66199074074</v>
      </c>
      <c r="C483" s="1" t="n">
        <v>45894</v>
      </c>
      <c r="D483" t="inlineStr">
        <is>
          <t>JÄMTLANDS LÄN</t>
        </is>
      </c>
      <c r="E483" t="inlineStr">
        <is>
          <t>ÅRE</t>
        </is>
      </c>
      <c r="G483" t="n">
        <v>6.4</v>
      </c>
      <c r="H483" t="n">
        <v>0</v>
      </c>
      <c r="I483" t="n">
        <v>0</v>
      </c>
      <c r="J483" t="n">
        <v>0</v>
      </c>
      <c r="K483" t="n">
        <v>0</v>
      </c>
      <c r="L483" t="n">
        <v>0</v>
      </c>
      <c r="M483" t="n">
        <v>0</v>
      </c>
      <c r="N483" t="n">
        <v>0</v>
      </c>
      <c r="O483" t="n">
        <v>0</v>
      </c>
      <c r="P483" t="n">
        <v>0</v>
      </c>
      <c r="Q483" t="n">
        <v>0</v>
      </c>
      <c r="R483" s="2" t="inlineStr"/>
    </row>
    <row r="484" ht="15" customHeight="1">
      <c r="A484" t="inlineStr">
        <is>
          <t>A 45324-2024</t>
        </is>
      </c>
      <c r="B484" s="1" t="n">
        <v>45576</v>
      </c>
      <c r="C484" s="1" t="n">
        <v>45894</v>
      </c>
      <c r="D484" t="inlineStr">
        <is>
          <t>JÄMTLANDS LÄN</t>
        </is>
      </c>
      <c r="E484" t="inlineStr">
        <is>
          <t>ÅRE</t>
        </is>
      </c>
      <c r="G484" t="n">
        <v>9.4</v>
      </c>
      <c r="H484" t="n">
        <v>0</v>
      </c>
      <c r="I484" t="n">
        <v>0</v>
      </c>
      <c r="J484" t="n">
        <v>0</v>
      </c>
      <c r="K484" t="n">
        <v>0</v>
      </c>
      <c r="L484" t="n">
        <v>0</v>
      </c>
      <c r="M484" t="n">
        <v>0</v>
      </c>
      <c r="N484" t="n">
        <v>0</v>
      </c>
      <c r="O484" t="n">
        <v>0</v>
      </c>
      <c r="P484" t="n">
        <v>0</v>
      </c>
      <c r="Q484" t="n">
        <v>0</v>
      </c>
      <c r="R484" s="2" t="inlineStr"/>
    </row>
    <row r="485" ht="15" customHeight="1">
      <c r="A485" t="inlineStr">
        <is>
          <t>A 6049-2025</t>
        </is>
      </c>
      <c r="B485" s="1" t="n">
        <v>45695</v>
      </c>
      <c r="C485" s="1" t="n">
        <v>45894</v>
      </c>
      <c r="D485" t="inlineStr">
        <is>
          <t>JÄMTLANDS LÄN</t>
        </is>
      </c>
      <c r="E485" t="inlineStr">
        <is>
          <t>ÅRE</t>
        </is>
      </c>
      <c r="G485" t="n">
        <v>58.3</v>
      </c>
      <c r="H485" t="n">
        <v>0</v>
      </c>
      <c r="I485" t="n">
        <v>0</v>
      </c>
      <c r="J485" t="n">
        <v>0</v>
      </c>
      <c r="K485" t="n">
        <v>0</v>
      </c>
      <c r="L485" t="n">
        <v>0</v>
      </c>
      <c r="M485" t="n">
        <v>0</v>
      </c>
      <c r="N485" t="n">
        <v>0</v>
      </c>
      <c r="O485" t="n">
        <v>0</v>
      </c>
      <c r="P485" t="n">
        <v>0</v>
      </c>
      <c r="Q485" t="n">
        <v>0</v>
      </c>
      <c r="R485" s="2" t="inlineStr"/>
    </row>
    <row r="486" ht="15" customHeight="1">
      <c r="A486" t="inlineStr">
        <is>
          <t>A 36974-2025</t>
        </is>
      </c>
      <c r="B486" s="1" t="n">
        <v>45874.63766203704</v>
      </c>
      <c r="C486" s="1" t="n">
        <v>45894</v>
      </c>
      <c r="D486" t="inlineStr">
        <is>
          <t>JÄMTLANDS LÄN</t>
        </is>
      </c>
      <c r="E486" t="inlineStr">
        <is>
          <t>ÅRE</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37158-2025</t>
        </is>
      </c>
      <c r="B487" s="1" t="n">
        <v>45875.5940625</v>
      </c>
      <c r="C487" s="1" t="n">
        <v>45894</v>
      </c>
      <c r="D487" t="inlineStr">
        <is>
          <t>JÄMTLANDS LÄN</t>
        </is>
      </c>
      <c r="E487" t="inlineStr">
        <is>
          <t>ÅRE</t>
        </is>
      </c>
      <c r="G487" t="n">
        <v>4.7</v>
      </c>
      <c r="H487" t="n">
        <v>0</v>
      </c>
      <c r="I487" t="n">
        <v>0</v>
      </c>
      <c r="J487" t="n">
        <v>0</v>
      </c>
      <c r="K487" t="n">
        <v>0</v>
      </c>
      <c r="L487" t="n">
        <v>0</v>
      </c>
      <c r="M487" t="n">
        <v>0</v>
      </c>
      <c r="N487" t="n">
        <v>0</v>
      </c>
      <c r="O487" t="n">
        <v>0</v>
      </c>
      <c r="P487" t="n">
        <v>0</v>
      </c>
      <c r="Q487" t="n">
        <v>0</v>
      </c>
      <c r="R487" s="2" t="inlineStr"/>
    </row>
    <row r="488" ht="15" customHeight="1">
      <c r="A488" t="inlineStr">
        <is>
          <t>A 4870-2021</t>
        </is>
      </c>
      <c r="B488" s="1" t="n">
        <v>44225</v>
      </c>
      <c r="C488" s="1" t="n">
        <v>45894</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37178-2025</t>
        </is>
      </c>
      <c r="B489" s="1" t="n">
        <v>45875.61548611111</v>
      </c>
      <c r="C489" s="1" t="n">
        <v>45894</v>
      </c>
      <c r="D489" t="inlineStr">
        <is>
          <t>JÄMTLANDS LÄN</t>
        </is>
      </c>
      <c r="E489" t="inlineStr">
        <is>
          <t>ÅRE</t>
        </is>
      </c>
      <c r="G489" t="n">
        <v>5</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44854.46388888889</v>
      </c>
      <c r="C490" s="1" t="n">
        <v>45894</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36975-2025</t>
        </is>
      </c>
      <c r="B491" s="1" t="n">
        <v>45874.63773148148</v>
      </c>
      <c r="C491" s="1" t="n">
        <v>45894</v>
      </c>
      <c r="D491" t="inlineStr">
        <is>
          <t>JÄMTLANDS LÄN</t>
        </is>
      </c>
      <c r="E491" t="inlineStr">
        <is>
          <t>ÅRE</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46259-2024</t>
        </is>
      </c>
      <c r="B492" s="1" t="n">
        <v>45581</v>
      </c>
      <c r="C492" s="1" t="n">
        <v>45894</v>
      </c>
      <c r="D492" t="inlineStr">
        <is>
          <t>JÄMTLANDS LÄN</t>
        </is>
      </c>
      <c r="E492" t="inlineStr">
        <is>
          <t>ÅRE</t>
        </is>
      </c>
      <c r="G492" t="n">
        <v>4.7</v>
      </c>
      <c r="H492" t="n">
        <v>0</v>
      </c>
      <c r="I492" t="n">
        <v>0</v>
      </c>
      <c r="J492" t="n">
        <v>0</v>
      </c>
      <c r="K492" t="n">
        <v>0</v>
      </c>
      <c r="L492" t="n">
        <v>0</v>
      </c>
      <c r="M492" t="n">
        <v>0</v>
      </c>
      <c r="N492" t="n">
        <v>0</v>
      </c>
      <c r="O492" t="n">
        <v>0</v>
      </c>
      <c r="P492" t="n">
        <v>0</v>
      </c>
      <c r="Q492" t="n">
        <v>0</v>
      </c>
      <c r="R492" s="2" t="inlineStr"/>
    </row>
    <row r="493" ht="15" customHeight="1">
      <c r="A493" t="inlineStr">
        <is>
          <t>A 37159-2025</t>
        </is>
      </c>
      <c r="B493" s="1" t="n">
        <v>45875.59408564815</v>
      </c>
      <c r="C493" s="1" t="n">
        <v>45894</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42592-2024</t>
        </is>
      </c>
      <c r="B494" s="1" t="n">
        <v>45565</v>
      </c>
      <c r="C494" s="1" t="n">
        <v>45894</v>
      </c>
      <c r="D494" t="inlineStr">
        <is>
          <t>JÄMTLANDS LÄN</t>
        </is>
      </c>
      <c r="E494" t="inlineStr">
        <is>
          <t>ÅRE</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46444-2024</t>
        </is>
      </c>
      <c r="B495" s="1" t="n">
        <v>45582</v>
      </c>
      <c r="C495" s="1" t="n">
        <v>45894</v>
      </c>
      <c r="D495" t="inlineStr">
        <is>
          <t>JÄMTLANDS LÄN</t>
        </is>
      </c>
      <c r="E495" t="inlineStr">
        <is>
          <t>ÅRE</t>
        </is>
      </c>
      <c r="G495" t="n">
        <v>19.6</v>
      </c>
      <c r="H495" t="n">
        <v>0</v>
      </c>
      <c r="I495" t="n">
        <v>0</v>
      </c>
      <c r="J495" t="n">
        <v>0</v>
      </c>
      <c r="K495" t="n">
        <v>0</v>
      </c>
      <c r="L495" t="n">
        <v>0</v>
      </c>
      <c r="M495" t="n">
        <v>0</v>
      </c>
      <c r="N495" t="n">
        <v>0</v>
      </c>
      <c r="O495" t="n">
        <v>0</v>
      </c>
      <c r="P495" t="n">
        <v>0</v>
      </c>
      <c r="Q495" t="n">
        <v>0</v>
      </c>
      <c r="R495" s="2" t="inlineStr"/>
    </row>
    <row r="496" ht="15" customHeight="1">
      <c r="A496" t="inlineStr">
        <is>
          <t>A 556-2023</t>
        </is>
      </c>
      <c r="B496" s="1" t="n">
        <v>44930</v>
      </c>
      <c r="C496" s="1" t="n">
        <v>45894</v>
      </c>
      <c r="D496" t="inlineStr">
        <is>
          <t>JÄMTLANDS LÄN</t>
        </is>
      </c>
      <c r="E496" t="inlineStr">
        <is>
          <t>ÅRE</t>
        </is>
      </c>
      <c r="G496" t="n">
        <v>14.9</v>
      </c>
      <c r="H496" t="n">
        <v>0</v>
      </c>
      <c r="I496" t="n">
        <v>0</v>
      </c>
      <c r="J496" t="n">
        <v>0</v>
      </c>
      <c r="K496" t="n">
        <v>0</v>
      </c>
      <c r="L496" t="n">
        <v>0</v>
      </c>
      <c r="M496" t="n">
        <v>0</v>
      </c>
      <c r="N496" t="n">
        <v>0</v>
      </c>
      <c r="O496" t="n">
        <v>0</v>
      </c>
      <c r="P496" t="n">
        <v>0</v>
      </c>
      <c r="Q496" t="n">
        <v>0</v>
      </c>
      <c r="R496" s="2" t="inlineStr"/>
    </row>
    <row r="497" ht="15" customHeight="1">
      <c r="A497" t="inlineStr">
        <is>
          <t>A 37118-2025</t>
        </is>
      </c>
      <c r="B497" s="1" t="n">
        <v>45875.51172453703</v>
      </c>
      <c r="C497" s="1" t="n">
        <v>45894</v>
      </c>
      <c r="D497" t="inlineStr">
        <is>
          <t>JÄMTLANDS LÄN</t>
        </is>
      </c>
      <c r="E497" t="inlineStr">
        <is>
          <t>ÅRE</t>
        </is>
      </c>
      <c r="G497" t="n">
        <v>2.9</v>
      </c>
      <c r="H497" t="n">
        <v>0</v>
      </c>
      <c r="I497" t="n">
        <v>0</v>
      </c>
      <c r="J497" t="n">
        <v>0</v>
      </c>
      <c r="K497" t="n">
        <v>0</v>
      </c>
      <c r="L497" t="n">
        <v>0</v>
      </c>
      <c r="M497" t="n">
        <v>0</v>
      </c>
      <c r="N497" t="n">
        <v>0</v>
      </c>
      <c r="O497" t="n">
        <v>0</v>
      </c>
      <c r="P497" t="n">
        <v>0</v>
      </c>
      <c r="Q497" t="n">
        <v>0</v>
      </c>
      <c r="R497" s="2" t="inlineStr"/>
    </row>
    <row r="498" ht="15" customHeight="1">
      <c r="A498" t="inlineStr">
        <is>
          <t>A 4938-2025</t>
        </is>
      </c>
      <c r="B498" s="1" t="n">
        <v>45688</v>
      </c>
      <c r="C498" s="1" t="n">
        <v>45894</v>
      </c>
      <c r="D498" t="inlineStr">
        <is>
          <t>JÄMTLANDS LÄN</t>
        </is>
      </c>
      <c r="E498" t="inlineStr">
        <is>
          <t>ÅRE</t>
        </is>
      </c>
      <c r="G498" t="n">
        <v>0.9</v>
      </c>
      <c r="H498" t="n">
        <v>0</v>
      </c>
      <c r="I498" t="n">
        <v>0</v>
      </c>
      <c r="J498" t="n">
        <v>0</v>
      </c>
      <c r="K498" t="n">
        <v>0</v>
      </c>
      <c r="L498" t="n">
        <v>0</v>
      </c>
      <c r="M498" t="n">
        <v>0</v>
      </c>
      <c r="N498" t="n">
        <v>0</v>
      </c>
      <c r="O498" t="n">
        <v>0</v>
      </c>
      <c r="P498" t="n">
        <v>0</v>
      </c>
      <c r="Q498" t="n">
        <v>0</v>
      </c>
      <c r="R498" s="2" t="inlineStr"/>
    </row>
    <row r="499" ht="15" customHeight="1">
      <c r="A499" t="inlineStr">
        <is>
          <t>A 4937-2025</t>
        </is>
      </c>
      <c r="B499" s="1" t="n">
        <v>45688</v>
      </c>
      <c r="C499" s="1" t="n">
        <v>45894</v>
      </c>
      <c r="D499" t="inlineStr">
        <is>
          <t>JÄMTLANDS LÄN</t>
        </is>
      </c>
      <c r="E499" t="inlineStr">
        <is>
          <t>ÅRE</t>
        </is>
      </c>
      <c r="G499" t="n">
        <v>1.8</v>
      </c>
      <c r="H499" t="n">
        <v>0</v>
      </c>
      <c r="I499" t="n">
        <v>0</v>
      </c>
      <c r="J499" t="n">
        <v>0</v>
      </c>
      <c r="K499" t="n">
        <v>0</v>
      </c>
      <c r="L499" t="n">
        <v>0</v>
      </c>
      <c r="M499" t="n">
        <v>0</v>
      </c>
      <c r="N499" t="n">
        <v>0</v>
      </c>
      <c r="O499" t="n">
        <v>0</v>
      </c>
      <c r="P499" t="n">
        <v>0</v>
      </c>
      <c r="Q499" t="n">
        <v>0</v>
      </c>
      <c r="R499" s="2" t="inlineStr"/>
    </row>
    <row r="500" ht="15" customHeight="1">
      <c r="A500" t="inlineStr">
        <is>
          <t>A 4777-2025</t>
        </is>
      </c>
      <c r="B500" s="1" t="n">
        <v>45688</v>
      </c>
      <c r="C500" s="1" t="n">
        <v>45894</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57864-2024</t>
        </is>
      </c>
      <c r="B501" s="1" t="n">
        <v>45631.43578703704</v>
      </c>
      <c r="C501" s="1" t="n">
        <v>45894</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54250-2024</t>
        </is>
      </c>
      <c r="B502" s="1" t="n">
        <v>45616</v>
      </c>
      <c r="C502" s="1" t="n">
        <v>45894</v>
      </c>
      <c r="D502" t="inlineStr">
        <is>
          <t>JÄMTLANDS LÄN</t>
        </is>
      </c>
      <c r="E502" t="inlineStr">
        <is>
          <t>ÅRE</t>
        </is>
      </c>
      <c r="G502" t="n">
        <v>2.8</v>
      </c>
      <c r="H502" t="n">
        <v>0</v>
      </c>
      <c r="I502" t="n">
        <v>0</v>
      </c>
      <c r="J502" t="n">
        <v>0</v>
      </c>
      <c r="K502" t="n">
        <v>0</v>
      </c>
      <c r="L502" t="n">
        <v>0</v>
      </c>
      <c r="M502" t="n">
        <v>0</v>
      </c>
      <c r="N502" t="n">
        <v>0</v>
      </c>
      <c r="O502" t="n">
        <v>0</v>
      </c>
      <c r="P502" t="n">
        <v>0</v>
      </c>
      <c r="Q502" t="n">
        <v>0</v>
      </c>
      <c r="R502" s="2" t="inlineStr"/>
    </row>
    <row r="503" ht="15" customHeight="1">
      <c r="A503" t="inlineStr">
        <is>
          <t>A 37729-2023</t>
        </is>
      </c>
      <c r="B503" s="1" t="n">
        <v>45159</v>
      </c>
      <c r="C503" s="1" t="n">
        <v>45894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36234-2023</t>
        </is>
      </c>
      <c r="B504" s="1" t="n">
        <v>45150</v>
      </c>
      <c r="C504" s="1" t="n">
        <v>45894</v>
      </c>
      <c r="D504" t="inlineStr">
        <is>
          <t>JÄMTLANDS LÄN</t>
        </is>
      </c>
      <c r="E504" t="inlineStr">
        <is>
          <t>ÅRE</t>
        </is>
      </c>
      <c r="G504" t="n">
        <v>0.9</v>
      </c>
      <c r="H504" t="n">
        <v>0</v>
      </c>
      <c r="I504" t="n">
        <v>0</v>
      </c>
      <c r="J504" t="n">
        <v>0</v>
      </c>
      <c r="K504" t="n">
        <v>0</v>
      </c>
      <c r="L504" t="n">
        <v>0</v>
      </c>
      <c r="M504" t="n">
        <v>0</v>
      </c>
      <c r="N504" t="n">
        <v>0</v>
      </c>
      <c r="O504" t="n">
        <v>0</v>
      </c>
      <c r="P504" t="n">
        <v>0</v>
      </c>
      <c r="Q504" t="n">
        <v>0</v>
      </c>
      <c r="R504" s="2" t="inlineStr"/>
    </row>
    <row r="505" ht="15" customHeight="1">
      <c r="A505" t="inlineStr">
        <is>
          <t>A 27375-2021</t>
        </is>
      </c>
      <c r="B505" s="1" t="n">
        <v>44351</v>
      </c>
      <c r="C505" s="1" t="n">
        <v>45894</v>
      </c>
      <c r="D505" t="inlineStr">
        <is>
          <t>JÄMTLANDS LÄN</t>
        </is>
      </c>
      <c r="E505" t="inlineStr">
        <is>
          <t>ÅRE</t>
        </is>
      </c>
      <c r="G505" t="n">
        <v>7.4</v>
      </c>
      <c r="H505" t="n">
        <v>0</v>
      </c>
      <c r="I505" t="n">
        <v>0</v>
      </c>
      <c r="J505" t="n">
        <v>0</v>
      </c>
      <c r="K505" t="n">
        <v>0</v>
      </c>
      <c r="L505" t="n">
        <v>0</v>
      </c>
      <c r="M505" t="n">
        <v>0</v>
      </c>
      <c r="N505" t="n">
        <v>0</v>
      </c>
      <c r="O505" t="n">
        <v>0</v>
      </c>
      <c r="P505" t="n">
        <v>0</v>
      </c>
      <c r="Q505" t="n">
        <v>0</v>
      </c>
      <c r="R505" s="2" t="inlineStr"/>
    </row>
    <row r="506" ht="15" customHeight="1">
      <c r="A506" t="inlineStr">
        <is>
          <t>A 38456-2021</t>
        </is>
      </c>
      <c r="B506" s="1" t="n">
        <v>44406</v>
      </c>
      <c r="C506" s="1" t="n">
        <v>45894</v>
      </c>
      <c r="D506" t="inlineStr">
        <is>
          <t>JÄMTLANDS LÄN</t>
        </is>
      </c>
      <c r="E506" t="inlineStr">
        <is>
          <t>ÅRE</t>
        </is>
      </c>
      <c r="G506" t="n">
        <v>19.8</v>
      </c>
      <c r="H506" t="n">
        <v>0</v>
      </c>
      <c r="I506" t="n">
        <v>0</v>
      </c>
      <c r="J506" t="n">
        <v>0</v>
      </c>
      <c r="K506" t="n">
        <v>0</v>
      </c>
      <c r="L506" t="n">
        <v>0</v>
      </c>
      <c r="M506" t="n">
        <v>0</v>
      </c>
      <c r="N506" t="n">
        <v>0</v>
      </c>
      <c r="O506" t="n">
        <v>0</v>
      </c>
      <c r="P506" t="n">
        <v>0</v>
      </c>
      <c r="Q506" t="n">
        <v>0</v>
      </c>
      <c r="R506" s="2" t="inlineStr"/>
    </row>
    <row r="507" ht="15" customHeight="1">
      <c r="A507" t="inlineStr">
        <is>
          <t>A 9312-2025</t>
        </is>
      </c>
      <c r="B507" s="1" t="n">
        <v>45714.68869212963</v>
      </c>
      <c r="C507" s="1" t="n">
        <v>45894</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45184.37474537037</v>
      </c>
      <c r="C508" s="1" t="n">
        <v>45894</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54164-2023</t>
        </is>
      </c>
      <c r="B509" s="1" t="n">
        <v>45232.47815972222</v>
      </c>
      <c r="C509" s="1" t="n">
        <v>45894</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2374-2023</t>
        </is>
      </c>
      <c r="B510" s="1" t="n">
        <v>44942.69005787037</v>
      </c>
      <c r="C510" s="1" t="n">
        <v>45894</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37249-2025</t>
        </is>
      </c>
      <c r="B511" s="1" t="n">
        <v>45876.40699074074</v>
      </c>
      <c r="C511" s="1" t="n">
        <v>45894</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3154-2023</t>
        </is>
      </c>
      <c r="B512" s="1" t="n">
        <v>44946.56012731481</v>
      </c>
      <c r="C512" s="1" t="n">
        <v>45894</v>
      </c>
      <c r="D512" t="inlineStr">
        <is>
          <t>JÄMTLANDS LÄN</t>
        </is>
      </c>
      <c r="E512" t="inlineStr">
        <is>
          <t>ÅRE</t>
        </is>
      </c>
      <c r="G512" t="n">
        <v>5.1</v>
      </c>
      <c r="H512" t="n">
        <v>0</v>
      </c>
      <c r="I512" t="n">
        <v>0</v>
      </c>
      <c r="J512" t="n">
        <v>0</v>
      </c>
      <c r="K512" t="n">
        <v>0</v>
      </c>
      <c r="L512" t="n">
        <v>0</v>
      </c>
      <c r="M512" t="n">
        <v>0</v>
      </c>
      <c r="N512" t="n">
        <v>0</v>
      </c>
      <c r="O512" t="n">
        <v>0</v>
      </c>
      <c r="P512" t="n">
        <v>0</v>
      </c>
      <c r="Q512" t="n">
        <v>0</v>
      </c>
      <c r="R512" s="2" t="inlineStr"/>
    </row>
    <row r="513" ht="15" customHeight="1">
      <c r="A513" t="inlineStr">
        <is>
          <t>A 45279-2024</t>
        </is>
      </c>
      <c r="B513" s="1" t="n">
        <v>45576.37496527778</v>
      </c>
      <c r="C513" s="1" t="n">
        <v>45894</v>
      </c>
      <c r="D513" t="inlineStr">
        <is>
          <t>JÄMTLANDS LÄN</t>
        </is>
      </c>
      <c r="E513" t="inlineStr">
        <is>
          <t>ÅRE</t>
        </is>
      </c>
      <c r="G513" t="n">
        <v>17.2</v>
      </c>
      <c r="H513" t="n">
        <v>0</v>
      </c>
      <c r="I513" t="n">
        <v>0</v>
      </c>
      <c r="J513" t="n">
        <v>0</v>
      </c>
      <c r="K513" t="n">
        <v>0</v>
      </c>
      <c r="L513" t="n">
        <v>0</v>
      </c>
      <c r="M513" t="n">
        <v>0</v>
      </c>
      <c r="N513" t="n">
        <v>0</v>
      </c>
      <c r="O513" t="n">
        <v>0</v>
      </c>
      <c r="P513" t="n">
        <v>0</v>
      </c>
      <c r="Q513" t="n">
        <v>0</v>
      </c>
      <c r="R513" s="2" t="inlineStr"/>
    </row>
    <row r="514" ht="15" customHeight="1">
      <c r="A514" t="inlineStr">
        <is>
          <t>A 53899-2023</t>
        </is>
      </c>
      <c r="B514" s="1" t="n">
        <v>45231.54160879629</v>
      </c>
      <c r="C514" s="1" t="n">
        <v>45894</v>
      </c>
      <c r="D514" t="inlineStr">
        <is>
          <t>JÄMTLANDS LÄN</t>
        </is>
      </c>
      <c r="E514" t="inlineStr">
        <is>
          <t>ÅRE</t>
        </is>
      </c>
      <c r="G514" t="n">
        <v>20.4</v>
      </c>
      <c r="H514" t="n">
        <v>0</v>
      </c>
      <c r="I514" t="n">
        <v>0</v>
      </c>
      <c r="J514" t="n">
        <v>0</v>
      </c>
      <c r="K514" t="n">
        <v>0</v>
      </c>
      <c r="L514" t="n">
        <v>0</v>
      </c>
      <c r="M514" t="n">
        <v>0</v>
      </c>
      <c r="N514" t="n">
        <v>0</v>
      </c>
      <c r="O514" t="n">
        <v>0</v>
      </c>
      <c r="P514" t="n">
        <v>0</v>
      </c>
      <c r="Q514" t="n">
        <v>0</v>
      </c>
      <c r="R514" s="2" t="inlineStr"/>
    </row>
    <row r="515" ht="15" customHeight="1">
      <c r="A515" t="inlineStr">
        <is>
          <t>A 4181-2025</t>
        </is>
      </c>
      <c r="B515" s="1" t="n">
        <v>45685.44300925926</v>
      </c>
      <c r="C515" s="1" t="n">
        <v>45894</v>
      </c>
      <c r="D515" t="inlineStr">
        <is>
          <t>JÄMTLANDS LÄN</t>
        </is>
      </c>
      <c r="E515" t="inlineStr">
        <is>
          <t>ÅRE</t>
        </is>
      </c>
      <c r="F515" t="inlineStr">
        <is>
          <t>Övriga Aktiebolag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25926-2023</t>
        </is>
      </c>
      <c r="B516" s="1" t="n">
        <v>45085</v>
      </c>
      <c r="C516" s="1" t="n">
        <v>45894</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50951-2023</t>
        </is>
      </c>
      <c r="B517" s="1" t="n">
        <v>45218</v>
      </c>
      <c r="C517" s="1" t="n">
        <v>45894</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38285-2025</t>
        </is>
      </c>
      <c r="B518" s="1" t="n">
        <v>45883.43145833333</v>
      </c>
      <c r="C518" s="1" t="n">
        <v>45894</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12168-2023</t>
        </is>
      </c>
      <c r="B519" s="1" t="n">
        <v>44998</v>
      </c>
      <c r="C519" s="1" t="n">
        <v>45894</v>
      </c>
      <c r="D519" t="inlineStr">
        <is>
          <t>JÄMTLANDS LÄN</t>
        </is>
      </c>
      <c r="E519" t="inlineStr">
        <is>
          <t>ÅRE</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12173-2023</t>
        </is>
      </c>
      <c r="B520" s="1" t="n">
        <v>44998</v>
      </c>
      <c r="C520" s="1" t="n">
        <v>45894</v>
      </c>
      <c r="D520" t="inlineStr">
        <is>
          <t>JÄMTLANDS LÄN</t>
        </is>
      </c>
      <c r="E520" t="inlineStr">
        <is>
          <t>ÅRE</t>
        </is>
      </c>
      <c r="G520" t="n">
        <v>2.5</v>
      </c>
      <c r="H520" t="n">
        <v>0</v>
      </c>
      <c r="I520" t="n">
        <v>0</v>
      </c>
      <c r="J520" t="n">
        <v>0</v>
      </c>
      <c r="K520" t="n">
        <v>0</v>
      </c>
      <c r="L520" t="n">
        <v>0</v>
      </c>
      <c r="M520" t="n">
        <v>0</v>
      </c>
      <c r="N520" t="n">
        <v>0</v>
      </c>
      <c r="O520" t="n">
        <v>0</v>
      </c>
      <c r="P520" t="n">
        <v>0</v>
      </c>
      <c r="Q520" t="n">
        <v>0</v>
      </c>
      <c r="R520" s="2" t="inlineStr"/>
    </row>
    <row r="521" ht="15" customHeight="1">
      <c r="A521" t="inlineStr">
        <is>
          <t>A 12179-2023</t>
        </is>
      </c>
      <c r="B521" s="1" t="n">
        <v>44998</v>
      </c>
      <c r="C521" s="1" t="n">
        <v>45894</v>
      </c>
      <c r="D521" t="inlineStr">
        <is>
          <t>JÄMTLANDS LÄN</t>
        </is>
      </c>
      <c r="E521" t="inlineStr">
        <is>
          <t>ÅRE</t>
        </is>
      </c>
      <c r="G521" t="n">
        <v>8.5</v>
      </c>
      <c r="H521" t="n">
        <v>0</v>
      </c>
      <c r="I521" t="n">
        <v>0</v>
      </c>
      <c r="J521" t="n">
        <v>0</v>
      </c>
      <c r="K521" t="n">
        <v>0</v>
      </c>
      <c r="L521" t="n">
        <v>0</v>
      </c>
      <c r="M521" t="n">
        <v>0</v>
      </c>
      <c r="N521" t="n">
        <v>0</v>
      </c>
      <c r="O521" t="n">
        <v>0</v>
      </c>
      <c r="P521" t="n">
        <v>0</v>
      </c>
      <c r="Q521" t="n">
        <v>0</v>
      </c>
      <c r="R521" s="2" t="inlineStr"/>
    </row>
    <row r="522" ht="15" customHeight="1">
      <c r="A522" t="inlineStr">
        <is>
          <t>A 12287-2023</t>
        </is>
      </c>
      <c r="B522" s="1" t="n">
        <v>44998.72736111111</v>
      </c>
      <c r="C522" s="1" t="n">
        <v>45894</v>
      </c>
      <c r="D522" t="inlineStr">
        <is>
          <t>JÄMTLANDS LÄN</t>
        </is>
      </c>
      <c r="E522" t="inlineStr">
        <is>
          <t>ÅRE</t>
        </is>
      </c>
      <c r="G522" t="n">
        <v>3.1</v>
      </c>
      <c r="H522" t="n">
        <v>0</v>
      </c>
      <c r="I522" t="n">
        <v>0</v>
      </c>
      <c r="J522" t="n">
        <v>0</v>
      </c>
      <c r="K522" t="n">
        <v>0</v>
      </c>
      <c r="L522" t="n">
        <v>0</v>
      </c>
      <c r="M522" t="n">
        <v>0</v>
      </c>
      <c r="N522" t="n">
        <v>0</v>
      </c>
      <c r="O522" t="n">
        <v>0</v>
      </c>
      <c r="P522" t="n">
        <v>0</v>
      </c>
      <c r="Q522" t="n">
        <v>0</v>
      </c>
      <c r="R522" s="2" t="inlineStr"/>
    </row>
    <row r="523" ht="15" customHeight="1">
      <c r="A523" t="inlineStr">
        <is>
          <t>A 23651-2025</t>
        </is>
      </c>
      <c r="B523" s="1" t="n">
        <v>45792.70914351852</v>
      </c>
      <c r="C523" s="1" t="n">
        <v>45894</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22707-2021</t>
        </is>
      </c>
      <c r="B524" s="1" t="n">
        <v>44323</v>
      </c>
      <c r="C524" s="1" t="n">
        <v>45894</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5611-2025</t>
        </is>
      </c>
      <c r="B525" s="1" t="n">
        <v>45693.60480324074</v>
      </c>
      <c r="C525" s="1" t="n">
        <v>45894</v>
      </c>
      <c r="D525" t="inlineStr">
        <is>
          <t>JÄMTLANDS LÄN</t>
        </is>
      </c>
      <c r="E525" t="inlineStr">
        <is>
          <t>ÅRE</t>
        </is>
      </c>
      <c r="G525" t="n">
        <v>2.9</v>
      </c>
      <c r="H525" t="n">
        <v>0</v>
      </c>
      <c r="I525" t="n">
        <v>0</v>
      </c>
      <c r="J525" t="n">
        <v>0</v>
      </c>
      <c r="K525" t="n">
        <v>0</v>
      </c>
      <c r="L525" t="n">
        <v>0</v>
      </c>
      <c r="M525" t="n">
        <v>0</v>
      </c>
      <c r="N525" t="n">
        <v>0</v>
      </c>
      <c r="O525" t="n">
        <v>0</v>
      </c>
      <c r="P525" t="n">
        <v>0</v>
      </c>
      <c r="Q525" t="n">
        <v>0</v>
      </c>
      <c r="R525" s="2" t="inlineStr"/>
    </row>
    <row r="526" ht="15" customHeight="1">
      <c r="A526" t="inlineStr">
        <is>
          <t>A 28817-2021</t>
        </is>
      </c>
      <c r="B526" s="1" t="n">
        <v>44357</v>
      </c>
      <c r="C526" s="1" t="n">
        <v>45894</v>
      </c>
      <c r="D526" t="inlineStr">
        <is>
          <t>JÄMTLANDS LÄN</t>
        </is>
      </c>
      <c r="E526" t="inlineStr">
        <is>
          <t>ÅRE</t>
        </is>
      </c>
      <c r="G526" t="n">
        <v>21.4</v>
      </c>
      <c r="H526" t="n">
        <v>0</v>
      </c>
      <c r="I526" t="n">
        <v>0</v>
      </c>
      <c r="J526" t="n">
        <v>0</v>
      </c>
      <c r="K526" t="n">
        <v>0</v>
      </c>
      <c r="L526" t="n">
        <v>0</v>
      </c>
      <c r="M526" t="n">
        <v>0</v>
      </c>
      <c r="N526" t="n">
        <v>0</v>
      </c>
      <c r="O526" t="n">
        <v>0</v>
      </c>
      <c r="P526" t="n">
        <v>0</v>
      </c>
      <c r="Q526" t="n">
        <v>0</v>
      </c>
      <c r="R526" s="2" t="inlineStr"/>
    </row>
    <row r="527" ht="15" customHeight="1">
      <c r="A527" t="inlineStr">
        <is>
          <t>A 66083-2020</t>
        </is>
      </c>
      <c r="B527" s="1" t="n">
        <v>44172</v>
      </c>
      <c r="C527" s="1" t="n">
        <v>45894</v>
      </c>
      <c r="D527" t="inlineStr">
        <is>
          <t>JÄMTLANDS LÄN</t>
        </is>
      </c>
      <c r="E527" t="inlineStr">
        <is>
          <t>ÅRE</t>
        </is>
      </c>
      <c r="G527" t="n">
        <v>349.9</v>
      </c>
      <c r="H527" t="n">
        <v>0</v>
      </c>
      <c r="I527" t="n">
        <v>0</v>
      </c>
      <c r="J527" t="n">
        <v>0</v>
      </c>
      <c r="K527" t="n">
        <v>0</v>
      </c>
      <c r="L527" t="n">
        <v>0</v>
      </c>
      <c r="M527" t="n">
        <v>0</v>
      </c>
      <c r="N527" t="n">
        <v>0</v>
      </c>
      <c r="O527" t="n">
        <v>0</v>
      </c>
      <c r="P527" t="n">
        <v>0</v>
      </c>
      <c r="Q527" t="n">
        <v>0</v>
      </c>
      <c r="R527" s="2" t="inlineStr"/>
    </row>
    <row r="528" ht="15" customHeight="1">
      <c r="A528" t="inlineStr">
        <is>
          <t>A 49748-2020</t>
        </is>
      </c>
      <c r="B528" s="1" t="n">
        <v>44106</v>
      </c>
      <c r="C528" s="1" t="n">
        <v>45894</v>
      </c>
      <c r="D528" t="inlineStr">
        <is>
          <t>JÄMTLANDS LÄN</t>
        </is>
      </c>
      <c r="E528" t="inlineStr">
        <is>
          <t>ÅRE</t>
        </is>
      </c>
      <c r="G528" t="n">
        <v>13.4</v>
      </c>
      <c r="H528" t="n">
        <v>0</v>
      </c>
      <c r="I528" t="n">
        <v>0</v>
      </c>
      <c r="J528" t="n">
        <v>0</v>
      </c>
      <c r="K528" t="n">
        <v>0</v>
      </c>
      <c r="L528" t="n">
        <v>0</v>
      </c>
      <c r="M528" t="n">
        <v>0</v>
      </c>
      <c r="N528" t="n">
        <v>0</v>
      </c>
      <c r="O528" t="n">
        <v>0</v>
      </c>
      <c r="P528" t="n">
        <v>0</v>
      </c>
      <c r="Q528" t="n">
        <v>0</v>
      </c>
      <c r="R528" s="2" t="inlineStr"/>
    </row>
    <row r="529" ht="15" customHeight="1">
      <c r="A529" t="inlineStr">
        <is>
          <t>A 56976-2023</t>
        </is>
      </c>
      <c r="B529" s="1" t="n">
        <v>45244.64202546296</v>
      </c>
      <c r="C529" s="1" t="n">
        <v>45894</v>
      </c>
      <c r="D529" t="inlineStr">
        <is>
          <t>JÄMTLANDS LÄN</t>
        </is>
      </c>
      <c r="E529" t="inlineStr">
        <is>
          <t>ÅRE</t>
        </is>
      </c>
      <c r="F529" t="inlineStr">
        <is>
          <t>Övriga Aktiebolag</t>
        </is>
      </c>
      <c r="G529" t="n">
        <v>4.9</v>
      </c>
      <c r="H529" t="n">
        <v>0</v>
      </c>
      <c r="I529" t="n">
        <v>0</v>
      </c>
      <c r="J529" t="n">
        <v>0</v>
      </c>
      <c r="K529" t="n">
        <v>0</v>
      </c>
      <c r="L529" t="n">
        <v>0</v>
      </c>
      <c r="M529" t="n">
        <v>0</v>
      </c>
      <c r="N529" t="n">
        <v>0</v>
      </c>
      <c r="O529" t="n">
        <v>0</v>
      </c>
      <c r="P529" t="n">
        <v>0</v>
      </c>
      <c r="Q529" t="n">
        <v>0</v>
      </c>
      <c r="R529" s="2" t="inlineStr"/>
    </row>
    <row r="530" ht="15" customHeight="1">
      <c r="A530" t="inlineStr">
        <is>
          <t>A 1460-2024</t>
        </is>
      </c>
      <c r="B530" s="1" t="n">
        <v>45303.93322916667</v>
      </c>
      <c r="C530" s="1" t="n">
        <v>45894</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20170-2025</t>
        </is>
      </c>
      <c r="B531" s="1" t="n">
        <v>45772.57789351852</v>
      </c>
      <c r="C531" s="1" t="n">
        <v>45894</v>
      </c>
      <c r="D531" t="inlineStr">
        <is>
          <t>JÄMTLANDS LÄN</t>
        </is>
      </c>
      <c r="E531" t="inlineStr">
        <is>
          <t>ÅRE</t>
        </is>
      </c>
      <c r="G531" t="n">
        <v>0.1</v>
      </c>
      <c r="H531" t="n">
        <v>0</v>
      </c>
      <c r="I531" t="n">
        <v>0</v>
      </c>
      <c r="J531" t="n">
        <v>0</v>
      </c>
      <c r="K531" t="n">
        <v>0</v>
      </c>
      <c r="L531" t="n">
        <v>0</v>
      </c>
      <c r="M531" t="n">
        <v>0</v>
      </c>
      <c r="N531" t="n">
        <v>0</v>
      </c>
      <c r="O531" t="n">
        <v>0</v>
      </c>
      <c r="P531" t="n">
        <v>0</v>
      </c>
      <c r="Q531" t="n">
        <v>0</v>
      </c>
      <c r="R531" s="2" t="inlineStr"/>
    </row>
    <row r="532" ht="15" customHeight="1">
      <c r="A532" t="inlineStr">
        <is>
          <t>A 38609-2025</t>
        </is>
      </c>
      <c r="B532" s="1" t="n">
        <v>45884.53554398148</v>
      </c>
      <c r="C532" s="1" t="n">
        <v>45894</v>
      </c>
      <c r="D532" t="inlineStr">
        <is>
          <t>JÄMTLANDS LÄN</t>
        </is>
      </c>
      <c r="E532" t="inlineStr">
        <is>
          <t>ÅRE</t>
        </is>
      </c>
      <c r="G532" t="n">
        <v>6.1</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45894</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55033-2024</t>
        </is>
      </c>
      <c r="B534" s="1" t="n">
        <v>45621.38193287037</v>
      </c>
      <c r="C534" s="1" t="n">
        <v>45894</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61524-2021</t>
        </is>
      </c>
      <c r="B535" s="1" t="n">
        <v>44496</v>
      </c>
      <c r="C535" s="1" t="n">
        <v>45894</v>
      </c>
      <c r="D535" t="inlineStr">
        <is>
          <t>JÄMTLANDS LÄN</t>
        </is>
      </c>
      <c r="E535" t="inlineStr">
        <is>
          <t>ÅRE</t>
        </is>
      </c>
      <c r="F535" t="inlineStr">
        <is>
          <t>Övriga statliga verk och myndigheter</t>
        </is>
      </c>
      <c r="G535" t="n">
        <v>15</v>
      </c>
      <c r="H535" t="n">
        <v>0</v>
      </c>
      <c r="I535" t="n">
        <v>0</v>
      </c>
      <c r="J535" t="n">
        <v>0</v>
      </c>
      <c r="K535" t="n">
        <v>0</v>
      </c>
      <c r="L535" t="n">
        <v>0</v>
      </c>
      <c r="M535" t="n">
        <v>0</v>
      </c>
      <c r="N535" t="n">
        <v>0</v>
      </c>
      <c r="O535" t="n">
        <v>0</v>
      </c>
      <c r="P535" t="n">
        <v>0</v>
      </c>
      <c r="Q535" t="n">
        <v>0</v>
      </c>
      <c r="R535" s="2" t="inlineStr"/>
    </row>
    <row r="536" ht="15" customHeight="1">
      <c r="A536" t="inlineStr">
        <is>
          <t>A 61481-2022</t>
        </is>
      </c>
      <c r="B536" s="1" t="n">
        <v>44910</v>
      </c>
      <c r="C536" s="1" t="n">
        <v>45894</v>
      </c>
      <c r="D536" t="inlineStr">
        <is>
          <t>JÄMTLANDS LÄN</t>
        </is>
      </c>
      <c r="E536" t="inlineStr">
        <is>
          <t>ÅRE</t>
        </is>
      </c>
      <c r="G536" t="n">
        <v>0.4</v>
      </c>
      <c r="H536" t="n">
        <v>0</v>
      </c>
      <c r="I536" t="n">
        <v>0</v>
      </c>
      <c r="J536" t="n">
        <v>0</v>
      </c>
      <c r="K536" t="n">
        <v>0</v>
      </c>
      <c r="L536" t="n">
        <v>0</v>
      </c>
      <c r="M536" t="n">
        <v>0</v>
      </c>
      <c r="N536" t="n">
        <v>0</v>
      </c>
      <c r="O536" t="n">
        <v>0</v>
      </c>
      <c r="P536" t="n">
        <v>0</v>
      </c>
      <c r="Q536" t="n">
        <v>0</v>
      </c>
      <c r="R536" s="2" t="inlineStr"/>
    </row>
    <row r="537" ht="15" customHeight="1">
      <c r="A537" t="inlineStr">
        <is>
          <t>A 58940-2021</t>
        </is>
      </c>
      <c r="B537" s="1" t="n">
        <v>44489</v>
      </c>
      <c r="C537" s="1" t="n">
        <v>45894</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44893.48930555556</v>
      </c>
      <c r="C538" s="1" t="n">
        <v>45894</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5610-2025</t>
        </is>
      </c>
      <c r="B539" s="1" t="n">
        <v>45693.60425925926</v>
      </c>
      <c r="C539" s="1" t="n">
        <v>45894</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39115-2025</t>
        </is>
      </c>
      <c r="B540" s="1" t="n">
        <v>45888.55096064815</v>
      </c>
      <c r="C540" s="1" t="n">
        <v>45894</v>
      </c>
      <c r="D540" t="inlineStr">
        <is>
          <t>JÄMTLANDS LÄN</t>
        </is>
      </c>
      <c r="E540" t="inlineStr">
        <is>
          <t>ÅRE</t>
        </is>
      </c>
      <c r="F540" t="inlineStr">
        <is>
          <t>Övriga statliga verk och myndigheter</t>
        </is>
      </c>
      <c r="G540" t="n">
        <v>11.4</v>
      </c>
      <c r="H540" t="n">
        <v>0</v>
      </c>
      <c r="I540" t="n">
        <v>0</v>
      </c>
      <c r="J540" t="n">
        <v>0</v>
      </c>
      <c r="K540" t="n">
        <v>0</v>
      </c>
      <c r="L540" t="n">
        <v>0</v>
      </c>
      <c r="M540" t="n">
        <v>0</v>
      </c>
      <c r="N540" t="n">
        <v>0</v>
      </c>
      <c r="O540" t="n">
        <v>0</v>
      </c>
      <c r="P540" t="n">
        <v>0</v>
      </c>
      <c r="Q540" t="n">
        <v>0</v>
      </c>
      <c r="R540" s="2" t="inlineStr"/>
    </row>
    <row r="541" ht="15" customHeight="1">
      <c r="A541" t="inlineStr">
        <is>
          <t>A 27390-2021</t>
        </is>
      </c>
      <c r="B541" s="1" t="n">
        <v>44351</v>
      </c>
      <c r="C541" s="1" t="n">
        <v>45894</v>
      </c>
      <c r="D541" t="inlineStr">
        <is>
          <t>JÄMTLANDS LÄN</t>
        </is>
      </c>
      <c r="E541" t="inlineStr">
        <is>
          <t>ÅRE</t>
        </is>
      </c>
      <c r="G541" t="n">
        <v>14.9</v>
      </c>
      <c r="H541" t="n">
        <v>0</v>
      </c>
      <c r="I541" t="n">
        <v>0</v>
      </c>
      <c r="J541" t="n">
        <v>0</v>
      </c>
      <c r="K541" t="n">
        <v>0</v>
      </c>
      <c r="L541" t="n">
        <v>0</v>
      </c>
      <c r="M541" t="n">
        <v>0</v>
      </c>
      <c r="N541" t="n">
        <v>0</v>
      </c>
      <c r="O541" t="n">
        <v>0</v>
      </c>
      <c r="P541" t="n">
        <v>0</v>
      </c>
      <c r="Q541" t="n">
        <v>0</v>
      </c>
      <c r="R541" s="2" t="inlineStr"/>
    </row>
    <row r="542" ht="15" customHeight="1">
      <c r="A542" t="inlineStr">
        <is>
          <t>A 39202-2025</t>
        </is>
      </c>
      <c r="B542" s="1" t="n">
        <v>45888.72116898148</v>
      </c>
      <c r="C542" s="1" t="n">
        <v>45894</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911-2022</t>
        </is>
      </c>
      <c r="B543" s="1" t="n">
        <v>44570</v>
      </c>
      <c r="C543" s="1" t="n">
        <v>45894</v>
      </c>
      <c r="D543" t="inlineStr">
        <is>
          <t>JÄMTLANDS LÄN</t>
        </is>
      </c>
      <c r="E543" t="inlineStr">
        <is>
          <t>ÅRE</t>
        </is>
      </c>
      <c r="G543" t="n">
        <v>1.2</v>
      </c>
      <c r="H543" t="n">
        <v>0</v>
      </c>
      <c r="I543" t="n">
        <v>0</v>
      </c>
      <c r="J543" t="n">
        <v>0</v>
      </c>
      <c r="K543" t="n">
        <v>0</v>
      </c>
      <c r="L543" t="n">
        <v>0</v>
      </c>
      <c r="M543" t="n">
        <v>0</v>
      </c>
      <c r="N543" t="n">
        <v>0</v>
      </c>
      <c r="O543" t="n">
        <v>0</v>
      </c>
      <c r="P543" t="n">
        <v>0</v>
      </c>
      <c r="Q543" t="n">
        <v>0</v>
      </c>
      <c r="R543" s="2" t="inlineStr"/>
    </row>
    <row r="544" ht="15" customHeight="1">
      <c r="A544" t="inlineStr">
        <is>
          <t>A 17576-2024</t>
        </is>
      </c>
      <c r="B544" s="1" t="n">
        <v>45415</v>
      </c>
      <c r="C544" s="1" t="n">
        <v>45894</v>
      </c>
      <c r="D544" t="inlineStr">
        <is>
          <t>JÄMTLANDS LÄN</t>
        </is>
      </c>
      <c r="E544" t="inlineStr">
        <is>
          <t>ÅRE</t>
        </is>
      </c>
      <c r="G544" t="n">
        <v>0.1</v>
      </c>
      <c r="H544" t="n">
        <v>0</v>
      </c>
      <c r="I544" t="n">
        <v>0</v>
      </c>
      <c r="J544" t="n">
        <v>0</v>
      </c>
      <c r="K544" t="n">
        <v>0</v>
      </c>
      <c r="L544" t="n">
        <v>0</v>
      </c>
      <c r="M544" t="n">
        <v>0</v>
      </c>
      <c r="N544" t="n">
        <v>0</v>
      </c>
      <c r="O544" t="n">
        <v>0</v>
      </c>
      <c r="P544" t="n">
        <v>0</v>
      </c>
      <c r="Q544" t="n">
        <v>0</v>
      </c>
      <c r="R544" s="2" t="inlineStr"/>
    </row>
    <row r="545" ht="15" customHeight="1">
      <c r="A545" t="inlineStr">
        <is>
          <t>A 14283-2025</t>
        </is>
      </c>
      <c r="B545" s="1" t="n">
        <v>45740.65851851852</v>
      </c>
      <c r="C545" s="1" t="n">
        <v>45894</v>
      </c>
      <c r="D545" t="inlineStr">
        <is>
          <t>JÄMTLANDS LÄN</t>
        </is>
      </c>
      <c r="E545" t="inlineStr">
        <is>
          <t>ÅRE</t>
        </is>
      </c>
      <c r="G545" t="n">
        <v>4.6</v>
      </c>
      <c r="H545" t="n">
        <v>0</v>
      </c>
      <c r="I545" t="n">
        <v>0</v>
      </c>
      <c r="J545" t="n">
        <v>0</v>
      </c>
      <c r="K545" t="n">
        <v>0</v>
      </c>
      <c r="L545" t="n">
        <v>0</v>
      </c>
      <c r="M545" t="n">
        <v>0</v>
      </c>
      <c r="N545" t="n">
        <v>0</v>
      </c>
      <c r="O545" t="n">
        <v>0</v>
      </c>
      <c r="P545" t="n">
        <v>0</v>
      </c>
      <c r="Q545" t="n">
        <v>0</v>
      </c>
      <c r="R545" s="2" t="inlineStr"/>
    </row>
    <row r="546" ht="15" customHeight="1">
      <c r="A546" t="inlineStr">
        <is>
          <t>A 33379-2024</t>
        </is>
      </c>
      <c r="B546" s="1" t="n">
        <v>45519.4495949074</v>
      </c>
      <c r="C546" s="1" t="n">
        <v>45894</v>
      </c>
      <c r="D546" t="inlineStr">
        <is>
          <t>JÄMTLANDS LÄN</t>
        </is>
      </c>
      <c r="E546" t="inlineStr">
        <is>
          <t>ÅRE</t>
        </is>
      </c>
      <c r="G546" t="n">
        <v>1.5</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45894</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8217-2021</t>
        </is>
      </c>
      <c r="B548" s="1" t="n">
        <v>44244</v>
      </c>
      <c r="C548" s="1" t="n">
        <v>45894</v>
      </c>
      <c r="D548" t="inlineStr">
        <is>
          <t>JÄMTLANDS LÄN</t>
        </is>
      </c>
      <c r="E548" t="inlineStr">
        <is>
          <t>ÅRE</t>
        </is>
      </c>
      <c r="G548" t="n">
        <v>51.8</v>
      </c>
      <c r="H548" t="n">
        <v>0</v>
      </c>
      <c r="I548" t="n">
        <v>0</v>
      </c>
      <c r="J548" t="n">
        <v>0</v>
      </c>
      <c r="K548" t="n">
        <v>0</v>
      </c>
      <c r="L548" t="n">
        <v>0</v>
      </c>
      <c r="M548" t="n">
        <v>0</v>
      </c>
      <c r="N548" t="n">
        <v>0</v>
      </c>
      <c r="O548" t="n">
        <v>0</v>
      </c>
      <c r="P548" t="n">
        <v>0</v>
      </c>
      <c r="Q548" t="n">
        <v>0</v>
      </c>
      <c r="R548" s="2" t="inlineStr"/>
    </row>
    <row r="549" ht="15" customHeight="1">
      <c r="A549" t="inlineStr">
        <is>
          <t>A 35058-2025</t>
        </is>
      </c>
      <c r="B549" s="1" t="n">
        <v>45849</v>
      </c>
      <c r="C549" s="1" t="n">
        <v>45894</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34897-2025</t>
        </is>
      </c>
      <c r="B550" s="1" t="n">
        <v>45849</v>
      </c>
      <c r="C550" s="1" t="n">
        <v>45894</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34925-2025</t>
        </is>
      </c>
      <c r="B551" s="1" t="n">
        <v>45849</v>
      </c>
      <c r="C551" s="1" t="n">
        <v>45894</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45105-2024</t>
        </is>
      </c>
      <c r="B552" s="1" t="n">
        <v>45575.5909837963</v>
      </c>
      <c r="C552" s="1" t="n">
        <v>45894</v>
      </c>
      <c r="D552" t="inlineStr">
        <is>
          <t>JÄMTLANDS LÄN</t>
        </is>
      </c>
      <c r="E552" t="inlineStr">
        <is>
          <t>ÅRE</t>
        </is>
      </c>
      <c r="F552" t="inlineStr">
        <is>
          <t>Övriga Aktiebolag</t>
        </is>
      </c>
      <c r="G552" t="n">
        <v>5</v>
      </c>
      <c r="H552" t="n">
        <v>0</v>
      </c>
      <c r="I552" t="n">
        <v>0</v>
      </c>
      <c r="J552" t="n">
        <v>0</v>
      </c>
      <c r="K552" t="n">
        <v>0</v>
      </c>
      <c r="L552" t="n">
        <v>0</v>
      </c>
      <c r="M552" t="n">
        <v>0</v>
      </c>
      <c r="N552" t="n">
        <v>0</v>
      </c>
      <c r="O552" t="n">
        <v>0</v>
      </c>
      <c r="P552" t="n">
        <v>0</v>
      </c>
      <c r="Q552" t="n">
        <v>0</v>
      </c>
      <c r="R552" s="2" t="inlineStr"/>
    </row>
    <row r="553" ht="15" customHeight="1">
      <c r="A553" t="inlineStr">
        <is>
          <t>A 34231-2023</t>
        </is>
      </c>
      <c r="B553" s="1" t="n">
        <v>45127</v>
      </c>
      <c r="C553" s="1" t="n">
        <v>45894</v>
      </c>
      <c r="D553" t="inlineStr">
        <is>
          <t>JÄMTLANDS LÄN</t>
        </is>
      </c>
      <c r="E553" t="inlineStr">
        <is>
          <t>ÅRE</t>
        </is>
      </c>
      <c r="G553" t="n">
        <v>18.3</v>
      </c>
      <c r="H553" t="n">
        <v>0</v>
      </c>
      <c r="I553" t="n">
        <v>0</v>
      </c>
      <c r="J553" t="n">
        <v>0</v>
      </c>
      <c r="K553" t="n">
        <v>0</v>
      </c>
      <c r="L553" t="n">
        <v>0</v>
      </c>
      <c r="M553" t="n">
        <v>0</v>
      </c>
      <c r="N553" t="n">
        <v>0</v>
      </c>
      <c r="O553" t="n">
        <v>0</v>
      </c>
      <c r="P553" t="n">
        <v>0</v>
      </c>
      <c r="Q553" t="n">
        <v>0</v>
      </c>
      <c r="R553" s="2" t="inlineStr"/>
    </row>
    <row r="554" ht="15" customHeight="1">
      <c r="A554" t="inlineStr">
        <is>
          <t>A 39509-2025</t>
        </is>
      </c>
      <c r="B554" s="1" t="n">
        <v>45890.40737268519</v>
      </c>
      <c r="C554" s="1" t="n">
        <v>45894</v>
      </c>
      <c r="D554" t="inlineStr">
        <is>
          <t>JÄMTLANDS LÄN</t>
        </is>
      </c>
      <c r="E554" t="inlineStr">
        <is>
          <t>ÅRE</t>
        </is>
      </c>
      <c r="G554" t="n">
        <v>5.6</v>
      </c>
      <c r="H554" t="n">
        <v>0</v>
      </c>
      <c r="I554" t="n">
        <v>0</v>
      </c>
      <c r="J554" t="n">
        <v>0</v>
      </c>
      <c r="K554" t="n">
        <v>0</v>
      </c>
      <c r="L554" t="n">
        <v>0</v>
      </c>
      <c r="M554" t="n">
        <v>0</v>
      </c>
      <c r="N554" t="n">
        <v>0</v>
      </c>
      <c r="O554" t="n">
        <v>0</v>
      </c>
      <c r="P554" t="n">
        <v>0</v>
      </c>
      <c r="Q554" t="n">
        <v>0</v>
      </c>
      <c r="R554" s="2" t="inlineStr"/>
    </row>
    <row r="555" ht="15" customHeight="1">
      <c r="A555" t="inlineStr">
        <is>
          <t>A 34805-2025</t>
        </is>
      </c>
      <c r="B555" s="1" t="n">
        <v>45849.33071759259</v>
      </c>
      <c r="C555" s="1" t="n">
        <v>45894</v>
      </c>
      <c r="D555" t="inlineStr">
        <is>
          <t>JÄMTLANDS LÄN</t>
        </is>
      </c>
      <c r="E555" t="inlineStr">
        <is>
          <t>ÅRE</t>
        </is>
      </c>
      <c r="G555" t="n">
        <v>2.2</v>
      </c>
      <c r="H555" t="n">
        <v>0</v>
      </c>
      <c r="I555" t="n">
        <v>0</v>
      </c>
      <c r="J555" t="n">
        <v>0</v>
      </c>
      <c r="K555" t="n">
        <v>0</v>
      </c>
      <c r="L555" t="n">
        <v>0</v>
      </c>
      <c r="M555" t="n">
        <v>0</v>
      </c>
      <c r="N555" t="n">
        <v>0</v>
      </c>
      <c r="O555" t="n">
        <v>0</v>
      </c>
      <c r="P555" t="n">
        <v>0</v>
      </c>
      <c r="Q555" t="n">
        <v>0</v>
      </c>
      <c r="R555" s="2" t="inlineStr"/>
    </row>
    <row r="556" ht="15" customHeight="1">
      <c r="A556" t="inlineStr">
        <is>
          <t>A 59215-2024</t>
        </is>
      </c>
      <c r="B556" s="1" t="n">
        <v>45636</v>
      </c>
      <c r="C556" s="1" t="n">
        <v>45894</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35054-2025</t>
        </is>
      </c>
      <c r="B557" s="1" t="n">
        <v>45849</v>
      </c>
      <c r="C557" s="1" t="n">
        <v>45894</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39742-2025</t>
        </is>
      </c>
      <c r="B558" s="1" t="n">
        <v>45891.37998842593</v>
      </c>
      <c r="C558" s="1" t="n">
        <v>45894</v>
      </c>
      <c r="D558" t="inlineStr">
        <is>
          <t>JÄMTLANDS LÄN</t>
        </is>
      </c>
      <c r="E558" t="inlineStr">
        <is>
          <t>ÅRE</t>
        </is>
      </c>
      <c r="F558" t="inlineStr">
        <is>
          <t>Övriga statliga verk och myndigheter</t>
        </is>
      </c>
      <c r="G558" t="n">
        <v>6.2</v>
      </c>
      <c r="H558" t="n">
        <v>0</v>
      </c>
      <c r="I558" t="n">
        <v>0</v>
      </c>
      <c r="J558" t="n">
        <v>0</v>
      </c>
      <c r="K558" t="n">
        <v>0</v>
      </c>
      <c r="L558" t="n">
        <v>0</v>
      </c>
      <c r="M558" t="n">
        <v>0</v>
      </c>
      <c r="N558" t="n">
        <v>0</v>
      </c>
      <c r="O558" t="n">
        <v>0</v>
      </c>
      <c r="P558" t="n">
        <v>0</v>
      </c>
      <c r="Q558" t="n">
        <v>0</v>
      </c>
      <c r="R558" s="2" t="inlineStr"/>
    </row>
    <row r="559" ht="15" customHeight="1">
      <c r="A559" t="inlineStr">
        <is>
          <t>A 39744-2025</t>
        </is>
      </c>
      <c r="B559" s="1" t="n">
        <v>45891.38489583333</v>
      </c>
      <c r="C559" s="1" t="n">
        <v>45894</v>
      </c>
      <c r="D559" t="inlineStr">
        <is>
          <t>JÄMTLANDS LÄN</t>
        </is>
      </c>
      <c r="E559" t="inlineStr">
        <is>
          <t>ÅRE</t>
        </is>
      </c>
      <c r="F559" t="inlineStr">
        <is>
          <t>Övriga statliga verk och myndigheter</t>
        </is>
      </c>
      <c r="G559" t="n">
        <v>14.4</v>
      </c>
      <c r="H559" t="n">
        <v>0</v>
      </c>
      <c r="I559" t="n">
        <v>0</v>
      </c>
      <c r="J559" t="n">
        <v>0</v>
      </c>
      <c r="K559" t="n">
        <v>0</v>
      </c>
      <c r="L559" t="n">
        <v>0</v>
      </c>
      <c r="M559" t="n">
        <v>0</v>
      </c>
      <c r="N559" t="n">
        <v>0</v>
      </c>
      <c r="O559" t="n">
        <v>0</v>
      </c>
      <c r="P559" t="n">
        <v>0</v>
      </c>
      <c r="Q559" t="n">
        <v>0</v>
      </c>
      <c r="R559" s="2" t="inlineStr"/>
    </row>
    <row r="560" ht="15" customHeight="1">
      <c r="A560" t="inlineStr">
        <is>
          <t>A 10567-2025</t>
        </is>
      </c>
      <c r="B560" s="1" t="n">
        <v>45714</v>
      </c>
      <c r="C560" s="1" t="n">
        <v>45894</v>
      </c>
      <c r="D560" t="inlineStr">
        <is>
          <t>JÄMTLANDS LÄN</t>
        </is>
      </c>
      <c r="E560" t="inlineStr">
        <is>
          <t>ÅRE</t>
        </is>
      </c>
      <c r="G560" t="n">
        <v>3.6</v>
      </c>
      <c r="H560" t="n">
        <v>0</v>
      </c>
      <c r="I560" t="n">
        <v>0</v>
      </c>
      <c r="J560" t="n">
        <v>0</v>
      </c>
      <c r="K560" t="n">
        <v>0</v>
      </c>
      <c r="L560" t="n">
        <v>0</v>
      </c>
      <c r="M560" t="n">
        <v>0</v>
      </c>
      <c r="N560" t="n">
        <v>0</v>
      </c>
      <c r="O560" t="n">
        <v>0</v>
      </c>
      <c r="P560" t="n">
        <v>0</v>
      </c>
      <c r="Q560" t="n">
        <v>0</v>
      </c>
      <c r="R560" s="2" t="inlineStr"/>
    </row>
    <row r="561" ht="15" customHeight="1">
      <c r="A561" t="inlineStr">
        <is>
          <t>A 59968-2023</t>
        </is>
      </c>
      <c r="B561" s="1" t="n">
        <v>45254</v>
      </c>
      <c r="C561" s="1" t="n">
        <v>45894</v>
      </c>
      <c r="D561" t="inlineStr">
        <is>
          <t>JÄMTLANDS LÄN</t>
        </is>
      </c>
      <c r="E561" t="inlineStr">
        <is>
          <t>ÅRE</t>
        </is>
      </c>
      <c r="G561" t="n">
        <v>1.7</v>
      </c>
      <c r="H561" t="n">
        <v>0</v>
      </c>
      <c r="I561" t="n">
        <v>0</v>
      </c>
      <c r="J561" t="n">
        <v>0</v>
      </c>
      <c r="K561" t="n">
        <v>0</v>
      </c>
      <c r="L561" t="n">
        <v>0</v>
      </c>
      <c r="M561" t="n">
        <v>0</v>
      </c>
      <c r="N561" t="n">
        <v>0</v>
      </c>
      <c r="O561" t="n">
        <v>0</v>
      </c>
      <c r="P561" t="n">
        <v>0</v>
      </c>
      <c r="Q561" t="n">
        <v>0</v>
      </c>
      <c r="R561" s="2" t="inlineStr"/>
    </row>
    <row r="562" ht="15" customHeight="1">
      <c r="A562" t="inlineStr">
        <is>
          <t>A 41266-2024</t>
        </is>
      </c>
      <c r="B562" s="1" t="n">
        <v>45559</v>
      </c>
      <c r="C562" s="1" t="n">
        <v>45894</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67270-2020</t>
        </is>
      </c>
      <c r="B563" s="1" t="n">
        <v>44179</v>
      </c>
      <c r="C563" s="1" t="n">
        <v>45894</v>
      </c>
      <c r="D563" t="inlineStr">
        <is>
          <t>JÄMTLANDS LÄN</t>
        </is>
      </c>
      <c r="E563" t="inlineStr">
        <is>
          <t>ÅRE</t>
        </is>
      </c>
      <c r="G563" t="n">
        <v>4.2</v>
      </c>
      <c r="H563" t="n">
        <v>0</v>
      </c>
      <c r="I563" t="n">
        <v>0</v>
      </c>
      <c r="J563" t="n">
        <v>0</v>
      </c>
      <c r="K563" t="n">
        <v>0</v>
      </c>
      <c r="L563" t="n">
        <v>0</v>
      </c>
      <c r="M563" t="n">
        <v>0</v>
      </c>
      <c r="N563" t="n">
        <v>0</v>
      </c>
      <c r="O563" t="n">
        <v>0</v>
      </c>
      <c r="P563" t="n">
        <v>0</v>
      </c>
      <c r="Q563" t="n">
        <v>0</v>
      </c>
      <c r="R563" s="2" t="inlineStr"/>
    </row>
    <row r="564" ht="15" customHeight="1">
      <c r="A564" t="inlineStr">
        <is>
          <t>A 23159-2024</t>
        </is>
      </c>
      <c r="B564" s="1" t="n">
        <v>45450.7033912037</v>
      </c>
      <c r="C564" s="1" t="n">
        <v>45894</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12227-2023</t>
        </is>
      </c>
      <c r="B565" s="1" t="n">
        <v>44998.60261574074</v>
      </c>
      <c r="C565" s="1" t="n">
        <v>45894</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57448-2023</t>
        </is>
      </c>
      <c r="B566" s="1" t="n">
        <v>45246.34405092592</v>
      </c>
      <c r="C566" s="1" t="n">
        <v>45894</v>
      </c>
      <c r="D566" t="inlineStr">
        <is>
          <t>JÄMTLANDS LÄN</t>
        </is>
      </c>
      <c r="E566" t="inlineStr">
        <is>
          <t>ÅRE</t>
        </is>
      </c>
      <c r="G566" t="n">
        <v>11.9</v>
      </c>
      <c r="H566" t="n">
        <v>0</v>
      </c>
      <c r="I566" t="n">
        <v>0</v>
      </c>
      <c r="J566" t="n">
        <v>0</v>
      </c>
      <c r="K566" t="n">
        <v>0</v>
      </c>
      <c r="L566" t="n">
        <v>0</v>
      </c>
      <c r="M566" t="n">
        <v>0</v>
      </c>
      <c r="N566" t="n">
        <v>0</v>
      </c>
      <c r="O566" t="n">
        <v>0</v>
      </c>
      <c r="P566" t="n">
        <v>0</v>
      </c>
      <c r="Q566" t="n">
        <v>0</v>
      </c>
      <c r="R566" s="2" t="inlineStr"/>
    </row>
    <row r="567" ht="15" customHeight="1">
      <c r="A567" t="inlineStr">
        <is>
          <t>A 64245-2021</t>
        </is>
      </c>
      <c r="B567" s="1" t="n">
        <v>44510</v>
      </c>
      <c r="C567" s="1" t="n">
        <v>45894</v>
      </c>
      <c r="D567" t="inlineStr">
        <is>
          <t>JÄMTLANDS LÄN</t>
        </is>
      </c>
      <c r="E567" t="inlineStr">
        <is>
          <t>ÅRE</t>
        </is>
      </c>
      <c r="G567" t="n">
        <v>1.8</v>
      </c>
      <c r="H567" t="n">
        <v>0</v>
      </c>
      <c r="I567" t="n">
        <v>0</v>
      </c>
      <c r="J567" t="n">
        <v>0</v>
      </c>
      <c r="K567" t="n">
        <v>0</v>
      </c>
      <c r="L567" t="n">
        <v>0</v>
      </c>
      <c r="M567" t="n">
        <v>0</v>
      </c>
      <c r="N567" t="n">
        <v>0</v>
      </c>
      <c r="O567" t="n">
        <v>0</v>
      </c>
      <c r="P567" t="n">
        <v>0</v>
      </c>
      <c r="Q567" t="n">
        <v>0</v>
      </c>
      <c r="R567" s="2" t="inlineStr"/>
    </row>
    <row r="568" ht="15" customHeight="1">
      <c r="A568" t="inlineStr">
        <is>
          <t>A 49818-2022</t>
        </is>
      </c>
      <c r="B568" s="1" t="n">
        <v>44859</v>
      </c>
      <c r="C568" s="1" t="n">
        <v>45894</v>
      </c>
      <c r="D568" t="inlineStr">
        <is>
          <t>JÄMTLANDS LÄN</t>
        </is>
      </c>
      <c r="E568" t="inlineStr">
        <is>
          <t>ÅRE</t>
        </is>
      </c>
      <c r="G568" t="n">
        <v>63</v>
      </c>
      <c r="H568" t="n">
        <v>0</v>
      </c>
      <c r="I568" t="n">
        <v>0</v>
      </c>
      <c r="J568" t="n">
        <v>0</v>
      </c>
      <c r="K568" t="n">
        <v>0</v>
      </c>
      <c r="L568" t="n">
        <v>0</v>
      </c>
      <c r="M568" t="n">
        <v>0</v>
      </c>
      <c r="N568" t="n">
        <v>0</v>
      </c>
      <c r="O568" t="n">
        <v>0</v>
      </c>
      <c r="P568" t="n">
        <v>0</v>
      </c>
      <c r="Q568" t="n">
        <v>0</v>
      </c>
      <c r="R568" s="2" t="inlineStr"/>
    </row>
    <row r="569" ht="15" customHeight="1">
      <c r="A569" t="inlineStr">
        <is>
          <t>A 52427-2021</t>
        </is>
      </c>
      <c r="B569" s="1" t="n">
        <v>44466.34178240741</v>
      </c>
      <c r="C569" s="1" t="n">
        <v>45894</v>
      </c>
      <c r="D569" t="inlineStr">
        <is>
          <t>JÄMTLANDS LÄN</t>
        </is>
      </c>
      <c r="E569" t="inlineStr">
        <is>
          <t>ÅRE</t>
        </is>
      </c>
      <c r="G569" t="n">
        <v>4</v>
      </c>
      <c r="H569" t="n">
        <v>0</v>
      </c>
      <c r="I569" t="n">
        <v>0</v>
      </c>
      <c r="J569" t="n">
        <v>0</v>
      </c>
      <c r="K569" t="n">
        <v>0</v>
      </c>
      <c r="L569" t="n">
        <v>0</v>
      </c>
      <c r="M569" t="n">
        <v>0</v>
      </c>
      <c r="N569" t="n">
        <v>0</v>
      </c>
      <c r="O569" t="n">
        <v>0</v>
      </c>
      <c r="P569" t="n">
        <v>0</v>
      </c>
      <c r="Q569" t="n">
        <v>0</v>
      </c>
      <c r="R569" s="2" t="inlineStr"/>
    </row>
    <row r="570" ht="15" customHeight="1">
      <c r="A570" t="inlineStr">
        <is>
          <t>A 54247-2024</t>
        </is>
      </c>
      <c r="B570" s="1" t="n">
        <v>45616</v>
      </c>
      <c r="C570" s="1" t="n">
        <v>45894</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58889-2022</t>
        </is>
      </c>
      <c r="B571" s="1" t="n">
        <v>44896</v>
      </c>
      <c r="C571" s="1" t="n">
        <v>45894</v>
      </c>
      <c r="D571" t="inlineStr">
        <is>
          <t>JÄMTLANDS LÄN</t>
        </is>
      </c>
      <c r="E571" t="inlineStr">
        <is>
          <t>ÅRE</t>
        </is>
      </c>
      <c r="G571" t="n">
        <v>6.9</v>
      </c>
      <c r="H571" t="n">
        <v>0</v>
      </c>
      <c r="I571" t="n">
        <v>0</v>
      </c>
      <c r="J571" t="n">
        <v>0</v>
      </c>
      <c r="K571" t="n">
        <v>0</v>
      </c>
      <c r="L571" t="n">
        <v>0</v>
      </c>
      <c r="M571" t="n">
        <v>0</v>
      </c>
      <c r="N571" t="n">
        <v>0</v>
      </c>
      <c r="O571" t="n">
        <v>0</v>
      </c>
      <c r="P571" t="n">
        <v>0</v>
      </c>
      <c r="Q571" t="n">
        <v>0</v>
      </c>
      <c r="R571" s="2" t="inlineStr"/>
    </row>
    <row r="572" ht="15" customHeight="1">
      <c r="A572" t="inlineStr">
        <is>
          <t>A 67972-2020</t>
        </is>
      </c>
      <c r="B572" s="1" t="n">
        <v>44182</v>
      </c>
      <c r="C572" s="1" t="n">
        <v>45894</v>
      </c>
      <c r="D572" t="inlineStr">
        <is>
          <t>JÄMTLANDS LÄN</t>
        </is>
      </c>
      <c r="E572" t="inlineStr">
        <is>
          <t>ÅRE</t>
        </is>
      </c>
      <c r="G572" t="n">
        <v>6</v>
      </c>
      <c r="H572" t="n">
        <v>0</v>
      </c>
      <c r="I572" t="n">
        <v>0</v>
      </c>
      <c r="J572" t="n">
        <v>0</v>
      </c>
      <c r="K572" t="n">
        <v>0</v>
      </c>
      <c r="L572" t="n">
        <v>0</v>
      </c>
      <c r="M572" t="n">
        <v>0</v>
      </c>
      <c r="N572" t="n">
        <v>0</v>
      </c>
      <c r="O572" t="n">
        <v>0</v>
      </c>
      <c r="P572" t="n">
        <v>0</v>
      </c>
      <c r="Q572" t="n">
        <v>0</v>
      </c>
      <c r="R572" s="2" t="inlineStr"/>
    </row>
    <row r="573" ht="15" customHeight="1">
      <c r="A573" t="inlineStr">
        <is>
          <t>A 73798-2021</t>
        </is>
      </c>
      <c r="B573" s="1" t="n">
        <v>44552</v>
      </c>
      <c r="C573" s="1" t="n">
        <v>45894</v>
      </c>
      <c r="D573" t="inlineStr">
        <is>
          <t>JÄMTLANDS LÄN</t>
        </is>
      </c>
      <c r="E573" t="inlineStr">
        <is>
          <t>ÅRE</t>
        </is>
      </c>
      <c r="G573" t="n">
        <v>2.5</v>
      </c>
      <c r="H573" t="n">
        <v>0</v>
      </c>
      <c r="I573" t="n">
        <v>0</v>
      </c>
      <c r="J573" t="n">
        <v>0</v>
      </c>
      <c r="K573" t="n">
        <v>0</v>
      </c>
      <c r="L573" t="n">
        <v>0</v>
      </c>
      <c r="M573" t="n">
        <v>0</v>
      </c>
      <c r="N573" t="n">
        <v>0</v>
      </c>
      <c r="O573" t="n">
        <v>0</v>
      </c>
      <c r="P573" t="n">
        <v>0</v>
      </c>
      <c r="Q573" t="n">
        <v>0</v>
      </c>
      <c r="R573" s="2" t="inlineStr"/>
    </row>
    <row r="574" ht="15" customHeight="1">
      <c r="A574" t="inlineStr">
        <is>
          <t>A 22603-2025</t>
        </is>
      </c>
      <c r="B574" s="1" t="n">
        <v>45786</v>
      </c>
      <c r="C574" s="1" t="n">
        <v>45894</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15692-2025</t>
        </is>
      </c>
      <c r="B575" s="1" t="n">
        <v>45748</v>
      </c>
      <c r="C575" s="1" t="n">
        <v>45894</v>
      </c>
      <c r="D575" t="inlineStr">
        <is>
          <t>JÄMTLANDS LÄN</t>
        </is>
      </c>
      <c r="E575" t="inlineStr">
        <is>
          <t>ÅRE</t>
        </is>
      </c>
      <c r="G575" t="n">
        <v>2.7</v>
      </c>
      <c r="H575" t="n">
        <v>0</v>
      </c>
      <c r="I575" t="n">
        <v>0</v>
      </c>
      <c r="J575" t="n">
        <v>0</v>
      </c>
      <c r="K575" t="n">
        <v>0</v>
      </c>
      <c r="L575" t="n">
        <v>0</v>
      </c>
      <c r="M575" t="n">
        <v>0</v>
      </c>
      <c r="N575" t="n">
        <v>0</v>
      </c>
      <c r="O575" t="n">
        <v>0</v>
      </c>
      <c r="P575" t="n">
        <v>0</v>
      </c>
      <c r="Q575" t="n">
        <v>0</v>
      </c>
      <c r="R575" s="2" t="inlineStr"/>
    </row>
    <row r="576" ht="15" customHeight="1">
      <c r="A576" t="inlineStr">
        <is>
          <t>A 1414-2023</t>
        </is>
      </c>
      <c r="B576" s="1" t="n">
        <v>44936</v>
      </c>
      <c r="C576" s="1" t="n">
        <v>45894</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45113-2024</t>
        </is>
      </c>
      <c r="B577" s="1" t="n">
        <v>45575.59709490741</v>
      </c>
      <c r="C577" s="1" t="n">
        <v>45894</v>
      </c>
      <c r="D577" t="inlineStr">
        <is>
          <t>JÄMTLANDS LÄN</t>
        </is>
      </c>
      <c r="E577" t="inlineStr">
        <is>
          <t>ÅRE</t>
        </is>
      </c>
      <c r="G577" t="n">
        <v>3.7</v>
      </c>
      <c r="H577" t="n">
        <v>0</v>
      </c>
      <c r="I577" t="n">
        <v>0</v>
      </c>
      <c r="J577" t="n">
        <v>0</v>
      </c>
      <c r="K577" t="n">
        <v>0</v>
      </c>
      <c r="L577" t="n">
        <v>0</v>
      </c>
      <c r="M577" t="n">
        <v>0</v>
      </c>
      <c r="N577" t="n">
        <v>0</v>
      </c>
      <c r="O577" t="n">
        <v>0</v>
      </c>
      <c r="P577" t="n">
        <v>0</v>
      </c>
      <c r="Q577" t="n">
        <v>0</v>
      </c>
      <c r="R577" s="2" t="inlineStr"/>
    </row>
    <row r="578" ht="15" customHeight="1">
      <c r="A578" t="inlineStr">
        <is>
          <t>A 20480-2024</t>
        </is>
      </c>
      <c r="B578" s="1" t="n">
        <v>45435.71126157408</v>
      </c>
      <c r="C578" s="1" t="n">
        <v>45894</v>
      </c>
      <c r="D578" t="inlineStr">
        <is>
          <t>JÄMTLANDS LÄN</t>
        </is>
      </c>
      <c r="E578" t="inlineStr">
        <is>
          <t>ÅRE</t>
        </is>
      </c>
      <c r="G578" t="n">
        <v>2.7</v>
      </c>
      <c r="H578" t="n">
        <v>0</v>
      </c>
      <c r="I578" t="n">
        <v>0</v>
      </c>
      <c r="J578" t="n">
        <v>0</v>
      </c>
      <c r="K578" t="n">
        <v>0</v>
      </c>
      <c r="L578" t="n">
        <v>0</v>
      </c>
      <c r="M578" t="n">
        <v>0</v>
      </c>
      <c r="N578" t="n">
        <v>0</v>
      </c>
      <c r="O578" t="n">
        <v>0</v>
      </c>
      <c r="P578" t="n">
        <v>0</v>
      </c>
      <c r="Q578" t="n">
        <v>0</v>
      </c>
      <c r="R578" s="2" t="inlineStr"/>
    </row>
    <row r="579" ht="15" customHeight="1">
      <c r="A579" t="inlineStr">
        <is>
          <t>A 30379-2024</t>
        </is>
      </c>
      <c r="B579" s="1" t="n">
        <v>45491.43815972222</v>
      </c>
      <c r="C579" s="1" t="n">
        <v>45894</v>
      </c>
      <c r="D579" t="inlineStr">
        <is>
          <t>JÄMTLANDS LÄN</t>
        </is>
      </c>
      <c r="E579" t="inlineStr">
        <is>
          <t>ÅRE</t>
        </is>
      </c>
      <c r="G579" t="n">
        <v>2.4</v>
      </c>
      <c r="H579" t="n">
        <v>0</v>
      </c>
      <c r="I579" t="n">
        <v>0</v>
      </c>
      <c r="J579" t="n">
        <v>0</v>
      </c>
      <c r="K579" t="n">
        <v>0</v>
      </c>
      <c r="L579" t="n">
        <v>0</v>
      </c>
      <c r="M579" t="n">
        <v>0</v>
      </c>
      <c r="N579" t="n">
        <v>0</v>
      </c>
      <c r="O579" t="n">
        <v>0</v>
      </c>
      <c r="P579" t="n">
        <v>0</v>
      </c>
      <c r="Q579" t="n">
        <v>0</v>
      </c>
      <c r="R579" s="2" t="inlineStr"/>
    </row>
    <row r="580" ht="15" customHeight="1">
      <c r="A580" t="inlineStr">
        <is>
          <t>A 6358-2025</t>
        </is>
      </c>
      <c r="B580" s="1" t="n">
        <v>45699.36491898148</v>
      </c>
      <c r="C580" s="1" t="n">
        <v>45894</v>
      </c>
      <c r="D580" t="inlineStr">
        <is>
          <t>JÄMTLANDS LÄN</t>
        </is>
      </c>
      <c r="E580" t="inlineStr">
        <is>
          <t>ÅRE</t>
        </is>
      </c>
      <c r="G580" t="n">
        <v>5.6</v>
      </c>
      <c r="H580" t="n">
        <v>0</v>
      </c>
      <c r="I580" t="n">
        <v>0</v>
      </c>
      <c r="J580" t="n">
        <v>0</v>
      </c>
      <c r="K580" t="n">
        <v>0</v>
      </c>
      <c r="L580" t="n">
        <v>0</v>
      </c>
      <c r="M580" t="n">
        <v>0</v>
      </c>
      <c r="N580" t="n">
        <v>0</v>
      </c>
      <c r="O580" t="n">
        <v>0</v>
      </c>
      <c r="P580" t="n">
        <v>0</v>
      </c>
      <c r="Q580" t="n">
        <v>0</v>
      </c>
      <c r="R580" s="2" t="inlineStr"/>
    </row>
    <row r="581" ht="15" customHeight="1">
      <c r="A581" t="inlineStr">
        <is>
          <t>A 22602-2025</t>
        </is>
      </c>
      <c r="B581" s="1" t="n">
        <v>45786</v>
      </c>
      <c r="C581" s="1" t="n">
        <v>45894</v>
      </c>
      <c r="D581" t="inlineStr">
        <is>
          <t>JÄMTLANDS LÄN</t>
        </is>
      </c>
      <c r="E581" t="inlineStr">
        <is>
          <t>ÅRE</t>
        </is>
      </c>
      <c r="G581" t="n">
        <v>13.1</v>
      </c>
      <c r="H581" t="n">
        <v>0</v>
      </c>
      <c r="I581" t="n">
        <v>0</v>
      </c>
      <c r="J581" t="n">
        <v>0</v>
      </c>
      <c r="K581" t="n">
        <v>0</v>
      </c>
      <c r="L581" t="n">
        <v>0</v>
      </c>
      <c r="M581" t="n">
        <v>0</v>
      </c>
      <c r="N581" t="n">
        <v>0</v>
      </c>
      <c r="O581" t="n">
        <v>0</v>
      </c>
      <c r="P581" t="n">
        <v>0</v>
      </c>
      <c r="Q581" t="n">
        <v>0</v>
      </c>
      <c r="R581" s="2" t="inlineStr"/>
    </row>
    <row r="582" ht="15" customHeight="1">
      <c r="A582" t="inlineStr">
        <is>
          <t>A 27946-2021</t>
        </is>
      </c>
      <c r="B582" s="1" t="n">
        <v>44354</v>
      </c>
      <c r="C582" s="1" t="n">
        <v>45894</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c r="A583" t="inlineStr">
        <is>
          <t>A 37734-2023</t>
        </is>
      </c>
      <c r="B583" s="1" t="n">
        <v>45159.61971064815</v>
      </c>
      <c r="C583" s="1" t="n">
        <v>45894</v>
      </c>
      <c r="D583" t="inlineStr">
        <is>
          <t>JÄMTLANDS LÄN</t>
        </is>
      </c>
      <c r="E583" t="inlineStr">
        <is>
          <t>ÅRE</t>
        </is>
      </c>
      <c r="G583" t="n">
        <v>3.4</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2025-08-25T08:31:06Z</dcterms:created>
  <dcterms:modified xmlns:dcterms="http://purl.org/dc/terms/" xmlns:xsi="http://www.w3.org/2001/XMLSchema-instance" xsi:type="dcterms:W3CDTF">2025-08-25T08:31:06Z</dcterms:modified>
</cp:coreProperties>
</file>