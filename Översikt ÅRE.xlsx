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46129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46129</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46129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46129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46129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46129</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46129</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46129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46129</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46129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46129</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46129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46129</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46129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46129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46129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46129</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46129</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46129</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46129</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46129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46129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46129</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46129</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46129</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6089-2025</t>
        </is>
      </c>
      <c r="B27" s="1" t="n">
        <v>45697.72040509259</v>
      </c>
      <c r="C27" s="1" t="n">
        <v>46129</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Kötticka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36974-2025</t>
        </is>
      </c>
      <c r="B28" s="1" t="n">
        <v>45874.63766203704</v>
      </c>
      <c r="C28" s="1" t="n">
        <v>46129</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46129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46129</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46129</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46129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46129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46129</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46129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17107-2025</t>
        </is>
      </c>
      <c r="B36" s="1" t="n">
        <v>45755</v>
      </c>
      <c r="C36" s="1" t="n">
        <v>46129</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46129</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40788-2023</t>
        </is>
      </c>
      <c r="B38" s="1" t="n">
        <v>45170</v>
      </c>
      <c r="C38" s="1" t="n">
        <v>46129</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46129</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46129</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46129</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46129</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46129</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46129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46129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46129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46129</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46129</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37891-2025</t>
        </is>
      </c>
      <c r="B49" s="1" t="n">
        <v>45881.54024305556</v>
      </c>
      <c r="C49" s="1" t="n">
        <v>46129</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46129</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46129</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46129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46129</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23822-2024</t>
        </is>
      </c>
      <c r="B54" s="1" t="n">
        <v>45455.46412037037</v>
      </c>
      <c r="C54" s="1" t="n">
        <v>46129</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53500-2024</t>
        </is>
      </c>
      <c r="B55" s="1" t="n">
        <v>45614</v>
      </c>
      <c r="C55" s="1" t="n">
        <v>46129</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10619-2023</t>
        </is>
      </c>
      <c r="B56" s="1" t="n">
        <v>44984</v>
      </c>
      <c r="C56" s="1" t="n">
        <v>46129</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46129</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46129</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46129</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46129</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46129</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46129</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46129</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46129</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57417-2025</t>
        </is>
      </c>
      <c r="B65" s="1" t="n">
        <v>45980.45195601852</v>
      </c>
      <c r="C65" s="1" t="n">
        <v>46129</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4938-2025</t>
        </is>
      </c>
      <c r="B66" s="1" t="n">
        <v>45688</v>
      </c>
      <c r="C66" s="1" t="n">
        <v>46129</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43942-2024</t>
        </is>
      </c>
      <c r="B67" s="1" t="n">
        <v>45572</v>
      </c>
      <c r="C67" s="1" t="n">
        <v>46129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46129</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46129</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46129</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46129</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46129</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46129</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46129</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48189-2025</t>
        </is>
      </c>
      <c r="B75" s="1" t="n">
        <v>45931</v>
      </c>
      <c r="C75" s="1" t="n">
        <v>46129</v>
      </c>
      <c r="D75" t="inlineStr">
        <is>
          <t>JÄMTLANDS LÄN</t>
        </is>
      </c>
      <c r="E75" t="inlineStr">
        <is>
          <t>ÅRE</t>
        </is>
      </c>
      <c r="G75" t="n">
        <v>2.9</v>
      </c>
      <c r="H75" t="n">
        <v>1</v>
      </c>
      <c r="I75" t="n">
        <v>0</v>
      </c>
      <c r="J75" t="n">
        <v>4</v>
      </c>
      <c r="K75" t="n">
        <v>0</v>
      </c>
      <c r="L75" t="n">
        <v>0</v>
      </c>
      <c r="M75" t="n">
        <v>0</v>
      </c>
      <c r="N75" t="n">
        <v>0</v>
      </c>
      <c r="O75" t="n">
        <v>4</v>
      </c>
      <c r="P75" t="n">
        <v>0</v>
      </c>
      <c r="Q75" t="n">
        <v>5</v>
      </c>
      <c r="R75" s="2" t="inlineStr">
        <is>
          <t>Garnlav
Granticka
Gränsticka
Ullticka
Orre</t>
        </is>
      </c>
      <c r="S75">
        <f>HYPERLINK("https://klasma.github.io/Logging_2321/artfynd/A 48189-2025 artfynd.xlsx", "A 48189-2025")</f>
        <v/>
      </c>
      <c r="T75">
        <f>HYPERLINK("https://klasma.github.io/Logging_2321/kartor/A 48189-2025 karta.png", "A 48189-2025")</f>
        <v/>
      </c>
      <c r="V75">
        <f>HYPERLINK("https://klasma.github.io/Logging_2321/klagomål/A 48189-2025 FSC-klagomål.docx", "A 48189-2025")</f>
        <v/>
      </c>
      <c r="W75">
        <f>HYPERLINK("https://klasma.github.io/Logging_2321/klagomålsmail/A 48189-2025 FSC-klagomål mail.docx", "A 48189-2025")</f>
        <v/>
      </c>
      <c r="X75">
        <f>HYPERLINK("https://klasma.github.io/Logging_2321/tillsyn/A 48189-2025 tillsynsbegäran.docx", "A 48189-2025")</f>
        <v/>
      </c>
      <c r="Y75">
        <f>HYPERLINK("https://klasma.github.io/Logging_2321/tillsynsmail/A 48189-2025 tillsynsbegäran mail.docx", "A 48189-2025")</f>
        <v/>
      </c>
      <c r="Z75">
        <f>HYPERLINK("https://klasma.github.io/Logging_2321/fåglar/A 48189-2025 prioriterade fågelarter.docx", "A 48189-2025")</f>
        <v/>
      </c>
    </row>
    <row r="76" ht="15" customHeight="1">
      <c r="A76" t="inlineStr">
        <is>
          <t>A 42565-2024</t>
        </is>
      </c>
      <c r="B76" s="1" t="n">
        <v>45565</v>
      </c>
      <c r="C76" s="1" t="n">
        <v>46129</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10491-2024</t>
        </is>
      </c>
      <c r="B77" s="1" t="n">
        <v>45366</v>
      </c>
      <c r="C77" s="1" t="n">
        <v>46129</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62545-2025</t>
        </is>
      </c>
      <c r="B78" s="1" t="n">
        <v>46007.65723379629</v>
      </c>
      <c r="C78" s="1" t="n">
        <v>46129</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46129</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46129</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15371-2026</t>
        </is>
      </c>
      <c r="B81" s="1" t="n">
        <v>46105.87658564815</v>
      </c>
      <c r="C81" s="1" t="n">
        <v>46129</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46129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19925-2025</t>
        </is>
      </c>
      <c r="B83" s="1" t="n">
        <v>45771.634375</v>
      </c>
      <c r="C83" s="1" t="n">
        <v>46129</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54374-2025</t>
        </is>
      </c>
      <c r="B84" s="1" t="n">
        <v>45965</v>
      </c>
      <c r="C84" s="1" t="n">
        <v>46129</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56183-2022</t>
        </is>
      </c>
      <c r="B85" s="1" t="n">
        <v>44889</v>
      </c>
      <c r="C85" s="1" t="n">
        <v>46129</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59163-2025</t>
        </is>
      </c>
      <c r="B86" s="1" t="n">
        <v>45988.55412037037</v>
      </c>
      <c r="C86" s="1" t="n">
        <v>46129</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62273-2025</t>
        </is>
      </c>
      <c r="B87" s="1" t="n">
        <v>46006.62581018519</v>
      </c>
      <c r="C87" s="1" t="n">
        <v>46129</v>
      </c>
      <c r="D87" t="inlineStr">
        <is>
          <t>JÄMTLANDS LÄN</t>
        </is>
      </c>
      <c r="E87" t="inlineStr">
        <is>
          <t>ÅRE</t>
        </is>
      </c>
      <c r="G87" t="n">
        <v>11</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HYPERLINK("https://klasma.github.io/Logging_2321/artfynd/A 62273-2025 artfynd.xlsx", "A 62273-2025")</f>
        <v/>
      </c>
      <c r="T87">
        <f>HYPERLINK("https://klasma.github.io/Logging_2321/kartor/A 62273-2025 karta.png", "A 62273-2025")</f>
        <v/>
      </c>
      <c r="V87">
        <f>HYPERLINK("https://klasma.github.io/Logging_2321/klagomål/A 62273-2025 FSC-klagomål.docx", "A 62273-2025")</f>
        <v/>
      </c>
      <c r="W87">
        <f>HYPERLINK("https://klasma.github.io/Logging_2321/klagomålsmail/A 62273-2025 FSC-klagomål mail.docx", "A 62273-2025")</f>
        <v/>
      </c>
      <c r="X87">
        <f>HYPERLINK("https://klasma.github.io/Logging_2321/tillsyn/A 62273-2025 tillsynsbegäran.docx", "A 62273-2025")</f>
        <v/>
      </c>
      <c r="Y87">
        <f>HYPERLINK("https://klasma.github.io/Logging_2321/tillsynsmail/A 62273-2025 tillsynsbegäran mail.docx", "A 62273-2025")</f>
        <v/>
      </c>
      <c r="Z87">
        <f>HYPERLINK("https://klasma.github.io/Logging_2321/fåglar/A 62273-2025 prioriterade fågelarter.docx", "A 62273-2025")</f>
        <v/>
      </c>
    </row>
    <row r="88" ht="15" customHeight="1">
      <c r="A88" t="inlineStr">
        <is>
          <t>A 12271-2022</t>
        </is>
      </c>
      <c r="B88" s="1" t="n">
        <v>44637</v>
      </c>
      <c r="C88" s="1" t="n">
        <v>46129</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19277-2021</t>
        </is>
      </c>
      <c r="B89" s="1" t="n">
        <v>44309</v>
      </c>
      <c r="C89" s="1" t="n">
        <v>46129</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62621-2025</t>
        </is>
      </c>
      <c r="B90" s="1" t="n">
        <v>46008.34428240741</v>
      </c>
      <c r="C90" s="1" t="n">
        <v>46129</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57537-2024</t>
        </is>
      </c>
      <c r="B91" s="1" t="n">
        <v>45630</v>
      </c>
      <c r="C91" s="1" t="n">
        <v>46129</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46129</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22692-2025</t>
        </is>
      </c>
      <c r="B93" s="1" t="n">
        <v>45789.53834490741</v>
      </c>
      <c r="C93" s="1" t="n">
        <v>46129</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56549-2025</t>
        </is>
      </c>
      <c r="B94" s="1" t="n">
        <v>45975.48099537037</v>
      </c>
      <c r="C94" s="1" t="n">
        <v>46129</v>
      </c>
      <c r="D94" t="inlineStr">
        <is>
          <t>JÄMTLANDS LÄN</t>
        </is>
      </c>
      <c r="E94" t="inlineStr">
        <is>
          <t>ÅRE</t>
        </is>
      </c>
      <c r="F94" t="inlineStr">
        <is>
          <t>Övriga Aktiebolag</t>
        </is>
      </c>
      <c r="G94" t="n">
        <v>10.1</v>
      </c>
      <c r="H94" t="n">
        <v>0</v>
      </c>
      <c r="I94" t="n">
        <v>1</v>
      </c>
      <c r="J94" t="n">
        <v>2</v>
      </c>
      <c r="K94" t="n">
        <v>0</v>
      </c>
      <c r="L94" t="n">
        <v>0</v>
      </c>
      <c r="M94" t="n">
        <v>0</v>
      </c>
      <c r="N94" t="n">
        <v>0</v>
      </c>
      <c r="O94" t="n">
        <v>2</v>
      </c>
      <c r="P94" t="n">
        <v>0</v>
      </c>
      <c r="Q94" t="n">
        <v>3</v>
      </c>
      <c r="R94" s="2" t="inlineStr">
        <is>
          <t>Skrovellav
Ullticka
Stuplav</t>
        </is>
      </c>
      <c r="S94">
        <f>HYPERLINK("https://klasma.github.io/Logging_2321/artfynd/A 56549-2025 artfynd.xlsx", "A 56549-2025")</f>
        <v/>
      </c>
      <c r="T94">
        <f>HYPERLINK("https://klasma.github.io/Logging_2321/kartor/A 56549-2025 karta.png", "A 56549-2025")</f>
        <v/>
      </c>
      <c r="V94">
        <f>HYPERLINK("https://klasma.github.io/Logging_2321/klagomål/A 56549-2025 FSC-klagomål.docx", "A 56549-2025")</f>
        <v/>
      </c>
      <c r="W94">
        <f>HYPERLINK("https://klasma.github.io/Logging_2321/klagomålsmail/A 56549-2025 FSC-klagomål mail.docx", "A 56549-2025")</f>
        <v/>
      </c>
      <c r="X94">
        <f>HYPERLINK("https://klasma.github.io/Logging_2321/tillsyn/A 56549-2025 tillsynsbegäran.docx", "A 56549-2025")</f>
        <v/>
      </c>
      <c r="Y94">
        <f>HYPERLINK("https://klasma.github.io/Logging_2321/tillsynsmail/A 56549-2025 tillsynsbegäran mail.docx", "A 56549-2025")</f>
        <v/>
      </c>
    </row>
    <row r="95" ht="15" customHeight="1">
      <c r="A95" t="inlineStr">
        <is>
          <t>A 23729-2023</t>
        </is>
      </c>
      <c r="B95" s="1" t="n">
        <v>45072</v>
      </c>
      <c r="C95" s="1" t="n">
        <v>46129</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59237-2022</t>
        </is>
      </c>
      <c r="B96" s="1" t="n">
        <v>44904</v>
      </c>
      <c r="C96" s="1" t="n">
        <v>46129</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58387-2023</t>
        </is>
      </c>
      <c r="B97" s="1" t="n">
        <v>45250</v>
      </c>
      <c r="C97" s="1" t="n">
        <v>46129</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61875-2024</t>
        </is>
      </c>
      <c r="B98" s="1" t="n">
        <v>45651</v>
      </c>
      <c r="C98" s="1" t="n">
        <v>46129</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20124-2023</t>
        </is>
      </c>
      <c r="B99" s="1" t="n">
        <v>45055</v>
      </c>
      <c r="C99" s="1" t="n">
        <v>46129</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36260-2023</t>
        </is>
      </c>
      <c r="B100" s="1" t="n">
        <v>45151</v>
      </c>
      <c r="C100" s="1" t="n">
        <v>46129</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47988-2025</t>
        </is>
      </c>
      <c r="B101" s="1" t="n">
        <v>45931</v>
      </c>
      <c r="C101" s="1" t="n">
        <v>46129</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22601-2024</t>
        </is>
      </c>
      <c r="B102" s="1" t="n">
        <v>45447</v>
      </c>
      <c r="C102" s="1" t="n">
        <v>46129</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46129</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40386-2025</t>
        </is>
      </c>
      <c r="B104" s="1" t="n">
        <v>45895</v>
      </c>
      <c r="C104" s="1" t="n">
        <v>46129</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46129</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62522-2025</t>
        </is>
      </c>
      <c r="B106" s="1" t="n">
        <v>46007.61512731481</v>
      </c>
      <c r="C106" s="1" t="n">
        <v>46129</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21006-2022</t>
        </is>
      </c>
      <c r="B107" s="1" t="n">
        <v>44701</v>
      </c>
      <c r="C107" s="1" t="n">
        <v>46129</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54376-2025</t>
        </is>
      </c>
      <c r="B108" s="1" t="n">
        <v>45965</v>
      </c>
      <c r="C108" s="1" t="n">
        <v>46129</v>
      </c>
      <c r="D108" t="inlineStr">
        <is>
          <t>JÄMTLANDS LÄN</t>
        </is>
      </c>
      <c r="E108" t="inlineStr">
        <is>
          <t>ÅRE</t>
        </is>
      </c>
      <c r="G108" t="n">
        <v>5.3</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54376-2025 artfynd.xlsx", "A 54376-2025")</f>
        <v/>
      </c>
      <c r="T108">
        <f>HYPERLINK("https://klasma.github.io/Logging_2321/kartor/A 54376-2025 karta.png", "A 54376-2025")</f>
        <v/>
      </c>
      <c r="V108">
        <f>HYPERLINK("https://klasma.github.io/Logging_2321/klagomål/A 54376-2025 FSC-klagomål.docx", "A 54376-2025")</f>
        <v/>
      </c>
      <c r="W108">
        <f>HYPERLINK("https://klasma.github.io/Logging_2321/klagomålsmail/A 54376-2025 FSC-klagomål mail.docx", "A 54376-2025")</f>
        <v/>
      </c>
      <c r="X108">
        <f>HYPERLINK("https://klasma.github.io/Logging_2321/tillsyn/A 54376-2025 tillsynsbegäran.docx", "A 54376-2025")</f>
        <v/>
      </c>
      <c r="Y108">
        <f>HYPERLINK("https://klasma.github.io/Logging_2321/tillsynsmail/A 54376-2025 tillsynsbegäran mail.docx", "A 54376-2025")</f>
        <v/>
      </c>
    </row>
    <row r="109" ht="15" customHeight="1">
      <c r="A109" t="inlineStr">
        <is>
          <t>A 12269-2022</t>
        </is>
      </c>
      <c r="B109" s="1" t="n">
        <v>44637</v>
      </c>
      <c r="C109" s="1" t="n">
        <v>46129</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40245-2023</t>
        </is>
      </c>
      <c r="B110" s="1" t="n">
        <v>45167</v>
      </c>
      <c r="C110" s="1" t="n">
        <v>46129</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58082-2022</t>
        </is>
      </c>
      <c r="B111" s="1" t="n">
        <v>44900</v>
      </c>
      <c r="C111" s="1" t="n">
        <v>46129</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6934-2026</t>
        </is>
      </c>
      <c r="B112" s="1" t="n">
        <v>46057.55797453703</v>
      </c>
      <c r="C112" s="1" t="n">
        <v>46129</v>
      </c>
      <c r="D112" t="inlineStr">
        <is>
          <t>JÄMTLANDS LÄN</t>
        </is>
      </c>
      <c r="E112" t="inlineStr">
        <is>
          <t>ÅRE</t>
        </is>
      </c>
      <c r="G112" t="n">
        <v>3.4</v>
      </c>
      <c r="H112" t="n">
        <v>1</v>
      </c>
      <c r="I112" t="n">
        <v>0</v>
      </c>
      <c r="J112" t="n">
        <v>3</v>
      </c>
      <c r="K112" t="n">
        <v>0</v>
      </c>
      <c r="L112" t="n">
        <v>0</v>
      </c>
      <c r="M112" t="n">
        <v>0</v>
      </c>
      <c r="N112" t="n">
        <v>0</v>
      </c>
      <c r="O112" t="n">
        <v>3</v>
      </c>
      <c r="P112" t="n">
        <v>0</v>
      </c>
      <c r="Q112" t="n">
        <v>3</v>
      </c>
      <c r="R112" s="2" t="inlineStr">
        <is>
          <t>Garnlav
Granticka
Talltita</t>
        </is>
      </c>
      <c r="S112">
        <f>HYPERLINK("https://klasma.github.io/Logging_2321/artfynd/A 6934-2026 artfynd.xlsx", "A 6934-2026")</f>
        <v/>
      </c>
      <c r="T112">
        <f>HYPERLINK("https://klasma.github.io/Logging_2321/kartor/A 6934-2026 karta.png", "A 6934-2026")</f>
        <v/>
      </c>
      <c r="V112">
        <f>HYPERLINK("https://klasma.github.io/Logging_2321/klagomål/A 6934-2026 FSC-klagomål.docx", "A 6934-2026")</f>
        <v/>
      </c>
      <c r="W112">
        <f>HYPERLINK("https://klasma.github.io/Logging_2321/klagomålsmail/A 6934-2026 FSC-klagomål mail.docx", "A 6934-2026")</f>
        <v/>
      </c>
      <c r="X112">
        <f>HYPERLINK("https://klasma.github.io/Logging_2321/tillsyn/A 6934-2026 tillsynsbegäran.docx", "A 6934-2026")</f>
        <v/>
      </c>
      <c r="Y112">
        <f>HYPERLINK("https://klasma.github.io/Logging_2321/tillsynsmail/A 6934-2026 tillsynsbegäran mail.docx", "A 6934-2026")</f>
        <v/>
      </c>
      <c r="Z112">
        <f>HYPERLINK("https://klasma.github.io/Logging_2321/fåglar/A 6934-2026 prioriterade fågelarter.docx", "A 6934-2026")</f>
        <v/>
      </c>
    </row>
    <row r="113" ht="15" customHeight="1">
      <c r="A113" t="inlineStr">
        <is>
          <t>A 52588-2024</t>
        </is>
      </c>
      <c r="B113" s="1" t="n">
        <v>45609.69825231482</v>
      </c>
      <c r="C113" s="1" t="n">
        <v>46129</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23572-2021</t>
        </is>
      </c>
      <c r="B114" s="1" t="n">
        <v>44334</v>
      </c>
      <c r="C114" s="1" t="n">
        <v>46129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13625-2023</t>
        </is>
      </c>
      <c r="B115" s="1" t="n">
        <v>45006</v>
      </c>
      <c r="C115" s="1" t="n">
        <v>46129</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72934-2021</t>
        </is>
      </c>
      <c r="B116" s="1" t="n">
        <v>44547</v>
      </c>
      <c r="C116" s="1" t="n">
        <v>46129</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23706-2023</t>
        </is>
      </c>
      <c r="B117" s="1" t="n">
        <v>45072</v>
      </c>
      <c r="C117" s="1" t="n">
        <v>46129</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22231-2022</t>
        </is>
      </c>
      <c r="B118" s="1" t="n">
        <v>44712</v>
      </c>
      <c r="C118" s="1" t="n">
        <v>46129</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18851-2022</t>
        </is>
      </c>
      <c r="B119" s="1" t="n">
        <v>44690</v>
      </c>
      <c r="C119" s="1" t="n">
        <v>46129</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32114-2025</t>
        </is>
      </c>
      <c r="B120" s="1" t="n">
        <v>45835.48488425926</v>
      </c>
      <c r="C120" s="1" t="n">
        <v>46129</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23566-2021</t>
        </is>
      </c>
      <c r="B121" s="1" t="n">
        <v>44334</v>
      </c>
      <c r="C121" s="1" t="n">
        <v>46129</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47993-2025</t>
        </is>
      </c>
      <c r="B122" s="1" t="n">
        <v>45931</v>
      </c>
      <c r="C122" s="1" t="n">
        <v>46129</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36395-2025</t>
        </is>
      </c>
      <c r="B123" s="1" t="n">
        <v>45868.6211574074</v>
      </c>
      <c r="C123" s="1" t="n">
        <v>46129</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60533-2022</t>
        </is>
      </c>
      <c r="B124" s="1" t="n">
        <v>44904</v>
      </c>
      <c r="C124" s="1" t="n">
        <v>46129</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37204-2025</t>
        </is>
      </c>
      <c r="B125" s="1" t="n">
        <v>45875.69826388889</v>
      </c>
      <c r="C125" s="1" t="n">
        <v>46129</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41280-2025</t>
        </is>
      </c>
      <c r="B126" s="1" t="n">
        <v>45898</v>
      </c>
      <c r="C126" s="1" t="n">
        <v>46129</v>
      </c>
      <c r="D126" t="inlineStr">
        <is>
          <t>JÄMTLANDS LÄN</t>
        </is>
      </c>
      <c r="E126" t="inlineStr">
        <is>
          <t>ÅRE</t>
        </is>
      </c>
      <c r="F126" t="inlineStr">
        <is>
          <t>Övriga Aktiebolag</t>
        </is>
      </c>
      <c r="G126" t="n">
        <v>4.5</v>
      </c>
      <c r="H126" t="n">
        <v>1</v>
      </c>
      <c r="I126" t="n">
        <v>0</v>
      </c>
      <c r="J126" t="n">
        <v>2</v>
      </c>
      <c r="K126" t="n">
        <v>0</v>
      </c>
      <c r="L126" t="n">
        <v>0</v>
      </c>
      <c r="M126" t="n">
        <v>0</v>
      </c>
      <c r="N126" t="n">
        <v>0</v>
      </c>
      <c r="O126" t="n">
        <v>2</v>
      </c>
      <c r="P126" t="n">
        <v>0</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5418-2023</t>
        </is>
      </c>
      <c r="B127" s="1" t="n">
        <v>44957</v>
      </c>
      <c r="C127" s="1" t="n">
        <v>46129</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46129</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46129</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54128-2023</t>
        </is>
      </c>
      <c r="B130" s="1" t="n">
        <v>45232</v>
      </c>
      <c r="C130" s="1" t="n">
        <v>46129</v>
      </c>
      <c r="D130" t="inlineStr">
        <is>
          <t>JÄMTLANDS LÄN</t>
        </is>
      </c>
      <c r="E130" t="inlineStr">
        <is>
          <t>ÅRE</t>
        </is>
      </c>
      <c r="G130" t="n">
        <v>3.9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54128-2023 artfynd.xlsx", "A 54128-2023")</f>
        <v/>
      </c>
      <c r="T130">
        <f>HYPERLINK("https://klasma.github.io/Logging_2321/kartor/A 54128-2023 karta.png", "A 54128-2023")</f>
        <v/>
      </c>
      <c r="V130">
        <f>HYPERLINK("https://klasma.github.io/Logging_2321/klagomål/A 54128-2023 FSC-klagomål.docx", "A 54128-2023")</f>
        <v/>
      </c>
      <c r="W130">
        <f>HYPERLINK("https://klasma.github.io/Logging_2321/klagomålsmail/A 54128-2023 FSC-klagomål mail.docx", "A 54128-2023")</f>
        <v/>
      </c>
      <c r="X130">
        <f>HYPERLINK("https://klasma.github.io/Logging_2321/tillsyn/A 54128-2023 tillsynsbegäran.docx", "A 54128-2023")</f>
        <v/>
      </c>
      <c r="Y130">
        <f>HYPERLINK("https://klasma.github.io/Logging_2321/tillsynsmail/A 54128-2023 tillsynsbegäran mail.docx", "A 54128-2023")</f>
        <v/>
      </c>
      <c r="Z130">
        <f>HYPERLINK("https://klasma.github.io/Logging_2321/fåglar/A 54128-2023 prioriterade fågelarter.docx", "A 54128-2023")</f>
        <v/>
      </c>
    </row>
    <row r="131" ht="15" customHeight="1">
      <c r="A131" t="inlineStr">
        <is>
          <t>A 17482-2026</t>
        </is>
      </c>
      <c r="B131" s="1" t="n">
        <v>46120.55381944445</v>
      </c>
      <c r="C131" s="1" t="n">
        <v>46129</v>
      </c>
      <c r="D131" t="inlineStr">
        <is>
          <t>JÄMTLANDS LÄN</t>
        </is>
      </c>
      <c r="E131" t="inlineStr">
        <is>
          <t>ÅRE</t>
        </is>
      </c>
      <c r="G131" t="n">
        <v>20.2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17482-2026 artfynd.xlsx", "A 17482-2026")</f>
        <v/>
      </c>
      <c r="T131">
        <f>HYPERLINK("https://klasma.github.io/Logging_2321/kartor/A 17482-2026 karta.png", "A 17482-2026")</f>
        <v/>
      </c>
      <c r="V131">
        <f>HYPERLINK("https://klasma.github.io/Logging_2321/klagomål/A 17482-2026 FSC-klagomål.docx", "A 17482-2026")</f>
        <v/>
      </c>
      <c r="W131">
        <f>HYPERLINK("https://klasma.github.io/Logging_2321/klagomålsmail/A 17482-2026 FSC-klagomål mail.docx", "A 17482-2026")</f>
        <v/>
      </c>
      <c r="X131">
        <f>HYPERLINK("https://klasma.github.io/Logging_2321/tillsyn/A 17482-2026 tillsynsbegäran.docx", "A 17482-2026")</f>
        <v/>
      </c>
      <c r="Y131">
        <f>HYPERLINK("https://klasma.github.io/Logging_2321/tillsynsmail/A 17482-2026 tillsynsbegäran mail.docx", "A 17482-2026")</f>
        <v/>
      </c>
      <c r="Z131">
        <f>HYPERLINK("https://klasma.github.io/Logging_2321/fåglar/A 17482-2026 prioriterade fågelarter.docx", "A 17482-2026")</f>
        <v/>
      </c>
    </row>
    <row r="132" ht="15" customHeight="1">
      <c r="A132" t="inlineStr">
        <is>
          <t>A 64668-2021</t>
        </is>
      </c>
      <c r="B132" s="1" t="n">
        <v>44512</v>
      </c>
      <c r="C132" s="1" t="n">
        <v>46129</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46129</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11380-2026</t>
        </is>
      </c>
      <c r="B134" s="1" t="n">
        <v>46083.41158564815</v>
      </c>
      <c r="C134" s="1" t="n">
        <v>46129</v>
      </c>
      <c r="D134" t="inlineStr">
        <is>
          <t>JÄMTLANDS LÄN</t>
        </is>
      </c>
      <c r="E134" t="inlineStr">
        <is>
          <t>ÅRE</t>
        </is>
      </c>
      <c r="G134" t="n">
        <v>50.2</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11380-2026 artfynd.xlsx", "A 11380-2026")</f>
        <v/>
      </c>
      <c r="T134">
        <f>HYPERLINK("https://klasma.github.io/Logging_2321/kartor/A 11380-2026 karta.png", "A 11380-2026")</f>
        <v/>
      </c>
      <c r="V134">
        <f>HYPERLINK("https://klasma.github.io/Logging_2321/klagomål/A 11380-2026 FSC-klagomål.docx", "A 11380-2026")</f>
        <v/>
      </c>
      <c r="W134">
        <f>HYPERLINK("https://klasma.github.io/Logging_2321/klagomålsmail/A 11380-2026 FSC-klagomål mail.docx", "A 11380-2026")</f>
        <v/>
      </c>
      <c r="X134">
        <f>HYPERLINK("https://klasma.github.io/Logging_2321/tillsyn/A 11380-2026 tillsynsbegäran.docx", "A 11380-2026")</f>
        <v/>
      </c>
      <c r="Y134">
        <f>HYPERLINK("https://klasma.github.io/Logging_2321/tillsynsmail/A 11380-2026 tillsynsbegäran mail.docx", "A 11380-2026")</f>
        <v/>
      </c>
      <c r="Z134">
        <f>HYPERLINK("https://klasma.github.io/Logging_2321/fåglar/A 11380-2026 prioriterade fågelarter.docx", "A 11380-2026")</f>
        <v/>
      </c>
    </row>
    <row r="135" ht="15" customHeight="1">
      <c r="A135" t="inlineStr">
        <is>
          <t>A 5531-2023</t>
        </is>
      </c>
      <c r="B135" s="1" t="n">
        <v>44957</v>
      </c>
      <c r="C135" s="1" t="n">
        <v>46129</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46129</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46129</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46129</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52427-2021</t>
        </is>
      </c>
      <c r="B139" s="1" t="n">
        <v>44466.34178240741</v>
      </c>
      <c r="C139" s="1" t="n">
        <v>46129</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20501-2021</t>
        </is>
      </c>
      <c r="B140" s="1" t="n">
        <v>44315.68802083333</v>
      </c>
      <c r="C140" s="1" t="n">
        <v>46129</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58239-2021</t>
        </is>
      </c>
      <c r="B141" s="1" t="n">
        <v>44487</v>
      </c>
      <c r="C141" s="1" t="n">
        <v>46129</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46129</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20500-2021</t>
        </is>
      </c>
      <c r="B143" s="1" t="n">
        <v>44315.68729166667</v>
      </c>
      <c r="C143" s="1" t="n">
        <v>46129</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8131-2024</t>
        </is>
      </c>
      <c r="B144" s="1" t="n">
        <v>45351</v>
      </c>
      <c r="C144" s="1" t="n">
        <v>46129</v>
      </c>
      <c r="D144" t="inlineStr">
        <is>
          <t>JÄMTLANDS LÄN</t>
        </is>
      </c>
      <c r="E144" t="inlineStr">
        <is>
          <t>ÅRE</t>
        </is>
      </c>
      <c r="F144" t="inlineStr">
        <is>
          <t>Övriga Aktiebolag</t>
        </is>
      </c>
      <c r="G144" t="n">
        <v>3.1</v>
      </c>
      <c r="H144" t="n">
        <v>0</v>
      </c>
      <c r="I144" t="n">
        <v>0</v>
      </c>
      <c r="J144" t="n">
        <v>0</v>
      </c>
      <c r="K144" t="n">
        <v>1</v>
      </c>
      <c r="L144" t="n">
        <v>0</v>
      </c>
      <c r="M144" t="n">
        <v>0</v>
      </c>
      <c r="N144" t="n">
        <v>0</v>
      </c>
      <c r="O144" t="n">
        <v>1</v>
      </c>
      <c r="P144" t="n">
        <v>1</v>
      </c>
      <c r="Q144" t="n">
        <v>1</v>
      </c>
      <c r="R144" s="2" t="inlineStr">
        <is>
          <t>Gräddporing</t>
        </is>
      </c>
      <c r="S144">
        <f>HYPERLINK("https://klasma.github.io/Logging_2321/artfynd/A 8131-2024 artfynd.xlsx", "A 8131-2024")</f>
        <v/>
      </c>
      <c r="T144">
        <f>HYPERLINK("https://klasma.github.io/Logging_2321/kartor/A 8131-2024 karta.png", "A 8131-2024")</f>
        <v/>
      </c>
      <c r="V144">
        <f>HYPERLINK("https://klasma.github.io/Logging_2321/klagomål/A 8131-2024 FSC-klagomål.docx", "A 8131-2024")</f>
        <v/>
      </c>
      <c r="W144">
        <f>HYPERLINK("https://klasma.github.io/Logging_2321/klagomålsmail/A 8131-2024 FSC-klagomål mail.docx", "A 8131-2024")</f>
        <v/>
      </c>
      <c r="X144">
        <f>HYPERLINK("https://klasma.github.io/Logging_2321/tillsyn/A 8131-2024 tillsynsbegäran.docx", "A 8131-2024")</f>
        <v/>
      </c>
      <c r="Y144">
        <f>HYPERLINK("https://klasma.github.io/Logging_2321/tillsynsmail/A 8131-2024 tillsynsbegäran mail.docx", "A 8131-2024")</f>
        <v/>
      </c>
    </row>
    <row r="145" ht="15" customHeight="1">
      <c r="A145" t="inlineStr">
        <is>
          <t>A 55718-2025</t>
        </is>
      </c>
      <c r="B145" s="1" t="n">
        <v>45972.49988425926</v>
      </c>
      <c r="C145" s="1" t="n">
        <v>46129</v>
      </c>
      <c r="D145" t="inlineStr">
        <is>
          <t>JÄMTLANDS LÄN</t>
        </is>
      </c>
      <c r="E145" t="inlineStr">
        <is>
          <t>ÅRE</t>
        </is>
      </c>
      <c r="F145" t="inlineStr">
        <is>
          <t>Övriga Aktiebolag</t>
        </is>
      </c>
      <c r="G145" t="n">
        <v>1.1</v>
      </c>
      <c r="H145" t="n">
        <v>1</v>
      </c>
      <c r="I145" t="n">
        <v>0</v>
      </c>
      <c r="J145" t="n">
        <v>0</v>
      </c>
      <c r="K145" t="n">
        <v>0</v>
      </c>
      <c r="L145" t="n">
        <v>0</v>
      </c>
      <c r="M145" t="n">
        <v>0</v>
      </c>
      <c r="N145" t="n">
        <v>0</v>
      </c>
      <c r="O145" t="n">
        <v>0</v>
      </c>
      <c r="P145" t="n">
        <v>0</v>
      </c>
      <c r="Q145" t="n">
        <v>1</v>
      </c>
      <c r="R145" s="2" t="inlineStr">
        <is>
          <t>Sparvuggla</t>
        </is>
      </c>
      <c r="S145">
        <f>HYPERLINK("https://klasma.github.io/Logging_2321/artfynd/A 55718-2025 artfynd.xlsx", "A 55718-2025")</f>
        <v/>
      </c>
      <c r="T145">
        <f>HYPERLINK("https://klasma.github.io/Logging_2321/kartor/A 55718-2025 karta.png", "A 55718-2025")</f>
        <v/>
      </c>
      <c r="V145">
        <f>HYPERLINK("https://klasma.github.io/Logging_2321/klagomål/A 55718-2025 FSC-klagomål.docx", "A 55718-2025")</f>
        <v/>
      </c>
      <c r="W145">
        <f>HYPERLINK("https://klasma.github.io/Logging_2321/klagomålsmail/A 55718-2025 FSC-klagomål mail.docx", "A 55718-2025")</f>
        <v/>
      </c>
      <c r="X145">
        <f>HYPERLINK("https://klasma.github.io/Logging_2321/tillsyn/A 55718-2025 tillsynsbegäran.docx", "A 55718-2025")</f>
        <v/>
      </c>
      <c r="Y145">
        <f>HYPERLINK("https://klasma.github.io/Logging_2321/tillsynsmail/A 55718-2025 tillsynsbegäran mail.docx", "A 55718-2025")</f>
        <v/>
      </c>
      <c r="Z145">
        <f>HYPERLINK("https://klasma.github.io/Logging_2321/fåglar/A 55718-2025 prioriterade fågelarter.docx", "A 55718-2025")</f>
        <v/>
      </c>
    </row>
    <row r="146" ht="15" customHeight="1">
      <c r="A146" t="inlineStr">
        <is>
          <t>A 23818-2025</t>
        </is>
      </c>
      <c r="B146" s="1" t="n">
        <v>45793.58469907408</v>
      </c>
      <c r="C146" s="1" t="n">
        <v>46129</v>
      </c>
      <c r="D146" t="inlineStr">
        <is>
          <t>JÄMTLANDS LÄN</t>
        </is>
      </c>
      <c r="E146" t="inlineStr">
        <is>
          <t>ÅRE</t>
        </is>
      </c>
      <c r="G146" t="n">
        <v>7.5</v>
      </c>
      <c r="H146" t="n">
        <v>1</v>
      </c>
      <c r="I146" t="n">
        <v>0</v>
      </c>
      <c r="J146" t="n">
        <v>0</v>
      </c>
      <c r="K146" t="n">
        <v>0</v>
      </c>
      <c r="L146" t="n">
        <v>0</v>
      </c>
      <c r="M146" t="n">
        <v>0</v>
      </c>
      <c r="N146" t="n">
        <v>0</v>
      </c>
      <c r="O146" t="n">
        <v>0</v>
      </c>
      <c r="P146" t="n">
        <v>0</v>
      </c>
      <c r="Q146" t="n">
        <v>1</v>
      </c>
      <c r="R146" s="2" t="inlineStr">
        <is>
          <t>Tjäder</t>
        </is>
      </c>
      <c r="S146">
        <f>HYPERLINK("https://klasma.github.io/Logging_2321/artfynd/A 23818-2025 artfynd.xlsx", "A 23818-2025")</f>
        <v/>
      </c>
      <c r="T146">
        <f>HYPERLINK("https://klasma.github.io/Logging_2321/kartor/A 23818-2025 karta.png", "A 23818-2025")</f>
        <v/>
      </c>
      <c r="V146">
        <f>HYPERLINK("https://klasma.github.io/Logging_2321/klagomål/A 23818-2025 FSC-klagomål.docx", "A 23818-2025")</f>
        <v/>
      </c>
      <c r="W146">
        <f>HYPERLINK("https://klasma.github.io/Logging_2321/klagomålsmail/A 23818-2025 FSC-klagomål mail.docx", "A 23818-2025")</f>
        <v/>
      </c>
      <c r="X146">
        <f>HYPERLINK("https://klasma.github.io/Logging_2321/tillsyn/A 23818-2025 tillsynsbegäran.docx", "A 23818-2025")</f>
        <v/>
      </c>
      <c r="Y146">
        <f>HYPERLINK("https://klasma.github.io/Logging_2321/tillsynsmail/A 23818-2025 tillsynsbegäran mail.docx", "A 23818-2025")</f>
        <v/>
      </c>
      <c r="Z146">
        <f>HYPERLINK("https://klasma.github.io/Logging_2321/fåglar/A 23818-2025 prioriterade fågelarter.docx", "A 23818-2025")</f>
        <v/>
      </c>
    </row>
    <row r="147" ht="15" customHeight="1">
      <c r="A147" t="inlineStr">
        <is>
          <t>A 61471-2023</t>
        </is>
      </c>
      <c r="B147" s="1" t="n">
        <v>45264</v>
      </c>
      <c r="C147" s="1" t="n">
        <v>46129</v>
      </c>
      <c r="D147" t="inlineStr">
        <is>
          <t>JÄMTLANDS LÄN</t>
        </is>
      </c>
      <c r="E147" t="inlineStr">
        <is>
          <t>ÅRE</t>
        </is>
      </c>
      <c r="G147" t="n">
        <v>1</v>
      </c>
      <c r="H147" t="n">
        <v>0</v>
      </c>
      <c r="I147" t="n">
        <v>0</v>
      </c>
      <c r="J147" t="n">
        <v>1</v>
      </c>
      <c r="K147" t="n">
        <v>0</v>
      </c>
      <c r="L147" t="n">
        <v>0</v>
      </c>
      <c r="M147" t="n">
        <v>0</v>
      </c>
      <c r="N147" t="n">
        <v>0</v>
      </c>
      <c r="O147" t="n">
        <v>1</v>
      </c>
      <c r="P147" t="n">
        <v>0</v>
      </c>
      <c r="Q147" t="n">
        <v>1</v>
      </c>
      <c r="R147" s="2" t="inlineStr">
        <is>
          <t>Skrovellav</t>
        </is>
      </c>
      <c r="S147">
        <f>HYPERLINK("https://klasma.github.io/Logging_2321/artfynd/A 61471-2023 artfynd.xlsx", "A 61471-2023")</f>
        <v/>
      </c>
      <c r="T147">
        <f>HYPERLINK("https://klasma.github.io/Logging_2321/kartor/A 61471-2023 karta.png", "A 61471-2023")</f>
        <v/>
      </c>
      <c r="V147">
        <f>HYPERLINK("https://klasma.github.io/Logging_2321/klagomål/A 61471-2023 FSC-klagomål.docx", "A 61471-2023")</f>
        <v/>
      </c>
      <c r="W147">
        <f>HYPERLINK("https://klasma.github.io/Logging_2321/klagomålsmail/A 61471-2023 FSC-klagomål mail.docx", "A 61471-2023")</f>
        <v/>
      </c>
      <c r="X147">
        <f>HYPERLINK("https://klasma.github.io/Logging_2321/tillsyn/A 61471-2023 tillsynsbegäran.docx", "A 61471-2023")</f>
        <v/>
      </c>
      <c r="Y147">
        <f>HYPERLINK("https://klasma.github.io/Logging_2321/tillsynsmail/A 61471-2023 tillsynsbegäran mail.docx", "A 61471-2023")</f>
        <v/>
      </c>
    </row>
    <row r="148" ht="15" customHeight="1">
      <c r="A148" t="inlineStr">
        <is>
          <t>A 18543-2021</t>
        </is>
      </c>
      <c r="B148" s="1" t="n">
        <v>44306</v>
      </c>
      <c r="C148" s="1" t="n">
        <v>46129</v>
      </c>
      <c r="D148" t="inlineStr">
        <is>
          <t>JÄMTLANDS LÄN</t>
        </is>
      </c>
      <c r="E148" t="inlineStr">
        <is>
          <t>ÅRE</t>
        </is>
      </c>
      <c r="G148" t="n">
        <v>1.7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18543-2021 artfynd.xlsx", "A 18543-2021")</f>
        <v/>
      </c>
      <c r="T148">
        <f>HYPERLINK("https://klasma.github.io/Logging_2321/kartor/A 18543-2021 karta.png", "A 18543-2021")</f>
        <v/>
      </c>
      <c r="V148">
        <f>HYPERLINK("https://klasma.github.io/Logging_2321/klagomål/A 18543-2021 FSC-klagomål.docx", "A 18543-2021")</f>
        <v/>
      </c>
      <c r="W148">
        <f>HYPERLINK("https://klasma.github.io/Logging_2321/klagomålsmail/A 18543-2021 FSC-klagomål mail.docx", "A 18543-2021")</f>
        <v/>
      </c>
      <c r="X148">
        <f>HYPERLINK("https://klasma.github.io/Logging_2321/tillsyn/A 18543-2021 tillsynsbegäran.docx", "A 18543-2021")</f>
        <v/>
      </c>
      <c r="Y148">
        <f>HYPERLINK("https://klasma.github.io/Logging_2321/tillsynsmail/A 18543-2021 tillsynsbegäran mail.docx", "A 18543-2021")</f>
        <v/>
      </c>
      <c r="Z148">
        <f>HYPERLINK("https://klasma.github.io/Logging_2321/fåglar/A 18543-2021 prioriterade fågelarter.docx", "A 18543-2021")</f>
        <v/>
      </c>
    </row>
    <row r="149" ht="15" customHeight="1">
      <c r="A149" t="inlineStr">
        <is>
          <t>A 14245-2025</t>
        </is>
      </c>
      <c r="B149" s="1" t="n">
        <v>45740</v>
      </c>
      <c r="C149" s="1" t="n">
        <v>46129</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15909-2025</t>
        </is>
      </c>
      <c r="B150" s="1" t="n">
        <v>45749</v>
      </c>
      <c r="C150" s="1" t="n">
        <v>46129</v>
      </c>
      <c r="D150" t="inlineStr">
        <is>
          <t>JÄMTLANDS LÄN</t>
        </is>
      </c>
      <c r="E150" t="inlineStr">
        <is>
          <t>ÅRE</t>
        </is>
      </c>
      <c r="G150" t="n">
        <v>23.8</v>
      </c>
      <c r="H150" t="n">
        <v>0</v>
      </c>
      <c r="I150" t="n">
        <v>0</v>
      </c>
      <c r="J150" t="n">
        <v>1</v>
      </c>
      <c r="K150" t="n">
        <v>0</v>
      </c>
      <c r="L150" t="n">
        <v>0</v>
      </c>
      <c r="M150" t="n">
        <v>0</v>
      </c>
      <c r="N150" t="n">
        <v>0</v>
      </c>
      <c r="O150" t="n">
        <v>1</v>
      </c>
      <c r="P150" t="n">
        <v>0</v>
      </c>
      <c r="Q150" t="n">
        <v>1</v>
      </c>
      <c r="R150" s="2" t="inlineStr">
        <is>
          <t>Garnlav</t>
        </is>
      </c>
      <c r="S150">
        <f>HYPERLINK("https://klasma.github.io/Logging_2321/artfynd/A 15909-2025 artfynd.xlsx", "A 15909-2025")</f>
        <v/>
      </c>
      <c r="T150">
        <f>HYPERLINK("https://klasma.github.io/Logging_2321/kartor/A 15909-2025 karta.png", "A 15909-2025")</f>
        <v/>
      </c>
      <c r="V150">
        <f>HYPERLINK("https://klasma.github.io/Logging_2321/klagomål/A 15909-2025 FSC-klagomål.docx", "A 15909-2025")</f>
        <v/>
      </c>
      <c r="W150">
        <f>HYPERLINK("https://klasma.github.io/Logging_2321/klagomålsmail/A 15909-2025 FSC-klagomål mail.docx", "A 15909-2025")</f>
        <v/>
      </c>
      <c r="X150">
        <f>HYPERLINK("https://klasma.github.io/Logging_2321/tillsyn/A 15909-2025 tillsynsbegäran.docx", "A 15909-2025")</f>
        <v/>
      </c>
      <c r="Y150">
        <f>HYPERLINK("https://klasma.github.io/Logging_2321/tillsynsmail/A 15909-2025 tillsynsbegäran mail.docx", "A 15909-2025")</f>
        <v/>
      </c>
    </row>
    <row r="151" ht="15" customHeight="1">
      <c r="A151" t="inlineStr">
        <is>
          <t>A 4937-2025</t>
        </is>
      </c>
      <c r="B151" s="1" t="n">
        <v>45688</v>
      </c>
      <c r="C151" s="1" t="n">
        <v>46129</v>
      </c>
      <c r="D151" t="inlineStr">
        <is>
          <t>JÄMTLANDS LÄN</t>
        </is>
      </c>
      <c r="E151" t="inlineStr">
        <is>
          <t>ÅRE</t>
        </is>
      </c>
      <c r="G151" t="n">
        <v>1.8</v>
      </c>
      <c r="H151" t="n">
        <v>0</v>
      </c>
      <c r="I151" t="n">
        <v>0</v>
      </c>
      <c r="J151" t="n">
        <v>1</v>
      </c>
      <c r="K151" t="n">
        <v>0</v>
      </c>
      <c r="L151" t="n">
        <v>0</v>
      </c>
      <c r="M151" t="n">
        <v>0</v>
      </c>
      <c r="N151" t="n">
        <v>0</v>
      </c>
      <c r="O151" t="n">
        <v>1</v>
      </c>
      <c r="P151" t="n">
        <v>0</v>
      </c>
      <c r="Q151" t="n">
        <v>1</v>
      </c>
      <c r="R151" s="2" t="inlineStr">
        <is>
          <t>Granticka</t>
        </is>
      </c>
      <c r="S151">
        <f>HYPERLINK("https://klasma.github.io/Logging_2321/artfynd/A 4937-2025 artfynd.xlsx", "A 4937-2025")</f>
        <v/>
      </c>
      <c r="T151">
        <f>HYPERLINK("https://klasma.github.io/Logging_2321/kartor/A 4937-2025 karta.png", "A 4937-2025")</f>
        <v/>
      </c>
      <c r="V151">
        <f>HYPERLINK("https://klasma.github.io/Logging_2321/klagomål/A 4937-2025 FSC-klagomål.docx", "A 4937-2025")</f>
        <v/>
      </c>
      <c r="W151">
        <f>HYPERLINK("https://klasma.github.io/Logging_2321/klagomålsmail/A 4937-2025 FSC-klagomål mail.docx", "A 4937-2025")</f>
        <v/>
      </c>
      <c r="X151">
        <f>HYPERLINK("https://klasma.github.io/Logging_2321/tillsyn/A 4937-2025 tillsynsbegäran.docx", "A 4937-2025")</f>
        <v/>
      </c>
      <c r="Y151">
        <f>HYPERLINK("https://klasma.github.io/Logging_2321/tillsynsmail/A 4937-2025 tillsynsbegäran mail.docx", "A 4937-2025")</f>
        <v/>
      </c>
    </row>
    <row r="152" ht="15" customHeight="1">
      <c r="A152" t="inlineStr">
        <is>
          <t>A 55194-2022</t>
        </is>
      </c>
      <c r="B152" s="1" t="n">
        <v>44886</v>
      </c>
      <c r="C152" s="1" t="n">
        <v>46129</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53462-2024</t>
        </is>
      </c>
      <c r="B153" s="1" t="n">
        <v>45614.55241898148</v>
      </c>
      <c r="C153" s="1" t="n">
        <v>46129</v>
      </c>
      <c r="D153" t="inlineStr">
        <is>
          <t>JÄMTLANDS LÄN</t>
        </is>
      </c>
      <c r="E153" t="inlineStr">
        <is>
          <t>ÅRE</t>
        </is>
      </c>
      <c r="G153" t="n">
        <v>12.8</v>
      </c>
      <c r="H153" t="n">
        <v>0</v>
      </c>
      <c r="I153" t="n">
        <v>0</v>
      </c>
      <c r="J153" t="n">
        <v>1</v>
      </c>
      <c r="K153" t="n">
        <v>0</v>
      </c>
      <c r="L153" t="n">
        <v>0</v>
      </c>
      <c r="M153" t="n">
        <v>0</v>
      </c>
      <c r="N153" t="n">
        <v>0</v>
      </c>
      <c r="O153" t="n">
        <v>1</v>
      </c>
      <c r="P153" t="n">
        <v>0</v>
      </c>
      <c r="Q153" t="n">
        <v>1</v>
      </c>
      <c r="R153" s="2" t="inlineStr">
        <is>
          <t>Granticka</t>
        </is>
      </c>
      <c r="S153">
        <f>HYPERLINK("https://klasma.github.io/Logging_2321/artfynd/A 53462-2024 artfynd.xlsx", "A 53462-2024")</f>
        <v/>
      </c>
      <c r="T153">
        <f>HYPERLINK("https://klasma.github.io/Logging_2321/kartor/A 53462-2024 karta.png", "A 53462-2024")</f>
        <v/>
      </c>
      <c r="V153">
        <f>HYPERLINK("https://klasma.github.io/Logging_2321/klagomål/A 53462-2024 FSC-klagomål.docx", "A 53462-2024")</f>
        <v/>
      </c>
      <c r="W153">
        <f>HYPERLINK("https://klasma.github.io/Logging_2321/klagomålsmail/A 53462-2024 FSC-klagomål mail.docx", "A 53462-2024")</f>
        <v/>
      </c>
      <c r="X153">
        <f>HYPERLINK("https://klasma.github.io/Logging_2321/tillsyn/A 53462-2024 tillsynsbegäran.docx", "A 53462-2024")</f>
        <v/>
      </c>
      <c r="Y153">
        <f>HYPERLINK("https://klasma.github.io/Logging_2321/tillsynsmail/A 53462-2024 tillsynsbegäran mail.docx", "A 53462-2024")</f>
        <v/>
      </c>
    </row>
    <row r="154" ht="15" customHeight="1">
      <c r="A154" t="inlineStr">
        <is>
          <t>A 21939-2025</t>
        </is>
      </c>
      <c r="B154" s="1" t="n">
        <v>45784.58445601852</v>
      </c>
      <c r="C154" s="1" t="n">
        <v>46129</v>
      </c>
      <c r="D154" t="inlineStr">
        <is>
          <t>JÄMTLANDS LÄN</t>
        </is>
      </c>
      <c r="E154" t="inlineStr">
        <is>
          <t>ÅRE</t>
        </is>
      </c>
      <c r="G154" t="n">
        <v>6.5</v>
      </c>
      <c r="H154" t="n">
        <v>0</v>
      </c>
      <c r="I154" t="n">
        <v>1</v>
      </c>
      <c r="J154" t="n">
        <v>0</v>
      </c>
      <c r="K154" t="n">
        <v>0</v>
      </c>
      <c r="L154" t="n">
        <v>0</v>
      </c>
      <c r="M154" t="n">
        <v>0</v>
      </c>
      <c r="N154" t="n">
        <v>0</v>
      </c>
      <c r="O154" t="n">
        <v>0</v>
      </c>
      <c r="P154" t="n">
        <v>0</v>
      </c>
      <c r="Q154" t="n">
        <v>1</v>
      </c>
      <c r="R154" s="2" t="inlineStr">
        <is>
          <t>Finbräken</t>
        </is>
      </c>
      <c r="S154">
        <f>HYPERLINK("https://klasma.github.io/Logging_2321/artfynd/A 21939-2025 artfynd.xlsx", "A 21939-2025")</f>
        <v/>
      </c>
      <c r="T154">
        <f>HYPERLINK("https://klasma.github.io/Logging_2321/kartor/A 21939-2025 karta.png", "A 21939-2025")</f>
        <v/>
      </c>
      <c r="V154">
        <f>HYPERLINK("https://klasma.github.io/Logging_2321/klagomål/A 21939-2025 FSC-klagomål.docx", "A 21939-2025")</f>
        <v/>
      </c>
      <c r="W154">
        <f>HYPERLINK("https://klasma.github.io/Logging_2321/klagomålsmail/A 21939-2025 FSC-klagomål mail.docx", "A 21939-2025")</f>
        <v/>
      </c>
      <c r="X154">
        <f>HYPERLINK("https://klasma.github.io/Logging_2321/tillsyn/A 21939-2025 tillsynsbegäran.docx", "A 21939-2025")</f>
        <v/>
      </c>
      <c r="Y154">
        <f>HYPERLINK("https://klasma.github.io/Logging_2321/tillsynsmail/A 21939-2025 tillsynsbegäran mail.docx", "A 21939-2025")</f>
        <v/>
      </c>
    </row>
    <row r="155" ht="15" customHeight="1">
      <c r="A155" t="inlineStr">
        <is>
          <t>A 12242-2022</t>
        </is>
      </c>
      <c r="B155" s="1" t="n">
        <v>44637</v>
      </c>
      <c r="C155" s="1" t="n">
        <v>46129</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45144-2024</t>
        </is>
      </c>
      <c r="B156" s="1" t="n">
        <v>45575.63767361111</v>
      </c>
      <c r="C156" s="1" t="n">
        <v>46129</v>
      </c>
      <c r="D156" t="inlineStr">
        <is>
          <t>JÄMTLANDS LÄN</t>
        </is>
      </c>
      <c r="E156" t="inlineStr">
        <is>
          <t>ÅRE</t>
        </is>
      </c>
      <c r="F156" t="inlineStr">
        <is>
          <t>Övriga Aktiebolag</t>
        </is>
      </c>
      <c r="G156" t="n">
        <v>14.7</v>
      </c>
      <c r="H156" t="n">
        <v>0</v>
      </c>
      <c r="I156" t="n">
        <v>0</v>
      </c>
      <c r="J156" t="n">
        <v>1</v>
      </c>
      <c r="K156" t="n">
        <v>0</v>
      </c>
      <c r="L156" t="n">
        <v>0</v>
      </c>
      <c r="M156" t="n">
        <v>0</v>
      </c>
      <c r="N156" t="n">
        <v>0</v>
      </c>
      <c r="O156" t="n">
        <v>1</v>
      </c>
      <c r="P156" t="n">
        <v>0</v>
      </c>
      <c r="Q156" t="n">
        <v>1</v>
      </c>
      <c r="R156" s="2" t="inlineStr">
        <is>
          <t>Garnlav</t>
        </is>
      </c>
      <c r="S156">
        <f>HYPERLINK("https://klasma.github.io/Logging_2321/artfynd/A 45144-2024 artfynd.xlsx", "A 45144-2024")</f>
        <v/>
      </c>
      <c r="T156">
        <f>HYPERLINK("https://klasma.github.io/Logging_2321/kartor/A 45144-2024 karta.png", "A 45144-2024")</f>
        <v/>
      </c>
      <c r="V156">
        <f>HYPERLINK("https://klasma.github.io/Logging_2321/klagomål/A 45144-2024 FSC-klagomål.docx", "A 45144-2024")</f>
        <v/>
      </c>
      <c r="W156">
        <f>HYPERLINK("https://klasma.github.io/Logging_2321/klagomålsmail/A 45144-2024 FSC-klagomål mail.docx", "A 45144-2024")</f>
        <v/>
      </c>
      <c r="X156">
        <f>HYPERLINK("https://klasma.github.io/Logging_2321/tillsyn/A 45144-2024 tillsynsbegäran.docx", "A 45144-2024")</f>
        <v/>
      </c>
      <c r="Y156">
        <f>HYPERLINK("https://klasma.github.io/Logging_2321/tillsynsmail/A 45144-2024 tillsynsbegäran mail.docx", "A 45144-2024")</f>
        <v/>
      </c>
    </row>
    <row r="157" ht="15" customHeight="1">
      <c r="A157" t="inlineStr">
        <is>
          <t>A 52746-2024</t>
        </is>
      </c>
      <c r="B157" s="1" t="n">
        <v>45610.4809375</v>
      </c>
      <c r="C157" s="1" t="n">
        <v>46129</v>
      </c>
      <c r="D157" t="inlineStr">
        <is>
          <t>JÄMTLANDS LÄN</t>
        </is>
      </c>
      <c r="E157" t="inlineStr">
        <is>
          <t>ÅRE</t>
        </is>
      </c>
      <c r="G157" t="n">
        <v>1.4</v>
      </c>
      <c r="H157" t="n">
        <v>1</v>
      </c>
      <c r="I157" t="n">
        <v>0</v>
      </c>
      <c r="J157" t="n">
        <v>0</v>
      </c>
      <c r="K157" t="n">
        <v>0</v>
      </c>
      <c r="L157" t="n">
        <v>0</v>
      </c>
      <c r="M157" t="n">
        <v>0</v>
      </c>
      <c r="N157" t="n">
        <v>0</v>
      </c>
      <c r="O157" t="n">
        <v>0</v>
      </c>
      <c r="P157" t="n">
        <v>0</v>
      </c>
      <c r="Q157" t="n">
        <v>1</v>
      </c>
      <c r="R157" s="2" t="inlineStr">
        <is>
          <t>Blåsippa</t>
        </is>
      </c>
      <c r="S157">
        <f>HYPERLINK("https://klasma.github.io/Logging_2321/artfynd/A 52746-2024 artfynd.xlsx", "A 52746-2024")</f>
        <v/>
      </c>
      <c r="T157">
        <f>HYPERLINK("https://klasma.github.io/Logging_2321/kartor/A 52746-2024 karta.png", "A 52746-2024")</f>
        <v/>
      </c>
      <c r="V157">
        <f>HYPERLINK("https://klasma.github.io/Logging_2321/klagomål/A 52746-2024 FSC-klagomål.docx", "A 52746-2024")</f>
        <v/>
      </c>
      <c r="W157">
        <f>HYPERLINK("https://klasma.github.io/Logging_2321/klagomålsmail/A 52746-2024 FSC-klagomål mail.docx", "A 52746-2024")</f>
        <v/>
      </c>
      <c r="X157">
        <f>HYPERLINK("https://klasma.github.io/Logging_2321/tillsyn/A 52746-2024 tillsynsbegäran.docx", "A 52746-2024")</f>
        <v/>
      </c>
      <c r="Y157">
        <f>HYPERLINK("https://klasma.github.io/Logging_2321/tillsynsmail/A 52746-2024 tillsynsbegäran mail.docx", "A 52746-2024")</f>
        <v/>
      </c>
    </row>
    <row r="158" ht="15" customHeight="1">
      <c r="A158" t="inlineStr">
        <is>
          <t>A 37082-2021</t>
        </is>
      </c>
      <c r="B158" s="1" t="n">
        <v>44395</v>
      </c>
      <c r="C158" s="1" t="n">
        <v>46129</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57493-2025</t>
        </is>
      </c>
      <c r="B159" s="1" t="n">
        <v>45980</v>
      </c>
      <c r="C159" s="1" t="n">
        <v>46129</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6628-2026</t>
        </is>
      </c>
      <c r="B160" s="1" t="n">
        <v>46056.51855324074</v>
      </c>
      <c r="C160" s="1" t="n">
        <v>46129</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46048.52958333334</v>
      </c>
      <c r="C161" s="1" t="n">
        <v>46129</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7854-2026</t>
        </is>
      </c>
      <c r="B162" s="1" t="n">
        <v>46062.67063657408</v>
      </c>
      <c r="C162" s="1" t="n">
        <v>46129</v>
      </c>
      <c r="D162" t="inlineStr">
        <is>
          <t>JÄMTLANDS LÄN</t>
        </is>
      </c>
      <c r="E162" t="inlineStr">
        <is>
          <t>ÅRE</t>
        </is>
      </c>
      <c r="G162" t="n">
        <v>6.5</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7854-2026 artfynd.xlsx", "A 7854-2026")</f>
        <v/>
      </c>
      <c r="T162">
        <f>HYPERLINK("https://klasma.github.io/Logging_2321/kartor/A 7854-2026 karta.png", "A 7854-2026")</f>
        <v/>
      </c>
      <c r="V162">
        <f>HYPERLINK("https://klasma.github.io/Logging_2321/klagomål/A 7854-2026 FSC-klagomål.docx", "A 7854-2026")</f>
        <v/>
      </c>
      <c r="W162">
        <f>HYPERLINK("https://klasma.github.io/Logging_2321/klagomålsmail/A 7854-2026 FSC-klagomål mail.docx", "A 7854-2026")</f>
        <v/>
      </c>
      <c r="X162">
        <f>HYPERLINK("https://klasma.github.io/Logging_2321/tillsyn/A 7854-2026 tillsynsbegäran.docx", "A 7854-2026")</f>
        <v/>
      </c>
      <c r="Y162">
        <f>HYPERLINK("https://klasma.github.io/Logging_2321/tillsynsmail/A 7854-2026 tillsynsbegäran mail.docx", "A 7854-2026")</f>
        <v/>
      </c>
      <c r="Z162">
        <f>HYPERLINK("https://klasma.github.io/Logging_2321/fåglar/A 7854-2026 prioriterade fågelarter.docx", "A 7854-2026")</f>
        <v/>
      </c>
    </row>
    <row r="163" ht="15" customHeight="1">
      <c r="A163" t="inlineStr">
        <is>
          <t>A 17692-2022</t>
        </is>
      </c>
      <c r="B163" s="1" t="n">
        <v>44680</v>
      </c>
      <c r="C163" s="1" t="n">
        <v>46129</v>
      </c>
      <c r="D163" t="inlineStr">
        <is>
          <t>JÄMTLANDS LÄN</t>
        </is>
      </c>
      <c r="E163" t="inlineStr">
        <is>
          <t>ÅRE</t>
        </is>
      </c>
      <c r="G163" t="n">
        <v>3.1</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17692-2022 artfynd.xlsx", "A 17692-2022")</f>
        <v/>
      </c>
      <c r="T163">
        <f>HYPERLINK("https://klasma.github.io/Logging_2321/kartor/A 17692-2022 karta.png", "A 17692-2022")</f>
        <v/>
      </c>
      <c r="V163">
        <f>HYPERLINK("https://klasma.github.io/Logging_2321/klagomål/A 17692-2022 FSC-klagomål.docx", "A 17692-2022")</f>
        <v/>
      </c>
      <c r="W163">
        <f>HYPERLINK("https://klasma.github.io/Logging_2321/klagomålsmail/A 17692-2022 FSC-klagomål mail.docx", "A 17692-2022")</f>
        <v/>
      </c>
      <c r="X163">
        <f>HYPERLINK("https://klasma.github.io/Logging_2321/tillsyn/A 17692-2022 tillsynsbegäran.docx", "A 17692-2022")</f>
        <v/>
      </c>
      <c r="Y163">
        <f>HYPERLINK("https://klasma.github.io/Logging_2321/tillsynsmail/A 17692-2022 tillsynsbegäran mail.docx", "A 17692-2022")</f>
        <v/>
      </c>
      <c r="Z163">
        <f>HYPERLINK("https://klasma.github.io/Logging_2321/fåglar/A 17692-2022 prioriterade fågelarter.docx", "A 17692-2022")</f>
        <v/>
      </c>
    </row>
    <row r="164" ht="15" customHeight="1">
      <c r="A164" t="inlineStr">
        <is>
          <t>A 16160-2026</t>
        </is>
      </c>
      <c r="B164" s="1" t="n">
        <v>46109.92699074074</v>
      </c>
      <c r="C164" s="1" t="n">
        <v>46129</v>
      </c>
      <c r="D164" t="inlineStr">
        <is>
          <t>JÄMTLANDS LÄN</t>
        </is>
      </c>
      <c r="E164" t="inlineStr">
        <is>
          <t>ÅRE</t>
        </is>
      </c>
      <c r="G164" t="n">
        <v>7.6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16160-2026 artfynd.xlsx", "A 16160-2026")</f>
        <v/>
      </c>
      <c r="T164">
        <f>HYPERLINK("https://klasma.github.io/Logging_2321/kartor/A 16160-2026 karta.png", "A 16160-2026")</f>
        <v/>
      </c>
      <c r="V164">
        <f>HYPERLINK("https://klasma.github.io/Logging_2321/klagomål/A 16160-2026 FSC-klagomål.docx", "A 16160-2026")</f>
        <v/>
      </c>
      <c r="W164">
        <f>HYPERLINK("https://klasma.github.io/Logging_2321/klagomålsmail/A 16160-2026 FSC-klagomål mail.docx", "A 16160-2026")</f>
        <v/>
      </c>
      <c r="X164">
        <f>HYPERLINK("https://klasma.github.io/Logging_2321/tillsyn/A 16160-2026 tillsynsbegäran.docx", "A 16160-2026")</f>
        <v/>
      </c>
      <c r="Y164">
        <f>HYPERLINK("https://klasma.github.io/Logging_2321/tillsynsmail/A 16160-2026 tillsynsbegäran mail.docx", "A 16160-2026")</f>
        <v/>
      </c>
      <c r="Z164">
        <f>HYPERLINK("https://klasma.github.io/Logging_2321/fåglar/A 16160-2026 prioriterade fågelarter.docx", "A 16160-2026")</f>
        <v/>
      </c>
    </row>
    <row r="165" ht="15" customHeight="1">
      <c r="A165" t="inlineStr">
        <is>
          <t>A 58226-2021</t>
        </is>
      </c>
      <c r="B165" s="1" t="n">
        <v>44487</v>
      </c>
      <c r="C165" s="1" t="n">
        <v>46129</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30032-2024</t>
        </is>
      </c>
      <c r="B166" s="1" t="n">
        <v>45485</v>
      </c>
      <c r="C166" s="1" t="n">
        <v>46129</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17260-2026</t>
        </is>
      </c>
      <c r="B167" s="1" t="n">
        <v>46119.46849537037</v>
      </c>
      <c r="C167" s="1" t="n">
        <v>46129</v>
      </c>
      <c r="D167" t="inlineStr">
        <is>
          <t>JÄMTLANDS LÄN</t>
        </is>
      </c>
      <c r="E167" t="inlineStr">
        <is>
          <t>ÅRE</t>
        </is>
      </c>
      <c r="F167" t="inlineStr">
        <is>
          <t>Övriga Aktiebolag</t>
        </is>
      </c>
      <c r="G167" t="n">
        <v>12.4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17260-2026 artfynd.xlsx", "A 17260-2026")</f>
        <v/>
      </c>
      <c r="T167">
        <f>HYPERLINK("https://klasma.github.io/Logging_2321/kartor/A 17260-2026 karta.png", "A 17260-2026")</f>
        <v/>
      </c>
      <c r="V167">
        <f>HYPERLINK("https://klasma.github.io/Logging_2321/klagomål/A 17260-2026 FSC-klagomål.docx", "A 17260-2026")</f>
        <v/>
      </c>
      <c r="W167">
        <f>HYPERLINK("https://klasma.github.io/Logging_2321/klagomålsmail/A 17260-2026 FSC-klagomål mail.docx", "A 17260-2026")</f>
        <v/>
      </c>
      <c r="X167">
        <f>HYPERLINK("https://klasma.github.io/Logging_2321/tillsyn/A 17260-2026 tillsynsbegäran.docx", "A 17260-2026")</f>
        <v/>
      </c>
      <c r="Y167">
        <f>HYPERLINK("https://klasma.github.io/Logging_2321/tillsynsmail/A 17260-2026 tillsynsbegäran mail.docx", "A 17260-2026")</f>
        <v/>
      </c>
      <c r="Z167">
        <f>HYPERLINK("https://klasma.github.io/Logging_2321/fåglar/A 17260-2026 prioriterade fågelarter.docx", "A 17260-2026")</f>
        <v/>
      </c>
    </row>
    <row r="168" ht="15" customHeight="1">
      <c r="A168" t="inlineStr">
        <is>
          <t>A 32216-2022</t>
        </is>
      </c>
      <c r="B168" s="1" t="n">
        <v>44781</v>
      </c>
      <c r="C168" s="1" t="n">
        <v>46129</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5480-2023</t>
        </is>
      </c>
      <c r="B169" s="1" t="n">
        <v>44957</v>
      </c>
      <c r="C169" s="1" t="n">
        <v>46129</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46129</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74392-2021</t>
        </is>
      </c>
      <c r="B171" s="1" t="n">
        <v>44559</v>
      </c>
      <c r="C171" s="1" t="n">
        <v>46129</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10632-2023</t>
        </is>
      </c>
      <c r="B172" s="1" t="n">
        <v>44984</v>
      </c>
      <c r="C172" s="1" t="n">
        <v>46129</v>
      </c>
      <c r="D172" t="inlineStr">
        <is>
          <t>JÄMTLANDS LÄN</t>
        </is>
      </c>
      <c r="E172" t="inlineStr">
        <is>
          <t>ÅRE</t>
        </is>
      </c>
      <c r="G172" t="n">
        <v>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10632-2023 artfynd.xlsx", "A 10632-2023")</f>
        <v/>
      </c>
      <c r="T172">
        <f>HYPERLINK("https://klasma.github.io/Logging_2321/kartor/A 10632-2023 karta.png", "A 10632-2023")</f>
        <v/>
      </c>
      <c r="V172">
        <f>HYPERLINK("https://klasma.github.io/Logging_2321/klagomål/A 10632-2023 FSC-klagomål.docx", "A 10632-2023")</f>
        <v/>
      </c>
      <c r="W172">
        <f>HYPERLINK("https://klasma.github.io/Logging_2321/klagomålsmail/A 10632-2023 FSC-klagomål mail.docx", "A 10632-2023")</f>
        <v/>
      </c>
      <c r="X172">
        <f>HYPERLINK("https://klasma.github.io/Logging_2321/tillsyn/A 10632-2023 tillsynsbegäran.docx", "A 10632-2023")</f>
        <v/>
      </c>
      <c r="Y172">
        <f>HYPERLINK("https://klasma.github.io/Logging_2321/tillsynsmail/A 10632-2023 tillsynsbegäran mail.docx", "A 10632-2023")</f>
        <v/>
      </c>
      <c r="Z172">
        <f>HYPERLINK("https://klasma.github.io/Logging_2321/fåglar/A 10632-2023 prioriterade fågelarter.docx", "A 10632-2023")</f>
        <v/>
      </c>
    </row>
    <row r="173" ht="15" customHeight="1">
      <c r="A173" t="inlineStr">
        <is>
          <t>A 69801-2021</t>
        </is>
      </c>
      <c r="B173" s="1" t="n">
        <v>44532</v>
      </c>
      <c r="C173" s="1" t="n">
        <v>46129</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46129</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46129</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46129</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46129</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46129</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46129</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46129</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46129</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46129</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46129</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46129</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46129</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46129</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46129</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46129</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46129</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46129</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46129</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46129</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46129</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46129</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46129</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46129</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46129</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46129</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46129</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46129</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71005-2021</t>
        </is>
      </c>
      <c r="B201" s="1" t="n">
        <v>44538.62987268518</v>
      </c>
      <c r="C201" s="1" t="n">
        <v>46129</v>
      </c>
      <c r="D201" t="inlineStr">
        <is>
          <t>JÄMTLANDS LÄN</t>
        </is>
      </c>
      <c r="E201" t="inlineStr">
        <is>
          <t>ÅRE</t>
        </is>
      </c>
      <c r="G201" t="n">
        <v>1.2</v>
      </c>
      <c r="H201" t="n">
        <v>0</v>
      </c>
      <c r="I201" t="n">
        <v>0</v>
      </c>
      <c r="J201" t="n">
        <v>0</v>
      </c>
      <c r="K201" t="n">
        <v>0</v>
      </c>
      <c r="L201" t="n">
        <v>0</v>
      </c>
      <c r="M201" t="n">
        <v>0</v>
      </c>
      <c r="N201" t="n">
        <v>0</v>
      </c>
      <c r="O201" t="n">
        <v>0</v>
      </c>
      <c r="P201" t="n">
        <v>0</v>
      </c>
      <c r="Q201" t="n">
        <v>0</v>
      </c>
      <c r="R201" s="2" t="inlineStr"/>
    </row>
    <row r="202" ht="15" customHeight="1">
      <c r="A202" t="inlineStr">
        <is>
          <t>A 33023-2022</t>
        </is>
      </c>
      <c r="B202" s="1" t="n">
        <v>44784</v>
      </c>
      <c r="C202" s="1" t="n">
        <v>46129</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46129</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70522-2021</t>
        </is>
      </c>
      <c r="B204" s="1" t="n">
        <v>44536.94172453704</v>
      </c>
      <c r="C204" s="1" t="n">
        <v>46129</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70523-2021</t>
        </is>
      </c>
      <c r="B205" s="1" t="n">
        <v>44536.94177083333</v>
      </c>
      <c r="C205" s="1" t="n">
        <v>46129</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46129</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46129</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61340-2022</t>
        </is>
      </c>
      <c r="B208" s="1" t="n">
        <v>44909</v>
      </c>
      <c r="C208" s="1" t="n">
        <v>46129</v>
      </c>
      <c r="D208" t="inlineStr">
        <is>
          <t>JÄMTLANDS LÄN</t>
        </is>
      </c>
      <c r="E208" t="inlineStr">
        <is>
          <t>ÅRE</t>
        </is>
      </c>
      <c r="G208" t="n">
        <v>4.4</v>
      </c>
      <c r="H208" t="n">
        <v>0</v>
      </c>
      <c r="I208" t="n">
        <v>0</v>
      </c>
      <c r="J208" t="n">
        <v>0</v>
      </c>
      <c r="K208" t="n">
        <v>0</v>
      </c>
      <c r="L208" t="n">
        <v>0</v>
      </c>
      <c r="M208" t="n">
        <v>0</v>
      </c>
      <c r="N208" t="n">
        <v>0</v>
      </c>
      <c r="O208" t="n">
        <v>0</v>
      </c>
      <c r="P208" t="n">
        <v>0</v>
      </c>
      <c r="Q208" t="n">
        <v>0</v>
      </c>
      <c r="R208" s="2" t="inlineStr"/>
    </row>
    <row r="209" ht="15" customHeight="1">
      <c r="A209" t="inlineStr">
        <is>
          <t>A 23117-2022</t>
        </is>
      </c>
      <c r="B209" s="1" t="n">
        <v>44719.56572916666</v>
      </c>
      <c r="C209" s="1" t="n">
        <v>46129</v>
      </c>
      <c r="D209" t="inlineStr">
        <is>
          <t>JÄMTLANDS LÄN</t>
        </is>
      </c>
      <c r="E209" t="inlineStr">
        <is>
          <t>ÅRE</t>
        </is>
      </c>
      <c r="G209" t="n">
        <v>3.5</v>
      </c>
      <c r="H209" t="n">
        <v>0</v>
      </c>
      <c r="I209" t="n">
        <v>0</v>
      </c>
      <c r="J209" t="n">
        <v>0</v>
      </c>
      <c r="K209" t="n">
        <v>0</v>
      </c>
      <c r="L209" t="n">
        <v>0</v>
      </c>
      <c r="M209" t="n">
        <v>0</v>
      </c>
      <c r="N209" t="n">
        <v>0</v>
      </c>
      <c r="O209" t="n">
        <v>0</v>
      </c>
      <c r="P209" t="n">
        <v>0</v>
      </c>
      <c r="Q209" t="n">
        <v>0</v>
      </c>
      <c r="R209" s="2" t="inlineStr"/>
    </row>
    <row r="210" ht="15" customHeight="1">
      <c r="A210" t="inlineStr">
        <is>
          <t>A 2376-2023</t>
        </is>
      </c>
      <c r="B210" s="1" t="n">
        <v>44942</v>
      </c>
      <c r="C210" s="1" t="n">
        <v>46129</v>
      </c>
      <c r="D210" t="inlineStr">
        <is>
          <t>JÄMTLANDS LÄN</t>
        </is>
      </c>
      <c r="E210" t="inlineStr">
        <is>
          <t>ÅRE</t>
        </is>
      </c>
      <c r="G210" t="n">
        <v>0.1</v>
      </c>
      <c r="H210" t="n">
        <v>0</v>
      </c>
      <c r="I210" t="n">
        <v>0</v>
      </c>
      <c r="J210" t="n">
        <v>0</v>
      </c>
      <c r="K210" t="n">
        <v>0</v>
      </c>
      <c r="L210" t="n">
        <v>0</v>
      </c>
      <c r="M210" t="n">
        <v>0</v>
      </c>
      <c r="N210" t="n">
        <v>0</v>
      </c>
      <c r="O210" t="n">
        <v>0</v>
      </c>
      <c r="P210" t="n">
        <v>0</v>
      </c>
      <c r="Q210" t="n">
        <v>0</v>
      </c>
      <c r="R210" s="2" t="inlineStr"/>
    </row>
    <row r="211" ht="15" customHeight="1">
      <c r="A211" t="inlineStr">
        <is>
          <t>A 33230-2024</t>
        </is>
      </c>
      <c r="B211" s="1" t="n">
        <v>45518.57418981481</v>
      </c>
      <c r="C211" s="1" t="n">
        <v>46129</v>
      </c>
      <c r="D211" t="inlineStr">
        <is>
          <t>JÄMTLANDS LÄN</t>
        </is>
      </c>
      <c r="E211" t="inlineStr">
        <is>
          <t>ÅRE</t>
        </is>
      </c>
      <c r="G211" t="n">
        <v>2.4</v>
      </c>
      <c r="H211" t="n">
        <v>0</v>
      </c>
      <c r="I211" t="n">
        <v>0</v>
      </c>
      <c r="J211" t="n">
        <v>0</v>
      </c>
      <c r="K211" t="n">
        <v>0</v>
      </c>
      <c r="L211" t="n">
        <v>0</v>
      </c>
      <c r="M211" t="n">
        <v>0</v>
      </c>
      <c r="N211" t="n">
        <v>0</v>
      </c>
      <c r="O211" t="n">
        <v>0</v>
      </c>
      <c r="P211" t="n">
        <v>0</v>
      </c>
      <c r="Q211" t="n">
        <v>0</v>
      </c>
      <c r="R211" s="2" t="inlineStr"/>
    </row>
    <row r="212" ht="15" customHeight="1">
      <c r="A212" t="inlineStr">
        <is>
          <t>A 31388-2021</t>
        </is>
      </c>
      <c r="B212" s="1" t="n">
        <v>44369</v>
      </c>
      <c r="C212" s="1" t="n">
        <v>46129</v>
      </c>
      <c r="D212" t="inlineStr">
        <is>
          <t>JÄMTLANDS LÄN</t>
        </is>
      </c>
      <c r="E212" t="inlineStr">
        <is>
          <t>ÅRE</t>
        </is>
      </c>
      <c r="G212" t="n">
        <v>2</v>
      </c>
      <c r="H212" t="n">
        <v>0</v>
      </c>
      <c r="I212" t="n">
        <v>0</v>
      </c>
      <c r="J212" t="n">
        <v>0</v>
      </c>
      <c r="K212" t="n">
        <v>0</v>
      </c>
      <c r="L212" t="n">
        <v>0</v>
      </c>
      <c r="M212" t="n">
        <v>0</v>
      </c>
      <c r="N212" t="n">
        <v>0</v>
      </c>
      <c r="O212" t="n">
        <v>0</v>
      </c>
      <c r="P212" t="n">
        <v>0</v>
      </c>
      <c r="Q212" t="n">
        <v>0</v>
      </c>
      <c r="R212" s="2" t="inlineStr"/>
    </row>
    <row r="213" ht="15" customHeight="1">
      <c r="A213" t="inlineStr">
        <is>
          <t>A 41653-2024</t>
        </is>
      </c>
      <c r="B213" s="1" t="n">
        <v>45560.64059027778</v>
      </c>
      <c r="C213" s="1" t="n">
        <v>46129</v>
      </c>
      <c r="D213" t="inlineStr">
        <is>
          <t>JÄMTLANDS LÄN</t>
        </is>
      </c>
      <c r="E213" t="inlineStr">
        <is>
          <t>ÅRE</t>
        </is>
      </c>
      <c r="G213" t="n">
        <v>0.5</v>
      </c>
      <c r="H213" t="n">
        <v>0</v>
      </c>
      <c r="I213" t="n">
        <v>0</v>
      </c>
      <c r="J213" t="n">
        <v>0</v>
      </c>
      <c r="K213" t="n">
        <v>0</v>
      </c>
      <c r="L213" t="n">
        <v>0</v>
      </c>
      <c r="M213" t="n">
        <v>0</v>
      </c>
      <c r="N213" t="n">
        <v>0</v>
      </c>
      <c r="O213" t="n">
        <v>0</v>
      </c>
      <c r="P213" t="n">
        <v>0</v>
      </c>
      <c r="Q213" t="n">
        <v>0</v>
      </c>
      <c r="R213" s="2" t="inlineStr"/>
    </row>
    <row r="214" ht="15" customHeight="1">
      <c r="A214" t="inlineStr">
        <is>
          <t>A 18253-2023</t>
        </is>
      </c>
      <c r="B214" s="1" t="n">
        <v>45041.48034722222</v>
      </c>
      <c r="C214" s="1" t="n">
        <v>46129</v>
      </c>
      <c r="D214" t="inlineStr">
        <is>
          <t>JÄMTLANDS LÄN</t>
        </is>
      </c>
      <c r="E214" t="inlineStr">
        <is>
          <t>ÅRE</t>
        </is>
      </c>
      <c r="G214" t="n">
        <v>1.3</v>
      </c>
      <c r="H214" t="n">
        <v>0</v>
      </c>
      <c r="I214" t="n">
        <v>0</v>
      </c>
      <c r="J214" t="n">
        <v>0</v>
      </c>
      <c r="K214" t="n">
        <v>0</v>
      </c>
      <c r="L214" t="n">
        <v>0</v>
      </c>
      <c r="M214" t="n">
        <v>0</v>
      </c>
      <c r="N214" t="n">
        <v>0</v>
      </c>
      <c r="O214" t="n">
        <v>0</v>
      </c>
      <c r="P214" t="n">
        <v>0</v>
      </c>
      <c r="Q214" t="n">
        <v>0</v>
      </c>
      <c r="R214" s="2" t="inlineStr"/>
    </row>
    <row r="215" ht="15" customHeight="1">
      <c r="A215" t="inlineStr">
        <is>
          <t>A 40341-2021</t>
        </is>
      </c>
      <c r="B215" s="1" t="n">
        <v>44419</v>
      </c>
      <c r="C215" s="1" t="n">
        <v>46129</v>
      </c>
      <c r="D215" t="inlineStr">
        <is>
          <t>JÄMTLANDS LÄN</t>
        </is>
      </c>
      <c r="E215" t="inlineStr">
        <is>
          <t>ÅRE</t>
        </is>
      </c>
      <c r="G215" t="n">
        <v>3</v>
      </c>
      <c r="H215" t="n">
        <v>0</v>
      </c>
      <c r="I215" t="n">
        <v>0</v>
      </c>
      <c r="J215" t="n">
        <v>0</v>
      </c>
      <c r="K215" t="n">
        <v>0</v>
      </c>
      <c r="L215" t="n">
        <v>0</v>
      </c>
      <c r="M215" t="n">
        <v>0</v>
      </c>
      <c r="N215" t="n">
        <v>0</v>
      </c>
      <c r="O215" t="n">
        <v>0</v>
      </c>
      <c r="P215" t="n">
        <v>0</v>
      </c>
      <c r="Q215" t="n">
        <v>0</v>
      </c>
      <c r="R215" s="2" t="inlineStr"/>
    </row>
    <row r="216" ht="15" customHeight="1">
      <c r="A216" t="inlineStr">
        <is>
          <t>A 73086-2021</t>
        </is>
      </c>
      <c r="B216" s="1" t="n">
        <v>44550</v>
      </c>
      <c r="C216" s="1" t="n">
        <v>46129</v>
      </c>
      <c r="D216" t="inlineStr">
        <is>
          <t>JÄMTLANDS LÄN</t>
        </is>
      </c>
      <c r="E216" t="inlineStr">
        <is>
          <t>ÅRE</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69568-2021</t>
        </is>
      </c>
      <c r="B217" s="1" t="n">
        <v>44531</v>
      </c>
      <c r="C217" s="1" t="n">
        <v>46129</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9775-2023</t>
        </is>
      </c>
      <c r="B218" s="1" t="n">
        <v>44984.60255787037</v>
      </c>
      <c r="C218" s="1" t="n">
        <v>46129</v>
      </c>
      <c r="D218" t="inlineStr">
        <is>
          <t>JÄMTLANDS LÄN</t>
        </is>
      </c>
      <c r="E218" t="inlineStr">
        <is>
          <t>ÅRE</t>
        </is>
      </c>
      <c r="G218" t="n">
        <v>2.4</v>
      </c>
      <c r="H218" t="n">
        <v>0</v>
      </c>
      <c r="I218" t="n">
        <v>0</v>
      </c>
      <c r="J218" t="n">
        <v>0</v>
      </c>
      <c r="K218" t="n">
        <v>0</v>
      </c>
      <c r="L218" t="n">
        <v>0</v>
      </c>
      <c r="M218" t="n">
        <v>0</v>
      </c>
      <c r="N218" t="n">
        <v>0</v>
      </c>
      <c r="O218" t="n">
        <v>0</v>
      </c>
      <c r="P218" t="n">
        <v>0</v>
      </c>
      <c r="Q218" t="n">
        <v>0</v>
      </c>
      <c r="R218" s="2" t="inlineStr"/>
    </row>
    <row r="219" ht="15" customHeight="1">
      <c r="A219" t="inlineStr">
        <is>
          <t>A 19705-2023</t>
        </is>
      </c>
      <c r="B219" s="1" t="n">
        <v>45051</v>
      </c>
      <c r="C219" s="1" t="n">
        <v>46129</v>
      </c>
      <c r="D219" t="inlineStr">
        <is>
          <t>JÄMTLANDS LÄN</t>
        </is>
      </c>
      <c r="E219" t="inlineStr">
        <is>
          <t>ÅRE</t>
        </is>
      </c>
      <c r="G219" t="n">
        <v>4.7</v>
      </c>
      <c r="H219" t="n">
        <v>0</v>
      </c>
      <c r="I219" t="n">
        <v>0</v>
      </c>
      <c r="J219" t="n">
        <v>0</v>
      </c>
      <c r="K219" t="n">
        <v>0</v>
      </c>
      <c r="L219" t="n">
        <v>0</v>
      </c>
      <c r="M219" t="n">
        <v>0</v>
      </c>
      <c r="N219" t="n">
        <v>0</v>
      </c>
      <c r="O219" t="n">
        <v>0</v>
      </c>
      <c r="P219" t="n">
        <v>0</v>
      </c>
      <c r="Q219" t="n">
        <v>0</v>
      </c>
      <c r="R219" s="2" t="inlineStr"/>
    </row>
    <row r="220" ht="15" customHeight="1">
      <c r="A220" t="inlineStr">
        <is>
          <t>A 23118-2022</t>
        </is>
      </c>
      <c r="B220" s="1" t="n">
        <v>44719.5662037037</v>
      </c>
      <c r="C220" s="1" t="n">
        <v>46129</v>
      </c>
      <c r="D220" t="inlineStr">
        <is>
          <t>JÄMTLANDS LÄN</t>
        </is>
      </c>
      <c r="E220" t="inlineStr">
        <is>
          <t>ÅRE</t>
        </is>
      </c>
      <c r="G220" t="n">
        <v>3.5</v>
      </c>
      <c r="H220" t="n">
        <v>0</v>
      </c>
      <c r="I220" t="n">
        <v>0</v>
      </c>
      <c r="J220" t="n">
        <v>0</v>
      </c>
      <c r="K220" t="n">
        <v>0</v>
      </c>
      <c r="L220" t="n">
        <v>0</v>
      </c>
      <c r="M220" t="n">
        <v>0</v>
      </c>
      <c r="N220" t="n">
        <v>0</v>
      </c>
      <c r="O220" t="n">
        <v>0</v>
      </c>
      <c r="P220" t="n">
        <v>0</v>
      </c>
      <c r="Q220" t="n">
        <v>0</v>
      </c>
      <c r="R220" s="2" t="inlineStr"/>
    </row>
    <row r="221" ht="15" customHeight="1">
      <c r="A221" t="inlineStr">
        <is>
          <t>A 65239-2021</t>
        </is>
      </c>
      <c r="B221" s="1" t="n">
        <v>44515</v>
      </c>
      <c r="C221" s="1" t="n">
        <v>46129</v>
      </c>
      <c r="D221" t="inlineStr">
        <is>
          <t>JÄMTLANDS LÄN</t>
        </is>
      </c>
      <c r="E221" t="inlineStr">
        <is>
          <t>ÅRE</t>
        </is>
      </c>
      <c r="G221" t="n">
        <v>0</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46129</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45621.40034722222</v>
      </c>
      <c r="C223" s="1" t="n">
        <v>46129</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69170-2021</t>
        </is>
      </c>
      <c r="B224" s="1" t="n">
        <v>44529</v>
      </c>
      <c r="C224" s="1" t="n">
        <v>46129</v>
      </c>
      <c r="D224" t="inlineStr">
        <is>
          <t>JÄMTLANDS LÄN</t>
        </is>
      </c>
      <c r="E224" t="inlineStr">
        <is>
          <t>ÅRE</t>
        </is>
      </c>
      <c r="G224" t="n">
        <v>114.4</v>
      </c>
      <c r="H224" t="n">
        <v>0</v>
      </c>
      <c r="I224" t="n">
        <v>0</v>
      </c>
      <c r="J224" t="n">
        <v>0</v>
      </c>
      <c r="K224" t="n">
        <v>0</v>
      </c>
      <c r="L224" t="n">
        <v>0</v>
      </c>
      <c r="M224" t="n">
        <v>0</v>
      </c>
      <c r="N224" t="n">
        <v>0</v>
      </c>
      <c r="O224" t="n">
        <v>0</v>
      </c>
      <c r="P224" t="n">
        <v>0</v>
      </c>
      <c r="Q224" t="n">
        <v>0</v>
      </c>
      <c r="R224" s="2" t="inlineStr"/>
    </row>
    <row r="225" ht="15" customHeight="1">
      <c r="A225" t="inlineStr">
        <is>
          <t>A 53014-2023</t>
        </is>
      </c>
      <c r="B225" s="1" t="n">
        <v>45226</v>
      </c>
      <c r="C225" s="1" t="n">
        <v>46129</v>
      </c>
      <c r="D225" t="inlineStr">
        <is>
          <t>JÄMTLANDS LÄN</t>
        </is>
      </c>
      <c r="E225" t="inlineStr">
        <is>
          <t>ÅRE</t>
        </is>
      </c>
      <c r="F225" t="inlineStr">
        <is>
          <t>Övriga Aktiebolag</t>
        </is>
      </c>
      <c r="G225" t="n">
        <v>7.5</v>
      </c>
      <c r="H225" t="n">
        <v>0</v>
      </c>
      <c r="I225" t="n">
        <v>0</v>
      </c>
      <c r="J225" t="n">
        <v>0</v>
      </c>
      <c r="K225" t="n">
        <v>0</v>
      </c>
      <c r="L225" t="n">
        <v>0</v>
      </c>
      <c r="M225" t="n">
        <v>0</v>
      </c>
      <c r="N225" t="n">
        <v>0</v>
      </c>
      <c r="O225" t="n">
        <v>0</v>
      </c>
      <c r="P225" t="n">
        <v>0</v>
      </c>
      <c r="Q225" t="n">
        <v>0</v>
      </c>
      <c r="R225" s="2" t="inlineStr"/>
    </row>
    <row r="226" ht="15" customHeight="1">
      <c r="A226" t="inlineStr">
        <is>
          <t>A 55389-2025</t>
        </is>
      </c>
      <c r="B226" s="1" t="n">
        <v>45971.4482175926</v>
      </c>
      <c r="C226" s="1" t="n">
        <v>46129</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45453-2024</t>
        </is>
      </c>
      <c r="B227" s="1" t="n">
        <v>45576.66674768519</v>
      </c>
      <c r="C227" s="1" t="n">
        <v>46129</v>
      </c>
      <c r="D227" t="inlineStr">
        <is>
          <t>JÄMTLANDS LÄN</t>
        </is>
      </c>
      <c r="E227" t="inlineStr">
        <is>
          <t>ÅRE</t>
        </is>
      </c>
      <c r="G227" t="n">
        <v>0.6</v>
      </c>
      <c r="H227" t="n">
        <v>0</v>
      </c>
      <c r="I227" t="n">
        <v>0</v>
      </c>
      <c r="J227" t="n">
        <v>0</v>
      </c>
      <c r="K227" t="n">
        <v>0</v>
      </c>
      <c r="L227" t="n">
        <v>0</v>
      </c>
      <c r="M227" t="n">
        <v>0</v>
      </c>
      <c r="N227" t="n">
        <v>0</v>
      </c>
      <c r="O227" t="n">
        <v>0</v>
      </c>
      <c r="P227" t="n">
        <v>0</v>
      </c>
      <c r="Q227" t="n">
        <v>0</v>
      </c>
      <c r="R227" s="2" t="inlineStr"/>
    </row>
    <row r="228" ht="15" customHeight="1">
      <c r="A228" t="inlineStr">
        <is>
          <t>A 60935-2022</t>
        </is>
      </c>
      <c r="B228" s="1" t="n">
        <v>44908</v>
      </c>
      <c r="C228" s="1" t="n">
        <v>46129</v>
      </c>
      <c r="D228" t="inlineStr">
        <is>
          <t>JÄMTLANDS LÄN</t>
        </is>
      </c>
      <c r="E228" t="inlineStr">
        <is>
          <t>ÅRE</t>
        </is>
      </c>
      <c r="G228" t="n">
        <v>0.8</v>
      </c>
      <c r="H228" t="n">
        <v>0</v>
      </c>
      <c r="I228" t="n">
        <v>0</v>
      </c>
      <c r="J228" t="n">
        <v>0</v>
      </c>
      <c r="K228" t="n">
        <v>0</v>
      </c>
      <c r="L228" t="n">
        <v>0</v>
      </c>
      <c r="M228" t="n">
        <v>0</v>
      </c>
      <c r="N228" t="n">
        <v>0</v>
      </c>
      <c r="O228" t="n">
        <v>0</v>
      </c>
      <c r="P228" t="n">
        <v>0</v>
      </c>
      <c r="Q228" t="n">
        <v>0</v>
      </c>
      <c r="R228" s="2" t="inlineStr"/>
    </row>
    <row r="229" ht="15" customHeight="1">
      <c r="A229" t="inlineStr">
        <is>
          <t>A 55411-2025</t>
        </is>
      </c>
      <c r="B229" s="1" t="n">
        <v>45971.46741898148</v>
      </c>
      <c r="C229" s="1" t="n">
        <v>46129</v>
      </c>
      <c r="D229" t="inlineStr">
        <is>
          <t>JÄMTLANDS LÄN</t>
        </is>
      </c>
      <c r="E229" t="inlineStr">
        <is>
          <t>ÅRE</t>
        </is>
      </c>
      <c r="G229" t="n">
        <v>1.8</v>
      </c>
      <c r="H229" t="n">
        <v>0</v>
      </c>
      <c r="I229" t="n">
        <v>0</v>
      </c>
      <c r="J229" t="n">
        <v>0</v>
      </c>
      <c r="K229" t="n">
        <v>0</v>
      </c>
      <c r="L229" t="n">
        <v>0</v>
      </c>
      <c r="M229" t="n">
        <v>0</v>
      </c>
      <c r="N229" t="n">
        <v>0</v>
      </c>
      <c r="O229" t="n">
        <v>0</v>
      </c>
      <c r="P229" t="n">
        <v>0</v>
      </c>
      <c r="Q229" t="n">
        <v>0</v>
      </c>
      <c r="R229" s="2" t="inlineStr"/>
    </row>
    <row r="230" ht="15" customHeight="1">
      <c r="A230" t="inlineStr">
        <is>
          <t>A 56842-2022</t>
        </is>
      </c>
      <c r="B230" s="1" t="n">
        <v>44894.47856481482</v>
      </c>
      <c r="C230" s="1" t="n">
        <v>46129</v>
      </c>
      <c r="D230" t="inlineStr">
        <is>
          <t>JÄMTLANDS LÄN</t>
        </is>
      </c>
      <c r="E230" t="inlineStr">
        <is>
          <t>ÅRE</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55944-2022</t>
        </is>
      </c>
      <c r="B231" s="1" t="n">
        <v>44889</v>
      </c>
      <c r="C231" s="1" t="n">
        <v>46129</v>
      </c>
      <c r="D231" t="inlineStr">
        <is>
          <t>JÄMTLANDS LÄN</t>
        </is>
      </c>
      <c r="E231" t="inlineStr">
        <is>
          <t>ÅRE</t>
        </is>
      </c>
      <c r="G231" t="n">
        <v>11.1</v>
      </c>
      <c r="H231" t="n">
        <v>0</v>
      </c>
      <c r="I231" t="n">
        <v>0</v>
      </c>
      <c r="J231" t="n">
        <v>0</v>
      </c>
      <c r="K231" t="n">
        <v>0</v>
      </c>
      <c r="L231" t="n">
        <v>0</v>
      </c>
      <c r="M231" t="n">
        <v>0</v>
      </c>
      <c r="N231" t="n">
        <v>0</v>
      </c>
      <c r="O231" t="n">
        <v>0</v>
      </c>
      <c r="P231" t="n">
        <v>0</v>
      </c>
      <c r="Q231" t="n">
        <v>0</v>
      </c>
      <c r="R231" s="2" t="inlineStr"/>
    </row>
    <row r="232" ht="15" customHeight="1">
      <c r="A232" t="inlineStr">
        <is>
          <t>A 55416-2025</t>
        </is>
      </c>
      <c r="B232" s="1" t="n">
        <v>45971.46951388889</v>
      </c>
      <c r="C232" s="1" t="n">
        <v>46129</v>
      </c>
      <c r="D232" t="inlineStr">
        <is>
          <t>JÄMTLANDS LÄN</t>
        </is>
      </c>
      <c r="E232" t="inlineStr">
        <is>
          <t>ÅRE</t>
        </is>
      </c>
      <c r="G232" t="n">
        <v>6.3</v>
      </c>
      <c r="H232" t="n">
        <v>0</v>
      </c>
      <c r="I232" t="n">
        <v>0</v>
      </c>
      <c r="J232" t="n">
        <v>0</v>
      </c>
      <c r="K232" t="n">
        <v>0</v>
      </c>
      <c r="L232" t="n">
        <v>0</v>
      </c>
      <c r="M232" t="n">
        <v>0</v>
      </c>
      <c r="N232" t="n">
        <v>0</v>
      </c>
      <c r="O232" t="n">
        <v>0</v>
      </c>
      <c r="P232" t="n">
        <v>0</v>
      </c>
      <c r="Q232" t="n">
        <v>0</v>
      </c>
      <c r="R232" s="2" t="inlineStr"/>
    </row>
    <row r="233" ht="15" customHeight="1">
      <c r="A233" t="inlineStr">
        <is>
          <t>A 44889-2023</t>
        </is>
      </c>
      <c r="B233" s="1" t="n">
        <v>45190</v>
      </c>
      <c r="C233" s="1" t="n">
        <v>46129</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48599-2023</t>
        </is>
      </c>
      <c r="B234" s="1" t="n">
        <v>45208</v>
      </c>
      <c r="C234" s="1" t="n">
        <v>46129</v>
      </c>
      <c r="D234" t="inlineStr">
        <is>
          <t>JÄMTLANDS LÄN</t>
        </is>
      </c>
      <c r="E234" t="inlineStr">
        <is>
          <t>ÅRE</t>
        </is>
      </c>
      <c r="G234" t="n">
        <v>1.1</v>
      </c>
      <c r="H234" t="n">
        <v>0</v>
      </c>
      <c r="I234" t="n">
        <v>0</v>
      </c>
      <c r="J234" t="n">
        <v>0</v>
      </c>
      <c r="K234" t="n">
        <v>0</v>
      </c>
      <c r="L234" t="n">
        <v>0</v>
      </c>
      <c r="M234" t="n">
        <v>0</v>
      </c>
      <c r="N234" t="n">
        <v>0</v>
      </c>
      <c r="O234" t="n">
        <v>0</v>
      </c>
      <c r="P234" t="n">
        <v>0</v>
      </c>
      <c r="Q234" t="n">
        <v>0</v>
      </c>
      <c r="R234" s="2" t="inlineStr"/>
    </row>
    <row r="235" ht="15" customHeight="1">
      <c r="A235" t="inlineStr">
        <is>
          <t>A 56091-2025</t>
        </is>
      </c>
      <c r="B235" s="1" t="n">
        <v>45973.67434027778</v>
      </c>
      <c r="C235" s="1" t="n">
        <v>46129</v>
      </c>
      <c r="D235" t="inlineStr">
        <is>
          <t>JÄMTLANDS LÄN</t>
        </is>
      </c>
      <c r="E235" t="inlineStr">
        <is>
          <t>ÅRE</t>
        </is>
      </c>
      <c r="G235" t="n">
        <v>8</v>
      </c>
      <c r="H235" t="n">
        <v>0</v>
      </c>
      <c r="I235" t="n">
        <v>0</v>
      </c>
      <c r="J235" t="n">
        <v>0</v>
      </c>
      <c r="K235" t="n">
        <v>0</v>
      </c>
      <c r="L235" t="n">
        <v>0</v>
      </c>
      <c r="M235" t="n">
        <v>0</v>
      </c>
      <c r="N235" t="n">
        <v>0</v>
      </c>
      <c r="O235" t="n">
        <v>0</v>
      </c>
      <c r="P235" t="n">
        <v>0</v>
      </c>
      <c r="Q235" t="n">
        <v>0</v>
      </c>
      <c r="R235" s="2" t="inlineStr"/>
    </row>
    <row r="236" ht="15" customHeight="1">
      <c r="A236" t="inlineStr">
        <is>
          <t>A 56495-2025</t>
        </is>
      </c>
      <c r="B236" s="1" t="n">
        <v>45975.42577546297</v>
      </c>
      <c r="C236" s="1" t="n">
        <v>46129</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57710-2021</t>
        </is>
      </c>
      <c r="B237" s="1" t="n">
        <v>44484</v>
      </c>
      <c r="C237" s="1" t="n">
        <v>46129</v>
      </c>
      <c r="D237" t="inlineStr">
        <is>
          <t>JÄMTLANDS LÄN</t>
        </is>
      </c>
      <c r="E237" t="inlineStr">
        <is>
          <t>ÅRE</t>
        </is>
      </c>
      <c r="G237" t="n">
        <v>12</v>
      </c>
      <c r="H237" t="n">
        <v>0</v>
      </c>
      <c r="I237" t="n">
        <v>0</v>
      </c>
      <c r="J237" t="n">
        <v>0</v>
      </c>
      <c r="K237" t="n">
        <v>0</v>
      </c>
      <c r="L237" t="n">
        <v>0</v>
      </c>
      <c r="M237" t="n">
        <v>0</v>
      </c>
      <c r="N237" t="n">
        <v>0</v>
      </c>
      <c r="O237" t="n">
        <v>0</v>
      </c>
      <c r="P237" t="n">
        <v>0</v>
      </c>
      <c r="Q237" t="n">
        <v>0</v>
      </c>
      <c r="R237" s="2" t="inlineStr"/>
    </row>
    <row r="238" ht="15" customHeight="1">
      <c r="A238" t="inlineStr">
        <is>
          <t>A 46559-2024</t>
        </is>
      </c>
      <c r="B238" s="1" t="n">
        <v>45582</v>
      </c>
      <c r="C238" s="1" t="n">
        <v>46129</v>
      </c>
      <c r="D238" t="inlineStr">
        <is>
          <t>JÄMTLANDS LÄN</t>
        </is>
      </c>
      <c r="E238" t="inlineStr">
        <is>
          <t>ÅRE</t>
        </is>
      </c>
      <c r="G238" t="n">
        <v>6.2</v>
      </c>
      <c r="H238" t="n">
        <v>0</v>
      </c>
      <c r="I238" t="n">
        <v>0</v>
      </c>
      <c r="J238" t="n">
        <v>0</v>
      </c>
      <c r="K238" t="n">
        <v>0</v>
      </c>
      <c r="L238" t="n">
        <v>0</v>
      </c>
      <c r="M238" t="n">
        <v>0</v>
      </c>
      <c r="N238" t="n">
        <v>0</v>
      </c>
      <c r="O238" t="n">
        <v>0</v>
      </c>
      <c r="P238" t="n">
        <v>0</v>
      </c>
      <c r="Q238" t="n">
        <v>0</v>
      </c>
      <c r="R238" s="2" t="inlineStr"/>
    </row>
    <row r="239" ht="15" customHeight="1">
      <c r="A239" t="inlineStr">
        <is>
          <t>A 12193-2023</t>
        </is>
      </c>
      <c r="B239" s="1" t="n">
        <v>44998</v>
      </c>
      <c r="C239" s="1" t="n">
        <v>46129</v>
      </c>
      <c r="D239" t="inlineStr">
        <is>
          <t>JÄMTLANDS LÄN</t>
        </is>
      </c>
      <c r="E239" t="inlineStr">
        <is>
          <t>ÅRE</t>
        </is>
      </c>
      <c r="G239" t="n">
        <v>14.7</v>
      </c>
      <c r="H239" t="n">
        <v>0</v>
      </c>
      <c r="I239" t="n">
        <v>0</v>
      </c>
      <c r="J239" t="n">
        <v>0</v>
      </c>
      <c r="K239" t="n">
        <v>0</v>
      </c>
      <c r="L239" t="n">
        <v>0</v>
      </c>
      <c r="M239" t="n">
        <v>0</v>
      </c>
      <c r="N239" t="n">
        <v>0</v>
      </c>
      <c r="O239" t="n">
        <v>0</v>
      </c>
      <c r="P239" t="n">
        <v>0</v>
      </c>
      <c r="Q239" t="n">
        <v>0</v>
      </c>
      <c r="R239" s="2" t="inlineStr"/>
    </row>
    <row r="240" ht="15" customHeight="1">
      <c r="A240" t="inlineStr">
        <is>
          <t>A 56601-2025</t>
        </is>
      </c>
      <c r="B240" s="1" t="n">
        <v>45975.57423611111</v>
      </c>
      <c r="C240" s="1" t="n">
        <v>46129</v>
      </c>
      <c r="D240" t="inlineStr">
        <is>
          <t>JÄMTLANDS LÄN</t>
        </is>
      </c>
      <c r="E240" t="inlineStr">
        <is>
          <t>ÅRE</t>
        </is>
      </c>
      <c r="G240" t="n">
        <v>0.7</v>
      </c>
      <c r="H240" t="n">
        <v>0</v>
      </c>
      <c r="I240" t="n">
        <v>0</v>
      </c>
      <c r="J240" t="n">
        <v>0</v>
      </c>
      <c r="K240" t="n">
        <v>0</v>
      </c>
      <c r="L240" t="n">
        <v>0</v>
      </c>
      <c r="M240" t="n">
        <v>0</v>
      </c>
      <c r="N240" t="n">
        <v>0</v>
      </c>
      <c r="O240" t="n">
        <v>0</v>
      </c>
      <c r="P240" t="n">
        <v>0</v>
      </c>
      <c r="Q240" t="n">
        <v>0</v>
      </c>
      <c r="R240" s="2" t="inlineStr"/>
    </row>
    <row r="241" ht="15" customHeight="1">
      <c r="A241" t="inlineStr">
        <is>
          <t>A 56204-2025</t>
        </is>
      </c>
      <c r="B241" s="1" t="n">
        <v>45974.46935185185</v>
      </c>
      <c r="C241" s="1" t="n">
        <v>46129</v>
      </c>
      <c r="D241" t="inlineStr">
        <is>
          <t>JÄMTLANDS LÄN</t>
        </is>
      </c>
      <c r="E241" t="inlineStr">
        <is>
          <t>ÅRE</t>
        </is>
      </c>
      <c r="G241" t="n">
        <v>3.2</v>
      </c>
      <c r="H241" t="n">
        <v>0</v>
      </c>
      <c r="I241" t="n">
        <v>0</v>
      </c>
      <c r="J241" t="n">
        <v>0</v>
      </c>
      <c r="K241" t="n">
        <v>0</v>
      </c>
      <c r="L241" t="n">
        <v>0</v>
      </c>
      <c r="M241" t="n">
        <v>0</v>
      </c>
      <c r="N241" t="n">
        <v>0</v>
      </c>
      <c r="O241" t="n">
        <v>0</v>
      </c>
      <c r="P241" t="n">
        <v>0</v>
      </c>
      <c r="Q241" t="n">
        <v>0</v>
      </c>
      <c r="R241" s="2" t="inlineStr"/>
    </row>
    <row r="242" ht="15" customHeight="1">
      <c r="A242" t="inlineStr">
        <is>
          <t>A 57770-2023</t>
        </is>
      </c>
      <c r="B242" s="1" t="n">
        <v>45246.92542824074</v>
      </c>
      <c r="C242" s="1" t="n">
        <v>46129</v>
      </c>
      <c r="D242" t="inlineStr">
        <is>
          <t>JÄMTLANDS LÄN</t>
        </is>
      </c>
      <c r="E242" t="inlineStr">
        <is>
          <t>ÅRE</t>
        </is>
      </c>
      <c r="G242" t="n">
        <v>0.9</v>
      </c>
      <c r="H242" t="n">
        <v>0</v>
      </c>
      <c r="I242" t="n">
        <v>0</v>
      </c>
      <c r="J242" t="n">
        <v>0</v>
      </c>
      <c r="K242" t="n">
        <v>0</v>
      </c>
      <c r="L242" t="n">
        <v>0</v>
      </c>
      <c r="M242" t="n">
        <v>0</v>
      </c>
      <c r="N242" t="n">
        <v>0</v>
      </c>
      <c r="O242" t="n">
        <v>0</v>
      </c>
      <c r="P242" t="n">
        <v>0</v>
      </c>
      <c r="Q242" t="n">
        <v>0</v>
      </c>
      <c r="R242" s="2" t="inlineStr"/>
    </row>
    <row r="243" ht="15" customHeight="1">
      <c r="A243" t="inlineStr">
        <is>
          <t>A 56563-2025</t>
        </is>
      </c>
      <c r="B243" s="1" t="n">
        <v>45975.49930555555</v>
      </c>
      <c r="C243" s="1" t="n">
        <v>46129</v>
      </c>
      <c r="D243" t="inlineStr">
        <is>
          <t>JÄMTLANDS LÄN</t>
        </is>
      </c>
      <c r="E243" t="inlineStr">
        <is>
          <t>ÅRE</t>
        </is>
      </c>
      <c r="G243" t="n">
        <v>1.5</v>
      </c>
      <c r="H243" t="n">
        <v>0</v>
      </c>
      <c r="I243" t="n">
        <v>0</v>
      </c>
      <c r="J243" t="n">
        <v>0</v>
      </c>
      <c r="K243" t="n">
        <v>0</v>
      </c>
      <c r="L243" t="n">
        <v>0</v>
      </c>
      <c r="M243" t="n">
        <v>0</v>
      </c>
      <c r="N243" t="n">
        <v>0</v>
      </c>
      <c r="O243" t="n">
        <v>0</v>
      </c>
      <c r="P243" t="n">
        <v>0</v>
      </c>
      <c r="Q243" t="n">
        <v>0</v>
      </c>
      <c r="R243" s="2" t="inlineStr"/>
    </row>
    <row r="244" ht="15" customHeight="1">
      <c r="A244" t="inlineStr">
        <is>
          <t>A 56205-2025</t>
        </is>
      </c>
      <c r="B244" s="1" t="n">
        <v>45974.469375</v>
      </c>
      <c r="C244" s="1" t="n">
        <v>46129</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9126-2025</t>
        </is>
      </c>
      <c r="B245" s="1" t="n">
        <v>45713</v>
      </c>
      <c r="C245" s="1" t="n">
        <v>46129</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49296-2024</t>
        </is>
      </c>
      <c r="B246" s="1" t="n">
        <v>45595</v>
      </c>
      <c r="C246" s="1" t="n">
        <v>46129</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56576-2025</t>
        </is>
      </c>
      <c r="B247" s="1" t="n">
        <v>45975.52893518518</v>
      </c>
      <c r="C247" s="1" t="n">
        <v>46129</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17703-2023</t>
        </is>
      </c>
      <c r="B248" s="1" t="n">
        <v>45037.35443287037</v>
      </c>
      <c r="C248" s="1" t="n">
        <v>46129</v>
      </c>
      <c r="D248" t="inlineStr">
        <is>
          <t>JÄMTLANDS LÄN</t>
        </is>
      </c>
      <c r="E248" t="inlineStr">
        <is>
          <t>ÅRE</t>
        </is>
      </c>
      <c r="F248" t="inlineStr">
        <is>
          <t>Övriga Aktiebolag</t>
        </is>
      </c>
      <c r="G248" t="n">
        <v>4</v>
      </c>
      <c r="H248" t="n">
        <v>0</v>
      </c>
      <c r="I248" t="n">
        <v>0</v>
      </c>
      <c r="J248" t="n">
        <v>0</v>
      </c>
      <c r="K248" t="n">
        <v>0</v>
      </c>
      <c r="L248" t="n">
        <v>0</v>
      </c>
      <c r="M248" t="n">
        <v>0</v>
      </c>
      <c r="N248" t="n">
        <v>0</v>
      </c>
      <c r="O248" t="n">
        <v>0</v>
      </c>
      <c r="P248" t="n">
        <v>0</v>
      </c>
      <c r="Q248" t="n">
        <v>0</v>
      </c>
      <c r="R248" s="2" t="inlineStr"/>
    </row>
    <row r="249" ht="15" customHeight="1">
      <c r="A249" t="inlineStr">
        <is>
          <t>A 11914-2024</t>
        </is>
      </c>
      <c r="B249" s="1" t="n">
        <v>45376.58467592593</v>
      </c>
      <c r="C249" s="1" t="n">
        <v>46129</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57285-2025</t>
        </is>
      </c>
      <c r="B250" s="1" t="n">
        <v>45979.73390046296</v>
      </c>
      <c r="C250" s="1" t="n">
        <v>46129</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59784-2024</t>
        </is>
      </c>
      <c r="B251" s="1" t="n">
        <v>45639.57988425926</v>
      </c>
      <c r="C251" s="1" t="n">
        <v>46129</v>
      </c>
      <c r="D251" t="inlineStr">
        <is>
          <t>JÄMTLANDS LÄN</t>
        </is>
      </c>
      <c r="E251" t="inlineStr">
        <is>
          <t>ÅRE</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60122-2021</t>
        </is>
      </c>
      <c r="B252" s="1" t="n">
        <v>44495</v>
      </c>
      <c r="C252" s="1" t="n">
        <v>46129</v>
      </c>
      <c r="D252" t="inlineStr">
        <is>
          <t>JÄMTLANDS LÄN</t>
        </is>
      </c>
      <c r="E252" t="inlineStr">
        <is>
          <t>ÅRE</t>
        </is>
      </c>
      <c r="G252" t="n">
        <v>46.7</v>
      </c>
      <c r="H252" t="n">
        <v>0</v>
      </c>
      <c r="I252" t="n">
        <v>0</v>
      </c>
      <c r="J252" t="n">
        <v>0</v>
      </c>
      <c r="K252" t="n">
        <v>0</v>
      </c>
      <c r="L252" t="n">
        <v>0</v>
      </c>
      <c r="M252" t="n">
        <v>0</v>
      </c>
      <c r="N252" t="n">
        <v>0</v>
      </c>
      <c r="O252" t="n">
        <v>0</v>
      </c>
      <c r="P252" t="n">
        <v>0</v>
      </c>
      <c r="Q252" t="n">
        <v>0</v>
      </c>
      <c r="R252" s="2" t="inlineStr"/>
    </row>
    <row r="253" ht="15" customHeight="1">
      <c r="A253" t="inlineStr">
        <is>
          <t>A 54175-2023</t>
        </is>
      </c>
      <c r="B253" s="1" t="n">
        <v>45232</v>
      </c>
      <c r="C253" s="1" t="n">
        <v>46129</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46789-2024</t>
        </is>
      </c>
      <c r="B254" s="1" t="n">
        <v>45583.53219907408</v>
      </c>
      <c r="C254" s="1" t="n">
        <v>46129</v>
      </c>
      <c r="D254" t="inlineStr">
        <is>
          <t>JÄMTLANDS LÄN</t>
        </is>
      </c>
      <c r="E254" t="inlineStr">
        <is>
          <t>ÅRE</t>
        </is>
      </c>
      <c r="F254" t="inlineStr">
        <is>
          <t>Övriga Aktiebolag</t>
        </is>
      </c>
      <c r="G254" t="n">
        <v>2.7</v>
      </c>
      <c r="H254" t="n">
        <v>0</v>
      </c>
      <c r="I254" t="n">
        <v>0</v>
      </c>
      <c r="J254" t="n">
        <v>0</v>
      </c>
      <c r="K254" t="n">
        <v>0</v>
      </c>
      <c r="L254" t="n">
        <v>0</v>
      </c>
      <c r="M254" t="n">
        <v>0</v>
      </c>
      <c r="N254" t="n">
        <v>0</v>
      </c>
      <c r="O254" t="n">
        <v>0</v>
      </c>
      <c r="P254" t="n">
        <v>0</v>
      </c>
      <c r="Q254" t="n">
        <v>0</v>
      </c>
      <c r="R254" s="2" t="inlineStr"/>
    </row>
    <row r="255" ht="15" customHeight="1">
      <c r="A255" t="inlineStr">
        <is>
          <t>A 393-2024</t>
        </is>
      </c>
      <c r="B255" s="1" t="n">
        <v>45296.43614583334</v>
      </c>
      <c r="C255" s="1" t="n">
        <v>46129</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33625-2022</t>
        </is>
      </c>
      <c r="B256" s="1" t="n">
        <v>44789</v>
      </c>
      <c r="C256" s="1" t="n">
        <v>46129</v>
      </c>
      <c r="D256" t="inlineStr">
        <is>
          <t>JÄMTLANDS LÄN</t>
        </is>
      </c>
      <c r="E256" t="inlineStr">
        <is>
          <t>ÅRE</t>
        </is>
      </c>
      <c r="G256" t="n">
        <v>20.7</v>
      </c>
      <c r="H256" t="n">
        <v>0</v>
      </c>
      <c r="I256" t="n">
        <v>0</v>
      </c>
      <c r="J256" t="n">
        <v>0</v>
      </c>
      <c r="K256" t="n">
        <v>0</v>
      </c>
      <c r="L256" t="n">
        <v>0</v>
      </c>
      <c r="M256" t="n">
        <v>0</v>
      </c>
      <c r="N256" t="n">
        <v>0</v>
      </c>
      <c r="O256" t="n">
        <v>0</v>
      </c>
      <c r="P256" t="n">
        <v>0</v>
      </c>
      <c r="Q256" t="n">
        <v>0</v>
      </c>
      <c r="R256" s="2" t="inlineStr"/>
    </row>
    <row r="257" ht="15" customHeight="1">
      <c r="A257" t="inlineStr">
        <is>
          <t>A 56873-2025</t>
        </is>
      </c>
      <c r="B257" s="1" t="n">
        <v>45978.53459490741</v>
      </c>
      <c r="C257" s="1" t="n">
        <v>46129</v>
      </c>
      <c r="D257" t="inlineStr">
        <is>
          <t>JÄMTLANDS LÄN</t>
        </is>
      </c>
      <c r="E257" t="inlineStr">
        <is>
          <t>ÅRE</t>
        </is>
      </c>
      <c r="F257" t="inlineStr">
        <is>
          <t>Övriga Aktiebolag</t>
        </is>
      </c>
      <c r="G257" t="n">
        <v>6.1</v>
      </c>
      <c r="H257" t="n">
        <v>0</v>
      </c>
      <c r="I257" t="n">
        <v>0</v>
      </c>
      <c r="J257" t="n">
        <v>0</v>
      </c>
      <c r="K257" t="n">
        <v>0</v>
      </c>
      <c r="L257" t="n">
        <v>0</v>
      </c>
      <c r="M257" t="n">
        <v>0</v>
      </c>
      <c r="N257" t="n">
        <v>0</v>
      </c>
      <c r="O257" t="n">
        <v>0</v>
      </c>
      <c r="P257" t="n">
        <v>0</v>
      </c>
      <c r="Q257" t="n">
        <v>0</v>
      </c>
      <c r="R257" s="2" t="inlineStr"/>
    </row>
    <row r="258" ht="15" customHeight="1">
      <c r="A258" t="inlineStr">
        <is>
          <t>A 15884-2023</t>
        </is>
      </c>
      <c r="B258" s="1" t="n">
        <v>45022</v>
      </c>
      <c r="C258" s="1" t="n">
        <v>46129</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57286-2025</t>
        </is>
      </c>
      <c r="B259" s="1" t="n">
        <v>45979.74055555555</v>
      </c>
      <c r="C259" s="1" t="n">
        <v>46129</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57622-2025</t>
        </is>
      </c>
      <c r="B260" s="1" t="n">
        <v>45981.34545138889</v>
      </c>
      <c r="C260" s="1" t="n">
        <v>46129</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57745-2025</t>
        </is>
      </c>
      <c r="B261" s="1" t="n">
        <v>45981.53217592592</v>
      </c>
      <c r="C261" s="1" t="n">
        <v>46129</v>
      </c>
      <c r="D261" t="inlineStr">
        <is>
          <t>JÄMTLANDS LÄN</t>
        </is>
      </c>
      <c r="E261" t="inlineStr">
        <is>
          <t>ÅRE</t>
        </is>
      </c>
      <c r="G261" t="n">
        <v>8.4</v>
      </c>
      <c r="H261" t="n">
        <v>0</v>
      </c>
      <c r="I261" t="n">
        <v>0</v>
      </c>
      <c r="J261" t="n">
        <v>0</v>
      </c>
      <c r="K261" t="n">
        <v>0</v>
      </c>
      <c r="L261" t="n">
        <v>0</v>
      </c>
      <c r="M261" t="n">
        <v>0</v>
      </c>
      <c r="N261" t="n">
        <v>0</v>
      </c>
      <c r="O261" t="n">
        <v>0</v>
      </c>
      <c r="P261" t="n">
        <v>0</v>
      </c>
      <c r="Q261" t="n">
        <v>0</v>
      </c>
      <c r="R261" s="2" t="inlineStr"/>
    </row>
    <row r="262" ht="15" customHeight="1">
      <c r="A262" t="inlineStr">
        <is>
          <t>A 25224-2025</t>
        </is>
      </c>
      <c r="B262" s="1" t="n">
        <v>45800.48087962963</v>
      </c>
      <c r="C262" s="1" t="n">
        <v>46129</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51452-2024</t>
        </is>
      </c>
      <c r="B263" s="1" t="n">
        <v>45604.49045138889</v>
      </c>
      <c r="C263" s="1" t="n">
        <v>46129</v>
      </c>
      <c r="D263" t="inlineStr">
        <is>
          <t>JÄMTLANDS LÄN</t>
        </is>
      </c>
      <c r="E263" t="inlineStr">
        <is>
          <t>ÅRE</t>
        </is>
      </c>
      <c r="G263" t="n">
        <v>8</v>
      </c>
      <c r="H263" t="n">
        <v>0</v>
      </c>
      <c r="I263" t="n">
        <v>0</v>
      </c>
      <c r="J263" t="n">
        <v>0</v>
      </c>
      <c r="K263" t="n">
        <v>0</v>
      </c>
      <c r="L263" t="n">
        <v>0</v>
      </c>
      <c r="M263" t="n">
        <v>0</v>
      </c>
      <c r="N263" t="n">
        <v>0</v>
      </c>
      <c r="O263" t="n">
        <v>0</v>
      </c>
      <c r="P263" t="n">
        <v>0</v>
      </c>
      <c r="Q263" t="n">
        <v>0</v>
      </c>
      <c r="R263" s="2" t="inlineStr"/>
    </row>
    <row r="264" ht="15" customHeight="1">
      <c r="A264" t="inlineStr">
        <is>
          <t>A 25200-2025</t>
        </is>
      </c>
      <c r="B264" s="1" t="n">
        <v>45800.4615625</v>
      </c>
      <c r="C264" s="1" t="n">
        <v>46129</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25208-2025</t>
        </is>
      </c>
      <c r="B265" s="1" t="n">
        <v>45800.46927083333</v>
      </c>
      <c r="C265" s="1" t="n">
        <v>46129</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58232-2021</t>
        </is>
      </c>
      <c r="B266" s="1" t="n">
        <v>44487</v>
      </c>
      <c r="C266" s="1" t="n">
        <v>46129</v>
      </c>
      <c r="D266" t="inlineStr">
        <is>
          <t>JÄMTLANDS LÄN</t>
        </is>
      </c>
      <c r="E266" t="inlineStr">
        <is>
          <t>ÅRE</t>
        </is>
      </c>
      <c r="G266" t="n">
        <v>43.7</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46129</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20485-2024</t>
        </is>
      </c>
      <c r="B268" s="1" t="n">
        <v>45435.7403125</v>
      </c>
      <c r="C268" s="1" t="n">
        <v>46129</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32241-2021</t>
        </is>
      </c>
      <c r="B269" s="1" t="n">
        <v>44371</v>
      </c>
      <c r="C269" s="1" t="n">
        <v>46129</v>
      </c>
      <c r="D269" t="inlineStr">
        <is>
          <t>JÄMTLANDS LÄN</t>
        </is>
      </c>
      <c r="E269" t="inlineStr">
        <is>
          <t>ÅRE</t>
        </is>
      </c>
      <c r="G269" t="n">
        <v>2.3</v>
      </c>
      <c r="H269" t="n">
        <v>0</v>
      </c>
      <c r="I269" t="n">
        <v>0</v>
      </c>
      <c r="J269" t="n">
        <v>0</v>
      </c>
      <c r="K269" t="n">
        <v>0</v>
      </c>
      <c r="L269" t="n">
        <v>0</v>
      </c>
      <c r="M269" t="n">
        <v>0</v>
      </c>
      <c r="N269" t="n">
        <v>0</v>
      </c>
      <c r="O269" t="n">
        <v>0</v>
      </c>
      <c r="P269" t="n">
        <v>0</v>
      </c>
      <c r="Q269" t="n">
        <v>0</v>
      </c>
      <c r="R269" s="2" t="inlineStr"/>
    </row>
    <row r="270" ht="15" customHeight="1">
      <c r="A270" t="inlineStr">
        <is>
          <t>A 57627-2025</t>
        </is>
      </c>
      <c r="B270" s="1" t="n">
        <v>45981.34583333333</v>
      </c>
      <c r="C270" s="1" t="n">
        <v>46129</v>
      </c>
      <c r="D270" t="inlineStr">
        <is>
          <t>JÄMTLANDS LÄN</t>
        </is>
      </c>
      <c r="E270" t="inlineStr">
        <is>
          <t>ÅRE</t>
        </is>
      </c>
      <c r="G270" t="n">
        <v>3.3</v>
      </c>
      <c r="H270" t="n">
        <v>0</v>
      </c>
      <c r="I270" t="n">
        <v>0</v>
      </c>
      <c r="J270" t="n">
        <v>0</v>
      </c>
      <c r="K270" t="n">
        <v>0</v>
      </c>
      <c r="L270" t="n">
        <v>0</v>
      </c>
      <c r="M270" t="n">
        <v>0</v>
      </c>
      <c r="N270" t="n">
        <v>0</v>
      </c>
      <c r="O270" t="n">
        <v>0</v>
      </c>
      <c r="P270" t="n">
        <v>0</v>
      </c>
      <c r="Q270" t="n">
        <v>0</v>
      </c>
      <c r="R270" s="2" t="inlineStr"/>
    </row>
    <row r="271" ht="15" customHeight="1">
      <c r="A271" t="inlineStr">
        <is>
          <t>A 57464-2025</t>
        </is>
      </c>
      <c r="B271" s="1" t="n">
        <v>45980</v>
      </c>
      <c r="C271" s="1" t="n">
        <v>46129</v>
      </c>
      <c r="D271" t="inlineStr">
        <is>
          <t>JÄMTLANDS LÄN</t>
        </is>
      </c>
      <c r="E271" t="inlineStr">
        <is>
          <t>ÅRE</t>
        </is>
      </c>
      <c r="G271" t="n">
        <v>8.1</v>
      </c>
      <c r="H271" t="n">
        <v>0</v>
      </c>
      <c r="I271" t="n">
        <v>0</v>
      </c>
      <c r="J271" t="n">
        <v>0</v>
      </c>
      <c r="K271" t="n">
        <v>0</v>
      </c>
      <c r="L271" t="n">
        <v>0</v>
      </c>
      <c r="M271" t="n">
        <v>0</v>
      </c>
      <c r="N271" t="n">
        <v>0</v>
      </c>
      <c r="O271" t="n">
        <v>0</v>
      </c>
      <c r="P271" t="n">
        <v>0</v>
      </c>
      <c r="Q271" t="n">
        <v>0</v>
      </c>
      <c r="R271" s="2" t="inlineStr"/>
    </row>
    <row r="272" ht="15" customHeight="1">
      <c r="A272" t="inlineStr">
        <is>
          <t>A 45834-2024</t>
        </is>
      </c>
      <c r="B272" s="1" t="n">
        <v>45579.91509259259</v>
      </c>
      <c r="C272" s="1" t="n">
        <v>46129</v>
      </c>
      <c r="D272" t="inlineStr">
        <is>
          <t>JÄMTLANDS LÄN</t>
        </is>
      </c>
      <c r="E272" t="inlineStr">
        <is>
          <t>ÅRE</t>
        </is>
      </c>
      <c r="G272" t="n">
        <v>3.9</v>
      </c>
      <c r="H272" t="n">
        <v>0</v>
      </c>
      <c r="I272" t="n">
        <v>0</v>
      </c>
      <c r="J272" t="n">
        <v>0</v>
      </c>
      <c r="K272" t="n">
        <v>0</v>
      </c>
      <c r="L272" t="n">
        <v>0</v>
      </c>
      <c r="M272" t="n">
        <v>0</v>
      </c>
      <c r="N272" t="n">
        <v>0</v>
      </c>
      <c r="O272" t="n">
        <v>0</v>
      </c>
      <c r="P272" t="n">
        <v>0</v>
      </c>
      <c r="Q272" t="n">
        <v>0</v>
      </c>
      <c r="R272" s="2" t="inlineStr"/>
    </row>
    <row r="273" ht="15" customHeight="1">
      <c r="A273" t="inlineStr">
        <is>
          <t>A 58432-2025</t>
        </is>
      </c>
      <c r="B273" s="1" t="n">
        <v>45985.60774305555</v>
      </c>
      <c r="C273" s="1" t="n">
        <v>46129</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58469-2025</t>
        </is>
      </c>
      <c r="B274" s="1" t="n">
        <v>45985.63699074074</v>
      </c>
      <c r="C274" s="1" t="n">
        <v>46129</v>
      </c>
      <c r="D274" t="inlineStr">
        <is>
          <t>JÄMTLANDS LÄN</t>
        </is>
      </c>
      <c r="E274" t="inlineStr">
        <is>
          <t>ÅRE</t>
        </is>
      </c>
      <c r="F274" t="inlineStr">
        <is>
          <t>Övriga Aktiebolag</t>
        </is>
      </c>
      <c r="G274" t="n">
        <v>3.7</v>
      </c>
      <c r="H274" t="n">
        <v>0</v>
      </c>
      <c r="I274" t="n">
        <v>0</v>
      </c>
      <c r="J274" t="n">
        <v>0</v>
      </c>
      <c r="K274" t="n">
        <v>0</v>
      </c>
      <c r="L274" t="n">
        <v>0</v>
      </c>
      <c r="M274" t="n">
        <v>0</v>
      </c>
      <c r="N274" t="n">
        <v>0</v>
      </c>
      <c r="O274" t="n">
        <v>0</v>
      </c>
      <c r="P274" t="n">
        <v>0</v>
      </c>
      <c r="Q274" t="n">
        <v>0</v>
      </c>
      <c r="R274" s="2" t="inlineStr"/>
    </row>
    <row r="275" ht="15" customHeight="1">
      <c r="A275" t="inlineStr">
        <is>
          <t>A 47075-2024</t>
        </is>
      </c>
      <c r="B275" s="1" t="n">
        <v>45586.5008912037</v>
      </c>
      <c r="C275" s="1" t="n">
        <v>46129</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5651-2023</t>
        </is>
      </c>
      <c r="B276" s="1" t="n">
        <v>44958</v>
      </c>
      <c r="C276" s="1" t="n">
        <v>46129</v>
      </c>
      <c r="D276" t="inlineStr">
        <is>
          <t>JÄMTLANDS LÄN</t>
        </is>
      </c>
      <c r="E276" t="inlineStr">
        <is>
          <t>ÅRE</t>
        </is>
      </c>
      <c r="G276" t="n">
        <v>5.7</v>
      </c>
      <c r="H276" t="n">
        <v>0</v>
      </c>
      <c r="I276" t="n">
        <v>0</v>
      </c>
      <c r="J276" t="n">
        <v>0</v>
      </c>
      <c r="K276" t="n">
        <v>0</v>
      </c>
      <c r="L276" t="n">
        <v>0</v>
      </c>
      <c r="M276" t="n">
        <v>0</v>
      </c>
      <c r="N276" t="n">
        <v>0</v>
      </c>
      <c r="O276" t="n">
        <v>0</v>
      </c>
      <c r="P276" t="n">
        <v>0</v>
      </c>
      <c r="Q276" t="n">
        <v>0</v>
      </c>
      <c r="R276" s="2" t="inlineStr"/>
    </row>
    <row r="277" ht="15" customHeight="1">
      <c r="A277" t="inlineStr">
        <is>
          <t>A 58006-2025</t>
        </is>
      </c>
      <c r="B277" s="1" t="n">
        <v>45982.44869212963</v>
      </c>
      <c r="C277" s="1" t="n">
        <v>46129</v>
      </c>
      <c r="D277" t="inlineStr">
        <is>
          <t>JÄMTLANDS LÄN</t>
        </is>
      </c>
      <c r="E277" t="inlineStr">
        <is>
          <t>ÅRE</t>
        </is>
      </c>
      <c r="G277" t="n">
        <v>4</v>
      </c>
      <c r="H277" t="n">
        <v>0</v>
      </c>
      <c r="I277" t="n">
        <v>0</v>
      </c>
      <c r="J277" t="n">
        <v>0</v>
      </c>
      <c r="K277" t="n">
        <v>0</v>
      </c>
      <c r="L277" t="n">
        <v>0</v>
      </c>
      <c r="M277" t="n">
        <v>0</v>
      </c>
      <c r="N277" t="n">
        <v>0</v>
      </c>
      <c r="O277" t="n">
        <v>0</v>
      </c>
      <c r="P277" t="n">
        <v>0</v>
      </c>
      <c r="Q277" t="n">
        <v>0</v>
      </c>
      <c r="R277" s="2" t="inlineStr"/>
    </row>
    <row r="278" ht="15" customHeight="1">
      <c r="A278" t="inlineStr">
        <is>
          <t>A 57928-2025</t>
        </is>
      </c>
      <c r="B278" s="1" t="n">
        <v>45981.88722222222</v>
      </c>
      <c r="C278" s="1" t="n">
        <v>46129</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40653-2022</t>
        </is>
      </c>
      <c r="B279" s="1" t="n">
        <v>44818</v>
      </c>
      <c r="C279" s="1" t="n">
        <v>46129</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44251-2025</t>
        </is>
      </c>
      <c r="B280" s="1" t="n">
        <v>45915.69837962963</v>
      </c>
      <c r="C280" s="1" t="n">
        <v>46129</v>
      </c>
      <c r="D280" t="inlineStr">
        <is>
          <t>JÄMTLANDS LÄN</t>
        </is>
      </c>
      <c r="E280" t="inlineStr">
        <is>
          <t>ÅRE</t>
        </is>
      </c>
      <c r="G280" t="n">
        <v>0.2</v>
      </c>
      <c r="H280" t="n">
        <v>0</v>
      </c>
      <c r="I280" t="n">
        <v>0</v>
      </c>
      <c r="J280" t="n">
        <v>0</v>
      </c>
      <c r="K280" t="n">
        <v>0</v>
      </c>
      <c r="L280" t="n">
        <v>0</v>
      </c>
      <c r="M280" t="n">
        <v>0</v>
      </c>
      <c r="N280" t="n">
        <v>0</v>
      </c>
      <c r="O280" t="n">
        <v>0</v>
      </c>
      <c r="P280" t="n">
        <v>0</v>
      </c>
      <c r="Q280" t="n">
        <v>0</v>
      </c>
      <c r="R280" s="2" t="inlineStr"/>
    </row>
    <row r="281" ht="15" customHeight="1">
      <c r="A281" t="inlineStr">
        <is>
          <t>A 37758-2023</t>
        </is>
      </c>
      <c r="B281" s="1" t="n">
        <v>45159</v>
      </c>
      <c r="C281" s="1" t="n">
        <v>46129</v>
      </c>
      <c r="D281" t="inlineStr">
        <is>
          <t>JÄMTLANDS LÄN</t>
        </is>
      </c>
      <c r="E281" t="inlineStr">
        <is>
          <t>ÅRE</t>
        </is>
      </c>
      <c r="G281" t="n">
        <v>20.1</v>
      </c>
      <c r="H281" t="n">
        <v>0</v>
      </c>
      <c r="I281" t="n">
        <v>0</v>
      </c>
      <c r="J281" t="n">
        <v>0</v>
      </c>
      <c r="K281" t="n">
        <v>0</v>
      </c>
      <c r="L281" t="n">
        <v>0</v>
      </c>
      <c r="M281" t="n">
        <v>0</v>
      </c>
      <c r="N281" t="n">
        <v>0</v>
      </c>
      <c r="O281" t="n">
        <v>0</v>
      </c>
      <c r="P281" t="n">
        <v>0</v>
      </c>
      <c r="Q281" t="n">
        <v>0</v>
      </c>
      <c r="R281" s="2" t="inlineStr"/>
    </row>
    <row r="282" ht="15" customHeight="1">
      <c r="A282" t="inlineStr">
        <is>
          <t>A 24655-2023</t>
        </is>
      </c>
      <c r="B282" s="1" t="n">
        <v>45084.47790509259</v>
      </c>
      <c r="C282" s="1" t="n">
        <v>46129</v>
      </c>
      <c r="D282" t="inlineStr">
        <is>
          <t>JÄMTLANDS LÄN</t>
        </is>
      </c>
      <c r="E282" t="inlineStr">
        <is>
          <t>ÅRE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43767-2025</t>
        </is>
      </c>
      <c r="B283" s="1" t="n">
        <v>45912.49256944445</v>
      </c>
      <c r="C283" s="1" t="n">
        <v>46129</v>
      </c>
      <c r="D283" t="inlineStr">
        <is>
          <t>JÄMTLANDS LÄN</t>
        </is>
      </c>
      <c r="E283" t="inlineStr">
        <is>
          <t>ÅRE</t>
        </is>
      </c>
      <c r="G283" t="n">
        <v>7.1</v>
      </c>
      <c r="H283" t="n">
        <v>0</v>
      </c>
      <c r="I283" t="n">
        <v>0</v>
      </c>
      <c r="J283" t="n">
        <v>0</v>
      </c>
      <c r="K283" t="n">
        <v>0</v>
      </c>
      <c r="L283" t="n">
        <v>0</v>
      </c>
      <c r="M283" t="n">
        <v>0</v>
      </c>
      <c r="N283" t="n">
        <v>0</v>
      </c>
      <c r="O283" t="n">
        <v>0</v>
      </c>
      <c r="P283" t="n">
        <v>0</v>
      </c>
      <c r="Q283" t="n">
        <v>0</v>
      </c>
      <c r="R283" s="2" t="inlineStr"/>
    </row>
    <row r="284" ht="15" customHeight="1">
      <c r="A284" t="inlineStr">
        <is>
          <t>A 56910-2022</t>
        </is>
      </c>
      <c r="B284" s="1" t="n">
        <v>44894.59936342593</v>
      </c>
      <c r="C284" s="1" t="n">
        <v>46129</v>
      </c>
      <c r="D284" t="inlineStr">
        <is>
          <t>JÄMTLANDS LÄN</t>
        </is>
      </c>
      <c r="E284" t="inlineStr">
        <is>
          <t>ÅRE</t>
        </is>
      </c>
      <c r="F284" t="inlineStr">
        <is>
          <t>Övriga Aktiebolag</t>
        </is>
      </c>
      <c r="G284" t="n">
        <v>4.9</v>
      </c>
      <c r="H284" t="n">
        <v>0</v>
      </c>
      <c r="I284" t="n">
        <v>0</v>
      </c>
      <c r="J284" t="n">
        <v>0</v>
      </c>
      <c r="K284" t="n">
        <v>0</v>
      </c>
      <c r="L284" t="n">
        <v>0</v>
      </c>
      <c r="M284" t="n">
        <v>0</v>
      </c>
      <c r="N284" t="n">
        <v>0</v>
      </c>
      <c r="O284" t="n">
        <v>0</v>
      </c>
      <c r="P284" t="n">
        <v>0</v>
      </c>
      <c r="Q284" t="n">
        <v>0</v>
      </c>
      <c r="R284" s="2" t="inlineStr"/>
    </row>
    <row r="285" ht="15" customHeight="1">
      <c r="A285" t="inlineStr">
        <is>
          <t>A 43768-2025</t>
        </is>
      </c>
      <c r="B285" s="1" t="n">
        <v>45912.49289351852</v>
      </c>
      <c r="C285" s="1" t="n">
        <v>46129</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58983-2025</t>
        </is>
      </c>
      <c r="B286" s="1" t="n">
        <v>45987.63885416667</v>
      </c>
      <c r="C286" s="1" t="n">
        <v>46129</v>
      </c>
      <c r="D286" t="inlineStr">
        <is>
          <t>JÄMTLANDS LÄN</t>
        </is>
      </c>
      <c r="E286" t="inlineStr">
        <is>
          <t>ÅRE</t>
        </is>
      </c>
      <c r="G286" t="n">
        <v>9.9</v>
      </c>
      <c r="H286" t="n">
        <v>0</v>
      </c>
      <c r="I286" t="n">
        <v>0</v>
      </c>
      <c r="J286" t="n">
        <v>0</v>
      </c>
      <c r="K286" t="n">
        <v>0</v>
      </c>
      <c r="L286" t="n">
        <v>0</v>
      </c>
      <c r="M286" t="n">
        <v>0</v>
      </c>
      <c r="N286" t="n">
        <v>0</v>
      </c>
      <c r="O286" t="n">
        <v>0</v>
      </c>
      <c r="P286" t="n">
        <v>0</v>
      </c>
      <c r="Q286" t="n">
        <v>0</v>
      </c>
      <c r="R286" s="2" t="inlineStr"/>
    </row>
    <row r="287" ht="15" customHeight="1">
      <c r="A287" t="inlineStr">
        <is>
          <t>A 58872-2025</t>
        </is>
      </c>
      <c r="B287" s="1" t="n">
        <v>45987.46554398148</v>
      </c>
      <c r="C287" s="1" t="n">
        <v>46129</v>
      </c>
      <c r="D287" t="inlineStr">
        <is>
          <t>JÄMTLANDS LÄN</t>
        </is>
      </c>
      <c r="E287" t="inlineStr">
        <is>
          <t>ÅRE</t>
        </is>
      </c>
      <c r="G287" t="n">
        <v>8</v>
      </c>
      <c r="H287" t="n">
        <v>0</v>
      </c>
      <c r="I287" t="n">
        <v>0</v>
      </c>
      <c r="J287" t="n">
        <v>0</v>
      </c>
      <c r="K287" t="n">
        <v>0</v>
      </c>
      <c r="L287" t="n">
        <v>0</v>
      </c>
      <c r="M287" t="n">
        <v>0</v>
      </c>
      <c r="N287" t="n">
        <v>0</v>
      </c>
      <c r="O287" t="n">
        <v>0</v>
      </c>
      <c r="P287" t="n">
        <v>0</v>
      </c>
      <c r="Q287" t="n">
        <v>0</v>
      </c>
      <c r="R287" s="2" t="inlineStr"/>
    </row>
    <row r="288" ht="15" customHeight="1">
      <c r="A288" t="inlineStr">
        <is>
          <t>A 58891-2025</t>
        </is>
      </c>
      <c r="B288" s="1" t="n">
        <v>45987.49034722222</v>
      </c>
      <c r="C288" s="1" t="n">
        <v>46129</v>
      </c>
      <c r="D288" t="inlineStr">
        <is>
          <t>JÄMTLANDS LÄN</t>
        </is>
      </c>
      <c r="E288" t="inlineStr">
        <is>
          <t>ÅRE</t>
        </is>
      </c>
      <c r="G288" t="n">
        <v>4.1</v>
      </c>
      <c r="H288" t="n">
        <v>0</v>
      </c>
      <c r="I288" t="n">
        <v>0</v>
      </c>
      <c r="J288" t="n">
        <v>0</v>
      </c>
      <c r="K288" t="n">
        <v>0</v>
      </c>
      <c r="L288" t="n">
        <v>0</v>
      </c>
      <c r="M288" t="n">
        <v>0</v>
      </c>
      <c r="N288" t="n">
        <v>0</v>
      </c>
      <c r="O288" t="n">
        <v>0</v>
      </c>
      <c r="P288" t="n">
        <v>0</v>
      </c>
      <c r="Q288" t="n">
        <v>0</v>
      </c>
      <c r="R288" s="2" t="inlineStr"/>
    </row>
    <row r="289" ht="15" customHeight="1">
      <c r="A289" t="inlineStr">
        <is>
          <t>A 59367-2025</t>
        </is>
      </c>
      <c r="B289" s="1" t="n">
        <v>45989.44711805556</v>
      </c>
      <c r="C289" s="1" t="n">
        <v>46129</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59014-2025</t>
        </is>
      </c>
      <c r="B290" s="1" t="n">
        <v>45987.81232638889</v>
      </c>
      <c r="C290" s="1" t="n">
        <v>46129</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43769-2025</t>
        </is>
      </c>
      <c r="B291" s="1" t="n">
        <v>45912.49420138889</v>
      </c>
      <c r="C291" s="1" t="n">
        <v>46129</v>
      </c>
      <c r="D291" t="inlineStr">
        <is>
          <t>JÄMTLANDS LÄN</t>
        </is>
      </c>
      <c r="E291" t="inlineStr">
        <is>
          <t>ÅRE</t>
        </is>
      </c>
      <c r="G291" t="n">
        <v>6.1</v>
      </c>
      <c r="H291" t="n">
        <v>0</v>
      </c>
      <c r="I291" t="n">
        <v>0</v>
      </c>
      <c r="J291" t="n">
        <v>0</v>
      </c>
      <c r="K291" t="n">
        <v>0</v>
      </c>
      <c r="L291" t="n">
        <v>0</v>
      </c>
      <c r="M291" t="n">
        <v>0</v>
      </c>
      <c r="N291" t="n">
        <v>0</v>
      </c>
      <c r="O291" t="n">
        <v>0</v>
      </c>
      <c r="P291" t="n">
        <v>0</v>
      </c>
      <c r="Q291" t="n">
        <v>0</v>
      </c>
      <c r="R291" s="2" t="inlineStr"/>
    </row>
    <row r="292" ht="15" customHeight="1">
      <c r="A292" t="inlineStr">
        <is>
          <t>A 59161-2025</t>
        </is>
      </c>
      <c r="B292" s="1" t="n">
        <v>45988.55300925926</v>
      </c>
      <c r="C292" s="1" t="n">
        <v>46129</v>
      </c>
      <c r="D292" t="inlineStr">
        <is>
          <t>JÄMTLANDS LÄN</t>
        </is>
      </c>
      <c r="E292" t="inlineStr">
        <is>
          <t>ÅRE</t>
        </is>
      </c>
      <c r="G292" t="n">
        <v>3.8</v>
      </c>
      <c r="H292" t="n">
        <v>0</v>
      </c>
      <c r="I292" t="n">
        <v>0</v>
      </c>
      <c r="J292" t="n">
        <v>0</v>
      </c>
      <c r="K292" t="n">
        <v>0</v>
      </c>
      <c r="L292" t="n">
        <v>0</v>
      </c>
      <c r="M292" t="n">
        <v>0</v>
      </c>
      <c r="N292" t="n">
        <v>0</v>
      </c>
      <c r="O292" t="n">
        <v>0</v>
      </c>
      <c r="P292" t="n">
        <v>0</v>
      </c>
      <c r="Q292" t="n">
        <v>0</v>
      </c>
      <c r="R292" s="2" t="inlineStr"/>
    </row>
    <row r="293" ht="15" customHeight="1">
      <c r="A293" t="inlineStr">
        <is>
          <t>A 1112-2025</t>
        </is>
      </c>
      <c r="B293" s="1" t="n">
        <v>45666</v>
      </c>
      <c r="C293" s="1" t="n">
        <v>46129</v>
      </c>
      <c r="D293" t="inlineStr">
        <is>
          <t>JÄMTLANDS LÄN</t>
        </is>
      </c>
      <c r="E293" t="inlineStr">
        <is>
          <t>ÅRE</t>
        </is>
      </c>
      <c r="F293" t="inlineStr">
        <is>
          <t>Övriga Aktiebolag</t>
        </is>
      </c>
      <c r="G293" t="n">
        <v>17.7</v>
      </c>
      <c r="H293" t="n">
        <v>0</v>
      </c>
      <c r="I293" t="n">
        <v>0</v>
      </c>
      <c r="J293" t="n">
        <v>0</v>
      </c>
      <c r="K293" t="n">
        <v>0</v>
      </c>
      <c r="L293" t="n">
        <v>0</v>
      </c>
      <c r="M293" t="n">
        <v>0</v>
      </c>
      <c r="N293" t="n">
        <v>0</v>
      </c>
      <c r="O293" t="n">
        <v>0</v>
      </c>
      <c r="P293" t="n">
        <v>0</v>
      </c>
      <c r="Q293" t="n">
        <v>0</v>
      </c>
      <c r="R293" s="2" t="inlineStr"/>
    </row>
    <row r="294" ht="15" customHeight="1">
      <c r="A294" t="inlineStr">
        <is>
          <t>A 4777-2025</t>
        </is>
      </c>
      <c r="B294" s="1" t="n">
        <v>45688</v>
      </c>
      <c r="C294" s="1" t="n">
        <v>46129</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18264-2023</t>
        </is>
      </c>
      <c r="B295" s="1" t="n">
        <v>45041</v>
      </c>
      <c r="C295" s="1" t="n">
        <v>46129</v>
      </c>
      <c r="D295" t="inlineStr">
        <is>
          <t>JÄMTLANDS LÄN</t>
        </is>
      </c>
      <c r="E295" t="inlineStr">
        <is>
          <t>ÅRE</t>
        </is>
      </c>
      <c r="G295" t="n">
        <v>0.2</v>
      </c>
      <c r="H295" t="n">
        <v>0</v>
      </c>
      <c r="I295" t="n">
        <v>0</v>
      </c>
      <c r="J295" t="n">
        <v>0</v>
      </c>
      <c r="K295" t="n">
        <v>0</v>
      </c>
      <c r="L295" t="n">
        <v>0</v>
      </c>
      <c r="M295" t="n">
        <v>0</v>
      </c>
      <c r="N295" t="n">
        <v>0</v>
      </c>
      <c r="O295" t="n">
        <v>0</v>
      </c>
      <c r="P295" t="n">
        <v>0</v>
      </c>
      <c r="Q295" t="n">
        <v>0</v>
      </c>
      <c r="R295" s="2" t="inlineStr"/>
    </row>
    <row r="296" ht="15" customHeight="1">
      <c r="A296" t="inlineStr">
        <is>
          <t>A 59823-2025</t>
        </is>
      </c>
      <c r="B296" s="1" t="n">
        <v>45992.64878472222</v>
      </c>
      <c r="C296" s="1" t="n">
        <v>46129</v>
      </c>
      <c r="D296" t="inlineStr">
        <is>
          <t>JÄMTLANDS LÄN</t>
        </is>
      </c>
      <c r="E296" t="inlineStr">
        <is>
          <t>ÅRE</t>
        </is>
      </c>
      <c r="G296" t="n">
        <v>0.4</v>
      </c>
      <c r="H296" t="n">
        <v>0</v>
      </c>
      <c r="I296" t="n">
        <v>0</v>
      </c>
      <c r="J296" t="n">
        <v>0</v>
      </c>
      <c r="K296" t="n">
        <v>0</v>
      </c>
      <c r="L296" t="n">
        <v>0</v>
      </c>
      <c r="M296" t="n">
        <v>0</v>
      </c>
      <c r="N296" t="n">
        <v>0</v>
      </c>
      <c r="O296" t="n">
        <v>0</v>
      </c>
      <c r="P296" t="n">
        <v>0</v>
      </c>
      <c r="Q296" t="n">
        <v>0</v>
      </c>
      <c r="R296" s="2" t="inlineStr"/>
    </row>
    <row r="297" ht="15" customHeight="1">
      <c r="A297" t="inlineStr">
        <is>
          <t>A 52677-2024</t>
        </is>
      </c>
      <c r="B297" s="1" t="n">
        <v>45610.38560185185</v>
      </c>
      <c r="C297" s="1" t="n">
        <v>46129</v>
      </c>
      <c r="D297" t="inlineStr">
        <is>
          <t>JÄMTLANDS LÄN</t>
        </is>
      </c>
      <c r="E297" t="inlineStr">
        <is>
          <t>ÅRE</t>
        </is>
      </c>
      <c r="F297" t="inlineStr">
        <is>
          <t>Övriga Aktiebolag</t>
        </is>
      </c>
      <c r="G297" t="n">
        <v>3</v>
      </c>
      <c r="H297" t="n">
        <v>0</v>
      </c>
      <c r="I297" t="n">
        <v>0</v>
      </c>
      <c r="J297" t="n">
        <v>0</v>
      </c>
      <c r="K297" t="n">
        <v>0</v>
      </c>
      <c r="L297" t="n">
        <v>0</v>
      </c>
      <c r="M297" t="n">
        <v>0</v>
      </c>
      <c r="N297" t="n">
        <v>0</v>
      </c>
      <c r="O297" t="n">
        <v>0</v>
      </c>
      <c r="P297" t="n">
        <v>0</v>
      </c>
      <c r="Q297" t="n">
        <v>0</v>
      </c>
      <c r="R297" s="2" t="inlineStr"/>
    </row>
    <row r="298" ht="15" customHeight="1">
      <c r="A298" t="inlineStr">
        <is>
          <t>A 59690-2025</t>
        </is>
      </c>
      <c r="B298" s="1" t="n">
        <v>45992.48541666667</v>
      </c>
      <c r="C298" s="1" t="n">
        <v>46129</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59653-2025</t>
        </is>
      </c>
      <c r="B299" s="1" t="n">
        <v>45992.43616898148</v>
      </c>
      <c r="C299" s="1" t="n">
        <v>46129</v>
      </c>
      <c r="D299" t="inlineStr">
        <is>
          <t>JÄMTLANDS LÄN</t>
        </is>
      </c>
      <c r="E299" t="inlineStr">
        <is>
          <t>ÅRE</t>
        </is>
      </c>
      <c r="G299" t="n">
        <v>3.6</v>
      </c>
      <c r="H299" t="n">
        <v>0</v>
      </c>
      <c r="I299" t="n">
        <v>0</v>
      </c>
      <c r="J299" t="n">
        <v>0</v>
      </c>
      <c r="K299" t="n">
        <v>0</v>
      </c>
      <c r="L299" t="n">
        <v>0</v>
      </c>
      <c r="M299" t="n">
        <v>0</v>
      </c>
      <c r="N299" t="n">
        <v>0</v>
      </c>
      <c r="O299" t="n">
        <v>0</v>
      </c>
      <c r="P299" t="n">
        <v>0</v>
      </c>
      <c r="Q299" t="n">
        <v>0</v>
      </c>
      <c r="R299" s="2" t="inlineStr"/>
    </row>
    <row r="300" ht="15" customHeight="1">
      <c r="A300" t="inlineStr">
        <is>
          <t>A 59659-2025</t>
        </is>
      </c>
      <c r="B300" s="1" t="n">
        <v>45992.44748842593</v>
      </c>
      <c r="C300" s="1" t="n">
        <v>46129</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44418-2025</t>
        </is>
      </c>
      <c r="B301" s="1" t="n">
        <v>45916.54578703704</v>
      </c>
      <c r="C301" s="1" t="n">
        <v>46129</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44644-2025</t>
        </is>
      </c>
      <c r="B302" s="1" t="n">
        <v>45917.53284722222</v>
      </c>
      <c r="C302" s="1" t="n">
        <v>46129</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44668-2025</t>
        </is>
      </c>
      <c r="B303" s="1" t="n">
        <v>45917.56306712963</v>
      </c>
      <c r="C303" s="1" t="n">
        <v>46129</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44685-2025</t>
        </is>
      </c>
      <c r="B304" s="1" t="n">
        <v>45917.58569444445</v>
      </c>
      <c r="C304" s="1" t="n">
        <v>46129</v>
      </c>
      <c r="D304" t="inlineStr">
        <is>
          <t>JÄMTLANDS LÄN</t>
        </is>
      </c>
      <c r="E304" t="inlineStr">
        <is>
          <t>ÅRE</t>
        </is>
      </c>
      <c r="G304" t="n">
        <v>2.2</v>
      </c>
      <c r="H304" t="n">
        <v>0</v>
      </c>
      <c r="I304" t="n">
        <v>0</v>
      </c>
      <c r="J304" t="n">
        <v>0</v>
      </c>
      <c r="K304" t="n">
        <v>0</v>
      </c>
      <c r="L304" t="n">
        <v>0</v>
      </c>
      <c r="M304" t="n">
        <v>0</v>
      </c>
      <c r="N304" t="n">
        <v>0</v>
      </c>
      <c r="O304" t="n">
        <v>0</v>
      </c>
      <c r="P304" t="n">
        <v>0</v>
      </c>
      <c r="Q304" t="n">
        <v>0</v>
      </c>
      <c r="R304" s="2" t="inlineStr"/>
    </row>
    <row r="305" ht="15" customHeight="1">
      <c r="A305" t="inlineStr">
        <is>
          <t>A 43307-2024</t>
        </is>
      </c>
      <c r="B305" s="1" t="n">
        <v>45568.44303240741</v>
      </c>
      <c r="C305" s="1" t="n">
        <v>46129</v>
      </c>
      <c r="D305" t="inlineStr">
        <is>
          <t>JÄMTLANDS LÄN</t>
        </is>
      </c>
      <c r="E305" t="inlineStr">
        <is>
          <t>ÅRE</t>
        </is>
      </c>
      <c r="F305" t="inlineStr">
        <is>
          <t>Övriga Aktiebolag</t>
        </is>
      </c>
      <c r="G305" t="n">
        <v>1.1</v>
      </c>
      <c r="H305" t="n">
        <v>0</v>
      </c>
      <c r="I305" t="n">
        <v>0</v>
      </c>
      <c r="J305" t="n">
        <v>0</v>
      </c>
      <c r="K305" t="n">
        <v>0</v>
      </c>
      <c r="L305" t="n">
        <v>0</v>
      </c>
      <c r="M305" t="n">
        <v>0</v>
      </c>
      <c r="N305" t="n">
        <v>0</v>
      </c>
      <c r="O305" t="n">
        <v>0</v>
      </c>
      <c r="P305" t="n">
        <v>0</v>
      </c>
      <c r="Q305" t="n">
        <v>0</v>
      </c>
      <c r="R305" s="2" t="inlineStr"/>
    </row>
    <row r="306" ht="15" customHeight="1">
      <c r="A306" t="inlineStr">
        <is>
          <t>A 54116-2023</t>
        </is>
      </c>
      <c r="B306" s="1" t="n">
        <v>45232</v>
      </c>
      <c r="C306" s="1" t="n">
        <v>46129</v>
      </c>
      <c r="D306" t="inlineStr">
        <is>
          <t>JÄMTLANDS LÄN</t>
        </is>
      </c>
      <c r="E306" t="inlineStr">
        <is>
          <t>ÅRE</t>
        </is>
      </c>
      <c r="G306" t="n">
        <v>3.8</v>
      </c>
      <c r="H306" t="n">
        <v>0</v>
      </c>
      <c r="I306" t="n">
        <v>0</v>
      </c>
      <c r="J306" t="n">
        <v>0</v>
      </c>
      <c r="K306" t="n">
        <v>0</v>
      </c>
      <c r="L306" t="n">
        <v>0</v>
      </c>
      <c r="M306" t="n">
        <v>0</v>
      </c>
      <c r="N306" t="n">
        <v>0</v>
      </c>
      <c r="O306" t="n">
        <v>0</v>
      </c>
      <c r="P306" t="n">
        <v>0</v>
      </c>
      <c r="Q306" t="n">
        <v>0</v>
      </c>
      <c r="R306" s="2" t="inlineStr"/>
    </row>
    <row r="307" ht="15" customHeight="1">
      <c r="A307" t="inlineStr">
        <is>
          <t>A 60398-2025</t>
        </is>
      </c>
      <c r="B307" s="1" t="n">
        <v>45995.3990162037</v>
      </c>
      <c r="C307" s="1" t="n">
        <v>46129</v>
      </c>
      <c r="D307" t="inlineStr">
        <is>
          <t>JÄMTLANDS LÄN</t>
        </is>
      </c>
      <c r="E307" t="inlineStr">
        <is>
          <t>ÅRE</t>
        </is>
      </c>
      <c r="G307" t="n">
        <v>3.7</v>
      </c>
      <c r="H307" t="n">
        <v>0</v>
      </c>
      <c r="I307" t="n">
        <v>0</v>
      </c>
      <c r="J307" t="n">
        <v>0</v>
      </c>
      <c r="K307" t="n">
        <v>0</v>
      </c>
      <c r="L307" t="n">
        <v>0</v>
      </c>
      <c r="M307" t="n">
        <v>0</v>
      </c>
      <c r="N307" t="n">
        <v>0</v>
      </c>
      <c r="O307" t="n">
        <v>0</v>
      </c>
      <c r="P307" t="n">
        <v>0</v>
      </c>
      <c r="Q307" t="n">
        <v>0</v>
      </c>
      <c r="R307" s="2" t="inlineStr"/>
    </row>
    <row r="308" ht="15" customHeight="1">
      <c r="A308" t="inlineStr">
        <is>
          <t>A 60473-2025</t>
        </is>
      </c>
      <c r="B308" s="1" t="n">
        <v>45995.57738425926</v>
      </c>
      <c r="C308" s="1" t="n">
        <v>46129</v>
      </c>
      <c r="D308" t="inlineStr">
        <is>
          <t>JÄMTLANDS LÄN</t>
        </is>
      </c>
      <c r="E308" t="inlineStr">
        <is>
          <t>ÅRE</t>
        </is>
      </c>
      <c r="G308" t="n">
        <v>7.7</v>
      </c>
      <c r="H308" t="n">
        <v>0</v>
      </c>
      <c r="I308" t="n">
        <v>0</v>
      </c>
      <c r="J308" t="n">
        <v>0</v>
      </c>
      <c r="K308" t="n">
        <v>0</v>
      </c>
      <c r="L308" t="n">
        <v>0</v>
      </c>
      <c r="M308" t="n">
        <v>0</v>
      </c>
      <c r="N308" t="n">
        <v>0</v>
      </c>
      <c r="O308" t="n">
        <v>0</v>
      </c>
      <c r="P308" t="n">
        <v>0</v>
      </c>
      <c r="Q308" t="n">
        <v>0</v>
      </c>
      <c r="R308" s="2" t="inlineStr"/>
    </row>
    <row r="309" ht="15" customHeight="1">
      <c r="A309" t="inlineStr">
        <is>
          <t>A 12292-2023</t>
        </is>
      </c>
      <c r="B309" s="1" t="n">
        <v>44998</v>
      </c>
      <c r="C309" s="1" t="n">
        <v>46129</v>
      </c>
      <c r="D309" t="inlineStr">
        <is>
          <t>JÄMTLANDS LÄN</t>
        </is>
      </c>
      <c r="E309" t="inlineStr">
        <is>
          <t>ÅRE</t>
        </is>
      </c>
      <c r="G309" t="n">
        <v>3.5</v>
      </c>
      <c r="H309" t="n">
        <v>0</v>
      </c>
      <c r="I309" t="n">
        <v>0</v>
      </c>
      <c r="J309" t="n">
        <v>0</v>
      </c>
      <c r="K309" t="n">
        <v>0</v>
      </c>
      <c r="L309" t="n">
        <v>0</v>
      </c>
      <c r="M309" t="n">
        <v>0</v>
      </c>
      <c r="N309" t="n">
        <v>0</v>
      </c>
      <c r="O309" t="n">
        <v>0</v>
      </c>
      <c r="P309" t="n">
        <v>0</v>
      </c>
      <c r="Q309" t="n">
        <v>0</v>
      </c>
      <c r="R309" s="2" t="inlineStr"/>
    </row>
    <row r="310" ht="15" customHeight="1">
      <c r="A310" t="inlineStr">
        <is>
          <t>A 12294-2023</t>
        </is>
      </c>
      <c r="B310" s="1" t="n">
        <v>44998.75266203703</v>
      </c>
      <c r="C310" s="1" t="n">
        <v>46129</v>
      </c>
      <c r="D310" t="inlineStr">
        <is>
          <t>JÄMTLANDS LÄN</t>
        </is>
      </c>
      <c r="E310" t="inlineStr">
        <is>
          <t>ÅRE</t>
        </is>
      </c>
      <c r="G310" t="n">
        <v>1.4</v>
      </c>
      <c r="H310" t="n">
        <v>0</v>
      </c>
      <c r="I310" t="n">
        <v>0</v>
      </c>
      <c r="J310" t="n">
        <v>0</v>
      </c>
      <c r="K310" t="n">
        <v>0</v>
      </c>
      <c r="L310" t="n">
        <v>0</v>
      </c>
      <c r="M310" t="n">
        <v>0</v>
      </c>
      <c r="N310" t="n">
        <v>0</v>
      </c>
      <c r="O310" t="n">
        <v>0</v>
      </c>
      <c r="P310" t="n">
        <v>0</v>
      </c>
      <c r="Q310" t="n">
        <v>0</v>
      </c>
      <c r="R310" s="2" t="inlineStr"/>
    </row>
    <row r="311" ht="15" customHeight="1">
      <c r="A311" t="inlineStr">
        <is>
          <t>A 18531-2021</t>
        </is>
      </c>
      <c r="B311" s="1" t="n">
        <v>44306</v>
      </c>
      <c r="C311" s="1" t="n">
        <v>46129</v>
      </c>
      <c r="D311" t="inlineStr">
        <is>
          <t>JÄMTLANDS LÄN</t>
        </is>
      </c>
      <c r="E311" t="inlineStr">
        <is>
          <t>ÅRE</t>
        </is>
      </c>
      <c r="G311" t="n">
        <v>4</v>
      </c>
      <c r="H311" t="n">
        <v>0</v>
      </c>
      <c r="I311" t="n">
        <v>0</v>
      </c>
      <c r="J311" t="n">
        <v>0</v>
      </c>
      <c r="K311" t="n">
        <v>0</v>
      </c>
      <c r="L311" t="n">
        <v>0</v>
      </c>
      <c r="M311" t="n">
        <v>0</v>
      </c>
      <c r="N311" t="n">
        <v>0</v>
      </c>
      <c r="O311" t="n">
        <v>0</v>
      </c>
      <c r="P311" t="n">
        <v>0</v>
      </c>
      <c r="Q311" t="n">
        <v>0</v>
      </c>
      <c r="R311" s="2" t="inlineStr"/>
    </row>
    <row r="312" ht="15" customHeight="1">
      <c r="A312" t="inlineStr">
        <is>
          <t>A 23651-2025</t>
        </is>
      </c>
      <c r="B312" s="1" t="n">
        <v>45792</v>
      </c>
      <c r="C312" s="1" t="n">
        <v>46129</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45605-2025</t>
        </is>
      </c>
      <c r="B313" s="1" t="n">
        <v>45922.69826388889</v>
      </c>
      <c r="C313" s="1" t="n">
        <v>46129</v>
      </c>
      <c r="D313" t="inlineStr">
        <is>
          <t>JÄMTLANDS LÄN</t>
        </is>
      </c>
      <c r="E313" t="inlineStr">
        <is>
          <t>ÅRE</t>
        </is>
      </c>
      <c r="G313" t="n">
        <v>1.9</v>
      </c>
      <c r="H313" t="n">
        <v>0</v>
      </c>
      <c r="I313" t="n">
        <v>0</v>
      </c>
      <c r="J313" t="n">
        <v>0</v>
      </c>
      <c r="K313" t="n">
        <v>0</v>
      </c>
      <c r="L313" t="n">
        <v>0</v>
      </c>
      <c r="M313" t="n">
        <v>0</v>
      </c>
      <c r="N313" t="n">
        <v>0</v>
      </c>
      <c r="O313" t="n">
        <v>0</v>
      </c>
      <c r="P313" t="n">
        <v>0</v>
      </c>
      <c r="Q313" t="n">
        <v>0</v>
      </c>
      <c r="R313" s="2" t="inlineStr"/>
    </row>
    <row r="314" ht="15" customHeight="1">
      <c r="A314" t="inlineStr">
        <is>
          <t>A 49303-2024</t>
        </is>
      </c>
      <c r="B314" s="1" t="n">
        <v>45595</v>
      </c>
      <c r="C314" s="1" t="n">
        <v>46129</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64758-2023</t>
        </is>
      </c>
      <c r="B315" s="1" t="n">
        <v>45281</v>
      </c>
      <c r="C315" s="1" t="n">
        <v>46129</v>
      </c>
      <c r="D315" t="inlineStr">
        <is>
          <t>JÄMTLANDS LÄN</t>
        </is>
      </c>
      <c r="E315" t="inlineStr">
        <is>
          <t>ÅRE</t>
        </is>
      </c>
      <c r="F315" t="inlineStr">
        <is>
          <t>Övriga Aktiebolag</t>
        </is>
      </c>
      <c r="G315" t="n">
        <v>3.4</v>
      </c>
      <c r="H315" t="n">
        <v>0</v>
      </c>
      <c r="I315" t="n">
        <v>0</v>
      </c>
      <c r="J315" t="n">
        <v>0</v>
      </c>
      <c r="K315" t="n">
        <v>0</v>
      </c>
      <c r="L315" t="n">
        <v>0</v>
      </c>
      <c r="M315" t="n">
        <v>0</v>
      </c>
      <c r="N315" t="n">
        <v>0</v>
      </c>
      <c r="O315" t="n">
        <v>0</v>
      </c>
      <c r="P315" t="n">
        <v>0</v>
      </c>
      <c r="Q315" t="n">
        <v>0</v>
      </c>
      <c r="R315" s="2" t="inlineStr"/>
    </row>
    <row r="316" ht="15" customHeight="1">
      <c r="A316" t="inlineStr">
        <is>
          <t>A 61978-2023</t>
        </is>
      </c>
      <c r="B316" s="1" t="n">
        <v>45266.59711805556</v>
      </c>
      <c r="C316" s="1" t="n">
        <v>46129</v>
      </c>
      <c r="D316" t="inlineStr">
        <is>
          <t>JÄMTLANDS LÄN</t>
        </is>
      </c>
      <c r="E316" t="inlineStr">
        <is>
          <t>ÅRE</t>
        </is>
      </c>
      <c r="G316" t="n">
        <v>5.5</v>
      </c>
      <c r="H316" t="n">
        <v>0</v>
      </c>
      <c r="I316" t="n">
        <v>0</v>
      </c>
      <c r="J316" t="n">
        <v>0</v>
      </c>
      <c r="K316" t="n">
        <v>0</v>
      </c>
      <c r="L316" t="n">
        <v>0</v>
      </c>
      <c r="M316" t="n">
        <v>0</v>
      </c>
      <c r="N316" t="n">
        <v>0</v>
      </c>
      <c r="O316" t="n">
        <v>0</v>
      </c>
      <c r="P316" t="n">
        <v>0</v>
      </c>
      <c r="Q316" t="n">
        <v>0</v>
      </c>
      <c r="R316" s="2" t="inlineStr"/>
    </row>
    <row r="317" ht="15" customHeight="1">
      <c r="A317" t="inlineStr">
        <is>
          <t>A 45796-2025</t>
        </is>
      </c>
      <c r="B317" s="1" t="n">
        <v>45923.57418981481</v>
      </c>
      <c r="C317" s="1" t="n">
        <v>46129</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45614-2025</t>
        </is>
      </c>
      <c r="B318" s="1" t="n">
        <v>45922.719375</v>
      </c>
      <c r="C318" s="1" t="n">
        <v>46129</v>
      </c>
      <c r="D318" t="inlineStr">
        <is>
          <t>JÄMTLANDS LÄN</t>
        </is>
      </c>
      <c r="E318" t="inlineStr">
        <is>
          <t>ÅRE</t>
        </is>
      </c>
      <c r="G318" t="n">
        <v>2.4</v>
      </c>
      <c r="H318" t="n">
        <v>0</v>
      </c>
      <c r="I318" t="n">
        <v>0</v>
      </c>
      <c r="J318" t="n">
        <v>0</v>
      </c>
      <c r="K318" t="n">
        <v>0</v>
      </c>
      <c r="L318" t="n">
        <v>0</v>
      </c>
      <c r="M318" t="n">
        <v>0</v>
      </c>
      <c r="N318" t="n">
        <v>0</v>
      </c>
      <c r="O318" t="n">
        <v>0</v>
      </c>
      <c r="P318" t="n">
        <v>0</v>
      </c>
      <c r="Q318" t="n">
        <v>0</v>
      </c>
      <c r="R318" s="2" t="inlineStr"/>
    </row>
    <row r="319" ht="15" customHeight="1">
      <c r="A319" t="inlineStr">
        <is>
          <t>A 12940-2024</t>
        </is>
      </c>
      <c r="B319" s="1" t="n">
        <v>45385.46263888889</v>
      </c>
      <c r="C319" s="1" t="n">
        <v>46129</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58508-2023</t>
        </is>
      </c>
      <c r="B320" s="1" t="n">
        <v>45246</v>
      </c>
      <c r="C320" s="1" t="n">
        <v>46129</v>
      </c>
      <c r="D320" t="inlineStr">
        <is>
          <t>JÄMTLANDS LÄN</t>
        </is>
      </c>
      <c r="E320" t="inlineStr">
        <is>
          <t>ÅRE</t>
        </is>
      </c>
      <c r="G320" t="n">
        <v>21.8</v>
      </c>
      <c r="H320" t="n">
        <v>0</v>
      </c>
      <c r="I320" t="n">
        <v>0</v>
      </c>
      <c r="J320" t="n">
        <v>0</v>
      </c>
      <c r="K320" t="n">
        <v>0</v>
      </c>
      <c r="L320" t="n">
        <v>0</v>
      </c>
      <c r="M320" t="n">
        <v>0</v>
      </c>
      <c r="N320" t="n">
        <v>0</v>
      </c>
      <c r="O320" t="n">
        <v>0</v>
      </c>
      <c r="P320" t="n">
        <v>0</v>
      </c>
      <c r="Q320" t="n">
        <v>0</v>
      </c>
      <c r="R320" s="2" t="inlineStr"/>
    </row>
    <row r="321" ht="15" customHeight="1">
      <c r="A321" t="inlineStr">
        <is>
          <t>A 39069-2024</t>
        </is>
      </c>
      <c r="B321" s="1" t="n">
        <v>45548.53166666667</v>
      </c>
      <c r="C321" s="1" t="n">
        <v>46129</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12944-2024</t>
        </is>
      </c>
      <c r="B322" s="1" t="n">
        <v>45385</v>
      </c>
      <c r="C322" s="1" t="n">
        <v>46129</v>
      </c>
      <c r="D322" t="inlineStr">
        <is>
          <t>JÄMTLANDS LÄN</t>
        </is>
      </c>
      <c r="E322" t="inlineStr">
        <is>
          <t>ÅRE</t>
        </is>
      </c>
      <c r="G322" t="n">
        <v>1.9</v>
      </c>
      <c r="H322" t="n">
        <v>0</v>
      </c>
      <c r="I322" t="n">
        <v>0</v>
      </c>
      <c r="J322" t="n">
        <v>0</v>
      </c>
      <c r="K322" t="n">
        <v>0</v>
      </c>
      <c r="L322" t="n">
        <v>0</v>
      </c>
      <c r="M322" t="n">
        <v>0</v>
      </c>
      <c r="N322" t="n">
        <v>0</v>
      </c>
      <c r="O322" t="n">
        <v>0</v>
      </c>
      <c r="P322" t="n">
        <v>0</v>
      </c>
      <c r="Q322" t="n">
        <v>0</v>
      </c>
      <c r="R322" s="2" t="inlineStr"/>
    </row>
    <row r="323" ht="15" customHeight="1">
      <c r="A323" t="inlineStr">
        <is>
          <t>A 64237-2021</t>
        </is>
      </c>
      <c r="B323" s="1" t="n">
        <v>44510</v>
      </c>
      <c r="C323" s="1" t="n">
        <v>46129</v>
      </c>
      <c r="D323" t="inlineStr">
        <is>
          <t>JÄMTLANDS LÄN</t>
        </is>
      </c>
      <c r="E323" t="inlineStr">
        <is>
          <t>ÅRE</t>
        </is>
      </c>
      <c r="G323" t="n">
        <v>2.7</v>
      </c>
      <c r="H323" t="n">
        <v>0</v>
      </c>
      <c r="I323" t="n">
        <v>0</v>
      </c>
      <c r="J323" t="n">
        <v>0</v>
      </c>
      <c r="K323" t="n">
        <v>0</v>
      </c>
      <c r="L323" t="n">
        <v>0</v>
      </c>
      <c r="M323" t="n">
        <v>0</v>
      </c>
      <c r="N323" t="n">
        <v>0</v>
      </c>
      <c r="O323" t="n">
        <v>0</v>
      </c>
      <c r="P323" t="n">
        <v>0</v>
      </c>
      <c r="Q323" t="n">
        <v>0</v>
      </c>
      <c r="R323" s="2" t="inlineStr"/>
    </row>
    <row r="324" ht="15" customHeight="1">
      <c r="A324" t="inlineStr">
        <is>
          <t>A 46041-2025</t>
        </is>
      </c>
      <c r="B324" s="1" t="n">
        <v>45924</v>
      </c>
      <c r="C324" s="1" t="n">
        <v>46129</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30263-2023</t>
        </is>
      </c>
      <c r="B325" s="1" t="n">
        <v>45099</v>
      </c>
      <c r="C325" s="1" t="n">
        <v>46129</v>
      </c>
      <c r="D325" t="inlineStr">
        <is>
          <t>JÄMTLANDS LÄN</t>
        </is>
      </c>
      <c r="E325" t="inlineStr">
        <is>
          <t>ÅRE</t>
        </is>
      </c>
      <c r="G325" t="n">
        <v>15.9</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46129</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60585-2025</t>
        </is>
      </c>
      <c r="B327" s="1" t="n">
        <v>45996.33314814815</v>
      </c>
      <c r="C327" s="1" t="n">
        <v>46129</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61183-2023</t>
        </is>
      </c>
      <c r="B328" s="1" t="n">
        <v>45263</v>
      </c>
      <c r="C328" s="1" t="n">
        <v>46129</v>
      </c>
      <c r="D328" t="inlineStr">
        <is>
          <t>JÄMTLANDS LÄN</t>
        </is>
      </c>
      <c r="E328" t="inlineStr">
        <is>
          <t>ÅRE</t>
        </is>
      </c>
      <c r="G328" t="n">
        <v>8.4</v>
      </c>
      <c r="H328" t="n">
        <v>0</v>
      </c>
      <c r="I328" t="n">
        <v>0</v>
      </c>
      <c r="J328" t="n">
        <v>0</v>
      </c>
      <c r="K328" t="n">
        <v>0</v>
      </c>
      <c r="L328" t="n">
        <v>0</v>
      </c>
      <c r="M328" t="n">
        <v>0</v>
      </c>
      <c r="N328" t="n">
        <v>0</v>
      </c>
      <c r="O328" t="n">
        <v>0</v>
      </c>
      <c r="P328" t="n">
        <v>0</v>
      </c>
      <c r="Q328" t="n">
        <v>0</v>
      </c>
      <c r="R328" s="2" t="inlineStr"/>
    </row>
    <row r="329" ht="15" customHeight="1">
      <c r="A329" t="inlineStr">
        <is>
          <t>A 18849-2022</t>
        </is>
      </c>
      <c r="B329" s="1" t="n">
        <v>44690</v>
      </c>
      <c r="C329" s="1" t="n">
        <v>46129</v>
      </c>
      <c r="D329" t="inlineStr">
        <is>
          <t>JÄMTLANDS LÄN</t>
        </is>
      </c>
      <c r="E329" t="inlineStr">
        <is>
          <t>ÅRE</t>
        </is>
      </c>
      <c r="G329" t="n">
        <v>12.8</v>
      </c>
      <c r="H329" t="n">
        <v>0</v>
      </c>
      <c r="I329" t="n">
        <v>0</v>
      </c>
      <c r="J329" t="n">
        <v>0</v>
      </c>
      <c r="K329" t="n">
        <v>0</v>
      </c>
      <c r="L329" t="n">
        <v>0</v>
      </c>
      <c r="M329" t="n">
        <v>0</v>
      </c>
      <c r="N329" t="n">
        <v>0</v>
      </c>
      <c r="O329" t="n">
        <v>0</v>
      </c>
      <c r="P329" t="n">
        <v>0</v>
      </c>
      <c r="Q329" t="n">
        <v>0</v>
      </c>
      <c r="R329" s="2" t="inlineStr"/>
    </row>
    <row r="330" ht="15" customHeight="1">
      <c r="A330" t="inlineStr">
        <is>
          <t>A 61009-2025</t>
        </is>
      </c>
      <c r="B330" s="1" t="n">
        <v>45999</v>
      </c>
      <c r="C330" s="1" t="n">
        <v>46129</v>
      </c>
      <c r="D330" t="inlineStr">
        <is>
          <t>JÄMTLANDS LÄN</t>
        </is>
      </c>
      <c r="E330" t="inlineStr">
        <is>
          <t>ÅRE</t>
        </is>
      </c>
      <c r="G330" t="n">
        <v>1.9</v>
      </c>
      <c r="H330" t="n">
        <v>0</v>
      </c>
      <c r="I330" t="n">
        <v>0</v>
      </c>
      <c r="J330" t="n">
        <v>0</v>
      </c>
      <c r="K330" t="n">
        <v>0</v>
      </c>
      <c r="L330" t="n">
        <v>0</v>
      </c>
      <c r="M330" t="n">
        <v>0</v>
      </c>
      <c r="N330" t="n">
        <v>0</v>
      </c>
      <c r="O330" t="n">
        <v>0</v>
      </c>
      <c r="P330" t="n">
        <v>0</v>
      </c>
      <c r="Q330" t="n">
        <v>0</v>
      </c>
      <c r="R330" s="2" t="inlineStr"/>
    </row>
    <row r="331" ht="15" customHeight="1">
      <c r="A331" t="inlineStr">
        <is>
          <t>A 60783-2025</t>
        </is>
      </c>
      <c r="B331" s="1" t="n">
        <v>45999.39971064815</v>
      </c>
      <c r="C331" s="1" t="n">
        <v>46129</v>
      </c>
      <c r="D331" t="inlineStr">
        <is>
          <t>JÄMTLANDS LÄN</t>
        </is>
      </c>
      <c r="E331" t="inlineStr">
        <is>
          <t>ÅRE</t>
        </is>
      </c>
      <c r="G331" t="n">
        <v>10.6</v>
      </c>
      <c r="H331" t="n">
        <v>0</v>
      </c>
      <c r="I331" t="n">
        <v>0</v>
      </c>
      <c r="J331" t="n">
        <v>0</v>
      </c>
      <c r="K331" t="n">
        <v>0</v>
      </c>
      <c r="L331" t="n">
        <v>0</v>
      </c>
      <c r="M331" t="n">
        <v>0</v>
      </c>
      <c r="N331" t="n">
        <v>0</v>
      </c>
      <c r="O331" t="n">
        <v>0</v>
      </c>
      <c r="P331" t="n">
        <v>0</v>
      </c>
      <c r="Q331" t="n">
        <v>0</v>
      </c>
      <c r="R331" s="2" t="inlineStr"/>
    </row>
    <row r="332" ht="15" customHeight="1">
      <c r="A332" t="inlineStr">
        <is>
          <t>A 52676-2023</t>
        </is>
      </c>
      <c r="B332" s="1" t="n">
        <v>45225.6890625</v>
      </c>
      <c r="C332" s="1" t="n">
        <v>46129</v>
      </c>
      <c r="D332" t="inlineStr">
        <is>
          <t>JÄMTLANDS LÄN</t>
        </is>
      </c>
      <c r="E332" t="inlineStr">
        <is>
          <t>ÅRE</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50344-2024</t>
        </is>
      </c>
      <c r="B333" s="1" t="n">
        <v>45600</v>
      </c>
      <c r="C333" s="1" t="n">
        <v>46129</v>
      </c>
      <c r="D333" t="inlineStr">
        <is>
          <t>JÄMTLANDS LÄN</t>
        </is>
      </c>
      <c r="E333" t="inlineStr">
        <is>
          <t>ÅRE</t>
        </is>
      </c>
      <c r="G333" t="n">
        <v>4</v>
      </c>
      <c r="H333" t="n">
        <v>0</v>
      </c>
      <c r="I333" t="n">
        <v>0</v>
      </c>
      <c r="J333" t="n">
        <v>0</v>
      </c>
      <c r="K333" t="n">
        <v>0</v>
      </c>
      <c r="L333" t="n">
        <v>0</v>
      </c>
      <c r="M333" t="n">
        <v>0</v>
      </c>
      <c r="N333" t="n">
        <v>0</v>
      </c>
      <c r="O333" t="n">
        <v>0</v>
      </c>
      <c r="P333" t="n">
        <v>0</v>
      </c>
      <c r="Q333" t="n">
        <v>0</v>
      </c>
      <c r="R333" s="2" t="inlineStr"/>
    </row>
    <row r="334" ht="15" customHeight="1">
      <c r="A334" t="inlineStr">
        <is>
          <t>A 12290-2023</t>
        </is>
      </c>
      <c r="B334" s="1" t="n">
        <v>44998.73545138889</v>
      </c>
      <c r="C334" s="1" t="n">
        <v>46129</v>
      </c>
      <c r="D334" t="inlineStr">
        <is>
          <t>JÄMTLANDS LÄN</t>
        </is>
      </c>
      <c r="E334" t="inlineStr">
        <is>
          <t>ÅRE</t>
        </is>
      </c>
      <c r="G334" t="n">
        <v>2.8</v>
      </c>
      <c r="H334" t="n">
        <v>0</v>
      </c>
      <c r="I334" t="n">
        <v>0</v>
      </c>
      <c r="J334" t="n">
        <v>0</v>
      </c>
      <c r="K334" t="n">
        <v>0</v>
      </c>
      <c r="L334" t="n">
        <v>0</v>
      </c>
      <c r="M334" t="n">
        <v>0</v>
      </c>
      <c r="N334" t="n">
        <v>0</v>
      </c>
      <c r="O334" t="n">
        <v>0</v>
      </c>
      <c r="P334" t="n">
        <v>0</v>
      </c>
      <c r="Q334" t="n">
        <v>0</v>
      </c>
      <c r="R334" s="2" t="inlineStr"/>
    </row>
    <row r="335" ht="15" customHeight="1">
      <c r="A335" t="inlineStr">
        <is>
          <t>A 12291-2023</t>
        </is>
      </c>
      <c r="B335" s="1" t="n">
        <v>44998.74140046296</v>
      </c>
      <c r="C335" s="1" t="n">
        <v>46129</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48211-2025</t>
        </is>
      </c>
      <c r="B336" s="1" t="n">
        <v>45931</v>
      </c>
      <c r="C336" s="1" t="n">
        <v>46129</v>
      </c>
      <c r="D336" t="inlineStr">
        <is>
          <t>JÄMTLANDS LÄN</t>
        </is>
      </c>
      <c r="E336" t="inlineStr">
        <is>
          <t>ÅRE</t>
        </is>
      </c>
      <c r="G336" t="n">
        <v>6.6</v>
      </c>
      <c r="H336" t="n">
        <v>0</v>
      </c>
      <c r="I336" t="n">
        <v>0</v>
      </c>
      <c r="J336" t="n">
        <v>0</v>
      </c>
      <c r="K336" t="n">
        <v>0</v>
      </c>
      <c r="L336" t="n">
        <v>0</v>
      </c>
      <c r="M336" t="n">
        <v>0</v>
      </c>
      <c r="N336" t="n">
        <v>0</v>
      </c>
      <c r="O336" t="n">
        <v>0</v>
      </c>
      <c r="P336" t="n">
        <v>0</v>
      </c>
      <c r="Q336" t="n">
        <v>0</v>
      </c>
      <c r="R336" s="2" t="inlineStr"/>
    </row>
    <row r="337" ht="15" customHeight="1">
      <c r="A337" t="inlineStr">
        <is>
          <t>A 45796-2024</t>
        </is>
      </c>
      <c r="B337" s="1" t="n">
        <v>45579.67354166666</v>
      </c>
      <c r="C337" s="1" t="n">
        <v>46129</v>
      </c>
      <c r="D337" t="inlineStr">
        <is>
          <t>JÄMTLANDS LÄN</t>
        </is>
      </c>
      <c r="E337" t="inlineStr">
        <is>
          <t>ÅRE</t>
        </is>
      </c>
      <c r="G337" t="n">
        <v>5</v>
      </c>
      <c r="H337" t="n">
        <v>0</v>
      </c>
      <c r="I337" t="n">
        <v>0</v>
      </c>
      <c r="J337" t="n">
        <v>0</v>
      </c>
      <c r="K337" t="n">
        <v>0</v>
      </c>
      <c r="L337" t="n">
        <v>0</v>
      </c>
      <c r="M337" t="n">
        <v>0</v>
      </c>
      <c r="N337" t="n">
        <v>0</v>
      </c>
      <c r="O337" t="n">
        <v>0</v>
      </c>
      <c r="P337" t="n">
        <v>0</v>
      </c>
      <c r="Q337" t="n">
        <v>0</v>
      </c>
      <c r="R337" s="2" t="inlineStr"/>
    </row>
    <row r="338" ht="15" customHeight="1">
      <c r="A338" t="inlineStr">
        <is>
          <t>A 21905-2021</t>
        </is>
      </c>
      <c r="B338" s="1" t="n">
        <v>44322</v>
      </c>
      <c r="C338" s="1" t="n">
        <v>46129</v>
      </c>
      <c r="D338" t="inlineStr">
        <is>
          <t>JÄMTLANDS LÄN</t>
        </is>
      </c>
      <c r="E338" t="inlineStr">
        <is>
          <t>ÅRE</t>
        </is>
      </c>
      <c r="G338" t="n">
        <v>14.3</v>
      </c>
      <c r="H338" t="n">
        <v>0</v>
      </c>
      <c r="I338" t="n">
        <v>0</v>
      </c>
      <c r="J338" t="n">
        <v>0</v>
      </c>
      <c r="K338" t="n">
        <v>0</v>
      </c>
      <c r="L338" t="n">
        <v>0</v>
      </c>
      <c r="M338" t="n">
        <v>0</v>
      </c>
      <c r="N338" t="n">
        <v>0</v>
      </c>
      <c r="O338" t="n">
        <v>0</v>
      </c>
      <c r="P338" t="n">
        <v>0</v>
      </c>
      <c r="Q338" t="n">
        <v>0</v>
      </c>
      <c r="R338" s="2" t="inlineStr"/>
    </row>
    <row r="339" ht="15" customHeight="1">
      <c r="A339" t="inlineStr">
        <is>
          <t>A 48178-2025</t>
        </is>
      </c>
      <c r="B339" s="1" t="n">
        <v>45933.44865740741</v>
      </c>
      <c r="C339" s="1" t="n">
        <v>46129</v>
      </c>
      <c r="D339" t="inlineStr">
        <is>
          <t>JÄMTLANDS LÄN</t>
        </is>
      </c>
      <c r="E339" t="inlineStr">
        <is>
          <t>ÅRE</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59916-2023</t>
        </is>
      </c>
      <c r="B340" s="1" t="n">
        <v>45257.64270833333</v>
      </c>
      <c r="C340" s="1" t="n">
        <v>46129</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46129</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46452-2025</t>
        </is>
      </c>
      <c r="B342" s="1" t="n">
        <v>45925.65625</v>
      </c>
      <c r="C342" s="1" t="n">
        <v>46129</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12288-2023</t>
        </is>
      </c>
      <c r="B343" s="1" t="n">
        <v>44998.73143518518</v>
      </c>
      <c r="C343" s="1" t="n">
        <v>46129</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46457-2025</t>
        </is>
      </c>
      <c r="B344" s="1" t="n">
        <v>45925.66126157407</v>
      </c>
      <c r="C344" s="1" t="n">
        <v>46129</v>
      </c>
      <c r="D344" t="inlineStr">
        <is>
          <t>JÄMTLANDS LÄN</t>
        </is>
      </c>
      <c r="E344" t="inlineStr">
        <is>
          <t>ÅRE</t>
        </is>
      </c>
      <c r="G344" t="n">
        <v>1.7</v>
      </c>
      <c r="H344" t="n">
        <v>0</v>
      </c>
      <c r="I344" t="n">
        <v>0</v>
      </c>
      <c r="J344" t="n">
        <v>0</v>
      </c>
      <c r="K344" t="n">
        <v>0</v>
      </c>
      <c r="L344" t="n">
        <v>0</v>
      </c>
      <c r="M344" t="n">
        <v>0</v>
      </c>
      <c r="N344" t="n">
        <v>0</v>
      </c>
      <c r="O344" t="n">
        <v>0</v>
      </c>
      <c r="P344" t="n">
        <v>0</v>
      </c>
      <c r="Q344" t="n">
        <v>0</v>
      </c>
      <c r="R344" s="2" t="inlineStr"/>
    </row>
    <row r="345" ht="15" customHeight="1">
      <c r="A345" t="inlineStr">
        <is>
          <t>A 58917-2022</t>
        </is>
      </c>
      <c r="B345" s="1" t="n">
        <v>44903</v>
      </c>
      <c r="C345" s="1" t="n">
        <v>46129</v>
      </c>
      <c r="D345" t="inlineStr">
        <is>
          <t>JÄMTLANDS LÄN</t>
        </is>
      </c>
      <c r="E345" t="inlineStr">
        <is>
          <t>ÅRE</t>
        </is>
      </c>
      <c r="F345" t="inlineStr">
        <is>
          <t>Övriga Aktiebolag</t>
        </is>
      </c>
      <c r="G345" t="n">
        <v>3.3</v>
      </c>
      <c r="H345" t="n">
        <v>0</v>
      </c>
      <c r="I345" t="n">
        <v>0</v>
      </c>
      <c r="J345" t="n">
        <v>0</v>
      </c>
      <c r="K345" t="n">
        <v>0</v>
      </c>
      <c r="L345" t="n">
        <v>0</v>
      </c>
      <c r="M345" t="n">
        <v>0</v>
      </c>
      <c r="N345" t="n">
        <v>0</v>
      </c>
      <c r="O345" t="n">
        <v>0</v>
      </c>
      <c r="P345" t="n">
        <v>0</v>
      </c>
      <c r="Q345" t="n">
        <v>0</v>
      </c>
      <c r="R345" s="2" t="inlineStr"/>
    </row>
    <row r="346" ht="15" customHeight="1">
      <c r="A346" t="inlineStr">
        <is>
          <t>A 25710-2024</t>
        </is>
      </c>
      <c r="B346" s="1" t="n">
        <v>45463</v>
      </c>
      <c r="C346" s="1" t="n">
        <v>46129</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48571-2025</t>
        </is>
      </c>
      <c r="B347" s="1" t="n">
        <v>45936.44934027778</v>
      </c>
      <c r="C347" s="1" t="n">
        <v>46129</v>
      </c>
      <c r="D347" t="inlineStr">
        <is>
          <t>JÄMTLANDS LÄN</t>
        </is>
      </c>
      <c r="E347" t="inlineStr">
        <is>
          <t>ÅRE</t>
        </is>
      </c>
      <c r="G347" t="n">
        <v>5.2</v>
      </c>
      <c r="H347" t="n">
        <v>0</v>
      </c>
      <c r="I347" t="n">
        <v>0</v>
      </c>
      <c r="J347" t="n">
        <v>0</v>
      </c>
      <c r="K347" t="n">
        <v>0</v>
      </c>
      <c r="L347" t="n">
        <v>0</v>
      </c>
      <c r="M347" t="n">
        <v>0</v>
      </c>
      <c r="N347" t="n">
        <v>0</v>
      </c>
      <c r="O347" t="n">
        <v>0</v>
      </c>
      <c r="P347" t="n">
        <v>0</v>
      </c>
      <c r="Q347" t="n">
        <v>0</v>
      </c>
      <c r="R347" s="2" t="inlineStr"/>
    </row>
    <row r="348" ht="15" customHeight="1">
      <c r="A348" t="inlineStr">
        <is>
          <t>A 49571-2025</t>
        </is>
      </c>
      <c r="B348" s="1" t="n">
        <v>45939.48998842593</v>
      </c>
      <c r="C348" s="1" t="n">
        <v>46129</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35058-2025</t>
        </is>
      </c>
      <c r="B349" s="1" t="n">
        <v>45849</v>
      </c>
      <c r="C349" s="1" t="n">
        <v>46129</v>
      </c>
      <c r="D349" t="inlineStr">
        <is>
          <t>JÄMTLANDS LÄN</t>
        </is>
      </c>
      <c r="E349" t="inlineStr">
        <is>
          <t>ÅRE</t>
        </is>
      </c>
      <c r="G349" t="n">
        <v>2.5</v>
      </c>
      <c r="H349" t="n">
        <v>0</v>
      </c>
      <c r="I349" t="n">
        <v>0</v>
      </c>
      <c r="J349" t="n">
        <v>0</v>
      </c>
      <c r="K349" t="n">
        <v>0</v>
      </c>
      <c r="L349" t="n">
        <v>0</v>
      </c>
      <c r="M349" t="n">
        <v>0</v>
      </c>
      <c r="N349" t="n">
        <v>0</v>
      </c>
      <c r="O349" t="n">
        <v>0</v>
      </c>
      <c r="P349" t="n">
        <v>0</v>
      </c>
      <c r="Q349" t="n">
        <v>0</v>
      </c>
      <c r="R349" s="2" t="inlineStr"/>
    </row>
    <row r="350" ht="15" customHeight="1">
      <c r="A350" t="inlineStr">
        <is>
          <t>A 34897-2025</t>
        </is>
      </c>
      <c r="B350" s="1" t="n">
        <v>45849</v>
      </c>
      <c r="C350" s="1" t="n">
        <v>46129</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34925-2025</t>
        </is>
      </c>
      <c r="B351" s="1" t="n">
        <v>45849</v>
      </c>
      <c r="C351" s="1" t="n">
        <v>46129</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34805-2025</t>
        </is>
      </c>
      <c r="B352" s="1" t="n">
        <v>45849.33071759259</v>
      </c>
      <c r="C352" s="1" t="n">
        <v>46129</v>
      </c>
      <c r="D352" t="inlineStr">
        <is>
          <t>JÄMTLANDS LÄN</t>
        </is>
      </c>
      <c r="E352" t="inlineStr">
        <is>
          <t>ÅRE</t>
        </is>
      </c>
      <c r="G352" t="n">
        <v>2.2</v>
      </c>
      <c r="H352" t="n">
        <v>0</v>
      </c>
      <c r="I352" t="n">
        <v>0</v>
      </c>
      <c r="J352" t="n">
        <v>0</v>
      </c>
      <c r="K352" t="n">
        <v>0</v>
      </c>
      <c r="L352" t="n">
        <v>0</v>
      </c>
      <c r="M352" t="n">
        <v>0</v>
      </c>
      <c r="N352" t="n">
        <v>0</v>
      </c>
      <c r="O352" t="n">
        <v>0</v>
      </c>
      <c r="P352" t="n">
        <v>0</v>
      </c>
      <c r="Q352" t="n">
        <v>0</v>
      </c>
      <c r="R352" s="2" t="inlineStr"/>
    </row>
    <row r="353" ht="15" customHeight="1">
      <c r="A353" t="inlineStr">
        <is>
          <t>A 35054-2025</t>
        </is>
      </c>
      <c r="B353" s="1" t="n">
        <v>45849</v>
      </c>
      <c r="C353" s="1" t="n">
        <v>46129</v>
      </c>
      <c r="D353" t="inlineStr">
        <is>
          <t>JÄMTLANDS LÄN</t>
        </is>
      </c>
      <c r="E353" t="inlineStr">
        <is>
          <t>ÅRE</t>
        </is>
      </c>
      <c r="G353" t="n">
        <v>5.3</v>
      </c>
      <c r="H353" t="n">
        <v>0</v>
      </c>
      <c r="I353" t="n">
        <v>0</v>
      </c>
      <c r="J353" t="n">
        <v>0</v>
      </c>
      <c r="K353" t="n">
        <v>0</v>
      </c>
      <c r="L353" t="n">
        <v>0</v>
      </c>
      <c r="M353" t="n">
        <v>0</v>
      </c>
      <c r="N353" t="n">
        <v>0</v>
      </c>
      <c r="O353" t="n">
        <v>0</v>
      </c>
      <c r="P353" t="n">
        <v>0</v>
      </c>
      <c r="Q353" t="n">
        <v>0</v>
      </c>
      <c r="R353" s="2" t="inlineStr"/>
    </row>
    <row r="354" ht="15" customHeight="1">
      <c r="A354" t="inlineStr">
        <is>
          <t>A 48223-2025</t>
        </is>
      </c>
      <c r="B354" s="1" t="n">
        <v>45931</v>
      </c>
      <c r="C354" s="1" t="n">
        <v>46129</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c r="U354">
        <f>HYPERLINK("https://klasma.github.io/Logging_2321/knärot/A 48223-2025 karta knärot.png", "A 48223-2025")</f>
        <v/>
      </c>
      <c r="V354">
        <f>HYPERLINK("https://klasma.github.io/Logging_2321/klagomål/A 48223-2025 FSC-klagomål.docx", "A 48223-2025")</f>
        <v/>
      </c>
      <c r="W354">
        <f>HYPERLINK("https://klasma.github.io/Logging_2321/klagomålsmail/A 48223-2025 FSC-klagomål mail.docx", "A 48223-2025")</f>
        <v/>
      </c>
      <c r="X354">
        <f>HYPERLINK("https://klasma.github.io/Logging_2321/tillsyn/A 48223-2025 tillsynsbegäran.docx", "A 48223-2025")</f>
        <v/>
      </c>
      <c r="Y354">
        <f>HYPERLINK("https://klasma.github.io/Logging_2321/tillsynsmail/A 48223-2025 tillsynsbegäran mail.docx", "A 48223-2025")</f>
        <v/>
      </c>
    </row>
    <row r="355" ht="15" customHeight="1">
      <c r="A355" t="inlineStr">
        <is>
          <t>A 47963-2025</t>
        </is>
      </c>
      <c r="B355" s="1" t="n">
        <v>45931</v>
      </c>
      <c r="C355" s="1" t="n">
        <v>46129</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49593-2025</t>
        </is>
      </c>
      <c r="B356" s="1" t="n">
        <v>45939.53186342592</v>
      </c>
      <c r="C356" s="1" t="n">
        <v>46129</v>
      </c>
      <c r="D356" t="inlineStr">
        <is>
          <t>JÄMTLANDS LÄN</t>
        </is>
      </c>
      <c r="E356" t="inlineStr">
        <is>
          <t>ÅRE</t>
        </is>
      </c>
      <c r="G356" t="n">
        <v>7.9</v>
      </c>
      <c r="H356" t="n">
        <v>0</v>
      </c>
      <c r="I356" t="n">
        <v>0</v>
      </c>
      <c r="J356" t="n">
        <v>0</v>
      </c>
      <c r="K356" t="n">
        <v>0</v>
      </c>
      <c r="L356" t="n">
        <v>0</v>
      </c>
      <c r="M356" t="n">
        <v>0</v>
      </c>
      <c r="N356" t="n">
        <v>0</v>
      </c>
      <c r="O356" t="n">
        <v>0</v>
      </c>
      <c r="P356" t="n">
        <v>0</v>
      </c>
      <c r="Q356" t="n">
        <v>0</v>
      </c>
      <c r="R356" s="2" t="inlineStr"/>
    </row>
    <row r="357" ht="15" customHeight="1">
      <c r="A357" t="inlineStr">
        <is>
          <t>A 36048-2023</t>
        </is>
      </c>
      <c r="B357" s="1" t="n">
        <v>45149.42868055555</v>
      </c>
      <c r="C357" s="1" t="n">
        <v>46129</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49493-2025</t>
        </is>
      </c>
      <c r="B358" s="1" t="n">
        <v>45939.36626157408</v>
      </c>
      <c r="C358" s="1" t="n">
        <v>46129</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61032-2025</t>
        </is>
      </c>
      <c r="B359" s="1" t="n">
        <v>45999.89533564815</v>
      </c>
      <c r="C359" s="1" t="n">
        <v>46129</v>
      </c>
      <c r="D359" t="inlineStr">
        <is>
          <t>JÄMTLANDS LÄN</t>
        </is>
      </c>
      <c r="E359" t="inlineStr">
        <is>
          <t>ÅRE</t>
        </is>
      </c>
      <c r="G359" t="n">
        <v>1.4</v>
      </c>
      <c r="H359" t="n">
        <v>0</v>
      </c>
      <c r="I359" t="n">
        <v>0</v>
      </c>
      <c r="J359" t="n">
        <v>0</v>
      </c>
      <c r="K359" t="n">
        <v>0</v>
      </c>
      <c r="L359" t="n">
        <v>0</v>
      </c>
      <c r="M359" t="n">
        <v>0</v>
      </c>
      <c r="N359" t="n">
        <v>0</v>
      </c>
      <c r="O359" t="n">
        <v>0</v>
      </c>
      <c r="P359" t="n">
        <v>0</v>
      </c>
      <c r="Q359" t="n">
        <v>0</v>
      </c>
      <c r="R359" s="2" t="inlineStr"/>
    </row>
    <row r="360" ht="15" customHeight="1">
      <c r="A360" t="inlineStr">
        <is>
          <t>A 50203-2025</t>
        </is>
      </c>
      <c r="B360" s="1" t="n">
        <v>45943.65641203704</v>
      </c>
      <c r="C360" s="1" t="n">
        <v>46129</v>
      </c>
      <c r="D360" t="inlineStr">
        <is>
          <t>JÄMTLANDS LÄN</t>
        </is>
      </c>
      <c r="E360" t="inlineStr">
        <is>
          <t>ÅRE</t>
        </is>
      </c>
      <c r="G360" t="n">
        <v>7.2</v>
      </c>
      <c r="H360" t="n">
        <v>0</v>
      </c>
      <c r="I360" t="n">
        <v>0</v>
      </c>
      <c r="J360" t="n">
        <v>0</v>
      </c>
      <c r="K360" t="n">
        <v>0</v>
      </c>
      <c r="L360" t="n">
        <v>0</v>
      </c>
      <c r="M360" t="n">
        <v>0</v>
      </c>
      <c r="N360" t="n">
        <v>0</v>
      </c>
      <c r="O360" t="n">
        <v>0</v>
      </c>
      <c r="P360" t="n">
        <v>0</v>
      </c>
      <c r="Q360" t="n">
        <v>0</v>
      </c>
      <c r="R360" s="2" t="inlineStr"/>
    </row>
    <row r="361" ht="15" customHeight="1">
      <c r="A361" t="inlineStr">
        <is>
          <t>A 34538-2023</t>
        </is>
      </c>
      <c r="B361" s="1" t="n">
        <v>45134</v>
      </c>
      <c r="C361" s="1" t="n">
        <v>46129</v>
      </c>
      <c r="D361" t="inlineStr">
        <is>
          <t>JÄMTLANDS LÄN</t>
        </is>
      </c>
      <c r="E361" t="inlineStr">
        <is>
          <t>ÅRE</t>
        </is>
      </c>
      <c r="G361" t="n">
        <v>1.3</v>
      </c>
      <c r="H361" t="n">
        <v>0</v>
      </c>
      <c r="I361" t="n">
        <v>0</v>
      </c>
      <c r="J361" t="n">
        <v>0</v>
      </c>
      <c r="K361" t="n">
        <v>0</v>
      </c>
      <c r="L361" t="n">
        <v>0</v>
      </c>
      <c r="M361" t="n">
        <v>0</v>
      </c>
      <c r="N361" t="n">
        <v>0</v>
      </c>
      <c r="O361" t="n">
        <v>0</v>
      </c>
      <c r="P361" t="n">
        <v>0</v>
      </c>
      <c r="Q361" t="n">
        <v>0</v>
      </c>
      <c r="R361" s="2" t="inlineStr"/>
    </row>
    <row r="362" ht="15" customHeight="1">
      <c r="A362" t="inlineStr">
        <is>
          <t>A 36013-2025</t>
        </is>
      </c>
      <c r="B362" s="1" t="n">
        <v>45863.60643518518</v>
      </c>
      <c r="C362" s="1" t="n">
        <v>46129</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36015-2025</t>
        </is>
      </c>
      <c r="B363" s="1" t="n">
        <v>45863.61373842593</v>
      </c>
      <c r="C363" s="1" t="n">
        <v>46129</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50488-2025</t>
        </is>
      </c>
      <c r="B364" s="1" t="n">
        <v>45945.39144675926</v>
      </c>
      <c r="C364" s="1" t="n">
        <v>46129</v>
      </c>
      <c r="D364" t="inlineStr">
        <is>
          <t>JÄMTLANDS LÄN</t>
        </is>
      </c>
      <c r="E364" t="inlineStr">
        <is>
          <t>ÅRE</t>
        </is>
      </c>
      <c r="G364" t="n">
        <v>3.8</v>
      </c>
      <c r="H364" t="n">
        <v>0</v>
      </c>
      <c r="I364" t="n">
        <v>0</v>
      </c>
      <c r="J364" t="n">
        <v>0</v>
      </c>
      <c r="K364" t="n">
        <v>0</v>
      </c>
      <c r="L364" t="n">
        <v>0</v>
      </c>
      <c r="M364" t="n">
        <v>0</v>
      </c>
      <c r="N364" t="n">
        <v>0</v>
      </c>
      <c r="O364" t="n">
        <v>0</v>
      </c>
      <c r="P364" t="n">
        <v>0</v>
      </c>
      <c r="Q364" t="n">
        <v>0</v>
      </c>
      <c r="R364" s="2" t="inlineStr"/>
    </row>
    <row r="365" ht="15" customHeight="1">
      <c r="A365" t="inlineStr">
        <is>
          <t>A 54904-2022</t>
        </is>
      </c>
      <c r="B365" s="1" t="n">
        <v>44886</v>
      </c>
      <c r="C365" s="1" t="n">
        <v>46129</v>
      </c>
      <c r="D365" t="inlineStr">
        <is>
          <t>JÄMTLANDS LÄN</t>
        </is>
      </c>
      <c r="E365" t="inlineStr">
        <is>
          <t>ÅRE</t>
        </is>
      </c>
      <c r="F365" t="inlineStr">
        <is>
          <t>Övriga Aktiebolag</t>
        </is>
      </c>
      <c r="G365" t="n">
        <v>12.2</v>
      </c>
      <c r="H365" t="n">
        <v>0</v>
      </c>
      <c r="I365" t="n">
        <v>0</v>
      </c>
      <c r="J365" t="n">
        <v>0</v>
      </c>
      <c r="K365" t="n">
        <v>0</v>
      </c>
      <c r="L365" t="n">
        <v>0</v>
      </c>
      <c r="M365" t="n">
        <v>0</v>
      </c>
      <c r="N365" t="n">
        <v>0</v>
      </c>
      <c r="O365" t="n">
        <v>0</v>
      </c>
      <c r="P365" t="n">
        <v>0</v>
      </c>
      <c r="Q365" t="n">
        <v>0</v>
      </c>
      <c r="R365" s="2" t="inlineStr"/>
    </row>
    <row r="366" ht="15" customHeight="1">
      <c r="A366" t="inlineStr">
        <is>
          <t>A 61355-2025</t>
        </is>
      </c>
      <c r="B366" s="1" t="n">
        <v>46001.39805555555</v>
      </c>
      <c r="C366" s="1" t="n">
        <v>46129</v>
      </c>
      <c r="D366" t="inlineStr">
        <is>
          <t>JÄMTLANDS LÄN</t>
        </is>
      </c>
      <c r="E366" t="inlineStr">
        <is>
          <t>ÅRE</t>
        </is>
      </c>
      <c r="G366" t="n">
        <v>6.7</v>
      </c>
      <c r="H366" t="n">
        <v>0</v>
      </c>
      <c r="I366" t="n">
        <v>0</v>
      </c>
      <c r="J366" t="n">
        <v>0</v>
      </c>
      <c r="K366" t="n">
        <v>0</v>
      </c>
      <c r="L366" t="n">
        <v>0</v>
      </c>
      <c r="M366" t="n">
        <v>0</v>
      </c>
      <c r="N366" t="n">
        <v>0</v>
      </c>
      <c r="O366" t="n">
        <v>0</v>
      </c>
      <c r="P366" t="n">
        <v>0</v>
      </c>
      <c r="Q366" t="n">
        <v>0</v>
      </c>
      <c r="R366" s="2" t="inlineStr"/>
    </row>
    <row r="367" ht="15" customHeight="1">
      <c r="A367" t="inlineStr">
        <is>
          <t>A 61024-2025</t>
        </is>
      </c>
      <c r="B367" s="1" t="n">
        <v>45999.87188657407</v>
      </c>
      <c r="C367" s="1" t="n">
        <v>46129</v>
      </c>
      <c r="D367" t="inlineStr">
        <is>
          <t>JÄMTLANDS LÄN</t>
        </is>
      </c>
      <c r="E367" t="inlineStr">
        <is>
          <t>ÅRE</t>
        </is>
      </c>
      <c r="G367" t="n">
        <v>5.6</v>
      </c>
      <c r="H367" t="n">
        <v>0</v>
      </c>
      <c r="I367" t="n">
        <v>0</v>
      </c>
      <c r="J367" t="n">
        <v>0</v>
      </c>
      <c r="K367" t="n">
        <v>0</v>
      </c>
      <c r="L367" t="n">
        <v>0</v>
      </c>
      <c r="M367" t="n">
        <v>0</v>
      </c>
      <c r="N367" t="n">
        <v>0</v>
      </c>
      <c r="O367" t="n">
        <v>0</v>
      </c>
      <c r="P367" t="n">
        <v>0</v>
      </c>
      <c r="Q367" t="n">
        <v>0</v>
      </c>
      <c r="R367" s="2" t="inlineStr"/>
    </row>
    <row r="368" ht="15" customHeight="1">
      <c r="A368" t="inlineStr">
        <is>
          <t>A 5460-2023</t>
        </is>
      </c>
      <c r="B368" s="1" t="n">
        <v>44960</v>
      </c>
      <c r="C368" s="1" t="n">
        <v>46129</v>
      </c>
      <c r="D368" t="inlineStr">
        <is>
          <t>JÄMTLANDS LÄN</t>
        </is>
      </c>
      <c r="E368" t="inlineStr">
        <is>
          <t>ÅRE</t>
        </is>
      </c>
      <c r="G368" t="n">
        <v>9.4</v>
      </c>
      <c r="H368" t="n">
        <v>0</v>
      </c>
      <c r="I368" t="n">
        <v>0</v>
      </c>
      <c r="J368" t="n">
        <v>0</v>
      </c>
      <c r="K368" t="n">
        <v>0</v>
      </c>
      <c r="L368" t="n">
        <v>0</v>
      </c>
      <c r="M368" t="n">
        <v>0</v>
      </c>
      <c r="N368" t="n">
        <v>0</v>
      </c>
      <c r="O368" t="n">
        <v>0</v>
      </c>
      <c r="P368" t="n">
        <v>0</v>
      </c>
      <c r="Q368" t="n">
        <v>0</v>
      </c>
      <c r="R368" s="2" t="inlineStr"/>
    </row>
    <row r="369" ht="15" customHeight="1">
      <c r="A369" t="inlineStr">
        <is>
          <t>A 3263-2023</t>
        </is>
      </c>
      <c r="B369" s="1" t="n">
        <v>44948.98751157407</v>
      </c>
      <c r="C369" s="1" t="n">
        <v>46129</v>
      </c>
      <c r="D369" t="inlineStr">
        <is>
          <t>JÄMTLANDS LÄN</t>
        </is>
      </c>
      <c r="E369" t="inlineStr">
        <is>
          <t>ÅRE</t>
        </is>
      </c>
      <c r="G369" t="n">
        <v>1.7</v>
      </c>
      <c r="H369" t="n">
        <v>0</v>
      </c>
      <c r="I369" t="n">
        <v>0</v>
      </c>
      <c r="J369" t="n">
        <v>0</v>
      </c>
      <c r="K369" t="n">
        <v>0</v>
      </c>
      <c r="L369" t="n">
        <v>0</v>
      </c>
      <c r="M369" t="n">
        <v>0</v>
      </c>
      <c r="N369" t="n">
        <v>0</v>
      </c>
      <c r="O369" t="n">
        <v>0</v>
      </c>
      <c r="P369" t="n">
        <v>0</v>
      </c>
      <c r="Q369" t="n">
        <v>0</v>
      </c>
      <c r="R369" s="2" t="inlineStr"/>
    </row>
    <row r="370" ht="15" customHeight="1">
      <c r="A370" t="inlineStr">
        <is>
          <t>A 34931-2025</t>
        </is>
      </c>
      <c r="B370" s="1" t="n">
        <v>45849</v>
      </c>
      <c r="C370" s="1" t="n">
        <v>46129</v>
      </c>
      <c r="D370" t="inlineStr">
        <is>
          <t>JÄMTLANDS LÄN</t>
        </is>
      </c>
      <c r="E370" t="inlineStr">
        <is>
          <t>ÅRE</t>
        </is>
      </c>
      <c r="G370" t="n">
        <v>1.4</v>
      </c>
      <c r="H370" t="n">
        <v>0</v>
      </c>
      <c r="I370" t="n">
        <v>0</v>
      </c>
      <c r="J370" t="n">
        <v>0</v>
      </c>
      <c r="K370" t="n">
        <v>0</v>
      </c>
      <c r="L370" t="n">
        <v>0</v>
      </c>
      <c r="M370" t="n">
        <v>0</v>
      </c>
      <c r="N370" t="n">
        <v>0</v>
      </c>
      <c r="O370" t="n">
        <v>0</v>
      </c>
      <c r="P370" t="n">
        <v>0</v>
      </c>
      <c r="Q370" t="n">
        <v>0</v>
      </c>
      <c r="R370" s="2" t="inlineStr"/>
    </row>
    <row r="371" ht="15" customHeight="1">
      <c r="A371" t="inlineStr">
        <is>
          <t>A 43446-2023</t>
        </is>
      </c>
      <c r="B371" s="1" t="n">
        <v>45184.35760416667</v>
      </c>
      <c r="C371" s="1" t="n">
        <v>46129</v>
      </c>
      <c r="D371" t="inlineStr">
        <is>
          <t>JÄMTLANDS LÄN</t>
        </is>
      </c>
      <c r="E371" t="inlineStr">
        <is>
          <t>ÅRE</t>
        </is>
      </c>
      <c r="F371" t="inlineStr">
        <is>
          <t>Övriga Aktiebolag</t>
        </is>
      </c>
      <c r="G371" t="n">
        <v>6.4</v>
      </c>
      <c r="H371" t="n">
        <v>0</v>
      </c>
      <c r="I371" t="n">
        <v>0</v>
      </c>
      <c r="J371" t="n">
        <v>0</v>
      </c>
      <c r="K371" t="n">
        <v>0</v>
      </c>
      <c r="L371" t="n">
        <v>0</v>
      </c>
      <c r="M371" t="n">
        <v>0</v>
      </c>
      <c r="N371" t="n">
        <v>0</v>
      </c>
      <c r="O371" t="n">
        <v>0</v>
      </c>
      <c r="P371" t="n">
        <v>0</v>
      </c>
      <c r="Q371" t="n">
        <v>0</v>
      </c>
      <c r="R371" s="2" t="inlineStr"/>
    </row>
    <row r="372" ht="15" customHeight="1">
      <c r="A372" t="inlineStr">
        <is>
          <t>A 26722-2021</t>
        </is>
      </c>
      <c r="B372" s="1" t="n">
        <v>44349</v>
      </c>
      <c r="C372" s="1" t="n">
        <v>46129</v>
      </c>
      <c r="D372" t="inlineStr">
        <is>
          <t>JÄMTLANDS LÄN</t>
        </is>
      </c>
      <c r="E372" t="inlineStr">
        <is>
          <t>ÅRE</t>
        </is>
      </c>
      <c r="G372" t="n">
        <v>11.4</v>
      </c>
      <c r="H372" t="n">
        <v>0</v>
      </c>
      <c r="I372" t="n">
        <v>0</v>
      </c>
      <c r="J372" t="n">
        <v>0</v>
      </c>
      <c r="K372" t="n">
        <v>0</v>
      </c>
      <c r="L372" t="n">
        <v>0</v>
      </c>
      <c r="M372" t="n">
        <v>0</v>
      </c>
      <c r="N372" t="n">
        <v>0</v>
      </c>
      <c r="O372" t="n">
        <v>0</v>
      </c>
      <c r="P372" t="n">
        <v>0</v>
      </c>
      <c r="Q372" t="n">
        <v>0</v>
      </c>
      <c r="R372" s="2" t="inlineStr"/>
    </row>
    <row r="373" ht="15" customHeight="1">
      <c r="A373" t="inlineStr">
        <is>
          <t>A 45161-2024</t>
        </is>
      </c>
      <c r="B373" s="1" t="n">
        <v>45575.64982638889</v>
      </c>
      <c r="C373" s="1" t="n">
        <v>46129</v>
      </c>
      <c r="D373" t="inlineStr">
        <is>
          <t>JÄMTLANDS LÄN</t>
        </is>
      </c>
      <c r="E373" t="inlineStr">
        <is>
          <t>ÅRE</t>
        </is>
      </c>
      <c r="G373" t="n">
        <v>6.9</v>
      </c>
      <c r="H373" t="n">
        <v>0</v>
      </c>
      <c r="I373" t="n">
        <v>0</v>
      </c>
      <c r="J373" t="n">
        <v>0</v>
      </c>
      <c r="K373" t="n">
        <v>0</v>
      </c>
      <c r="L373" t="n">
        <v>0</v>
      </c>
      <c r="M373" t="n">
        <v>0</v>
      </c>
      <c r="N373" t="n">
        <v>0</v>
      </c>
      <c r="O373" t="n">
        <v>0</v>
      </c>
      <c r="P373" t="n">
        <v>0</v>
      </c>
      <c r="Q373" t="n">
        <v>0</v>
      </c>
      <c r="R373" s="2" t="inlineStr"/>
    </row>
    <row r="374" ht="15" customHeight="1">
      <c r="A374" t="inlineStr">
        <is>
          <t>A 6049-2025</t>
        </is>
      </c>
      <c r="B374" s="1" t="n">
        <v>45695</v>
      </c>
      <c r="C374" s="1" t="n">
        <v>46129</v>
      </c>
      <c r="D374" t="inlineStr">
        <is>
          <t>JÄMTLANDS LÄN</t>
        </is>
      </c>
      <c r="E374" t="inlineStr">
        <is>
          <t>ÅRE</t>
        </is>
      </c>
      <c r="G374" t="n">
        <v>58.3</v>
      </c>
      <c r="H374" t="n">
        <v>0</v>
      </c>
      <c r="I374" t="n">
        <v>0</v>
      </c>
      <c r="J374" t="n">
        <v>0</v>
      </c>
      <c r="K374" t="n">
        <v>0</v>
      </c>
      <c r="L374" t="n">
        <v>0</v>
      </c>
      <c r="M374" t="n">
        <v>0</v>
      </c>
      <c r="N374" t="n">
        <v>0</v>
      </c>
      <c r="O374" t="n">
        <v>0</v>
      </c>
      <c r="P374" t="n">
        <v>0</v>
      </c>
      <c r="Q374" t="n">
        <v>0</v>
      </c>
      <c r="R374" s="2" t="inlineStr"/>
    </row>
    <row r="375" ht="15" customHeight="1">
      <c r="A375" t="inlineStr">
        <is>
          <t>A 51876-2025</t>
        </is>
      </c>
      <c r="B375" s="1" t="n">
        <v>45952.39850694445</v>
      </c>
      <c r="C375" s="1" t="n">
        <v>46129</v>
      </c>
      <c r="D375" t="inlineStr">
        <is>
          <t>JÄMTLANDS LÄN</t>
        </is>
      </c>
      <c r="E375" t="inlineStr">
        <is>
          <t>ÅRE</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36975-2025</t>
        </is>
      </c>
      <c r="B376" s="1" t="n">
        <v>45874.63773148148</v>
      </c>
      <c r="C376" s="1" t="n">
        <v>46129</v>
      </c>
      <c r="D376" t="inlineStr">
        <is>
          <t>JÄMTLANDS LÄN</t>
        </is>
      </c>
      <c r="E376" t="inlineStr">
        <is>
          <t>ÅRE</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49702-2024</t>
        </is>
      </c>
      <c r="B377" s="1" t="n">
        <v>45596</v>
      </c>
      <c r="C377" s="1" t="n">
        <v>46129</v>
      </c>
      <c r="D377" t="inlineStr">
        <is>
          <t>JÄMTLANDS LÄN</t>
        </is>
      </c>
      <c r="E377" t="inlineStr">
        <is>
          <t>ÅRE</t>
        </is>
      </c>
      <c r="F377" t="inlineStr">
        <is>
          <t>Övriga Aktiebolag</t>
        </is>
      </c>
      <c r="G377" t="n">
        <v>1.6</v>
      </c>
      <c r="H377" t="n">
        <v>0</v>
      </c>
      <c r="I377" t="n">
        <v>0</v>
      </c>
      <c r="J377" t="n">
        <v>0</v>
      </c>
      <c r="K377" t="n">
        <v>0</v>
      </c>
      <c r="L377" t="n">
        <v>0</v>
      </c>
      <c r="M377" t="n">
        <v>0</v>
      </c>
      <c r="N377" t="n">
        <v>0</v>
      </c>
      <c r="O377" t="n">
        <v>0</v>
      </c>
      <c r="P377" t="n">
        <v>0</v>
      </c>
      <c r="Q377" t="n">
        <v>0</v>
      </c>
      <c r="R377" s="2" t="inlineStr"/>
    </row>
    <row r="378" ht="15" customHeight="1">
      <c r="A378" t="inlineStr">
        <is>
          <t>A 47076-2024</t>
        </is>
      </c>
      <c r="B378" s="1" t="n">
        <v>45586.50180555556</v>
      </c>
      <c r="C378" s="1" t="n">
        <v>46129</v>
      </c>
      <c r="D378" t="inlineStr">
        <is>
          <t>JÄMTLANDS LÄN</t>
        </is>
      </c>
      <c r="E378" t="inlineStr">
        <is>
          <t>ÅRE</t>
        </is>
      </c>
      <c r="G378" t="n">
        <v>6.5</v>
      </c>
      <c r="H378" t="n">
        <v>0</v>
      </c>
      <c r="I378" t="n">
        <v>0</v>
      </c>
      <c r="J378" t="n">
        <v>0</v>
      </c>
      <c r="K378" t="n">
        <v>0</v>
      </c>
      <c r="L378" t="n">
        <v>0</v>
      </c>
      <c r="M378" t="n">
        <v>0</v>
      </c>
      <c r="N378" t="n">
        <v>0</v>
      </c>
      <c r="O378" t="n">
        <v>0</v>
      </c>
      <c r="P378" t="n">
        <v>0</v>
      </c>
      <c r="Q378" t="n">
        <v>0</v>
      </c>
      <c r="R378" s="2" t="inlineStr"/>
    </row>
    <row r="379" ht="15" customHeight="1">
      <c r="A379" t="inlineStr">
        <is>
          <t>A 37118-2025</t>
        </is>
      </c>
      <c r="B379" s="1" t="n">
        <v>45875</v>
      </c>
      <c r="C379" s="1" t="n">
        <v>46129</v>
      </c>
      <c r="D379" t="inlineStr">
        <is>
          <t>JÄMTLANDS LÄN</t>
        </is>
      </c>
      <c r="E379" t="inlineStr">
        <is>
          <t>ÅRE</t>
        </is>
      </c>
      <c r="G379" t="n">
        <v>2.9</v>
      </c>
      <c r="H379" t="n">
        <v>0</v>
      </c>
      <c r="I379" t="n">
        <v>0</v>
      </c>
      <c r="J379" t="n">
        <v>0</v>
      </c>
      <c r="K379" t="n">
        <v>0</v>
      </c>
      <c r="L379" t="n">
        <v>0</v>
      </c>
      <c r="M379" t="n">
        <v>0</v>
      </c>
      <c r="N379" t="n">
        <v>0</v>
      </c>
      <c r="O379" t="n">
        <v>0</v>
      </c>
      <c r="P379" t="n">
        <v>0</v>
      </c>
      <c r="Q379" t="n">
        <v>0</v>
      </c>
      <c r="R379" s="2" t="inlineStr"/>
    </row>
    <row r="380" ht="15" customHeight="1">
      <c r="A380" t="inlineStr">
        <is>
          <t>A 22603-2025</t>
        </is>
      </c>
      <c r="B380" s="1" t="n">
        <v>45786</v>
      </c>
      <c r="C380" s="1" t="n">
        <v>46129</v>
      </c>
      <c r="D380" t="inlineStr">
        <is>
          <t>JÄMTLANDS LÄN</t>
        </is>
      </c>
      <c r="E380" t="inlineStr">
        <is>
          <t>ÅRE</t>
        </is>
      </c>
      <c r="G380" t="n">
        <v>1.4</v>
      </c>
      <c r="H380" t="n">
        <v>0</v>
      </c>
      <c r="I380" t="n">
        <v>0</v>
      </c>
      <c r="J380" t="n">
        <v>0</v>
      </c>
      <c r="K380" t="n">
        <v>0</v>
      </c>
      <c r="L380" t="n">
        <v>0</v>
      </c>
      <c r="M380" t="n">
        <v>0</v>
      </c>
      <c r="N380" t="n">
        <v>0</v>
      </c>
      <c r="O380" t="n">
        <v>0</v>
      </c>
      <c r="P380" t="n">
        <v>0</v>
      </c>
      <c r="Q380" t="n">
        <v>0</v>
      </c>
      <c r="R380" s="2" t="inlineStr"/>
    </row>
    <row r="381" ht="15" customHeight="1">
      <c r="A381" t="inlineStr">
        <is>
          <t>A 37178-2025</t>
        </is>
      </c>
      <c r="B381" s="1" t="n">
        <v>45875</v>
      </c>
      <c r="C381" s="1" t="n">
        <v>46129</v>
      </c>
      <c r="D381" t="inlineStr">
        <is>
          <t>JÄMTLANDS LÄN</t>
        </is>
      </c>
      <c r="E381" t="inlineStr">
        <is>
          <t>ÅRE</t>
        </is>
      </c>
      <c r="G381" t="n">
        <v>5</v>
      </c>
      <c r="H381" t="n">
        <v>0</v>
      </c>
      <c r="I381" t="n">
        <v>0</v>
      </c>
      <c r="J381" t="n">
        <v>0</v>
      </c>
      <c r="K381" t="n">
        <v>0</v>
      </c>
      <c r="L381" t="n">
        <v>0</v>
      </c>
      <c r="M381" t="n">
        <v>0</v>
      </c>
      <c r="N381" t="n">
        <v>0</v>
      </c>
      <c r="O381" t="n">
        <v>0</v>
      </c>
      <c r="P381" t="n">
        <v>0</v>
      </c>
      <c r="Q381" t="n">
        <v>0</v>
      </c>
      <c r="R381" s="2" t="inlineStr"/>
    </row>
    <row r="382" ht="15" customHeight="1">
      <c r="A382" t="inlineStr">
        <is>
          <t>A 52946-2025</t>
        </is>
      </c>
      <c r="B382" s="1" t="n">
        <v>45957.64819444445</v>
      </c>
      <c r="C382" s="1" t="n">
        <v>46129</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22602-2025</t>
        </is>
      </c>
      <c r="B383" s="1" t="n">
        <v>45786</v>
      </c>
      <c r="C383" s="1" t="n">
        <v>46129</v>
      </c>
      <c r="D383" t="inlineStr">
        <is>
          <t>JÄMTLANDS LÄN</t>
        </is>
      </c>
      <c r="E383" t="inlineStr">
        <is>
          <t>ÅRE</t>
        </is>
      </c>
      <c r="G383" t="n">
        <v>13.1</v>
      </c>
      <c r="H383" t="n">
        <v>0</v>
      </c>
      <c r="I383" t="n">
        <v>0</v>
      </c>
      <c r="J383" t="n">
        <v>0</v>
      </c>
      <c r="K383" t="n">
        <v>0</v>
      </c>
      <c r="L383" t="n">
        <v>0</v>
      </c>
      <c r="M383" t="n">
        <v>0</v>
      </c>
      <c r="N383" t="n">
        <v>0</v>
      </c>
      <c r="O383" t="n">
        <v>0</v>
      </c>
      <c r="P383" t="n">
        <v>0</v>
      </c>
      <c r="Q383" t="n">
        <v>0</v>
      </c>
      <c r="R383" s="2" t="inlineStr"/>
    </row>
    <row r="384" ht="15" customHeight="1">
      <c r="A384" t="inlineStr">
        <is>
          <t>A 37159-2025</t>
        </is>
      </c>
      <c r="B384" s="1" t="n">
        <v>45875</v>
      </c>
      <c r="C384" s="1" t="n">
        <v>46129</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41273-2025</t>
        </is>
      </c>
      <c r="B385" s="1" t="n">
        <v>45898</v>
      </c>
      <c r="C385" s="1" t="n">
        <v>46129</v>
      </c>
      <c r="D385" t="inlineStr">
        <is>
          <t>JÄMTLANDS LÄN</t>
        </is>
      </c>
      <c r="E385" t="inlineStr">
        <is>
          <t>ÅRE</t>
        </is>
      </c>
      <c r="F385" t="inlineStr">
        <is>
          <t>Övriga Aktiebolag</t>
        </is>
      </c>
      <c r="G385" t="n">
        <v>3.1</v>
      </c>
      <c r="H385" t="n">
        <v>0</v>
      </c>
      <c r="I385" t="n">
        <v>0</v>
      </c>
      <c r="J385" t="n">
        <v>0</v>
      </c>
      <c r="K385" t="n">
        <v>0</v>
      </c>
      <c r="L385" t="n">
        <v>0</v>
      </c>
      <c r="M385" t="n">
        <v>0</v>
      </c>
      <c r="N385" t="n">
        <v>0</v>
      </c>
      <c r="O385" t="n">
        <v>0</v>
      </c>
      <c r="P385" t="n">
        <v>0</v>
      </c>
      <c r="Q385" t="n">
        <v>0</v>
      </c>
      <c r="R385" s="2" t="inlineStr"/>
    </row>
    <row r="386" ht="15" customHeight="1">
      <c r="A386" t="inlineStr">
        <is>
          <t>A 52607-2025</t>
        </is>
      </c>
      <c r="B386" s="1" t="n">
        <v>45954.66291666667</v>
      </c>
      <c r="C386" s="1" t="n">
        <v>46129</v>
      </c>
      <c r="D386" t="inlineStr">
        <is>
          <t>JÄMTLANDS LÄN</t>
        </is>
      </c>
      <c r="E386" t="inlineStr">
        <is>
          <t>ÅRE</t>
        </is>
      </c>
      <c r="G386" t="n">
        <v>1</v>
      </c>
      <c r="H386" t="n">
        <v>0</v>
      </c>
      <c r="I386" t="n">
        <v>0</v>
      </c>
      <c r="J386" t="n">
        <v>0</v>
      </c>
      <c r="K386" t="n">
        <v>0</v>
      </c>
      <c r="L386" t="n">
        <v>0</v>
      </c>
      <c r="M386" t="n">
        <v>0</v>
      </c>
      <c r="N386" t="n">
        <v>0</v>
      </c>
      <c r="O386" t="n">
        <v>0</v>
      </c>
      <c r="P386" t="n">
        <v>0</v>
      </c>
      <c r="Q386" t="n">
        <v>0</v>
      </c>
      <c r="R386" s="2" t="inlineStr"/>
    </row>
    <row r="387" ht="15" customHeight="1">
      <c r="A387" t="inlineStr">
        <is>
          <t>A 37158-2025</t>
        </is>
      </c>
      <c r="B387" s="1" t="n">
        <v>45875</v>
      </c>
      <c r="C387" s="1" t="n">
        <v>46129</v>
      </c>
      <c r="D387" t="inlineStr">
        <is>
          <t>JÄMTLANDS LÄN</t>
        </is>
      </c>
      <c r="E387" t="inlineStr">
        <is>
          <t>ÅRE</t>
        </is>
      </c>
      <c r="G387" t="n">
        <v>4.7</v>
      </c>
      <c r="H387" t="n">
        <v>0</v>
      </c>
      <c r="I387" t="n">
        <v>0</v>
      </c>
      <c r="J387" t="n">
        <v>0</v>
      </c>
      <c r="K387" t="n">
        <v>0</v>
      </c>
      <c r="L387" t="n">
        <v>0</v>
      </c>
      <c r="M387" t="n">
        <v>0</v>
      </c>
      <c r="N387" t="n">
        <v>0</v>
      </c>
      <c r="O387" t="n">
        <v>0</v>
      </c>
      <c r="P387" t="n">
        <v>0</v>
      </c>
      <c r="Q387" t="n">
        <v>0</v>
      </c>
      <c r="R387" s="2" t="inlineStr"/>
    </row>
    <row r="388" ht="15" customHeight="1">
      <c r="A388" t="inlineStr">
        <is>
          <t>A 37249-2025</t>
        </is>
      </c>
      <c r="B388" s="1" t="n">
        <v>45876.40699074074</v>
      </c>
      <c r="C388" s="1" t="n">
        <v>46129</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52944-2025</t>
        </is>
      </c>
      <c r="B389" s="1" t="n">
        <v>45957.6437037037</v>
      </c>
      <c r="C389" s="1" t="n">
        <v>46129</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46444-2024</t>
        </is>
      </c>
      <c r="B390" s="1" t="n">
        <v>45582</v>
      </c>
      <c r="C390" s="1" t="n">
        <v>46129</v>
      </c>
      <c r="D390" t="inlineStr">
        <is>
          <t>JÄMTLANDS LÄN</t>
        </is>
      </c>
      <c r="E390" t="inlineStr">
        <is>
          <t>ÅRE</t>
        </is>
      </c>
      <c r="G390" t="n">
        <v>19.6</v>
      </c>
      <c r="H390" t="n">
        <v>0</v>
      </c>
      <c r="I390" t="n">
        <v>0</v>
      </c>
      <c r="J390" t="n">
        <v>0</v>
      </c>
      <c r="K390" t="n">
        <v>0</v>
      </c>
      <c r="L390" t="n">
        <v>0</v>
      </c>
      <c r="M390" t="n">
        <v>0</v>
      </c>
      <c r="N390" t="n">
        <v>0</v>
      </c>
      <c r="O390" t="n">
        <v>0</v>
      </c>
      <c r="P390" t="n">
        <v>0</v>
      </c>
      <c r="Q390" t="n">
        <v>0</v>
      </c>
      <c r="R390" s="2" t="inlineStr"/>
    </row>
    <row r="391" ht="15" customHeight="1">
      <c r="A391" t="inlineStr">
        <is>
          <t>A 51277-2023</t>
        </is>
      </c>
      <c r="B391" s="1" t="n">
        <v>45219</v>
      </c>
      <c r="C391" s="1" t="n">
        <v>46129</v>
      </c>
      <c r="D391" t="inlineStr">
        <is>
          <t>JÄMTLANDS LÄN</t>
        </is>
      </c>
      <c r="E391" t="inlineStr">
        <is>
          <t>ÅRE</t>
        </is>
      </c>
      <c r="G391" t="n">
        <v>0.9</v>
      </c>
      <c r="H391" t="n">
        <v>0</v>
      </c>
      <c r="I391" t="n">
        <v>0</v>
      </c>
      <c r="J391" t="n">
        <v>0</v>
      </c>
      <c r="K391" t="n">
        <v>0</v>
      </c>
      <c r="L391" t="n">
        <v>0</v>
      </c>
      <c r="M391" t="n">
        <v>0</v>
      </c>
      <c r="N391" t="n">
        <v>0</v>
      </c>
      <c r="O391" t="n">
        <v>0</v>
      </c>
      <c r="P391" t="n">
        <v>0</v>
      </c>
      <c r="Q391" t="n">
        <v>0</v>
      </c>
      <c r="R391" s="2" t="inlineStr"/>
    </row>
    <row r="392" ht="15" customHeight="1">
      <c r="A392" t="inlineStr">
        <is>
          <t>A 51282-2023</t>
        </is>
      </c>
      <c r="B392" s="1" t="n">
        <v>45219</v>
      </c>
      <c r="C392" s="1" t="n">
        <v>46129</v>
      </c>
      <c r="D392" t="inlineStr">
        <is>
          <t>JÄMTLANDS LÄN</t>
        </is>
      </c>
      <c r="E392" t="inlineStr">
        <is>
          <t>ÅRE</t>
        </is>
      </c>
      <c r="G392" t="n">
        <v>2.3</v>
      </c>
      <c r="H392" t="n">
        <v>0</v>
      </c>
      <c r="I392" t="n">
        <v>0</v>
      </c>
      <c r="J392" t="n">
        <v>0</v>
      </c>
      <c r="K392" t="n">
        <v>0</v>
      </c>
      <c r="L392" t="n">
        <v>0</v>
      </c>
      <c r="M392" t="n">
        <v>0</v>
      </c>
      <c r="N392" t="n">
        <v>0</v>
      </c>
      <c r="O392" t="n">
        <v>0</v>
      </c>
      <c r="P392" t="n">
        <v>0</v>
      </c>
      <c r="Q392" t="n">
        <v>0</v>
      </c>
      <c r="R392" s="2" t="inlineStr"/>
    </row>
    <row r="393" ht="15" customHeight="1">
      <c r="A393" t="inlineStr">
        <is>
          <t>A 52604-2025</t>
        </is>
      </c>
      <c r="B393" s="1" t="n">
        <v>45954.65774305556</v>
      </c>
      <c r="C393" s="1" t="n">
        <v>46129</v>
      </c>
      <c r="D393" t="inlineStr">
        <is>
          <t>JÄMTLANDS LÄN</t>
        </is>
      </c>
      <c r="E393" t="inlineStr">
        <is>
          <t>ÅRE</t>
        </is>
      </c>
      <c r="G393" t="n">
        <v>0.8</v>
      </c>
      <c r="H393" t="n">
        <v>0</v>
      </c>
      <c r="I393" t="n">
        <v>0</v>
      </c>
      <c r="J393" t="n">
        <v>0</v>
      </c>
      <c r="K393" t="n">
        <v>0</v>
      </c>
      <c r="L393" t="n">
        <v>0</v>
      </c>
      <c r="M393" t="n">
        <v>0</v>
      </c>
      <c r="N393" t="n">
        <v>0</v>
      </c>
      <c r="O393" t="n">
        <v>0</v>
      </c>
      <c r="P393" t="n">
        <v>0</v>
      </c>
      <c r="Q393" t="n">
        <v>0</v>
      </c>
      <c r="R393" s="2" t="inlineStr"/>
    </row>
    <row r="394" ht="15" customHeight="1">
      <c r="A394" t="inlineStr">
        <is>
          <t>A 52597-2025</t>
        </is>
      </c>
      <c r="B394" s="1" t="n">
        <v>45954.65364583334</v>
      </c>
      <c r="C394" s="1" t="n">
        <v>46129</v>
      </c>
      <c r="D394" t="inlineStr">
        <is>
          <t>JÄMTLANDS LÄN</t>
        </is>
      </c>
      <c r="E394" t="inlineStr">
        <is>
          <t>ÅRE</t>
        </is>
      </c>
      <c r="G394" t="n">
        <v>1.4</v>
      </c>
      <c r="H394" t="n">
        <v>0</v>
      </c>
      <c r="I394" t="n">
        <v>0</v>
      </c>
      <c r="J394" t="n">
        <v>0</v>
      </c>
      <c r="K394" t="n">
        <v>0</v>
      </c>
      <c r="L394" t="n">
        <v>0</v>
      </c>
      <c r="M394" t="n">
        <v>0</v>
      </c>
      <c r="N394" t="n">
        <v>0</v>
      </c>
      <c r="O394" t="n">
        <v>0</v>
      </c>
      <c r="P394" t="n">
        <v>0</v>
      </c>
      <c r="Q394" t="n">
        <v>0</v>
      </c>
      <c r="R394" s="2" t="inlineStr"/>
    </row>
    <row r="395" ht="15" customHeight="1">
      <c r="A395" t="inlineStr">
        <is>
          <t>A 52606-2025</t>
        </is>
      </c>
      <c r="B395" s="1" t="n">
        <v>45954.66020833333</v>
      </c>
      <c r="C395" s="1" t="n">
        <v>46129</v>
      </c>
      <c r="D395" t="inlineStr">
        <is>
          <t>JÄMTLANDS LÄN</t>
        </is>
      </c>
      <c r="E395" t="inlineStr">
        <is>
          <t>ÅRE</t>
        </is>
      </c>
      <c r="G395" t="n">
        <v>1.3</v>
      </c>
      <c r="H395" t="n">
        <v>0</v>
      </c>
      <c r="I395" t="n">
        <v>0</v>
      </c>
      <c r="J395" t="n">
        <v>0</v>
      </c>
      <c r="K395" t="n">
        <v>0</v>
      </c>
      <c r="L395" t="n">
        <v>0</v>
      </c>
      <c r="M395" t="n">
        <v>0</v>
      </c>
      <c r="N395" t="n">
        <v>0</v>
      </c>
      <c r="O395" t="n">
        <v>0</v>
      </c>
      <c r="P395" t="n">
        <v>0</v>
      </c>
      <c r="Q395" t="n">
        <v>0</v>
      </c>
      <c r="R395" s="2" t="inlineStr"/>
    </row>
    <row r="396" ht="15" customHeight="1">
      <c r="A396" t="inlineStr">
        <is>
          <t>A 61996-2025</t>
        </is>
      </c>
      <c r="B396" s="1" t="n">
        <v>46003.64273148148</v>
      </c>
      <c r="C396" s="1" t="n">
        <v>46129</v>
      </c>
      <c r="D396" t="inlineStr">
        <is>
          <t>JÄMTLANDS LÄN</t>
        </is>
      </c>
      <c r="E396" t="inlineStr">
        <is>
          <t>ÅRE</t>
        </is>
      </c>
      <c r="G396" t="n">
        <v>4.5</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46129</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38285-2025</t>
        </is>
      </c>
      <c r="B398" s="1" t="n">
        <v>45883.43145833333</v>
      </c>
      <c r="C398" s="1" t="n">
        <v>46129</v>
      </c>
      <c r="D398" t="inlineStr">
        <is>
          <t>JÄMTLANDS LÄN</t>
        </is>
      </c>
      <c r="E398" t="inlineStr">
        <is>
          <t>ÅRE</t>
        </is>
      </c>
      <c r="G398" t="n">
        <v>2.6</v>
      </c>
      <c r="H398" t="n">
        <v>0</v>
      </c>
      <c r="I398" t="n">
        <v>0</v>
      </c>
      <c r="J398" t="n">
        <v>0</v>
      </c>
      <c r="K398" t="n">
        <v>0</v>
      </c>
      <c r="L398" t="n">
        <v>0</v>
      </c>
      <c r="M398" t="n">
        <v>0</v>
      </c>
      <c r="N398" t="n">
        <v>0</v>
      </c>
      <c r="O398" t="n">
        <v>0</v>
      </c>
      <c r="P398" t="n">
        <v>0</v>
      </c>
      <c r="Q398" t="n">
        <v>0</v>
      </c>
      <c r="R398" s="2" t="inlineStr"/>
    </row>
    <row r="399" ht="15" customHeight="1">
      <c r="A399" t="inlineStr">
        <is>
          <t>A 53134-2025</t>
        </is>
      </c>
      <c r="B399" s="1" t="n">
        <v>45958.46826388889</v>
      </c>
      <c r="C399" s="1" t="n">
        <v>46129</v>
      </c>
      <c r="D399" t="inlineStr">
        <is>
          <t>JÄMTLANDS LÄN</t>
        </is>
      </c>
      <c r="E399" t="inlineStr">
        <is>
          <t>ÅRE</t>
        </is>
      </c>
      <c r="G399" t="n">
        <v>13.8</v>
      </c>
      <c r="H399" t="n">
        <v>0</v>
      </c>
      <c r="I399" t="n">
        <v>0</v>
      </c>
      <c r="J399" t="n">
        <v>0</v>
      </c>
      <c r="K399" t="n">
        <v>0</v>
      </c>
      <c r="L399" t="n">
        <v>0</v>
      </c>
      <c r="M399" t="n">
        <v>0</v>
      </c>
      <c r="N399" t="n">
        <v>0</v>
      </c>
      <c r="O399" t="n">
        <v>0</v>
      </c>
      <c r="P399" t="n">
        <v>0</v>
      </c>
      <c r="Q399" t="n">
        <v>0</v>
      </c>
      <c r="R399" s="2" t="inlineStr"/>
    </row>
    <row r="400" ht="15" customHeight="1">
      <c r="A400" t="inlineStr">
        <is>
          <t>A 62532-2025</t>
        </is>
      </c>
      <c r="B400" s="1" t="n">
        <v>46007.63630787037</v>
      </c>
      <c r="C400" s="1" t="n">
        <v>46129</v>
      </c>
      <c r="D400" t="inlineStr">
        <is>
          <t>JÄMTLANDS LÄN</t>
        </is>
      </c>
      <c r="E400" t="inlineStr">
        <is>
          <t>ÅRE</t>
        </is>
      </c>
      <c r="G400" t="n">
        <v>5</v>
      </c>
      <c r="H400" t="n">
        <v>0</v>
      </c>
      <c r="I400" t="n">
        <v>0</v>
      </c>
      <c r="J400" t="n">
        <v>0</v>
      </c>
      <c r="K400" t="n">
        <v>0</v>
      </c>
      <c r="L400" t="n">
        <v>0</v>
      </c>
      <c r="M400" t="n">
        <v>0</v>
      </c>
      <c r="N400" t="n">
        <v>0</v>
      </c>
      <c r="O400" t="n">
        <v>0</v>
      </c>
      <c r="P400" t="n">
        <v>0</v>
      </c>
      <c r="Q400" t="n">
        <v>0</v>
      </c>
      <c r="R400" s="2" t="inlineStr"/>
    </row>
    <row r="401" ht="15" customHeight="1">
      <c r="A401" t="inlineStr">
        <is>
          <t>A 53133-2025</t>
        </is>
      </c>
      <c r="B401" s="1" t="n">
        <v>45958.46806712963</v>
      </c>
      <c r="C401" s="1" t="n">
        <v>46129</v>
      </c>
      <c r="D401" t="inlineStr">
        <is>
          <t>JÄMTLANDS LÄN</t>
        </is>
      </c>
      <c r="E401" t="inlineStr">
        <is>
          <t>ÅRE</t>
        </is>
      </c>
      <c r="G401" t="n">
        <v>13.8</v>
      </c>
      <c r="H401" t="n">
        <v>0</v>
      </c>
      <c r="I401" t="n">
        <v>0</v>
      </c>
      <c r="J401" t="n">
        <v>0</v>
      </c>
      <c r="K401" t="n">
        <v>0</v>
      </c>
      <c r="L401" t="n">
        <v>0</v>
      </c>
      <c r="M401" t="n">
        <v>0</v>
      </c>
      <c r="N401" t="n">
        <v>0</v>
      </c>
      <c r="O401" t="n">
        <v>0</v>
      </c>
      <c r="P401" t="n">
        <v>0</v>
      </c>
      <c r="Q401" t="n">
        <v>0</v>
      </c>
      <c r="R401" s="2" t="inlineStr"/>
    </row>
    <row r="402" ht="15" customHeight="1">
      <c r="A402" t="inlineStr">
        <is>
          <t>A 53862-2025</t>
        </is>
      </c>
      <c r="B402" s="1" t="n">
        <v>45961.38105324074</v>
      </c>
      <c r="C402" s="1" t="n">
        <v>46129</v>
      </c>
      <c r="D402" t="inlineStr">
        <is>
          <t>JÄMTLANDS LÄN</t>
        </is>
      </c>
      <c r="E402" t="inlineStr">
        <is>
          <t>ÅRE</t>
        </is>
      </c>
      <c r="G402" t="n">
        <v>1.2</v>
      </c>
      <c r="H402" t="n">
        <v>0</v>
      </c>
      <c r="I402" t="n">
        <v>0</v>
      </c>
      <c r="J402" t="n">
        <v>0</v>
      </c>
      <c r="K402" t="n">
        <v>0</v>
      </c>
      <c r="L402" t="n">
        <v>0</v>
      </c>
      <c r="M402" t="n">
        <v>0</v>
      </c>
      <c r="N402" t="n">
        <v>0</v>
      </c>
      <c r="O402" t="n">
        <v>0</v>
      </c>
      <c r="P402" t="n">
        <v>0</v>
      </c>
      <c r="Q402" t="n">
        <v>0</v>
      </c>
      <c r="R402" s="2" t="inlineStr"/>
    </row>
    <row r="403" ht="15" customHeight="1">
      <c r="A403" t="inlineStr">
        <is>
          <t>A 1159-2023</t>
        </is>
      </c>
      <c r="B403" s="1" t="n">
        <v>44935.66199074074</v>
      </c>
      <c r="C403" s="1" t="n">
        <v>46129</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62218-2025</t>
        </is>
      </c>
      <c r="B404" s="1" t="n">
        <v>46006.58048611111</v>
      </c>
      <c r="C404" s="1" t="n">
        <v>46129</v>
      </c>
      <c r="D404" t="inlineStr">
        <is>
          <t>JÄMTLANDS LÄN</t>
        </is>
      </c>
      <c r="E404" t="inlineStr">
        <is>
          <t>ÅRE</t>
        </is>
      </c>
      <c r="G404" t="n">
        <v>15.6</v>
      </c>
      <c r="H404" t="n">
        <v>0</v>
      </c>
      <c r="I404" t="n">
        <v>0</v>
      </c>
      <c r="J404" t="n">
        <v>0</v>
      </c>
      <c r="K404" t="n">
        <v>0</v>
      </c>
      <c r="L404" t="n">
        <v>0</v>
      </c>
      <c r="M404" t="n">
        <v>0</v>
      </c>
      <c r="N404" t="n">
        <v>0</v>
      </c>
      <c r="O404" t="n">
        <v>0</v>
      </c>
      <c r="P404" t="n">
        <v>0</v>
      </c>
      <c r="Q404" t="n">
        <v>0</v>
      </c>
      <c r="R404" s="2" t="inlineStr"/>
    </row>
    <row r="405" ht="15" customHeight="1">
      <c r="A405" t="inlineStr">
        <is>
          <t>A 62259-2025</t>
        </is>
      </c>
      <c r="B405" s="1" t="n">
        <v>46006.61553240741</v>
      </c>
      <c r="C405" s="1" t="n">
        <v>46129</v>
      </c>
      <c r="D405" t="inlineStr">
        <is>
          <t>JÄMTLANDS LÄN</t>
        </is>
      </c>
      <c r="E405" t="inlineStr">
        <is>
          <t>ÅRE</t>
        </is>
      </c>
      <c r="G405" t="n">
        <v>7.1</v>
      </c>
      <c r="H405" t="n">
        <v>0</v>
      </c>
      <c r="I405" t="n">
        <v>0</v>
      </c>
      <c r="J405" t="n">
        <v>0</v>
      </c>
      <c r="K405" t="n">
        <v>0</v>
      </c>
      <c r="L405" t="n">
        <v>0</v>
      </c>
      <c r="M405" t="n">
        <v>0</v>
      </c>
      <c r="N405" t="n">
        <v>0</v>
      </c>
      <c r="O405" t="n">
        <v>0</v>
      </c>
      <c r="P405" t="n">
        <v>0</v>
      </c>
      <c r="Q405" t="n">
        <v>0</v>
      </c>
      <c r="R405" s="2" t="inlineStr"/>
    </row>
    <row r="406" ht="15" customHeight="1">
      <c r="A406" t="inlineStr">
        <is>
          <t>A 62189-2025</t>
        </is>
      </c>
      <c r="B406" s="1" t="n">
        <v>46006.54729166667</v>
      </c>
      <c r="C406" s="1" t="n">
        <v>46129</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46129</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50951-2023</t>
        </is>
      </c>
      <c r="B408" s="1" t="n">
        <v>45218</v>
      </c>
      <c r="C408" s="1" t="n">
        <v>46129</v>
      </c>
      <c r="D408" t="inlineStr">
        <is>
          <t>JÄMTLANDS LÄN</t>
        </is>
      </c>
      <c r="E408" t="inlineStr">
        <is>
          <t>ÅRE</t>
        </is>
      </c>
      <c r="G408" t="n">
        <v>1</v>
      </c>
      <c r="H408" t="n">
        <v>0</v>
      </c>
      <c r="I408" t="n">
        <v>0</v>
      </c>
      <c r="J408" t="n">
        <v>0</v>
      </c>
      <c r="K408" t="n">
        <v>0</v>
      </c>
      <c r="L408" t="n">
        <v>0</v>
      </c>
      <c r="M408" t="n">
        <v>0</v>
      </c>
      <c r="N408" t="n">
        <v>0</v>
      </c>
      <c r="O408" t="n">
        <v>0</v>
      </c>
      <c r="P408" t="n">
        <v>0</v>
      </c>
      <c r="Q408" t="n">
        <v>0</v>
      </c>
      <c r="R408" s="2" t="inlineStr"/>
    </row>
    <row r="409" ht="15" customHeight="1">
      <c r="A409" t="inlineStr">
        <is>
          <t>A 53873-2025</t>
        </is>
      </c>
      <c r="B409" s="1" t="n">
        <v>45961.39340277778</v>
      </c>
      <c r="C409" s="1" t="n">
        <v>46129</v>
      </c>
      <c r="D409" t="inlineStr">
        <is>
          <t>JÄMTLANDS LÄN</t>
        </is>
      </c>
      <c r="E409" t="inlineStr">
        <is>
          <t>ÅRE</t>
        </is>
      </c>
      <c r="G409" t="n">
        <v>0.5</v>
      </c>
      <c r="H409" t="n">
        <v>0</v>
      </c>
      <c r="I409" t="n">
        <v>0</v>
      </c>
      <c r="J409" t="n">
        <v>0</v>
      </c>
      <c r="K409" t="n">
        <v>0</v>
      </c>
      <c r="L409" t="n">
        <v>0</v>
      </c>
      <c r="M409" t="n">
        <v>0</v>
      </c>
      <c r="N409" t="n">
        <v>0</v>
      </c>
      <c r="O409" t="n">
        <v>0</v>
      </c>
      <c r="P409" t="n">
        <v>0</v>
      </c>
      <c r="Q409" t="n">
        <v>0</v>
      </c>
      <c r="R409" s="2" t="inlineStr"/>
    </row>
    <row r="410" ht="15" customHeight="1">
      <c r="A410" t="inlineStr">
        <is>
          <t>A 62520-2025</t>
        </is>
      </c>
      <c r="B410" s="1" t="n">
        <v>46007.61498842593</v>
      </c>
      <c r="C410" s="1" t="n">
        <v>46129</v>
      </c>
      <c r="D410" t="inlineStr">
        <is>
          <t>JÄMTLANDS LÄN</t>
        </is>
      </c>
      <c r="E410" t="inlineStr">
        <is>
          <t>ÅRE</t>
        </is>
      </c>
      <c r="G410" t="n">
        <v>0.9</v>
      </c>
      <c r="H410" t="n">
        <v>0</v>
      </c>
      <c r="I410" t="n">
        <v>0</v>
      </c>
      <c r="J410" t="n">
        <v>0</v>
      </c>
      <c r="K410" t="n">
        <v>0</v>
      </c>
      <c r="L410" t="n">
        <v>0</v>
      </c>
      <c r="M410" t="n">
        <v>0</v>
      </c>
      <c r="N410" t="n">
        <v>0</v>
      </c>
      <c r="O410" t="n">
        <v>0</v>
      </c>
      <c r="P410" t="n">
        <v>0</v>
      </c>
      <c r="Q410" t="n">
        <v>0</v>
      </c>
      <c r="R410" s="2" t="inlineStr"/>
    </row>
    <row r="411" ht="15" customHeight="1">
      <c r="A411" t="inlineStr">
        <is>
          <t>A 62521-2025</t>
        </is>
      </c>
      <c r="B411" s="1" t="n">
        <v>46007.61506944444</v>
      </c>
      <c r="C411" s="1" t="n">
        <v>46129</v>
      </c>
      <c r="D411" t="inlineStr">
        <is>
          <t>JÄMTLANDS LÄN</t>
        </is>
      </c>
      <c r="E411" t="inlineStr">
        <is>
          <t>ÅRE</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46129</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62056-2025</t>
        </is>
      </c>
      <c r="B413" s="1" t="n">
        <v>46006</v>
      </c>
      <c r="C413" s="1" t="n">
        <v>46129</v>
      </c>
      <c r="D413" t="inlineStr">
        <is>
          <t>JÄMTLANDS LÄN</t>
        </is>
      </c>
      <c r="E413" t="inlineStr">
        <is>
          <t>ÅRE</t>
        </is>
      </c>
      <c r="G413" t="n">
        <v>3.5</v>
      </c>
      <c r="H413" t="n">
        <v>0</v>
      </c>
      <c r="I413" t="n">
        <v>0</v>
      </c>
      <c r="J413" t="n">
        <v>0</v>
      </c>
      <c r="K413" t="n">
        <v>0</v>
      </c>
      <c r="L413" t="n">
        <v>0</v>
      </c>
      <c r="M413" t="n">
        <v>0</v>
      </c>
      <c r="N413" t="n">
        <v>0</v>
      </c>
      <c r="O413" t="n">
        <v>0</v>
      </c>
      <c r="P413" t="n">
        <v>0</v>
      </c>
      <c r="Q413" t="n">
        <v>0</v>
      </c>
      <c r="R413" s="2" t="inlineStr"/>
    </row>
    <row r="414" ht="15" customHeight="1">
      <c r="A414" t="inlineStr">
        <is>
          <t>A 47664-2022</t>
        </is>
      </c>
      <c r="B414" s="1" t="n">
        <v>44854.46388888889</v>
      </c>
      <c r="C414" s="1" t="n">
        <v>46129</v>
      </c>
      <c r="D414" t="inlineStr">
        <is>
          <t>JÄMTLANDS LÄN</t>
        </is>
      </c>
      <c r="E414" t="inlineStr">
        <is>
          <t>ÅRE</t>
        </is>
      </c>
      <c r="G414" t="n">
        <v>15</v>
      </c>
      <c r="H414" t="n">
        <v>0</v>
      </c>
      <c r="I414" t="n">
        <v>0</v>
      </c>
      <c r="J414" t="n">
        <v>0</v>
      </c>
      <c r="K414" t="n">
        <v>0</v>
      </c>
      <c r="L414" t="n">
        <v>0</v>
      </c>
      <c r="M414" t="n">
        <v>0</v>
      </c>
      <c r="N414" t="n">
        <v>0</v>
      </c>
      <c r="O414" t="n">
        <v>0</v>
      </c>
      <c r="P414" t="n">
        <v>0</v>
      </c>
      <c r="Q414" t="n">
        <v>0</v>
      </c>
      <c r="R414" s="2" t="inlineStr"/>
    </row>
    <row r="415" ht="15" customHeight="1">
      <c r="A415" t="inlineStr">
        <is>
          <t>A 54137-2025</t>
        </is>
      </c>
      <c r="B415" s="1" t="n">
        <v>45964.47275462963</v>
      </c>
      <c r="C415" s="1" t="n">
        <v>46129</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62210-2025</t>
        </is>
      </c>
      <c r="B416" s="1" t="n">
        <v>46006.5666087963</v>
      </c>
      <c r="C416" s="1" t="n">
        <v>46129</v>
      </c>
      <c r="D416" t="inlineStr">
        <is>
          <t>JÄMTLANDS LÄN</t>
        </is>
      </c>
      <c r="E416" t="inlineStr">
        <is>
          <t>ÅRE</t>
        </is>
      </c>
      <c r="G416" t="n">
        <v>0.9</v>
      </c>
      <c r="H416" t="n">
        <v>0</v>
      </c>
      <c r="I416" t="n">
        <v>0</v>
      </c>
      <c r="J416" t="n">
        <v>0</v>
      </c>
      <c r="K416" t="n">
        <v>0</v>
      </c>
      <c r="L416" t="n">
        <v>0</v>
      </c>
      <c r="M416" t="n">
        <v>0</v>
      </c>
      <c r="N416" t="n">
        <v>0</v>
      </c>
      <c r="O416" t="n">
        <v>0</v>
      </c>
      <c r="P416" t="n">
        <v>0</v>
      </c>
      <c r="Q416" t="n">
        <v>0</v>
      </c>
      <c r="R416" s="2" t="inlineStr"/>
    </row>
    <row r="417" ht="15" customHeight="1">
      <c r="A417" t="inlineStr">
        <is>
          <t>A 62530-2025</t>
        </is>
      </c>
      <c r="B417" s="1" t="n">
        <v>46007.63618055556</v>
      </c>
      <c r="C417" s="1" t="n">
        <v>46129</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54131-2025</t>
        </is>
      </c>
      <c r="B418" s="1" t="n">
        <v>45964.46167824074</v>
      </c>
      <c r="C418" s="1" t="n">
        <v>46129</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54136-2025</t>
        </is>
      </c>
      <c r="B419" s="1" t="n">
        <v>45964.47177083333</v>
      </c>
      <c r="C419" s="1" t="n">
        <v>46129</v>
      </c>
      <c r="D419" t="inlineStr">
        <is>
          <t>JÄMTLANDS LÄN</t>
        </is>
      </c>
      <c r="E419" t="inlineStr">
        <is>
          <t>ÅRE</t>
        </is>
      </c>
      <c r="G419" t="n">
        <v>7.2</v>
      </c>
      <c r="H419" t="n">
        <v>0</v>
      </c>
      <c r="I419" t="n">
        <v>0</v>
      </c>
      <c r="J419" t="n">
        <v>0</v>
      </c>
      <c r="K419" t="n">
        <v>0</v>
      </c>
      <c r="L419" t="n">
        <v>0</v>
      </c>
      <c r="M419" t="n">
        <v>0</v>
      </c>
      <c r="N419" t="n">
        <v>0</v>
      </c>
      <c r="O419" t="n">
        <v>0</v>
      </c>
      <c r="P419" t="n">
        <v>0</v>
      </c>
      <c r="Q419" t="n">
        <v>0</v>
      </c>
      <c r="R419" s="2" t="inlineStr"/>
    </row>
    <row r="420" ht="15" customHeight="1">
      <c r="A420" t="inlineStr">
        <is>
          <t>A 54139-2025</t>
        </is>
      </c>
      <c r="B420" s="1" t="n">
        <v>45964.47564814815</v>
      </c>
      <c r="C420" s="1" t="n">
        <v>46129</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54213-2025</t>
        </is>
      </c>
      <c r="B421" s="1" t="n">
        <v>45964.59420138889</v>
      </c>
      <c r="C421" s="1" t="n">
        <v>46129</v>
      </c>
      <c r="D421" t="inlineStr">
        <is>
          <t>JÄMTLANDS LÄN</t>
        </is>
      </c>
      <c r="E421" t="inlineStr">
        <is>
          <t>ÅRE</t>
        </is>
      </c>
      <c r="F421" t="inlineStr">
        <is>
          <t>Övriga Aktiebolag</t>
        </is>
      </c>
      <c r="G421" t="n">
        <v>2.1</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46129</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46129</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54580-2025</t>
        </is>
      </c>
      <c r="B424" s="1" t="n">
        <v>45965.70755787037</v>
      </c>
      <c r="C424" s="1" t="n">
        <v>46129</v>
      </c>
      <c r="D424" t="inlineStr">
        <is>
          <t>JÄMTLANDS LÄN</t>
        </is>
      </c>
      <c r="E424" t="inlineStr">
        <is>
          <t>ÅRE</t>
        </is>
      </c>
      <c r="G424" t="n">
        <v>5</v>
      </c>
      <c r="H424" t="n">
        <v>0</v>
      </c>
      <c r="I424" t="n">
        <v>0</v>
      </c>
      <c r="J424" t="n">
        <v>0</v>
      </c>
      <c r="K424" t="n">
        <v>0</v>
      </c>
      <c r="L424" t="n">
        <v>0</v>
      </c>
      <c r="M424" t="n">
        <v>0</v>
      </c>
      <c r="N424" t="n">
        <v>0</v>
      </c>
      <c r="O424" t="n">
        <v>0</v>
      </c>
      <c r="P424" t="n">
        <v>0</v>
      </c>
      <c r="Q424" t="n">
        <v>0</v>
      </c>
      <c r="R424" s="2" t="inlineStr"/>
    </row>
    <row r="425" ht="15" customHeight="1">
      <c r="A425" t="inlineStr">
        <is>
          <t>A 54211-2025</t>
        </is>
      </c>
      <c r="B425" s="1" t="n">
        <v>45964.59214120371</v>
      </c>
      <c r="C425" s="1" t="n">
        <v>46129</v>
      </c>
      <c r="D425" t="inlineStr">
        <is>
          <t>JÄMTLANDS LÄN</t>
        </is>
      </c>
      <c r="E425" t="inlineStr">
        <is>
          <t>ÅRE</t>
        </is>
      </c>
      <c r="G425" t="n">
        <v>4.3</v>
      </c>
      <c r="H425" t="n">
        <v>0</v>
      </c>
      <c r="I425" t="n">
        <v>0</v>
      </c>
      <c r="J425" t="n">
        <v>0</v>
      </c>
      <c r="K425" t="n">
        <v>0</v>
      </c>
      <c r="L425" t="n">
        <v>0</v>
      </c>
      <c r="M425" t="n">
        <v>0</v>
      </c>
      <c r="N425" t="n">
        <v>0</v>
      </c>
      <c r="O425" t="n">
        <v>0</v>
      </c>
      <c r="P425" t="n">
        <v>0</v>
      </c>
      <c r="Q425" t="n">
        <v>0</v>
      </c>
      <c r="R425" s="2" t="inlineStr"/>
    </row>
    <row r="426" ht="15" customHeight="1">
      <c r="A426" t="inlineStr">
        <is>
          <t>A 54823-2025</t>
        </is>
      </c>
      <c r="B426" s="1" t="n">
        <v>45966.66451388889</v>
      </c>
      <c r="C426" s="1" t="n">
        <v>46129</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27375-2021</t>
        </is>
      </c>
      <c r="B427" s="1" t="n">
        <v>44351</v>
      </c>
      <c r="C427" s="1" t="n">
        <v>46129</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63020-2025</t>
        </is>
      </c>
      <c r="B428" s="1" t="n">
        <v>46009.59424768519</v>
      </c>
      <c r="C428" s="1" t="n">
        <v>46129</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54937-2025</t>
        </is>
      </c>
      <c r="B429" s="1" t="n">
        <v>45967.43244212963</v>
      </c>
      <c r="C429" s="1" t="n">
        <v>46129</v>
      </c>
      <c r="D429" t="inlineStr">
        <is>
          <t>JÄMTLANDS LÄN</t>
        </is>
      </c>
      <c r="E429" t="inlineStr">
        <is>
          <t>ÅRE</t>
        </is>
      </c>
      <c r="G429" t="n">
        <v>2.9</v>
      </c>
      <c r="H429" t="n">
        <v>0</v>
      </c>
      <c r="I429" t="n">
        <v>0</v>
      </c>
      <c r="J429" t="n">
        <v>0</v>
      </c>
      <c r="K429" t="n">
        <v>0</v>
      </c>
      <c r="L429" t="n">
        <v>0</v>
      </c>
      <c r="M429" t="n">
        <v>0</v>
      </c>
      <c r="N429" t="n">
        <v>0</v>
      </c>
      <c r="O429" t="n">
        <v>0</v>
      </c>
      <c r="P429" t="n">
        <v>0</v>
      </c>
      <c r="Q429" t="n">
        <v>0</v>
      </c>
      <c r="R429" s="2" t="inlineStr"/>
    </row>
    <row r="430" ht="15" customHeight="1">
      <c r="A430" t="inlineStr">
        <is>
          <t>A 43456-2023</t>
        </is>
      </c>
      <c r="B430" s="1" t="n">
        <v>45184.37474537037</v>
      </c>
      <c r="C430" s="1" t="n">
        <v>46129</v>
      </c>
      <c r="D430" t="inlineStr">
        <is>
          <t>JÄMTLANDS LÄN</t>
        </is>
      </c>
      <c r="E430" t="inlineStr">
        <is>
          <t>ÅRE</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54164-2023</t>
        </is>
      </c>
      <c r="B431" s="1" t="n">
        <v>45232.47815972222</v>
      </c>
      <c r="C431" s="1" t="n">
        <v>46129</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54838-2025</t>
        </is>
      </c>
      <c r="B432" s="1" t="n">
        <v>45966.68252314815</v>
      </c>
      <c r="C432" s="1" t="n">
        <v>46129</v>
      </c>
      <c r="D432" t="inlineStr">
        <is>
          <t>JÄMTLANDS LÄN</t>
        </is>
      </c>
      <c r="E432" t="inlineStr">
        <is>
          <t>ÅRE</t>
        </is>
      </c>
      <c r="G432" t="n">
        <v>2.4</v>
      </c>
      <c r="H432" t="n">
        <v>0</v>
      </c>
      <c r="I432" t="n">
        <v>0</v>
      </c>
      <c r="J432" t="n">
        <v>0</v>
      </c>
      <c r="K432" t="n">
        <v>0</v>
      </c>
      <c r="L432" t="n">
        <v>0</v>
      </c>
      <c r="M432" t="n">
        <v>0</v>
      </c>
      <c r="N432" t="n">
        <v>0</v>
      </c>
      <c r="O432" t="n">
        <v>0</v>
      </c>
      <c r="P432" t="n">
        <v>0</v>
      </c>
      <c r="Q432" t="n">
        <v>0</v>
      </c>
      <c r="R432" s="2" t="inlineStr"/>
    </row>
    <row r="433" ht="15" customHeight="1">
      <c r="A433" t="inlineStr">
        <is>
          <t>A 55413-2025</t>
        </is>
      </c>
      <c r="B433" s="1" t="n">
        <v>45971.46915509259</v>
      </c>
      <c r="C433" s="1" t="n">
        <v>46129</v>
      </c>
      <c r="D433" t="inlineStr">
        <is>
          <t>JÄMTLANDS LÄN</t>
        </is>
      </c>
      <c r="E433" t="inlineStr">
        <is>
          <t>ÅRE</t>
        </is>
      </c>
      <c r="G433" t="n">
        <v>7.2</v>
      </c>
      <c r="H433" t="n">
        <v>0</v>
      </c>
      <c r="I433" t="n">
        <v>0</v>
      </c>
      <c r="J433" t="n">
        <v>0</v>
      </c>
      <c r="K433" t="n">
        <v>0</v>
      </c>
      <c r="L433" t="n">
        <v>0</v>
      </c>
      <c r="M433" t="n">
        <v>0</v>
      </c>
      <c r="N433" t="n">
        <v>0</v>
      </c>
      <c r="O433" t="n">
        <v>0</v>
      </c>
      <c r="P433" t="n">
        <v>0</v>
      </c>
      <c r="Q433" t="n">
        <v>0</v>
      </c>
      <c r="R433" s="2" t="inlineStr"/>
    </row>
    <row r="434" ht="15" customHeight="1">
      <c r="A434" t="inlineStr">
        <is>
          <t>A 55379-2025</t>
        </is>
      </c>
      <c r="B434" s="1" t="n">
        <v>45971.42776620371</v>
      </c>
      <c r="C434" s="1" t="n">
        <v>46129</v>
      </c>
      <c r="D434" t="inlineStr">
        <is>
          <t>JÄMTLANDS LÄN</t>
        </is>
      </c>
      <c r="E434" t="inlineStr">
        <is>
          <t>ÅRE</t>
        </is>
      </c>
      <c r="G434" t="n">
        <v>4.6</v>
      </c>
      <c r="H434" t="n">
        <v>0</v>
      </c>
      <c r="I434" t="n">
        <v>0</v>
      </c>
      <c r="J434" t="n">
        <v>0</v>
      </c>
      <c r="K434" t="n">
        <v>0</v>
      </c>
      <c r="L434" t="n">
        <v>0</v>
      </c>
      <c r="M434" t="n">
        <v>0</v>
      </c>
      <c r="N434" t="n">
        <v>0</v>
      </c>
      <c r="O434" t="n">
        <v>0</v>
      </c>
      <c r="P434" t="n">
        <v>0</v>
      </c>
      <c r="Q434" t="n">
        <v>0</v>
      </c>
      <c r="R434" s="2" t="inlineStr"/>
    </row>
    <row r="435" ht="15" customHeight="1">
      <c r="A435" t="inlineStr">
        <is>
          <t>A 6141-2026</t>
        </is>
      </c>
      <c r="B435" s="1" t="n">
        <v>46054.81873842593</v>
      </c>
      <c r="C435" s="1" t="n">
        <v>46129</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2374-2023</t>
        </is>
      </c>
      <c r="B436" s="1" t="n">
        <v>44942.69005787037</v>
      </c>
      <c r="C436" s="1" t="n">
        <v>46129</v>
      </c>
      <c r="D436" t="inlineStr">
        <is>
          <t>JÄMTLANDS LÄN</t>
        </is>
      </c>
      <c r="E436" t="inlineStr">
        <is>
          <t>ÅRE</t>
        </is>
      </c>
      <c r="G436" t="n">
        <v>0.6</v>
      </c>
      <c r="H436" t="n">
        <v>0</v>
      </c>
      <c r="I436" t="n">
        <v>0</v>
      </c>
      <c r="J436" t="n">
        <v>0</v>
      </c>
      <c r="K436" t="n">
        <v>0</v>
      </c>
      <c r="L436" t="n">
        <v>0</v>
      </c>
      <c r="M436" t="n">
        <v>0</v>
      </c>
      <c r="N436" t="n">
        <v>0</v>
      </c>
      <c r="O436" t="n">
        <v>0</v>
      </c>
      <c r="P436" t="n">
        <v>0</v>
      </c>
      <c r="Q436" t="n">
        <v>0</v>
      </c>
      <c r="R436" s="2" t="inlineStr"/>
    </row>
    <row r="437" ht="15" customHeight="1">
      <c r="A437" t="inlineStr">
        <is>
          <t>A 63225-2025</t>
        </is>
      </c>
      <c r="B437" s="1" t="n">
        <v>46010.49605324074</v>
      </c>
      <c r="C437" s="1" t="n">
        <v>46129</v>
      </c>
      <c r="D437" t="inlineStr">
        <is>
          <t>JÄMTLANDS LÄN</t>
        </is>
      </c>
      <c r="E437" t="inlineStr">
        <is>
          <t>ÅRE</t>
        </is>
      </c>
      <c r="F437" t="inlineStr">
        <is>
          <t>Övriga Aktiebolag</t>
        </is>
      </c>
      <c r="G437" t="n">
        <v>12.1</v>
      </c>
      <c r="H437" t="n">
        <v>0</v>
      </c>
      <c r="I437" t="n">
        <v>0</v>
      </c>
      <c r="J437" t="n">
        <v>0</v>
      </c>
      <c r="K437" t="n">
        <v>0</v>
      </c>
      <c r="L437" t="n">
        <v>0</v>
      </c>
      <c r="M437" t="n">
        <v>0</v>
      </c>
      <c r="N437" t="n">
        <v>0</v>
      </c>
      <c r="O437" t="n">
        <v>0</v>
      </c>
      <c r="P437" t="n">
        <v>0</v>
      </c>
      <c r="Q437" t="n">
        <v>0</v>
      </c>
      <c r="R437" s="2" t="inlineStr"/>
    </row>
    <row r="438" ht="15" customHeight="1">
      <c r="A438" t="inlineStr">
        <is>
          <t>A 50574-2025</t>
        </is>
      </c>
      <c r="B438" s="1" t="n">
        <v>45945</v>
      </c>
      <c r="C438" s="1" t="n">
        <v>46129</v>
      </c>
      <c r="D438" t="inlineStr">
        <is>
          <t>JÄMTLANDS LÄN</t>
        </is>
      </c>
      <c r="E438" t="inlineStr">
        <is>
          <t>ÅRE</t>
        </is>
      </c>
      <c r="G438" t="n">
        <v>16.1</v>
      </c>
      <c r="H438" t="n">
        <v>0</v>
      </c>
      <c r="I438" t="n">
        <v>0</v>
      </c>
      <c r="J438" t="n">
        <v>0</v>
      </c>
      <c r="K438" t="n">
        <v>0</v>
      </c>
      <c r="L438" t="n">
        <v>0</v>
      </c>
      <c r="M438" t="n">
        <v>0</v>
      </c>
      <c r="N438" t="n">
        <v>0</v>
      </c>
      <c r="O438" t="n">
        <v>0</v>
      </c>
      <c r="P438" t="n">
        <v>0</v>
      </c>
      <c r="Q438" t="n">
        <v>0</v>
      </c>
      <c r="R438" s="2" t="inlineStr"/>
    </row>
    <row r="439" ht="15" customHeight="1">
      <c r="A439" t="inlineStr">
        <is>
          <t>A 45378-2025</t>
        </is>
      </c>
      <c r="B439" s="1" t="n">
        <v>45922</v>
      </c>
      <c r="C439" s="1" t="n">
        <v>46129</v>
      </c>
      <c r="D439" t="inlineStr">
        <is>
          <t>JÄMTLANDS LÄN</t>
        </is>
      </c>
      <c r="E439" t="inlineStr">
        <is>
          <t>ÅRE</t>
        </is>
      </c>
      <c r="G439" t="n">
        <v>15.7</v>
      </c>
      <c r="H439" t="n">
        <v>0</v>
      </c>
      <c r="I439" t="n">
        <v>0</v>
      </c>
      <c r="J439" t="n">
        <v>0</v>
      </c>
      <c r="K439" t="n">
        <v>0</v>
      </c>
      <c r="L439" t="n">
        <v>0</v>
      </c>
      <c r="M439" t="n">
        <v>0</v>
      </c>
      <c r="N439" t="n">
        <v>0</v>
      </c>
      <c r="O439" t="n">
        <v>0</v>
      </c>
      <c r="P439" t="n">
        <v>0</v>
      </c>
      <c r="Q439" t="n">
        <v>0</v>
      </c>
      <c r="R439" s="2" t="inlineStr"/>
    </row>
    <row r="440" ht="15" customHeight="1">
      <c r="A440" t="inlineStr">
        <is>
          <t>A 60913-2025</t>
        </is>
      </c>
      <c r="B440" s="1" t="n">
        <v>45999</v>
      </c>
      <c r="C440" s="1" t="n">
        <v>46129</v>
      </c>
      <c r="D440" t="inlineStr">
        <is>
          <t>JÄMTLANDS LÄN</t>
        </is>
      </c>
      <c r="E440" t="inlineStr">
        <is>
          <t>ÅRE</t>
        </is>
      </c>
      <c r="F440" t="inlineStr">
        <is>
          <t>Övriga Aktiebolag</t>
        </is>
      </c>
      <c r="G440" t="n">
        <v>19.9</v>
      </c>
      <c r="H440" t="n">
        <v>0</v>
      </c>
      <c r="I440" t="n">
        <v>0</v>
      </c>
      <c r="J440" t="n">
        <v>0</v>
      </c>
      <c r="K440" t="n">
        <v>0</v>
      </c>
      <c r="L440" t="n">
        <v>0</v>
      </c>
      <c r="M440" t="n">
        <v>0</v>
      </c>
      <c r="N440" t="n">
        <v>0</v>
      </c>
      <c r="O440" t="n">
        <v>0</v>
      </c>
      <c r="P440" t="n">
        <v>0</v>
      </c>
      <c r="Q440" t="n">
        <v>0</v>
      </c>
      <c r="R440" s="2" t="inlineStr"/>
    </row>
    <row r="441" ht="15" customHeight="1">
      <c r="A441" t="inlineStr">
        <is>
          <t>A 55129-2025</t>
        </is>
      </c>
      <c r="B441" s="1" t="n">
        <v>45968</v>
      </c>
      <c r="C441" s="1" t="n">
        <v>46129</v>
      </c>
      <c r="D441" t="inlineStr">
        <is>
          <t>JÄMTLANDS LÄN</t>
        </is>
      </c>
      <c r="E441" t="inlineStr">
        <is>
          <t>ÅRE</t>
        </is>
      </c>
      <c r="F441" t="inlineStr">
        <is>
          <t>Övriga Aktiebolag</t>
        </is>
      </c>
      <c r="G441" t="n">
        <v>103.3</v>
      </c>
      <c r="H441" t="n">
        <v>0</v>
      </c>
      <c r="I441" t="n">
        <v>0</v>
      </c>
      <c r="J441" t="n">
        <v>0</v>
      </c>
      <c r="K441" t="n">
        <v>0</v>
      </c>
      <c r="L441" t="n">
        <v>0</v>
      </c>
      <c r="M441" t="n">
        <v>0</v>
      </c>
      <c r="N441" t="n">
        <v>0</v>
      </c>
      <c r="O441" t="n">
        <v>0</v>
      </c>
      <c r="P441" t="n">
        <v>0</v>
      </c>
      <c r="Q441" t="n">
        <v>0</v>
      </c>
      <c r="R441" s="2" t="inlineStr"/>
    </row>
    <row r="442" ht="15" customHeight="1">
      <c r="A442" t="inlineStr">
        <is>
          <t>A 58395-2025</t>
        </is>
      </c>
      <c r="B442" s="1" t="n">
        <v>45985</v>
      </c>
      <c r="C442" s="1" t="n">
        <v>46129</v>
      </c>
      <c r="D442" t="inlineStr">
        <is>
          <t>JÄMTLANDS LÄN</t>
        </is>
      </c>
      <c r="E442" t="inlineStr">
        <is>
          <t>ÅRE</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59698-2025</t>
        </is>
      </c>
      <c r="B443" s="1" t="n">
        <v>45992</v>
      </c>
      <c r="C443" s="1" t="n">
        <v>46129</v>
      </c>
      <c r="D443" t="inlineStr">
        <is>
          <t>JÄMTLANDS LÄN</t>
        </is>
      </c>
      <c r="E443" t="inlineStr">
        <is>
          <t>ÅRE</t>
        </is>
      </c>
      <c r="F443" t="inlineStr">
        <is>
          <t>Övriga Aktiebolag</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44946.56012731481</v>
      </c>
      <c r="C444" s="1" t="n">
        <v>46129</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57816-2025</t>
        </is>
      </c>
      <c r="B445" s="1" t="n">
        <v>45981.59471064815</v>
      </c>
      <c r="C445" s="1" t="n">
        <v>46129</v>
      </c>
      <c r="D445" t="inlineStr">
        <is>
          <t>JÄMTLANDS LÄN</t>
        </is>
      </c>
      <c r="E445" t="inlineStr">
        <is>
          <t>ÅRE</t>
        </is>
      </c>
      <c r="G445" t="n">
        <v>5.8</v>
      </c>
      <c r="H445" t="n">
        <v>0</v>
      </c>
      <c r="I445" t="n">
        <v>0</v>
      </c>
      <c r="J445" t="n">
        <v>0</v>
      </c>
      <c r="K445" t="n">
        <v>0</v>
      </c>
      <c r="L445" t="n">
        <v>0</v>
      </c>
      <c r="M445" t="n">
        <v>0</v>
      </c>
      <c r="N445" t="n">
        <v>0</v>
      </c>
      <c r="O445" t="n">
        <v>0</v>
      </c>
      <c r="P445" t="n">
        <v>0</v>
      </c>
      <c r="Q445" t="n">
        <v>0</v>
      </c>
      <c r="R445" s="2" t="inlineStr"/>
    </row>
    <row r="446" ht="15" customHeight="1">
      <c r="A446" t="inlineStr">
        <is>
          <t>A 7297-2026</t>
        </is>
      </c>
      <c r="B446" s="1" t="n">
        <v>46058.64458333333</v>
      </c>
      <c r="C446" s="1" t="n">
        <v>46129</v>
      </c>
      <c r="D446" t="inlineStr">
        <is>
          <t>JÄMTLANDS LÄN</t>
        </is>
      </c>
      <c r="E446" t="inlineStr">
        <is>
          <t>ÅRE</t>
        </is>
      </c>
      <c r="F446" t="inlineStr">
        <is>
          <t>Övriga Aktiebolag</t>
        </is>
      </c>
      <c r="G446" t="n">
        <v>19.1</v>
      </c>
      <c r="H446" t="n">
        <v>0</v>
      </c>
      <c r="I446" t="n">
        <v>0</v>
      </c>
      <c r="J446" t="n">
        <v>0</v>
      </c>
      <c r="K446" t="n">
        <v>0</v>
      </c>
      <c r="L446" t="n">
        <v>0</v>
      </c>
      <c r="M446" t="n">
        <v>0</v>
      </c>
      <c r="N446" t="n">
        <v>0</v>
      </c>
      <c r="O446" t="n">
        <v>0</v>
      </c>
      <c r="P446" t="n">
        <v>0</v>
      </c>
      <c r="Q446" t="n">
        <v>0</v>
      </c>
      <c r="R446" s="2" t="inlineStr"/>
    </row>
    <row r="447" ht="15" customHeight="1">
      <c r="A447" t="inlineStr">
        <is>
          <t>A 53899-2023</t>
        </is>
      </c>
      <c r="B447" s="1" t="n">
        <v>45231.54160879629</v>
      </c>
      <c r="C447" s="1" t="n">
        <v>46129</v>
      </c>
      <c r="D447" t="inlineStr">
        <is>
          <t>JÄMTLANDS LÄN</t>
        </is>
      </c>
      <c r="E447" t="inlineStr">
        <is>
          <t>ÅRE</t>
        </is>
      </c>
      <c r="G447" t="n">
        <v>20.4</v>
      </c>
      <c r="H447" t="n">
        <v>0</v>
      </c>
      <c r="I447" t="n">
        <v>0</v>
      </c>
      <c r="J447" t="n">
        <v>0</v>
      </c>
      <c r="K447" t="n">
        <v>0</v>
      </c>
      <c r="L447" t="n">
        <v>0</v>
      </c>
      <c r="M447" t="n">
        <v>0</v>
      </c>
      <c r="N447" t="n">
        <v>0</v>
      </c>
      <c r="O447" t="n">
        <v>0</v>
      </c>
      <c r="P447" t="n">
        <v>0</v>
      </c>
      <c r="Q447" t="n">
        <v>0</v>
      </c>
      <c r="R447" s="2" t="inlineStr"/>
    </row>
    <row r="448" ht="15" customHeight="1">
      <c r="A448" t="inlineStr">
        <is>
          <t>A 63838-2025</t>
        </is>
      </c>
      <c r="B448" s="1" t="n">
        <v>46020.4169212963</v>
      </c>
      <c r="C448" s="1" t="n">
        <v>46129</v>
      </c>
      <c r="D448" t="inlineStr">
        <is>
          <t>JÄMTLANDS LÄN</t>
        </is>
      </c>
      <c r="E448" t="inlineStr">
        <is>
          <t>ÅRE</t>
        </is>
      </c>
      <c r="G448" t="n">
        <v>3.7</v>
      </c>
      <c r="H448" t="n">
        <v>0</v>
      </c>
      <c r="I448" t="n">
        <v>0</v>
      </c>
      <c r="J448" t="n">
        <v>0</v>
      </c>
      <c r="K448" t="n">
        <v>0</v>
      </c>
      <c r="L448" t="n">
        <v>0</v>
      </c>
      <c r="M448" t="n">
        <v>0</v>
      </c>
      <c r="N448" t="n">
        <v>0</v>
      </c>
      <c r="O448" t="n">
        <v>0</v>
      </c>
      <c r="P448" t="n">
        <v>0</v>
      </c>
      <c r="Q448" t="n">
        <v>0</v>
      </c>
      <c r="R448" s="2" t="inlineStr"/>
    </row>
    <row r="449" ht="15" customHeight="1">
      <c r="A449" t="inlineStr">
        <is>
          <t>A 4181-2025</t>
        </is>
      </c>
      <c r="B449" s="1" t="n">
        <v>45685.44300925926</v>
      </c>
      <c r="C449" s="1" t="n">
        <v>46129</v>
      </c>
      <c r="D449" t="inlineStr">
        <is>
          <t>JÄMTLANDS LÄN</t>
        </is>
      </c>
      <c r="E449" t="inlineStr">
        <is>
          <t>ÅRE</t>
        </is>
      </c>
      <c r="F449" t="inlineStr">
        <is>
          <t>Övriga Aktiebolag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25926-2023</t>
        </is>
      </c>
      <c r="B450" s="1" t="n">
        <v>45085</v>
      </c>
      <c r="C450" s="1" t="n">
        <v>46129</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63860-2025</t>
        </is>
      </c>
      <c r="B451" s="1" t="n">
        <v>46020.48969907407</v>
      </c>
      <c r="C451" s="1" t="n">
        <v>46129</v>
      </c>
      <c r="D451" t="inlineStr">
        <is>
          <t>JÄMTLANDS LÄN</t>
        </is>
      </c>
      <c r="E451" t="inlineStr">
        <is>
          <t>ÅRE</t>
        </is>
      </c>
      <c r="G451" t="n">
        <v>4.1</v>
      </c>
      <c r="H451" t="n">
        <v>0</v>
      </c>
      <c r="I451" t="n">
        <v>0</v>
      </c>
      <c r="J451" t="n">
        <v>0</v>
      </c>
      <c r="K451" t="n">
        <v>0</v>
      </c>
      <c r="L451" t="n">
        <v>0</v>
      </c>
      <c r="M451" t="n">
        <v>0</v>
      </c>
      <c r="N451" t="n">
        <v>0</v>
      </c>
      <c r="O451" t="n">
        <v>0</v>
      </c>
      <c r="P451" t="n">
        <v>0</v>
      </c>
      <c r="Q451" t="n">
        <v>0</v>
      </c>
      <c r="R451" s="2" t="inlineStr"/>
    </row>
    <row r="452" ht="15" customHeight="1">
      <c r="A452" t="inlineStr">
        <is>
          <t>A 12168-2023</t>
        </is>
      </c>
      <c r="B452" s="1" t="n">
        <v>44998</v>
      </c>
      <c r="C452" s="1" t="n">
        <v>46129</v>
      </c>
      <c r="D452" t="inlineStr">
        <is>
          <t>JÄMTLANDS LÄN</t>
        </is>
      </c>
      <c r="E452" t="inlineStr">
        <is>
          <t>ÅRE</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12173-2023</t>
        </is>
      </c>
      <c r="B453" s="1" t="n">
        <v>44998</v>
      </c>
      <c r="C453" s="1" t="n">
        <v>46129</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12179-2023</t>
        </is>
      </c>
      <c r="B454" s="1" t="n">
        <v>44998</v>
      </c>
      <c r="C454" s="1" t="n">
        <v>46129</v>
      </c>
      <c r="D454" t="inlineStr">
        <is>
          <t>JÄMTLANDS LÄN</t>
        </is>
      </c>
      <c r="E454" t="inlineStr">
        <is>
          <t>ÅRE</t>
        </is>
      </c>
      <c r="G454" t="n">
        <v>8.5</v>
      </c>
      <c r="H454" t="n">
        <v>0</v>
      </c>
      <c r="I454" t="n">
        <v>0</v>
      </c>
      <c r="J454" t="n">
        <v>0</v>
      </c>
      <c r="K454" t="n">
        <v>0</v>
      </c>
      <c r="L454" t="n">
        <v>0</v>
      </c>
      <c r="M454" t="n">
        <v>0</v>
      </c>
      <c r="N454" t="n">
        <v>0</v>
      </c>
      <c r="O454" t="n">
        <v>0</v>
      </c>
      <c r="P454" t="n">
        <v>0</v>
      </c>
      <c r="Q454" t="n">
        <v>0</v>
      </c>
      <c r="R454" s="2" t="inlineStr"/>
    </row>
    <row r="455" ht="15" customHeight="1">
      <c r="A455" t="inlineStr">
        <is>
          <t>A 12287-2023</t>
        </is>
      </c>
      <c r="B455" s="1" t="n">
        <v>44998.72736111111</v>
      </c>
      <c r="C455" s="1" t="n">
        <v>46129</v>
      </c>
      <c r="D455" t="inlineStr">
        <is>
          <t>JÄMTLANDS LÄN</t>
        </is>
      </c>
      <c r="E455" t="inlineStr">
        <is>
          <t>ÅRE</t>
        </is>
      </c>
      <c r="G455" t="n">
        <v>3.1</v>
      </c>
      <c r="H455" t="n">
        <v>0</v>
      </c>
      <c r="I455" t="n">
        <v>0</v>
      </c>
      <c r="J455" t="n">
        <v>0</v>
      </c>
      <c r="K455" t="n">
        <v>0</v>
      </c>
      <c r="L455" t="n">
        <v>0</v>
      </c>
      <c r="M455" t="n">
        <v>0</v>
      </c>
      <c r="N455" t="n">
        <v>0</v>
      </c>
      <c r="O455" t="n">
        <v>0</v>
      </c>
      <c r="P455" t="n">
        <v>0</v>
      </c>
      <c r="Q455" t="n">
        <v>0</v>
      </c>
      <c r="R455" s="2" t="inlineStr"/>
    </row>
    <row r="456" ht="15" customHeight="1">
      <c r="A456" t="inlineStr">
        <is>
          <t>A 63863-2025</t>
        </is>
      </c>
      <c r="B456" s="1" t="n">
        <v>46020.49924768518</v>
      </c>
      <c r="C456" s="1" t="n">
        <v>46129</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5611-2025</t>
        </is>
      </c>
      <c r="B457" s="1" t="n">
        <v>45693.60480324074</v>
      </c>
      <c r="C457" s="1" t="n">
        <v>46129</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56976-2023</t>
        </is>
      </c>
      <c r="B458" s="1" t="n">
        <v>45244.64202546296</v>
      </c>
      <c r="C458" s="1" t="n">
        <v>46129</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20170-2025</t>
        </is>
      </c>
      <c r="B459" s="1" t="n">
        <v>45772.57789351852</v>
      </c>
      <c r="C459" s="1" t="n">
        <v>46129</v>
      </c>
      <c r="D459" t="inlineStr">
        <is>
          <t>JÄMTLANDS LÄN</t>
        </is>
      </c>
      <c r="E459" t="inlineStr">
        <is>
          <t>ÅRE</t>
        </is>
      </c>
      <c r="G459" t="n">
        <v>0.1</v>
      </c>
      <c r="H459" t="n">
        <v>0</v>
      </c>
      <c r="I459" t="n">
        <v>0</v>
      </c>
      <c r="J459" t="n">
        <v>0</v>
      </c>
      <c r="K459" t="n">
        <v>0</v>
      </c>
      <c r="L459" t="n">
        <v>0</v>
      </c>
      <c r="M459" t="n">
        <v>0</v>
      </c>
      <c r="N459" t="n">
        <v>0</v>
      </c>
      <c r="O459" t="n">
        <v>0</v>
      </c>
      <c r="P459" t="n">
        <v>0</v>
      </c>
      <c r="Q459" t="n">
        <v>0</v>
      </c>
      <c r="R459" s="2" t="inlineStr"/>
    </row>
    <row r="460" ht="15" customHeight="1">
      <c r="A460" t="inlineStr">
        <is>
          <t>A 9224-2026</t>
        </is>
      </c>
      <c r="B460" s="1" t="n">
        <v>46070.44868055556</v>
      </c>
      <c r="C460" s="1" t="n">
        <v>46129</v>
      </c>
      <c r="D460" t="inlineStr">
        <is>
          <t>JÄMTLANDS LÄN</t>
        </is>
      </c>
      <c r="E460" t="inlineStr">
        <is>
          <t>ÅRE</t>
        </is>
      </c>
      <c r="G460" t="n">
        <v>0.9</v>
      </c>
      <c r="H460" t="n">
        <v>0</v>
      </c>
      <c r="I460" t="n">
        <v>0</v>
      </c>
      <c r="J460" t="n">
        <v>0</v>
      </c>
      <c r="K460" t="n">
        <v>0</v>
      </c>
      <c r="L460" t="n">
        <v>0</v>
      </c>
      <c r="M460" t="n">
        <v>0</v>
      </c>
      <c r="N460" t="n">
        <v>0</v>
      </c>
      <c r="O460" t="n">
        <v>0</v>
      </c>
      <c r="P460" t="n">
        <v>0</v>
      </c>
      <c r="Q460" t="n">
        <v>0</v>
      </c>
      <c r="R460" s="2" t="inlineStr"/>
    </row>
    <row r="461" ht="15" customHeight="1">
      <c r="A461" t="inlineStr">
        <is>
          <t>A 25275-2025</t>
        </is>
      </c>
      <c r="B461" s="1" t="n">
        <v>45800</v>
      </c>
      <c r="C461" s="1" t="n">
        <v>46129</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500-2026</t>
        </is>
      </c>
      <c r="B462" s="1" t="n">
        <v>46029.43557870371</v>
      </c>
      <c r="C462" s="1" t="n">
        <v>46129</v>
      </c>
      <c r="D462" t="inlineStr">
        <is>
          <t>JÄMTLANDS LÄN</t>
        </is>
      </c>
      <c r="E462" t="inlineStr">
        <is>
          <t>ÅRE</t>
        </is>
      </c>
      <c r="F462" t="inlineStr">
        <is>
          <t>Övriga Aktiebolag</t>
        </is>
      </c>
      <c r="G462" t="n">
        <v>8.5</v>
      </c>
      <c r="H462" t="n">
        <v>0</v>
      </c>
      <c r="I462" t="n">
        <v>0</v>
      </c>
      <c r="J462" t="n">
        <v>0</v>
      </c>
      <c r="K462" t="n">
        <v>0</v>
      </c>
      <c r="L462" t="n">
        <v>0</v>
      </c>
      <c r="M462" t="n">
        <v>0</v>
      </c>
      <c r="N462" t="n">
        <v>0</v>
      </c>
      <c r="O462" t="n">
        <v>0</v>
      </c>
      <c r="P462" t="n">
        <v>0</v>
      </c>
      <c r="Q462" t="n">
        <v>0</v>
      </c>
      <c r="R462" s="2" t="inlineStr"/>
    </row>
    <row r="463" ht="15" customHeight="1">
      <c r="A463" t="inlineStr">
        <is>
          <t>A 9212-2026</t>
        </is>
      </c>
      <c r="B463" s="1" t="n">
        <v>46070.43201388889</v>
      </c>
      <c r="C463" s="1" t="n">
        <v>46129</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9326-2026</t>
        </is>
      </c>
      <c r="B464" s="1" t="n">
        <v>46070.6487037037</v>
      </c>
      <c r="C464" s="1" t="n">
        <v>46129</v>
      </c>
      <c r="D464" t="inlineStr">
        <is>
          <t>JÄMTLANDS LÄN</t>
        </is>
      </c>
      <c r="E464" t="inlineStr">
        <is>
          <t>ÅRE</t>
        </is>
      </c>
      <c r="F464" t="inlineStr">
        <is>
          <t>Övriga Aktiebolag</t>
        </is>
      </c>
      <c r="G464" t="n">
        <v>14.2</v>
      </c>
      <c r="H464" t="n">
        <v>0</v>
      </c>
      <c r="I464" t="n">
        <v>0</v>
      </c>
      <c r="J464" t="n">
        <v>0</v>
      </c>
      <c r="K464" t="n">
        <v>0</v>
      </c>
      <c r="L464" t="n">
        <v>0</v>
      </c>
      <c r="M464" t="n">
        <v>0</v>
      </c>
      <c r="N464" t="n">
        <v>0</v>
      </c>
      <c r="O464" t="n">
        <v>0</v>
      </c>
      <c r="P464" t="n">
        <v>0</v>
      </c>
      <c r="Q464" t="n">
        <v>0</v>
      </c>
      <c r="R464" s="2" t="inlineStr"/>
    </row>
    <row r="465" ht="15" customHeight="1">
      <c r="A465" t="inlineStr">
        <is>
          <t>A 13370-2024</t>
        </is>
      </c>
      <c r="B465" s="1" t="n">
        <v>45387</v>
      </c>
      <c r="C465" s="1" t="n">
        <v>46129</v>
      </c>
      <c r="D465" t="inlineStr">
        <is>
          <t>JÄMTLANDS LÄN</t>
        </is>
      </c>
      <c r="E465" t="inlineStr">
        <is>
          <t>ÅRE</t>
        </is>
      </c>
      <c r="G465" t="n">
        <v>8.5</v>
      </c>
      <c r="H465" t="n">
        <v>0</v>
      </c>
      <c r="I465" t="n">
        <v>0</v>
      </c>
      <c r="J465" t="n">
        <v>0</v>
      </c>
      <c r="K465" t="n">
        <v>0</v>
      </c>
      <c r="L465" t="n">
        <v>0</v>
      </c>
      <c r="M465" t="n">
        <v>0</v>
      </c>
      <c r="N465" t="n">
        <v>0</v>
      </c>
      <c r="O465" t="n">
        <v>0</v>
      </c>
      <c r="P465" t="n">
        <v>0</v>
      </c>
      <c r="Q465" t="n">
        <v>0</v>
      </c>
      <c r="R465" s="2" t="inlineStr"/>
    </row>
    <row r="466" ht="15" customHeight="1">
      <c r="A466" t="inlineStr">
        <is>
          <t>A 9219-2026</t>
        </is>
      </c>
      <c r="B466" s="1" t="n">
        <v>46070.4453125</v>
      </c>
      <c r="C466" s="1" t="n">
        <v>46129</v>
      </c>
      <c r="D466" t="inlineStr">
        <is>
          <t>JÄMTLANDS LÄN</t>
        </is>
      </c>
      <c r="E466" t="inlineStr">
        <is>
          <t>ÅRE</t>
        </is>
      </c>
      <c r="G466" t="n">
        <v>12.4</v>
      </c>
      <c r="H466" t="n">
        <v>0</v>
      </c>
      <c r="I466" t="n">
        <v>0</v>
      </c>
      <c r="J466" t="n">
        <v>0</v>
      </c>
      <c r="K466" t="n">
        <v>0</v>
      </c>
      <c r="L466" t="n">
        <v>0</v>
      </c>
      <c r="M466" t="n">
        <v>0</v>
      </c>
      <c r="N466" t="n">
        <v>0</v>
      </c>
      <c r="O466" t="n">
        <v>0</v>
      </c>
      <c r="P466" t="n">
        <v>0</v>
      </c>
      <c r="Q466" t="n">
        <v>0</v>
      </c>
      <c r="R466" s="2" t="inlineStr"/>
    </row>
    <row r="467" ht="15" customHeight="1">
      <c r="A467" t="inlineStr">
        <is>
          <t>A 55033-2024</t>
        </is>
      </c>
      <c r="B467" s="1" t="n">
        <v>45621.38193287037</v>
      </c>
      <c r="C467" s="1" t="n">
        <v>46129</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46129</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911-2022</t>
        </is>
      </c>
      <c r="B469" s="1" t="n">
        <v>44570</v>
      </c>
      <c r="C469" s="1" t="n">
        <v>46129</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17576-2024</t>
        </is>
      </c>
      <c r="B470" s="1" t="n">
        <v>45415</v>
      </c>
      <c r="C470" s="1" t="n">
        <v>46129</v>
      </c>
      <c r="D470" t="inlineStr">
        <is>
          <t>JÄMTLANDS LÄN</t>
        </is>
      </c>
      <c r="E470" t="inlineStr">
        <is>
          <t>ÅRE</t>
        </is>
      </c>
      <c r="G470" t="n">
        <v>0.1</v>
      </c>
      <c r="H470" t="n">
        <v>0</v>
      </c>
      <c r="I470" t="n">
        <v>0</v>
      </c>
      <c r="J470" t="n">
        <v>0</v>
      </c>
      <c r="K470" t="n">
        <v>0</v>
      </c>
      <c r="L470" t="n">
        <v>0</v>
      </c>
      <c r="M470" t="n">
        <v>0</v>
      </c>
      <c r="N470" t="n">
        <v>0</v>
      </c>
      <c r="O470" t="n">
        <v>0</v>
      </c>
      <c r="P470" t="n">
        <v>0</v>
      </c>
      <c r="Q470" t="n">
        <v>0</v>
      </c>
      <c r="R470" s="2" t="inlineStr"/>
    </row>
    <row r="471" ht="15" customHeight="1">
      <c r="A471" t="inlineStr">
        <is>
          <t>A 1603-2026</t>
        </is>
      </c>
      <c r="B471" s="1" t="n">
        <v>46034.45974537037</v>
      </c>
      <c r="C471" s="1" t="n">
        <v>46129</v>
      </c>
      <c r="D471" t="inlineStr">
        <is>
          <t>JÄMTLANDS LÄN</t>
        </is>
      </c>
      <c r="E471" t="inlineStr">
        <is>
          <t>ÅRE</t>
        </is>
      </c>
      <c r="G471" t="n">
        <v>3.3</v>
      </c>
      <c r="H471" t="n">
        <v>0</v>
      </c>
      <c r="I471" t="n">
        <v>0</v>
      </c>
      <c r="J471" t="n">
        <v>0</v>
      </c>
      <c r="K471" t="n">
        <v>0</v>
      </c>
      <c r="L471" t="n">
        <v>0</v>
      </c>
      <c r="M471" t="n">
        <v>0</v>
      </c>
      <c r="N471" t="n">
        <v>0</v>
      </c>
      <c r="O471" t="n">
        <v>0</v>
      </c>
      <c r="P471" t="n">
        <v>0</v>
      </c>
      <c r="Q471" t="n">
        <v>0</v>
      </c>
      <c r="R471" s="2" t="inlineStr"/>
    </row>
    <row r="472" ht="15" customHeight="1">
      <c r="A472" t="inlineStr">
        <is>
          <t>A 45105-2024</t>
        </is>
      </c>
      <c r="B472" s="1" t="n">
        <v>45575.5909837963</v>
      </c>
      <c r="C472" s="1" t="n">
        <v>46129</v>
      </c>
      <c r="D472" t="inlineStr">
        <is>
          <t>JÄMTLANDS LÄN</t>
        </is>
      </c>
      <c r="E472" t="inlineStr">
        <is>
          <t>ÅRE</t>
        </is>
      </c>
      <c r="F472" t="inlineStr">
        <is>
          <t>Övriga Aktiebolag</t>
        </is>
      </c>
      <c r="G472" t="n">
        <v>5</v>
      </c>
      <c r="H472" t="n">
        <v>0</v>
      </c>
      <c r="I472" t="n">
        <v>0</v>
      </c>
      <c r="J472" t="n">
        <v>0</v>
      </c>
      <c r="K472" t="n">
        <v>0</v>
      </c>
      <c r="L472" t="n">
        <v>0</v>
      </c>
      <c r="M472" t="n">
        <v>0</v>
      </c>
      <c r="N472" t="n">
        <v>0</v>
      </c>
      <c r="O472" t="n">
        <v>0</v>
      </c>
      <c r="P472" t="n">
        <v>0</v>
      </c>
      <c r="Q472" t="n">
        <v>0</v>
      </c>
      <c r="R472" s="2" t="inlineStr"/>
    </row>
    <row r="473" ht="15" customHeight="1">
      <c r="A473" t="inlineStr">
        <is>
          <t>A 34231-2023</t>
        </is>
      </c>
      <c r="B473" s="1" t="n">
        <v>45127</v>
      </c>
      <c r="C473" s="1" t="n">
        <v>46129</v>
      </c>
      <c r="D473" t="inlineStr">
        <is>
          <t>JÄMTLANDS LÄN</t>
        </is>
      </c>
      <c r="E473" t="inlineStr">
        <is>
          <t>ÅRE</t>
        </is>
      </c>
      <c r="G473" t="n">
        <v>18.3</v>
      </c>
      <c r="H473" t="n">
        <v>0</v>
      </c>
      <c r="I473" t="n">
        <v>0</v>
      </c>
      <c r="J473" t="n">
        <v>0</v>
      </c>
      <c r="K473" t="n">
        <v>0</v>
      </c>
      <c r="L473" t="n">
        <v>0</v>
      </c>
      <c r="M473" t="n">
        <v>0</v>
      </c>
      <c r="N473" t="n">
        <v>0</v>
      </c>
      <c r="O473" t="n">
        <v>0</v>
      </c>
      <c r="P473" t="n">
        <v>0</v>
      </c>
      <c r="Q473" t="n">
        <v>0</v>
      </c>
      <c r="R473" s="2" t="inlineStr"/>
    </row>
    <row r="474" ht="15" customHeight="1">
      <c r="A474" t="inlineStr">
        <is>
          <t>A 2105-2026</t>
        </is>
      </c>
      <c r="B474" s="1" t="n">
        <v>46036.3758912037</v>
      </c>
      <c r="C474" s="1" t="n">
        <v>46129</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10567-2025</t>
        </is>
      </c>
      <c r="B475" s="1" t="n">
        <v>45714</v>
      </c>
      <c r="C475" s="1" t="n">
        <v>46129</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59968-2023</t>
        </is>
      </c>
      <c r="B476" s="1" t="n">
        <v>45254</v>
      </c>
      <c r="C476" s="1" t="n">
        <v>46129</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41266-2024</t>
        </is>
      </c>
      <c r="B477" s="1" t="n">
        <v>45559</v>
      </c>
      <c r="C477" s="1" t="n">
        <v>46129</v>
      </c>
      <c r="D477" t="inlineStr">
        <is>
          <t>JÄMTLANDS LÄN</t>
        </is>
      </c>
      <c r="E477" t="inlineStr">
        <is>
          <t>ÅRE</t>
        </is>
      </c>
      <c r="G477" t="n">
        <v>1</v>
      </c>
      <c r="H477" t="n">
        <v>0</v>
      </c>
      <c r="I477" t="n">
        <v>0</v>
      </c>
      <c r="J477" t="n">
        <v>0</v>
      </c>
      <c r="K477" t="n">
        <v>0</v>
      </c>
      <c r="L477" t="n">
        <v>0</v>
      </c>
      <c r="M477" t="n">
        <v>0</v>
      </c>
      <c r="N477" t="n">
        <v>0</v>
      </c>
      <c r="O477" t="n">
        <v>0</v>
      </c>
      <c r="P477" t="n">
        <v>0</v>
      </c>
      <c r="Q477" t="n">
        <v>0</v>
      </c>
      <c r="R477" s="2" t="inlineStr"/>
    </row>
    <row r="478" ht="15" customHeight="1">
      <c r="A478" t="inlineStr">
        <is>
          <t>A 12227-2023</t>
        </is>
      </c>
      <c r="B478" s="1" t="n">
        <v>44998.60261574074</v>
      </c>
      <c r="C478" s="1" t="n">
        <v>46129</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2520-2026</t>
        </is>
      </c>
      <c r="B479" s="1" t="n">
        <v>46037.42578703703</v>
      </c>
      <c r="C479" s="1" t="n">
        <v>46129</v>
      </c>
      <c r="D479" t="inlineStr">
        <is>
          <t>JÄMTLANDS LÄN</t>
        </is>
      </c>
      <c r="E479" t="inlineStr">
        <is>
          <t>ÅRE</t>
        </is>
      </c>
      <c r="G479" t="n">
        <v>3.3</v>
      </c>
      <c r="H479" t="n">
        <v>0</v>
      </c>
      <c r="I479" t="n">
        <v>0</v>
      </c>
      <c r="J479" t="n">
        <v>0</v>
      </c>
      <c r="K479" t="n">
        <v>0</v>
      </c>
      <c r="L479" t="n">
        <v>0</v>
      </c>
      <c r="M479" t="n">
        <v>0</v>
      </c>
      <c r="N479" t="n">
        <v>0</v>
      </c>
      <c r="O479" t="n">
        <v>0</v>
      </c>
      <c r="P479" t="n">
        <v>0</v>
      </c>
      <c r="Q479" t="n">
        <v>0</v>
      </c>
      <c r="R479" s="2" t="inlineStr"/>
    </row>
    <row r="480" ht="15" customHeight="1">
      <c r="A480" t="inlineStr">
        <is>
          <t>A 64245-2021</t>
        </is>
      </c>
      <c r="B480" s="1" t="n">
        <v>44510</v>
      </c>
      <c r="C480" s="1" t="n">
        <v>46129</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3018-2026</t>
        </is>
      </c>
      <c r="B481" s="1" t="n">
        <v>46038.66943287037</v>
      </c>
      <c r="C481" s="1" t="n">
        <v>46129</v>
      </c>
      <c r="D481" t="inlineStr">
        <is>
          <t>JÄMTLANDS LÄN</t>
        </is>
      </c>
      <c r="E481" t="inlineStr">
        <is>
          <t>ÅRE</t>
        </is>
      </c>
      <c r="G481" t="n">
        <v>4.8</v>
      </c>
      <c r="H481" t="n">
        <v>0</v>
      </c>
      <c r="I481" t="n">
        <v>0</v>
      </c>
      <c r="J481" t="n">
        <v>0</v>
      </c>
      <c r="K481" t="n">
        <v>0</v>
      </c>
      <c r="L481" t="n">
        <v>0</v>
      </c>
      <c r="M481" t="n">
        <v>0</v>
      </c>
      <c r="N481" t="n">
        <v>0</v>
      </c>
      <c r="O481" t="n">
        <v>0</v>
      </c>
      <c r="P481" t="n">
        <v>0</v>
      </c>
      <c r="Q481" t="n">
        <v>0</v>
      </c>
      <c r="R481" s="2" t="inlineStr"/>
    </row>
    <row r="482" ht="15" customHeight="1">
      <c r="A482" t="inlineStr">
        <is>
          <t>A 54247-2024</t>
        </is>
      </c>
      <c r="B482" s="1" t="n">
        <v>45616</v>
      </c>
      <c r="C482" s="1" t="n">
        <v>46129</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58889-2022</t>
        </is>
      </c>
      <c r="B483" s="1" t="n">
        <v>44896</v>
      </c>
      <c r="C483" s="1" t="n">
        <v>46129</v>
      </c>
      <c r="D483" t="inlineStr">
        <is>
          <t>JÄMTLANDS LÄN</t>
        </is>
      </c>
      <c r="E483" t="inlineStr">
        <is>
          <t>ÅRE</t>
        </is>
      </c>
      <c r="G483" t="n">
        <v>6.9</v>
      </c>
      <c r="H483" t="n">
        <v>0</v>
      </c>
      <c r="I483" t="n">
        <v>0</v>
      </c>
      <c r="J483" t="n">
        <v>0</v>
      </c>
      <c r="K483" t="n">
        <v>0</v>
      </c>
      <c r="L483" t="n">
        <v>0</v>
      </c>
      <c r="M483" t="n">
        <v>0</v>
      </c>
      <c r="N483" t="n">
        <v>0</v>
      </c>
      <c r="O483" t="n">
        <v>0</v>
      </c>
      <c r="P483" t="n">
        <v>0</v>
      </c>
      <c r="Q483" t="n">
        <v>0</v>
      </c>
      <c r="R483" s="2" t="inlineStr"/>
    </row>
    <row r="484" ht="15" customHeight="1">
      <c r="A484" t="inlineStr">
        <is>
          <t>A 3394-2026</t>
        </is>
      </c>
      <c r="B484" s="1" t="n">
        <v>46042.37641203704</v>
      </c>
      <c r="C484" s="1" t="n">
        <v>46129</v>
      </c>
      <c r="D484" t="inlineStr">
        <is>
          <t>JÄMTLANDS LÄN</t>
        </is>
      </c>
      <c r="E484" t="inlineStr">
        <is>
          <t>ÅRE</t>
        </is>
      </c>
      <c r="F484" t="inlineStr">
        <is>
          <t>Övriga Aktiebolag</t>
        </is>
      </c>
      <c r="G484" t="n">
        <v>11.2</v>
      </c>
      <c r="H484" t="n">
        <v>0</v>
      </c>
      <c r="I484" t="n">
        <v>0</v>
      </c>
      <c r="J484" t="n">
        <v>0</v>
      </c>
      <c r="K484" t="n">
        <v>0</v>
      </c>
      <c r="L484" t="n">
        <v>0</v>
      </c>
      <c r="M484" t="n">
        <v>0</v>
      </c>
      <c r="N484" t="n">
        <v>0</v>
      </c>
      <c r="O484" t="n">
        <v>0</v>
      </c>
      <c r="P484" t="n">
        <v>0</v>
      </c>
      <c r="Q484" t="n">
        <v>0</v>
      </c>
      <c r="R484" s="2" t="inlineStr"/>
    </row>
    <row r="485" ht="15" customHeight="1">
      <c r="A485" t="inlineStr">
        <is>
          <t>A 15692-2025</t>
        </is>
      </c>
      <c r="B485" s="1" t="n">
        <v>45748</v>
      </c>
      <c r="C485" s="1" t="n">
        <v>46129</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45113-2024</t>
        </is>
      </c>
      <c r="B486" s="1" t="n">
        <v>45575.59709490741</v>
      </c>
      <c r="C486" s="1" t="n">
        <v>46129</v>
      </c>
      <c r="D486" t="inlineStr">
        <is>
          <t>JÄMTLANDS LÄN</t>
        </is>
      </c>
      <c r="E486" t="inlineStr">
        <is>
          <t>ÅRE</t>
        </is>
      </c>
      <c r="G486" t="n">
        <v>3.7</v>
      </c>
      <c r="H486" t="n">
        <v>0</v>
      </c>
      <c r="I486" t="n">
        <v>0</v>
      </c>
      <c r="J486" t="n">
        <v>0</v>
      </c>
      <c r="K486" t="n">
        <v>0</v>
      </c>
      <c r="L486" t="n">
        <v>0</v>
      </c>
      <c r="M486" t="n">
        <v>0</v>
      </c>
      <c r="N486" t="n">
        <v>0</v>
      </c>
      <c r="O486" t="n">
        <v>0</v>
      </c>
      <c r="P486" t="n">
        <v>0</v>
      </c>
      <c r="Q486" t="n">
        <v>0</v>
      </c>
      <c r="R486" s="2" t="inlineStr"/>
    </row>
    <row r="487" ht="15" customHeight="1">
      <c r="A487" t="inlineStr">
        <is>
          <t>A 20480-2024</t>
        </is>
      </c>
      <c r="B487" s="1" t="n">
        <v>45435.71126157408</v>
      </c>
      <c r="C487" s="1" t="n">
        <v>46129</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6358-2025</t>
        </is>
      </c>
      <c r="B488" s="1" t="n">
        <v>45699.36491898148</v>
      </c>
      <c r="C488" s="1" t="n">
        <v>46129</v>
      </c>
      <c r="D488" t="inlineStr">
        <is>
          <t>JÄMTLANDS LÄN</t>
        </is>
      </c>
      <c r="E488" t="inlineStr">
        <is>
          <t>ÅRE</t>
        </is>
      </c>
      <c r="G488" t="n">
        <v>5.6</v>
      </c>
      <c r="H488" t="n">
        <v>0</v>
      </c>
      <c r="I488" t="n">
        <v>0</v>
      </c>
      <c r="J488" t="n">
        <v>0</v>
      </c>
      <c r="K488" t="n">
        <v>0</v>
      </c>
      <c r="L488" t="n">
        <v>0</v>
      </c>
      <c r="M488" t="n">
        <v>0</v>
      </c>
      <c r="N488" t="n">
        <v>0</v>
      </c>
      <c r="O488" t="n">
        <v>0</v>
      </c>
      <c r="P488" t="n">
        <v>0</v>
      </c>
      <c r="Q488" t="n">
        <v>0</v>
      </c>
      <c r="R488" s="2" t="inlineStr"/>
    </row>
    <row r="489" ht="15" customHeight="1">
      <c r="A489" t="inlineStr">
        <is>
          <t>A 27946-2021</t>
        </is>
      </c>
      <c r="B489" s="1" t="n">
        <v>44354</v>
      </c>
      <c r="C489" s="1" t="n">
        <v>46129</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37734-2023</t>
        </is>
      </c>
      <c r="B490" s="1" t="n">
        <v>45159.61971064815</v>
      </c>
      <c r="C490" s="1" t="n">
        <v>46129</v>
      </c>
      <c r="D490" t="inlineStr">
        <is>
          <t>JÄMTLANDS LÄN</t>
        </is>
      </c>
      <c r="E490" t="inlineStr">
        <is>
          <t>ÅRE</t>
        </is>
      </c>
      <c r="G490" t="n">
        <v>3.4</v>
      </c>
      <c r="H490" t="n">
        <v>0</v>
      </c>
      <c r="I490" t="n">
        <v>0</v>
      </c>
      <c r="J490" t="n">
        <v>0</v>
      </c>
      <c r="K490" t="n">
        <v>0</v>
      </c>
      <c r="L490" t="n">
        <v>0</v>
      </c>
      <c r="M490" t="n">
        <v>0</v>
      </c>
      <c r="N490" t="n">
        <v>0</v>
      </c>
      <c r="O490" t="n">
        <v>0</v>
      </c>
      <c r="P490" t="n">
        <v>0</v>
      </c>
      <c r="Q490" t="n">
        <v>0</v>
      </c>
      <c r="R490" s="2" t="inlineStr"/>
    </row>
    <row r="491" ht="15" customHeight="1">
      <c r="A491" t="inlineStr">
        <is>
          <t>A 37739-2023</t>
        </is>
      </c>
      <c r="B491" s="1" t="n">
        <v>45159</v>
      </c>
      <c r="C491" s="1" t="n">
        <v>46129</v>
      </c>
      <c r="D491" t="inlineStr">
        <is>
          <t>JÄMTLANDS LÄN</t>
        </is>
      </c>
      <c r="E491" t="inlineStr">
        <is>
          <t>ÅRE</t>
        </is>
      </c>
      <c r="G491" t="n">
        <v>1.1</v>
      </c>
      <c r="H491" t="n">
        <v>0</v>
      </c>
      <c r="I491" t="n">
        <v>0</v>
      </c>
      <c r="J491" t="n">
        <v>0</v>
      </c>
      <c r="K491" t="n">
        <v>0</v>
      </c>
      <c r="L491" t="n">
        <v>0</v>
      </c>
      <c r="M491" t="n">
        <v>0</v>
      </c>
      <c r="N491" t="n">
        <v>0</v>
      </c>
      <c r="O491" t="n">
        <v>0</v>
      </c>
      <c r="P491" t="n">
        <v>0</v>
      </c>
      <c r="Q491" t="n">
        <v>0</v>
      </c>
      <c r="R491" s="2" t="inlineStr"/>
    </row>
    <row r="492" ht="15" customHeight="1">
      <c r="A492" t="inlineStr">
        <is>
          <t>A 11500-2022</t>
        </is>
      </c>
      <c r="B492" s="1" t="n">
        <v>44631</v>
      </c>
      <c r="C492" s="1" t="n">
        <v>46129</v>
      </c>
      <c r="D492" t="inlineStr">
        <is>
          <t>JÄMTLANDS LÄN</t>
        </is>
      </c>
      <c r="E492" t="inlineStr">
        <is>
          <t>ÅRE</t>
        </is>
      </c>
      <c r="G492" t="n">
        <v>0.5</v>
      </c>
      <c r="H492" t="n">
        <v>0</v>
      </c>
      <c r="I492" t="n">
        <v>0</v>
      </c>
      <c r="J492" t="n">
        <v>0</v>
      </c>
      <c r="K492" t="n">
        <v>0</v>
      </c>
      <c r="L492" t="n">
        <v>0</v>
      </c>
      <c r="M492" t="n">
        <v>0</v>
      </c>
      <c r="N492" t="n">
        <v>0</v>
      </c>
      <c r="O492" t="n">
        <v>0</v>
      </c>
      <c r="P492" t="n">
        <v>0</v>
      </c>
      <c r="Q492" t="n">
        <v>0</v>
      </c>
      <c r="R492" s="2" t="inlineStr"/>
    </row>
    <row r="493" ht="15" customHeight="1">
      <c r="A493" t="inlineStr">
        <is>
          <t>A 8798-2025</t>
        </is>
      </c>
      <c r="B493" s="1" t="n">
        <v>45712</v>
      </c>
      <c r="C493" s="1" t="n">
        <v>46129</v>
      </c>
      <c r="D493" t="inlineStr">
        <is>
          <t>JÄMTLANDS LÄN</t>
        </is>
      </c>
      <c r="E493" t="inlineStr">
        <is>
          <t>ÅRE</t>
        </is>
      </c>
      <c r="G493" t="n">
        <v>1.6</v>
      </c>
      <c r="H493" t="n">
        <v>0</v>
      </c>
      <c r="I493" t="n">
        <v>0</v>
      </c>
      <c r="J493" t="n">
        <v>0</v>
      </c>
      <c r="K493" t="n">
        <v>0</v>
      </c>
      <c r="L493" t="n">
        <v>0</v>
      </c>
      <c r="M493" t="n">
        <v>0</v>
      </c>
      <c r="N493" t="n">
        <v>0</v>
      </c>
      <c r="O493" t="n">
        <v>0</v>
      </c>
      <c r="P493" t="n">
        <v>0</v>
      </c>
      <c r="Q493" t="n">
        <v>0</v>
      </c>
      <c r="R493" s="2" t="inlineStr"/>
    </row>
    <row r="494" ht="15" customHeight="1">
      <c r="A494" t="inlineStr">
        <is>
          <t>A 4218-2025</t>
        </is>
      </c>
      <c r="B494" s="1" t="n">
        <v>45685</v>
      </c>
      <c r="C494" s="1" t="n">
        <v>46129</v>
      </c>
      <c r="D494" t="inlineStr">
        <is>
          <t>JÄMTLANDS LÄN</t>
        </is>
      </c>
      <c r="E494" t="inlineStr">
        <is>
          <t>ÅRE</t>
        </is>
      </c>
      <c r="F494" t="inlineStr">
        <is>
          <t>Övriga Aktiebolag</t>
        </is>
      </c>
      <c r="G494" t="n">
        <v>10.1</v>
      </c>
      <c r="H494" t="n">
        <v>0</v>
      </c>
      <c r="I494" t="n">
        <v>0</v>
      </c>
      <c r="J494" t="n">
        <v>0</v>
      </c>
      <c r="K494" t="n">
        <v>0</v>
      </c>
      <c r="L494" t="n">
        <v>0</v>
      </c>
      <c r="M494" t="n">
        <v>0</v>
      </c>
      <c r="N494" t="n">
        <v>0</v>
      </c>
      <c r="O494" t="n">
        <v>0</v>
      </c>
      <c r="P494" t="n">
        <v>0</v>
      </c>
      <c r="Q494" t="n">
        <v>0</v>
      </c>
      <c r="R494" s="2" t="inlineStr"/>
    </row>
    <row r="495" ht="15" customHeight="1">
      <c r="A495" t="inlineStr">
        <is>
          <t>A 4905-2026</t>
        </is>
      </c>
      <c r="B495" s="1" t="n">
        <v>46048</v>
      </c>
      <c r="C495" s="1" t="n">
        <v>46129</v>
      </c>
      <c r="D495" t="inlineStr">
        <is>
          <t>JÄMTLANDS LÄN</t>
        </is>
      </c>
      <c r="E495" t="inlineStr">
        <is>
          <t>ÅRE</t>
        </is>
      </c>
      <c r="F495" t="inlineStr">
        <is>
          <t>Övriga Aktiebolag</t>
        </is>
      </c>
      <c r="G495" t="n">
        <v>0.6</v>
      </c>
      <c r="H495" t="n">
        <v>0</v>
      </c>
      <c r="I495" t="n">
        <v>0</v>
      </c>
      <c r="J495" t="n">
        <v>0</v>
      </c>
      <c r="K495" t="n">
        <v>0</v>
      </c>
      <c r="L495" t="n">
        <v>0</v>
      </c>
      <c r="M495" t="n">
        <v>0</v>
      </c>
      <c r="N495" t="n">
        <v>0</v>
      </c>
      <c r="O495" t="n">
        <v>0</v>
      </c>
      <c r="P495" t="n">
        <v>0</v>
      </c>
      <c r="Q495" t="n">
        <v>0</v>
      </c>
      <c r="R495" s="2" t="inlineStr"/>
    </row>
    <row r="496" ht="15" customHeight="1">
      <c r="A496" t="inlineStr">
        <is>
          <t>A 278-2023</t>
        </is>
      </c>
      <c r="B496" s="1" t="n">
        <v>44928</v>
      </c>
      <c r="C496" s="1" t="n">
        <v>46129</v>
      </c>
      <c r="D496" t="inlineStr">
        <is>
          <t>JÄMTLANDS LÄN</t>
        </is>
      </c>
      <c r="E496" t="inlineStr">
        <is>
          <t>ÅRE</t>
        </is>
      </c>
      <c r="G496" t="n">
        <v>2.4</v>
      </c>
      <c r="H496" t="n">
        <v>0</v>
      </c>
      <c r="I496" t="n">
        <v>0</v>
      </c>
      <c r="J496" t="n">
        <v>0</v>
      </c>
      <c r="K496" t="n">
        <v>0</v>
      </c>
      <c r="L496" t="n">
        <v>0</v>
      </c>
      <c r="M496" t="n">
        <v>0</v>
      </c>
      <c r="N496" t="n">
        <v>0</v>
      </c>
      <c r="O496" t="n">
        <v>0</v>
      </c>
      <c r="P496" t="n">
        <v>0</v>
      </c>
      <c r="Q496" t="n">
        <v>0</v>
      </c>
      <c r="R496" s="2" t="inlineStr"/>
    </row>
    <row r="497" ht="15" customHeight="1">
      <c r="A497" t="inlineStr">
        <is>
          <t>A 3066-2023</t>
        </is>
      </c>
      <c r="B497" s="1" t="n">
        <v>44946</v>
      </c>
      <c r="C497" s="1" t="n">
        <v>46129</v>
      </c>
      <c r="D497" t="inlineStr">
        <is>
          <t>JÄMTLANDS LÄN</t>
        </is>
      </c>
      <c r="E497" t="inlineStr">
        <is>
          <t>ÅRE</t>
        </is>
      </c>
      <c r="G497" t="n">
        <v>1.3</v>
      </c>
      <c r="H497" t="n">
        <v>0</v>
      </c>
      <c r="I497" t="n">
        <v>0</v>
      </c>
      <c r="J497" t="n">
        <v>0</v>
      </c>
      <c r="K497" t="n">
        <v>0</v>
      </c>
      <c r="L497" t="n">
        <v>0</v>
      </c>
      <c r="M497" t="n">
        <v>0</v>
      </c>
      <c r="N497" t="n">
        <v>0</v>
      </c>
      <c r="O497" t="n">
        <v>0</v>
      </c>
      <c r="P497" t="n">
        <v>0</v>
      </c>
      <c r="Q497" t="n">
        <v>0</v>
      </c>
      <c r="R497" s="2" t="inlineStr"/>
    </row>
    <row r="498" ht="15" customHeight="1">
      <c r="A498" t="inlineStr">
        <is>
          <t>A 54907-2023</t>
        </is>
      </c>
      <c r="B498" s="1" t="n">
        <v>45236.65784722222</v>
      </c>
      <c r="C498" s="1" t="n">
        <v>46129</v>
      </c>
      <c r="D498" t="inlineStr">
        <is>
          <t>JÄMTLANDS LÄN</t>
        </is>
      </c>
      <c r="E498" t="inlineStr">
        <is>
          <t>ÅRE</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41688-2024</t>
        </is>
      </c>
      <c r="B499" s="1" t="n">
        <v>45560.67542824074</v>
      </c>
      <c r="C499" s="1" t="n">
        <v>46129</v>
      </c>
      <c r="D499" t="inlineStr">
        <is>
          <t>JÄMTLANDS LÄN</t>
        </is>
      </c>
      <c r="E499" t="inlineStr">
        <is>
          <t>ÅRE</t>
        </is>
      </c>
      <c r="G499" t="n">
        <v>0.8</v>
      </c>
      <c r="H499" t="n">
        <v>0</v>
      </c>
      <c r="I499" t="n">
        <v>0</v>
      </c>
      <c r="J499" t="n">
        <v>0</v>
      </c>
      <c r="K499" t="n">
        <v>0</v>
      </c>
      <c r="L499" t="n">
        <v>0</v>
      </c>
      <c r="M499" t="n">
        <v>0</v>
      </c>
      <c r="N499" t="n">
        <v>0</v>
      </c>
      <c r="O499" t="n">
        <v>0</v>
      </c>
      <c r="P499" t="n">
        <v>0</v>
      </c>
      <c r="Q499" t="n">
        <v>0</v>
      </c>
      <c r="R499" s="2" t="inlineStr"/>
    </row>
    <row r="500" ht="15" customHeight="1">
      <c r="A500" t="inlineStr">
        <is>
          <t>A 61815-2021</t>
        </is>
      </c>
      <c r="B500" s="1" t="n">
        <v>44498</v>
      </c>
      <c r="C500" s="1" t="n">
        <v>46129</v>
      </c>
      <c r="D500" t="inlineStr">
        <is>
          <t>JÄMTLANDS LÄN</t>
        </is>
      </c>
      <c r="E500" t="inlineStr">
        <is>
          <t>ÅRE</t>
        </is>
      </c>
      <c r="G500" t="n">
        <v>7.4</v>
      </c>
      <c r="H500" t="n">
        <v>0</v>
      </c>
      <c r="I500" t="n">
        <v>0</v>
      </c>
      <c r="J500" t="n">
        <v>0</v>
      </c>
      <c r="K500" t="n">
        <v>0</v>
      </c>
      <c r="L500" t="n">
        <v>0</v>
      </c>
      <c r="M500" t="n">
        <v>0</v>
      </c>
      <c r="N500" t="n">
        <v>0</v>
      </c>
      <c r="O500" t="n">
        <v>0</v>
      </c>
      <c r="P500" t="n">
        <v>0</v>
      </c>
      <c r="Q500" t="n">
        <v>0</v>
      </c>
      <c r="R500" s="2" t="inlineStr"/>
    </row>
    <row r="501" ht="15" customHeight="1">
      <c r="A501" t="inlineStr">
        <is>
          <t>A 5410-2026</t>
        </is>
      </c>
      <c r="B501" s="1" t="n">
        <v>46050</v>
      </c>
      <c r="C501" s="1" t="n">
        <v>46129</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13033-2024</t>
        </is>
      </c>
      <c r="B502" s="1" t="n">
        <v>45385</v>
      </c>
      <c r="C502" s="1" t="n">
        <v>46129</v>
      </c>
      <c r="D502" t="inlineStr">
        <is>
          <t>JÄMTLANDS LÄN</t>
        </is>
      </c>
      <c r="E502" t="inlineStr">
        <is>
          <t>ÅRE</t>
        </is>
      </c>
      <c r="G502" t="n">
        <v>7.3</v>
      </c>
      <c r="H502" t="n">
        <v>0</v>
      </c>
      <c r="I502" t="n">
        <v>0</v>
      </c>
      <c r="J502" t="n">
        <v>0</v>
      </c>
      <c r="K502" t="n">
        <v>0</v>
      </c>
      <c r="L502" t="n">
        <v>0</v>
      </c>
      <c r="M502" t="n">
        <v>0</v>
      </c>
      <c r="N502" t="n">
        <v>0</v>
      </c>
      <c r="O502" t="n">
        <v>0</v>
      </c>
      <c r="P502" t="n">
        <v>0</v>
      </c>
      <c r="Q502" t="n">
        <v>0</v>
      </c>
      <c r="R502" s="2" t="inlineStr"/>
    </row>
    <row r="503" ht="15" customHeight="1">
      <c r="A503" t="inlineStr">
        <is>
          <t>A 6219-2026</t>
        </is>
      </c>
      <c r="B503" s="1" t="n">
        <v>46055.43142361111</v>
      </c>
      <c r="C503" s="1" t="n">
        <v>46129</v>
      </c>
      <c r="D503" t="inlineStr">
        <is>
          <t>JÄMTLANDS LÄN</t>
        </is>
      </c>
      <c r="E503" t="inlineStr">
        <is>
          <t>ÅRE</t>
        </is>
      </c>
      <c r="G503" t="n">
        <v>3.2</v>
      </c>
      <c r="H503" t="n">
        <v>0</v>
      </c>
      <c r="I503" t="n">
        <v>0</v>
      </c>
      <c r="J503" t="n">
        <v>0</v>
      </c>
      <c r="K503" t="n">
        <v>0</v>
      </c>
      <c r="L503" t="n">
        <v>0</v>
      </c>
      <c r="M503" t="n">
        <v>0</v>
      </c>
      <c r="N503" t="n">
        <v>0</v>
      </c>
      <c r="O503" t="n">
        <v>0</v>
      </c>
      <c r="P503" t="n">
        <v>0</v>
      </c>
      <c r="Q503" t="n">
        <v>0</v>
      </c>
      <c r="R503" s="2" t="inlineStr"/>
    </row>
    <row r="504" ht="15" customHeight="1">
      <c r="A504" t="inlineStr">
        <is>
          <t>A 51500-2024</t>
        </is>
      </c>
      <c r="B504" s="1" t="n">
        <v>45604.54693287037</v>
      </c>
      <c r="C504" s="1" t="n">
        <v>46129</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61014-2024</t>
        </is>
      </c>
      <c r="B505" s="1" t="n">
        <v>45645.449375</v>
      </c>
      <c r="C505" s="1" t="n">
        <v>46129</v>
      </c>
      <c r="D505" t="inlineStr">
        <is>
          <t>JÄMTLANDS LÄN</t>
        </is>
      </c>
      <c r="E505" t="inlineStr">
        <is>
          <t>ÅRE</t>
        </is>
      </c>
      <c r="F505" t="inlineStr">
        <is>
          <t>Övriga Aktiebolag</t>
        </is>
      </c>
      <c r="G505" t="n">
        <v>4.9</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46129</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5888-2026</t>
        </is>
      </c>
      <c r="B507" s="1" t="n">
        <v>46052.41568287037</v>
      </c>
      <c r="C507" s="1" t="n">
        <v>46129</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44925-2024</t>
        </is>
      </c>
      <c r="B508" s="1" t="n">
        <v>45575.40700231482</v>
      </c>
      <c r="C508" s="1" t="n">
        <v>46129</v>
      </c>
      <c r="D508" t="inlineStr">
        <is>
          <t>JÄMTLANDS LÄN</t>
        </is>
      </c>
      <c r="E508" t="inlineStr">
        <is>
          <t>ÅRE</t>
        </is>
      </c>
      <c r="F508" t="inlineStr">
        <is>
          <t>Övriga Aktiebolag</t>
        </is>
      </c>
      <c r="G508" t="n">
        <v>22.3</v>
      </c>
      <c r="H508" t="n">
        <v>0</v>
      </c>
      <c r="I508" t="n">
        <v>0</v>
      </c>
      <c r="J508" t="n">
        <v>0</v>
      </c>
      <c r="K508" t="n">
        <v>0</v>
      </c>
      <c r="L508" t="n">
        <v>0</v>
      </c>
      <c r="M508" t="n">
        <v>0</v>
      </c>
      <c r="N508" t="n">
        <v>0</v>
      </c>
      <c r="O508" t="n">
        <v>0</v>
      </c>
      <c r="P508" t="n">
        <v>0</v>
      </c>
      <c r="Q508" t="n">
        <v>0</v>
      </c>
      <c r="R508" s="2" t="inlineStr"/>
    </row>
    <row r="509" ht="15" customHeight="1">
      <c r="A509" t="inlineStr">
        <is>
          <t>A 20160-2025</t>
        </is>
      </c>
      <c r="B509" s="1" t="n">
        <v>45772.56753472222</v>
      </c>
      <c r="C509" s="1" t="n">
        <v>46129</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44512-2023</t>
        </is>
      </c>
      <c r="B510" s="1" t="n">
        <v>45184</v>
      </c>
      <c r="C510" s="1" t="n">
        <v>46129</v>
      </c>
      <c r="D510" t="inlineStr">
        <is>
          <t>JÄMTLANDS LÄN</t>
        </is>
      </c>
      <c r="E510" t="inlineStr">
        <is>
          <t>ÅRE</t>
        </is>
      </c>
      <c r="G510" t="n">
        <v>12.5</v>
      </c>
      <c r="H510" t="n">
        <v>0</v>
      </c>
      <c r="I510" t="n">
        <v>0</v>
      </c>
      <c r="J510" t="n">
        <v>0</v>
      </c>
      <c r="K510" t="n">
        <v>0</v>
      </c>
      <c r="L510" t="n">
        <v>0</v>
      </c>
      <c r="M510" t="n">
        <v>0</v>
      </c>
      <c r="N510" t="n">
        <v>0</v>
      </c>
      <c r="O510" t="n">
        <v>0</v>
      </c>
      <c r="P510" t="n">
        <v>0</v>
      </c>
      <c r="Q510" t="n">
        <v>0</v>
      </c>
      <c r="R510" s="2" t="inlineStr"/>
    </row>
    <row r="511" ht="15" customHeight="1">
      <c r="A511" t="inlineStr">
        <is>
          <t>A 61926-2022</t>
        </is>
      </c>
      <c r="B511" s="1" t="n">
        <v>44917</v>
      </c>
      <c r="C511" s="1" t="n">
        <v>46129</v>
      </c>
      <c r="D511" t="inlineStr">
        <is>
          <t>JÄMTLANDS LÄN</t>
        </is>
      </c>
      <c r="E511" t="inlineStr">
        <is>
          <t>ÅRE</t>
        </is>
      </c>
      <c r="G511" t="n">
        <v>18</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46129</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41677-2024</t>
        </is>
      </c>
      <c r="B513" s="1" t="n">
        <v>45560.66037037037</v>
      </c>
      <c r="C513" s="1" t="n">
        <v>46129</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51444-2024</t>
        </is>
      </c>
      <c r="B514" s="1" t="n">
        <v>45604.48304398148</v>
      </c>
      <c r="C514" s="1" t="n">
        <v>46129</v>
      </c>
      <c r="D514" t="inlineStr">
        <is>
          <t>JÄMTLANDS LÄN</t>
        </is>
      </c>
      <c r="E514" t="inlineStr">
        <is>
          <t>ÅRE</t>
        </is>
      </c>
      <c r="G514" t="n">
        <v>2.2</v>
      </c>
      <c r="H514" t="n">
        <v>0</v>
      </c>
      <c r="I514" t="n">
        <v>0</v>
      </c>
      <c r="J514" t="n">
        <v>0</v>
      </c>
      <c r="K514" t="n">
        <v>0</v>
      </c>
      <c r="L514" t="n">
        <v>0</v>
      </c>
      <c r="M514" t="n">
        <v>0</v>
      </c>
      <c r="N514" t="n">
        <v>0</v>
      </c>
      <c r="O514" t="n">
        <v>0</v>
      </c>
      <c r="P514" t="n">
        <v>0</v>
      </c>
      <c r="Q514" t="n">
        <v>0</v>
      </c>
      <c r="R514" s="2" t="inlineStr"/>
    </row>
    <row r="515" ht="15" customHeight="1">
      <c r="A515" t="inlineStr">
        <is>
          <t>A 15480-2024</t>
        </is>
      </c>
      <c r="B515" s="1" t="n">
        <v>45401.49065972222</v>
      </c>
      <c r="C515" s="1" t="n">
        <v>46129</v>
      </c>
      <c r="D515" t="inlineStr">
        <is>
          <t>JÄMTLANDS LÄN</t>
        </is>
      </c>
      <c r="E515" t="inlineStr">
        <is>
          <t>ÅRE</t>
        </is>
      </c>
      <c r="G515" t="n">
        <v>11.8</v>
      </c>
      <c r="H515" t="n">
        <v>0</v>
      </c>
      <c r="I515" t="n">
        <v>0</v>
      </c>
      <c r="J515" t="n">
        <v>0</v>
      </c>
      <c r="K515" t="n">
        <v>0</v>
      </c>
      <c r="L515" t="n">
        <v>0</v>
      </c>
      <c r="M515" t="n">
        <v>0</v>
      </c>
      <c r="N515" t="n">
        <v>0</v>
      </c>
      <c r="O515" t="n">
        <v>0</v>
      </c>
      <c r="P515" t="n">
        <v>0</v>
      </c>
      <c r="Q515" t="n">
        <v>0</v>
      </c>
      <c r="R515" s="2" t="inlineStr"/>
    </row>
    <row r="516" ht="15" customHeight="1">
      <c r="A516" t="inlineStr">
        <is>
          <t>A 53611-2024</t>
        </is>
      </c>
      <c r="B516" s="1" t="n">
        <v>45614.70510416666</v>
      </c>
      <c r="C516" s="1" t="n">
        <v>46129</v>
      </c>
      <c r="D516" t="inlineStr">
        <is>
          <t>JÄMTLANDS LÄN</t>
        </is>
      </c>
      <c r="E516" t="inlineStr">
        <is>
          <t>ÅRE</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26032-2023</t>
        </is>
      </c>
      <c r="B517" s="1" t="n">
        <v>45091.31304398148</v>
      </c>
      <c r="C517" s="1" t="n">
        <v>46129</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26033-2023</t>
        </is>
      </c>
      <c r="B518" s="1" t="n">
        <v>45091.31530092593</v>
      </c>
      <c r="C518" s="1" t="n">
        <v>46129</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13221-2022</t>
        </is>
      </c>
      <c r="B519" s="1" t="n">
        <v>44644</v>
      </c>
      <c r="C519" s="1" t="n">
        <v>46129</v>
      </c>
      <c r="D519" t="inlineStr">
        <is>
          <t>JÄMTLANDS LÄN</t>
        </is>
      </c>
      <c r="E519" t="inlineStr">
        <is>
          <t>ÅRE</t>
        </is>
      </c>
      <c r="F519" t="inlineStr">
        <is>
          <t>Övriga Aktiebolag</t>
        </is>
      </c>
      <c r="G519" t="n">
        <v>6.6</v>
      </c>
      <c r="H519" t="n">
        <v>0</v>
      </c>
      <c r="I519" t="n">
        <v>0</v>
      </c>
      <c r="J519" t="n">
        <v>0</v>
      </c>
      <c r="K519" t="n">
        <v>0</v>
      </c>
      <c r="L519" t="n">
        <v>0</v>
      </c>
      <c r="M519" t="n">
        <v>0</v>
      </c>
      <c r="N519" t="n">
        <v>0</v>
      </c>
      <c r="O519" t="n">
        <v>0</v>
      </c>
      <c r="P519" t="n">
        <v>0</v>
      </c>
      <c r="Q519" t="n">
        <v>0</v>
      </c>
      <c r="R519" s="2" t="inlineStr"/>
    </row>
    <row r="520" ht="15" customHeight="1">
      <c r="A520" t="inlineStr">
        <is>
          <t>A 39071-2024</t>
        </is>
      </c>
      <c r="B520" s="1" t="n">
        <v>45548.53193287037</v>
      </c>
      <c r="C520" s="1" t="n">
        <v>46129</v>
      </c>
      <c r="D520" t="inlineStr">
        <is>
          <t>JÄMTLANDS LÄN</t>
        </is>
      </c>
      <c r="E520" t="inlineStr">
        <is>
          <t>ÅRE</t>
        </is>
      </c>
      <c r="G520" t="n">
        <v>0.6</v>
      </c>
      <c r="H520" t="n">
        <v>0</v>
      </c>
      <c r="I520" t="n">
        <v>0</v>
      </c>
      <c r="J520" t="n">
        <v>0</v>
      </c>
      <c r="K520" t="n">
        <v>0</v>
      </c>
      <c r="L520" t="n">
        <v>0</v>
      </c>
      <c r="M520" t="n">
        <v>0</v>
      </c>
      <c r="N520" t="n">
        <v>0</v>
      </c>
      <c r="O520" t="n">
        <v>0</v>
      </c>
      <c r="P520" t="n">
        <v>0</v>
      </c>
      <c r="Q520" t="n">
        <v>0</v>
      </c>
      <c r="R520" s="2" t="inlineStr"/>
    </row>
    <row r="521" ht="15" customHeight="1">
      <c r="A521" t="inlineStr">
        <is>
          <t>A 7089-2026</t>
        </is>
      </c>
      <c r="B521" s="1" t="n">
        <v>46058.34428240741</v>
      </c>
      <c r="C521" s="1" t="n">
        <v>46129</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59325-2024</t>
        </is>
      </c>
      <c r="B522" s="1" t="n">
        <v>45636</v>
      </c>
      <c r="C522" s="1" t="n">
        <v>46129</v>
      </c>
      <c r="D522" t="inlineStr">
        <is>
          <t>JÄMTLANDS LÄN</t>
        </is>
      </c>
      <c r="E522" t="inlineStr">
        <is>
          <t>ÅRE</t>
        </is>
      </c>
      <c r="G522" t="n">
        <v>0.6</v>
      </c>
      <c r="H522" t="n">
        <v>0</v>
      </c>
      <c r="I522" t="n">
        <v>0</v>
      </c>
      <c r="J522" t="n">
        <v>0</v>
      </c>
      <c r="K522" t="n">
        <v>0</v>
      </c>
      <c r="L522" t="n">
        <v>0</v>
      </c>
      <c r="M522" t="n">
        <v>0</v>
      </c>
      <c r="N522" t="n">
        <v>0</v>
      </c>
      <c r="O522" t="n">
        <v>0</v>
      </c>
      <c r="P522" t="n">
        <v>0</v>
      </c>
      <c r="Q522" t="n">
        <v>0</v>
      </c>
      <c r="R522" s="2" t="inlineStr"/>
    </row>
    <row r="523" ht="15" customHeight="1">
      <c r="A523" t="inlineStr">
        <is>
          <t>A 20804-2024</t>
        </is>
      </c>
      <c r="B523" s="1" t="n">
        <v>45439.30988425926</v>
      </c>
      <c r="C523" s="1" t="n">
        <v>46129</v>
      </c>
      <c r="D523" t="inlineStr">
        <is>
          <t>JÄMTLANDS LÄN</t>
        </is>
      </c>
      <c r="E523" t="inlineStr">
        <is>
          <t>ÅRE</t>
        </is>
      </c>
      <c r="G523" t="n">
        <v>6.4</v>
      </c>
      <c r="H523" t="n">
        <v>0</v>
      </c>
      <c r="I523" t="n">
        <v>0</v>
      </c>
      <c r="J523" t="n">
        <v>0</v>
      </c>
      <c r="K523" t="n">
        <v>0</v>
      </c>
      <c r="L523" t="n">
        <v>0</v>
      </c>
      <c r="M523" t="n">
        <v>0</v>
      </c>
      <c r="N523" t="n">
        <v>0</v>
      </c>
      <c r="O523" t="n">
        <v>0</v>
      </c>
      <c r="P523" t="n">
        <v>0</v>
      </c>
      <c r="Q523" t="n">
        <v>0</v>
      </c>
      <c r="R523" s="2" t="inlineStr"/>
    </row>
    <row r="524" ht="15" customHeight="1">
      <c r="A524" t="inlineStr">
        <is>
          <t>A 12669-2023</t>
        </is>
      </c>
      <c r="B524" s="1" t="n">
        <v>45000</v>
      </c>
      <c r="C524" s="1" t="n">
        <v>46129</v>
      </c>
      <c r="D524" t="inlineStr">
        <is>
          <t>JÄMTLANDS LÄN</t>
        </is>
      </c>
      <c r="E524" t="inlineStr">
        <is>
          <t>ÅRE</t>
        </is>
      </c>
      <c r="F524" t="inlineStr">
        <is>
          <t>Övriga Aktiebolag</t>
        </is>
      </c>
      <c r="G524" t="n">
        <v>2.8</v>
      </c>
      <c r="H524" t="n">
        <v>0</v>
      </c>
      <c r="I524" t="n">
        <v>0</v>
      </c>
      <c r="J524" t="n">
        <v>0</v>
      </c>
      <c r="K524" t="n">
        <v>0</v>
      </c>
      <c r="L524" t="n">
        <v>0</v>
      </c>
      <c r="M524" t="n">
        <v>0</v>
      </c>
      <c r="N524" t="n">
        <v>0</v>
      </c>
      <c r="O524" t="n">
        <v>0</v>
      </c>
      <c r="P524" t="n">
        <v>0</v>
      </c>
      <c r="Q524" t="n">
        <v>0</v>
      </c>
      <c r="R524" s="2" t="inlineStr"/>
    </row>
    <row r="525" ht="15" customHeight="1">
      <c r="A525" t="inlineStr">
        <is>
          <t>A 21897-2021</t>
        </is>
      </c>
      <c r="B525" s="1" t="n">
        <v>44322</v>
      </c>
      <c r="C525" s="1" t="n">
        <v>46129</v>
      </c>
      <c r="D525" t="inlineStr">
        <is>
          <t>JÄMTLANDS LÄN</t>
        </is>
      </c>
      <c r="E525" t="inlineStr">
        <is>
          <t>ÅRE</t>
        </is>
      </c>
      <c r="G525" t="n">
        <v>41.4</v>
      </c>
      <c r="H525" t="n">
        <v>0</v>
      </c>
      <c r="I525" t="n">
        <v>0</v>
      </c>
      <c r="J525" t="n">
        <v>0</v>
      </c>
      <c r="K525" t="n">
        <v>0</v>
      </c>
      <c r="L525" t="n">
        <v>0</v>
      </c>
      <c r="M525" t="n">
        <v>0</v>
      </c>
      <c r="N525" t="n">
        <v>0</v>
      </c>
      <c r="O525" t="n">
        <v>0</v>
      </c>
      <c r="P525" t="n">
        <v>0</v>
      </c>
      <c r="Q525" t="n">
        <v>0</v>
      </c>
      <c r="R525" s="2" t="inlineStr"/>
    </row>
    <row r="526" ht="15" customHeight="1">
      <c r="A526" t="inlineStr">
        <is>
          <t>A 49267-2024</t>
        </is>
      </c>
      <c r="B526" s="1" t="n">
        <v>45595</v>
      </c>
      <c r="C526" s="1" t="n">
        <v>46129</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13383-2022</t>
        </is>
      </c>
      <c r="B527" s="1" t="n">
        <v>44637</v>
      </c>
      <c r="C527" s="1" t="n">
        <v>46129</v>
      </c>
      <c r="D527" t="inlineStr">
        <is>
          <t>JÄMTLANDS LÄN</t>
        </is>
      </c>
      <c r="E527" t="inlineStr">
        <is>
          <t>ÅRE</t>
        </is>
      </c>
      <c r="G527" t="n">
        <v>2.2</v>
      </c>
      <c r="H527" t="n">
        <v>0</v>
      </c>
      <c r="I527" t="n">
        <v>0</v>
      </c>
      <c r="J527" t="n">
        <v>0</v>
      </c>
      <c r="K527" t="n">
        <v>0</v>
      </c>
      <c r="L527" t="n">
        <v>0</v>
      </c>
      <c r="M527" t="n">
        <v>0</v>
      </c>
      <c r="N527" t="n">
        <v>0</v>
      </c>
      <c r="O527" t="n">
        <v>0</v>
      </c>
      <c r="P527" t="n">
        <v>0</v>
      </c>
      <c r="Q527" t="n">
        <v>0</v>
      </c>
      <c r="R527" s="2" t="inlineStr"/>
    </row>
    <row r="528" ht="15" customHeight="1">
      <c r="A528" t="inlineStr">
        <is>
          <t>A 15367-2026</t>
        </is>
      </c>
      <c r="B528" s="1" t="n">
        <v>46105.82152777778</v>
      </c>
      <c r="C528" s="1" t="n">
        <v>46129</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23805-2024</t>
        </is>
      </c>
      <c r="B529" s="1" t="n">
        <v>45455.44194444444</v>
      </c>
      <c r="C529" s="1" t="n">
        <v>46129</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11377-2025</t>
        </is>
      </c>
      <c r="B530" s="1" t="n">
        <v>45726</v>
      </c>
      <c r="C530" s="1" t="n">
        <v>46129</v>
      </c>
      <c r="D530" t="inlineStr">
        <is>
          <t>JÄMTLANDS LÄN</t>
        </is>
      </c>
      <c r="E530" t="inlineStr">
        <is>
          <t>ÅRE</t>
        </is>
      </c>
      <c r="G530" t="n">
        <v>7.1</v>
      </c>
      <c r="H530" t="n">
        <v>0</v>
      </c>
      <c r="I530" t="n">
        <v>0</v>
      </c>
      <c r="J530" t="n">
        <v>0</v>
      </c>
      <c r="K530" t="n">
        <v>0</v>
      </c>
      <c r="L530" t="n">
        <v>0</v>
      </c>
      <c r="M530" t="n">
        <v>0</v>
      </c>
      <c r="N530" t="n">
        <v>0</v>
      </c>
      <c r="O530" t="n">
        <v>0</v>
      </c>
      <c r="P530" t="n">
        <v>0</v>
      </c>
      <c r="Q530" t="n">
        <v>0</v>
      </c>
      <c r="R530" s="2" t="inlineStr"/>
    </row>
    <row r="531" ht="15" customHeight="1">
      <c r="A531" t="inlineStr">
        <is>
          <t>A 71043-2021</t>
        </is>
      </c>
      <c r="B531" s="1" t="n">
        <v>44538</v>
      </c>
      <c r="C531" s="1" t="n">
        <v>46129</v>
      </c>
      <c r="D531" t="inlineStr">
        <is>
          <t>JÄMTLANDS LÄN</t>
        </is>
      </c>
      <c r="E531" t="inlineStr">
        <is>
          <t>ÅRE</t>
        </is>
      </c>
      <c r="G531" t="n">
        <v>0.4</v>
      </c>
      <c r="H531" t="n">
        <v>0</v>
      </c>
      <c r="I531" t="n">
        <v>0</v>
      </c>
      <c r="J531" t="n">
        <v>0</v>
      </c>
      <c r="K531" t="n">
        <v>0</v>
      </c>
      <c r="L531" t="n">
        <v>0</v>
      </c>
      <c r="M531" t="n">
        <v>0</v>
      </c>
      <c r="N531" t="n">
        <v>0</v>
      </c>
      <c r="O531" t="n">
        <v>0</v>
      </c>
      <c r="P531" t="n">
        <v>0</v>
      </c>
      <c r="Q531" t="n">
        <v>0</v>
      </c>
      <c r="R531" s="2" t="inlineStr"/>
    </row>
    <row r="532" ht="15" customHeight="1">
      <c r="A532" t="inlineStr">
        <is>
          <t>A 17566-2023</t>
        </is>
      </c>
      <c r="B532" s="1" t="n">
        <v>45034</v>
      </c>
      <c r="C532" s="1" t="n">
        <v>46129</v>
      </c>
      <c r="D532" t="inlineStr">
        <is>
          <t>JÄMTLANDS LÄN</t>
        </is>
      </c>
      <c r="E532" t="inlineStr">
        <is>
          <t>ÅRE</t>
        </is>
      </c>
      <c r="G532" t="n">
        <v>4.8</v>
      </c>
      <c r="H532" t="n">
        <v>0</v>
      </c>
      <c r="I532" t="n">
        <v>0</v>
      </c>
      <c r="J532" t="n">
        <v>0</v>
      </c>
      <c r="K532" t="n">
        <v>0</v>
      </c>
      <c r="L532" t="n">
        <v>0</v>
      </c>
      <c r="M532" t="n">
        <v>0</v>
      </c>
      <c r="N532" t="n">
        <v>0</v>
      </c>
      <c r="O532" t="n">
        <v>0</v>
      </c>
      <c r="P532" t="n">
        <v>0</v>
      </c>
      <c r="Q532" t="n">
        <v>0</v>
      </c>
      <c r="R532" s="2" t="inlineStr"/>
    </row>
    <row r="533" ht="15" customHeight="1">
      <c r="A533" t="inlineStr">
        <is>
          <t>A 54186-2024</t>
        </is>
      </c>
      <c r="B533" s="1" t="n">
        <v>45616</v>
      </c>
      <c r="C533" s="1" t="n">
        <v>46129</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8443-2023</t>
        </is>
      </c>
      <c r="B534" s="1" t="n">
        <v>44977</v>
      </c>
      <c r="C534" s="1" t="n">
        <v>46129</v>
      </c>
      <c r="D534" t="inlineStr">
        <is>
          <t>JÄMTLANDS LÄN</t>
        </is>
      </c>
      <c r="E534" t="inlineStr">
        <is>
          <t>ÅRE</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47069-2024</t>
        </is>
      </c>
      <c r="B535" s="1" t="n">
        <v>45586.48003472222</v>
      </c>
      <c r="C535" s="1" t="n">
        <v>46129</v>
      </c>
      <c r="D535" t="inlineStr">
        <is>
          <t>JÄMTLANDS LÄN</t>
        </is>
      </c>
      <c r="E535" t="inlineStr">
        <is>
          <t>ÅRE</t>
        </is>
      </c>
      <c r="G535" t="n">
        <v>7.1</v>
      </c>
      <c r="H535" t="n">
        <v>0</v>
      </c>
      <c r="I535" t="n">
        <v>0</v>
      </c>
      <c r="J535" t="n">
        <v>0</v>
      </c>
      <c r="K535" t="n">
        <v>0</v>
      </c>
      <c r="L535" t="n">
        <v>0</v>
      </c>
      <c r="M535" t="n">
        <v>0</v>
      </c>
      <c r="N535" t="n">
        <v>0</v>
      </c>
      <c r="O535" t="n">
        <v>0</v>
      </c>
      <c r="P535" t="n">
        <v>0</v>
      </c>
      <c r="Q535" t="n">
        <v>0</v>
      </c>
      <c r="R535" s="2" t="inlineStr"/>
    </row>
    <row r="536" ht="15" customHeight="1">
      <c r="A536" t="inlineStr">
        <is>
          <t>A 19275-2021</t>
        </is>
      </c>
      <c r="B536" s="1" t="n">
        <v>44309</v>
      </c>
      <c r="C536" s="1" t="n">
        <v>46129</v>
      </c>
      <c r="D536" t="inlineStr">
        <is>
          <t>JÄMTLANDS LÄN</t>
        </is>
      </c>
      <c r="E536" t="inlineStr">
        <is>
          <t>ÅRE</t>
        </is>
      </c>
      <c r="G536" t="n">
        <v>16.4</v>
      </c>
      <c r="H536" t="n">
        <v>0</v>
      </c>
      <c r="I536" t="n">
        <v>0</v>
      </c>
      <c r="J536" t="n">
        <v>0</v>
      </c>
      <c r="K536" t="n">
        <v>0</v>
      </c>
      <c r="L536" t="n">
        <v>0</v>
      </c>
      <c r="M536" t="n">
        <v>0</v>
      </c>
      <c r="N536" t="n">
        <v>0</v>
      </c>
      <c r="O536" t="n">
        <v>0</v>
      </c>
      <c r="P536" t="n">
        <v>0</v>
      </c>
      <c r="Q536" t="n">
        <v>0</v>
      </c>
      <c r="R536" s="2" t="inlineStr"/>
    </row>
    <row r="537" ht="15" customHeight="1">
      <c r="A537" t="inlineStr">
        <is>
          <t>A 3196-2023</t>
        </is>
      </c>
      <c r="B537" s="1" t="n">
        <v>44946</v>
      </c>
      <c r="C537" s="1" t="n">
        <v>46129</v>
      </c>
      <c r="D537" t="inlineStr">
        <is>
          <t>JÄMTLANDS LÄN</t>
        </is>
      </c>
      <c r="E537" t="inlineStr">
        <is>
          <t>ÅRE</t>
        </is>
      </c>
      <c r="G537" t="n">
        <v>5.1</v>
      </c>
      <c r="H537" t="n">
        <v>0</v>
      </c>
      <c r="I537" t="n">
        <v>0</v>
      </c>
      <c r="J537" t="n">
        <v>0</v>
      </c>
      <c r="K537" t="n">
        <v>0</v>
      </c>
      <c r="L537" t="n">
        <v>0</v>
      </c>
      <c r="M537" t="n">
        <v>0</v>
      </c>
      <c r="N537" t="n">
        <v>0</v>
      </c>
      <c r="O537" t="n">
        <v>0</v>
      </c>
      <c r="P537" t="n">
        <v>0</v>
      </c>
      <c r="Q537" t="n">
        <v>0</v>
      </c>
      <c r="R537" s="2" t="inlineStr"/>
    </row>
    <row r="538" ht="15" customHeight="1">
      <c r="A538" t="inlineStr">
        <is>
          <t>A 56736-2023</t>
        </is>
      </c>
      <c r="B538" s="1" t="n">
        <v>45244</v>
      </c>
      <c r="C538" s="1" t="n">
        <v>46129</v>
      </c>
      <c r="D538" t="inlineStr">
        <is>
          <t>JÄMTLANDS LÄN</t>
        </is>
      </c>
      <c r="E538" t="inlineStr">
        <is>
          <t>ÅRE</t>
        </is>
      </c>
      <c r="F538" t="inlineStr">
        <is>
          <t>Övriga Aktiebolag</t>
        </is>
      </c>
      <c r="G538" t="n">
        <v>10.7</v>
      </c>
      <c r="H538" t="n">
        <v>0</v>
      </c>
      <c r="I538" t="n">
        <v>0</v>
      </c>
      <c r="J538" t="n">
        <v>0</v>
      </c>
      <c r="K538" t="n">
        <v>0</v>
      </c>
      <c r="L538" t="n">
        <v>0</v>
      </c>
      <c r="M538" t="n">
        <v>0</v>
      </c>
      <c r="N538" t="n">
        <v>0</v>
      </c>
      <c r="O538" t="n">
        <v>0</v>
      </c>
      <c r="P538" t="n">
        <v>0</v>
      </c>
      <c r="Q538" t="n">
        <v>0</v>
      </c>
      <c r="R538" s="2" t="inlineStr"/>
    </row>
    <row r="539" ht="15" customHeight="1">
      <c r="A539" t="inlineStr">
        <is>
          <t>A 42876-2025</t>
        </is>
      </c>
      <c r="B539" s="1" t="n">
        <v>45908</v>
      </c>
      <c r="C539" s="1" t="n">
        <v>46129</v>
      </c>
      <c r="D539" t="inlineStr">
        <is>
          <t>JÄMTLANDS LÄN</t>
        </is>
      </c>
      <c r="E539" t="inlineStr">
        <is>
          <t>ÅRE</t>
        </is>
      </c>
      <c r="G539" t="n">
        <v>0.3</v>
      </c>
      <c r="H539" t="n">
        <v>0</v>
      </c>
      <c r="I539" t="n">
        <v>0</v>
      </c>
      <c r="J539" t="n">
        <v>0</v>
      </c>
      <c r="K539" t="n">
        <v>0</v>
      </c>
      <c r="L539" t="n">
        <v>0</v>
      </c>
      <c r="M539" t="n">
        <v>0</v>
      </c>
      <c r="N539" t="n">
        <v>0</v>
      </c>
      <c r="O539" t="n">
        <v>0</v>
      </c>
      <c r="P539" t="n">
        <v>0</v>
      </c>
      <c r="Q539" t="n">
        <v>0</v>
      </c>
      <c r="R539" s="2" t="inlineStr"/>
    </row>
    <row r="540" ht="15" customHeight="1">
      <c r="A540" t="inlineStr">
        <is>
          <t>A 51317-2023</t>
        </is>
      </c>
      <c r="B540" s="1" t="n">
        <v>45219.57061342592</v>
      </c>
      <c r="C540" s="1" t="n">
        <v>46129</v>
      </c>
      <c r="D540" t="inlineStr">
        <is>
          <t>JÄMTLANDS LÄN</t>
        </is>
      </c>
      <c r="E540" t="inlineStr">
        <is>
          <t>ÅRE</t>
        </is>
      </c>
      <c r="G540" t="n">
        <v>2.9</v>
      </c>
      <c r="H540" t="n">
        <v>0</v>
      </c>
      <c r="I540" t="n">
        <v>0</v>
      </c>
      <c r="J540" t="n">
        <v>0</v>
      </c>
      <c r="K540" t="n">
        <v>0</v>
      </c>
      <c r="L540" t="n">
        <v>0</v>
      </c>
      <c r="M540" t="n">
        <v>0</v>
      </c>
      <c r="N540" t="n">
        <v>0</v>
      </c>
      <c r="O540" t="n">
        <v>0</v>
      </c>
      <c r="P540" t="n">
        <v>0</v>
      </c>
      <c r="Q540" t="n">
        <v>0</v>
      </c>
      <c r="R540" s="2" t="inlineStr"/>
    </row>
    <row r="541" ht="15" customHeight="1">
      <c r="A541" t="inlineStr">
        <is>
          <t>A 13301-2024</t>
        </is>
      </c>
      <c r="B541" s="1" t="n">
        <v>45386</v>
      </c>
      <c r="C541" s="1" t="n">
        <v>46129</v>
      </c>
      <c r="D541" t="inlineStr">
        <is>
          <t>JÄMTLANDS LÄN</t>
        </is>
      </c>
      <c r="E541" t="inlineStr">
        <is>
          <t>ÅRE</t>
        </is>
      </c>
      <c r="G541" t="n">
        <v>9</v>
      </c>
      <c r="H541" t="n">
        <v>0</v>
      </c>
      <c r="I541" t="n">
        <v>0</v>
      </c>
      <c r="J541" t="n">
        <v>0</v>
      </c>
      <c r="K541" t="n">
        <v>0</v>
      </c>
      <c r="L541" t="n">
        <v>0</v>
      </c>
      <c r="M541" t="n">
        <v>0</v>
      </c>
      <c r="N541" t="n">
        <v>0</v>
      </c>
      <c r="O541" t="n">
        <v>0</v>
      </c>
      <c r="P541" t="n">
        <v>0</v>
      </c>
      <c r="Q541" t="n">
        <v>0</v>
      </c>
      <c r="R541" s="2" t="inlineStr"/>
    </row>
    <row r="542" ht="15" customHeight="1">
      <c r="A542" t="inlineStr">
        <is>
          <t>A 8872-2026</t>
        </is>
      </c>
      <c r="B542" s="1" t="n">
        <v>46066</v>
      </c>
      <c r="C542" s="1" t="n">
        <v>46129</v>
      </c>
      <c r="D542" t="inlineStr">
        <is>
          <t>JÄMTLANDS LÄN</t>
        </is>
      </c>
      <c r="E542" t="inlineStr">
        <is>
          <t>ÅRE</t>
        </is>
      </c>
      <c r="G542" t="n">
        <v>2</v>
      </c>
      <c r="H542" t="n">
        <v>0</v>
      </c>
      <c r="I542" t="n">
        <v>0</v>
      </c>
      <c r="J542" t="n">
        <v>0</v>
      </c>
      <c r="K542" t="n">
        <v>0</v>
      </c>
      <c r="L542" t="n">
        <v>0</v>
      </c>
      <c r="M542" t="n">
        <v>0</v>
      </c>
      <c r="N542" t="n">
        <v>0</v>
      </c>
      <c r="O542" t="n">
        <v>0</v>
      </c>
      <c r="P542" t="n">
        <v>0</v>
      </c>
      <c r="Q542" t="n">
        <v>0</v>
      </c>
      <c r="R542" s="2" t="inlineStr"/>
    </row>
    <row r="543" ht="15" customHeight="1">
      <c r="A543" t="inlineStr">
        <is>
          <t>A 15482-2024</t>
        </is>
      </c>
      <c r="B543" s="1" t="n">
        <v>45401.49361111111</v>
      </c>
      <c r="C543" s="1" t="n">
        <v>46129</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16081-2026</t>
        </is>
      </c>
      <c r="B544" s="1" t="n">
        <v>46108.55716435185</v>
      </c>
      <c r="C544" s="1" t="n">
        <v>46129</v>
      </c>
      <c r="D544" t="inlineStr">
        <is>
          <t>JÄMTLANDS LÄN</t>
        </is>
      </c>
      <c r="E544" t="inlineStr">
        <is>
          <t>ÅRE</t>
        </is>
      </c>
      <c r="G544" t="n">
        <v>76.8</v>
      </c>
      <c r="H544" t="n">
        <v>0</v>
      </c>
      <c r="I544" t="n">
        <v>0</v>
      </c>
      <c r="J544" t="n">
        <v>0</v>
      </c>
      <c r="K544" t="n">
        <v>0</v>
      </c>
      <c r="L544" t="n">
        <v>0</v>
      </c>
      <c r="M544" t="n">
        <v>0</v>
      </c>
      <c r="N544" t="n">
        <v>0</v>
      </c>
      <c r="O544" t="n">
        <v>0</v>
      </c>
      <c r="P544" t="n">
        <v>0</v>
      </c>
      <c r="Q544" t="n">
        <v>0</v>
      </c>
      <c r="R544" s="2" t="inlineStr"/>
    </row>
    <row r="545" ht="15" customHeight="1">
      <c r="A545" t="inlineStr">
        <is>
          <t>A 73800-2021</t>
        </is>
      </c>
      <c r="B545" s="1" t="n">
        <v>44552</v>
      </c>
      <c r="C545" s="1" t="n">
        <v>46129</v>
      </c>
      <c r="D545" t="inlineStr">
        <is>
          <t>JÄMTLANDS LÄN</t>
        </is>
      </c>
      <c r="E545" t="inlineStr">
        <is>
          <t>ÅRE</t>
        </is>
      </c>
      <c r="G545" t="n">
        <v>8.6</v>
      </c>
      <c r="H545" t="n">
        <v>0</v>
      </c>
      <c r="I545" t="n">
        <v>0</v>
      </c>
      <c r="J545" t="n">
        <v>0</v>
      </c>
      <c r="K545" t="n">
        <v>0</v>
      </c>
      <c r="L545" t="n">
        <v>0</v>
      </c>
      <c r="M545" t="n">
        <v>0</v>
      </c>
      <c r="N545" t="n">
        <v>0</v>
      </c>
      <c r="O545" t="n">
        <v>0</v>
      </c>
      <c r="P545" t="n">
        <v>0</v>
      </c>
      <c r="Q545" t="n">
        <v>0</v>
      </c>
      <c r="R545" s="2" t="inlineStr"/>
    </row>
    <row r="546" ht="15" customHeight="1">
      <c r="A546" t="inlineStr">
        <is>
          <t>A 30080-2024</t>
        </is>
      </c>
      <c r="B546" s="1" t="n">
        <v>45485</v>
      </c>
      <c r="C546" s="1" t="n">
        <v>46129</v>
      </c>
      <c r="D546" t="inlineStr">
        <is>
          <t>JÄMTLANDS LÄN</t>
        </is>
      </c>
      <c r="E546" t="inlineStr">
        <is>
          <t>ÅRE</t>
        </is>
      </c>
      <c r="G546" t="n">
        <v>24.6</v>
      </c>
      <c r="H546" t="n">
        <v>0</v>
      </c>
      <c r="I546" t="n">
        <v>0</v>
      </c>
      <c r="J546" t="n">
        <v>0</v>
      </c>
      <c r="K546" t="n">
        <v>0</v>
      </c>
      <c r="L546" t="n">
        <v>0</v>
      </c>
      <c r="M546" t="n">
        <v>0</v>
      </c>
      <c r="N546" t="n">
        <v>0</v>
      </c>
      <c r="O546" t="n">
        <v>0</v>
      </c>
      <c r="P546" t="n">
        <v>0</v>
      </c>
      <c r="Q546" t="n">
        <v>0</v>
      </c>
      <c r="R546" s="2" t="inlineStr"/>
    </row>
    <row r="547" ht="15" customHeight="1">
      <c r="A547" t="inlineStr">
        <is>
          <t>A 33003-2022</t>
        </is>
      </c>
      <c r="B547" s="1" t="n">
        <v>44784</v>
      </c>
      <c r="C547" s="1" t="n">
        <v>46129</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30081-2024</t>
        </is>
      </c>
      <c r="B548" s="1" t="n">
        <v>45485</v>
      </c>
      <c r="C548" s="1" t="n">
        <v>46129</v>
      </c>
      <c r="D548" t="inlineStr">
        <is>
          <t>JÄMTLANDS LÄN</t>
        </is>
      </c>
      <c r="E548" t="inlineStr">
        <is>
          <t>ÅRE</t>
        </is>
      </c>
      <c r="G548" t="n">
        <v>17.8</v>
      </c>
      <c r="H548" t="n">
        <v>0</v>
      </c>
      <c r="I548" t="n">
        <v>0</v>
      </c>
      <c r="J548" t="n">
        <v>0</v>
      </c>
      <c r="K548" t="n">
        <v>0</v>
      </c>
      <c r="L548" t="n">
        <v>0</v>
      </c>
      <c r="M548" t="n">
        <v>0</v>
      </c>
      <c r="N548" t="n">
        <v>0</v>
      </c>
      <c r="O548" t="n">
        <v>0</v>
      </c>
      <c r="P548" t="n">
        <v>0</v>
      </c>
      <c r="Q548" t="n">
        <v>0</v>
      </c>
      <c r="R548" s="2" t="inlineStr"/>
    </row>
    <row r="549" ht="15" customHeight="1">
      <c r="A549" t="inlineStr">
        <is>
          <t>A 27630-2025</t>
        </is>
      </c>
      <c r="B549" s="1" t="n">
        <v>45813</v>
      </c>
      <c r="C549" s="1" t="n">
        <v>46129</v>
      </c>
      <c r="D549" t="inlineStr">
        <is>
          <t>JÄMTLANDS LÄN</t>
        </is>
      </c>
      <c r="E549" t="inlineStr">
        <is>
          <t>ÅRE</t>
        </is>
      </c>
      <c r="G549" t="n">
        <v>8.4</v>
      </c>
      <c r="H549" t="n">
        <v>0</v>
      </c>
      <c r="I549" t="n">
        <v>0</v>
      </c>
      <c r="J549" t="n">
        <v>0</v>
      </c>
      <c r="K549" t="n">
        <v>0</v>
      </c>
      <c r="L549" t="n">
        <v>0</v>
      </c>
      <c r="M549" t="n">
        <v>0</v>
      </c>
      <c r="N549" t="n">
        <v>0</v>
      </c>
      <c r="O549" t="n">
        <v>0</v>
      </c>
      <c r="P549" t="n">
        <v>0</v>
      </c>
      <c r="Q549" t="n">
        <v>0</v>
      </c>
      <c r="R549" s="2" t="inlineStr"/>
    </row>
    <row r="550" ht="15" customHeight="1">
      <c r="A550" t="inlineStr">
        <is>
          <t>A 9766-2026</t>
        </is>
      </c>
      <c r="B550" s="1" t="n">
        <v>46072.56284722222</v>
      </c>
      <c r="C550" s="1" t="n">
        <v>46129</v>
      </c>
      <c r="D550" t="inlineStr">
        <is>
          <t>JÄMTLANDS LÄN</t>
        </is>
      </c>
      <c r="E550" t="inlineStr">
        <is>
          <t>ÅRE</t>
        </is>
      </c>
      <c r="F550" t="inlineStr">
        <is>
          <t>Övriga Aktiebolag</t>
        </is>
      </c>
      <c r="G550" t="n">
        <v>14.1</v>
      </c>
      <c r="H550" t="n">
        <v>0</v>
      </c>
      <c r="I550" t="n">
        <v>0</v>
      </c>
      <c r="J550" t="n">
        <v>0</v>
      </c>
      <c r="K550" t="n">
        <v>0</v>
      </c>
      <c r="L550" t="n">
        <v>0</v>
      </c>
      <c r="M550" t="n">
        <v>0</v>
      </c>
      <c r="N550" t="n">
        <v>0</v>
      </c>
      <c r="O550" t="n">
        <v>0</v>
      </c>
      <c r="P550" t="n">
        <v>0</v>
      </c>
      <c r="Q550" t="n">
        <v>0</v>
      </c>
      <c r="R550" s="2" t="inlineStr"/>
    </row>
    <row r="551" ht="15" customHeight="1">
      <c r="A551" t="inlineStr">
        <is>
          <t>A 32758-2022</t>
        </is>
      </c>
      <c r="B551" s="1" t="n">
        <v>44783</v>
      </c>
      <c r="C551" s="1" t="n">
        <v>46129</v>
      </c>
      <c r="D551" t="inlineStr">
        <is>
          <t>JÄMTLANDS LÄN</t>
        </is>
      </c>
      <c r="E551" t="inlineStr">
        <is>
          <t>ÅRE</t>
        </is>
      </c>
      <c r="G551" t="n">
        <v>8.4</v>
      </c>
      <c r="H551" t="n">
        <v>0</v>
      </c>
      <c r="I551" t="n">
        <v>0</v>
      </c>
      <c r="J551" t="n">
        <v>0</v>
      </c>
      <c r="K551" t="n">
        <v>0</v>
      </c>
      <c r="L551" t="n">
        <v>0</v>
      </c>
      <c r="M551" t="n">
        <v>0</v>
      </c>
      <c r="N551" t="n">
        <v>0</v>
      </c>
      <c r="O551" t="n">
        <v>0</v>
      </c>
      <c r="P551" t="n">
        <v>0</v>
      </c>
      <c r="Q551" t="n">
        <v>0</v>
      </c>
      <c r="R551" s="2" t="inlineStr"/>
    </row>
    <row r="552" ht="15" customHeight="1">
      <c r="A552" t="inlineStr">
        <is>
          <t>A 33239-2024</t>
        </is>
      </c>
      <c r="B552" s="1" t="n">
        <v>45518.59618055556</v>
      </c>
      <c r="C552" s="1" t="n">
        <v>46129</v>
      </c>
      <c r="D552" t="inlineStr">
        <is>
          <t>JÄMTLANDS LÄN</t>
        </is>
      </c>
      <c r="E552" t="inlineStr">
        <is>
          <t>ÅRE</t>
        </is>
      </c>
      <c r="G552" t="n">
        <v>1</v>
      </c>
      <c r="H552" t="n">
        <v>0</v>
      </c>
      <c r="I552" t="n">
        <v>0</v>
      </c>
      <c r="J552" t="n">
        <v>0</v>
      </c>
      <c r="K552" t="n">
        <v>0</v>
      </c>
      <c r="L552" t="n">
        <v>0</v>
      </c>
      <c r="M552" t="n">
        <v>0</v>
      </c>
      <c r="N552" t="n">
        <v>0</v>
      </c>
      <c r="O552" t="n">
        <v>0</v>
      </c>
      <c r="P552" t="n">
        <v>0</v>
      </c>
      <c r="Q552" t="n">
        <v>0</v>
      </c>
      <c r="R552" s="2" t="inlineStr"/>
    </row>
    <row r="553" ht="15" customHeight="1">
      <c r="A553" t="inlineStr">
        <is>
          <t>A 39195-2024</t>
        </is>
      </c>
      <c r="B553" s="1" t="n">
        <v>45548.6934837963</v>
      </c>
      <c r="C553" s="1" t="n">
        <v>46129</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5923-2022</t>
        </is>
      </c>
      <c r="B554" s="1" t="n">
        <v>44598.64403935185</v>
      </c>
      <c r="C554" s="1" t="n">
        <v>46129</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8576-2024</t>
        </is>
      </c>
      <c r="B555" s="1" t="n">
        <v>45355</v>
      </c>
      <c r="C555" s="1" t="n">
        <v>46129</v>
      </c>
      <c r="D555" t="inlineStr">
        <is>
          <t>JÄMTLANDS LÄN</t>
        </is>
      </c>
      <c r="E555" t="inlineStr">
        <is>
          <t>ÅRE</t>
        </is>
      </c>
      <c r="G555" t="n">
        <v>21.7</v>
      </c>
      <c r="H555" t="n">
        <v>0</v>
      </c>
      <c r="I555" t="n">
        <v>0</v>
      </c>
      <c r="J555" t="n">
        <v>0</v>
      </c>
      <c r="K555" t="n">
        <v>0</v>
      </c>
      <c r="L555" t="n">
        <v>0</v>
      </c>
      <c r="M555" t="n">
        <v>0</v>
      </c>
      <c r="N555" t="n">
        <v>0</v>
      </c>
      <c r="O555" t="n">
        <v>0</v>
      </c>
      <c r="P555" t="n">
        <v>0</v>
      </c>
      <c r="Q555" t="n">
        <v>0</v>
      </c>
      <c r="R555" s="2" t="inlineStr"/>
    </row>
    <row r="556" ht="15" customHeight="1">
      <c r="A556" t="inlineStr">
        <is>
          <t>A 8788-2025</t>
        </is>
      </c>
      <c r="B556" s="1" t="n">
        <v>45712</v>
      </c>
      <c r="C556" s="1" t="n">
        <v>46129</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32210-2022</t>
        </is>
      </c>
      <c r="B557" s="1" t="n">
        <v>44781</v>
      </c>
      <c r="C557" s="1" t="n">
        <v>46129</v>
      </c>
      <c r="D557" t="inlineStr">
        <is>
          <t>JÄMTLANDS LÄN</t>
        </is>
      </c>
      <c r="E557" t="inlineStr">
        <is>
          <t>ÅRE</t>
        </is>
      </c>
      <c r="G557" t="n">
        <v>17.3</v>
      </c>
      <c r="H557" t="n">
        <v>0</v>
      </c>
      <c r="I557" t="n">
        <v>0</v>
      </c>
      <c r="J557" t="n">
        <v>0</v>
      </c>
      <c r="K557" t="n">
        <v>0</v>
      </c>
      <c r="L557" t="n">
        <v>0</v>
      </c>
      <c r="M557" t="n">
        <v>0</v>
      </c>
      <c r="N557" t="n">
        <v>0</v>
      </c>
      <c r="O557" t="n">
        <v>0</v>
      </c>
      <c r="P557" t="n">
        <v>0</v>
      </c>
      <c r="Q557" t="n">
        <v>0</v>
      </c>
      <c r="R557" s="2" t="inlineStr"/>
    </row>
    <row r="558" ht="15" customHeight="1">
      <c r="A558" t="inlineStr">
        <is>
          <t>A 3147-2023</t>
        </is>
      </c>
      <c r="B558" s="1" t="n">
        <v>44946</v>
      </c>
      <c r="C558" s="1" t="n">
        <v>46129</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10957-2026</t>
        </is>
      </c>
      <c r="B559" s="1" t="n">
        <v>46079.40486111111</v>
      </c>
      <c r="C559" s="1" t="n">
        <v>46129</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46129</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61924-2022</t>
        </is>
      </c>
      <c r="B561" s="1" t="n">
        <v>44917</v>
      </c>
      <c r="C561" s="1" t="n">
        <v>46129</v>
      </c>
      <c r="D561" t="inlineStr">
        <is>
          <t>JÄMTLANDS LÄN</t>
        </is>
      </c>
      <c r="E561" t="inlineStr">
        <is>
          <t>ÅRE</t>
        </is>
      </c>
      <c r="G561" t="n">
        <v>39.8</v>
      </c>
      <c r="H561" t="n">
        <v>0</v>
      </c>
      <c r="I561" t="n">
        <v>0</v>
      </c>
      <c r="J561" t="n">
        <v>0</v>
      </c>
      <c r="K561" t="n">
        <v>0</v>
      </c>
      <c r="L561" t="n">
        <v>0</v>
      </c>
      <c r="M561" t="n">
        <v>0</v>
      </c>
      <c r="N561" t="n">
        <v>0</v>
      </c>
      <c r="O561" t="n">
        <v>0</v>
      </c>
      <c r="P561" t="n">
        <v>0</v>
      </c>
      <c r="Q561" t="n">
        <v>0</v>
      </c>
      <c r="R561" s="2" t="inlineStr"/>
    </row>
    <row r="562" ht="15" customHeight="1">
      <c r="A562" t="inlineStr">
        <is>
          <t>A 13841-2024</t>
        </is>
      </c>
      <c r="B562" s="1" t="n">
        <v>45391</v>
      </c>
      <c r="C562" s="1" t="n">
        <v>46129</v>
      </c>
      <c r="D562" t="inlineStr">
        <is>
          <t>JÄMTLANDS LÄN</t>
        </is>
      </c>
      <c r="E562" t="inlineStr">
        <is>
          <t>ÅRE</t>
        </is>
      </c>
      <c r="G562" t="n">
        <v>6.7</v>
      </c>
      <c r="H562" t="n">
        <v>0</v>
      </c>
      <c r="I562" t="n">
        <v>0</v>
      </c>
      <c r="J562" t="n">
        <v>0</v>
      </c>
      <c r="K562" t="n">
        <v>0</v>
      </c>
      <c r="L562" t="n">
        <v>0</v>
      </c>
      <c r="M562" t="n">
        <v>0</v>
      </c>
      <c r="N562" t="n">
        <v>0</v>
      </c>
      <c r="O562" t="n">
        <v>0</v>
      </c>
      <c r="P562" t="n">
        <v>0</v>
      </c>
      <c r="Q562" t="n">
        <v>0</v>
      </c>
      <c r="R562" s="2" t="inlineStr"/>
    </row>
    <row r="563" ht="15" customHeight="1">
      <c r="A563" t="inlineStr">
        <is>
          <t>A 45242-2023</t>
        </is>
      </c>
      <c r="B563" s="1" t="n">
        <v>45187</v>
      </c>
      <c r="C563" s="1" t="n">
        <v>46129</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39742-2025</t>
        </is>
      </c>
      <c r="B564" s="1" t="n">
        <v>45891</v>
      </c>
      <c r="C564" s="1" t="n">
        <v>46129</v>
      </c>
      <c r="D564" t="inlineStr">
        <is>
          <t>JÄMTLANDS LÄN</t>
        </is>
      </c>
      <c r="E564" t="inlineStr">
        <is>
          <t>ÅRE</t>
        </is>
      </c>
      <c r="F564" t="inlineStr">
        <is>
          <t>Övriga statliga verk och myndigheter</t>
        </is>
      </c>
      <c r="G564" t="n">
        <v>6.2</v>
      </c>
      <c r="H564" t="n">
        <v>0</v>
      </c>
      <c r="I564" t="n">
        <v>0</v>
      </c>
      <c r="J564" t="n">
        <v>0</v>
      </c>
      <c r="K564" t="n">
        <v>0</v>
      </c>
      <c r="L564" t="n">
        <v>0</v>
      </c>
      <c r="M564" t="n">
        <v>0</v>
      </c>
      <c r="N564" t="n">
        <v>0</v>
      </c>
      <c r="O564" t="n">
        <v>0</v>
      </c>
      <c r="P564" t="n">
        <v>0</v>
      </c>
      <c r="Q564" t="n">
        <v>0</v>
      </c>
      <c r="R564" s="2" t="inlineStr"/>
    </row>
    <row r="565" ht="15" customHeight="1">
      <c r="A565" t="inlineStr">
        <is>
          <t>A 13082-2025</t>
        </is>
      </c>
      <c r="B565" s="1" t="n">
        <v>45734.62666666666</v>
      </c>
      <c r="C565" s="1" t="n">
        <v>46129</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40336-2021</t>
        </is>
      </c>
      <c r="B566" s="1" t="n">
        <v>44419</v>
      </c>
      <c r="C566" s="1" t="n">
        <v>46129</v>
      </c>
      <c r="D566" t="inlineStr">
        <is>
          <t>JÄMTLANDS LÄN</t>
        </is>
      </c>
      <c r="E566" t="inlineStr">
        <is>
          <t>ÅRE</t>
        </is>
      </c>
      <c r="G566" t="n">
        <v>1.1</v>
      </c>
      <c r="H566" t="n">
        <v>0</v>
      </c>
      <c r="I566" t="n">
        <v>0</v>
      </c>
      <c r="J566" t="n">
        <v>0</v>
      </c>
      <c r="K566" t="n">
        <v>0</v>
      </c>
      <c r="L566" t="n">
        <v>0</v>
      </c>
      <c r="M566" t="n">
        <v>0</v>
      </c>
      <c r="N566" t="n">
        <v>0</v>
      </c>
      <c r="O566" t="n">
        <v>0</v>
      </c>
      <c r="P566" t="n">
        <v>0</v>
      </c>
      <c r="Q566" t="n">
        <v>0</v>
      </c>
      <c r="R566" s="2" t="inlineStr"/>
    </row>
    <row r="567" ht="15" customHeight="1">
      <c r="A567" t="inlineStr">
        <is>
          <t>A 54225-2025</t>
        </is>
      </c>
      <c r="B567" s="1" t="n">
        <v>45964.60839120371</v>
      </c>
      <c r="C567" s="1" t="n">
        <v>46129</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51183-2025</t>
        </is>
      </c>
      <c r="B568" s="1" t="n">
        <v>45947.62087962963</v>
      </c>
      <c r="C568" s="1" t="n">
        <v>46129</v>
      </c>
      <c r="D568" t="inlineStr">
        <is>
          <t>JÄMTLANDS LÄN</t>
        </is>
      </c>
      <c r="E568" t="inlineStr">
        <is>
          <t>ÅRE</t>
        </is>
      </c>
      <c r="F568" t="inlineStr">
        <is>
          <t>Övriga statliga verk och myndigheter</t>
        </is>
      </c>
      <c r="G568" t="n">
        <v>2</v>
      </c>
      <c r="H568" t="n">
        <v>0</v>
      </c>
      <c r="I568" t="n">
        <v>0</v>
      </c>
      <c r="J568" t="n">
        <v>0</v>
      </c>
      <c r="K568" t="n">
        <v>0</v>
      </c>
      <c r="L568" t="n">
        <v>0</v>
      </c>
      <c r="M568" t="n">
        <v>0</v>
      </c>
      <c r="N568" t="n">
        <v>0</v>
      </c>
      <c r="O568" t="n">
        <v>0</v>
      </c>
      <c r="P568" t="n">
        <v>0</v>
      </c>
      <c r="Q568" t="n">
        <v>0</v>
      </c>
      <c r="R568" s="2" t="inlineStr"/>
    </row>
    <row r="569" ht="15" customHeight="1">
      <c r="A569" t="inlineStr">
        <is>
          <t>A 12177-2025</t>
        </is>
      </c>
      <c r="B569" s="1" t="n">
        <v>45729.45119212963</v>
      </c>
      <c r="C569" s="1" t="n">
        <v>46129</v>
      </c>
      <c r="D569" t="inlineStr">
        <is>
          <t>JÄMTLANDS LÄN</t>
        </is>
      </c>
      <c r="E569" t="inlineStr">
        <is>
          <t>ÅRE</t>
        </is>
      </c>
      <c r="F569" t="inlineStr">
        <is>
          <t>Övriga Aktiebolag</t>
        </is>
      </c>
      <c r="G569" t="n">
        <v>13.2</v>
      </c>
      <c r="H569" t="n">
        <v>0</v>
      </c>
      <c r="I569" t="n">
        <v>0</v>
      </c>
      <c r="J569" t="n">
        <v>0</v>
      </c>
      <c r="K569" t="n">
        <v>0</v>
      </c>
      <c r="L569" t="n">
        <v>0</v>
      </c>
      <c r="M569" t="n">
        <v>0</v>
      </c>
      <c r="N569" t="n">
        <v>0</v>
      </c>
      <c r="O569" t="n">
        <v>0</v>
      </c>
      <c r="P569" t="n">
        <v>0</v>
      </c>
      <c r="Q569" t="n">
        <v>0</v>
      </c>
      <c r="R569" s="2" t="inlineStr"/>
    </row>
    <row r="570" ht="15" customHeight="1">
      <c r="A570" t="inlineStr">
        <is>
          <t>A 39115-2025</t>
        </is>
      </c>
      <c r="B570" s="1" t="n">
        <v>45888</v>
      </c>
      <c r="C570" s="1" t="n">
        <v>46129</v>
      </c>
      <c r="D570" t="inlineStr">
        <is>
          <t>JÄMTLANDS LÄN</t>
        </is>
      </c>
      <c r="E570" t="inlineStr">
        <is>
          <t>ÅRE</t>
        </is>
      </c>
      <c r="F570" t="inlineStr">
        <is>
          <t>Övriga statliga verk och myndigheter</t>
        </is>
      </c>
      <c r="G570" t="n">
        <v>11.4</v>
      </c>
      <c r="H570" t="n">
        <v>0</v>
      </c>
      <c r="I570" t="n">
        <v>0</v>
      </c>
      <c r="J570" t="n">
        <v>0</v>
      </c>
      <c r="K570" t="n">
        <v>0</v>
      </c>
      <c r="L570" t="n">
        <v>0</v>
      </c>
      <c r="M570" t="n">
        <v>0</v>
      </c>
      <c r="N570" t="n">
        <v>0</v>
      </c>
      <c r="O570" t="n">
        <v>0</v>
      </c>
      <c r="P570" t="n">
        <v>0</v>
      </c>
      <c r="Q570" t="n">
        <v>0</v>
      </c>
      <c r="R570" s="2" t="inlineStr"/>
    </row>
    <row r="571" ht="15" customHeight="1">
      <c r="A571" t="inlineStr">
        <is>
          <t>A 61109-2025</t>
        </is>
      </c>
      <c r="B571" s="1" t="n">
        <v>46000.45017361111</v>
      </c>
      <c r="C571" s="1" t="n">
        <v>46129</v>
      </c>
      <c r="D571" t="inlineStr">
        <is>
          <t>JÄMTLANDS LÄN</t>
        </is>
      </c>
      <c r="E571" t="inlineStr">
        <is>
          <t>ÅRE</t>
        </is>
      </c>
      <c r="G571" t="n">
        <v>2.7</v>
      </c>
      <c r="H571" t="n">
        <v>0</v>
      </c>
      <c r="I571" t="n">
        <v>0</v>
      </c>
      <c r="J571" t="n">
        <v>0</v>
      </c>
      <c r="K571" t="n">
        <v>0</v>
      </c>
      <c r="L571" t="n">
        <v>0</v>
      </c>
      <c r="M571" t="n">
        <v>0</v>
      </c>
      <c r="N571" t="n">
        <v>0</v>
      </c>
      <c r="O571" t="n">
        <v>0</v>
      </c>
      <c r="P571" t="n">
        <v>0</v>
      </c>
      <c r="Q571" t="n">
        <v>0</v>
      </c>
      <c r="R571" s="2" t="inlineStr"/>
    </row>
    <row r="572" ht="15" customHeight="1">
      <c r="A572" t="inlineStr">
        <is>
          <t>A 11439-2026</t>
        </is>
      </c>
      <c r="B572" s="1" t="n">
        <v>46083.51054398148</v>
      </c>
      <c r="C572" s="1" t="n">
        <v>46129</v>
      </c>
      <c r="D572" t="inlineStr">
        <is>
          <t>JÄMTLANDS LÄN</t>
        </is>
      </c>
      <c r="E572" t="inlineStr">
        <is>
          <t>ÅRE</t>
        </is>
      </c>
      <c r="G572" t="n">
        <v>2.7</v>
      </c>
      <c r="H572" t="n">
        <v>0</v>
      </c>
      <c r="I572" t="n">
        <v>0</v>
      </c>
      <c r="J572" t="n">
        <v>0</v>
      </c>
      <c r="K572" t="n">
        <v>0</v>
      </c>
      <c r="L572" t="n">
        <v>0</v>
      </c>
      <c r="M572" t="n">
        <v>0</v>
      </c>
      <c r="N572" t="n">
        <v>0</v>
      </c>
      <c r="O572" t="n">
        <v>0</v>
      </c>
      <c r="P572" t="n">
        <v>0</v>
      </c>
      <c r="Q572" t="n">
        <v>0</v>
      </c>
      <c r="R572" s="2" t="inlineStr"/>
    </row>
    <row r="573" ht="15" customHeight="1">
      <c r="A573" t="inlineStr">
        <is>
          <t>A 39744-2025</t>
        </is>
      </c>
      <c r="B573" s="1" t="n">
        <v>45891</v>
      </c>
      <c r="C573" s="1" t="n">
        <v>46129</v>
      </c>
      <c r="D573" t="inlineStr">
        <is>
          <t>JÄMTLANDS LÄN</t>
        </is>
      </c>
      <c r="E573" t="inlineStr">
        <is>
          <t>ÅRE</t>
        </is>
      </c>
      <c r="F573" t="inlineStr">
        <is>
          <t>Övriga statliga verk och myndigheter</t>
        </is>
      </c>
      <c r="G573" t="n">
        <v>14.4</v>
      </c>
      <c r="H573" t="n">
        <v>0</v>
      </c>
      <c r="I573" t="n">
        <v>0</v>
      </c>
      <c r="J573" t="n">
        <v>0</v>
      </c>
      <c r="K573" t="n">
        <v>0</v>
      </c>
      <c r="L573" t="n">
        <v>0</v>
      </c>
      <c r="M573" t="n">
        <v>0</v>
      </c>
      <c r="N573" t="n">
        <v>0</v>
      </c>
      <c r="O573" t="n">
        <v>0</v>
      </c>
      <c r="P573" t="n">
        <v>0</v>
      </c>
      <c r="Q573" t="n">
        <v>0</v>
      </c>
      <c r="R573" s="2" t="inlineStr"/>
    </row>
    <row r="574" ht="15" customHeight="1">
      <c r="A574" t="inlineStr">
        <is>
          <t>A 13559-2025</t>
        </is>
      </c>
      <c r="B574" s="1" t="n">
        <v>45736</v>
      </c>
      <c r="C574" s="1" t="n">
        <v>46129</v>
      </c>
      <c r="D574" t="inlineStr">
        <is>
          <t>JÄMTLANDS LÄN</t>
        </is>
      </c>
      <c r="E574" t="inlineStr">
        <is>
          <t>ÅRE</t>
        </is>
      </c>
      <c r="F574" t="inlineStr">
        <is>
          <t>Övriga statliga verk och myndigheter</t>
        </is>
      </c>
      <c r="G574" t="n">
        <v>0.4</v>
      </c>
      <c r="H574" t="n">
        <v>0</v>
      </c>
      <c r="I574" t="n">
        <v>0</v>
      </c>
      <c r="J574" t="n">
        <v>0</v>
      </c>
      <c r="K574" t="n">
        <v>0</v>
      </c>
      <c r="L574" t="n">
        <v>0</v>
      </c>
      <c r="M574" t="n">
        <v>0</v>
      </c>
      <c r="N574" t="n">
        <v>0</v>
      </c>
      <c r="O574" t="n">
        <v>0</v>
      </c>
      <c r="P574" t="n">
        <v>0</v>
      </c>
      <c r="Q574" t="n">
        <v>0</v>
      </c>
      <c r="R574" s="2" t="inlineStr"/>
    </row>
    <row r="575" ht="15" customHeight="1">
      <c r="A575" t="inlineStr">
        <is>
          <t>A 13561-2025</t>
        </is>
      </c>
      <c r="B575" s="1" t="n">
        <v>45736</v>
      </c>
      <c r="C575" s="1" t="n">
        <v>46129</v>
      </c>
      <c r="D575" t="inlineStr">
        <is>
          <t>JÄMTLANDS LÄN</t>
        </is>
      </c>
      <c r="E575" t="inlineStr">
        <is>
          <t>ÅRE</t>
        </is>
      </c>
      <c r="F575" t="inlineStr">
        <is>
          <t>Övriga statliga verk och myndigheter</t>
        </is>
      </c>
      <c r="G575" t="n">
        <v>3.8</v>
      </c>
      <c r="H575" t="n">
        <v>0</v>
      </c>
      <c r="I575" t="n">
        <v>0</v>
      </c>
      <c r="J575" t="n">
        <v>0</v>
      </c>
      <c r="K575" t="n">
        <v>0</v>
      </c>
      <c r="L575" t="n">
        <v>0</v>
      </c>
      <c r="M575" t="n">
        <v>0</v>
      </c>
      <c r="N575" t="n">
        <v>0</v>
      </c>
      <c r="O575" t="n">
        <v>0</v>
      </c>
      <c r="P575" t="n">
        <v>0</v>
      </c>
      <c r="Q575" t="n">
        <v>0</v>
      </c>
      <c r="R575" s="2" t="inlineStr"/>
    </row>
    <row r="576" ht="15" customHeight="1">
      <c r="A576" t="inlineStr">
        <is>
          <t>A 7970-2023</t>
        </is>
      </c>
      <c r="B576" s="1" t="n">
        <v>44970</v>
      </c>
      <c r="C576" s="1" t="n">
        <v>46129</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11436-2026</t>
        </is>
      </c>
      <c r="B577" s="1" t="n">
        <v>46083.50047453704</v>
      </c>
      <c r="C577" s="1" t="n">
        <v>46129</v>
      </c>
      <c r="D577" t="inlineStr">
        <is>
          <t>JÄMTLANDS LÄN</t>
        </is>
      </c>
      <c r="E577" t="inlineStr">
        <is>
          <t>ÅRE</t>
        </is>
      </c>
      <c r="G577" t="n">
        <v>4.3</v>
      </c>
      <c r="H577" t="n">
        <v>0</v>
      </c>
      <c r="I577" t="n">
        <v>0</v>
      </c>
      <c r="J577" t="n">
        <v>0</v>
      </c>
      <c r="K577" t="n">
        <v>0</v>
      </c>
      <c r="L577" t="n">
        <v>0</v>
      </c>
      <c r="M577" t="n">
        <v>0</v>
      </c>
      <c r="N577" t="n">
        <v>0</v>
      </c>
      <c r="O577" t="n">
        <v>0</v>
      </c>
      <c r="P577" t="n">
        <v>0</v>
      </c>
      <c r="Q577" t="n">
        <v>0</v>
      </c>
      <c r="R577" s="2" t="inlineStr"/>
    </row>
    <row r="578" ht="15" customHeight="1">
      <c r="A578" t="inlineStr">
        <is>
          <t>A 44609-2024</t>
        </is>
      </c>
      <c r="B578" s="1" t="n">
        <v>45574.51212962963</v>
      </c>
      <c r="C578" s="1" t="n">
        <v>46129</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39202-2025</t>
        </is>
      </c>
      <c r="B579" s="1" t="n">
        <v>45888.72116898148</v>
      </c>
      <c r="C579" s="1" t="n">
        <v>46129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43449-2023</t>
        </is>
      </c>
      <c r="B580" s="1" t="n">
        <v>45184.36697916667</v>
      </c>
      <c r="C580" s="1" t="n">
        <v>46129</v>
      </c>
      <c r="D580" t="inlineStr">
        <is>
          <t>JÄMTLANDS LÄN</t>
        </is>
      </c>
      <c r="E580" t="inlineStr">
        <is>
          <t>ÅRE</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52707-2022</t>
        </is>
      </c>
      <c r="B581" s="1" t="n">
        <v>44874</v>
      </c>
      <c r="C581" s="1" t="n">
        <v>46129</v>
      </c>
      <c r="D581" t="inlineStr">
        <is>
          <t>JÄMTLANDS LÄN</t>
        </is>
      </c>
      <c r="E581" t="inlineStr">
        <is>
          <t>ÅRE</t>
        </is>
      </c>
      <c r="F581" t="inlineStr">
        <is>
          <t>Övriga Aktiebolag</t>
        </is>
      </c>
      <c r="G581" t="n">
        <v>2.3</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46129</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46129</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52470-2022</t>
        </is>
      </c>
      <c r="B584" s="1" t="n">
        <v>44874.48167824074</v>
      </c>
      <c r="C584" s="1" t="n">
        <v>46129</v>
      </c>
      <c r="D584" t="inlineStr">
        <is>
          <t>JÄMTLANDS LÄN</t>
        </is>
      </c>
      <c r="E584" t="inlineStr">
        <is>
          <t>ÅRE</t>
        </is>
      </c>
      <c r="G584" t="n">
        <v>1.7</v>
      </c>
      <c r="H584" t="n">
        <v>0</v>
      </c>
      <c r="I584" t="n">
        <v>0</v>
      </c>
      <c r="J584" t="n">
        <v>0</v>
      </c>
      <c r="K584" t="n">
        <v>0</v>
      </c>
      <c r="L584" t="n">
        <v>0</v>
      </c>
      <c r="M584" t="n">
        <v>0</v>
      </c>
      <c r="N584" t="n">
        <v>0</v>
      </c>
      <c r="O584" t="n">
        <v>0</v>
      </c>
      <c r="P584" t="n">
        <v>0</v>
      </c>
      <c r="Q584" t="n">
        <v>0</v>
      </c>
      <c r="R584" s="2" t="inlineStr"/>
    </row>
    <row r="585" ht="15" customHeight="1">
      <c r="A585" t="inlineStr">
        <is>
          <t>A 18748-2026</t>
        </is>
      </c>
      <c r="B585" s="1" t="n">
        <v>46128.53486111111</v>
      </c>
      <c r="C585" s="1" t="n">
        <v>46129</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18805-2026</t>
        </is>
      </c>
      <c r="B586" s="1" t="n">
        <v>46128.62528935185</v>
      </c>
      <c r="C586" s="1" t="n">
        <v>46129</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54615-2022</t>
        </is>
      </c>
      <c r="B587" s="1" t="n">
        <v>44883.36125</v>
      </c>
      <c r="C587" s="1" t="n">
        <v>46129</v>
      </c>
      <c r="D587" t="inlineStr">
        <is>
          <t>JÄMTLANDS LÄN</t>
        </is>
      </c>
      <c r="E587" t="inlineStr">
        <is>
          <t>ÅRE</t>
        </is>
      </c>
      <c r="F587" t="inlineStr">
        <is>
          <t>Övriga Aktiebolag</t>
        </is>
      </c>
      <c r="G587" t="n">
        <v>5.1</v>
      </c>
      <c r="H587" t="n">
        <v>0</v>
      </c>
      <c r="I587" t="n">
        <v>0</v>
      </c>
      <c r="J587" t="n">
        <v>0</v>
      </c>
      <c r="K587" t="n">
        <v>0</v>
      </c>
      <c r="L587" t="n">
        <v>0</v>
      </c>
      <c r="M587" t="n">
        <v>0</v>
      </c>
      <c r="N587" t="n">
        <v>0</v>
      </c>
      <c r="O587" t="n">
        <v>0</v>
      </c>
      <c r="P587" t="n">
        <v>0</v>
      </c>
      <c r="Q587" t="n">
        <v>0</v>
      </c>
      <c r="R587" s="2" t="inlineStr"/>
    </row>
    <row r="588" ht="15" customHeight="1">
      <c r="A588" t="inlineStr">
        <is>
          <t>A 23561-2021</t>
        </is>
      </c>
      <c r="B588" s="1" t="n">
        <v>44334</v>
      </c>
      <c r="C588" s="1" t="n">
        <v>46129</v>
      </c>
      <c r="D588" t="inlineStr">
        <is>
          <t>JÄMTLANDS LÄN</t>
        </is>
      </c>
      <c r="E588" t="inlineStr">
        <is>
          <t>ÅRE</t>
        </is>
      </c>
      <c r="G588" t="n">
        <v>8.5</v>
      </c>
      <c r="H588" t="n">
        <v>0</v>
      </c>
      <c r="I588" t="n">
        <v>0</v>
      </c>
      <c r="J588" t="n">
        <v>0</v>
      </c>
      <c r="K588" t="n">
        <v>0</v>
      </c>
      <c r="L588" t="n">
        <v>0</v>
      </c>
      <c r="M588" t="n">
        <v>0</v>
      </c>
      <c r="N588" t="n">
        <v>0</v>
      </c>
      <c r="O588" t="n">
        <v>0</v>
      </c>
      <c r="P588" t="n">
        <v>0</v>
      </c>
      <c r="Q588" t="n">
        <v>0</v>
      </c>
      <c r="R588" s="2" t="inlineStr"/>
    </row>
    <row r="589" ht="15" customHeight="1">
      <c r="A589" t="inlineStr">
        <is>
          <t>A 33117-2023</t>
        </is>
      </c>
      <c r="B589" s="1" t="n">
        <v>45126</v>
      </c>
      <c r="C589" s="1" t="n">
        <v>46129</v>
      </c>
      <c r="D589" t="inlineStr">
        <is>
          <t>JÄMTLANDS LÄN</t>
        </is>
      </c>
      <c r="E589" t="inlineStr">
        <is>
          <t>ÅRE</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18754-2026</t>
        </is>
      </c>
      <c r="B590" s="1" t="n">
        <v>46128.54760416667</v>
      </c>
      <c r="C590" s="1" t="n">
        <v>46129</v>
      </c>
      <c r="D590" t="inlineStr">
        <is>
          <t>JÄMTLANDS LÄN</t>
        </is>
      </c>
      <c r="E590" t="inlineStr">
        <is>
          <t>ÅRE</t>
        </is>
      </c>
      <c r="G590" t="n">
        <v>2.3</v>
      </c>
      <c r="H590" t="n">
        <v>0</v>
      </c>
      <c r="I590" t="n">
        <v>0</v>
      </c>
      <c r="J590" t="n">
        <v>0</v>
      </c>
      <c r="K590" t="n">
        <v>0</v>
      </c>
      <c r="L590" t="n">
        <v>0</v>
      </c>
      <c r="M590" t="n">
        <v>0</v>
      </c>
      <c r="N590" t="n">
        <v>0</v>
      </c>
      <c r="O590" t="n">
        <v>0</v>
      </c>
      <c r="P590" t="n">
        <v>0</v>
      </c>
      <c r="Q590" t="n">
        <v>0</v>
      </c>
      <c r="R590" s="2" t="inlineStr"/>
    </row>
    <row r="591" ht="15" customHeight="1">
      <c r="A591" t="inlineStr">
        <is>
          <t>A 61566-2021</t>
        </is>
      </c>
      <c r="B591" s="1" t="n">
        <v>44496</v>
      </c>
      <c r="C591" s="1" t="n">
        <v>46129</v>
      </c>
      <c r="D591" t="inlineStr">
        <is>
          <t>JÄMTLANDS LÄN</t>
        </is>
      </c>
      <c r="E591" t="inlineStr">
        <is>
          <t>ÅRE</t>
        </is>
      </c>
      <c r="F591" t="inlineStr">
        <is>
          <t>Övriga statliga verk och myndigheter</t>
        </is>
      </c>
      <c r="G591" t="n">
        <v>10.9</v>
      </c>
      <c r="H591" t="n">
        <v>0</v>
      </c>
      <c r="I591" t="n">
        <v>0</v>
      </c>
      <c r="J591" t="n">
        <v>0</v>
      </c>
      <c r="K591" t="n">
        <v>0</v>
      </c>
      <c r="L591" t="n">
        <v>0</v>
      </c>
      <c r="M591" t="n">
        <v>0</v>
      </c>
      <c r="N591" t="n">
        <v>0</v>
      </c>
      <c r="O591" t="n">
        <v>0</v>
      </c>
      <c r="P591" t="n">
        <v>0</v>
      </c>
      <c r="Q591" t="n">
        <v>0</v>
      </c>
      <c r="R591" s="2" t="inlineStr"/>
    </row>
    <row r="592" ht="15" customHeight="1">
      <c r="A592" t="inlineStr">
        <is>
          <t>A 29177-2024</t>
        </is>
      </c>
      <c r="B592" s="1" t="n">
        <v>45482.53859953704</v>
      </c>
      <c r="C592" s="1" t="n">
        <v>46129</v>
      </c>
      <c r="D592" t="inlineStr">
        <is>
          <t>JÄMTLANDS LÄN</t>
        </is>
      </c>
      <c r="E592" t="inlineStr">
        <is>
          <t>ÅRE</t>
        </is>
      </c>
      <c r="G592" t="n">
        <v>2.5</v>
      </c>
      <c r="H592" t="n">
        <v>0</v>
      </c>
      <c r="I592" t="n">
        <v>0</v>
      </c>
      <c r="J592" t="n">
        <v>0</v>
      </c>
      <c r="K592" t="n">
        <v>0</v>
      </c>
      <c r="L592" t="n">
        <v>0</v>
      </c>
      <c r="M592" t="n">
        <v>0</v>
      </c>
      <c r="N592" t="n">
        <v>0</v>
      </c>
      <c r="O592" t="n">
        <v>0</v>
      </c>
      <c r="P592" t="n">
        <v>0</v>
      </c>
      <c r="Q592" t="n">
        <v>0</v>
      </c>
      <c r="R592" s="2" t="inlineStr"/>
    </row>
    <row r="593" ht="15" customHeight="1">
      <c r="A593" t="inlineStr">
        <is>
          <t>A 4272-2025</t>
        </is>
      </c>
      <c r="B593" s="1" t="n">
        <v>45685</v>
      </c>
      <c r="C593" s="1" t="n">
        <v>46129</v>
      </c>
      <c r="D593" t="inlineStr">
        <is>
          <t>JÄMTLANDS LÄN</t>
        </is>
      </c>
      <c r="E593" t="inlineStr">
        <is>
          <t>ÅRE</t>
        </is>
      </c>
      <c r="F593" t="inlineStr">
        <is>
          <t>Övriga Aktiebolag</t>
        </is>
      </c>
      <c r="G593" t="n">
        <v>16.6</v>
      </c>
      <c r="H593" t="n">
        <v>0</v>
      </c>
      <c r="I593" t="n">
        <v>0</v>
      </c>
      <c r="J593" t="n">
        <v>0</v>
      </c>
      <c r="K593" t="n">
        <v>0</v>
      </c>
      <c r="L593" t="n">
        <v>0</v>
      </c>
      <c r="M593" t="n">
        <v>0</v>
      </c>
      <c r="N593" t="n">
        <v>0</v>
      </c>
      <c r="O593" t="n">
        <v>0</v>
      </c>
      <c r="P593" t="n">
        <v>0</v>
      </c>
      <c r="Q593" t="n">
        <v>0</v>
      </c>
      <c r="R593" s="2" t="inlineStr"/>
    </row>
    <row r="594" ht="15" customHeight="1">
      <c r="A594" t="inlineStr">
        <is>
          <t>A 7573-2023</t>
        </is>
      </c>
      <c r="B594" s="1" t="n">
        <v>44967</v>
      </c>
      <c r="C594" s="1" t="n">
        <v>46129</v>
      </c>
      <c r="D594" t="inlineStr">
        <is>
          <t>JÄMTLANDS LÄN</t>
        </is>
      </c>
      <c r="E594" t="inlineStr">
        <is>
          <t>ÅRE</t>
        </is>
      </c>
      <c r="G594" t="n">
        <v>7</v>
      </c>
      <c r="H594" t="n">
        <v>0</v>
      </c>
      <c r="I594" t="n">
        <v>0</v>
      </c>
      <c r="J594" t="n">
        <v>0</v>
      </c>
      <c r="K594" t="n">
        <v>0</v>
      </c>
      <c r="L594" t="n">
        <v>0</v>
      </c>
      <c r="M594" t="n">
        <v>0</v>
      </c>
      <c r="N594" t="n">
        <v>0</v>
      </c>
      <c r="O594" t="n">
        <v>0</v>
      </c>
      <c r="P594" t="n">
        <v>0</v>
      </c>
      <c r="Q594" t="n">
        <v>0</v>
      </c>
      <c r="R594" s="2" t="inlineStr"/>
    </row>
    <row r="595" ht="15" customHeight="1">
      <c r="A595" t="inlineStr">
        <is>
          <t>A 43342-2024</t>
        </is>
      </c>
      <c r="B595" s="1" t="n">
        <v>45568.55114583333</v>
      </c>
      <c r="C595" s="1" t="n">
        <v>46129</v>
      </c>
      <c r="D595" t="inlineStr">
        <is>
          <t>JÄMTLANDS LÄN</t>
        </is>
      </c>
      <c r="E595" t="inlineStr">
        <is>
          <t>ÅRE</t>
        </is>
      </c>
      <c r="F595" t="inlineStr">
        <is>
          <t>Övriga Aktiebolag</t>
        </is>
      </c>
      <c r="G595" t="n">
        <v>4.8</v>
      </c>
      <c r="H595" t="n">
        <v>0</v>
      </c>
      <c r="I595" t="n">
        <v>0</v>
      </c>
      <c r="J595" t="n">
        <v>0</v>
      </c>
      <c r="K595" t="n">
        <v>0</v>
      </c>
      <c r="L595" t="n">
        <v>0</v>
      </c>
      <c r="M595" t="n">
        <v>0</v>
      </c>
      <c r="N595" t="n">
        <v>0</v>
      </c>
      <c r="O595" t="n">
        <v>0</v>
      </c>
      <c r="P595" t="n">
        <v>0</v>
      </c>
      <c r="Q595" t="n">
        <v>0</v>
      </c>
      <c r="R595" s="2" t="inlineStr"/>
    </row>
    <row r="596" ht="15" customHeight="1">
      <c r="A596" t="inlineStr">
        <is>
          <t>A 13039-2024</t>
        </is>
      </c>
      <c r="B596" s="1" t="n">
        <v>45385</v>
      </c>
      <c r="C596" s="1" t="n">
        <v>46129</v>
      </c>
      <c r="D596" t="inlineStr">
        <is>
          <t>JÄMTLANDS LÄN</t>
        </is>
      </c>
      <c r="E596" t="inlineStr">
        <is>
          <t>ÅRE</t>
        </is>
      </c>
      <c r="G596" t="n">
        <v>1.8</v>
      </c>
      <c r="H596" t="n">
        <v>0</v>
      </c>
      <c r="I596" t="n">
        <v>0</v>
      </c>
      <c r="J596" t="n">
        <v>0</v>
      </c>
      <c r="K596" t="n">
        <v>0</v>
      </c>
      <c r="L596" t="n">
        <v>0</v>
      </c>
      <c r="M596" t="n">
        <v>0</v>
      </c>
      <c r="N596" t="n">
        <v>0</v>
      </c>
      <c r="O596" t="n">
        <v>0</v>
      </c>
      <c r="P596" t="n">
        <v>0</v>
      </c>
      <c r="Q596" t="n">
        <v>0</v>
      </c>
      <c r="R596" s="2" t="inlineStr"/>
    </row>
    <row r="597" ht="15" customHeight="1">
      <c r="A597" t="inlineStr">
        <is>
          <t>A 36219-2022</t>
        </is>
      </c>
      <c r="B597" s="1" t="n">
        <v>44803</v>
      </c>
      <c r="C597" s="1" t="n">
        <v>46129</v>
      </c>
      <c r="D597" t="inlineStr">
        <is>
          <t>JÄMTLANDS LÄN</t>
        </is>
      </c>
      <c r="E597" t="inlineStr">
        <is>
          <t>ÅRE</t>
        </is>
      </c>
      <c r="G597" t="n">
        <v>0.4</v>
      </c>
      <c r="H597" t="n">
        <v>0</v>
      </c>
      <c r="I597" t="n">
        <v>0</v>
      </c>
      <c r="J597" t="n">
        <v>0</v>
      </c>
      <c r="K597" t="n">
        <v>0</v>
      </c>
      <c r="L597" t="n">
        <v>0</v>
      </c>
      <c r="M597" t="n">
        <v>0</v>
      </c>
      <c r="N597" t="n">
        <v>0</v>
      </c>
      <c r="O597" t="n">
        <v>0</v>
      </c>
      <c r="P597" t="n">
        <v>0</v>
      </c>
      <c r="Q597" t="n">
        <v>0</v>
      </c>
      <c r="R597" s="2" t="inlineStr"/>
    </row>
    <row r="598" ht="15" customHeight="1">
      <c r="A598" t="inlineStr">
        <is>
          <t>A 38268-2024</t>
        </is>
      </c>
      <c r="B598" s="1" t="n">
        <v>45545.59842592593</v>
      </c>
      <c r="C598" s="1" t="n">
        <v>46129</v>
      </c>
      <c r="D598" t="inlineStr">
        <is>
          <t>JÄMTLANDS LÄN</t>
        </is>
      </c>
      <c r="E598" t="inlineStr">
        <is>
          <t>ÅRE</t>
        </is>
      </c>
      <c r="G598" t="n">
        <v>1.2</v>
      </c>
      <c r="H598" t="n">
        <v>0</v>
      </c>
      <c r="I598" t="n">
        <v>0</v>
      </c>
      <c r="J598" t="n">
        <v>0</v>
      </c>
      <c r="K598" t="n">
        <v>0</v>
      </c>
      <c r="L598" t="n">
        <v>0</v>
      </c>
      <c r="M598" t="n">
        <v>0</v>
      </c>
      <c r="N598" t="n">
        <v>0</v>
      </c>
      <c r="O598" t="n">
        <v>0</v>
      </c>
      <c r="P598" t="n">
        <v>0</v>
      </c>
      <c r="Q598" t="n">
        <v>0</v>
      </c>
      <c r="R598" s="2" t="inlineStr"/>
    </row>
    <row r="599" ht="15" customHeight="1">
      <c r="A599" t="inlineStr">
        <is>
          <t>A 60962-2023</t>
        </is>
      </c>
      <c r="B599" s="1" t="n">
        <v>45261.46787037037</v>
      </c>
      <c r="C599" s="1" t="n">
        <v>46129</v>
      </c>
      <c r="D599" t="inlineStr">
        <is>
          <t>JÄMTLANDS LÄN</t>
        </is>
      </c>
      <c r="E599" t="inlineStr">
        <is>
          <t>ÅRE</t>
        </is>
      </c>
      <c r="G599" t="n">
        <v>3.2</v>
      </c>
      <c r="H599" t="n">
        <v>0</v>
      </c>
      <c r="I599" t="n">
        <v>0</v>
      </c>
      <c r="J599" t="n">
        <v>0</v>
      </c>
      <c r="K599" t="n">
        <v>0</v>
      </c>
      <c r="L599" t="n">
        <v>0</v>
      </c>
      <c r="M599" t="n">
        <v>0</v>
      </c>
      <c r="N599" t="n">
        <v>0</v>
      </c>
      <c r="O599" t="n">
        <v>0</v>
      </c>
      <c r="P599" t="n">
        <v>0</v>
      </c>
      <c r="Q599" t="n">
        <v>0</v>
      </c>
      <c r="R599" s="2" t="inlineStr"/>
    </row>
    <row r="600" ht="15" customHeight="1">
      <c r="A600" t="inlineStr">
        <is>
          <t>A 60973-2023</t>
        </is>
      </c>
      <c r="B600" s="1" t="n">
        <v>45261.47321759259</v>
      </c>
      <c r="C600" s="1" t="n">
        <v>46129</v>
      </c>
      <c r="D600" t="inlineStr">
        <is>
          <t>JÄMTLANDS LÄN</t>
        </is>
      </c>
      <c r="E600" t="inlineStr">
        <is>
          <t>ÅRE</t>
        </is>
      </c>
      <c r="G600" t="n">
        <v>3.1</v>
      </c>
      <c r="H600" t="n">
        <v>0</v>
      </c>
      <c r="I600" t="n">
        <v>0</v>
      </c>
      <c r="J600" t="n">
        <v>0</v>
      </c>
      <c r="K600" t="n">
        <v>0</v>
      </c>
      <c r="L600" t="n">
        <v>0</v>
      </c>
      <c r="M600" t="n">
        <v>0</v>
      </c>
      <c r="N600" t="n">
        <v>0</v>
      </c>
      <c r="O600" t="n">
        <v>0</v>
      </c>
      <c r="P600" t="n">
        <v>0</v>
      </c>
      <c r="Q600" t="n">
        <v>0</v>
      </c>
      <c r="R600" s="2" t="inlineStr"/>
    </row>
    <row r="601" ht="15" customHeight="1">
      <c r="A601" t="inlineStr">
        <is>
          <t>A 59352-2021</t>
        </is>
      </c>
      <c r="B601" s="1" t="n">
        <v>44490</v>
      </c>
      <c r="C601" s="1" t="n">
        <v>46129</v>
      </c>
      <c r="D601" t="inlineStr">
        <is>
          <t>JÄMTLANDS LÄN</t>
        </is>
      </c>
      <c r="E601" t="inlineStr">
        <is>
          <t>ÅRE</t>
        </is>
      </c>
      <c r="G601" t="n">
        <v>0.4</v>
      </c>
      <c r="H601" t="n">
        <v>0</v>
      </c>
      <c r="I601" t="n">
        <v>0</v>
      </c>
      <c r="J601" t="n">
        <v>0</v>
      </c>
      <c r="K601" t="n">
        <v>0</v>
      </c>
      <c r="L601" t="n">
        <v>0</v>
      </c>
      <c r="M601" t="n">
        <v>0</v>
      </c>
      <c r="N601" t="n">
        <v>0</v>
      </c>
      <c r="O601" t="n">
        <v>0</v>
      </c>
      <c r="P601" t="n">
        <v>0</v>
      </c>
      <c r="Q601" t="n">
        <v>0</v>
      </c>
      <c r="R601" s="2" t="inlineStr"/>
    </row>
    <row r="602" ht="15" customHeight="1">
      <c r="A602" t="inlineStr">
        <is>
          <t>A 57158-2021</t>
        </is>
      </c>
      <c r="B602" s="1" t="n">
        <v>44482</v>
      </c>
      <c r="C602" s="1" t="n">
        <v>46129</v>
      </c>
      <c r="D602" t="inlineStr">
        <is>
          <t>JÄMTLANDS LÄN</t>
        </is>
      </c>
      <c r="E602" t="inlineStr">
        <is>
          <t>ÅRE</t>
        </is>
      </c>
      <c r="G602" t="n">
        <v>0.4</v>
      </c>
      <c r="H602" t="n">
        <v>0</v>
      </c>
      <c r="I602" t="n">
        <v>0</v>
      </c>
      <c r="J602" t="n">
        <v>0</v>
      </c>
      <c r="K602" t="n">
        <v>0</v>
      </c>
      <c r="L602" t="n">
        <v>0</v>
      </c>
      <c r="M602" t="n">
        <v>0</v>
      </c>
      <c r="N602" t="n">
        <v>0</v>
      </c>
      <c r="O602" t="n">
        <v>0</v>
      </c>
      <c r="P602" t="n">
        <v>0</v>
      </c>
      <c r="Q602" t="n">
        <v>0</v>
      </c>
      <c r="R602" s="2" t="inlineStr"/>
    </row>
    <row r="603" ht="15" customHeight="1">
      <c r="A603" t="inlineStr">
        <is>
          <t>A 40339-2021</t>
        </is>
      </c>
      <c r="B603" s="1" t="n">
        <v>44419</v>
      </c>
      <c r="C603" s="1" t="n">
        <v>46129</v>
      </c>
      <c r="D603" t="inlineStr">
        <is>
          <t>JÄMTLANDS LÄN</t>
        </is>
      </c>
      <c r="E603" t="inlineStr">
        <is>
          <t>ÅRE</t>
        </is>
      </c>
      <c r="G603" t="n">
        <v>6.4</v>
      </c>
      <c r="H603" t="n">
        <v>0</v>
      </c>
      <c r="I603" t="n">
        <v>0</v>
      </c>
      <c r="J603" t="n">
        <v>0</v>
      </c>
      <c r="K603" t="n">
        <v>0</v>
      </c>
      <c r="L603" t="n">
        <v>0</v>
      </c>
      <c r="M603" t="n">
        <v>0</v>
      </c>
      <c r="N603" t="n">
        <v>0</v>
      </c>
      <c r="O603" t="n">
        <v>0</v>
      </c>
      <c r="P603" t="n">
        <v>0</v>
      </c>
      <c r="Q603" t="n">
        <v>0</v>
      </c>
      <c r="R603" s="2" t="inlineStr"/>
    </row>
    <row r="604" ht="15" customHeight="1">
      <c r="A604" t="inlineStr">
        <is>
          <t>A 376-2024</t>
        </is>
      </c>
      <c r="B604" s="1" t="n">
        <v>45296</v>
      </c>
      <c r="C604" s="1" t="n">
        <v>46129</v>
      </c>
      <c r="D604" t="inlineStr">
        <is>
          <t>JÄMTLANDS LÄN</t>
        </is>
      </c>
      <c r="E604" t="inlineStr">
        <is>
          <t>ÅRE</t>
        </is>
      </c>
      <c r="F604" t="inlineStr">
        <is>
          <t>Kyrkan</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61295-2023</t>
        </is>
      </c>
      <c r="B605" s="1" t="n">
        <v>45264</v>
      </c>
      <c r="C605" s="1" t="n">
        <v>46129</v>
      </c>
      <c r="D605" t="inlineStr">
        <is>
          <t>JÄMTLANDS LÄN</t>
        </is>
      </c>
      <c r="E605" t="inlineStr">
        <is>
          <t>ÅRE</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46129</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61331-2021</t>
        </is>
      </c>
      <c r="B607" s="1" t="n">
        <v>44498</v>
      </c>
      <c r="C607" s="1" t="n">
        <v>46129</v>
      </c>
      <c r="D607" t="inlineStr">
        <is>
          <t>JÄMTLANDS LÄN</t>
        </is>
      </c>
      <c r="E607" t="inlineStr">
        <is>
          <t>ÅRE</t>
        </is>
      </c>
      <c r="G607" t="n">
        <v>8.4</v>
      </c>
      <c r="H607" t="n">
        <v>0</v>
      </c>
      <c r="I607" t="n">
        <v>0</v>
      </c>
      <c r="J607" t="n">
        <v>0</v>
      </c>
      <c r="K607" t="n">
        <v>0</v>
      </c>
      <c r="L607" t="n">
        <v>0</v>
      </c>
      <c r="M607" t="n">
        <v>0</v>
      </c>
      <c r="N607" t="n">
        <v>0</v>
      </c>
      <c r="O607" t="n">
        <v>0</v>
      </c>
      <c r="P607" t="n">
        <v>0</v>
      </c>
      <c r="Q607" t="n">
        <v>0</v>
      </c>
      <c r="R607" s="2" t="inlineStr"/>
    </row>
    <row r="608" ht="15" customHeight="1">
      <c r="A608" t="inlineStr">
        <is>
          <t>A 61806-2021</t>
        </is>
      </c>
      <c r="B608" s="1" t="n">
        <v>44498</v>
      </c>
      <c r="C608" s="1" t="n">
        <v>46129</v>
      </c>
      <c r="D608" t="inlineStr">
        <is>
          <t>JÄMTLANDS LÄN</t>
        </is>
      </c>
      <c r="E608" t="inlineStr">
        <is>
          <t>ÅRE</t>
        </is>
      </c>
      <c r="G608" t="n">
        <v>0.7</v>
      </c>
      <c r="H608" t="n">
        <v>0</v>
      </c>
      <c r="I608" t="n">
        <v>0</v>
      </c>
      <c r="J608" t="n">
        <v>0</v>
      </c>
      <c r="K608" t="n">
        <v>0</v>
      </c>
      <c r="L608" t="n">
        <v>0</v>
      </c>
      <c r="M608" t="n">
        <v>0</v>
      </c>
      <c r="N608" t="n">
        <v>0</v>
      </c>
      <c r="O608" t="n">
        <v>0</v>
      </c>
      <c r="P608" t="n">
        <v>0</v>
      </c>
      <c r="Q608" t="n">
        <v>0</v>
      </c>
      <c r="R608" s="2" t="inlineStr"/>
    </row>
    <row r="609" ht="15" customHeight="1">
      <c r="A609" t="inlineStr">
        <is>
          <t>A 46788-2024</t>
        </is>
      </c>
      <c r="B609" s="1" t="n">
        <v>45583.53219907408</v>
      </c>
      <c r="C609" s="1" t="n">
        <v>46129</v>
      </c>
      <c r="D609" t="inlineStr">
        <is>
          <t>JÄMTLANDS LÄN</t>
        </is>
      </c>
      <c r="E609" t="inlineStr">
        <is>
          <t>ÅRE</t>
        </is>
      </c>
      <c r="F609" t="inlineStr">
        <is>
          <t>Övriga Aktiebolag</t>
        </is>
      </c>
      <c r="G609" t="n">
        <v>0.3</v>
      </c>
      <c r="H609" t="n">
        <v>0</v>
      </c>
      <c r="I609" t="n">
        <v>0</v>
      </c>
      <c r="J609" t="n">
        <v>0</v>
      </c>
      <c r="K609" t="n">
        <v>0</v>
      </c>
      <c r="L609" t="n">
        <v>0</v>
      </c>
      <c r="M609" t="n">
        <v>0</v>
      </c>
      <c r="N609" t="n">
        <v>0</v>
      </c>
      <c r="O609" t="n">
        <v>0</v>
      </c>
      <c r="P609" t="n">
        <v>0</v>
      </c>
      <c r="Q609" t="n">
        <v>0</v>
      </c>
      <c r="R609" s="2" t="inlineStr"/>
    </row>
    <row r="610" ht="15" customHeight="1">
      <c r="A610" t="inlineStr">
        <is>
          <t>A 60899-2022</t>
        </is>
      </c>
      <c r="B610" s="1" t="n">
        <v>44908</v>
      </c>
      <c r="C610" s="1" t="n">
        <v>46129</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45324-2024</t>
        </is>
      </c>
      <c r="B611" s="1" t="n">
        <v>45576</v>
      </c>
      <c r="C611" s="1" t="n">
        <v>46129</v>
      </c>
      <c r="D611" t="inlineStr">
        <is>
          <t>JÄMTLANDS LÄN</t>
        </is>
      </c>
      <c r="E611" t="inlineStr">
        <is>
          <t>ÅRE</t>
        </is>
      </c>
      <c r="G611" t="n">
        <v>9.4</v>
      </c>
      <c r="H611" t="n">
        <v>0</v>
      </c>
      <c r="I611" t="n">
        <v>0</v>
      </c>
      <c r="J611" t="n">
        <v>0</v>
      </c>
      <c r="K611" t="n">
        <v>0</v>
      </c>
      <c r="L611" t="n">
        <v>0</v>
      </c>
      <c r="M611" t="n">
        <v>0</v>
      </c>
      <c r="N611" t="n">
        <v>0</v>
      </c>
      <c r="O611" t="n">
        <v>0</v>
      </c>
      <c r="P611" t="n">
        <v>0</v>
      </c>
      <c r="Q611" t="n">
        <v>0</v>
      </c>
      <c r="R611" s="2" t="inlineStr"/>
    </row>
    <row r="612" ht="15" customHeight="1">
      <c r="A612" t="inlineStr">
        <is>
          <t>A 556-2023</t>
        </is>
      </c>
      <c r="B612" s="1" t="n">
        <v>44930</v>
      </c>
      <c r="C612" s="1" t="n">
        <v>46129</v>
      </c>
      <c r="D612" t="inlineStr">
        <is>
          <t>JÄMTLANDS LÄN</t>
        </is>
      </c>
      <c r="E612" t="inlineStr">
        <is>
          <t>ÅRE</t>
        </is>
      </c>
      <c r="G612" t="n">
        <v>14.9</v>
      </c>
      <c r="H612" t="n">
        <v>0</v>
      </c>
      <c r="I612" t="n">
        <v>0</v>
      </c>
      <c r="J612" t="n">
        <v>0</v>
      </c>
      <c r="K612" t="n">
        <v>0</v>
      </c>
      <c r="L612" t="n">
        <v>0</v>
      </c>
      <c r="M612" t="n">
        <v>0</v>
      </c>
      <c r="N612" t="n">
        <v>0</v>
      </c>
      <c r="O612" t="n">
        <v>0</v>
      </c>
      <c r="P612" t="n">
        <v>0</v>
      </c>
      <c r="Q612" t="n">
        <v>0</v>
      </c>
      <c r="R612" s="2" t="inlineStr"/>
    </row>
    <row r="613" ht="15" customHeight="1">
      <c r="A613" t="inlineStr">
        <is>
          <t>A 57864-2024</t>
        </is>
      </c>
      <c r="B613" s="1" t="n">
        <v>45631.43578703704</v>
      </c>
      <c r="C613" s="1" t="n">
        <v>46129</v>
      </c>
      <c r="D613" t="inlineStr">
        <is>
          <t>JÄMTLANDS LÄN</t>
        </is>
      </c>
      <c r="E613" t="inlineStr">
        <is>
          <t>ÅRE</t>
        </is>
      </c>
      <c r="G613" t="n">
        <v>1.5</v>
      </c>
      <c r="H613" t="n">
        <v>0</v>
      </c>
      <c r="I613" t="n">
        <v>0</v>
      </c>
      <c r="J613" t="n">
        <v>0</v>
      </c>
      <c r="K613" t="n">
        <v>0</v>
      </c>
      <c r="L613" t="n">
        <v>0</v>
      </c>
      <c r="M613" t="n">
        <v>0</v>
      </c>
      <c r="N613" t="n">
        <v>0</v>
      </c>
      <c r="O613" t="n">
        <v>0</v>
      </c>
      <c r="P613" t="n">
        <v>0</v>
      </c>
      <c r="Q613" t="n">
        <v>0</v>
      </c>
      <c r="R613" s="2" t="inlineStr"/>
    </row>
    <row r="614" ht="15" customHeight="1">
      <c r="A614" t="inlineStr">
        <is>
          <t>A 54250-2024</t>
        </is>
      </c>
      <c r="B614" s="1" t="n">
        <v>45616</v>
      </c>
      <c r="C614" s="1" t="n">
        <v>46129</v>
      </c>
      <c r="D614" t="inlineStr">
        <is>
          <t>JÄMTLANDS LÄN</t>
        </is>
      </c>
      <c r="E614" t="inlineStr">
        <is>
          <t>ÅRE</t>
        </is>
      </c>
      <c r="G614" t="n">
        <v>2.8</v>
      </c>
      <c r="H614" t="n">
        <v>0</v>
      </c>
      <c r="I614" t="n">
        <v>0</v>
      </c>
      <c r="J614" t="n">
        <v>0</v>
      </c>
      <c r="K614" t="n">
        <v>0</v>
      </c>
      <c r="L614" t="n">
        <v>0</v>
      </c>
      <c r="M614" t="n">
        <v>0</v>
      </c>
      <c r="N614" t="n">
        <v>0</v>
      </c>
      <c r="O614" t="n">
        <v>0</v>
      </c>
      <c r="P614" t="n">
        <v>0</v>
      </c>
      <c r="Q614" t="n">
        <v>0</v>
      </c>
      <c r="R614" s="2" t="inlineStr"/>
    </row>
    <row r="615" ht="15" customHeight="1">
      <c r="A615" t="inlineStr">
        <is>
          <t>A 37729-2023</t>
        </is>
      </c>
      <c r="B615" s="1" t="n">
        <v>45159</v>
      </c>
      <c r="C615" s="1" t="n">
        <v>46129</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36234-2023</t>
        </is>
      </c>
      <c r="B616" s="1" t="n">
        <v>45150</v>
      </c>
      <c r="C616" s="1" t="n">
        <v>46129</v>
      </c>
      <c r="D616" t="inlineStr">
        <is>
          <t>JÄMTLANDS LÄN</t>
        </is>
      </c>
      <c r="E616" t="inlineStr">
        <is>
          <t>ÅRE</t>
        </is>
      </c>
      <c r="G616" t="n">
        <v>0.9</v>
      </c>
      <c r="H616" t="n">
        <v>0</v>
      </c>
      <c r="I616" t="n">
        <v>0</v>
      </c>
      <c r="J616" t="n">
        <v>0</v>
      </c>
      <c r="K616" t="n">
        <v>0</v>
      </c>
      <c r="L616" t="n">
        <v>0</v>
      </c>
      <c r="M616" t="n">
        <v>0</v>
      </c>
      <c r="N616" t="n">
        <v>0</v>
      </c>
      <c r="O616" t="n">
        <v>0</v>
      </c>
      <c r="P616" t="n">
        <v>0</v>
      </c>
      <c r="Q616" t="n">
        <v>0</v>
      </c>
      <c r="R616" s="2" t="inlineStr"/>
    </row>
    <row r="617" ht="15" customHeight="1">
      <c r="A617" t="inlineStr">
        <is>
          <t>A 38456-2021</t>
        </is>
      </c>
      <c r="B617" s="1" t="n">
        <v>44406</v>
      </c>
      <c r="C617" s="1" t="n">
        <v>46129</v>
      </c>
      <c r="D617" t="inlineStr">
        <is>
          <t>JÄMTLANDS LÄN</t>
        </is>
      </c>
      <c r="E617" t="inlineStr">
        <is>
          <t>ÅRE</t>
        </is>
      </c>
      <c r="G617" t="n">
        <v>19.8</v>
      </c>
      <c r="H617" t="n">
        <v>0</v>
      </c>
      <c r="I617" t="n">
        <v>0</v>
      </c>
      <c r="J617" t="n">
        <v>0</v>
      </c>
      <c r="K617" t="n">
        <v>0</v>
      </c>
      <c r="L617" t="n">
        <v>0</v>
      </c>
      <c r="M617" t="n">
        <v>0</v>
      </c>
      <c r="N617" t="n">
        <v>0</v>
      </c>
      <c r="O617" t="n">
        <v>0</v>
      </c>
      <c r="P617" t="n">
        <v>0</v>
      </c>
      <c r="Q617" t="n">
        <v>0</v>
      </c>
      <c r="R617" s="2" t="inlineStr"/>
    </row>
    <row r="618" ht="15" customHeight="1">
      <c r="A618" t="inlineStr">
        <is>
          <t>A 9312-2025</t>
        </is>
      </c>
      <c r="B618" s="1" t="n">
        <v>45714.68869212963</v>
      </c>
      <c r="C618" s="1" t="n">
        <v>46129</v>
      </c>
      <c r="D618" t="inlineStr">
        <is>
          <t>JÄMTLANDS LÄN</t>
        </is>
      </c>
      <c r="E618" t="inlineStr">
        <is>
          <t>ÅRE</t>
        </is>
      </c>
      <c r="G618" t="n">
        <v>1.2</v>
      </c>
      <c r="H618" t="n">
        <v>0</v>
      </c>
      <c r="I618" t="n">
        <v>0</v>
      </c>
      <c r="J618" t="n">
        <v>0</v>
      </c>
      <c r="K618" t="n">
        <v>0</v>
      </c>
      <c r="L618" t="n">
        <v>0</v>
      </c>
      <c r="M618" t="n">
        <v>0</v>
      </c>
      <c r="N618" t="n">
        <v>0</v>
      </c>
      <c r="O618" t="n">
        <v>0</v>
      </c>
      <c r="P618" t="n">
        <v>0</v>
      </c>
      <c r="Q618" t="n">
        <v>0</v>
      </c>
      <c r="R618" s="2" t="inlineStr"/>
    </row>
    <row r="619" ht="15" customHeight="1">
      <c r="A619" t="inlineStr">
        <is>
          <t>A 45279-2024</t>
        </is>
      </c>
      <c r="B619" s="1" t="n">
        <v>45576.37496527778</v>
      </c>
      <c r="C619" s="1" t="n">
        <v>46129</v>
      </c>
      <c r="D619" t="inlineStr">
        <is>
          <t>JÄMTLANDS LÄN</t>
        </is>
      </c>
      <c r="E619" t="inlineStr">
        <is>
          <t>ÅRE</t>
        </is>
      </c>
      <c r="G619" t="n">
        <v>17.2</v>
      </c>
      <c r="H619" t="n">
        <v>0</v>
      </c>
      <c r="I619" t="n">
        <v>0</v>
      </c>
      <c r="J619" t="n">
        <v>0</v>
      </c>
      <c r="K619" t="n">
        <v>0</v>
      </c>
      <c r="L619" t="n">
        <v>0</v>
      </c>
      <c r="M619" t="n">
        <v>0</v>
      </c>
      <c r="N619" t="n">
        <v>0</v>
      </c>
      <c r="O619" t="n">
        <v>0</v>
      </c>
      <c r="P619" t="n">
        <v>0</v>
      </c>
      <c r="Q619" t="n">
        <v>0</v>
      </c>
      <c r="R619" s="2" t="inlineStr"/>
    </row>
    <row r="620" ht="15" customHeight="1">
      <c r="A620" t="inlineStr">
        <is>
          <t>A 22707-2021</t>
        </is>
      </c>
      <c r="B620" s="1" t="n">
        <v>44323</v>
      </c>
      <c r="C620" s="1" t="n">
        <v>46129</v>
      </c>
      <c r="D620" t="inlineStr">
        <is>
          <t>JÄMTLANDS LÄN</t>
        </is>
      </c>
      <c r="E620" t="inlineStr">
        <is>
          <t>ÅRE</t>
        </is>
      </c>
      <c r="G620" t="n">
        <v>6.3</v>
      </c>
      <c r="H620" t="n">
        <v>0</v>
      </c>
      <c r="I620" t="n">
        <v>0</v>
      </c>
      <c r="J620" t="n">
        <v>0</v>
      </c>
      <c r="K620" t="n">
        <v>0</v>
      </c>
      <c r="L620" t="n">
        <v>0</v>
      </c>
      <c r="M620" t="n">
        <v>0</v>
      </c>
      <c r="N620" t="n">
        <v>0</v>
      </c>
      <c r="O620" t="n">
        <v>0</v>
      </c>
      <c r="P620" t="n">
        <v>0</v>
      </c>
      <c r="Q620" t="n">
        <v>0</v>
      </c>
      <c r="R620" s="2" t="inlineStr"/>
    </row>
    <row r="621" ht="15" customHeight="1">
      <c r="A621" t="inlineStr">
        <is>
          <t>A 28817-2021</t>
        </is>
      </c>
      <c r="B621" s="1" t="n">
        <v>44357</v>
      </c>
      <c r="C621" s="1" t="n">
        <v>46129</v>
      </c>
      <c r="D621" t="inlineStr">
        <is>
          <t>JÄMTLANDS LÄN</t>
        </is>
      </c>
      <c r="E621" t="inlineStr">
        <is>
          <t>ÅRE</t>
        </is>
      </c>
      <c r="G621" t="n">
        <v>21.4</v>
      </c>
      <c r="H621" t="n">
        <v>0</v>
      </c>
      <c r="I621" t="n">
        <v>0</v>
      </c>
      <c r="J621" t="n">
        <v>0</v>
      </c>
      <c r="K621" t="n">
        <v>0</v>
      </c>
      <c r="L621" t="n">
        <v>0</v>
      </c>
      <c r="M621" t="n">
        <v>0</v>
      </c>
      <c r="N621" t="n">
        <v>0</v>
      </c>
      <c r="O621" t="n">
        <v>0</v>
      </c>
      <c r="P621" t="n">
        <v>0</v>
      </c>
      <c r="Q621" t="n">
        <v>0</v>
      </c>
      <c r="R621" s="2" t="inlineStr"/>
    </row>
    <row r="622" ht="15" customHeight="1">
      <c r="A622" t="inlineStr">
        <is>
          <t>A 1460-2024</t>
        </is>
      </c>
      <c r="B622" s="1" t="n">
        <v>45303.93322916667</v>
      </c>
      <c r="C622" s="1" t="n">
        <v>46129</v>
      </c>
      <c r="D622" t="inlineStr">
        <is>
          <t>JÄMTLANDS LÄN</t>
        </is>
      </c>
      <c r="E622" t="inlineStr">
        <is>
          <t>ÅRE</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61524-2021</t>
        </is>
      </c>
      <c r="B623" s="1" t="n">
        <v>44496</v>
      </c>
      <c r="C623" s="1" t="n">
        <v>46129</v>
      </c>
      <c r="D623" t="inlineStr">
        <is>
          <t>JÄMTLANDS LÄN</t>
        </is>
      </c>
      <c r="E623" t="inlineStr">
        <is>
          <t>ÅRE</t>
        </is>
      </c>
      <c r="F623" t="inlineStr">
        <is>
          <t>Övriga statliga verk och myndigheter</t>
        </is>
      </c>
      <c r="G623" t="n">
        <v>15</v>
      </c>
      <c r="H623" t="n">
        <v>0</v>
      </c>
      <c r="I623" t="n">
        <v>0</v>
      </c>
      <c r="J623" t="n">
        <v>0</v>
      </c>
      <c r="K623" t="n">
        <v>0</v>
      </c>
      <c r="L623" t="n">
        <v>0</v>
      </c>
      <c r="M623" t="n">
        <v>0</v>
      </c>
      <c r="N623" t="n">
        <v>0</v>
      </c>
      <c r="O623" t="n">
        <v>0</v>
      </c>
      <c r="P623" t="n">
        <v>0</v>
      </c>
      <c r="Q623" t="n">
        <v>0</v>
      </c>
      <c r="R623" s="2" t="inlineStr"/>
    </row>
    <row r="624" ht="15" customHeight="1">
      <c r="A624" t="inlineStr">
        <is>
          <t>A 61481-2022</t>
        </is>
      </c>
      <c r="B624" s="1" t="n">
        <v>44910</v>
      </c>
      <c r="C624" s="1" t="n">
        <v>46129</v>
      </c>
      <c r="D624" t="inlineStr">
        <is>
          <t>JÄMTLANDS LÄN</t>
        </is>
      </c>
      <c r="E624" t="inlineStr">
        <is>
          <t>ÅRE</t>
        </is>
      </c>
      <c r="G624" t="n">
        <v>0.4</v>
      </c>
      <c r="H624" t="n">
        <v>0</v>
      </c>
      <c r="I624" t="n">
        <v>0</v>
      </c>
      <c r="J624" t="n">
        <v>0</v>
      </c>
      <c r="K624" t="n">
        <v>0</v>
      </c>
      <c r="L624" t="n">
        <v>0</v>
      </c>
      <c r="M624" t="n">
        <v>0</v>
      </c>
      <c r="N624" t="n">
        <v>0</v>
      </c>
      <c r="O624" t="n">
        <v>0</v>
      </c>
      <c r="P624" t="n">
        <v>0</v>
      </c>
      <c r="Q624" t="n">
        <v>0</v>
      </c>
      <c r="R624" s="2" t="inlineStr"/>
    </row>
    <row r="625" ht="15" customHeight="1">
      <c r="A625" t="inlineStr">
        <is>
          <t>A 58940-2021</t>
        </is>
      </c>
      <c r="B625" s="1" t="n">
        <v>44489</v>
      </c>
      <c r="C625" s="1" t="n">
        <v>46129</v>
      </c>
      <c r="D625" t="inlineStr">
        <is>
          <t>JÄMTLANDS LÄN</t>
        </is>
      </c>
      <c r="E625" t="inlineStr">
        <is>
          <t>ÅRE</t>
        </is>
      </c>
      <c r="G625" t="n">
        <v>5.8</v>
      </c>
      <c r="H625" t="n">
        <v>0</v>
      </c>
      <c r="I625" t="n">
        <v>0</v>
      </c>
      <c r="J625" t="n">
        <v>0</v>
      </c>
      <c r="K625" t="n">
        <v>0</v>
      </c>
      <c r="L625" t="n">
        <v>0</v>
      </c>
      <c r="M625" t="n">
        <v>0</v>
      </c>
      <c r="N625" t="n">
        <v>0</v>
      </c>
      <c r="O625" t="n">
        <v>0</v>
      </c>
      <c r="P625" t="n">
        <v>0</v>
      </c>
      <c r="Q625" t="n">
        <v>0</v>
      </c>
      <c r="R625" s="2" t="inlineStr"/>
    </row>
    <row r="626" ht="15" customHeight="1">
      <c r="A626" t="inlineStr">
        <is>
          <t>A 56556-2022</t>
        </is>
      </c>
      <c r="B626" s="1" t="n">
        <v>44893.48930555556</v>
      </c>
      <c r="C626" s="1" t="n">
        <v>46129</v>
      </c>
      <c r="D626" t="inlineStr">
        <is>
          <t>JÄMTLANDS LÄN</t>
        </is>
      </c>
      <c r="E626" t="inlineStr">
        <is>
          <t>ÅRE</t>
        </is>
      </c>
      <c r="F626" t="inlineStr">
        <is>
          <t>Övriga Aktiebolag</t>
        </is>
      </c>
      <c r="G626" t="n">
        <v>4.9</v>
      </c>
      <c r="H626" t="n">
        <v>0</v>
      </c>
      <c r="I626" t="n">
        <v>0</v>
      </c>
      <c r="J626" t="n">
        <v>0</v>
      </c>
      <c r="K626" t="n">
        <v>0</v>
      </c>
      <c r="L626" t="n">
        <v>0</v>
      </c>
      <c r="M626" t="n">
        <v>0</v>
      </c>
      <c r="N626" t="n">
        <v>0</v>
      </c>
      <c r="O626" t="n">
        <v>0</v>
      </c>
      <c r="P626" t="n">
        <v>0</v>
      </c>
      <c r="Q626" t="n">
        <v>0</v>
      </c>
      <c r="R626" s="2" t="inlineStr"/>
    </row>
    <row r="627" ht="15" customHeight="1">
      <c r="A627" t="inlineStr">
        <is>
          <t>A 5610-2025</t>
        </is>
      </c>
      <c r="B627" s="1" t="n">
        <v>45693.60425925926</v>
      </c>
      <c r="C627" s="1" t="n">
        <v>46129</v>
      </c>
      <c r="D627" t="inlineStr">
        <is>
          <t>JÄMTLANDS LÄN</t>
        </is>
      </c>
      <c r="E627" t="inlineStr">
        <is>
          <t>ÅRE</t>
        </is>
      </c>
      <c r="G627" t="n">
        <v>1.6</v>
      </c>
      <c r="H627" t="n">
        <v>0</v>
      </c>
      <c r="I627" t="n">
        <v>0</v>
      </c>
      <c r="J627" t="n">
        <v>0</v>
      </c>
      <c r="K627" t="n">
        <v>0</v>
      </c>
      <c r="L627" t="n">
        <v>0</v>
      </c>
      <c r="M627" t="n">
        <v>0</v>
      </c>
      <c r="N627" t="n">
        <v>0</v>
      </c>
      <c r="O627" t="n">
        <v>0</v>
      </c>
      <c r="P627" t="n">
        <v>0</v>
      </c>
      <c r="Q627" t="n">
        <v>0</v>
      </c>
      <c r="R627" s="2" t="inlineStr"/>
    </row>
    <row r="628" ht="15" customHeight="1">
      <c r="A628" t="inlineStr">
        <is>
          <t>A 27390-2021</t>
        </is>
      </c>
      <c r="B628" s="1" t="n">
        <v>44351</v>
      </c>
      <c r="C628" s="1" t="n">
        <v>46129</v>
      </c>
      <c r="D628" t="inlineStr">
        <is>
          <t>JÄMTLANDS LÄN</t>
        </is>
      </c>
      <c r="E628" t="inlineStr">
        <is>
          <t>ÅRE</t>
        </is>
      </c>
      <c r="G628" t="n">
        <v>14.9</v>
      </c>
      <c r="H628" t="n">
        <v>0</v>
      </c>
      <c r="I628" t="n">
        <v>0</v>
      </c>
      <c r="J628" t="n">
        <v>0</v>
      </c>
      <c r="K628" t="n">
        <v>0</v>
      </c>
      <c r="L628" t="n">
        <v>0</v>
      </c>
      <c r="M628" t="n">
        <v>0</v>
      </c>
      <c r="N628" t="n">
        <v>0</v>
      </c>
      <c r="O628" t="n">
        <v>0</v>
      </c>
      <c r="P628" t="n">
        <v>0</v>
      </c>
      <c r="Q628" t="n">
        <v>0</v>
      </c>
      <c r="R628" s="2" t="inlineStr"/>
    </row>
    <row r="629" ht="15" customHeight="1">
      <c r="A629" t="inlineStr">
        <is>
          <t>A 14283-2025</t>
        </is>
      </c>
      <c r="B629" s="1" t="n">
        <v>45740.65851851852</v>
      </c>
      <c r="C629" s="1" t="n">
        <v>46129</v>
      </c>
      <c r="D629" t="inlineStr">
        <is>
          <t>JÄMTLANDS LÄN</t>
        </is>
      </c>
      <c r="E629" t="inlineStr">
        <is>
          <t>ÅRE</t>
        </is>
      </c>
      <c r="G629" t="n">
        <v>4.6</v>
      </c>
      <c r="H629" t="n">
        <v>0</v>
      </c>
      <c r="I629" t="n">
        <v>0</v>
      </c>
      <c r="J629" t="n">
        <v>0</v>
      </c>
      <c r="K629" t="n">
        <v>0</v>
      </c>
      <c r="L629" t="n">
        <v>0</v>
      </c>
      <c r="M629" t="n">
        <v>0</v>
      </c>
      <c r="N629" t="n">
        <v>0</v>
      </c>
      <c r="O629" t="n">
        <v>0</v>
      </c>
      <c r="P629" t="n">
        <v>0</v>
      </c>
      <c r="Q629" t="n">
        <v>0</v>
      </c>
      <c r="R629" s="2" t="inlineStr"/>
    </row>
    <row r="630" ht="15" customHeight="1">
      <c r="A630" t="inlineStr">
        <is>
          <t>A 33379-2024</t>
        </is>
      </c>
      <c r="B630" s="1" t="n">
        <v>45519.4495949074</v>
      </c>
      <c r="C630" s="1" t="n">
        <v>46129</v>
      </c>
      <c r="D630" t="inlineStr">
        <is>
          <t>JÄMTLANDS LÄN</t>
        </is>
      </c>
      <c r="E630" t="inlineStr">
        <is>
          <t>ÅRE</t>
        </is>
      </c>
      <c r="G630" t="n">
        <v>1.5</v>
      </c>
      <c r="H630" t="n">
        <v>0</v>
      </c>
      <c r="I630" t="n">
        <v>0</v>
      </c>
      <c r="J630" t="n">
        <v>0</v>
      </c>
      <c r="K630" t="n">
        <v>0</v>
      </c>
      <c r="L630" t="n">
        <v>0</v>
      </c>
      <c r="M630" t="n">
        <v>0</v>
      </c>
      <c r="N630" t="n">
        <v>0</v>
      </c>
      <c r="O630" t="n">
        <v>0</v>
      </c>
      <c r="P630" t="n">
        <v>0</v>
      </c>
      <c r="Q630" t="n">
        <v>0</v>
      </c>
      <c r="R630" s="2" t="inlineStr"/>
    </row>
    <row r="631" ht="15" customHeight="1">
      <c r="A631" t="inlineStr">
        <is>
          <t>A 12216-2023</t>
        </is>
      </c>
      <c r="B631" s="1" t="n">
        <v>44998</v>
      </c>
      <c r="C631" s="1" t="n">
        <v>46129</v>
      </c>
      <c r="D631" t="inlineStr">
        <is>
          <t>JÄMTLANDS LÄN</t>
        </is>
      </c>
      <c r="E631" t="inlineStr">
        <is>
          <t>ÅRE</t>
        </is>
      </c>
      <c r="G631" t="n">
        <v>11.8</v>
      </c>
      <c r="H631" t="n">
        <v>0</v>
      </c>
      <c r="I631" t="n">
        <v>0</v>
      </c>
      <c r="J631" t="n">
        <v>0</v>
      </c>
      <c r="K631" t="n">
        <v>0</v>
      </c>
      <c r="L631" t="n">
        <v>0</v>
      </c>
      <c r="M631" t="n">
        <v>0</v>
      </c>
      <c r="N631" t="n">
        <v>0</v>
      </c>
      <c r="O631" t="n">
        <v>0</v>
      </c>
      <c r="P631" t="n">
        <v>0</v>
      </c>
      <c r="Q631" t="n">
        <v>0</v>
      </c>
      <c r="R631" s="2" t="inlineStr"/>
    </row>
    <row r="632" ht="15" customHeight="1">
      <c r="A632" t="inlineStr">
        <is>
          <t>A 59215-2024</t>
        </is>
      </c>
      <c r="B632" s="1" t="n">
        <v>45636</v>
      </c>
      <c r="C632" s="1" t="n">
        <v>46129</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23159-2024</t>
        </is>
      </c>
      <c r="B633" s="1" t="n">
        <v>45450.7033912037</v>
      </c>
      <c r="C633" s="1" t="n">
        <v>46129</v>
      </c>
      <c r="D633" t="inlineStr">
        <is>
          <t>JÄMTLANDS LÄN</t>
        </is>
      </c>
      <c r="E633" t="inlineStr">
        <is>
          <t>ÅRE</t>
        </is>
      </c>
      <c r="G633" t="n">
        <v>1.2</v>
      </c>
      <c r="H633" t="n">
        <v>0</v>
      </c>
      <c r="I633" t="n">
        <v>0</v>
      </c>
      <c r="J633" t="n">
        <v>0</v>
      </c>
      <c r="K633" t="n">
        <v>0</v>
      </c>
      <c r="L633" t="n">
        <v>0</v>
      </c>
      <c r="M633" t="n">
        <v>0</v>
      </c>
      <c r="N633" t="n">
        <v>0</v>
      </c>
      <c r="O633" t="n">
        <v>0</v>
      </c>
      <c r="P633" t="n">
        <v>0</v>
      </c>
      <c r="Q633" t="n">
        <v>0</v>
      </c>
      <c r="R633" s="2" t="inlineStr"/>
    </row>
    <row r="634" ht="15" customHeight="1">
      <c r="A634" t="inlineStr">
        <is>
          <t>A 57448-2023</t>
        </is>
      </c>
      <c r="B634" s="1" t="n">
        <v>45246.34405092592</v>
      </c>
      <c r="C634" s="1" t="n">
        <v>46129</v>
      </c>
      <c r="D634" t="inlineStr">
        <is>
          <t>JÄMTLANDS LÄN</t>
        </is>
      </c>
      <c r="E634" t="inlineStr">
        <is>
          <t>ÅRE</t>
        </is>
      </c>
      <c r="G634" t="n">
        <v>11.9</v>
      </c>
      <c r="H634" t="n">
        <v>0</v>
      </c>
      <c r="I634" t="n">
        <v>0</v>
      </c>
      <c r="J634" t="n">
        <v>0</v>
      </c>
      <c r="K634" t="n">
        <v>0</v>
      </c>
      <c r="L634" t="n">
        <v>0</v>
      </c>
      <c r="M634" t="n">
        <v>0</v>
      </c>
      <c r="N634" t="n">
        <v>0</v>
      </c>
      <c r="O634" t="n">
        <v>0</v>
      </c>
      <c r="P634" t="n">
        <v>0</v>
      </c>
      <c r="Q634" t="n">
        <v>0</v>
      </c>
      <c r="R634" s="2" t="inlineStr"/>
    </row>
    <row r="635" ht="15" customHeight="1">
      <c r="A635" t="inlineStr">
        <is>
          <t>A 49818-2022</t>
        </is>
      </c>
      <c r="B635" s="1" t="n">
        <v>44859</v>
      </c>
      <c r="C635" s="1" t="n">
        <v>46129</v>
      </c>
      <c r="D635" t="inlineStr">
        <is>
          <t>JÄMTLANDS LÄN</t>
        </is>
      </c>
      <c r="E635" t="inlineStr">
        <is>
          <t>ÅRE</t>
        </is>
      </c>
      <c r="G635" t="n">
        <v>63</v>
      </c>
      <c r="H635" t="n">
        <v>0</v>
      </c>
      <c r="I635" t="n">
        <v>0</v>
      </c>
      <c r="J635" t="n">
        <v>0</v>
      </c>
      <c r="K635" t="n">
        <v>0</v>
      </c>
      <c r="L635" t="n">
        <v>0</v>
      </c>
      <c r="M635" t="n">
        <v>0</v>
      </c>
      <c r="N635" t="n">
        <v>0</v>
      </c>
      <c r="O635" t="n">
        <v>0</v>
      </c>
      <c r="P635" t="n">
        <v>0</v>
      </c>
      <c r="Q635" t="n">
        <v>0</v>
      </c>
      <c r="R635" s="2" t="inlineStr"/>
    </row>
    <row r="636" ht="15" customHeight="1">
      <c r="A636" t="inlineStr">
        <is>
          <t>A 73798-2021</t>
        </is>
      </c>
      <c r="B636" s="1" t="n">
        <v>44552</v>
      </c>
      <c r="C636" s="1" t="n">
        <v>46129</v>
      </c>
      <c r="D636" t="inlineStr">
        <is>
          <t>JÄMTLANDS LÄN</t>
        </is>
      </c>
      <c r="E636" t="inlineStr">
        <is>
          <t>ÅRE</t>
        </is>
      </c>
      <c r="G636" t="n">
        <v>2.5</v>
      </c>
      <c r="H636" t="n">
        <v>0</v>
      </c>
      <c r="I636" t="n">
        <v>0</v>
      </c>
      <c r="J636" t="n">
        <v>0</v>
      </c>
      <c r="K636" t="n">
        <v>0</v>
      </c>
      <c r="L636" t="n">
        <v>0</v>
      </c>
      <c r="M636" t="n">
        <v>0</v>
      </c>
      <c r="N636" t="n">
        <v>0</v>
      </c>
      <c r="O636" t="n">
        <v>0</v>
      </c>
      <c r="P636" t="n">
        <v>0</v>
      </c>
      <c r="Q636" t="n">
        <v>0</v>
      </c>
      <c r="R636" s="2" t="inlineStr"/>
    </row>
    <row r="637" ht="15" customHeight="1">
      <c r="A637" t="inlineStr">
        <is>
          <t>A 1414-2023</t>
        </is>
      </c>
      <c r="B637" s="1" t="n">
        <v>44936</v>
      </c>
      <c r="C637" s="1" t="n">
        <v>46129</v>
      </c>
      <c r="D637" t="inlineStr">
        <is>
          <t>JÄMTLANDS LÄN</t>
        </is>
      </c>
      <c r="E637" t="inlineStr">
        <is>
          <t>ÅRE</t>
        </is>
      </c>
      <c r="G637" t="n">
        <v>1.7</v>
      </c>
      <c r="H637" t="n">
        <v>0</v>
      </c>
      <c r="I637" t="n">
        <v>0</v>
      </c>
      <c r="J637" t="n">
        <v>0</v>
      </c>
      <c r="K637" t="n">
        <v>0</v>
      </c>
      <c r="L637" t="n">
        <v>0</v>
      </c>
      <c r="M637" t="n">
        <v>0</v>
      </c>
      <c r="N637" t="n">
        <v>0</v>
      </c>
      <c r="O637" t="n">
        <v>0</v>
      </c>
      <c r="P637" t="n">
        <v>0</v>
      </c>
      <c r="Q637" t="n">
        <v>0</v>
      </c>
      <c r="R637" s="2" t="inlineStr"/>
    </row>
    <row r="638" ht="15" customHeight="1">
      <c r="A638" t="inlineStr">
        <is>
          <t>A 30379-2024</t>
        </is>
      </c>
      <c r="B638" s="1" t="n">
        <v>45491.43815972222</v>
      </c>
      <c r="C638" s="1" t="n">
        <v>46129</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33015-2022</t>
        </is>
      </c>
      <c r="B639" s="1" t="n">
        <v>44784</v>
      </c>
      <c r="C639" s="1" t="n">
        <v>46129</v>
      </c>
      <c r="D639" t="inlineStr">
        <is>
          <t>JÄMTLANDS LÄN</t>
        </is>
      </c>
      <c r="E639" t="inlineStr">
        <is>
          <t>ÅRE</t>
        </is>
      </c>
      <c r="G639" t="n">
        <v>5.1</v>
      </c>
      <c r="H639" t="n">
        <v>0</v>
      </c>
      <c r="I639" t="n">
        <v>0</v>
      </c>
      <c r="J639" t="n">
        <v>0</v>
      </c>
      <c r="K639" t="n">
        <v>0</v>
      </c>
      <c r="L639" t="n">
        <v>0</v>
      </c>
      <c r="M639" t="n">
        <v>0</v>
      </c>
      <c r="N639" t="n">
        <v>0</v>
      </c>
      <c r="O639" t="n">
        <v>0</v>
      </c>
      <c r="P639" t="n">
        <v>0</v>
      </c>
      <c r="Q639" t="n">
        <v>0</v>
      </c>
      <c r="R639" s="2" t="inlineStr"/>
    </row>
    <row r="640" ht="15" customHeight="1">
      <c r="A640" t="inlineStr">
        <is>
          <t>A 49313-2024</t>
        </is>
      </c>
      <c r="B640" s="1" t="n">
        <v>45595</v>
      </c>
      <c r="C640" s="1" t="n">
        <v>46129</v>
      </c>
      <c r="D640" t="inlineStr">
        <is>
          <t>JÄMTLANDS LÄN</t>
        </is>
      </c>
      <c r="E640" t="inlineStr">
        <is>
          <t>ÅRE</t>
        </is>
      </c>
      <c r="G640" t="n">
        <v>1.1</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46129</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43324-2022</t>
        </is>
      </c>
      <c r="B642" s="1" t="n">
        <v>44834</v>
      </c>
      <c r="C642" s="1" t="n">
        <v>46129</v>
      </c>
      <c r="D642" t="inlineStr">
        <is>
          <t>JÄMTLANDS LÄN</t>
        </is>
      </c>
      <c r="E642" t="inlineStr">
        <is>
          <t>ÅRE</t>
        </is>
      </c>
      <c r="F642" t="inlineStr">
        <is>
          <t>Bergvik skog öst AB</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47052-2022</t>
        </is>
      </c>
      <c r="B643" s="1" t="n">
        <v>44851</v>
      </c>
      <c r="C643" s="1" t="n">
        <v>46129</v>
      </c>
      <c r="D643" t="inlineStr">
        <is>
          <t>JÄMTLANDS LÄN</t>
        </is>
      </c>
      <c r="E643" t="inlineStr">
        <is>
          <t>ÅRE</t>
        </is>
      </c>
      <c r="G643" t="n">
        <v>90.8</v>
      </c>
      <c r="H643" t="n">
        <v>0</v>
      </c>
      <c r="I643" t="n">
        <v>0</v>
      </c>
      <c r="J643" t="n">
        <v>0</v>
      </c>
      <c r="K643" t="n">
        <v>0</v>
      </c>
      <c r="L643" t="n">
        <v>0</v>
      </c>
      <c r="M643" t="n">
        <v>0</v>
      </c>
      <c r="N643" t="n">
        <v>0</v>
      </c>
      <c r="O643" t="n">
        <v>0</v>
      </c>
      <c r="P643" t="n">
        <v>0</v>
      </c>
      <c r="Q643" t="n">
        <v>0</v>
      </c>
      <c r="R643" s="2" t="inlineStr"/>
    </row>
    <row r="644" ht="15" customHeight="1">
      <c r="A644" t="inlineStr">
        <is>
          <t>A 59666-2023</t>
        </is>
      </c>
      <c r="B644" s="1" t="n">
        <v>45254.96476851852</v>
      </c>
      <c r="C644" s="1" t="n">
        <v>46129</v>
      </c>
      <c r="D644" t="inlineStr">
        <is>
          <t>JÄMTLANDS LÄN</t>
        </is>
      </c>
      <c r="E644" t="inlineStr">
        <is>
          <t>ÅRE</t>
        </is>
      </c>
      <c r="G644" t="n">
        <v>6.6</v>
      </c>
      <c r="H644" t="n">
        <v>0</v>
      </c>
      <c r="I644" t="n">
        <v>0</v>
      </c>
      <c r="J644" t="n">
        <v>0</v>
      </c>
      <c r="K644" t="n">
        <v>0</v>
      </c>
      <c r="L644" t="n">
        <v>0</v>
      </c>
      <c r="M644" t="n">
        <v>0</v>
      </c>
      <c r="N644" t="n">
        <v>0</v>
      </c>
      <c r="O644" t="n">
        <v>0</v>
      </c>
      <c r="P644" t="n">
        <v>0</v>
      </c>
      <c r="Q644" t="n">
        <v>0</v>
      </c>
      <c r="R644" s="2" t="inlineStr"/>
    </row>
    <row r="645" ht="15" customHeight="1">
      <c r="A645" t="inlineStr">
        <is>
          <t>A 20999-2024</t>
        </is>
      </c>
      <c r="B645" s="1" t="n">
        <v>45439</v>
      </c>
      <c r="C645" s="1" t="n">
        <v>46129</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41686-2024</t>
        </is>
      </c>
      <c r="B646" s="1" t="n">
        <v>45560.67016203704</v>
      </c>
      <c r="C646" s="1" t="n">
        <v>46129</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56609-2023</t>
        </is>
      </c>
      <c r="B647" s="1" t="n">
        <v>45243.66828703704</v>
      </c>
      <c r="C647" s="1" t="n">
        <v>46129</v>
      </c>
      <c r="D647" t="inlineStr">
        <is>
          <t>JÄMTLANDS LÄN</t>
        </is>
      </c>
      <c r="E647" t="inlineStr">
        <is>
          <t>ÅRE</t>
        </is>
      </c>
      <c r="G647" t="n">
        <v>17.9</v>
      </c>
      <c r="H647" t="n">
        <v>0</v>
      </c>
      <c r="I647" t="n">
        <v>0</v>
      </c>
      <c r="J647" t="n">
        <v>0</v>
      </c>
      <c r="K647" t="n">
        <v>0</v>
      </c>
      <c r="L647" t="n">
        <v>0</v>
      </c>
      <c r="M647" t="n">
        <v>0</v>
      </c>
      <c r="N647" t="n">
        <v>0</v>
      </c>
      <c r="O647" t="n">
        <v>0</v>
      </c>
      <c r="P647" t="n">
        <v>0</v>
      </c>
      <c r="Q647" t="n">
        <v>0</v>
      </c>
      <c r="R647" s="2" t="inlineStr"/>
    </row>
    <row r="648" ht="15" customHeight="1">
      <c r="A648" t="inlineStr">
        <is>
          <t>A 12182-2023</t>
        </is>
      </c>
      <c r="B648" s="1" t="n">
        <v>44998</v>
      </c>
      <c r="C648" s="1" t="n">
        <v>46129</v>
      </c>
      <c r="D648" t="inlineStr">
        <is>
          <t>JÄMTLANDS LÄN</t>
        </is>
      </c>
      <c r="E648" t="inlineStr">
        <is>
          <t>ÅRE</t>
        </is>
      </c>
      <c r="G648" t="n">
        <v>11.7</v>
      </c>
      <c r="H648" t="n">
        <v>0</v>
      </c>
      <c r="I648" t="n">
        <v>0</v>
      </c>
      <c r="J648" t="n">
        <v>0</v>
      </c>
      <c r="K648" t="n">
        <v>0</v>
      </c>
      <c r="L648" t="n">
        <v>0</v>
      </c>
      <c r="M648" t="n">
        <v>0</v>
      </c>
      <c r="N648" t="n">
        <v>0</v>
      </c>
      <c r="O648" t="n">
        <v>0</v>
      </c>
      <c r="P648" t="n">
        <v>0</v>
      </c>
      <c r="Q648" t="n">
        <v>0</v>
      </c>
      <c r="R648" s="2" t="inlineStr"/>
    </row>
    <row r="649" ht="15" customHeight="1">
      <c r="A649" t="inlineStr">
        <is>
          <t>A 71968-2021</t>
        </is>
      </c>
      <c r="B649" s="1" t="n">
        <v>44540</v>
      </c>
      <c r="C649" s="1" t="n">
        <v>46129</v>
      </c>
      <c r="D649" t="inlineStr">
        <is>
          <t>JÄMTLANDS LÄN</t>
        </is>
      </c>
      <c r="E649" t="inlineStr">
        <is>
          <t>ÅRE</t>
        </is>
      </c>
      <c r="G649" t="n">
        <v>7</v>
      </c>
      <c r="H649" t="n">
        <v>0</v>
      </c>
      <c r="I649" t="n">
        <v>0</v>
      </c>
      <c r="J649" t="n">
        <v>0</v>
      </c>
      <c r="K649" t="n">
        <v>0</v>
      </c>
      <c r="L649" t="n">
        <v>0</v>
      </c>
      <c r="M649" t="n">
        <v>0</v>
      </c>
      <c r="N649" t="n">
        <v>0</v>
      </c>
      <c r="O649" t="n">
        <v>0</v>
      </c>
      <c r="P649" t="n">
        <v>0</v>
      </c>
      <c r="Q649" t="n">
        <v>0</v>
      </c>
      <c r="R649" s="2" t="inlineStr"/>
    </row>
    <row r="650" ht="15" customHeight="1">
      <c r="A650" t="inlineStr">
        <is>
          <t>A 54324-2023</t>
        </is>
      </c>
      <c r="B650" s="1" t="n">
        <v>45225</v>
      </c>
      <c r="C650" s="1" t="n">
        <v>46129</v>
      </c>
      <c r="D650" t="inlineStr">
        <is>
          <t>JÄMTLANDS LÄN</t>
        </is>
      </c>
      <c r="E650" t="inlineStr">
        <is>
          <t>ÅRE</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54385-2023</t>
        </is>
      </c>
      <c r="B651" s="1" t="n">
        <v>45233.35863425926</v>
      </c>
      <c r="C651" s="1" t="n">
        <v>46129</v>
      </c>
      <c r="D651" t="inlineStr">
        <is>
          <t>JÄMTLANDS LÄN</t>
        </is>
      </c>
      <c r="E651" t="inlineStr">
        <is>
          <t>ÅRE</t>
        </is>
      </c>
      <c r="G651" t="n">
        <v>3.7</v>
      </c>
      <c r="H651" t="n">
        <v>0</v>
      </c>
      <c r="I651" t="n">
        <v>0</v>
      </c>
      <c r="J651" t="n">
        <v>0</v>
      </c>
      <c r="K651" t="n">
        <v>0</v>
      </c>
      <c r="L651" t="n">
        <v>0</v>
      </c>
      <c r="M651" t="n">
        <v>0</v>
      </c>
      <c r="N651" t="n">
        <v>0</v>
      </c>
      <c r="O651" t="n">
        <v>0</v>
      </c>
      <c r="P651" t="n">
        <v>0</v>
      </c>
      <c r="Q651" t="n">
        <v>0</v>
      </c>
      <c r="R651" s="2" t="inlineStr"/>
    </row>
    <row r="652" ht="15" customHeight="1">
      <c r="A652" t="inlineStr">
        <is>
          <t>A 3149-2023</t>
        </is>
      </c>
      <c r="B652" s="1" t="n">
        <v>44946.5500925926</v>
      </c>
      <c r="C652" s="1" t="n">
        <v>46129</v>
      </c>
      <c r="D652" t="inlineStr">
        <is>
          <t>JÄMTLANDS LÄN</t>
        </is>
      </c>
      <c r="E652" t="inlineStr">
        <is>
          <t>ÅRE</t>
        </is>
      </c>
      <c r="G652" t="n">
        <v>1.7</v>
      </c>
      <c r="H652" t="n">
        <v>0</v>
      </c>
      <c r="I652" t="n">
        <v>0</v>
      </c>
      <c r="J652" t="n">
        <v>0</v>
      </c>
      <c r="K652" t="n">
        <v>0</v>
      </c>
      <c r="L652" t="n">
        <v>0</v>
      </c>
      <c r="M652" t="n">
        <v>0</v>
      </c>
      <c r="N652" t="n">
        <v>0</v>
      </c>
      <c r="O652" t="n">
        <v>0</v>
      </c>
      <c r="P652" t="n">
        <v>0</v>
      </c>
      <c r="Q652" t="n">
        <v>0</v>
      </c>
      <c r="R652" s="2" t="inlineStr"/>
    </row>
    <row r="653" ht="15" customHeight="1">
      <c r="A653" t="inlineStr">
        <is>
          <t>A 42244-2024</t>
        </is>
      </c>
      <c r="B653" s="1" t="n">
        <v>45562.56747685185</v>
      </c>
      <c r="C653" s="1" t="n">
        <v>46129</v>
      </c>
      <c r="D653" t="inlineStr">
        <is>
          <t>JÄMTLANDS LÄN</t>
        </is>
      </c>
      <c r="E653" t="inlineStr">
        <is>
          <t>ÅRE</t>
        </is>
      </c>
      <c r="F653" t="inlineStr">
        <is>
          <t>Övriga Aktiebolag</t>
        </is>
      </c>
      <c r="G653" t="n">
        <v>6</v>
      </c>
      <c r="H653" t="n">
        <v>0</v>
      </c>
      <c r="I653" t="n">
        <v>0</v>
      </c>
      <c r="J653" t="n">
        <v>0</v>
      </c>
      <c r="K653" t="n">
        <v>0</v>
      </c>
      <c r="L653" t="n">
        <v>0</v>
      </c>
      <c r="M653" t="n">
        <v>0</v>
      </c>
      <c r="N653" t="n">
        <v>0</v>
      </c>
      <c r="O653" t="n">
        <v>0</v>
      </c>
      <c r="P653" t="n">
        <v>0</v>
      </c>
      <c r="Q653" t="n">
        <v>0</v>
      </c>
      <c r="R653" s="2" t="inlineStr"/>
    </row>
    <row r="654" ht="15" customHeight="1">
      <c r="A654" t="inlineStr">
        <is>
          <t>A 34357-2021</t>
        </is>
      </c>
      <c r="B654" s="1" t="n">
        <v>44379</v>
      </c>
      <c r="C654" s="1" t="n">
        <v>46129</v>
      </c>
      <c r="D654" t="inlineStr">
        <is>
          <t>JÄMTLANDS LÄN</t>
        </is>
      </c>
      <c r="E654" t="inlineStr">
        <is>
          <t>ÅRE</t>
        </is>
      </c>
      <c r="G654" t="n">
        <v>7.1</v>
      </c>
      <c r="H654" t="n">
        <v>0</v>
      </c>
      <c r="I654" t="n">
        <v>0</v>
      </c>
      <c r="J654" t="n">
        <v>0</v>
      </c>
      <c r="K654" t="n">
        <v>0</v>
      </c>
      <c r="L654" t="n">
        <v>0</v>
      </c>
      <c r="M654" t="n">
        <v>0</v>
      </c>
      <c r="N654" t="n">
        <v>0</v>
      </c>
      <c r="O654" t="n">
        <v>0</v>
      </c>
      <c r="P654" t="n">
        <v>0</v>
      </c>
      <c r="Q654" t="n">
        <v>0</v>
      </c>
      <c r="R654" s="2" t="inlineStr"/>
    </row>
    <row r="655" ht="15" customHeight="1">
      <c r="A655" t="inlineStr">
        <is>
          <t>A 61803-2021</t>
        </is>
      </c>
      <c r="B655" s="1" t="n">
        <v>44498</v>
      </c>
      <c r="C655" s="1" t="n">
        <v>46129</v>
      </c>
      <c r="D655" t="inlineStr">
        <is>
          <t>JÄMTLANDS LÄN</t>
        </is>
      </c>
      <c r="E655" t="inlineStr">
        <is>
          <t>ÅRE</t>
        </is>
      </c>
      <c r="G655" t="n">
        <v>0.9</v>
      </c>
      <c r="H655" t="n">
        <v>0</v>
      </c>
      <c r="I655" t="n">
        <v>0</v>
      </c>
      <c r="J655" t="n">
        <v>0</v>
      </c>
      <c r="K655" t="n">
        <v>0</v>
      </c>
      <c r="L655" t="n">
        <v>0</v>
      </c>
      <c r="M655" t="n">
        <v>0</v>
      </c>
      <c r="N655" t="n">
        <v>0</v>
      </c>
      <c r="O655" t="n">
        <v>0</v>
      </c>
      <c r="P655" t="n">
        <v>0</v>
      </c>
      <c r="Q655" t="n">
        <v>0</v>
      </c>
      <c r="R655" s="2" t="inlineStr"/>
    </row>
    <row r="656" ht="15" customHeight="1">
      <c r="A656" t="inlineStr">
        <is>
          <t>A 61622-2023</t>
        </is>
      </c>
      <c r="B656" s="1" t="n">
        <v>45261</v>
      </c>
      <c r="C656" s="1" t="n">
        <v>46129</v>
      </c>
      <c r="D656" t="inlineStr">
        <is>
          <t>JÄMTLANDS LÄN</t>
        </is>
      </c>
      <c r="E656" t="inlineStr">
        <is>
          <t>ÅRE</t>
        </is>
      </c>
      <c r="G656" t="n">
        <v>1.6</v>
      </c>
      <c r="H656" t="n">
        <v>0</v>
      </c>
      <c r="I656" t="n">
        <v>0</v>
      </c>
      <c r="J656" t="n">
        <v>0</v>
      </c>
      <c r="K656" t="n">
        <v>0</v>
      </c>
      <c r="L656" t="n">
        <v>0</v>
      </c>
      <c r="M656" t="n">
        <v>0</v>
      </c>
      <c r="N656" t="n">
        <v>0</v>
      </c>
      <c r="O656" t="n">
        <v>0</v>
      </c>
      <c r="P656" t="n">
        <v>0</v>
      </c>
      <c r="Q656" t="n">
        <v>0</v>
      </c>
      <c r="R656" s="2" t="inlineStr"/>
    </row>
    <row r="657" ht="15" customHeight="1">
      <c r="A657" t="inlineStr">
        <is>
          <t>A 69592-2021</t>
        </is>
      </c>
      <c r="B657" s="1" t="n">
        <v>44531</v>
      </c>
      <c r="C657" s="1" t="n">
        <v>46129</v>
      </c>
      <c r="D657" t="inlineStr">
        <is>
          <t>JÄMTLANDS LÄN</t>
        </is>
      </c>
      <c r="E657" t="inlineStr">
        <is>
          <t>ÅRE</t>
        </is>
      </c>
      <c r="G657" t="n">
        <v>4.7</v>
      </c>
      <c r="H657" t="n">
        <v>0</v>
      </c>
      <c r="I657" t="n">
        <v>0</v>
      </c>
      <c r="J657" t="n">
        <v>0</v>
      </c>
      <c r="K657" t="n">
        <v>0</v>
      </c>
      <c r="L657" t="n">
        <v>0</v>
      </c>
      <c r="M657" t="n">
        <v>0</v>
      </c>
      <c r="N657" t="n">
        <v>0</v>
      </c>
      <c r="O657" t="n">
        <v>0</v>
      </c>
      <c r="P657" t="n">
        <v>0</v>
      </c>
      <c r="Q657" t="n">
        <v>0</v>
      </c>
      <c r="R657" s="2" t="inlineStr"/>
    </row>
    <row r="658" ht="15" customHeight="1">
      <c r="A658" t="inlineStr">
        <is>
          <t>A 60426-2022</t>
        </is>
      </c>
      <c r="B658" s="1" t="n">
        <v>44911.32092592592</v>
      </c>
      <c r="C658" s="1" t="n">
        <v>46129</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57102-2024</t>
        </is>
      </c>
      <c r="B659" s="1" t="n">
        <v>45629.35856481481</v>
      </c>
      <c r="C659" s="1" t="n">
        <v>46129</v>
      </c>
      <c r="D659" t="inlineStr">
        <is>
          <t>JÄMTLANDS LÄN</t>
        </is>
      </c>
      <c r="E659" t="inlineStr">
        <is>
          <t>ÅRE</t>
        </is>
      </c>
      <c r="G659" t="n">
        <v>3.3</v>
      </c>
      <c r="H659" t="n">
        <v>0</v>
      </c>
      <c r="I659" t="n">
        <v>0</v>
      </c>
      <c r="J659" t="n">
        <v>0</v>
      </c>
      <c r="K659" t="n">
        <v>0</v>
      </c>
      <c r="L659" t="n">
        <v>0</v>
      </c>
      <c r="M659" t="n">
        <v>0</v>
      </c>
      <c r="N659" t="n">
        <v>0</v>
      </c>
      <c r="O659" t="n">
        <v>0</v>
      </c>
      <c r="P659" t="n">
        <v>0</v>
      </c>
      <c r="Q659" t="n">
        <v>0</v>
      </c>
      <c r="R659" s="2" t="inlineStr"/>
    </row>
    <row r="660" ht="15" customHeight="1">
      <c r="A660" t="inlineStr">
        <is>
          <t>A 12286-2023</t>
        </is>
      </c>
      <c r="B660" s="1" t="n">
        <v>44998.72263888889</v>
      </c>
      <c r="C660" s="1" t="n">
        <v>46129</v>
      </c>
      <c r="D660" t="inlineStr">
        <is>
          <t>JÄMTLANDS LÄN</t>
        </is>
      </c>
      <c r="E660" t="inlineStr">
        <is>
          <t>ÅRE</t>
        </is>
      </c>
      <c r="G660" t="n">
        <v>7.3</v>
      </c>
      <c r="H660" t="n">
        <v>0</v>
      </c>
      <c r="I660" t="n">
        <v>0</v>
      </c>
      <c r="J660" t="n">
        <v>0</v>
      </c>
      <c r="K660" t="n">
        <v>0</v>
      </c>
      <c r="L660" t="n">
        <v>0</v>
      </c>
      <c r="M660" t="n">
        <v>0</v>
      </c>
      <c r="N660" t="n">
        <v>0</v>
      </c>
      <c r="O660" t="n">
        <v>0</v>
      </c>
      <c r="P660" t="n">
        <v>0</v>
      </c>
      <c r="Q660" t="n">
        <v>0</v>
      </c>
      <c r="R660" s="2" t="inlineStr"/>
    </row>
    <row r="661" ht="15" customHeight="1">
      <c r="A661" t="inlineStr">
        <is>
          <t>A 15889-2025</t>
        </is>
      </c>
      <c r="B661" s="1" t="n">
        <v>45749.4075</v>
      </c>
      <c r="C661" s="1" t="n">
        <v>46129</v>
      </c>
      <c r="D661" t="inlineStr">
        <is>
          <t>JÄMTLANDS LÄN</t>
        </is>
      </c>
      <c r="E661" t="inlineStr">
        <is>
          <t>ÅRE</t>
        </is>
      </c>
      <c r="G661" t="n">
        <v>1.4</v>
      </c>
      <c r="H661" t="n">
        <v>0</v>
      </c>
      <c r="I661" t="n">
        <v>0</v>
      </c>
      <c r="J661" t="n">
        <v>0</v>
      </c>
      <c r="K661" t="n">
        <v>0</v>
      </c>
      <c r="L661" t="n">
        <v>0</v>
      </c>
      <c r="M661" t="n">
        <v>0</v>
      </c>
      <c r="N661" t="n">
        <v>0</v>
      </c>
      <c r="O661" t="n">
        <v>0</v>
      </c>
      <c r="P661" t="n">
        <v>0</v>
      </c>
      <c r="Q661" t="n">
        <v>0</v>
      </c>
      <c r="R661" s="2" t="inlineStr"/>
    </row>
    <row r="662" ht="15" customHeight="1">
      <c r="A662" t="inlineStr">
        <is>
          <t>A 59753-2023</t>
        </is>
      </c>
      <c r="B662" s="1" t="n">
        <v>45254</v>
      </c>
      <c r="C662" s="1" t="n">
        <v>46129</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21167-2025</t>
        </is>
      </c>
      <c r="B663" s="1" t="n">
        <v>45779.41253472222</v>
      </c>
      <c r="C663" s="1" t="n">
        <v>46129</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c r="A664" t="inlineStr">
        <is>
          <t>A 21181-2025</t>
        </is>
      </c>
      <c r="B664" s="1" t="n">
        <v>45779.43696759259</v>
      </c>
      <c r="C664" s="1" t="n">
        <v>46129</v>
      </c>
      <c r="D664" t="inlineStr">
        <is>
          <t>JÄMTLANDS LÄN</t>
        </is>
      </c>
      <c r="E664" t="inlineStr">
        <is>
          <t>ÅRE</t>
        </is>
      </c>
      <c r="G664" t="n">
        <v>2.9</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2026-04-17T10:29:18Z</dcterms:created>
  <dcterms:modified xmlns:dcterms="http://purl.org/dc/terms/" xmlns:xsi="http://www.w3.org/2001/XMLSchema-instance" xsi:type="dcterms:W3CDTF">2026-04-17T10:29:18Z</dcterms:modified>
</cp:coreProperties>
</file>