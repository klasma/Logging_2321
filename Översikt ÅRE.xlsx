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45697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45697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45697</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45697</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45697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45697</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45697</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45697</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45697</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45697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45697</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45697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45697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45697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45697</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45697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45697</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61229-2019</t>
        </is>
      </c>
      <c r="B25" s="1" t="n">
        <v>43783</v>
      </c>
      <c r="C25" s="1" t="n">
        <v>45697</v>
      </c>
      <c r="D25" t="inlineStr">
        <is>
          <t>JÄMTLANDS LÄN</t>
        </is>
      </c>
      <c r="E25" t="inlineStr">
        <is>
          <t>ÅRE</t>
        </is>
      </c>
      <c r="G25" t="n">
        <v>42.1</v>
      </c>
      <c r="H25" t="n">
        <v>1</v>
      </c>
      <c r="I25" t="n">
        <v>2</v>
      </c>
      <c r="J25" t="n">
        <v>10</v>
      </c>
      <c r="K25" t="n">
        <v>0</v>
      </c>
      <c r="L25" t="n">
        <v>0</v>
      </c>
      <c r="M25" t="n">
        <v>0</v>
      </c>
      <c r="N25" t="n">
        <v>0</v>
      </c>
      <c r="O25" t="n">
        <v>10</v>
      </c>
      <c r="P25" t="n">
        <v>0</v>
      </c>
      <c r="Q25" t="n">
        <v>12</v>
      </c>
      <c r="R25" s="2" t="inlineStr">
        <is>
          <t>Granticka
Gränsticka
Harticka
Rödbrun blekspik
Skrovellav
Tretåig hackspett
Ullticka
Vedflikmossa
Vitgrynig nållav
Äggvaxskivling
Kambräken
Vedticka</t>
        </is>
      </c>
      <c r="S25">
        <f>HYPERLINK("https://klasma.github.io/Logging_2321/artfynd/A 61229-2019 artfynd.xlsx", "A 61229-2019")</f>
        <v/>
      </c>
      <c r="T25">
        <f>HYPERLINK("https://klasma.github.io/Logging_2321/kartor/A 61229-2019 karta.png", "A 61229-2019")</f>
        <v/>
      </c>
      <c r="V25">
        <f>HYPERLINK("https://klasma.github.io/Logging_2321/klagomål/A 61229-2019 FSC-klagomål.docx", "A 61229-2019")</f>
        <v/>
      </c>
      <c r="W25">
        <f>HYPERLINK("https://klasma.github.io/Logging_2321/klagomålsmail/A 61229-2019 FSC-klagomål mail.docx", "A 61229-2019")</f>
        <v/>
      </c>
      <c r="X25">
        <f>HYPERLINK("https://klasma.github.io/Logging_2321/tillsyn/A 61229-2019 tillsynsbegäran.docx", "A 61229-2019")</f>
        <v/>
      </c>
      <c r="Y25">
        <f>HYPERLINK("https://klasma.github.io/Logging_2321/tillsynsmail/A 61229-2019 tillsynsbegäran mail.docx", "A 61229-2019")</f>
        <v/>
      </c>
      <c r="Z25">
        <f>HYPERLINK("https://klasma.github.io/Logging_2321/fåglar/A 61229-2019 prioriterade fågelarter.docx", "A 61229-2019")</f>
        <v/>
      </c>
    </row>
    <row r="26" ht="15" customHeight="1">
      <c r="A26" t="inlineStr">
        <is>
          <t>A 14188-2021</t>
        </is>
      </c>
      <c r="B26" s="1" t="n">
        <v>44278</v>
      </c>
      <c r="C26" s="1" t="n">
        <v>45697</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43967-2024</t>
        </is>
      </c>
      <c r="B27" s="1" t="n">
        <v>45572</v>
      </c>
      <c r="C27" s="1" t="n">
        <v>45697</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50311-2024</t>
        </is>
      </c>
      <c r="B28" s="1" t="n">
        <v>45600</v>
      </c>
      <c r="C28" s="1" t="n">
        <v>45697</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29081-2020</t>
        </is>
      </c>
      <c r="B29" s="1" t="n">
        <v>44002</v>
      </c>
      <c r="C29" s="1" t="n">
        <v>45697</v>
      </c>
      <c r="D29" t="inlineStr">
        <is>
          <t>JÄMTLANDS LÄN</t>
        </is>
      </c>
      <c r="E29" t="inlineStr">
        <is>
          <t>ÅRE</t>
        </is>
      </c>
      <c r="G29" t="n">
        <v>9.699999999999999</v>
      </c>
      <c r="H29" t="n">
        <v>3</v>
      </c>
      <c r="I29" t="n">
        <v>3</v>
      </c>
      <c r="J29" t="n">
        <v>6</v>
      </c>
      <c r="K29" t="n">
        <v>0</v>
      </c>
      <c r="L29" t="n">
        <v>0</v>
      </c>
      <c r="M29" t="n">
        <v>0</v>
      </c>
      <c r="N29" t="n">
        <v>0</v>
      </c>
      <c r="O29" t="n">
        <v>6</v>
      </c>
      <c r="P29" t="n">
        <v>0</v>
      </c>
      <c r="Q29" t="n">
        <v>11</v>
      </c>
      <c r="R29" s="2" t="inlineStr">
        <is>
          <t>Gammelgransskål
Garnlav
Granticka
Harticka
Tretåig hackspett
Vitgrynig nållav
Mörk husmossa
Vedticka
Vågbandad barkbock
Fläcknycklar
Revlummer</t>
        </is>
      </c>
      <c r="S29">
        <f>HYPERLINK("https://klasma.github.io/Logging_2321/artfynd/A 29081-2020 artfynd.xlsx", "A 29081-2020")</f>
        <v/>
      </c>
      <c r="T29">
        <f>HYPERLINK("https://klasma.github.io/Logging_2321/kartor/A 29081-2020 karta.png", "A 29081-2020")</f>
        <v/>
      </c>
      <c r="V29">
        <f>HYPERLINK("https://klasma.github.io/Logging_2321/klagomål/A 29081-2020 FSC-klagomål.docx", "A 29081-2020")</f>
        <v/>
      </c>
      <c r="W29">
        <f>HYPERLINK("https://klasma.github.io/Logging_2321/klagomålsmail/A 29081-2020 FSC-klagomål mail.docx", "A 29081-2020")</f>
        <v/>
      </c>
      <c r="X29">
        <f>HYPERLINK("https://klasma.github.io/Logging_2321/tillsyn/A 29081-2020 tillsynsbegäran.docx", "A 29081-2020")</f>
        <v/>
      </c>
      <c r="Y29">
        <f>HYPERLINK("https://klasma.github.io/Logging_2321/tillsynsmail/A 29081-2020 tillsynsbegäran mail.docx", "A 29081-2020")</f>
        <v/>
      </c>
      <c r="Z29">
        <f>HYPERLINK("https://klasma.github.io/Logging_2321/fåglar/A 29081-2020 prioriterade fågelarter.docx", "A 29081-2020")</f>
        <v/>
      </c>
    </row>
    <row r="30" ht="15" customHeight="1">
      <c r="A30" t="inlineStr">
        <is>
          <t>A 58223-2021</t>
        </is>
      </c>
      <c r="B30" s="1" t="n">
        <v>44487</v>
      </c>
      <c r="C30" s="1" t="n">
        <v>45697</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12220-2024</t>
        </is>
      </c>
      <c r="B31" s="1" t="n">
        <v>45378</v>
      </c>
      <c r="C31" s="1" t="n">
        <v>45697</v>
      </c>
      <c r="D31" t="inlineStr">
        <is>
          <t>JÄMTLANDS LÄN</t>
        </is>
      </c>
      <c r="E31" t="inlineStr">
        <is>
          <t>ÅRE</t>
        </is>
      </c>
      <c r="F31" t="inlineStr">
        <is>
          <t>Övriga Aktiebolag</t>
        </is>
      </c>
      <c r="G31" t="n">
        <v>7.7</v>
      </c>
      <c r="H31" t="n">
        <v>0</v>
      </c>
      <c r="I31" t="n">
        <v>2</v>
      </c>
      <c r="J31" t="n">
        <v>7</v>
      </c>
      <c r="K31" t="n">
        <v>2</v>
      </c>
      <c r="L31" t="n">
        <v>0</v>
      </c>
      <c r="M31" t="n">
        <v>0</v>
      </c>
      <c r="N31" t="n">
        <v>0</v>
      </c>
      <c r="O31" t="n">
        <v>9</v>
      </c>
      <c r="P31" t="n">
        <v>2</v>
      </c>
      <c r="Q31" t="n">
        <v>11</v>
      </c>
      <c r="R31" s="2" t="inlineStr">
        <is>
          <t>Fläckporing
Gräddporing
Blanksvart spiklav
Dvärgbägarlav
Garnlav
Lunglav
Skrovellav
Vedflamlav
Vedskivlav
Bårdlav
Stuplav</t>
        </is>
      </c>
      <c r="S31">
        <f>HYPERLINK("https://klasma.github.io/Logging_2321/artfynd/A 12220-2024 artfynd.xlsx", "A 12220-2024")</f>
        <v/>
      </c>
      <c r="T31">
        <f>HYPERLINK("https://klasma.github.io/Logging_2321/kartor/A 12220-2024 karta.png", "A 12220-2024")</f>
        <v/>
      </c>
      <c r="V31">
        <f>HYPERLINK("https://klasma.github.io/Logging_2321/klagomål/A 12220-2024 FSC-klagomål.docx", "A 12220-2024")</f>
        <v/>
      </c>
      <c r="W31">
        <f>HYPERLINK("https://klasma.github.io/Logging_2321/klagomålsmail/A 12220-2024 FSC-klagomål mail.docx", "A 12220-2024")</f>
        <v/>
      </c>
      <c r="X31">
        <f>HYPERLINK("https://klasma.github.io/Logging_2321/tillsyn/A 12220-2024 tillsynsbegäran.docx", "A 12220-2024")</f>
        <v/>
      </c>
      <c r="Y31">
        <f>HYPERLINK("https://klasma.github.io/Logging_2321/tillsynsmail/A 12220-2024 tillsynsbegäran mail.docx", "A 12220-2024")</f>
        <v/>
      </c>
    </row>
    <row r="32" ht="15" customHeight="1">
      <c r="A32" t="inlineStr">
        <is>
          <t>A 13097-2024</t>
        </is>
      </c>
      <c r="B32" s="1" t="n">
        <v>45385</v>
      </c>
      <c r="C32" s="1" t="n">
        <v>45697</v>
      </c>
      <c r="D32" t="inlineStr">
        <is>
          <t>JÄMTLANDS LÄN</t>
        </is>
      </c>
      <c r="E32" t="inlineStr">
        <is>
          <t>ÅRE</t>
        </is>
      </c>
      <c r="G32" t="n">
        <v>31.4</v>
      </c>
      <c r="H32" t="n">
        <v>3</v>
      </c>
      <c r="I32" t="n">
        <v>4</v>
      </c>
      <c r="J32" t="n">
        <v>3</v>
      </c>
      <c r="K32" t="n">
        <v>2</v>
      </c>
      <c r="L32" t="n">
        <v>0</v>
      </c>
      <c r="M32" t="n">
        <v>0</v>
      </c>
      <c r="N32" t="n">
        <v>0</v>
      </c>
      <c r="O32" t="n">
        <v>5</v>
      </c>
      <c r="P32" t="n">
        <v>2</v>
      </c>
      <c r="Q32" t="n">
        <v>11</v>
      </c>
      <c r="R32" s="2" t="inlineStr">
        <is>
          <t>Tallbit
Ulltickeporing
Granticka
Skrovellav
Ullticka
Norrlandslav
Stuplav
Trådticka
Ögonpyrola
Tjäder
Revlummer</t>
        </is>
      </c>
      <c r="S32">
        <f>HYPERLINK("https://klasma.github.io/Logging_2321/artfynd/A 13097-2024 artfynd.xlsx", "A 13097-2024")</f>
        <v/>
      </c>
      <c r="T32">
        <f>HYPERLINK("https://klasma.github.io/Logging_2321/kartor/A 13097-2024 karta.png", "A 13097-2024")</f>
        <v/>
      </c>
      <c r="V32">
        <f>HYPERLINK("https://klasma.github.io/Logging_2321/klagomål/A 13097-2024 FSC-klagomål.docx", "A 13097-2024")</f>
        <v/>
      </c>
      <c r="W32">
        <f>HYPERLINK("https://klasma.github.io/Logging_2321/klagomålsmail/A 13097-2024 FSC-klagomål mail.docx", "A 13097-2024")</f>
        <v/>
      </c>
      <c r="X32">
        <f>HYPERLINK("https://klasma.github.io/Logging_2321/tillsyn/A 13097-2024 tillsynsbegäran.docx", "A 13097-2024")</f>
        <v/>
      </c>
      <c r="Y32">
        <f>HYPERLINK("https://klasma.github.io/Logging_2321/tillsynsmail/A 13097-2024 tillsynsbegäran mail.docx", "A 13097-2024")</f>
        <v/>
      </c>
      <c r="Z32">
        <f>HYPERLINK("https://klasma.github.io/Logging_2321/fåglar/A 13097-2024 prioriterade fågelarter.docx", "A 13097-2024")</f>
        <v/>
      </c>
    </row>
    <row r="33" ht="15" customHeight="1">
      <c r="A33" t="inlineStr">
        <is>
          <t>A 20658-2021</t>
        </is>
      </c>
      <c r="B33" s="1" t="n">
        <v>44316</v>
      </c>
      <c r="C33" s="1" t="n">
        <v>45697</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38082-2024</t>
        </is>
      </c>
      <c r="B34" s="1" t="n">
        <v>45545</v>
      </c>
      <c r="C34" s="1" t="n">
        <v>45697</v>
      </c>
      <c r="D34" t="inlineStr">
        <is>
          <t>JÄMTLANDS LÄN</t>
        </is>
      </c>
      <c r="E34" t="inlineStr">
        <is>
          <t>ÅRE</t>
        </is>
      </c>
      <c r="F34" t="inlineStr">
        <is>
          <t>Övriga Aktiebolag</t>
        </is>
      </c>
      <c r="G34" t="n">
        <v>17.4</v>
      </c>
      <c r="H34" t="n">
        <v>5</v>
      </c>
      <c r="I34" t="n">
        <v>1</v>
      </c>
      <c r="J34" t="n">
        <v>6</v>
      </c>
      <c r="K34" t="n">
        <v>0</v>
      </c>
      <c r="L34" t="n">
        <v>0</v>
      </c>
      <c r="M34" t="n">
        <v>0</v>
      </c>
      <c r="N34" t="n">
        <v>0</v>
      </c>
      <c r="O34" t="n">
        <v>6</v>
      </c>
      <c r="P34" t="n">
        <v>0</v>
      </c>
      <c r="Q34" t="n">
        <v>10</v>
      </c>
      <c r="R34" s="2" t="inlineStr">
        <is>
          <t>Garnlav
Granticka
Rosenticka
Talltita
Tretåig hackspett
Ullticka
Trådticka
Gråspett
Lavskrika
Sparvuggla</t>
        </is>
      </c>
      <c r="S34">
        <f>HYPERLINK("https://klasma.github.io/Logging_2321/artfynd/A 38082-2024 artfynd.xlsx", "A 38082-2024")</f>
        <v/>
      </c>
      <c r="T34">
        <f>HYPERLINK("https://klasma.github.io/Logging_2321/kartor/A 38082-2024 karta.png", "A 38082-2024")</f>
        <v/>
      </c>
      <c r="V34">
        <f>HYPERLINK("https://klasma.github.io/Logging_2321/klagomål/A 38082-2024 FSC-klagomål.docx", "A 38082-2024")</f>
        <v/>
      </c>
      <c r="W34">
        <f>HYPERLINK("https://klasma.github.io/Logging_2321/klagomålsmail/A 38082-2024 FSC-klagomål mail.docx", "A 38082-2024")</f>
        <v/>
      </c>
      <c r="X34">
        <f>HYPERLINK("https://klasma.github.io/Logging_2321/tillsyn/A 38082-2024 tillsynsbegäran.docx", "A 38082-2024")</f>
        <v/>
      </c>
      <c r="Y34">
        <f>HYPERLINK("https://klasma.github.io/Logging_2321/tillsynsmail/A 38082-2024 tillsynsbegäran mail.docx", "A 38082-2024")</f>
        <v/>
      </c>
      <c r="Z34">
        <f>HYPERLINK("https://klasma.github.io/Logging_2321/fåglar/A 38082-2024 prioriterade fågelarter.docx", "A 38082-2024")</f>
        <v/>
      </c>
    </row>
    <row r="35" ht="15" customHeight="1">
      <c r="A35" t="inlineStr">
        <is>
          <t>A 36432-2020</t>
        </is>
      </c>
      <c r="B35" s="1" t="n">
        <v>44049</v>
      </c>
      <c r="C35" s="1" t="n">
        <v>45697</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45697</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45697</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45697</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45697</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45697</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45697</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45697</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45697</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45697</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45697</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45697</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45697</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45697</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45697</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45697</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45697</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45697</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45697</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45697</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45697</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45697</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45697</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45697</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45697</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45697</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45697</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45697</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45697</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45697</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45697</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45697</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45697</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45697</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45697</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45697</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45697</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45697</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45697</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45697</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45697</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45697</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45697</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45697</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45697</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45697</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45697</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45697</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45697</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45697</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45697</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45697</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45697</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45697</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45697</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45697</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45697</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45697</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45697</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45697</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45697</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45697</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45697</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45697</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45697</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45697</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45697</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45697</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45697</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45697</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45697</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45697</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45697</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45697</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45697</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45697</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45697</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45697</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45697</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45697</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45697</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45697</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45697</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45697</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45697</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45697</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45697</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45697</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45697</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45697</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45697</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45697</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45697</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45697</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45697</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45697</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45697</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45697</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45697</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45697</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45697</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45697</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45697</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45697</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45697</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45697</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45697</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45697</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45697</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45697</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45697</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45697</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45697</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45697</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45697</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45697</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45697</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45697</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45697</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45697</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45697</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45697</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45697</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45697</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45697</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45697</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45697</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45697</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45697</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45697</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45697</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45697</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45697</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45697</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45697</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45697</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45697</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45697</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45697</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45697</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45697</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45697</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45697</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45697</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45697</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45697</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45697</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45697</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45697</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45697</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45697</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45697</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45697</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45697</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45697</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45697</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45697</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45697</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45697</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45697</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45697</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45697</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45697</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45697</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45697</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45697</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45697</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45697</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45697</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45697</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45697</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45697</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45697</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45697</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45697</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45697</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45697</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45697</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45697</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45697</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45697</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45697</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45697</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45697</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45697</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45697</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45697</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45697</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45697</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45697</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45697</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45697</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45697</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45697</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45697</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45697</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45697</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45697</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45697</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45697</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45697</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45697</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45697</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45697</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45697</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45697</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45697</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45697</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45697</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45697</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45697</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45697</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45697</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45697</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45697</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45697</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45697</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45697</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45697</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45697</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45697</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45697</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45697</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45697</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45697</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45697</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45697</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45697</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45697</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45697</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45697</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45697</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45697</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45697</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45697</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45697</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45697</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45697</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45697</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45697</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45697</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45697</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45697</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45697</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45697</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45697</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45697</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45697</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45697</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45697</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45697</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45697</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45697</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45697</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45697</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45697</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45697</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45697</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45697</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45697</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45697</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45697</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45697</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45697</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45697</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45697</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45697</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45697</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45697</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45697</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45697</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45697</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45697</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45697</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45697</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45697</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45697</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45697</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45697</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45697</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45697</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45697</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45697</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45697</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45697</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45697</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45697</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45697</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45697</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45697</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45697</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45697</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45697</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45697</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45697</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45697</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45697</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45697</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45697</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45697</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45697</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45697</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45697</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45697</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45697</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45697</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45697</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45697</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45697</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45697</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45697</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45697</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45697</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45697</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45697</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45697</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45697</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45697</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45697</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45697</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45697</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45697</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45697</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45697</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45697</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45697</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45697</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45697</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45697</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45697</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45697</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45697</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45697</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45697</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45697</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45697</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45697</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45697</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45697</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45697</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45697</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45697</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45697</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45697</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45697</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45697</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45697</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45697</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45697</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45697</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45697</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45697</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45697</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45697</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45697</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45697</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45697</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45697</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45697</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45697</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45697</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45697</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45697</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45697</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45697</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45697</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45697</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45697</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45697</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45697</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45697</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45697</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45697</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45697</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45697</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45697</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45697</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45697</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45697</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45697</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45697</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45697</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45697</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45697</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45697</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45697</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45697</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45697</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45697</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45697</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45697</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45697</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45697</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45697</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45697</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45697</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45697</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45697</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45697</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45697</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45697</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45697</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45697</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45697</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45697</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45697</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45697</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45697</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45697</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45697</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45697</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45697</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45697</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45697</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45697</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45697</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45697</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45697</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45697</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45697</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45697</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45697</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45697</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45697</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45697</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45697</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45697</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45697</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45697</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45697</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45697</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45697</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45697</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45697</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45697</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45697</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45697</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45697</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45697</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45697</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45697</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45697</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45697</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45697</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45697</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45697</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45697</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45697</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45697</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45697</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45697</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45697</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45697</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45697</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45697</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45697</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45697</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45697</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45697</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45697</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45697</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45697</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45697</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45697</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45697</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45697</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45697</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45697</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45697</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45697</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45697</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45697</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45697</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45697</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45697</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45697</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45697</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45697</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45697</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45697</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45697</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45697</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45697</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45697</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45697</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45697</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45697</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45697</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45697</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45697</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45697</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45697</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45697</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45697</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45697</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45697</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45697</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45697</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45697</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45697</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45697</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45697</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45697</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45697</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45697</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45697</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45697</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45697</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45697</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45697</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45697</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45697</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45697</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45697</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45697</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45697</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45697</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45697</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45697</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45697</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45697</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45697</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45697</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45697</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45697</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45697</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45697</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45697</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45697</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45697</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45697</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45697</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45697</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45697</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45697</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45697</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45697</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45697</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45697</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45697</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45697</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45697</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45697</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45697</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45697</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45697</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45697</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45697</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45697</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45697</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45697</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45697</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45697</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45697</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45697</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45697</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45697</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45697</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45697</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45697</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45697</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45697</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45697</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45697</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45697</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45697</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45697</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45697</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45697</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45697</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45697</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45697</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45697</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45697</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45697</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45697</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45697</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45697</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45697</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45697</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45697</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45697</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45697</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45697</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45697</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45697</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45697</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45697</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45697</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45697</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45697</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45697</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45697</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45697</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45697</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45697</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45697</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45697</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45697</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45697</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45697</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45697</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45697</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45697</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45697</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45697</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45697</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45697</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45697</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45697</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45697</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45697</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45697</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45697</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45697</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45697</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45697</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45697</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45697</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45697</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45697</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45697</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45697</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45697</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45697</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45697</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45697</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45697</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45697</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45697</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45697</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45697</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45697</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45697</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45697</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45697</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45697</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45697</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45697</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45697</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45697</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45697</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45697</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45697</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45697</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45697</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45697</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45697</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45697</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45697</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45697</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45697</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45697</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45697</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45697</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45697</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45697</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45697</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45697</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45697</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45697</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45697</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45697</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45697</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45697</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45697</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45697</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45697</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45697</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45697</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45697</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45697</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45697</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45697</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45697</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45697</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45697</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45697</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45697</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45697</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45697</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45697</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45697</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45697</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45697</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45697</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45697</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45697</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45697</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45697</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45697</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45697</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45697</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45697</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45697</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45697</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45697</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45697</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45697</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45697</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45697</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45697</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45697</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45697</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45697</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45697</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45697</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45697</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45697</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45697</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45697</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45697</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45697</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45697</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45697</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45697</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45697</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45697</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45697</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45697</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45697</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45697</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45697</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45697</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45697</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45697</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45697</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45697</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45697</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45697</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45697</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45697</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45697</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45697</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45697</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45697</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45697</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45697</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45697</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45697</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45697</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45697</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45697</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45697</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45697</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45697</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45697</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45697</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45697</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45697</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45697</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45697</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45697</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45697</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45697</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45697</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45697</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45697</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45697</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45697</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45697</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45697</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45697</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45697</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45697</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45697</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45697</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45697</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45697</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45697</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45697</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45697</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45697</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45697</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45697</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45697</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45697</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45697</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45697</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45697</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45697</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45697</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45697</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45697</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45697</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45697</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45697</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45697</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45697</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45697</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45697</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45697</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45697</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45697</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45697</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45697</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45697</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45697</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45697</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45697</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45697</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45697</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45697</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45697</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45697</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45697</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45697</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45697</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45697</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45697</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45697</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45697</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45697</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45697</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45697</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45697</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45697</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45697</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45697</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45697</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45697</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45697</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45697</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45697</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45697</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45697</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45697</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45697</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45697</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45697</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45697</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45697</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45697</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45697</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45697</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45697</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45697</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45697</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45697</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45697</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45697</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45697</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45697</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45697</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45697</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45697</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45697</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45697</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45697</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45697</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45697</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45697</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45697</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45697</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45697</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45697</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45697</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45697</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45697</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45697</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45697</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45697</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45697</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45697</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45697</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45697</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45697</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45697</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45697</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45697</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45697</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45697</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45697</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45697</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45697</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45697</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45697</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45697</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45697</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45697</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45697</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45697</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45697</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45697</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45697</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45697</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45697</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45697</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45697</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45697</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45697</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45697</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45697</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45697</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45697</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45697</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45697</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45697</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45697</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45697</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45697</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45697</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45697</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45697</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45697</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45697</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45697</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45697</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45697</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45697</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45697</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45697</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45697</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45697</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45697</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45697</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45697</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45697</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45697</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45697</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45697</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45697</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45697</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45697</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45697</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45697</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45697</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45697</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45697</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45697</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4216-2025</t>
        </is>
      </c>
      <c r="B965" s="1" t="n">
        <v>45685</v>
      </c>
      <c r="C965" s="1" t="n">
        <v>45697</v>
      </c>
      <c r="D965" t="inlineStr">
        <is>
          <t>JÄMTLANDS LÄN</t>
        </is>
      </c>
      <c r="E965" t="inlineStr">
        <is>
          <t>ÅRE</t>
        </is>
      </c>
      <c r="F965" t="inlineStr">
        <is>
          <t>Övriga Aktiebolag</t>
        </is>
      </c>
      <c r="G965" t="n">
        <v>14.6</v>
      </c>
      <c r="H965" t="n">
        <v>0</v>
      </c>
      <c r="I965" t="n">
        <v>0</v>
      </c>
      <c r="J965" t="n">
        <v>0</v>
      </c>
      <c r="K965" t="n">
        <v>0</v>
      </c>
      <c r="L965" t="n">
        <v>0</v>
      </c>
      <c r="M965" t="n">
        <v>0</v>
      </c>
      <c r="N965" t="n">
        <v>0</v>
      </c>
      <c r="O965" t="n">
        <v>0</v>
      </c>
      <c r="P965" t="n">
        <v>0</v>
      </c>
      <c r="Q965" t="n">
        <v>0</v>
      </c>
      <c r="R965" s="2" t="inlineStr"/>
    </row>
    <row r="966" ht="15" customHeight="1">
      <c r="A966" t="inlineStr">
        <is>
          <t>A 4181-2025</t>
        </is>
      </c>
      <c r="B966" s="1" t="n">
        <v>45685</v>
      </c>
      <c r="C966" s="1" t="n">
        <v>45697</v>
      </c>
      <c r="D966" t="inlineStr">
        <is>
          <t>JÄMTLANDS LÄN</t>
        </is>
      </c>
      <c r="E966" t="inlineStr">
        <is>
          <t>ÅRE</t>
        </is>
      </c>
      <c r="F966" t="inlineStr">
        <is>
          <t>Övriga Aktiebolag</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4218-2025</t>
        </is>
      </c>
      <c r="B967" s="1" t="n">
        <v>45685</v>
      </c>
      <c r="C967" s="1" t="n">
        <v>45697</v>
      </c>
      <c r="D967" t="inlineStr">
        <is>
          <t>JÄMTLANDS LÄN</t>
        </is>
      </c>
      <c r="E967" t="inlineStr">
        <is>
          <t>ÅRE</t>
        </is>
      </c>
      <c r="F967" t="inlineStr">
        <is>
          <t>Övriga Aktiebolag</t>
        </is>
      </c>
      <c r="G967" t="n">
        <v>10.1</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45697</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4777-2025</t>
        </is>
      </c>
      <c r="B969" s="1" t="n">
        <v>45688</v>
      </c>
      <c r="C969" s="1" t="n">
        <v>45697</v>
      </c>
      <c r="D969" t="inlineStr">
        <is>
          <t>JÄMTLANDS LÄN</t>
        </is>
      </c>
      <c r="E969" t="inlineStr">
        <is>
          <t>ÅRE</t>
        </is>
      </c>
      <c r="G969" t="n">
        <v>0.7</v>
      </c>
      <c r="H969" t="n">
        <v>0</v>
      </c>
      <c r="I969" t="n">
        <v>0</v>
      </c>
      <c r="J969" t="n">
        <v>0</v>
      </c>
      <c r="K969" t="n">
        <v>0</v>
      </c>
      <c r="L969" t="n">
        <v>0</v>
      </c>
      <c r="M969" t="n">
        <v>0</v>
      </c>
      <c r="N969" t="n">
        <v>0</v>
      </c>
      <c r="O969" t="n">
        <v>0</v>
      </c>
      <c r="P969" t="n">
        <v>0</v>
      </c>
      <c r="Q969" t="n">
        <v>0</v>
      </c>
      <c r="R969" s="2" t="inlineStr"/>
    </row>
    <row r="970" ht="15" customHeight="1">
      <c r="A970" t="inlineStr">
        <is>
          <t>A 4937-2025</t>
        </is>
      </c>
      <c r="B970" s="1" t="n">
        <v>45688</v>
      </c>
      <c r="C970" s="1" t="n">
        <v>45697</v>
      </c>
      <c r="D970" t="inlineStr">
        <is>
          <t>JÄMTLANDS LÄN</t>
        </is>
      </c>
      <c r="E970" t="inlineStr">
        <is>
          <t>ÅRE</t>
        </is>
      </c>
      <c r="G970" t="n">
        <v>1.8</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45697</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ht="15" customHeight="1">
      <c r="A972" t="inlineStr">
        <is>
          <t>A 4978-2025</t>
        </is>
      </c>
      <c r="B972" s="1" t="n">
        <v>45690</v>
      </c>
      <c r="C972" s="1" t="n">
        <v>45697</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row r="973" ht="15" customHeight="1">
      <c r="A973" t="inlineStr">
        <is>
          <t>A 5610-2025</t>
        </is>
      </c>
      <c r="B973" s="1" t="n">
        <v>45693</v>
      </c>
      <c r="C973" s="1" t="n">
        <v>45697</v>
      </c>
      <c r="D973" t="inlineStr">
        <is>
          <t>JÄMTLANDS LÄN</t>
        </is>
      </c>
      <c r="E973" t="inlineStr">
        <is>
          <t>ÅRE</t>
        </is>
      </c>
      <c r="G973" t="n">
        <v>1.6</v>
      </c>
      <c r="H973" t="n">
        <v>0</v>
      </c>
      <c r="I973" t="n">
        <v>0</v>
      </c>
      <c r="J973" t="n">
        <v>0</v>
      </c>
      <c r="K973" t="n">
        <v>0</v>
      </c>
      <c r="L973" t="n">
        <v>0</v>
      </c>
      <c r="M973" t="n">
        <v>0</v>
      </c>
      <c r="N973" t="n">
        <v>0</v>
      </c>
      <c r="O973" t="n">
        <v>0</v>
      </c>
      <c r="P973" t="n">
        <v>0</v>
      </c>
      <c r="Q973" t="n">
        <v>0</v>
      </c>
      <c r="R973" s="2" t="inlineStr"/>
    </row>
    <row r="974" ht="15" customHeight="1">
      <c r="A974" t="inlineStr">
        <is>
          <t>A 5611-2025</t>
        </is>
      </c>
      <c r="B974" s="1" t="n">
        <v>45693</v>
      </c>
      <c r="C974" s="1" t="n">
        <v>45697</v>
      </c>
      <c r="D974" t="inlineStr">
        <is>
          <t>JÄMTLANDS LÄN</t>
        </is>
      </c>
      <c r="E974" t="inlineStr">
        <is>
          <t>ÅRE</t>
        </is>
      </c>
      <c r="G974" t="n">
        <v>2.9</v>
      </c>
      <c r="H974" t="n">
        <v>0</v>
      </c>
      <c r="I974" t="n">
        <v>0</v>
      </c>
      <c r="J974" t="n">
        <v>0</v>
      </c>
      <c r="K974" t="n">
        <v>0</v>
      </c>
      <c r="L974" t="n">
        <v>0</v>
      </c>
      <c r="M974" t="n">
        <v>0</v>
      </c>
      <c r="N974" t="n">
        <v>0</v>
      </c>
      <c r="O974" t="n">
        <v>0</v>
      </c>
      <c r="P974" t="n">
        <v>0</v>
      </c>
      <c r="Q974" t="n">
        <v>0</v>
      </c>
      <c r="R974" s="2" t="inlineStr"/>
    </row>
    <row r="975">
      <c r="A975" t="inlineStr">
        <is>
          <t>A 6049-2025</t>
        </is>
      </c>
      <c r="B975" s="1" t="n">
        <v>45695</v>
      </c>
      <c r="C975" s="1" t="n">
        <v>45697</v>
      </c>
      <c r="D975" t="inlineStr">
        <is>
          <t>JÄMTLANDS LÄN</t>
        </is>
      </c>
      <c r="E975" t="inlineStr">
        <is>
          <t>ÅRE</t>
        </is>
      </c>
      <c r="G975" t="n">
        <v>58.3</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2025-02-09T17:10:11Z</dcterms:created>
  <dcterms:modified xmlns:dcterms="http://purl.org/dc/terms/" xmlns:xsi="http://www.w3.org/2001/XMLSchema-instance" xsi:type="dcterms:W3CDTF">2025-02-09T17:10:12Z</dcterms:modified>
</cp:coreProperties>
</file>