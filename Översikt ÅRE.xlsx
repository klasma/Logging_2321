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45337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45337</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45337</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45337</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45337</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45337</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45337</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45337</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45337</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45337</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45337</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45337</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45337</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45337</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45337</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45337</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45337</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45337</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45337</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45337</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45337</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45337</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45337</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45337</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45337</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45337</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45337</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45337</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45337</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45337</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45337</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45337</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45337</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45337</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45337</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45337</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45337</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45337</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45337</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45337</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45337</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45337</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45337</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45337</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45337</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45337</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45337</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45337</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58238-2021</t>
        </is>
      </c>
      <c r="B50" s="1" t="n">
        <v>44487</v>
      </c>
      <c r="C50" s="1" t="n">
        <v>45337</v>
      </c>
      <c r="D50" t="inlineStr">
        <is>
          <t>JÄMTLANDS LÄN</t>
        </is>
      </c>
      <c r="E50" t="inlineStr">
        <is>
          <t>ÅRE</t>
        </is>
      </c>
      <c r="G50" t="n">
        <v>42.2</v>
      </c>
      <c r="H50" t="n">
        <v>0</v>
      </c>
      <c r="I50" t="n">
        <v>0</v>
      </c>
      <c r="J50" t="n">
        <v>3</v>
      </c>
      <c r="K50" t="n">
        <v>2</v>
      </c>
      <c r="L50" t="n">
        <v>0</v>
      </c>
      <c r="M50" t="n">
        <v>0</v>
      </c>
      <c r="N50" t="n">
        <v>0</v>
      </c>
      <c r="O50" t="n">
        <v>5</v>
      </c>
      <c r="P50" t="n">
        <v>2</v>
      </c>
      <c r="Q50" t="n">
        <v>5</v>
      </c>
      <c r="R50" s="2" t="inlineStr">
        <is>
          <t>Lappticka
Norsk näverlav
Gammelgransskål
Gränsticka
Rödbrun blekspik</t>
        </is>
      </c>
      <c r="S50">
        <f>HYPERLINK("https://klasma.github.io/Logging_2321/artfynd/A 58238-2021 artfynd.xlsx", "A 58238-2021")</f>
        <v/>
      </c>
      <c r="T50">
        <f>HYPERLINK("https://klasma.github.io/Logging_2321/kartor/A 58238-2021 karta.png", "A 58238-2021")</f>
        <v/>
      </c>
      <c r="V50">
        <f>HYPERLINK("https://klasma.github.io/Logging_2321/klagomål/A 58238-2021 FSC-klagomål.docx", "A 58238-2021")</f>
        <v/>
      </c>
      <c r="W50">
        <f>HYPERLINK("https://klasma.github.io/Logging_2321/klagomålsmail/A 58238-2021 FSC-klagomål mail.docx", "A 58238-2021")</f>
        <v/>
      </c>
      <c r="X50">
        <f>HYPERLINK("https://klasma.github.io/Logging_2321/tillsyn/A 58238-2021 tillsynsbegäran.docx", "A 58238-2021")</f>
        <v/>
      </c>
      <c r="Y50">
        <f>HYPERLINK("https://klasma.github.io/Logging_2321/tillsynsmail/A 58238-2021 tillsynsbegäran mail.docx", "A 58238-2021")</f>
        <v/>
      </c>
    </row>
    <row r="51" ht="15" customHeight="1">
      <c r="A51" t="inlineStr">
        <is>
          <t>A 60246-2021</t>
        </is>
      </c>
      <c r="B51" s="1" t="n">
        <v>44495</v>
      </c>
      <c r="C51" s="1" t="n">
        <v>45337</v>
      </c>
      <c r="D51" t="inlineStr">
        <is>
          <t>JÄMTLANDS LÄN</t>
        </is>
      </c>
      <c r="E51" t="inlineStr">
        <is>
          <t>ÅRE</t>
        </is>
      </c>
      <c r="G51" t="n">
        <v>4.3</v>
      </c>
      <c r="H51" t="n">
        <v>1</v>
      </c>
      <c r="I51" t="n">
        <v>0</v>
      </c>
      <c r="J51" t="n">
        <v>4</v>
      </c>
      <c r="K51" t="n">
        <v>1</v>
      </c>
      <c r="L51" t="n">
        <v>0</v>
      </c>
      <c r="M51" t="n">
        <v>0</v>
      </c>
      <c r="N51" t="n">
        <v>0</v>
      </c>
      <c r="O51" t="n">
        <v>5</v>
      </c>
      <c r="P51" t="n">
        <v>1</v>
      </c>
      <c r="Q51" t="n">
        <v>5</v>
      </c>
      <c r="R51" s="2" t="inlineStr">
        <is>
          <t>Lappticka
Granticka
Tretåig hackspett
Ullticka
Vitgrynig nållav</t>
        </is>
      </c>
      <c r="S51">
        <f>HYPERLINK("https://klasma.github.io/Logging_2321/artfynd/A 60246-2021 artfynd.xlsx", "A 60246-2021")</f>
        <v/>
      </c>
      <c r="T51">
        <f>HYPERLINK("https://klasma.github.io/Logging_2321/kartor/A 60246-2021 karta.png", "A 60246-2021")</f>
        <v/>
      </c>
      <c r="V51">
        <f>HYPERLINK("https://klasma.github.io/Logging_2321/klagomål/A 60246-2021 FSC-klagomål.docx", "A 60246-2021")</f>
        <v/>
      </c>
      <c r="W51">
        <f>HYPERLINK("https://klasma.github.io/Logging_2321/klagomålsmail/A 60246-2021 FSC-klagomål mail.docx", "A 60246-2021")</f>
        <v/>
      </c>
      <c r="X51">
        <f>HYPERLINK("https://klasma.github.io/Logging_2321/tillsyn/A 60246-2021 tillsynsbegäran.docx", "A 60246-2021")</f>
        <v/>
      </c>
      <c r="Y51">
        <f>HYPERLINK("https://klasma.github.io/Logging_2321/tillsynsmail/A 60246-2021 tillsynsbegäran mail.docx", "A 60246-2021")</f>
        <v/>
      </c>
      <c r="Z51">
        <f>HYPERLINK("https://klasma.github.io/Logging_2321/fåglar/A 60246-2021 prioriterade fågelarter.docx", "A 60246-2021")</f>
        <v/>
      </c>
    </row>
    <row r="52" ht="15" customHeight="1">
      <c r="A52" t="inlineStr">
        <is>
          <t>A 32065-2022</t>
        </is>
      </c>
      <c r="B52" s="1" t="n">
        <v>44778</v>
      </c>
      <c r="C52" s="1" t="n">
        <v>45337</v>
      </c>
      <c r="D52" t="inlineStr">
        <is>
          <t>JÄMTLANDS LÄN</t>
        </is>
      </c>
      <c r="E52" t="inlineStr">
        <is>
          <t>ÅRE</t>
        </is>
      </c>
      <c r="G52" t="n">
        <v>19.2</v>
      </c>
      <c r="H52" t="n">
        <v>1</v>
      </c>
      <c r="I52" t="n">
        <v>2</v>
      </c>
      <c r="J52" t="n">
        <v>3</v>
      </c>
      <c r="K52" t="n">
        <v>0</v>
      </c>
      <c r="L52" t="n">
        <v>0</v>
      </c>
      <c r="M52" t="n">
        <v>0</v>
      </c>
      <c r="N52" t="n">
        <v>0</v>
      </c>
      <c r="O52" t="n">
        <v>3</v>
      </c>
      <c r="P52" t="n">
        <v>0</v>
      </c>
      <c r="Q52" t="n">
        <v>5</v>
      </c>
      <c r="R52" s="2" t="inlineStr">
        <is>
          <t>Granticka
Tretåig hackspett
Ullticka
Sotlav
Stuplav</t>
        </is>
      </c>
      <c r="S52">
        <f>HYPERLINK("https://klasma.github.io/Logging_2321/artfynd/A 32065-2022 artfynd.xlsx", "A 32065-2022")</f>
        <v/>
      </c>
      <c r="T52">
        <f>HYPERLINK("https://klasma.github.io/Logging_2321/kartor/A 32065-2022 karta.png", "A 32065-2022")</f>
        <v/>
      </c>
      <c r="V52">
        <f>HYPERLINK("https://klasma.github.io/Logging_2321/klagomål/A 32065-2022 FSC-klagomål.docx", "A 32065-2022")</f>
        <v/>
      </c>
      <c r="W52">
        <f>HYPERLINK("https://klasma.github.io/Logging_2321/klagomålsmail/A 32065-2022 FSC-klagomål mail.docx", "A 32065-2022")</f>
        <v/>
      </c>
      <c r="X52">
        <f>HYPERLINK("https://klasma.github.io/Logging_2321/tillsyn/A 32065-2022 tillsynsbegäran.docx", "A 32065-2022")</f>
        <v/>
      </c>
      <c r="Y52">
        <f>HYPERLINK("https://klasma.github.io/Logging_2321/tillsynsmail/A 32065-2022 tillsynsbegäran mail.docx", "A 32065-2022")</f>
        <v/>
      </c>
      <c r="Z52">
        <f>HYPERLINK("https://klasma.github.io/Logging_2321/fåglar/A 32065-2022 prioriterade fågelarter.docx", "A 32065-2022")</f>
        <v/>
      </c>
    </row>
    <row r="53" ht="15" customHeight="1">
      <c r="A53" t="inlineStr">
        <is>
          <t>A 45114-2022</t>
        </is>
      </c>
      <c r="B53" s="1" t="n">
        <v>44843</v>
      </c>
      <c r="C53" s="1" t="n">
        <v>45337</v>
      </c>
      <c r="D53" t="inlineStr">
        <is>
          <t>JÄMTLANDS LÄN</t>
        </is>
      </c>
      <c r="E53" t="inlineStr">
        <is>
          <t>ÅRE</t>
        </is>
      </c>
      <c r="G53" t="n">
        <v>2.1</v>
      </c>
      <c r="H53" t="n">
        <v>1</v>
      </c>
      <c r="I53" t="n">
        <v>3</v>
      </c>
      <c r="J53" t="n">
        <v>1</v>
      </c>
      <c r="K53" t="n">
        <v>0</v>
      </c>
      <c r="L53" t="n">
        <v>0</v>
      </c>
      <c r="M53" t="n">
        <v>0</v>
      </c>
      <c r="N53" t="n">
        <v>0</v>
      </c>
      <c r="O53" t="n">
        <v>1</v>
      </c>
      <c r="P53" t="n">
        <v>0</v>
      </c>
      <c r="Q53" t="n">
        <v>5</v>
      </c>
      <c r="R53" s="2" t="inlineStr">
        <is>
          <t>Lunglav
Luddlav
Strutbräken
Stuplav
Fläcknycklar</t>
        </is>
      </c>
      <c r="S53">
        <f>HYPERLINK("https://klasma.github.io/Logging_2321/artfynd/A 45114-2022 artfynd.xlsx", "A 45114-2022")</f>
        <v/>
      </c>
      <c r="T53">
        <f>HYPERLINK("https://klasma.github.io/Logging_2321/kartor/A 45114-2022 karta.png", "A 45114-2022")</f>
        <v/>
      </c>
      <c r="V53">
        <f>HYPERLINK("https://klasma.github.io/Logging_2321/klagomål/A 45114-2022 FSC-klagomål.docx", "A 45114-2022")</f>
        <v/>
      </c>
      <c r="W53">
        <f>HYPERLINK("https://klasma.github.io/Logging_2321/klagomålsmail/A 45114-2022 FSC-klagomål mail.docx", "A 45114-2022")</f>
        <v/>
      </c>
      <c r="X53">
        <f>HYPERLINK("https://klasma.github.io/Logging_2321/tillsyn/A 45114-2022 tillsynsbegäran.docx", "A 45114-2022")</f>
        <v/>
      </c>
      <c r="Y53">
        <f>HYPERLINK("https://klasma.github.io/Logging_2321/tillsynsmail/A 45114-2022 tillsynsbegäran mail.docx", "A 45114-2022")</f>
        <v/>
      </c>
    </row>
    <row r="54" ht="15" customHeight="1">
      <c r="A54" t="inlineStr">
        <is>
          <t>A 54448-2022</t>
        </is>
      </c>
      <c r="B54" s="1" t="n">
        <v>44882</v>
      </c>
      <c r="C54" s="1" t="n">
        <v>45337</v>
      </c>
      <c r="D54" t="inlineStr">
        <is>
          <t>JÄMTLANDS LÄN</t>
        </is>
      </c>
      <c r="E54" t="inlineStr">
        <is>
          <t>ÅRE</t>
        </is>
      </c>
      <c r="G54" t="n">
        <v>7.4</v>
      </c>
      <c r="H54" t="n">
        <v>0</v>
      </c>
      <c r="I54" t="n">
        <v>0</v>
      </c>
      <c r="J54" t="n">
        <v>5</v>
      </c>
      <c r="K54" t="n">
        <v>0</v>
      </c>
      <c r="L54" t="n">
        <v>0</v>
      </c>
      <c r="M54" t="n">
        <v>0</v>
      </c>
      <c r="N54" t="n">
        <v>0</v>
      </c>
      <c r="O54" t="n">
        <v>5</v>
      </c>
      <c r="P54" t="n">
        <v>0</v>
      </c>
      <c r="Q54" t="n">
        <v>5</v>
      </c>
      <c r="R54" s="2" t="inlineStr">
        <is>
          <t>Garnlav
Granticka
Gränsticka
Rosenticka
Ullticka</t>
        </is>
      </c>
      <c r="S54">
        <f>HYPERLINK("https://klasma.github.io/Logging_2321/artfynd/A 54448-2022 artfynd.xlsx", "A 54448-2022")</f>
        <v/>
      </c>
      <c r="T54">
        <f>HYPERLINK("https://klasma.github.io/Logging_2321/kartor/A 54448-2022 karta.png", "A 54448-2022")</f>
        <v/>
      </c>
      <c r="V54">
        <f>HYPERLINK("https://klasma.github.io/Logging_2321/klagomål/A 54448-2022 FSC-klagomål.docx", "A 54448-2022")</f>
        <v/>
      </c>
      <c r="W54">
        <f>HYPERLINK("https://klasma.github.io/Logging_2321/klagomålsmail/A 54448-2022 FSC-klagomål mail.docx", "A 54448-2022")</f>
        <v/>
      </c>
      <c r="X54">
        <f>HYPERLINK("https://klasma.github.io/Logging_2321/tillsyn/A 54448-2022 tillsynsbegäran.docx", "A 54448-2022")</f>
        <v/>
      </c>
      <c r="Y54">
        <f>HYPERLINK("https://klasma.github.io/Logging_2321/tillsynsmail/A 54448-2022 tillsynsbegäran mail.docx", "A 54448-2022")</f>
        <v/>
      </c>
    </row>
    <row r="55" ht="15" customHeight="1">
      <c r="A55" t="inlineStr">
        <is>
          <t>A 8515-2023</t>
        </is>
      </c>
      <c r="B55" s="1" t="n">
        <v>44977</v>
      </c>
      <c r="C55" s="1" t="n">
        <v>45337</v>
      </c>
      <c r="D55" t="inlineStr">
        <is>
          <t>JÄMTLANDS LÄN</t>
        </is>
      </c>
      <c r="E55" t="inlineStr">
        <is>
          <t>ÅRE</t>
        </is>
      </c>
      <c r="F55" t="inlineStr">
        <is>
          <t>Övriga Aktiebolag</t>
        </is>
      </c>
      <c r="G55" t="n">
        <v>34.2</v>
      </c>
      <c r="H55" t="n">
        <v>1</v>
      </c>
      <c r="I55" t="n">
        <v>2</v>
      </c>
      <c r="J55" t="n">
        <v>3</v>
      </c>
      <c r="K55" t="n">
        <v>0</v>
      </c>
      <c r="L55" t="n">
        <v>0</v>
      </c>
      <c r="M55" t="n">
        <v>0</v>
      </c>
      <c r="N55" t="n">
        <v>0</v>
      </c>
      <c r="O55" t="n">
        <v>3</v>
      </c>
      <c r="P55" t="n">
        <v>0</v>
      </c>
      <c r="Q55" t="n">
        <v>5</v>
      </c>
      <c r="R55" s="2" t="inlineStr">
        <is>
          <t>Gränsticka
Skrovellav
Tretåig hackspett
Skinnlav
Stuplav</t>
        </is>
      </c>
      <c r="S55">
        <f>HYPERLINK("https://klasma.github.io/Logging_2321/artfynd/A 8515-2023 artfynd.xlsx", "A 8515-2023")</f>
        <v/>
      </c>
      <c r="T55">
        <f>HYPERLINK("https://klasma.github.io/Logging_2321/kartor/A 8515-2023 karta.png", "A 8515-2023")</f>
        <v/>
      </c>
      <c r="V55">
        <f>HYPERLINK("https://klasma.github.io/Logging_2321/klagomål/A 8515-2023 FSC-klagomål.docx", "A 8515-2023")</f>
        <v/>
      </c>
      <c r="W55">
        <f>HYPERLINK("https://klasma.github.io/Logging_2321/klagomålsmail/A 8515-2023 FSC-klagomål mail.docx", "A 8515-2023")</f>
        <v/>
      </c>
      <c r="X55">
        <f>HYPERLINK("https://klasma.github.io/Logging_2321/tillsyn/A 8515-2023 tillsynsbegäran.docx", "A 8515-2023")</f>
        <v/>
      </c>
      <c r="Y55">
        <f>HYPERLINK("https://klasma.github.io/Logging_2321/tillsynsmail/A 8515-2023 tillsynsbegäran mail.docx", "A 8515-2023")</f>
        <v/>
      </c>
      <c r="Z55">
        <f>HYPERLINK("https://klasma.github.io/Logging_2321/fåglar/A 8515-2023 prioriterade fågelarter.docx", "A 8515-2023")</f>
        <v/>
      </c>
    </row>
    <row r="56" ht="15" customHeight="1">
      <c r="A56" t="inlineStr">
        <is>
          <t>A 45828-2023</t>
        </is>
      </c>
      <c r="B56" s="1" t="n">
        <v>45195</v>
      </c>
      <c r="C56" s="1" t="n">
        <v>45337</v>
      </c>
      <c r="D56" t="inlineStr">
        <is>
          <t>JÄMTLANDS LÄN</t>
        </is>
      </c>
      <c r="E56" t="inlineStr">
        <is>
          <t>ÅRE</t>
        </is>
      </c>
      <c r="G56" t="n">
        <v>10.9</v>
      </c>
      <c r="H56" t="n">
        <v>3</v>
      </c>
      <c r="I56" t="n">
        <v>0</v>
      </c>
      <c r="J56" t="n">
        <v>4</v>
      </c>
      <c r="K56" t="n">
        <v>0</v>
      </c>
      <c r="L56" t="n">
        <v>0</v>
      </c>
      <c r="M56" t="n">
        <v>0</v>
      </c>
      <c r="N56" t="n">
        <v>0</v>
      </c>
      <c r="O56" t="n">
        <v>4</v>
      </c>
      <c r="P56" t="n">
        <v>0</v>
      </c>
      <c r="Q56" t="n">
        <v>5</v>
      </c>
      <c r="R56" s="2" t="inlineStr">
        <is>
          <t>Granticka
Harticka
Spillkråka
Tretåig hackspett
Lavskrika</t>
        </is>
      </c>
      <c r="S56">
        <f>HYPERLINK("https://klasma.github.io/Logging_2321/artfynd/A 45828-2023 artfynd.xlsx", "A 45828-2023")</f>
        <v/>
      </c>
      <c r="T56">
        <f>HYPERLINK("https://klasma.github.io/Logging_2321/kartor/A 45828-2023 karta.png", "A 45828-2023")</f>
        <v/>
      </c>
      <c r="V56">
        <f>HYPERLINK("https://klasma.github.io/Logging_2321/klagomål/A 45828-2023 FSC-klagomål.docx", "A 45828-2023")</f>
        <v/>
      </c>
      <c r="W56">
        <f>HYPERLINK("https://klasma.github.io/Logging_2321/klagomålsmail/A 45828-2023 FSC-klagomål mail.docx", "A 45828-2023")</f>
        <v/>
      </c>
      <c r="X56">
        <f>HYPERLINK("https://klasma.github.io/Logging_2321/tillsyn/A 45828-2023 tillsynsbegäran.docx", "A 45828-2023")</f>
        <v/>
      </c>
      <c r="Y56">
        <f>HYPERLINK("https://klasma.github.io/Logging_2321/tillsynsmail/A 45828-2023 tillsynsbegäran mail.docx", "A 45828-2023")</f>
        <v/>
      </c>
      <c r="Z56">
        <f>HYPERLINK("https://klasma.github.io/Logging_2321/fåglar/A 45828-2023 prioriterade fågelarter.docx", "A 45828-2023")</f>
        <v/>
      </c>
    </row>
    <row r="57" ht="15" customHeight="1">
      <c r="A57" t="inlineStr">
        <is>
          <t>A 32051-2019</t>
        </is>
      </c>
      <c r="B57" s="1" t="n">
        <v>43643</v>
      </c>
      <c r="C57" s="1" t="n">
        <v>45337</v>
      </c>
      <c r="D57" t="inlineStr">
        <is>
          <t>JÄMTLANDS LÄN</t>
        </is>
      </c>
      <c r="E57" t="inlineStr">
        <is>
          <t>ÅRE</t>
        </is>
      </c>
      <c r="G57" t="n">
        <v>7.1</v>
      </c>
      <c r="H57" t="n">
        <v>2</v>
      </c>
      <c r="I57" t="n">
        <v>2</v>
      </c>
      <c r="J57" t="n">
        <v>1</v>
      </c>
      <c r="K57" t="n">
        <v>0</v>
      </c>
      <c r="L57" t="n">
        <v>0</v>
      </c>
      <c r="M57" t="n">
        <v>0</v>
      </c>
      <c r="N57" t="n">
        <v>0</v>
      </c>
      <c r="O57" t="n">
        <v>1</v>
      </c>
      <c r="P57" t="n">
        <v>0</v>
      </c>
      <c r="Q57" t="n">
        <v>4</v>
      </c>
      <c r="R57" s="2" t="inlineStr">
        <is>
          <t>Lunglav
Guckusko
Tibast
Blåsippa</t>
        </is>
      </c>
      <c r="S57">
        <f>HYPERLINK("https://klasma.github.io/Logging_2321/artfynd/A 32051-2019 artfynd.xlsx", "A 32051-2019")</f>
        <v/>
      </c>
      <c r="T57">
        <f>HYPERLINK("https://klasma.github.io/Logging_2321/kartor/A 32051-2019 karta.png", "A 32051-2019")</f>
        <v/>
      </c>
      <c r="V57">
        <f>HYPERLINK("https://klasma.github.io/Logging_2321/klagomål/A 32051-2019 FSC-klagomål.docx", "A 32051-2019")</f>
        <v/>
      </c>
      <c r="W57">
        <f>HYPERLINK("https://klasma.github.io/Logging_2321/klagomålsmail/A 32051-2019 FSC-klagomål mail.docx", "A 32051-2019")</f>
        <v/>
      </c>
      <c r="X57">
        <f>HYPERLINK("https://klasma.github.io/Logging_2321/tillsyn/A 32051-2019 tillsynsbegäran.docx", "A 32051-2019")</f>
        <v/>
      </c>
      <c r="Y57">
        <f>HYPERLINK("https://klasma.github.io/Logging_2321/tillsynsmail/A 32051-2019 tillsynsbegäran mail.docx", "A 32051-2019")</f>
        <v/>
      </c>
    </row>
    <row r="58" ht="15" customHeight="1">
      <c r="A58" t="inlineStr">
        <is>
          <t>A 34717-2019</t>
        </is>
      </c>
      <c r="B58" s="1" t="n">
        <v>43657</v>
      </c>
      <c r="C58" s="1" t="n">
        <v>45337</v>
      </c>
      <c r="D58" t="inlineStr">
        <is>
          <t>JÄMTLANDS LÄN</t>
        </is>
      </c>
      <c r="E58" t="inlineStr">
        <is>
          <t>ÅRE</t>
        </is>
      </c>
      <c r="G58" t="n">
        <v>14.4</v>
      </c>
      <c r="H58" t="n">
        <v>0</v>
      </c>
      <c r="I58" t="n">
        <v>1</v>
      </c>
      <c r="J58" t="n">
        <v>3</v>
      </c>
      <c r="K58" t="n">
        <v>0</v>
      </c>
      <c r="L58" t="n">
        <v>0</v>
      </c>
      <c r="M58" t="n">
        <v>0</v>
      </c>
      <c r="N58" t="n">
        <v>0</v>
      </c>
      <c r="O58" t="n">
        <v>3</v>
      </c>
      <c r="P58" t="n">
        <v>0</v>
      </c>
      <c r="Q58" t="n">
        <v>4</v>
      </c>
      <c r="R58" s="2" t="inlineStr">
        <is>
          <t>Blanksvart spiklav
Blågrå svartspik
Vedflamlav
Dropptaggsvamp</t>
        </is>
      </c>
      <c r="S58">
        <f>HYPERLINK("https://klasma.github.io/Logging_2321/artfynd/A 34717-2019 artfynd.xlsx", "A 34717-2019")</f>
        <v/>
      </c>
      <c r="T58">
        <f>HYPERLINK("https://klasma.github.io/Logging_2321/kartor/A 34717-2019 karta.png", "A 34717-2019")</f>
        <v/>
      </c>
      <c r="V58">
        <f>HYPERLINK("https://klasma.github.io/Logging_2321/klagomål/A 34717-2019 FSC-klagomål.docx", "A 34717-2019")</f>
        <v/>
      </c>
      <c r="W58">
        <f>HYPERLINK("https://klasma.github.io/Logging_2321/klagomålsmail/A 34717-2019 FSC-klagomål mail.docx", "A 34717-2019")</f>
        <v/>
      </c>
      <c r="X58">
        <f>HYPERLINK("https://klasma.github.io/Logging_2321/tillsyn/A 34717-2019 tillsynsbegäran.docx", "A 34717-2019")</f>
        <v/>
      </c>
      <c r="Y58">
        <f>HYPERLINK("https://klasma.github.io/Logging_2321/tillsynsmail/A 34717-2019 tillsynsbegäran mail.docx", "A 34717-2019")</f>
        <v/>
      </c>
    </row>
    <row r="59" ht="15" customHeight="1">
      <c r="A59" t="inlineStr">
        <is>
          <t>A 1781-2020</t>
        </is>
      </c>
      <c r="B59" s="1" t="n">
        <v>43844</v>
      </c>
      <c r="C59" s="1" t="n">
        <v>45337</v>
      </c>
      <c r="D59" t="inlineStr">
        <is>
          <t>JÄMTLANDS LÄN</t>
        </is>
      </c>
      <c r="E59" t="inlineStr">
        <is>
          <t>ÅRE</t>
        </is>
      </c>
      <c r="G59" t="n">
        <v>9.300000000000001</v>
      </c>
      <c r="H59" t="n">
        <v>0</v>
      </c>
      <c r="I59" t="n">
        <v>3</v>
      </c>
      <c r="J59" t="n">
        <v>1</v>
      </c>
      <c r="K59" t="n">
        <v>0</v>
      </c>
      <c r="L59" t="n">
        <v>0</v>
      </c>
      <c r="M59" t="n">
        <v>0</v>
      </c>
      <c r="N59" t="n">
        <v>0</v>
      </c>
      <c r="O59" t="n">
        <v>1</v>
      </c>
      <c r="P59" t="n">
        <v>0</v>
      </c>
      <c r="Q59" t="n">
        <v>4</v>
      </c>
      <c r="R59" s="2" t="inlineStr">
        <is>
          <t>Vitgrynig nållav
Kransrams
Kryddspindling
Svavelriska</t>
        </is>
      </c>
      <c r="S59">
        <f>HYPERLINK("https://klasma.github.io/Logging_2321/artfynd/A 1781-2020 artfynd.xlsx", "A 1781-2020")</f>
        <v/>
      </c>
      <c r="T59">
        <f>HYPERLINK("https://klasma.github.io/Logging_2321/kartor/A 1781-2020 karta.png", "A 1781-2020")</f>
        <v/>
      </c>
      <c r="V59">
        <f>HYPERLINK("https://klasma.github.io/Logging_2321/klagomål/A 1781-2020 FSC-klagomål.docx", "A 1781-2020")</f>
        <v/>
      </c>
      <c r="W59">
        <f>HYPERLINK("https://klasma.github.io/Logging_2321/klagomålsmail/A 1781-2020 FSC-klagomål mail.docx", "A 1781-2020")</f>
        <v/>
      </c>
      <c r="X59">
        <f>HYPERLINK("https://klasma.github.io/Logging_2321/tillsyn/A 1781-2020 tillsynsbegäran.docx", "A 1781-2020")</f>
        <v/>
      </c>
      <c r="Y59">
        <f>HYPERLINK("https://klasma.github.io/Logging_2321/tillsynsmail/A 1781-2020 tillsynsbegäran mail.docx", "A 1781-2020")</f>
        <v/>
      </c>
    </row>
    <row r="60" ht="15" customHeight="1">
      <c r="A60" t="inlineStr">
        <is>
          <t>A 16005-2020</t>
        </is>
      </c>
      <c r="B60" s="1" t="n">
        <v>43916</v>
      </c>
      <c r="C60" s="1" t="n">
        <v>45337</v>
      </c>
      <c r="D60" t="inlineStr">
        <is>
          <t>JÄMTLANDS LÄN</t>
        </is>
      </c>
      <c r="E60" t="inlineStr">
        <is>
          <t>ÅRE</t>
        </is>
      </c>
      <c r="G60" t="n">
        <v>13.3</v>
      </c>
      <c r="H60" t="n">
        <v>1</v>
      </c>
      <c r="I60" t="n">
        <v>2</v>
      </c>
      <c r="J60" t="n">
        <v>1</v>
      </c>
      <c r="K60" t="n">
        <v>0</v>
      </c>
      <c r="L60" t="n">
        <v>0</v>
      </c>
      <c r="M60" t="n">
        <v>0</v>
      </c>
      <c r="N60" t="n">
        <v>0</v>
      </c>
      <c r="O60" t="n">
        <v>1</v>
      </c>
      <c r="P60" t="n">
        <v>0</v>
      </c>
      <c r="Q60" t="n">
        <v>4</v>
      </c>
      <c r="R60" s="2" t="inlineStr">
        <is>
          <t>Orange taggsvamp
Dropptaggsvamp
Kransrams
Blåsippa</t>
        </is>
      </c>
      <c r="S60">
        <f>HYPERLINK("https://klasma.github.io/Logging_2321/artfynd/A 16005-2020 artfynd.xlsx", "A 16005-2020")</f>
        <v/>
      </c>
      <c r="T60">
        <f>HYPERLINK("https://klasma.github.io/Logging_2321/kartor/A 16005-2020 karta.png", "A 16005-2020")</f>
        <v/>
      </c>
      <c r="V60">
        <f>HYPERLINK("https://klasma.github.io/Logging_2321/klagomål/A 16005-2020 FSC-klagomål.docx", "A 16005-2020")</f>
        <v/>
      </c>
      <c r="W60">
        <f>HYPERLINK("https://klasma.github.io/Logging_2321/klagomålsmail/A 16005-2020 FSC-klagomål mail.docx", "A 16005-2020")</f>
        <v/>
      </c>
      <c r="X60">
        <f>HYPERLINK("https://klasma.github.io/Logging_2321/tillsyn/A 16005-2020 tillsynsbegäran.docx", "A 16005-2020")</f>
        <v/>
      </c>
      <c r="Y60">
        <f>HYPERLINK("https://klasma.github.io/Logging_2321/tillsynsmail/A 16005-2020 tillsynsbegäran mail.docx", "A 16005-2020")</f>
        <v/>
      </c>
    </row>
    <row r="61" ht="15" customHeight="1">
      <c r="A61" t="inlineStr">
        <is>
          <t>A 45849-2020</t>
        </is>
      </c>
      <c r="B61" s="1" t="n">
        <v>44090</v>
      </c>
      <c r="C61" s="1" t="n">
        <v>45337</v>
      </c>
      <c r="D61" t="inlineStr">
        <is>
          <t>JÄMTLANDS LÄN</t>
        </is>
      </c>
      <c r="E61" t="inlineStr">
        <is>
          <t>ÅRE</t>
        </is>
      </c>
      <c r="G61" t="n">
        <v>2.7</v>
      </c>
      <c r="H61" t="n">
        <v>0</v>
      </c>
      <c r="I61" t="n">
        <v>1</v>
      </c>
      <c r="J61" t="n">
        <v>3</v>
      </c>
      <c r="K61" t="n">
        <v>0</v>
      </c>
      <c r="L61" t="n">
        <v>0</v>
      </c>
      <c r="M61" t="n">
        <v>0</v>
      </c>
      <c r="N61" t="n">
        <v>0</v>
      </c>
      <c r="O61" t="n">
        <v>3</v>
      </c>
      <c r="P61" t="n">
        <v>0</v>
      </c>
      <c r="Q61" t="n">
        <v>4</v>
      </c>
      <c r="R61" s="2" t="inlineStr">
        <is>
          <t>Garnlav
Granticka
Harticka
Stuplav</t>
        </is>
      </c>
      <c r="S61">
        <f>HYPERLINK("https://klasma.github.io/Logging_2321/artfynd/A 45849-2020 artfynd.xlsx", "A 45849-2020")</f>
        <v/>
      </c>
      <c r="T61">
        <f>HYPERLINK("https://klasma.github.io/Logging_2321/kartor/A 45849-2020 karta.png", "A 45849-2020")</f>
        <v/>
      </c>
      <c r="V61">
        <f>HYPERLINK("https://klasma.github.io/Logging_2321/klagomål/A 45849-2020 FSC-klagomål.docx", "A 45849-2020")</f>
        <v/>
      </c>
      <c r="W61">
        <f>HYPERLINK("https://klasma.github.io/Logging_2321/klagomålsmail/A 45849-2020 FSC-klagomål mail.docx", "A 45849-2020")</f>
        <v/>
      </c>
      <c r="X61">
        <f>HYPERLINK("https://klasma.github.io/Logging_2321/tillsyn/A 45849-2020 tillsynsbegäran.docx", "A 45849-2020")</f>
        <v/>
      </c>
      <c r="Y61">
        <f>HYPERLINK("https://klasma.github.io/Logging_2321/tillsynsmail/A 45849-2020 tillsynsbegäran mail.docx", "A 45849-2020")</f>
        <v/>
      </c>
    </row>
    <row r="62" ht="15" customHeight="1">
      <c r="A62" t="inlineStr">
        <is>
          <t>A 69317-2020</t>
        </is>
      </c>
      <c r="B62" s="1" t="n">
        <v>44193</v>
      </c>
      <c r="C62" s="1" t="n">
        <v>45337</v>
      </c>
      <c r="D62" t="inlineStr">
        <is>
          <t>JÄMTLANDS LÄN</t>
        </is>
      </c>
      <c r="E62" t="inlineStr">
        <is>
          <t>ÅRE</t>
        </is>
      </c>
      <c r="G62" t="n">
        <v>10.3</v>
      </c>
      <c r="H62" t="n">
        <v>2</v>
      </c>
      <c r="I62" t="n">
        <v>0</v>
      </c>
      <c r="J62" t="n">
        <v>4</v>
      </c>
      <c r="K62" t="n">
        <v>0</v>
      </c>
      <c r="L62" t="n">
        <v>0</v>
      </c>
      <c r="M62" t="n">
        <v>0</v>
      </c>
      <c r="N62" t="n">
        <v>0</v>
      </c>
      <c r="O62" t="n">
        <v>4</v>
      </c>
      <c r="P62" t="n">
        <v>0</v>
      </c>
      <c r="Q62" t="n">
        <v>4</v>
      </c>
      <c r="R62" s="2" t="inlineStr">
        <is>
          <t>Garnlav
Granticka
Spillkråka
Tretåig hackspett</t>
        </is>
      </c>
      <c r="S62">
        <f>HYPERLINK("https://klasma.github.io/Logging_2321/artfynd/A 69317-2020 artfynd.xlsx", "A 69317-2020")</f>
        <v/>
      </c>
      <c r="T62">
        <f>HYPERLINK("https://klasma.github.io/Logging_2321/kartor/A 69317-2020 karta.png", "A 69317-2020")</f>
        <v/>
      </c>
      <c r="V62">
        <f>HYPERLINK("https://klasma.github.io/Logging_2321/klagomål/A 69317-2020 FSC-klagomål.docx", "A 69317-2020")</f>
        <v/>
      </c>
      <c r="W62">
        <f>HYPERLINK("https://klasma.github.io/Logging_2321/klagomålsmail/A 69317-2020 FSC-klagomål mail.docx", "A 69317-2020")</f>
        <v/>
      </c>
      <c r="X62">
        <f>HYPERLINK("https://klasma.github.io/Logging_2321/tillsyn/A 69317-2020 tillsynsbegäran.docx", "A 69317-2020")</f>
        <v/>
      </c>
      <c r="Y62">
        <f>HYPERLINK("https://klasma.github.io/Logging_2321/tillsynsmail/A 69317-2020 tillsynsbegäran mail.docx", "A 69317-2020")</f>
        <v/>
      </c>
      <c r="Z62">
        <f>HYPERLINK("https://klasma.github.io/Logging_2321/fåglar/A 69317-2020 prioriterade fågelarter.docx", "A 69317-2020")</f>
        <v/>
      </c>
    </row>
    <row r="63" ht="15" customHeight="1">
      <c r="A63" t="inlineStr">
        <is>
          <t>A 6236-2021</t>
        </is>
      </c>
      <c r="B63" s="1" t="n">
        <v>44231</v>
      </c>
      <c r="C63" s="1" t="n">
        <v>45337</v>
      </c>
      <c r="D63" t="inlineStr">
        <is>
          <t>JÄMTLANDS LÄN</t>
        </is>
      </c>
      <c r="E63" t="inlineStr">
        <is>
          <t>ÅRE</t>
        </is>
      </c>
      <c r="G63" t="n">
        <v>39.1</v>
      </c>
      <c r="H63" t="n">
        <v>0</v>
      </c>
      <c r="I63" t="n">
        <v>3</v>
      </c>
      <c r="J63" t="n">
        <v>1</v>
      </c>
      <c r="K63" t="n">
        <v>0</v>
      </c>
      <c r="L63" t="n">
        <v>0</v>
      </c>
      <c r="M63" t="n">
        <v>0</v>
      </c>
      <c r="N63" t="n">
        <v>0</v>
      </c>
      <c r="O63" t="n">
        <v>1</v>
      </c>
      <c r="P63" t="n">
        <v>0</v>
      </c>
      <c r="Q63" t="n">
        <v>4</v>
      </c>
      <c r="R63" s="2" t="inlineStr">
        <is>
          <t>Garnlav
Bårdlav
Gytterlav
Stuplav</t>
        </is>
      </c>
      <c r="S63">
        <f>HYPERLINK("https://klasma.github.io/Logging_2321/artfynd/A 6236-2021 artfynd.xlsx", "A 6236-2021")</f>
        <v/>
      </c>
      <c r="T63">
        <f>HYPERLINK("https://klasma.github.io/Logging_2321/kartor/A 6236-2021 karta.png", "A 6236-2021")</f>
        <v/>
      </c>
      <c r="V63">
        <f>HYPERLINK("https://klasma.github.io/Logging_2321/klagomål/A 6236-2021 FSC-klagomål.docx", "A 6236-2021")</f>
        <v/>
      </c>
      <c r="W63">
        <f>HYPERLINK("https://klasma.github.io/Logging_2321/klagomålsmail/A 6236-2021 FSC-klagomål mail.docx", "A 6236-2021")</f>
        <v/>
      </c>
      <c r="X63">
        <f>HYPERLINK("https://klasma.github.io/Logging_2321/tillsyn/A 6236-2021 tillsynsbegäran.docx", "A 6236-2021")</f>
        <v/>
      </c>
      <c r="Y63">
        <f>HYPERLINK("https://klasma.github.io/Logging_2321/tillsynsmail/A 6236-2021 tillsynsbegäran mail.docx", "A 6236-2021")</f>
        <v/>
      </c>
    </row>
    <row r="64" ht="15" customHeight="1">
      <c r="A64" t="inlineStr">
        <is>
          <t>A 19277-2021</t>
        </is>
      </c>
      <c r="B64" s="1" t="n">
        <v>44309</v>
      </c>
      <c r="C64" s="1" t="n">
        <v>45337</v>
      </c>
      <c r="D64" t="inlineStr">
        <is>
          <t>JÄMTLANDS LÄN</t>
        </is>
      </c>
      <c r="E64" t="inlineStr">
        <is>
          <t>ÅRE</t>
        </is>
      </c>
      <c r="G64" t="n">
        <v>3.2</v>
      </c>
      <c r="H64" t="n">
        <v>0</v>
      </c>
      <c r="I64" t="n">
        <v>2</v>
      </c>
      <c r="J64" t="n">
        <v>2</v>
      </c>
      <c r="K64" t="n">
        <v>0</v>
      </c>
      <c r="L64" t="n">
        <v>0</v>
      </c>
      <c r="M64" t="n">
        <v>0</v>
      </c>
      <c r="N64" t="n">
        <v>0</v>
      </c>
      <c r="O64" t="n">
        <v>2</v>
      </c>
      <c r="P64" t="n">
        <v>0</v>
      </c>
      <c r="Q64" t="n">
        <v>4</v>
      </c>
      <c r="R64" s="2" t="inlineStr">
        <is>
          <t>Garnlav
Gränsticka
Korallblylav
Stuplav</t>
        </is>
      </c>
      <c r="S64">
        <f>HYPERLINK("https://klasma.github.io/Logging_2321/artfynd/A 19277-2021 artfynd.xlsx", "A 19277-2021")</f>
        <v/>
      </c>
      <c r="T64">
        <f>HYPERLINK("https://klasma.github.io/Logging_2321/kartor/A 19277-2021 karta.png", "A 19277-2021")</f>
        <v/>
      </c>
      <c r="V64">
        <f>HYPERLINK("https://klasma.github.io/Logging_2321/klagomål/A 19277-2021 FSC-klagomål.docx", "A 19277-2021")</f>
        <v/>
      </c>
      <c r="W64">
        <f>HYPERLINK("https://klasma.github.io/Logging_2321/klagomålsmail/A 19277-2021 FSC-klagomål mail.docx", "A 19277-2021")</f>
        <v/>
      </c>
      <c r="X64">
        <f>HYPERLINK("https://klasma.github.io/Logging_2321/tillsyn/A 19277-2021 tillsynsbegäran.docx", "A 19277-2021")</f>
        <v/>
      </c>
      <c r="Y64">
        <f>HYPERLINK("https://klasma.github.io/Logging_2321/tillsynsmail/A 19277-2021 tillsynsbegäran mail.docx", "A 19277-2021")</f>
        <v/>
      </c>
    </row>
    <row r="65" ht="15" customHeight="1">
      <c r="A65" t="inlineStr">
        <is>
          <t>A 20644-2021</t>
        </is>
      </c>
      <c r="B65" s="1" t="n">
        <v>44316</v>
      </c>
      <c r="C65" s="1" t="n">
        <v>45337</v>
      </c>
      <c r="D65" t="inlineStr">
        <is>
          <t>JÄMTLANDS LÄN</t>
        </is>
      </c>
      <c r="E65" t="inlineStr">
        <is>
          <t>ÅRE</t>
        </is>
      </c>
      <c r="G65" t="n">
        <v>42.9</v>
      </c>
      <c r="H65" t="n">
        <v>2</v>
      </c>
      <c r="I65" t="n">
        <v>1</v>
      </c>
      <c r="J65" t="n">
        <v>3</v>
      </c>
      <c r="K65" t="n">
        <v>0</v>
      </c>
      <c r="L65" t="n">
        <v>0</v>
      </c>
      <c r="M65" t="n">
        <v>0</v>
      </c>
      <c r="N65" t="n">
        <v>0</v>
      </c>
      <c r="O65" t="n">
        <v>3</v>
      </c>
      <c r="P65" t="n">
        <v>0</v>
      </c>
      <c r="Q65" t="n">
        <v>4</v>
      </c>
      <c r="R65" s="2" t="inlineStr">
        <is>
          <t>Doftskinn
Månlåsbräken
Tretåig hackspett
Tvåblad</t>
        </is>
      </c>
      <c r="S65">
        <f>HYPERLINK("https://klasma.github.io/Logging_2321/artfynd/A 20644-2021 artfynd.xlsx", "A 20644-2021")</f>
        <v/>
      </c>
      <c r="T65">
        <f>HYPERLINK("https://klasma.github.io/Logging_2321/kartor/A 20644-2021 karta.png", "A 20644-2021")</f>
        <v/>
      </c>
      <c r="V65">
        <f>HYPERLINK("https://klasma.github.io/Logging_2321/klagomål/A 20644-2021 FSC-klagomål.docx", "A 20644-2021")</f>
        <v/>
      </c>
      <c r="W65">
        <f>HYPERLINK("https://klasma.github.io/Logging_2321/klagomålsmail/A 20644-2021 FSC-klagomål mail.docx", "A 20644-2021")</f>
        <v/>
      </c>
      <c r="X65">
        <f>HYPERLINK("https://klasma.github.io/Logging_2321/tillsyn/A 20644-2021 tillsynsbegäran.docx", "A 20644-2021")</f>
        <v/>
      </c>
      <c r="Y65">
        <f>HYPERLINK("https://klasma.github.io/Logging_2321/tillsynsmail/A 20644-2021 tillsynsbegäran mail.docx", "A 20644-2021")</f>
        <v/>
      </c>
      <c r="Z65">
        <f>HYPERLINK("https://klasma.github.io/Logging_2321/fåglar/A 20644-2021 prioriterade fågelarter.docx", "A 20644-2021")</f>
        <v/>
      </c>
    </row>
    <row r="66" ht="15" customHeight="1">
      <c r="A66" t="inlineStr">
        <is>
          <t>A 12271-2022</t>
        </is>
      </c>
      <c r="B66" s="1" t="n">
        <v>44637</v>
      </c>
      <c r="C66" s="1" t="n">
        <v>45337</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45337</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45337</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45337</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45337</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45337</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45337</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45337</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45337</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45337</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45337</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45337</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45337</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45337</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45337</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45337</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45337</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45337</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45337</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45337</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45337</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45337</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45337</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45337</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45337</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45337</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45337</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45337</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12120-2019</t>
        </is>
      </c>
      <c r="B94" s="1" t="n">
        <v>43522</v>
      </c>
      <c r="C94" s="1" t="n">
        <v>45337</v>
      </c>
      <c r="D94" t="inlineStr">
        <is>
          <t>JÄMTLANDS LÄN</t>
        </is>
      </c>
      <c r="E94" t="inlineStr">
        <is>
          <t>ÅRE</t>
        </is>
      </c>
      <c r="G94" t="n">
        <v>2.5</v>
      </c>
      <c r="H94" t="n">
        <v>1</v>
      </c>
      <c r="I94" t="n">
        <v>1</v>
      </c>
      <c r="J94" t="n">
        <v>1</v>
      </c>
      <c r="K94" t="n">
        <v>0</v>
      </c>
      <c r="L94" t="n">
        <v>0</v>
      </c>
      <c r="M94" t="n">
        <v>0</v>
      </c>
      <c r="N94" t="n">
        <v>0</v>
      </c>
      <c r="O94" t="n">
        <v>1</v>
      </c>
      <c r="P94" t="n">
        <v>0</v>
      </c>
      <c r="Q94" t="n">
        <v>2</v>
      </c>
      <c r="R94" s="2" t="inlineStr">
        <is>
          <t>Gränsticka
Spindelblomster</t>
        </is>
      </c>
      <c r="S94">
        <f>HYPERLINK("https://klasma.github.io/Logging_2321/artfynd/A 12120-2019 artfynd.xlsx", "A 12120-2019")</f>
        <v/>
      </c>
      <c r="T94">
        <f>HYPERLINK("https://klasma.github.io/Logging_2321/kartor/A 12120-2019 karta.png", "A 12120-2019")</f>
        <v/>
      </c>
      <c r="V94">
        <f>HYPERLINK("https://klasma.github.io/Logging_2321/klagomål/A 12120-2019 FSC-klagomål.docx", "A 12120-2019")</f>
        <v/>
      </c>
      <c r="W94">
        <f>HYPERLINK("https://klasma.github.io/Logging_2321/klagomålsmail/A 12120-2019 FSC-klagomål mail.docx", "A 12120-2019")</f>
        <v/>
      </c>
      <c r="X94">
        <f>HYPERLINK("https://klasma.github.io/Logging_2321/tillsyn/A 12120-2019 tillsynsbegäran.docx", "A 12120-2019")</f>
        <v/>
      </c>
      <c r="Y94">
        <f>HYPERLINK("https://klasma.github.io/Logging_2321/tillsynsmail/A 12120-2019 tillsynsbegäran mail.docx", "A 12120-2019")</f>
        <v/>
      </c>
    </row>
    <row r="95" ht="15" customHeight="1">
      <c r="A95" t="inlineStr">
        <is>
          <t>A 35409-2019</t>
        </is>
      </c>
      <c r="B95" s="1" t="n">
        <v>43661</v>
      </c>
      <c r="C95" s="1" t="n">
        <v>45337</v>
      </c>
      <c r="D95" t="inlineStr">
        <is>
          <t>JÄMTLANDS LÄN</t>
        </is>
      </c>
      <c r="E95" t="inlineStr">
        <is>
          <t>ÅRE</t>
        </is>
      </c>
      <c r="G95" t="n">
        <v>2.5</v>
      </c>
      <c r="H95" t="n">
        <v>0</v>
      </c>
      <c r="I95" t="n">
        <v>1</v>
      </c>
      <c r="J95" t="n">
        <v>1</v>
      </c>
      <c r="K95" t="n">
        <v>0</v>
      </c>
      <c r="L95" t="n">
        <v>0</v>
      </c>
      <c r="M95" t="n">
        <v>0</v>
      </c>
      <c r="N95" t="n">
        <v>0</v>
      </c>
      <c r="O95" t="n">
        <v>1</v>
      </c>
      <c r="P95" t="n">
        <v>0</v>
      </c>
      <c r="Q95" t="n">
        <v>2</v>
      </c>
      <c r="R95" s="2" t="inlineStr">
        <is>
          <t>Garnlav
Trådticka</t>
        </is>
      </c>
      <c r="S95">
        <f>HYPERLINK("https://klasma.github.io/Logging_2321/artfynd/A 35409-2019 artfynd.xlsx", "A 35409-2019")</f>
        <v/>
      </c>
      <c r="T95">
        <f>HYPERLINK("https://klasma.github.io/Logging_2321/kartor/A 35409-2019 karta.png", "A 35409-2019")</f>
        <v/>
      </c>
      <c r="V95">
        <f>HYPERLINK("https://klasma.github.io/Logging_2321/klagomål/A 35409-2019 FSC-klagomål.docx", "A 35409-2019")</f>
        <v/>
      </c>
      <c r="W95">
        <f>HYPERLINK("https://klasma.github.io/Logging_2321/klagomålsmail/A 35409-2019 FSC-klagomål mail.docx", "A 35409-2019")</f>
        <v/>
      </c>
      <c r="X95">
        <f>HYPERLINK("https://klasma.github.io/Logging_2321/tillsyn/A 35409-2019 tillsynsbegäran.docx", "A 35409-2019")</f>
        <v/>
      </c>
      <c r="Y95">
        <f>HYPERLINK("https://klasma.github.io/Logging_2321/tillsynsmail/A 35409-2019 tillsynsbegäran mail.docx", "A 35409-2019")</f>
        <v/>
      </c>
    </row>
    <row r="96" ht="15" customHeight="1">
      <c r="A96" t="inlineStr">
        <is>
          <t>A 46012-2019</t>
        </is>
      </c>
      <c r="B96" s="1" t="n">
        <v>43718</v>
      </c>
      <c r="C96" s="1" t="n">
        <v>45337</v>
      </c>
      <c r="D96" t="inlineStr">
        <is>
          <t>JÄMTLANDS LÄN</t>
        </is>
      </c>
      <c r="E96" t="inlineStr">
        <is>
          <t>ÅRE</t>
        </is>
      </c>
      <c r="F96" t="inlineStr">
        <is>
          <t>Kommuner</t>
        </is>
      </c>
      <c r="G96" t="n">
        <v>13.4</v>
      </c>
      <c r="H96" t="n">
        <v>1</v>
      </c>
      <c r="I96" t="n">
        <v>0</v>
      </c>
      <c r="J96" t="n">
        <v>1</v>
      </c>
      <c r="K96" t="n">
        <v>1</v>
      </c>
      <c r="L96" t="n">
        <v>0</v>
      </c>
      <c r="M96" t="n">
        <v>0</v>
      </c>
      <c r="N96" t="n">
        <v>0</v>
      </c>
      <c r="O96" t="n">
        <v>2</v>
      </c>
      <c r="P96" t="n">
        <v>1</v>
      </c>
      <c r="Q96" t="n">
        <v>2</v>
      </c>
      <c r="R96" s="2" t="inlineStr">
        <is>
          <t>Knärot
Ullticka</t>
        </is>
      </c>
      <c r="S96">
        <f>HYPERLINK("https://klasma.github.io/Logging_2321/artfynd/A 46012-2019 artfynd.xlsx", "A 46012-2019")</f>
        <v/>
      </c>
      <c r="T96">
        <f>HYPERLINK("https://klasma.github.io/Logging_2321/kartor/A 46012-2019 karta.png", "A 46012-2019")</f>
        <v/>
      </c>
      <c r="U96">
        <f>HYPERLINK("https://klasma.github.io/Logging_2321/knärot/A 46012-2019 karta knärot.png", "A 46012-2019")</f>
        <v/>
      </c>
      <c r="V96">
        <f>HYPERLINK("https://klasma.github.io/Logging_2321/klagomål/A 46012-2019 FSC-klagomål.docx", "A 46012-2019")</f>
        <v/>
      </c>
      <c r="W96">
        <f>HYPERLINK("https://klasma.github.io/Logging_2321/klagomålsmail/A 46012-2019 FSC-klagomål mail.docx", "A 46012-2019")</f>
        <v/>
      </c>
      <c r="X96">
        <f>HYPERLINK("https://klasma.github.io/Logging_2321/tillsyn/A 46012-2019 tillsynsbegäran.docx", "A 46012-2019")</f>
        <v/>
      </c>
      <c r="Y96">
        <f>HYPERLINK("https://klasma.github.io/Logging_2321/tillsynsmail/A 46012-2019 tillsynsbegäran mail.docx", "A 46012-2019")</f>
        <v/>
      </c>
    </row>
    <row r="97" ht="15" customHeight="1">
      <c r="A97" t="inlineStr">
        <is>
          <t>A 32661-2020</t>
        </is>
      </c>
      <c r="B97" s="1" t="n">
        <v>44018</v>
      </c>
      <c r="C97" s="1" t="n">
        <v>45337</v>
      </c>
      <c r="D97" t="inlineStr">
        <is>
          <t>JÄMTLANDS LÄN</t>
        </is>
      </c>
      <c r="E97" t="inlineStr">
        <is>
          <t>ÅRE</t>
        </is>
      </c>
      <c r="G97" t="n">
        <v>1.8</v>
      </c>
      <c r="H97" t="n">
        <v>0</v>
      </c>
      <c r="I97" t="n">
        <v>1</v>
      </c>
      <c r="J97" t="n">
        <v>1</v>
      </c>
      <c r="K97" t="n">
        <v>0</v>
      </c>
      <c r="L97" t="n">
        <v>0</v>
      </c>
      <c r="M97" t="n">
        <v>0</v>
      </c>
      <c r="N97" t="n">
        <v>0</v>
      </c>
      <c r="O97" t="n">
        <v>1</v>
      </c>
      <c r="P97" t="n">
        <v>0</v>
      </c>
      <c r="Q97" t="n">
        <v>2</v>
      </c>
      <c r="R97" s="2" t="inlineStr">
        <is>
          <t>Garnlav
Luddlav</t>
        </is>
      </c>
      <c r="S97">
        <f>HYPERLINK("https://klasma.github.io/Logging_2321/artfynd/A 32661-2020 artfynd.xlsx", "A 32661-2020")</f>
        <v/>
      </c>
      <c r="T97">
        <f>HYPERLINK("https://klasma.github.io/Logging_2321/kartor/A 32661-2020 karta.png", "A 32661-2020")</f>
        <v/>
      </c>
      <c r="V97">
        <f>HYPERLINK("https://klasma.github.io/Logging_2321/klagomål/A 32661-2020 FSC-klagomål.docx", "A 32661-2020")</f>
        <v/>
      </c>
      <c r="W97">
        <f>HYPERLINK("https://klasma.github.io/Logging_2321/klagomålsmail/A 32661-2020 FSC-klagomål mail.docx", "A 32661-2020")</f>
        <v/>
      </c>
      <c r="X97">
        <f>HYPERLINK("https://klasma.github.io/Logging_2321/tillsyn/A 32661-2020 tillsynsbegäran.docx", "A 32661-2020")</f>
        <v/>
      </c>
      <c r="Y97">
        <f>HYPERLINK("https://klasma.github.io/Logging_2321/tillsynsmail/A 32661-2020 tillsynsbegäran mail.docx", "A 32661-2020")</f>
        <v/>
      </c>
    </row>
    <row r="98" ht="15" customHeight="1">
      <c r="A98" t="inlineStr">
        <is>
          <t>A 35623-2020</t>
        </is>
      </c>
      <c r="B98" s="1" t="n">
        <v>44046</v>
      </c>
      <c r="C98" s="1" t="n">
        <v>45337</v>
      </c>
      <c r="D98" t="inlineStr">
        <is>
          <t>JÄMTLANDS LÄN</t>
        </is>
      </c>
      <c r="E98" t="inlineStr">
        <is>
          <t>ÅRE</t>
        </is>
      </c>
      <c r="G98" t="n">
        <v>15.8</v>
      </c>
      <c r="H98" t="n">
        <v>0</v>
      </c>
      <c r="I98" t="n">
        <v>0</v>
      </c>
      <c r="J98" t="n">
        <v>1</v>
      </c>
      <c r="K98" t="n">
        <v>1</v>
      </c>
      <c r="L98" t="n">
        <v>0</v>
      </c>
      <c r="M98" t="n">
        <v>0</v>
      </c>
      <c r="N98" t="n">
        <v>0</v>
      </c>
      <c r="O98" t="n">
        <v>2</v>
      </c>
      <c r="P98" t="n">
        <v>1</v>
      </c>
      <c r="Q98" t="n">
        <v>2</v>
      </c>
      <c r="R98" s="2" t="inlineStr">
        <is>
          <t>Norsk näverlav
Gammelgransskål</t>
        </is>
      </c>
      <c r="S98">
        <f>HYPERLINK("https://klasma.github.io/Logging_2321/artfynd/A 35623-2020 artfynd.xlsx", "A 35623-2020")</f>
        <v/>
      </c>
      <c r="T98">
        <f>HYPERLINK("https://klasma.github.io/Logging_2321/kartor/A 35623-2020 karta.png", "A 35623-2020")</f>
        <v/>
      </c>
      <c r="V98">
        <f>HYPERLINK("https://klasma.github.io/Logging_2321/klagomål/A 35623-2020 FSC-klagomål.docx", "A 35623-2020")</f>
        <v/>
      </c>
      <c r="W98">
        <f>HYPERLINK("https://klasma.github.io/Logging_2321/klagomålsmail/A 35623-2020 FSC-klagomål mail.docx", "A 35623-2020")</f>
        <v/>
      </c>
      <c r="X98">
        <f>HYPERLINK("https://klasma.github.io/Logging_2321/tillsyn/A 35623-2020 tillsynsbegäran.docx", "A 35623-2020")</f>
        <v/>
      </c>
      <c r="Y98">
        <f>HYPERLINK("https://klasma.github.io/Logging_2321/tillsynsmail/A 35623-2020 tillsynsbegäran mail.docx", "A 35623-2020")</f>
        <v/>
      </c>
    </row>
    <row r="99" ht="15" customHeight="1">
      <c r="A99" t="inlineStr">
        <is>
          <t>A 52778-2020</t>
        </is>
      </c>
      <c r="B99" s="1" t="n">
        <v>44119</v>
      </c>
      <c r="C99" s="1" t="n">
        <v>45337</v>
      </c>
      <c r="D99" t="inlineStr">
        <is>
          <t>JÄMTLANDS LÄN</t>
        </is>
      </c>
      <c r="E99" t="inlineStr">
        <is>
          <t>ÅRE</t>
        </is>
      </c>
      <c r="G99" t="n">
        <v>16.5</v>
      </c>
      <c r="H99" t="n">
        <v>0</v>
      </c>
      <c r="I99" t="n">
        <v>0</v>
      </c>
      <c r="J99" t="n">
        <v>2</v>
      </c>
      <c r="K99" t="n">
        <v>0</v>
      </c>
      <c r="L99" t="n">
        <v>0</v>
      </c>
      <c r="M99" t="n">
        <v>0</v>
      </c>
      <c r="N99" t="n">
        <v>0</v>
      </c>
      <c r="O99" t="n">
        <v>2</v>
      </c>
      <c r="P99" t="n">
        <v>0</v>
      </c>
      <c r="Q99" t="n">
        <v>2</v>
      </c>
      <c r="R99" s="2" t="inlineStr">
        <is>
          <t>Garnlav
Granticka</t>
        </is>
      </c>
      <c r="S99">
        <f>HYPERLINK("https://klasma.github.io/Logging_2321/artfynd/A 52778-2020 artfynd.xlsx", "A 52778-2020")</f>
        <v/>
      </c>
      <c r="T99">
        <f>HYPERLINK("https://klasma.github.io/Logging_2321/kartor/A 52778-2020 karta.png", "A 52778-2020")</f>
        <v/>
      </c>
      <c r="V99">
        <f>HYPERLINK("https://klasma.github.io/Logging_2321/klagomål/A 52778-2020 FSC-klagomål.docx", "A 52778-2020")</f>
        <v/>
      </c>
      <c r="W99">
        <f>HYPERLINK("https://klasma.github.io/Logging_2321/klagomålsmail/A 52778-2020 FSC-klagomål mail.docx", "A 52778-2020")</f>
        <v/>
      </c>
      <c r="X99">
        <f>HYPERLINK("https://klasma.github.io/Logging_2321/tillsyn/A 52778-2020 tillsynsbegäran.docx", "A 52778-2020")</f>
        <v/>
      </c>
      <c r="Y99">
        <f>HYPERLINK("https://klasma.github.io/Logging_2321/tillsynsmail/A 52778-2020 tillsynsbegäran mail.docx", "A 52778-2020")</f>
        <v/>
      </c>
    </row>
    <row r="100" ht="15" customHeight="1">
      <c r="A100" t="inlineStr">
        <is>
          <t>A 5388-2021</t>
        </is>
      </c>
      <c r="B100" s="1" t="n">
        <v>44229</v>
      </c>
      <c r="C100" s="1" t="n">
        <v>45337</v>
      </c>
      <c r="D100" t="inlineStr">
        <is>
          <t>JÄMTLANDS LÄN</t>
        </is>
      </c>
      <c r="E100" t="inlineStr">
        <is>
          <t>ÅRE</t>
        </is>
      </c>
      <c r="G100" t="n">
        <v>6.9</v>
      </c>
      <c r="H100" t="n">
        <v>1</v>
      </c>
      <c r="I100" t="n">
        <v>0</v>
      </c>
      <c r="J100" t="n">
        <v>2</v>
      </c>
      <c r="K100" t="n">
        <v>0</v>
      </c>
      <c r="L100" t="n">
        <v>0</v>
      </c>
      <c r="M100" t="n">
        <v>0</v>
      </c>
      <c r="N100" t="n">
        <v>0</v>
      </c>
      <c r="O100" t="n">
        <v>2</v>
      </c>
      <c r="P100" t="n">
        <v>0</v>
      </c>
      <c r="Q100" t="n">
        <v>2</v>
      </c>
      <c r="R100" s="2" t="inlineStr">
        <is>
          <t>Tretåig hackspett
Ullticka</t>
        </is>
      </c>
      <c r="S100">
        <f>HYPERLINK("https://klasma.github.io/Logging_2321/artfynd/A 5388-2021 artfynd.xlsx", "A 5388-2021")</f>
        <v/>
      </c>
      <c r="T100">
        <f>HYPERLINK("https://klasma.github.io/Logging_2321/kartor/A 5388-2021 karta.png", "A 5388-2021")</f>
        <v/>
      </c>
      <c r="V100">
        <f>HYPERLINK("https://klasma.github.io/Logging_2321/klagomål/A 5388-2021 FSC-klagomål.docx", "A 5388-2021")</f>
        <v/>
      </c>
      <c r="W100">
        <f>HYPERLINK("https://klasma.github.io/Logging_2321/klagomålsmail/A 5388-2021 FSC-klagomål mail.docx", "A 5388-2021")</f>
        <v/>
      </c>
      <c r="X100">
        <f>HYPERLINK("https://klasma.github.io/Logging_2321/tillsyn/A 5388-2021 tillsynsbegäran.docx", "A 5388-2021")</f>
        <v/>
      </c>
      <c r="Y100">
        <f>HYPERLINK("https://klasma.github.io/Logging_2321/tillsynsmail/A 5388-2021 tillsynsbegäran mail.docx", "A 5388-2021")</f>
        <v/>
      </c>
      <c r="Z100">
        <f>HYPERLINK("https://klasma.github.io/Logging_2321/fåglar/A 5388-2021 prioriterade fågelarter.docx", "A 5388-2021")</f>
        <v/>
      </c>
    </row>
    <row r="101" ht="15" customHeight="1">
      <c r="A101" t="inlineStr">
        <is>
          <t>A 23566-2021</t>
        </is>
      </c>
      <c r="B101" s="1" t="n">
        <v>44334</v>
      </c>
      <c r="C101" s="1" t="n">
        <v>45337</v>
      </c>
      <c r="D101" t="inlineStr">
        <is>
          <t>JÄMTLANDS LÄN</t>
        </is>
      </c>
      <c r="E101" t="inlineStr">
        <is>
          <t>ÅRE</t>
        </is>
      </c>
      <c r="G101" t="n">
        <v>20</v>
      </c>
      <c r="H101" t="n">
        <v>1</v>
      </c>
      <c r="I101" t="n">
        <v>1</v>
      </c>
      <c r="J101" t="n">
        <v>1</v>
      </c>
      <c r="K101" t="n">
        <v>0</v>
      </c>
      <c r="L101" t="n">
        <v>0</v>
      </c>
      <c r="M101" t="n">
        <v>0</v>
      </c>
      <c r="N101" t="n">
        <v>0</v>
      </c>
      <c r="O101" t="n">
        <v>1</v>
      </c>
      <c r="P101" t="n">
        <v>0</v>
      </c>
      <c r="Q101" t="n">
        <v>2</v>
      </c>
      <c r="R101" s="2" t="inlineStr">
        <is>
          <t>Skrovellav
Spindelblomster</t>
        </is>
      </c>
      <c r="S101">
        <f>HYPERLINK("https://klasma.github.io/Logging_2321/artfynd/A 23566-2021 artfynd.xlsx", "A 23566-2021")</f>
        <v/>
      </c>
      <c r="T101">
        <f>HYPERLINK("https://klasma.github.io/Logging_2321/kartor/A 23566-2021 karta.png", "A 23566-2021")</f>
        <v/>
      </c>
      <c r="V101">
        <f>HYPERLINK("https://klasma.github.io/Logging_2321/klagomål/A 23566-2021 FSC-klagomål.docx", "A 23566-2021")</f>
        <v/>
      </c>
      <c r="W101">
        <f>HYPERLINK("https://klasma.github.io/Logging_2321/klagomålsmail/A 23566-2021 FSC-klagomål mail.docx", "A 23566-2021")</f>
        <v/>
      </c>
      <c r="X101">
        <f>HYPERLINK("https://klasma.github.io/Logging_2321/tillsyn/A 23566-2021 tillsynsbegäran.docx", "A 23566-2021")</f>
        <v/>
      </c>
      <c r="Y101">
        <f>HYPERLINK("https://klasma.github.io/Logging_2321/tillsynsmail/A 23566-2021 tillsynsbegäran mail.docx", "A 23566-2021")</f>
        <v/>
      </c>
    </row>
    <row r="102" ht="15" customHeight="1">
      <c r="A102" t="inlineStr">
        <is>
          <t>A 46984-2021</t>
        </is>
      </c>
      <c r="B102" s="1" t="n">
        <v>44446</v>
      </c>
      <c r="C102" s="1" t="n">
        <v>45337</v>
      </c>
      <c r="D102" t="inlineStr">
        <is>
          <t>JÄMTLANDS LÄN</t>
        </is>
      </c>
      <c r="E102" t="inlineStr">
        <is>
          <t>ÅRE</t>
        </is>
      </c>
      <c r="G102" t="n">
        <v>0.2</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46984-2021 artfynd.xlsx", "A 46984-2021")</f>
        <v/>
      </c>
      <c r="T102">
        <f>HYPERLINK("https://klasma.github.io/Logging_2321/kartor/A 46984-2021 karta.png", "A 46984-2021")</f>
        <v/>
      </c>
      <c r="V102">
        <f>HYPERLINK("https://klasma.github.io/Logging_2321/klagomål/A 46984-2021 FSC-klagomål.docx", "A 46984-2021")</f>
        <v/>
      </c>
      <c r="W102">
        <f>HYPERLINK("https://klasma.github.io/Logging_2321/klagomålsmail/A 46984-2021 FSC-klagomål mail.docx", "A 46984-2021")</f>
        <v/>
      </c>
      <c r="X102">
        <f>HYPERLINK("https://klasma.github.io/Logging_2321/tillsyn/A 46984-2021 tillsynsbegäran.docx", "A 46984-2021")</f>
        <v/>
      </c>
      <c r="Y102">
        <f>HYPERLINK("https://klasma.github.io/Logging_2321/tillsynsmail/A 46984-2021 tillsynsbegäran mail.docx", "A 46984-2021")</f>
        <v/>
      </c>
      <c r="Z102">
        <f>HYPERLINK("https://klasma.github.io/Logging_2321/fåglar/A 46984-2021 prioriterade fågelarter.docx", "A 46984-2021")</f>
        <v/>
      </c>
    </row>
    <row r="103" ht="15" customHeight="1">
      <c r="A103" t="inlineStr">
        <is>
          <t>A 64663-2021</t>
        </is>
      </c>
      <c r="B103" s="1" t="n">
        <v>44512</v>
      </c>
      <c r="C103" s="1" t="n">
        <v>45337</v>
      </c>
      <c r="D103" t="inlineStr">
        <is>
          <t>JÄMTLANDS LÄN</t>
        </is>
      </c>
      <c r="E103" t="inlineStr">
        <is>
          <t>ÅRE</t>
        </is>
      </c>
      <c r="G103" t="n">
        <v>14.5</v>
      </c>
      <c r="H103" t="n">
        <v>0</v>
      </c>
      <c r="I103" t="n">
        <v>0</v>
      </c>
      <c r="J103" t="n">
        <v>1</v>
      </c>
      <c r="K103" t="n">
        <v>1</v>
      </c>
      <c r="L103" t="n">
        <v>0</v>
      </c>
      <c r="M103" t="n">
        <v>0</v>
      </c>
      <c r="N103" t="n">
        <v>0</v>
      </c>
      <c r="O103" t="n">
        <v>2</v>
      </c>
      <c r="P103" t="n">
        <v>1</v>
      </c>
      <c r="Q103" t="n">
        <v>2</v>
      </c>
      <c r="R103" s="2" t="inlineStr">
        <is>
          <t>Sotbandad spindling
Vitterspindling</t>
        </is>
      </c>
      <c r="S103">
        <f>HYPERLINK("https://klasma.github.io/Logging_2321/artfynd/A 64663-2021 artfynd.xlsx", "A 64663-2021")</f>
        <v/>
      </c>
      <c r="T103">
        <f>HYPERLINK("https://klasma.github.io/Logging_2321/kartor/A 64663-2021 karta.png", "A 64663-2021")</f>
        <v/>
      </c>
      <c r="V103">
        <f>HYPERLINK("https://klasma.github.io/Logging_2321/klagomål/A 64663-2021 FSC-klagomål.docx", "A 64663-2021")</f>
        <v/>
      </c>
      <c r="W103">
        <f>HYPERLINK("https://klasma.github.io/Logging_2321/klagomålsmail/A 64663-2021 FSC-klagomål mail.docx", "A 64663-2021")</f>
        <v/>
      </c>
      <c r="X103">
        <f>HYPERLINK("https://klasma.github.io/Logging_2321/tillsyn/A 64663-2021 tillsynsbegäran.docx", "A 64663-2021")</f>
        <v/>
      </c>
      <c r="Y103">
        <f>HYPERLINK("https://klasma.github.io/Logging_2321/tillsynsmail/A 64663-2021 tillsynsbegäran mail.docx", "A 64663-2021")</f>
        <v/>
      </c>
    </row>
    <row r="104" ht="15" customHeight="1">
      <c r="A104" t="inlineStr">
        <is>
          <t>A 64668-2021</t>
        </is>
      </c>
      <c r="B104" s="1" t="n">
        <v>44512</v>
      </c>
      <c r="C104" s="1" t="n">
        <v>45337</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22231-2022</t>
        </is>
      </c>
      <c r="B105" s="1" t="n">
        <v>44712</v>
      </c>
      <c r="C105" s="1" t="n">
        <v>45337</v>
      </c>
      <c r="D105" t="inlineStr">
        <is>
          <t>JÄMTLANDS LÄN</t>
        </is>
      </c>
      <c r="E105" t="inlineStr">
        <is>
          <t>ÅRE</t>
        </is>
      </c>
      <c r="G105" t="n">
        <v>15</v>
      </c>
      <c r="H105" t="n">
        <v>0</v>
      </c>
      <c r="I105" t="n">
        <v>0</v>
      </c>
      <c r="J105" t="n">
        <v>2</v>
      </c>
      <c r="K105" t="n">
        <v>0</v>
      </c>
      <c r="L105" t="n">
        <v>0</v>
      </c>
      <c r="M105" t="n">
        <v>0</v>
      </c>
      <c r="N105" t="n">
        <v>0</v>
      </c>
      <c r="O105" t="n">
        <v>2</v>
      </c>
      <c r="P105" t="n">
        <v>0</v>
      </c>
      <c r="Q105" t="n">
        <v>2</v>
      </c>
      <c r="R105" s="2" t="inlineStr">
        <is>
          <t>Gammelgransskål
Granticka</t>
        </is>
      </c>
      <c r="S105">
        <f>HYPERLINK("https://klasma.github.io/Logging_2321/artfynd/A 22231-2022 artfynd.xlsx", "A 22231-2022")</f>
        <v/>
      </c>
      <c r="T105">
        <f>HYPERLINK("https://klasma.github.io/Logging_2321/kartor/A 22231-2022 karta.png", "A 22231-2022")</f>
        <v/>
      </c>
      <c r="V105">
        <f>HYPERLINK("https://klasma.github.io/Logging_2321/klagomål/A 22231-2022 FSC-klagomål.docx", "A 22231-2022")</f>
        <v/>
      </c>
      <c r="W105">
        <f>HYPERLINK("https://klasma.github.io/Logging_2321/klagomålsmail/A 22231-2022 FSC-klagomål mail.docx", "A 22231-2022")</f>
        <v/>
      </c>
      <c r="X105">
        <f>HYPERLINK("https://klasma.github.io/Logging_2321/tillsyn/A 22231-2022 tillsynsbegäran.docx", "A 22231-2022")</f>
        <v/>
      </c>
      <c r="Y105">
        <f>HYPERLINK("https://klasma.github.io/Logging_2321/tillsynsmail/A 22231-2022 tillsynsbegäran mail.docx", "A 22231-2022")</f>
        <v/>
      </c>
    </row>
    <row r="106" ht="15" customHeight="1">
      <c r="A106" t="inlineStr">
        <is>
          <t>A 22974-2022</t>
        </is>
      </c>
      <c r="B106" s="1" t="n">
        <v>44716</v>
      </c>
      <c r="C106" s="1" t="n">
        <v>45337</v>
      </c>
      <c r="D106" t="inlineStr">
        <is>
          <t>JÄMTLANDS LÄN</t>
        </is>
      </c>
      <c r="E106" t="inlineStr">
        <is>
          <t>ÅRE</t>
        </is>
      </c>
      <c r="G106" t="n">
        <v>8.300000000000001</v>
      </c>
      <c r="H106" t="n">
        <v>1</v>
      </c>
      <c r="I106" t="n">
        <v>2</v>
      </c>
      <c r="J106" t="n">
        <v>0</v>
      </c>
      <c r="K106" t="n">
        <v>0</v>
      </c>
      <c r="L106" t="n">
        <v>0</v>
      </c>
      <c r="M106" t="n">
        <v>0</v>
      </c>
      <c r="N106" t="n">
        <v>0</v>
      </c>
      <c r="O106" t="n">
        <v>0</v>
      </c>
      <c r="P106" t="n">
        <v>0</v>
      </c>
      <c r="Q106" t="n">
        <v>2</v>
      </c>
      <c r="R106" s="2" t="inlineStr">
        <is>
          <t>Spindelblomster
Ögonpyrola</t>
        </is>
      </c>
      <c r="S106">
        <f>HYPERLINK("https://klasma.github.io/Logging_2321/artfynd/A 22974-2022 artfynd.xlsx", "A 22974-2022")</f>
        <v/>
      </c>
      <c r="T106">
        <f>HYPERLINK("https://klasma.github.io/Logging_2321/kartor/A 22974-2022 karta.png", "A 22974-2022")</f>
        <v/>
      </c>
      <c r="V106">
        <f>HYPERLINK("https://klasma.github.io/Logging_2321/klagomål/A 22974-2022 FSC-klagomål.docx", "A 22974-2022")</f>
        <v/>
      </c>
      <c r="W106">
        <f>HYPERLINK("https://klasma.github.io/Logging_2321/klagomålsmail/A 22974-2022 FSC-klagomål mail.docx", "A 22974-2022")</f>
        <v/>
      </c>
      <c r="X106">
        <f>HYPERLINK("https://klasma.github.io/Logging_2321/tillsyn/A 22974-2022 tillsynsbegäran.docx", "A 22974-2022")</f>
        <v/>
      </c>
      <c r="Y106">
        <f>HYPERLINK("https://klasma.github.io/Logging_2321/tillsynsmail/A 22974-2022 tillsynsbegäran mail.docx", "A 22974-2022")</f>
        <v/>
      </c>
    </row>
    <row r="107" ht="15" customHeight="1">
      <c r="A107" t="inlineStr">
        <is>
          <t>A 32207-2022</t>
        </is>
      </c>
      <c r="B107" s="1" t="n">
        <v>44781</v>
      </c>
      <c r="C107" s="1" t="n">
        <v>45337</v>
      </c>
      <c r="D107" t="inlineStr">
        <is>
          <t>JÄMTLANDS LÄN</t>
        </is>
      </c>
      <c r="E107" t="inlineStr">
        <is>
          <t>ÅRE</t>
        </is>
      </c>
      <c r="G107" t="n">
        <v>5.5</v>
      </c>
      <c r="H107" t="n">
        <v>1</v>
      </c>
      <c r="I107" t="n">
        <v>2</v>
      </c>
      <c r="J107" t="n">
        <v>0</v>
      </c>
      <c r="K107" t="n">
        <v>0</v>
      </c>
      <c r="L107" t="n">
        <v>0</v>
      </c>
      <c r="M107" t="n">
        <v>0</v>
      </c>
      <c r="N107" t="n">
        <v>0</v>
      </c>
      <c r="O107" t="n">
        <v>0</v>
      </c>
      <c r="P107" t="n">
        <v>0</v>
      </c>
      <c r="Q107" t="n">
        <v>2</v>
      </c>
      <c r="R107" s="2" t="inlineStr">
        <is>
          <t>Korallrot
Ögonpyrola</t>
        </is>
      </c>
      <c r="S107">
        <f>HYPERLINK("https://klasma.github.io/Logging_2321/artfynd/A 32207-2022 artfynd.xlsx", "A 32207-2022")</f>
        <v/>
      </c>
      <c r="T107">
        <f>HYPERLINK("https://klasma.github.io/Logging_2321/kartor/A 32207-2022 karta.png", "A 32207-2022")</f>
        <v/>
      </c>
      <c r="V107">
        <f>HYPERLINK("https://klasma.github.io/Logging_2321/klagomål/A 32207-2022 FSC-klagomål.docx", "A 32207-2022")</f>
        <v/>
      </c>
      <c r="W107">
        <f>HYPERLINK("https://klasma.github.io/Logging_2321/klagomålsmail/A 32207-2022 FSC-klagomål mail.docx", "A 32207-2022")</f>
        <v/>
      </c>
      <c r="X107">
        <f>HYPERLINK("https://klasma.github.io/Logging_2321/tillsyn/A 32207-2022 tillsynsbegäran.docx", "A 32207-2022")</f>
        <v/>
      </c>
      <c r="Y107">
        <f>HYPERLINK("https://klasma.github.io/Logging_2321/tillsynsmail/A 32207-2022 tillsynsbegäran mail.docx", "A 32207-2022")</f>
        <v/>
      </c>
    </row>
    <row r="108" ht="15" customHeight="1">
      <c r="A108" t="inlineStr">
        <is>
          <t>A 55739-2022</t>
        </is>
      </c>
      <c r="B108" s="1" t="n">
        <v>44888</v>
      </c>
      <c r="C108" s="1" t="n">
        <v>45337</v>
      </c>
      <c r="D108" t="inlineStr">
        <is>
          <t>JÄMTLANDS LÄN</t>
        </is>
      </c>
      <c r="E108" t="inlineStr">
        <is>
          <t>ÅRE</t>
        </is>
      </c>
      <c r="F108" t="inlineStr">
        <is>
          <t>Övriga Aktiebolag</t>
        </is>
      </c>
      <c r="G108" t="n">
        <v>10.2</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55739-2022 artfynd.xlsx", "A 55739-2022")</f>
        <v/>
      </c>
      <c r="T108">
        <f>HYPERLINK("https://klasma.github.io/Logging_2321/kartor/A 55739-2022 karta.png", "A 55739-2022")</f>
        <v/>
      </c>
      <c r="V108">
        <f>HYPERLINK("https://klasma.github.io/Logging_2321/klagomål/A 55739-2022 FSC-klagomål.docx", "A 55739-2022")</f>
        <v/>
      </c>
      <c r="W108">
        <f>HYPERLINK("https://klasma.github.io/Logging_2321/klagomålsmail/A 55739-2022 FSC-klagomål mail.docx", "A 55739-2022")</f>
        <v/>
      </c>
      <c r="X108">
        <f>HYPERLINK("https://klasma.github.io/Logging_2321/tillsyn/A 55739-2022 tillsynsbegäran.docx", "A 55739-2022")</f>
        <v/>
      </c>
      <c r="Y108">
        <f>HYPERLINK("https://klasma.github.io/Logging_2321/tillsynsmail/A 55739-2022 tillsynsbegäran mail.docx", "A 55739-2022")</f>
        <v/>
      </c>
      <c r="Z108">
        <f>HYPERLINK("https://klasma.github.io/Logging_2321/fåglar/A 55739-2022 prioriterade fågelarter.docx", "A 55739-2022")</f>
        <v/>
      </c>
    </row>
    <row r="109" ht="15" customHeight="1">
      <c r="A109" t="inlineStr">
        <is>
          <t>A 56472-2022</t>
        </is>
      </c>
      <c r="B109" s="1" t="n">
        <v>44893</v>
      </c>
      <c r="C109" s="1" t="n">
        <v>45337</v>
      </c>
      <c r="D109" t="inlineStr">
        <is>
          <t>JÄMTLANDS LÄN</t>
        </is>
      </c>
      <c r="E109" t="inlineStr">
        <is>
          <t>ÅRE</t>
        </is>
      </c>
      <c r="F109" t="inlineStr">
        <is>
          <t>Övriga Aktiebolag</t>
        </is>
      </c>
      <c r="G109" t="n">
        <v>22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56472-2022 artfynd.xlsx", "A 56472-2022")</f>
        <v/>
      </c>
      <c r="T109">
        <f>HYPERLINK("https://klasma.github.io/Logging_2321/kartor/A 56472-2022 karta.png", "A 56472-2022")</f>
        <v/>
      </c>
      <c r="V109">
        <f>HYPERLINK("https://klasma.github.io/Logging_2321/klagomål/A 56472-2022 FSC-klagomål.docx", "A 56472-2022")</f>
        <v/>
      </c>
      <c r="W109">
        <f>HYPERLINK("https://klasma.github.io/Logging_2321/klagomålsmail/A 56472-2022 FSC-klagomål mail.docx", "A 56472-2022")</f>
        <v/>
      </c>
      <c r="X109">
        <f>HYPERLINK("https://klasma.github.io/Logging_2321/tillsyn/A 56472-2022 tillsynsbegäran.docx", "A 56472-2022")</f>
        <v/>
      </c>
      <c r="Y109">
        <f>HYPERLINK("https://klasma.github.io/Logging_2321/tillsynsmail/A 56472-2022 tillsynsbegäran mail.docx", "A 56472-2022")</f>
        <v/>
      </c>
      <c r="Z109">
        <f>HYPERLINK("https://klasma.github.io/Logging_2321/fåglar/A 56472-2022 prioriterade fågelarter.docx", "A 56472-2022")</f>
        <v/>
      </c>
    </row>
    <row r="110" ht="15" customHeight="1">
      <c r="A110" t="inlineStr">
        <is>
          <t>A 60533-2022</t>
        </is>
      </c>
      <c r="B110" s="1" t="n">
        <v>44904</v>
      </c>
      <c r="C110" s="1" t="n">
        <v>45337</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3152-2023</t>
        </is>
      </c>
      <c r="B111" s="1" t="n">
        <v>44946</v>
      </c>
      <c r="C111" s="1" t="n">
        <v>45337</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5531-2023</t>
        </is>
      </c>
      <c r="B112" s="1" t="n">
        <v>44957</v>
      </c>
      <c r="C112" s="1" t="n">
        <v>45337</v>
      </c>
      <c r="D112" t="inlineStr">
        <is>
          <t>JÄMTLANDS LÄN</t>
        </is>
      </c>
      <c r="E112" t="inlineStr">
        <is>
          <t>ÅRE</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HYPERLINK("https://klasma.github.io/Logging_2321/artfynd/A 5531-2023 artfynd.xlsx", "A 5531-2023")</f>
        <v/>
      </c>
      <c r="T112">
        <f>HYPERLINK("https://klasma.github.io/Logging_2321/kartor/A 5531-2023 karta.png", "A 5531-2023")</f>
        <v/>
      </c>
      <c r="V112">
        <f>HYPERLINK("https://klasma.github.io/Logging_2321/klagomål/A 5531-2023 FSC-klagomål.docx", "A 5531-2023")</f>
        <v/>
      </c>
      <c r="W112">
        <f>HYPERLINK("https://klasma.github.io/Logging_2321/klagomålsmail/A 5531-2023 FSC-klagomål mail.docx", "A 5531-2023")</f>
        <v/>
      </c>
      <c r="X112">
        <f>HYPERLINK("https://klasma.github.io/Logging_2321/tillsyn/A 5531-2023 tillsynsbegäran.docx", "A 5531-2023")</f>
        <v/>
      </c>
      <c r="Y112">
        <f>HYPERLINK("https://klasma.github.io/Logging_2321/tillsynsmail/A 5531-2023 tillsynsbegäran mail.docx", "A 5531-2023")</f>
        <v/>
      </c>
      <c r="Z112">
        <f>HYPERLINK("https://klasma.github.io/Logging_2321/fåglar/A 5531-2023 prioriterade fågelarter.docx", "A 5531-2023")</f>
        <v/>
      </c>
    </row>
    <row r="113" ht="15" customHeight="1">
      <c r="A113" t="inlineStr">
        <is>
          <t>A 5418-2023</t>
        </is>
      </c>
      <c r="B113" s="1" t="n">
        <v>44957</v>
      </c>
      <c r="C113" s="1" t="n">
        <v>45337</v>
      </c>
      <c r="D113" t="inlineStr">
        <is>
          <t>JÄMTLANDS LÄN</t>
        </is>
      </c>
      <c r="E113" t="inlineStr">
        <is>
          <t>ÅRE</t>
        </is>
      </c>
      <c r="G113" t="n">
        <v>5</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5418-2023 artfynd.xlsx", "A 5418-2023")</f>
        <v/>
      </c>
      <c r="T113">
        <f>HYPERLINK("https://klasma.github.io/Logging_2321/kartor/A 5418-2023 karta.png", "A 5418-2023")</f>
        <v/>
      </c>
      <c r="V113">
        <f>HYPERLINK("https://klasma.github.io/Logging_2321/klagomål/A 5418-2023 FSC-klagomål.docx", "A 5418-2023")</f>
        <v/>
      </c>
      <c r="W113">
        <f>HYPERLINK("https://klasma.github.io/Logging_2321/klagomålsmail/A 5418-2023 FSC-klagomål mail.docx", "A 5418-2023")</f>
        <v/>
      </c>
      <c r="X113">
        <f>HYPERLINK("https://klasma.github.io/Logging_2321/tillsyn/A 5418-2023 tillsynsbegäran.docx", "A 5418-2023")</f>
        <v/>
      </c>
      <c r="Y113">
        <f>HYPERLINK("https://klasma.github.io/Logging_2321/tillsynsmail/A 5418-2023 tillsynsbegäran mail.docx", "A 5418-2023")</f>
        <v/>
      </c>
      <c r="Z113">
        <f>HYPERLINK("https://klasma.github.io/Logging_2321/fåglar/A 5418-2023 prioriterade fågelarter.docx", "A 5418-2023")</f>
        <v/>
      </c>
    </row>
    <row r="114" ht="15" customHeight="1">
      <c r="A114" t="inlineStr">
        <is>
          <t>A 6107-2023</t>
        </is>
      </c>
      <c r="B114" s="1" t="n">
        <v>44964</v>
      </c>
      <c r="C114" s="1" t="n">
        <v>45337</v>
      </c>
      <c r="D114" t="inlineStr">
        <is>
          <t>JÄMTLANDS LÄN</t>
        </is>
      </c>
      <c r="E114" t="inlineStr">
        <is>
          <t>ÅRE</t>
        </is>
      </c>
      <c r="G114" t="n">
        <v>1.9</v>
      </c>
      <c r="H114" t="n">
        <v>0</v>
      </c>
      <c r="I114" t="n">
        <v>1</v>
      </c>
      <c r="J114" t="n">
        <v>1</v>
      </c>
      <c r="K114" t="n">
        <v>0</v>
      </c>
      <c r="L114" t="n">
        <v>0</v>
      </c>
      <c r="M114" t="n">
        <v>0</v>
      </c>
      <c r="N114" t="n">
        <v>0</v>
      </c>
      <c r="O114" t="n">
        <v>1</v>
      </c>
      <c r="P114" t="n">
        <v>0</v>
      </c>
      <c r="Q114" t="n">
        <v>2</v>
      </c>
      <c r="R114" s="2" t="inlineStr">
        <is>
          <t>Skrovellav
Stuplav</t>
        </is>
      </c>
      <c r="S114">
        <f>HYPERLINK("https://klasma.github.io/Logging_2321/artfynd/A 6107-2023 artfynd.xlsx", "A 6107-2023")</f>
        <v/>
      </c>
      <c r="T114">
        <f>HYPERLINK("https://klasma.github.io/Logging_2321/kartor/A 6107-2023 karta.png", "A 6107-2023")</f>
        <v/>
      </c>
      <c r="V114">
        <f>HYPERLINK("https://klasma.github.io/Logging_2321/klagomål/A 6107-2023 FSC-klagomål.docx", "A 6107-2023")</f>
        <v/>
      </c>
      <c r="W114">
        <f>HYPERLINK("https://klasma.github.io/Logging_2321/klagomålsmail/A 6107-2023 FSC-klagomål mail.docx", "A 6107-2023")</f>
        <v/>
      </c>
      <c r="X114">
        <f>HYPERLINK("https://klasma.github.io/Logging_2321/tillsyn/A 6107-2023 tillsynsbegäran.docx", "A 6107-2023")</f>
        <v/>
      </c>
      <c r="Y114">
        <f>HYPERLINK("https://klasma.github.io/Logging_2321/tillsynsmail/A 6107-2023 tillsynsbegäran mail.docx", "A 6107-2023")</f>
        <v/>
      </c>
    </row>
    <row r="115" ht="15" customHeight="1">
      <c r="A115" t="inlineStr">
        <is>
          <t>A 6108-2023</t>
        </is>
      </c>
      <c r="B115" s="1" t="n">
        <v>44964</v>
      </c>
      <c r="C115" s="1" t="n">
        <v>45337</v>
      </c>
      <c r="D115" t="inlineStr">
        <is>
          <t>JÄMTLANDS LÄN</t>
        </is>
      </c>
      <c r="E115" t="inlineStr">
        <is>
          <t>ÅRE</t>
        </is>
      </c>
      <c r="G115" t="n">
        <v>15.4</v>
      </c>
      <c r="H115" t="n">
        <v>1</v>
      </c>
      <c r="I115" t="n">
        <v>0</v>
      </c>
      <c r="J115" t="n">
        <v>2</v>
      </c>
      <c r="K115" t="n">
        <v>0</v>
      </c>
      <c r="L115" t="n">
        <v>0</v>
      </c>
      <c r="M115" t="n">
        <v>0</v>
      </c>
      <c r="N115" t="n">
        <v>0</v>
      </c>
      <c r="O115" t="n">
        <v>2</v>
      </c>
      <c r="P115" t="n">
        <v>0</v>
      </c>
      <c r="Q115" t="n">
        <v>2</v>
      </c>
      <c r="R115" s="2" t="inlineStr">
        <is>
          <t>Skrovellav
Tretåig hackspett</t>
        </is>
      </c>
      <c r="S115">
        <f>HYPERLINK("https://klasma.github.io/Logging_2321/artfynd/A 6108-2023 artfynd.xlsx", "A 6108-2023")</f>
        <v/>
      </c>
      <c r="T115">
        <f>HYPERLINK("https://klasma.github.io/Logging_2321/kartor/A 6108-2023 karta.png", "A 6108-2023")</f>
        <v/>
      </c>
      <c r="V115">
        <f>HYPERLINK("https://klasma.github.io/Logging_2321/klagomål/A 6108-2023 FSC-klagomål.docx", "A 6108-2023")</f>
        <v/>
      </c>
      <c r="W115">
        <f>HYPERLINK("https://klasma.github.io/Logging_2321/klagomålsmail/A 6108-2023 FSC-klagomål mail.docx", "A 6108-2023")</f>
        <v/>
      </c>
      <c r="X115">
        <f>HYPERLINK("https://klasma.github.io/Logging_2321/tillsyn/A 6108-2023 tillsynsbegäran.docx", "A 6108-2023")</f>
        <v/>
      </c>
      <c r="Y115">
        <f>HYPERLINK("https://klasma.github.io/Logging_2321/tillsynsmail/A 6108-2023 tillsynsbegäran mail.docx", "A 6108-2023")</f>
        <v/>
      </c>
      <c r="Z115">
        <f>HYPERLINK("https://klasma.github.io/Logging_2321/fåglar/A 6108-2023 prioriterade fågelarter.docx", "A 6108-2023")</f>
        <v/>
      </c>
    </row>
    <row r="116" ht="15" customHeight="1">
      <c r="A116" t="inlineStr">
        <is>
          <t>A 7401-2023</t>
        </is>
      </c>
      <c r="B116" s="1" t="n">
        <v>44966</v>
      </c>
      <c r="C116" s="1" t="n">
        <v>45337</v>
      </c>
      <c r="D116" t="inlineStr">
        <is>
          <t>JÄMTLANDS LÄN</t>
        </is>
      </c>
      <c r="E116" t="inlineStr">
        <is>
          <t>ÅRE</t>
        </is>
      </c>
      <c r="G116" t="n">
        <v>3.5</v>
      </c>
      <c r="H116" t="n">
        <v>2</v>
      </c>
      <c r="I116" t="n">
        <v>1</v>
      </c>
      <c r="J116" t="n">
        <v>0</v>
      </c>
      <c r="K116" t="n">
        <v>0</v>
      </c>
      <c r="L116" t="n">
        <v>0</v>
      </c>
      <c r="M116" t="n">
        <v>0</v>
      </c>
      <c r="N116" t="n">
        <v>0</v>
      </c>
      <c r="O116" t="n">
        <v>0</v>
      </c>
      <c r="P116" t="n">
        <v>0</v>
      </c>
      <c r="Q116" t="n">
        <v>2</v>
      </c>
      <c r="R116" s="2" t="inlineStr">
        <is>
          <t>Tvåblad
Revlummer</t>
        </is>
      </c>
      <c r="S116">
        <f>HYPERLINK("https://klasma.github.io/Logging_2321/artfynd/A 7401-2023 artfynd.xlsx", "A 7401-2023")</f>
        <v/>
      </c>
      <c r="T116">
        <f>HYPERLINK("https://klasma.github.io/Logging_2321/kartor/A 7401-2023 karta.png", "A 7401-2023")</f>
        <v/>
      </c>
      <c r="V116">
        <f>HYPERLINK("https://klasma.github.io/Logging_2321/klagomål/A 7401-2023 FSC-klagomål.docx", "A 7401-2023")</f>
        <v/>
      </c>
      <c r="W116">
        <f>HYPERLINK("https://klasma.github.io/Logging_2321/klagomålsmail/A 7401-2023 FSC-klagomål mail.docx", "A 7401-2023")</f>
        <v/>
      </c>
      <c r="X116">
        <f>HYPERLINK("https://klasma.github.io/Logging_2321/tillsyn/A 7401-2023 tillsynsbegäran.docx", "A 7401-2023")</f>
        <v/>
      </c>
      <c r="Y116">
        <f>HYPERLINK("https://klasma.github.io/Logging_2321/tillsynsmail/A 7401-2023 tillsynsbegäran mail.docx", "A 7401-2023")</f>
        <v/>
      </c>
    </row>
    <row r="117" ht="15" customHeight="1">
      <c r="A117" t="inlineStr">
        <is>
          <t>A 19699-2023</t>
        </is>
      </c>
      <c r="B117" s="1" t="n">
        <v>45051</v>
      </c>
      <c r="C117" s="1" t="n">
        <v>45337</v>
      </c>
      <c r="D117" t="inlineStr">
        <is>
          <t>JÄMTLANDS LÄN</t>
        </is>
      </c>
      <c r="E117" t="inlineStr">
        <is>
          <t>ÅRE</t>
        </is>
      </c>
      <c r="G117" t="n">
        <v>0.7</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19699-2023 artfynd.xlsx", "A 19699-2023")</f>
        <v/>
      </c>
      <c r="T117">
        <f>HYPERLINK("https://klasma.github.io/Logging_2321/kartor/A 19699-2023 karta.png", "A 19699-2023")</f>
        <v/>
      </c>
      <c r="V117">
        <f>HYPERLINK("https://klasma.github.io/Logging_2321/klagomål/A 19699-2023 FSC-klagomål.docx", "A 19699-2023")</f>
        <v/>
      </c>
      <c r="W117">
        <f>HYPERLINK("https://klasma.github.io/Logging_2321/klagomålsmail/A 19699-2023 FSC-klagomål mail.docx", "A 19699-2023")</f>
        <v/>
      </c>
      <c r="X117">
        <f>HYPERLINK("https://klasma.github.io/Logging_2321/tillsyn/A 19699-2023 tillsynsbegäran.docx", "A 19699-2023")</f>
        <v/>
      </c>
      <c r="Y117">
        <f>HYPERLINK("https://klasma.github.io/Logging_2321/tillsynsmail/A 19699-2023 tillsynsbegäran mail.docx", "A 19699-2023")</f>
        <v/>
      </c>
    </row>
    <row r="118" ht="15" customHeight="1">
      <c r="A118" t="inlineStr">
        <is>
          <t>A 23706-2023</t>
        </is>
      </c>
      <c r="B118" s="1" t="n">
        <v>45072</v>
      </c>
      <c r="C118" s="1" t="n">
        <v>45337</v>
      </c>
      <c r="D118" t="inlineStr">
        <is>
          <t>JÄMTLANDS LÄN</t>
        </is>
      </c>
      <c r="E118" t="inlineStr">
        <is>
          <t>ÅRE</t>
        </is>
      </c>
      <c r="G118" t="n">
        <v>8.1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23706-2023 artfynd.xlsx", "A 23706-2023")</f>
        <v/>
      </c>
      <c r="T118">
        <f>HYPERLINK("https://klasma.github.io/Logging_2321/kartor/A 23706-2023 karta.png", "A 23706-2023")</f>
        <v/>
      </c>
      <c r="V118">
        <f>HYPERLINK("https://klasma.github.io/Logging_2321/klagomål/A 23706-2023 FSC-klagomål.docx", "A 23706-2023")</f>
        <v/>
      </c>
      <c r="W118">
        <f>HYPERLINK("https://klasma.github.io/Logging_2321/klagomålsmail/A 23706-2023 FSC-klagomål mail.docx", "A 23706-2023")</f>
        <v/>
      </c>
      <c r="X118">
        <f>HYPERLINK("https://klasma.github.io/Logging_2321/tillsyn/A 23706-2023 tillsynsbegäran.docx", "A 23706-2023")</f>
        <v/>
      </c>
      <c r="Y118">
        <f>HYPERLINK("https://klasma.github.io/Logging_2321/tillsynsmail/A 23706-2023 tillsynsbegäran mail.docx", "A 23706-2023")</f>
        <v/>
      </c>
      <c r="Z118">
        <f>HYPERLINK("https://klasma.github.io/Logging_2321/fåglar/A 23706-2023 prioriterade fågelarter.docx", "A 23706-2023")</f>
        <v/>
      </c>
    </row>
    <row r="119" ht="15" customHeight="1">
      <c r="A119" t="inlineStr">
        <is>
          <t>A 26098-2023</t>
        </is>
      </c>
      <c r="B119" s="1" t="n">
        <v>45091</v>
      </c>
      <c r="C119" s="1" t="n">
        <v>45337</v>
      </c>
      <c r="D119" t="inlineStr">
        <is>
          <t>JÄMTLANDS LÄN</t>
        </is>
      </c>
      <c r="E119" t="inlineStr">
        <is>
          <t>ÅRE</t>
        </is>
      </c>
      <c r="G119" t="n">
        <v>15.7</v>
      </c>
      <c r="H119" t="n">
        <v>0</v>
      </c>
      <c r="I119" t="n">
        <v>0</v>
      </c>
      <c r="J119" t="n">
        <v>2</v>
      </c>
      <c r="K119" t="n">
        <v>0</v>
      </c>
      <c r="L119" t="n">
        <v>0</v>
      </c>
      <c r="M119" t="n">
        <v>0</v>
      </c>
      <c r="N119" t="n">
        <v>0</v>
      </c>
      <c r="O119" t="n">
        <v>2</v>
      </c>
      <c r="P119" t="n">
        <v>0</v>
      </c>
      <c r="Q119" t="n">
        <v>2</v>
      </c>
      <c r="R119" s="2" t="inlineStr">
        <is>
          <t>Lunglav
Skrovellav</t>
        </is>
      </c>
      <c r="S119">
        <f>HYPERLINK("https://klasma.github.io/Logging_2321/artfynd/A 26098-2023 artfynd.xlsx", "A 26098-2023")</f>
        <v/>
      </c>
      <c r="T119">
        <f>HYPERLINK("https://klasma.github.io/Logging_2321/kartor/A 26098-2023 karta.png", "A 26098-2023")</f>
        <v/>
      </c>
      <c r="V119">
        <f>HYPERLINK("https://klasma.github.io/Logging_2321/klagomål/A 26098-2023 FSC-klagomål.docx", "A 26098-2023")</f>
        <v/>
      </c>
      <c r="W119">
        <f>HYPERLINK("https://klasma.github.io/Logging_2321/klagomålsmail/A 26098-2023 FSC-klagomål mail.docx", "A 26098-2023")</f>
        <v/>
      </c>
      <c r="X119">
        <f>HYPERLINK("https://klasma.github.io/Logging_2321/tillsyn/A 26098-2023 tillsynsbegäran.docx", "A 26098-2023")</f>
        <v/>
      </c>
      <c r="Y119">
        <f>HYPERLINK("https://klasma.github.io/Logging_2321/tillsynsmail/A 26098-2023 tillsynsbegäran mail.docx", "A 26098-2023")</f>
        <v/>
      </c>
    </row>
    <row r="120" ht="15" customHeight="1">
      <c r="A120" t="inlineStr">
        <is>
          <t>A 53014-2023</t>
        </is>
      </c>
      <c r="B120" s="1" t="n">
        <v>45226</v>
      </c>
      <c r="C120" s="1" t="n">
        <v>45337</v>
      </c>
      <c r="D120" t="inlineStr">
        <is>
          <t>JÄMTLANDS LÄN</t>
        </is>
      </c>
      <c r="E120" t="inlineStr">
        <is>
          <t>ÅRE</t>
        </is>
      </c>
      <c r="F120" t="inlineStr">
        <is>
          <t>Övriga Aktiebolag</t>
        </is>
      </c>
      <c r="G120" t="n">
        <v>9.4</v>
      </c>
      <c r="H120" t="n">
        <v>1</v>
      </c>
      <c r="I120" t="n">
        <v>1</v>
      </c>
      <c r="J120" t="n">
        <v>1</v>
      </c>
      <c r="K120" t="n">
        <v>0</v>
      </c>
      <c r="L120" t="n">
        <v>0</v>
      </c>
      <c r="M120" t="n">
        <v>0</v>
      </c>
      <c r="N120" t="n">
        <v>0</v>
      </c>
      <c r="O120" t="n">
        <v>1</v>
      </c>
      <c r="P120" t="n">
        <v>0</v>
      </c>
      <c r="Q120" t="n">
        <v>2</v>
      </c>
      <c r="R120" s="2" t="inlineStr">
        <is>
          <t>Vedflikmossa
Spindelblomster</t>
        </is>
      </c>
      <c r="S120">
        <f>HYPERLINK("https://klasma.github.io/Logging_2321/artfynd/A 53014-2023 artfynd.xlsx", "A 53014-2023")</f>
        <v/>
      </c>
      <c r="T120">
        <f>HYPERLINK("https://klasma.github.io/Logging_2321/kartor/A 53014-2023 karta.png", "A 53014-2023")</f>
        <v/>
      </c>
      <c r="V120">
        <f>HYPERLINK("https://klasma.github.io/Logging_2321/klagomål/A 53014-2023 FSC-klagomål.docx", "A 53014-2023")</f>
        <v/>
      </c>
      <c r="W120">
        <f>HYPERLINK("https://klasma.github.io/Logging_2321/klagomålsmail/A 53014-2023 FSC-klagomål mail.docx", "A 53014-2023")</f>
        <v/>
      </c>
      <c r="X120">
        <f>HYPERLINK("https://klasma.github.io/Logging_2321/tillsyn/A 53014-2023 tillsynsbegäran.docx", "A 53014-2023")</f>
        <v/>
      </c>
      <c r="Y120">
        <f>HYPERLINK("https://klasma.github.io/Logging_2321/tillsynsmail/A 53014-2023 tillsynsbegäran mail.docx", "A 53014-2023")</f>
        <v/>
      </c>
    </row>
    <row r="121" ht="15" customHeight="1">
      <c r="A121" t="inlineStr">
        <is>
          <t>A 54055-2023</t>
        </is>
      </c>
      <c r="B121" s="1" t="n">
        <v>45231</v>
      </c>
      <c r="C121" s="1" t="n">
        <v>45337</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57771-2023</t>
        </is>
      </c>
      <c r="B122" s="1" t="n">
        <v>45246</v>
      </c>
      <c r="C122" s="1" t="n">
        <v>45337</v>
      </c>
      <c r="D122" t="inlineStr">
        <is>
          <t>JÄMTLANDS LÄN</t>
        </is>
      </c>
      <c r="E122" t="inlineStr">
        <is>
          <t>ÅRE</t>
        </is>
      </c>
      <c r="G122" t="n">
        <v>2.1</v>
      </c>
      <c r="H122" t="n">
        <v>0</v>
      </c>
      <c r="I122" t="n">
        <v>0</v>
      </c>
      <c r="J122" t="n">
        <v>2</v>
      </c>
      <c r="K122" t="n">
        <v>0</v>
      </c>
      <c r="L122" t="n">
        <v>0</v>
      </c>
      <c r="M122" t="n">
        <v>0</v>
      </c>
      <c r="N122" t="n">
        <v>0</v>
      </c>
      <c r="O122" t="n">
        <v>2</v>
      </c>
      <c r="P122" t="n">
        <v>0</v>
      </c>
      <c r="Q122" t="n">
        <v>2</v>
      </c>
      <c r="R122" s="2" t="inlineStr">
        <is>
          <t>Granticka
Harticka</t>
        </is>
      </c>
      <c r="S122">
        <f>HYPERLINK("https://klasma.github.io/Logging_2321/artfynd/A 57771-2023 artfynd.xlsx", "A 57771-2023")</f>
        <v/>
      </c>
      <c r="T122">
        <f>HYPERLINK("https://klasma.github.io/Logging_2321/kartor/A 57771-2023 karta.png", "A 57771-2023")</f>
        <v/>
      </c>
      <c r="V122">
        <f>HYPERLINK("https://klasma.github.io/Logging_2321/klagomål/A 57771-2023 FSC-klagomål.docx", "A 57771-2023")</f>
        <v/>
      </c>
      <c r="W122">
        <f>HYPERLINK("https://klasma.github.io/Logging_2321/klagomålsmail/A 57771-2023 FSC-klagomål mail.docx", "A 57771-2023")</f>
        <v/>
      </c>
      <c r="X122">
        <f>HYPERLINK("https://klasma.github.io/Logging_2321/tillsyn/A 57771-2023 tillsynsbegäran.docx", "A 57771-2023")</f>
        <v/>
      </c>
      <c r="Y122">
        <f>HYPERLINK("https://klasma.github.io/Logging_2321/tillsynsmail/A 57771-2023 tillsynsbegäran mail.docx", "A 57771-2023")</f>
        <v/>
      </c>
    </row>
    <row r="123" ht="15" customHeight="1">
      <c r="A123" t="inlineStr">
        <is>
          <t>A 33947-2018</t>
        </is>
      </c>
      <c r="B123" s="1" t="n">
        <v>43314</v>
      </c>
      <c r="C123" s="1" t="n">
        <v>45337</v>
      </c>
      <c r="D123" t="inlineStr">
        <is>
          <t>JÄMTLANDS LÄN</t>
        </is>
      </c>
      <c r="E123" t="inlineStr">
        <is>
          <t>ÅRE</t>
        </is>
      </c>
      <c r="F123" t="inlineStr">
        <is>
          <t>Övriga Aktiebolag</t>
        </is>
      </c>
      <c r="G123" t="n">
        <v>8.5</v>
      </c>
      <c r="H123" t="n">
        <v>0</v>
      </c>
      <c r="I123" t="n">
        <v>0</v>
      </c>
      <c r="J123" t="n">
        <v>0</v>
      </c>
      <c r="K123" t="n">
        <v>1</v>
      </c>
      <c r="L123" t="n">
        <v>0</v>
      </c>
      <c r="M123" t="n">
        <v>0</v>
      </c>
      <c r="N123" t="n">
        <v>0</v>
      </c>
      <c r="O123" t="n">
        <v>1</v>
      </c>
      <c r="P123" t="n">
        <v>1</v>
      </c>
      <c r="Q123" t="n">
        <v>1</v>
      </c>
      <c r="R123" s="2" t="inlineStr">
        <is>
          <t>Norsk näverlav</t>
        </is>
      </c>
      <c r="S123">
        <f>HYPERLINK("https://klasma.github.io/Logging_2321/artfynd/A 33947-2018 artfynd.xlsx", "A 33947-2018")</f>
        <v/>
      </c>
      <c r="T123">
        <f>HYPERLINK("https://klasma.github.io/Logging_2321/kartor/A 33947-2018 karta.png", "A 33947-2018")</f>
        <v/>
      </c>
      <c r="V123">
        <f>HYPERLINK("https://klasma.github.io/Logging_2321/klagomål/A 33947-2018 FSC-klagomål.docx", "A 33947-2018")</f>
        <v/>
      </c>
      <c r="W123">
        <f>HYPERLINK("https://klasma.github.io/Logging_2321/klagomålsmail/A 33947-2018 FSC-klagomål mail.docx", "A 33947-2018")</f>
        <v/>
      </c>
      <c r="X123">
        <f>HYPERLINK("https://klasma.github.io/Logging_2321/tillsyn/A 33947-2018 tillsynsbegäran.docx", "A 33947-2018")</f>
        <v/>
      </c>
      <c r="Y123">
        <f>HYPERLINK("https://klasma.github.io/Logging_2321/tillsynsmail/A 33947-2018 tillsynsbegäran mail.docx", "A 33947-2018")</f>
        <v/>
      </c>
    </row>
    <row r="124" ht="15" customHeight="1">
      <c r="A124" t="inlineStr">
        <is>
          <t>A 64479-2018</t>
        </is>
      </c>
      <c r="B124" s="1" t="n">
        <v>43431</v>
      </c>
      <c r="C124" s="1" t="n">
        <v>45337</v>
      </c>
      <c r="D124" t="inlineStr">
        <is>
          <t>JÄMTLANDS LÄN</t>
        </is>
      </c>
      <c r="E124" t="inlineStr">
        <is>
          <t>ÅRE</t>
        </is>
      </c>
      <c r="G124" t="n">
        <v>10.1</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64479-2018 artfynd.xlsx", "A 64479-2018")</f>
        <v/>
      </c>
      <c r="T124">
        <f>HYPERLINK("https://klasma.github.io/Logging_2321/kartor/A 64479-2018 karta.png", "A 64479-2018")</f>
        <v/>
      </c>
      <c r="V124">
        <f>HYPERLINK("https://klasma.github.io/Logging_2321/klagomål/A 64479-2018 FSC-klagomål.docx", "A 64479-2018")</f>
        <v/>
      </c>
      <c r="W124">
        <f>HYPERLINK("https://klasma.github.io/Logging_2321/klagomålsmail/A 64479-2018 FSC-klagomål mail.docx", "A 64479-2018")</f>
        <v/>
      </c>
      <c r="X124">
        <f>HYPERLINK("https://klasma.github.io/Logging_2321/tillsyn/A 64479-2018 tillsynsbegäran.docx", "A 64479-2018")</f>
        <v/>
      </c>
      <c r="Y124">
        <f>HYPERLINK("https://klasma.github.io/Logging_2321/tillsynsmail/A 64479-2018 tillsynsbegäran mail.docx", "A 64479-2018")</f>
        <v/>
      </c>
      <c r="Z124">
        <f>HYPERLINK("https://klasma.github.io/Logging_2321/fåglar/A 64479-2018 prioriterade fågelarter.docx", "A 64479-2018")</f>
        <v/>
      </c>
    </row>
    <row r="125" ht="15" customHeight="1">
      <c r="A125" t="inlineStr">
        <is>
          <t>A 59825-2019</t>
        </is>
      </c>
      <c r="B125" s="1" t="n">
        <v>43774</v>
      </c>
      <c r="C125" s="1" t="n">
        <v>45337</v>
      </c>
      <c r="D125" t="inlineStr">
        <is>
          <t>JÄMTLANDS LÄN</t>
        </is>
      </c>
      <c r="E125" t="inlineStr">
        <is>
          <t>ÅRE</t>
        </is>
      </c>
      <c r="G125" t="n">
        <v>6.8</v>
      </c>
      <c r="H125" t="n">
        <v>0</v>
      </c>
      <c r="I125" t="n">
        <v>0</v>
      </c>
      <c r="J125" t="n">
        <v>1</v>
      </c>
      <c r="K125" t="n">
        <v>0</v>
      </c>
      <c r="L125" t="n">
        <v>0</v>
      </c>
      <c r="M125" t="n">
        <v>0</v>
      </c>
      <c r="N125" t="n">
        <v>0</v>
      </c>
      <c r="O125" t="n">
        <v>1</v>
      </c>
      <c r="P125" t="n">
        <v>0</v>
      </c>
      <c r="Q125" t="n">
        <v>1</v>
      </c>
      <c r="R125" s="2" t="inlineStr">
        <is>
          <t>Lunglav</t>
        </is>
      </c>
      <c r="S125">
        <f>HYPERLINK("https://klasma.github.io/Logging_2321/artfynd/A 59825-2019 artfynd.xlsx", "A 59825-2019")</f>
        <v/>
      </c>
      <c r="T125">
        <f>HYPERLINK("https://klasma.github.io/Logging_2321/kartor/A 59825-2019 karta.png", "A 59825-2019")</f>
        <v/>
      </c>
      <c r="V125">
        <f>HYPERLINK("https://klasma.github.io/Logging_2321/klagomål/A 59825-2019 FSC-klagomål.docx", "A 59825-2019")</f>
        <v/>
      </c>
      <c r="W125">
        <f>HYPERLINK("https://klasma.github.io/Logging_2321/klagomålsmail/A 59825-2019 FSC-klagomål mail.docx", "A 59825-2019")</f>
        <v/>
      </c>
      <c r="X125">
        <f>HYPERLINK("https://klasma.github.io/Logging_2321/tillsyn/A 59825-2019 tillsynsbegäran.docx", "A 59825-2019")</f>
        <v/>
      </c>
      <c r="Y125">
        <f>HYPERLINK("https://klasma.github.io/Logging_2321/tillsynsmail/A 59825-2019 tillsynsbegäran mail.docx", "A 59825-2019")</f>
        <v/>
      </c>
    </row>
    <row r="126" ht="15" customHeight="1">
      <c r="A126" t="inlineStr">
        <is>
          <t>A 20979-2020</t>
        </is>
      </c>
      <c r="B126" s="1" t="n">
        <v>43950</v>
      </c>
      <c r="C126" s="1" t="n">
        <v>45337</v>
      </c>
      <c r="D126" t="inlineStr">
        <is>
          <t>JÄMTLANDS LÄN</t>
        </is>
      </c>
      <c r="E126" t="inlineStr">
        <is>
          <t>ÅRE</t>
        </is>
      </c>
      <c r="G126" t="n">
        <v>16.5</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20979-2020 artfynd.xlsx", "A 20979-2020")</f>
        <v/>
      </c>
      <c r="T126">
        <f>HYPERLINK("https://klasma.github.io/Logging_2321/kartor/A 20979-2020 karta.png", "A 20979-2020")</f>
        <v/>
      </c>
      <c r="V126">
        <f>HYPERLINK("https://klasma.github.io/Logging_2321/klagomål/A 20979-2020 FSC-klagomål.docx", "A 20979-2020")</f>
        <v/>
      </c>
      <c r="W126">
        <f>HYPERLINK("https://klasma.github.io/Logging_2321/klagomålsmail/A 20979-2020 FSC-klagomål mail.docx", "A 20979-2020")</f>
        <v/>
      </c>
      <c r="X126">
        <f>HYPERLINK("https://klasma.github.io/Logging_2321/tillsyn/A 20979-2020 tillsynsbegäran.docx", "A 20979-2020")</f>
        <v/>
      </c>
      <c r="Y126">
        <f>HYPERLINK("https://klasma.github.io/Logging_2321/tillsynsmail/A 20979-2020 tillsynsbegäran mail.docx", "A 20979-2020")</f>
        <v/>
      </c>
      <c r="Z126">
        <f>HYPERLINK("https://klasma.github.io/Logging_2321/fåglar/A 20979-2020 prioriterade fågelarter.docx", "A 20979-2020")</f>
        <v/>
      </c>
    </row>
    <row r="127" ht="15" customHeight="1">
      <c r="A127" t="inlineStr">
        <is>
          <t>A 29084-2020</t>
        </is>
      </c>
      <c r="B127" s="1" t="n">
        <v>44002</v>
      </c>
      <c r="C127" s="1" t="n">
        <v>45337</v>
      </c>
      <c r="D127" t="inlineStr">
        <is>
          <t>JÄMTLANDS LÄN</t>
        </is>
      </c>
      <c r="E127" t="inlineStr">
        <is>
          <t>ÅRE</t>
        </is>
      </c>
      <c r="G127" t="n">
        <v>15.5</v>
      </c>
      <c r="H127" t="n">
        <v>0</v>
      </c>
      <c r="I127" t="n">
        <v>0</v>
      </c>
      <c r="J127" t="n">
        <v>1</v>
      </c>
      <c r="K127" t="n">
        <v>0</v>
      </c>
      <c r="L127" t="n">
        <v>0</v>
      </c>
      <c r="M127" t="n">
        <v>0</v>
      </c>
      <c r="N127" t="n">
        <v>0</v>
      </c>
      <c r="O127" t="n">
        <v>1</v>
      </c>
      <c r="P127" t="n">
        <v>0</v>
      </c>
      <c r="Q127" t="n">
        <v>1</v>
      </c>
      <c r="R127" s="2" t="inlineStr">
        <is>
          <t>Gränsticka</t>
        </is>
      </c>
      <c r="S127">
        <f>HYPERLINK("https://klasma.github.io/Logging_2321/artfynd/A 29084-2020 artfynd.xlsx", "A 29084-2020")</f>
        <v/>
      </c>
      <c r="T127">
        <f>HYPERLINK("https://klasma.github.io/Logging_2321/kartor/A 29084-2020 karta.png", "A 29084-2020")</f>
        <v/>
      </c>
      <c r="V127">
        <f>HYPERLINK("https://klasma.github.io/Logging_2321/klagomål/A 29084-2020 FSC-klagomål.docx", "A 29084-2020")</f>
        <v/>
      </c>
      <c r="W127">
        <f>HYPERLINK("https://klasma.github.io/Logging_2321/klagomålsmail/A 29084-2020 FSC-klagomål mail.docx", "A 29084-2020")</f>
        <v/>
      </c>
      <c r="X127">
        <f>HYPERLINK("https://klasma.github.io/Logging_2321/tillsyn/A 29084-2020 tillsynsbegäran.docx", "A 29084-2020")</f>
        <v/>
      </c>
      <c r="Y127">
        <f>HYPERLINK("https://klasma.github.io/Logging_2321/tillsynsmail/A 29084-2020 tillsynsbegäran mail.docx", "A 29084-2020")</f>
        <v/>
      </c>
    </row>
    <row r="128" ht="15" customHeight="1">
      <c r="A128" t="inlineStr">
        <is>
          <t>A 46966-2020</t>
        </is>
      </c>
      <c r="B128" s="1" t="n">
        <v>44090</v>
      </c>
      <c r="C128" s="1" t="n">
        <v>45337</v>
      </c>
      <c r="D128" t="inlineStr">
        <is>
          <t>JÄMTLANDS LÄN</t>
        </is>
      </c>
      <c r="E128" t="inlineStr">
        <is>
          <t>ÅRE</t>
        </is>
      </c>
      <c r="G128" t="n">
        <v>13.7</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46966-2020 artfynd.xlsx", "A 46966-2020")</f>
        <v/>
      </c>
      <c r="T128">
        <f>HYPERLINK("https://klasma.github.io/Logging_2321/kartor/A 46966-2020 karta.png", "A 46966-2020")</f>
        <v/>
      </c>
      <c r="V128">
        <f>HYPERLINK("https://klasma.github.io/Logging_2321/klagomål/A 46966-2020 FSC-klagomål.docx", "A 46966-2020")</f>
        <v/>
      </c>
      <c r="W128">
        <f>HYPERLINK("https://klasma.github.io/Logging_2321/klagomålsmail/A 46966-2020 FSC-klagomål mail.docx", "A 46966-2020")</f>
        <v/>
      </c>
      <c r="X128">
        <f>HYPERLINK("https://klasma.github.io/Logging_2321/tillsyn/A 46966-2020 tillsynsbegäran.docx", "A 46966-2020")</f>
        <v/>
      </c>
      <c r="Y128">
        <f>HYPERLINK("https://klasma.github.io/Logging_2321/tillsynsmail/A 46966-2020 tillsynsbegäran mail.docx", "A 46966-2020")</f>
        <v/>
      </c>
      <c r="Z128">
        <f>HYPERLINK("https://klasma.github.io/Logging_2321/fåglar/A 46966-2020 prioriterade fågelarter.docx", "A 46966-2020")</f>
        <v/>
      </c>
    </row>
    <row r="129" ht="15" customHeight="1">
      <c r="A129" t="inlineStr">
        <is>
          <t>A 46959-2020</t>
        </is>
      </c>
      <c r="B129" s="1" t="n">
        <v>44090</v>
      </c>
      <c r="C129" s="1" t="n">
        <v>45337</v>
      </c>
      <c r="D129" t="inlineStr">
        <is>
          <t>JÄMTLANDS LÄN</t>
        </is>
      </c>
      <c r="E129" t="inlineStr">
        <is>
          <t>ÅRE</t>
        </is>
      </c>
      <c r="G129" t="n">
        <v>4.7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46959-2020 artfynd.xlsx", "A 46959-2020")</f>
        <v/>
      </c>
      <c r="T129">
        <f>HYPERLINK("https://klasma.github.io/Logging_2321/kartor/A 46959-2020 karta.png", "A 46959-2020")</f>
        <v/>
      </c>
      <c r="V129">
        <f>HYPERLINK("https://klasma.github.io/Logging_2321/klagomål/A 46959-2020 FSC-klagomål.docx", "A 46959-2020")</f>
        <v/>
      </c>
      <c r="W129">
        <f>HYPERLINK("https://klasma.github.io/Logging_2321/klagomålsmail/A 46959-2020 FSC-klagomål mail.docx", "A 46959-2020")</f>
        <v/>
      </c>
      <c r="X129">
        <f>HYPERLINK("https://klasma.github.io/Logging_2321/tillsyn/A 46959-2020 tillsynsbegäran.docx", "A 46959-2020")</f>
        <v/>
      </c>
      <c r="Y129">
        <f>HYPERLINK("https://klasma.github.io/Logging_2321/tillsynsmail/A 46959-2020 tillsynsbegäran mail.docx", "A 46959-2020")</f>
        <v/>
      </c>
      <c r="Z129">
        <f>HYPERLINK("https://klasma.github.io/Logging_2321/fåglar/A 46959-2020 prioriterade fågelarter.docx", "A 46959-2020")</f>
        <v/>
      </c>
    </row>
    <row r="130" ht="15" customHeight="1">
      <c r="A130" t="inlineStr">
        <is>
          <t>A 52542-2020</t>
        </is>
      </c>
      <c r="B130" s="1" t="n">
        <v>44116</v>
      </c>
      <c r="C130" s="1" t="n">
        <v>45337</v>
      </c>
      <c r="D130" t="inlineStr">
        <is>
          <t>JÄMTLANDS LÄN</t>
        </is>
      </c>
      <c r="E130" t="inlineStr">
        <is>
          <t>ÅRE</t>
        </is>
      </c>
      <c r="G130" t="n">
        <v>5.5</v>
      </c>
      <c r="H130" t="n">
        <v>0</v>
      </c>
      <c r="I130" t="n">
        <v>0</v>
      </c>
      <c r="J130" t="n">
        <v>1</v>
      </c>
      <c r="K130" t="n">
        <v>0</v>
      </c>
      <c r="L130" t="n">
        <v>0</v>
      </c>
      <c r="M130" t="n">
        <v>0</v>
      </c>
      <c r="N130" t="n">
        <v>0</v>
      </c>
      <c r="O130" t="n">
        <v>1</v>
      </c>
      <c r="P130" t="n">
        <v>0</v>
      </c>
      <c r="Q130" t="n">
        <v>1</v>
      </c>
      <c r="R130" s="2" t="inlineStr">
        <is>
          <t>Skrovellav</t>
        </is>
      </c>
      <c r="S130">
        <f>HYPERLINK("https://klasma.github.io/Logging_2321/artfynd/A 52542-2020 artfynd.xlsx", "A 52542-2020")</f>
        <v/>
      </c>
      <c r="T130">
        <f>HYPERLINK("https://klasma.github.io/Logging_2321/kartor/A 52542-2020 karta.png", "A 52542-2020")</f>
        <v/>
      </c>
      <c r="V130">
        <f>HYPERLINK("https://klasma.github.io/Logging_2321/klagomål/A 52542-2020 FSC-klagomål.docx", "A 52542-2020")</f>
        <v/>
      </c>
      <c r="W130">
        <f>HYPERLINK("https://klasma.github.io/Logging_2321/klagomålsmail/A 52542-2020 FSC-klagomål mail.docx", "A 52542-2020")</f>
        <v/>
      </c>
      <c r="X130">
        <f>HYPERLINK("https://klasma.github.io/Logging_2321/tillsyn/A 52542-2020 tillsynsbegäran.docx", "A 52542-2020")</f>
        <v/>
      </c>
      <c r="Y130">
        <f>HYPERLINK("https://klasma.github.io/Logging_2321/tillsynsmail/A 52542-2020 tillsynsbegäran mail.docx", "A 52542-2020")</f>
        <v/>
      </c>
    </row>
    <row r="131" ht="15" customHeight="1">
      <c r="A131" t="inlineStr">
        <is>
          <t>A 53598-2020</t>
        </is>
      </c>
      <c r="B131" s="1" t="n">
        <v>44124</v>
      </c>
      <c r="C131" s="1" t="n">
        <v>45337</v>
      </c>
      <c r="D131" t="inlineStr">
        <is>
          <t>JÄMTLANDS LÄN</t>
        </is>
      </c>
      <c r="E131" t="inlineStr">
        <is>
          <t>ÅRE</t>
        </is>
      </c>
      <c r="G131" t="n">
        <v>11.7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53598-2020 artfynd.xlsx", "A 53598-2020")</f>
        <v/>
      </c>
      <c r="T131">
        <f>HYPERLINK("https://klasma.github.io/Logging_2321/kartor/A 53598-2020 karta.png", "A 53598-2020")</f>
        <v/>
      </c>
      <c r="V131">
        <f>HYPERLINK("https://klasma.github.io/Logging_2321/klagomål/A 53598-2020 FSC-klagomål.docx", "A 53598-2020")</f>
        <v/>
      </c>
      <c r="W131">
        <f>HYPERLINK("https://klasma.github.io/Logging_2321/klagomålsmail/A 53598-2020 FSC-klagomål mail.docx", "A 53598-2020")</f>
        <v/>
      </c>
      <c r="X131">
        <f>HYPERLINK("https://klasma.github.io/Logging_2321/tillsyn/A 53598-2020 tillsynsbegäran.docx", "A 53598-2020")</f>
        <v/>
      </c>
      <c r="Y131">
        <f>HYPERLINK("https://klasma.github.io/Logging_2321/tillsynsmail/A 53598-2020 tillsynsbegäran mail.docx", "A 53598-2020")</f>
        <v/>
      </c>
      <c r="Z131">
        <f>HYPERLINK("https://klasma.github.io/Logging_2321/fåglar/A 53598-2020 prioriterade fågelarter.docx", "A 53598-2020")</f>
        <v/>
      </c>
    </row>
    <row r="132" ht="15" customHeight="1">
      <c r="A132" t="inlineStr">
        <is>
          <t>A 65517-2020</t>
        </is>
      </c>
      <c r="B132" s="1" t="n">
        <v>44173</v>
      </c>
      <c r="C132" s="1" t="n">
        <v>45337</v>
      </c>
      <c r="D132" t="inlineStr">
        <is>
          <t>JÄMTLANDS LÄN</t>
        </is>
      </c>
      <c r="E132" t="inlineStr">
        <is>
          <t>ÅRE</t>
        </is>
      </c>
      <c r="G132" t="n">
        <v>4.6</v>
      </c>
      <c r="H132" t="n">
        <v>0</v>
      </c>
      <c r="I132" t="n">
        <v>0</v>
      </c>
      <c r="J132" t="n">
        <v>1</v>
      </c>
      <c r="K132" t="n">
        <v>0</v>
      </c>
      <c r="L132" t="n">
        <v>0</v>
      </c>
      <c r="M132" t="n">
        <v>0</v>
      </c>
      <c r="N132" t="n">
        <v>0</v>
      </c>
      <c r="O132" t="n">
        <v>1</v>
      </c>
      <c r="P132" t="n">
        <v>0</v>
      </c>
      <c r="Q132" t="n">
        <v>1</v>
      </c>
      <c r="R132" s="2" t="inlineStr">
        <is>
          <t>Doftskinn</t>
        </is>
      </c>
      <c r="S132">
        <f>HYPERLINK("https://klasma.github.io/Logging_2321/artfynd/A 65517-2020 artfynd.xlsx", "A 65517-2020")</f>
        <v/>
      </c>
      <c r="T132">
        <f>HYPERLINK("https://klasma.github.io/Logging_2321/kartor/A 65517-2020 karta.png", "A 65517-2020")</f>
        <v/>
      </c>
      <c r="V132">
        <f>HYPERLINK("https://klasma.github.io/Logging_2321/klagomål/A 65517-2020 FSC-klagomål.docx", "A 65517-2020")</f>
        <v/>
      </c>
      <c r="W132">
        <f>HYPERLINK("https://klasma.github.io/Logging_2321/klagomålsmail/A 65517-2020 FSC-klagomål mail.docx", "A 65517-2020")</f>
        <v/>
      </c>
      <c r="X132">
        <f>HYPERLINK("https://klasma.github.io/Logging_2321/tillsyn/A 65517-2020 tillsynsbegäran.docx", "A 65517-2020")</f>
        <v/>
      </c>
      <c r="Y132">
        <f>HYPERLINK("https://klasma.github.io/Logging_2321/tillsynsmail/A 65517-2020 tillsynsbegäran mail.docx", "A 65517-2020")</f>
        <v/>
      </c>
    </row>
    <row r="133" ht="15" customHeight="1">
      <c r="A133" t="inlineStr">
        <is>
          <t>A 65446-2020</t>
        </is>
      </c>
      <c r="B133" s="1" t="n">
        <v>44173</v>
      </c>
      <c r="C133" s="1" t="n">
        <v>45337</v>
      </c>
      <c r="D133" t="inlineStr">
        <is>
          <t>JÄMTLANDS LÄN</t>
        </is>
      </c>
      <c r="E133" t="inlineStr">
        <is>
          <t>ÅRE</t>
        </is>
      </c>
      <c r="G133" t="n">
        <v>7.2</v>
      </c>
      <c r="H133" t="n">
        <v>0</v>
      </c>
      <c r="I133" t="n">
        <v>0</v>
      </c>
      <c r="J133" t="n">
        <v>1</v>
      </c>
      <c r="K133" t="n">
        <v>0</v>
      </c>
      <c r="L133" t="n">
        <v>0</v>
      </c>
      <c r="M133" t="n">
        <v>0</v>
      </c>
      <c r="N133" t="n">
        <v>0</v>
      </c>
      <c r="O133" t="n">
        <v>1</v>
      </c>
      <c r="P133" t="n">
        <v>0</v>
      </c>
      <c r="Q133" t="n">
        <v>1</v>
      </c>
      <c r="R133" s="2" t="inlineStr">
        <is>
          <t>Ullticka</t>
        </is>
      </c>
      <c r="S133">
        <f>HYPERLINK("https://klasma.github.io/Logging_2321/artfynd/A 65446-2020 artfynd.xlsx", "A 65446-2020")</f>
        <v/>
      </c>
      <c r="T133">
        <f>HYPERLINK("https://klasma.github.io/Logging_2321/kartor/A 65446-2020 karta.png", "A 65446-2020")</f>
        <v/>
      </c>
      <c r="V133">
        <f>HYPERLINK("https://klasma.github.io/Logging_2321/klagomål/A 65446-2020 FSC-klagomål.docx", "A 65446-2020")</f>
        <v/>
      </c>
      <c r="W133">
        <f>HYPERLINK("https://klasma.github.io/Logging_2321/klagomålsmail/A 65446-2020 FSC-klagomål mail.docx", "A 65446-2020")</f>
        <v/>
      </c>
      <c r="X133">
        <f>HYPERLINK("https://klasma.github.io/Logging_2321/tillsyn/A 65446-2020 tillsynsbegäran.docx", "A 65446-2020")</f>
        <v/>
      </c>
      <c r="Y133">
        <f>HYPERLINK("https://klasma.github.io/Logging_2321/tillsynsmail/A 65446-2020 tillsynsbegäran mail.docx", "A 65446-2020")</f>
        <v/>
      </c>
    </row>
    <row r="134" ht="15" customHeight="1">
      <c r="A134" t="inlineStr">
        <is>
          <t>A 2422-2021</t>
        </is>
      </c>
      <c r="B134" s="1" t="n">
        <v>44214</v>
      </c>
      <c r="C134" s="1" t="n">
        <v>45337</v>
      </c>
      <c r="D134" t="inlineStr">
        <is>
          <t>JÄMTLANDS LÄN</t>
        </is>
      </c>
      <c r="E134" t="inlineStr">
        <is>
          <t>ÅRE</t>
        </is>
      </c>
      <c r="G134" t="n">
        <v>3.3</v>
      </c>
      <c r="H134" t="n">
        <v>1</v>
      </c>
      <c r="I134" t="n">
        <v>0</v>
      </c>
      <c r="J134" t="n">
        <v>0</v>
      </c>
      <c r="K134" t="n">
        <v>0</v>
      </c>
      <c r="L134" t="n">
        <v>0</v>
      </c>
      <c r="M134" t="n">
        <v>0</v>
      </c>
      <c r="N134" t="n">
        <v>0</v>
      </c>
      <c r="O134" t="n">
        <v>0</v>
      </c>
      <c r="P134" t="n">
        <v>0</v>
      </c>
      <c r="Q134" t="n">
        <v>1</v>
      </c>
      <c r="R134" s="2" t="inlineStr">
        <is>
          <t>Fläcknycklar</t>
        </is>
      </c>
      <c r="S134">
        <f>HYPERLINK("https://klasma.github.io/Logging_2321/artfynd/A 2422-2021 artfynd.xlsx", "A 2422-2021")</f>
        <v/>
      </c>
      <c r="T134">
        <f>HYPERLINK("https://klasma.github.io/Logging_2321/kartor/A 2422-2021 karta.png", "A 2422-2021")</f>
        <v/>
      </c>
      <c r="V134">
        <f>HYPERLINK("https://klasma.github.io/Logging_2321/klagomål/A 2422-2021 FSC-klagomål.docx", "A 2422-2021")</f>
        <v/>
      </c>
      <c r="W134">
        <f>HYPERLINK("https://klasma.github.io/Logging_2321/klagomålsmail/A 2422-2021 FSC-klagomål mail.docx", "A 2422-2021")</f>
        <v/>
      </c>
      <c r="X134">
        <f>HYPERLINK("https://klasma.github.io/Logging_2321/tillsyn/A 2422-2021 tillsynsbegäran.docx", "A 2422-2021")</f>
        <v/>
      </c>
      <c r="Y134">
        <f>HYPERLINK("https://klasma.github.io/Logging_2321/tillsynsmail/A 2422-2021 tillsynsbegäran mail.docx", "A 2422-2021")</f>
        <v/>
      </c>
    </row>
    <row r="135" ht="15" customHeight="1">
      <c r="A135" t="inlineStr">
        <is>
          <t>A 11781-2021</t>
        </is>
      </c>
      <c r="B135" s="1" t="n">
        <v>44265</v>
      </c>
      <c r="C135" s="1" t="n">
        <v>45337</v>
      </c>
      <c r="D135" t="inlineStr">
        <is>
          <t>JÄMTLANDS LÄN</t>
        </is>
      </c>
      <c r="E135" t="inlineStr">
        <is>
          <t>ÅRE</t>
        </is>
      </c>
      <c r="G135" t="n">
        <v>4.1</v>
      </c>
      <c r="H135" t="n">
        <v>0</v>
      </c>
      <c r="I135" t="n">
        <v>1</v>
      </c>
      <c r="J135" t="n">
        <v>0</v>
      </c>
      <c r="K135" t="n">
        <v>0</v>
      </c>
      <c r="L135" t="n">
        <v>0</v>
      </c>
      <c r="M135" t="n">
        <v>0</v>
      </c>
      <c r="N135" t="n">
        <v>0</v>
      </c>
      <c r="O135" t="n">
        <v>0</v>
      </c>
      <c r="P135" t="n">
        <v>0</v>
      </c>
      <c r="Q135" t="n">
        <v>1</v>
      </c>
      <c r="R135" s="2" t="inlineStr">
        <is>
          <t>Finbräken</t>
        </is>
      </c>
      <c r="S135">
        <f>HYPERLINK("https://klasma.github.io/Logging_2321/artfynd/A 11781-2021 artfynd.xlsx", "A 11781-2021")</f>
        <v/>
      </c>
      <c r="T135">
        <f>HYPERLINK("https://klasma.github.io/Logging_2321/kartor/A 11781-2021 karta.png", "A 11781-2021")</f>
        <v/>
      </c>
      <c r="V135">
        <f>HYPERLINK("https://klasma.github.io/Logging_2321/klagomål/A 11781-2021 FSC-klagomål.docx", "A 11781-2021")</f>
        <v/>
      </c>
      <c r="W135">
        <f>HYPERLINK("https://klasma.github.io/Logging_2321/klagomålsmail/A 11781-2021 FSC-klagomål mail.docx", "A 11781-2021")</f>
        <v/>
      </c>
      <c r="X135">
        <f>HYPERLINK("https://klasma.github.io/Logging_2321/tillsyn/A 11781-2021 tillsynsbegäran.docx", "A 11781-2021")</f>
        <v/>
      </c>
      <c r="Y135">
        <f>HYPERLINK("https://klasma.github.io/Logging_2321/tillsynsmail/A 11781-2021 tillsynsbegäran mail.docx", "A 11781-2021")</f>
        <v/>
      </c>
    </row>
    <row r="136" ht="15" customHeight="1">
      <c r="A136" t="inlineStr">
        <is>
          <t>A 11767-2021</t>
        </is>
      </c>
      <c r="B136" s="1" t="n">
        <v>44265</v>
      </c>
      <c r="C136" s="1" t="n">
        <v>45337</v>
      </c>
      <c r="D136" t="inlineStr">
        <is>
          <t>JÄMTLANDS LÄN</t>
        </is>
      </c>
      <c r="E136" t="inlineStr">
        <is>
          <t>ÅRE</t>
        </is>
      </c>
      <c r="G136" t="n">
        <v>15.4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11767-2021 artfynd.xlsx", "A 11767-2021")</f>
        <v/>
      </c>
      <c r="T136">
        <f>HYPERLINK("https://klasma.github.io/Logging_2321/kartor/A 11767-2021 karta.png", "A 11767-2021")</f>
        <v/>
      </c>
      <c r="V136">
        <f>HYPERLINK("https://klasma.github.io/Logging_2321/klagomål/A 11767-2021 FSC-klagomål.docx", "A 11767-2021")</f>
        <v/>
      </c>
      <c r="W136">
        <f>HYPERLINK("https://klasma.github.io/Logging_2321/klagomålsmail/A 11767-2021 FSC-klagomål mail.docx", "A 11767-2021")</f>
        <v/>
      </c>
      <c r="X136">
        <f>HYPERLINK("https://klasma.github.io/Logging_2321/tillsyn/A 11767-2021 tillsynsbegäran.docx", "A 11767-2021")</f>
        <v/>
      </c>
      <c r="Y136">
        <f>HYPERLINK("https://klasma.github.io/Logging_2321/tillsynsmail/A 11767-2021 tillsynsbegäran mail.docx", "A 11767-2021")</f>
        <v/>
      </c>
      <c r="Z136">
        <f>HYPERLINK("https://klasma.github.io/Logging_2321/fåglar/A 11767-2021 prioriterade fågelarter.docx", "A 11767-2021")</f>
        <v/>
      </c>
    </row>
    <row r="137" ht="15" customHeight="1">
      <c r="A137" t="inlineStr">
        <is>
          <t>A 12970-2021</t>
        </is>
      </c>
      <c r="B137" s="1" t="n">
        <v>44271</v>
      </c>
      <c r="C137" s="1" t="n">
        <v>45337</v>
      </c>
      <c r="D137" t="inlineStr">
        <is>
          <t>JÄMTLANDS LÄN</t>
        </is>
      </c>
      <c r="E137" t="inlineStr">
        <is>
          <t>ÅRE</t>
        </is>
      </c>
      <c r="G137" t="n">
        <v>20.5</v>
      </c>
      <c r="H137" t="n">
        <v>1</v>
      </c>
      <c r="I137" t="n">
        <v>1</v>
      </c>
      <c r="J137" t="n">
        <v>0</v>
      </c>
      <c r="K137" t="n">
        <v>0</v>
      </c>
      <c r="L137" t="n">
        <v>0</v>
      </c>
      <c r="M137" t="n">
        <v>0</v>
      </c>
      <c r="N137" t="n">
        <v>0</v>
      </c>
      <c r="O137" t="n">
        <v>0</v>
      </c>
      <c r="P137" t="n">
        <v>0</v>
      </c>
      <c r="Q137" t="n">
        <v>1</v>
      </c>
      <c r="R137" s="2" t="inlineStr">
        <is>
          <t>Spindelblomster</t>
        </is>
      </c>
      <c r="S137">
        <f>HYPERLINK("https://klasma.github.io/Logging_2321/artfynd/A 12970-2021 artfynd.xlsx", "A 12970-2021")</f>
        <v/>
      </c>
      <c r="T137">
        <f>HYPERLINK("https://klasma.github.io/Logging_2321/kartor/A 12970-2021 karta.png", "A 12970-2021")</f>
        <v/>
      </c>
      <c r="V137">
        <f>HYPERLINK("https://klasma.github.io/Logging_2321/klagomål/A 12970-2021 FSC-klagomål.docx", "A 12970-2021")</f>
        <v/>
      </c>
      <c r="W137">
        <f>HYPERLINK("https://klasma.github.io/Logging_2321/klagomålsmail/A 12970-2021 FSC-klagomål mail.docx", "A 12970-2021")</f>
        <v/>
      </c>
      <c r="X137">
        <f>HYPERLINK("https://klasma.github.io/Logging_2321/tillsyn/A 12970-2021 tillsynsbegäran.docx", "A 12970-2021")</f>
        <v/>
      </c>
      <c r="Y137">
        <f>HYPERLINK("https://klasma.github.io/Logging_2321/tillsynsmail/A 12970-2021 tillsynsbegäran mail.docx", "A 12970-2021")</f>
        <v/>
      </c>
    </row>
    <row r="138" ht="15" customHeight="1">
      <c r="A138" t="inlineStr">
        <is>
          <t>A 18543-2021</t>
        </is>
      </c>
      <c r="B138" s="1" t="n">
        <v>44306</v>
      </c>
      <c r="C138" s="1" t="n">
        <v>45337</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20500-2021</t>
        </is>
      </c>
      <c r="B139" s="1" t="n">
        <v>44315</v>
      </c>
      <c r="C139" s="1" t="n">
        <v>45337</v>
      </c>
      <c r="D139" t="inlineStr">
        <is>
          <t>JÄMTLANDS LÄN</t>
        </is>
      </c>
      <c r="E139" t="inlineStr">
        <is>
          <t>ÅRE</t>
        </is>
      </c>
      <c r="G139" t="n">
        <v>3</v>
      </c>
      <c r="H139" t="n">
        <v>0</v>
      </c>
      <c r="I139" t="n">
        <v>1</v>
      </c>
      <c r="J139" t="n">
        <v>0</v>
      </c>
      <c r="K139" t="n">
        <v>0</v>
      </c>
      <c r="L139" t="n">
        <v>0</v>
      </c>
      <c r="M139" t="n">
        <v>0</v>
      </c>
      <c r="N139" t="n">
        <v>0</v>
      </c>
      <c r="O139" t="n">
        <v>0</v>
      </c>
      <c r="P139" t="n">
        <v>0</v>
      </c>
      <c r="Q139" t="n">
        <v>1</v>
      </c>
      <c r="R139" s="2" t="inlineStr">
        <is>
          <t>Svart trolldruva</t>
        </is>
      </c>
      <c r="S139">
        <f>HYPERLINK("https://klasma.github.io/Logging_2321/artfynd/A 20500-2021 artfynd.xlsx", "A 20500-2021")</f>
        <v/>
      </c>
      <c r="T139">
        <f>HYPERLINK("https://klasma.github.io/Logging_2321/kartor/A 20500-2021 karta.png", "A 20500-2021")</f>
        <v/>
      </c>
      <c r="V139">
        <f>HYPERLINK("https://klasma.github.io/Logging_2321/klagomål/A 20500-2021 FSC-klagomål.docx", "A 20500-2021")</f>
        <v/>
      </c>
      <c r="W139">
        <f>HYPERLINK("https://klasma.github.io/Logging_2321/klagomålsmail/A 20500-2021 FSC-klagomål mail.docx", "A 20500-2021")</f>
        <v/>
      </c>
      <c r="X139">
        <f>HYPERLINK("https://klasma.github.io/Logging_2321/tillsyn/A 20500-2021 tillsynsbegäran.docx", "A 20500-2021")</f>
        <v/>
      </c>
      <c r="Y139">
        <f>HYPERLINK("https://klasma.github.io/Logging_2321/tillsynsmail/A 20500-2021 tillsynsbegäran mail.docx", "A 20500-2021")</f>
        <v/>
      </c>
    </row>
    <row r="140" ht="15" customHeight="1">
      <c r="A140" t="inlineStr">
        <is>
          <t>A 23556-2021</t>
        </is>
      </c>
      <c r="B140" s="1" t="n">
        <v>44334</v>
      </c>
      <c r="C140" s="1" t="n">
        <v>45337</v>
      </c>
      <c r="D140" t="inlineStr">
        <is>
          <t>JÄMTLANDS LÄN</t>
        </is>
      </c>
      <c r="E140" t="inlineStr">
        <is>
          <t>ÅRE</t>
        </is>
      </c>
      <c r="G140" t="n">
        <v>11.1</v>
      </c>
      <c r="H140" t="n">
        <v>1</v>
      </c>
      <c r="I140" t="n">
        <v>1</v>
      </c>
      <c r="J140" t="n">
        <v>0</v>
      </c>
      <c r="K140" t="n">
        <v>0</v>
      </c>
      <c r="L140" t="n">
        <v>0</v>
      </c>
      <c r="M140" t="n">
        <v>0</v>
      </c>
      <c r="N140" t="n">
        <v>0</v>
      </c>
      <c r="O140" t="n">
        <v>0</v>
      </c>
      <c r="P140" t="n">
        <v>0</v>
      </c>
      <c r="Q140" t="n">
        <v>1</v>
      </c>
      <c r="R140" s="2" t="inlineStr">
        <is>
          <t>Tvåblad</t>
        </is>
      </c>
      <c r="S140">
        <f>HYPERLINK("https://klasma.github.io/Logging_2321/artfynd/A 23556-2021 artfynd.xlsx", "A 23556-2021")</f>
        <v/>
      </c>
      <c r="T140">
        <f>HYPERLINK("https://klasma.github.io/Logging_2321/kartor/A 23556-2021 karta.png", "A 23556-2021")</f>
        <v/>
      </c>
      <c r="V140">
        <f>HYPERLINK("https://klasma.github.io/Logging_2321/klagomål/A 23556-2021 FSC-klagomål.docx", "A 23556-2021")</f>
        <v/>
      </c>
      <c r="W140">
        <f>HYPERLINK("https://klasma.github.io/Logging_2321/klagomålsmail/A 23556-2021 FSC-klagomål mail.docx", "A 23556-2021")</f>
        <v/>
      </c>
      <c r="X140">
        <f>HYPERLINK("https://klasma.github.io/Logging_2321/tillsyn/A 23556-2021 tillsynsbegäran.docx", "A 23556-2021")</f>
        <v/>
      </c>
      <c r="Y140">
        <f>HYPERLINK("https://klasma.github.io/Logging_2321/tillsynsmail/A 23556-2021 tillsynsbegäran mail.docx", "A 23556-2021")</f>
        <v/>
      </c>
    </row>
    <row r="141" ht="15" customHeight="1">
      <c r="A141" t="inlineStr">
        <is>
          <t>A 37082-2021</t>
        </is>
      </c>
      <c r="B141" s="1" t="n">
        <v>44395</v>
      </c>
      <c r="C141" s="1" t="n">
        <v>45337</v>
      </c>
      <c r="D141" t="inlineStr">
        <is>
          <t>JÄMTLANDS LÄN</t>
        </is>
      </c>
      <c r="E141" t="inlineStr">
        <is>
          <t>ÅRE</t>
        </is>
      </c>
      <c r="G141" t="n">
        <v>14.6</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37082-2021 artfynd.xlsx", "A 37082-2021")</f>
        <v/>
      </c>
      <c r="T141">
        <f>HYPERLINK("https://klasma.github.io/Logging_2321/kartor/A 37082-2021 karta.png", "A 37082-2021")</f>
        <v/>
      </c>
      <c r="V141">
        <f>HYPERLINK("https://klasma.github.io/Logging_2321/klagomål/A 37082-2021 FSC-klagomål.docx", "A 37082-2021")</f>
        <v/>
      </c>
      <c r="W141">
        <f>HYPERLINK("https://klasma.github.io/Logging_2321/klagomålsmail/A 37082-2021 FSC-klagomål mail.docx", "A 37082-2021")</f>
        <v/>
      </c>
      <c r="X141">
        <f>HYPERLINK("https://klasma.github.io/Logging_2321/tillsyn/A 37082-2021 tillsynsbegäran.docx", "A 37082-2021")</f>
        <v/>
      </c>
      <c r="Y141">
        <f>HYPERLINK("https://klasma.github.io/Logging_2321/tillsynsmail/A 37082-2021 tillsynsbegäran mail.docx", "A 37082-2021")</f>
        <v/>
      </c>
      <c r="Z141">
        <f>HYPERLINK("https://klasma.github.io/Logging_2321/fåglar/A 37082-2021 prioriterade fågelarter.docx", "A 37082-2021")</f>
        <v/>
      </c>
    </row>
    <row r="142" ht="15" customHeight="1">
      <c r="A142" t="inlineStr">
        <is>
          <t>A 56193-2021</t>
        </is>
      </c>
      <c r="B142" s="1" t="n">
        <v>44477</v>
      </c>
      <c r="C142" s="1" t="n">
        <v>45337</v>
      </c>
      <c r="D142" t="inlineStr">
        <is>
          <t>JÄMTLANDS LÄN</t>
        </is>
      </c>
      <c r="E142" t="inlineStr">
        <is>
          <t>ÅRE</t>
        </is>
      </c>
      <c r="F142" t="inlineStr">
        <is>
          <t>Övriga Aktiebolag</t>
        </is>
      </c>
      <c r="G142" t="n">
        <v>15.5</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56193-2021 artfynd.xlsx", "A 56193-2021")</f>
        <v/>
      </c>
      <c r="T142">
        <f>HYPERLINK("https://klasma.github.io/Logging_2321/kartor/A 56193-2021 karta.png", "A 56193-2021")</f>
        <v/>
      </c>
      <c r="V142">
        <f>HYPERLINK("https://klasma.github.io/Logging_2321/klagomål/A 56193-2021 FSC-klagomål.docx", "A 56193-2021")</f>
        <v/>
      </c>
      <c r="W142">
        <f>HYPERLINK("https://klasma.github.io/Logging_2321/klagomålsmail/A 56193-2021 FSC-klagomål mail.docx", "A 56193-2021")</f>
        <v/>
      </c>
      <c r="X142">
        <f>HYPERLINK("https://klasma.github.io/Logging_2321/tillsyn/A 56193-2021 tillsynsbegäran.docx", "A 56193-2021")</f>
        <v/>
      </c>
      <c r="Y142">
        <f>HYPERLINK("https://klasma.github.io/Logging_2321/tillsynsmail/A 56193-2021 tillsynsbegäran mail.docx", "A 56193-2021")</f>
        <v/>
      </c>
      <c r="Z142">
        <f>HYPERLINK("https://klasma.github.io/Logging_2321/fåglar/A 56193-2021 prioriterade fågelarter.docx", "A 56193-2021")</f>
        <v/>
      </c>
    </row>
    <row r="143" ht="15" customHeight="1">
      <c r="A143" t="inlineStr">
        <is>
          <t>A 58117-2021</t>
        </is>
      </c>
      <c r="B143" s="1" t="n">
        <v>44487</v>
      </c>
      <c r="C143" s="1" t="n">
        <v>45337</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45337</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58226-2021</t>
        </is>
      </c>
      <c r="B145" s="1" t="n">
        <v>44487</v>
      </c>
      <c r="C145" s="1" t="n">
        <v>45337</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62188-2021</t>
        </is>
      </c>
      <c r="B146" s="1" t="n">
        <v>44502</v>
      </c>
      <c r="C146" s="1" t="n">
        <v>45337</v>
      </c>
      <c r="D146" t="inlineStr">
        <is>
          <t>JÄMTLANDS LÄN</t>
        </is>
      </c>
      <c r="E146" t="inlineStr">
        <is>
          <t>ÅRE</t>
        </is>
      </c>
      <c r="G146" t="n">
        <v>2.5</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62188-2021 artfynd.xlsx", "A 62188-2021")</f>
        <v/>
      </c>
      <c r="T146">
        <f>HYPERLINK("https://klasma.github.io/Logging_2321/kartor/A 62188-2021 karta.png", "A 62188-2021")</f>
        <v/>
      </c>
      <c r="V146">
        <f>HYPERLINK("https://klasma.github.io/Logging_2321/klagomål/A 62188-2021 FSC-klagomål.docx", "A 62188-2021")</f>
        <v/>
      </c>
      <c r="W146">
        <f>HYPERLINK("https://klasma.github.io/Logging_2321/klagomålsmail/A 62188-2021 FSC-klagomål mail.docx", "A 62188-2021")</f>
        <v/>
      </c>
      <c r="X146">
        <f>HYPERLINK("https://klasma.github.io/Logging_2321/tillsyn/A 62188-2021 tillsynsbegäran.docx", "A 62188-2021")</f>
        <v/>
      </c>
      <c r="Y146">
        <f>HYPERLINK("https://klasma.github.io/Logging_2321/tillsynsmail/A 62188-2021 tillsynsbegäran mail.docx", "A 62188-2021")</f>
        <v/>
      </c>
    </row>
    <row r="147" ht="15" customHeight="1">
      <c r="A147" t="inlineStr">
        <is>
          <t>A 63975-2021</t>
        </is>
      </c>
      <c r="B147" s="1" t="n">
        <v>44509</v>
      </c>
      <c r="C147" s="1" t="n">
        <v>45337</v>
      </c>
      <c r="D147" t="inlineStr">
        <is>
          <t>JÄMTLANDS LÄN</t>
        </is>
      </c>
      <c r="E147" t="inlineStr">
        <is>
          <t>ÅRE</t>
        </is>
      </c>
      <c r="G147" t="n">
        <v>2.4</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63975-2021 artfynd.xlsx", "A 63975-2021")</f>
        <v/>
      </c>
      <c r="T147">
        <f>HYPERLINK("https://klasma.github.io/Logging_2321/kartor/A 63975-2021 karta.png", "A 63975-2021")</f>
        <v/>
      </c>
      <c r="V147">
        <f>HYPERLINK("https://klasma.github.io/Logging_2321/klagomål/A 63975-2021 FSC-klagomål.docx", "A 63975-2021")</f>
        <v/>
      </c>
      <c r="W147">
        <f>HYPERLINK("https://klasma.github.io/Logging_2321/klagomålsmail/A 63975-2021 FSC-klagomål mail.docx", "A 63975-2021")</f>
        <v/>
      </c>
      <c r="X147">
        <f>HYPERLINK("https://klasma.github.io/Logging_2321/tillsyn/A 63975-2021 tillsynsbegäran.docx", "A 63975-2021")</f>
        <v/>
      </c>
      <c r="Y147">
        <f>HYPERLINK("https://klasma.github.io/Logging_2321/tillsynsmail/A 63975-2021 tillsynsbegäran mail.docx", "A 63975-2021")</f>
        <v/>
      </c>
    </row>
    <row r="148" ht="15" customHeight="1">
      <c r="A148" t="inlineStr">
        <is>
          <t>A 74392-2021</t>
        </is>
      </c>
      <c r="B148" s="1" t="n">
        <v>44559</v>
      </c>
      <c r="C148" s="1" t="n">
        <v>45337</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12242-2022</t>
        </is>
      </c>
      <c r="B149" s="1" t="n">
        <v>44637</v>
      </c>
      <c r="C149" s="1" t="n">
        <v>45337</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17692-2022</t>
        </is>
      </c>
      <c r="B150" s="1" t="n">
        <v>44680</v>
      </c>
      <c r="C150" s="1" t="n">
        <v>45337</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18851-2022</t>
        </is>
      </c>
      <c r="B151" s="1" t="n">
        <v>44690</v>
      </c>
      <c r="C151" s="1" t="n">
        <v>45337</v>
      </c>
      <c r="D151" t="inlineStr">
        <is>
          <t>JÄMTLANDS LÄN</t>
        </is>
      </c>
      <c r="E151" t="inlineStr">
        <is>
          <t>ÅRE</t>
        </is>
      </c>
      <c r="G151" t="n">
        <v>10.4</v>
      </c>
      <c r="H151" t="n">
        <v>0</v>
      </c>
      <c r="I151" t="n">
        <v>0</v>
      </c>
      <c r="J151" t="n">
        <v>1</v>
      </c>
      <c r="K151" t="n">
        <v>0</v>
      </c>
      <c r="L151" t="n">
        <v>0</v>
      </c>
      <c r="M151" t="n">
        <v>0</v>
      </c>
      <c r="N151" t="n">
        <v>0</v>
      </c>
      <c r="O151" t="n">
        <v>1</v>
      </c>
      <c r="P151" t="n">
        <v>0</v>
      </c>
      <c r="Q151" t="n">
        <v>1</v>
      </c>
      <c r="R151" s="2" t="inlineStr">
        <is>
          <t>Garnlav</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row>
    <row r="152" ht="15" customHeight="1">
      <c r="A152" t="inlineStr">
        <is>
          <t>A 32216-2022</t>
        </is>
      </c>
      <c r="B152" s="1" t="n">
        <v>44781</v>
      </c>
      <c r="C152" s="1" t="n">
        <v>45337</v>
      </c>
      <c r="D152" t="inlineStr">
        <is>
          <t>JÄMTLANDS LÄN</t>
        </is>
      </c>
      <c r="E152" t="inlineStr">
        <is>
          <t>ÅRE</t>
        </is>
      </c>
      <c r="G152" t="n">
        <v>27.3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32216-2022 artfynd.xlsx", "A 32216-2022")</f>
        <v/>
      </c>
      <c r="T152">
        <f>HYPERLINK("https://klasma.github.io/Logging_2321/kartor/A 32216-2022 karta.png", "A 32216-2022")</f>
        <v/>
      </c>
      <c r="V152">
        <f>HYPERLINK("https://klasma.github.io/Logging_2321/klagomål/A 32216-2022 FSC-klagomål.docx", "A 32216-2022")</f>
        <v/>
      </c>
      <c r="W152">
        <f>HYPERLINK("https://klasma.github.io/Logging_2321/klagomålsmail/A 32216-2022 FSC-klagomål mail.docx", "A 32216-2022")</f>
        <v/>
      </c>
      <c r="X152">
        <f>HYPERLINK("https://klasma.github.io/Logging_2321/tillsyn/A 32216-2022 tillsynsbegäran.docx", "A 32216-2022")</f>
        <v/>
      </c>
      <c r="Y152">
        <f>HYPERLINK("https://klasma.github.io/Logging_2321/tillsynsmail/A 32216-2022 tillsynsbegäran mail.docx", "A 32216-2022")</f>
        <v/>
      </c>
      <c r="Z152">
        <f>HYPERLINK("https://klasma.github.io/Logging_2321/fåglar/A 32216-2022 prioriterade fågelarter.docx", "A 32216-2022")</f>
        <v/>
      </c>
    </row>
    <row r="153" ht="15" customHeight="1">
      <c r="A153" t="inlineStr">
        <is>
          <t>A 40614-2022</t>
        </is>
      </c>
      <c r="B153" s="1" t="n">
        <v>44824</v>
      </c>
      <c r="C153" s="1" t="n">
        <v>45337</v>
      </c>
      <c r="D153" t="inlineStr">
        <is>
          <t>JÄMTLANDS LÄN</t>
        </is>
      </c>
      <c r="E153" t="inlineStr">
        <is>
          <t>ÅRE</t>
        </is>
      </c>
      <c r="F153" t="inlineStr">
        <is>
          <t>Övriga Aktiebolag</t>
        </is>
      </c>
      <c r="G153" t="n">
        <v>23.2</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40614-2022 artfynd.xlsx", "A 40614-2022")</f>
        <v/>
      </c>
      <c r="T153">
        <f>HYPERLINK("https://klasma.github.io/Logging_2321/kartor/A 40614-2022 karta.png", "A 40614-2022")</f>
        <v/>
      </c>
      <c r="V153">
        <f>HYPERLINK("https://klasma.github.io/Logging_2321/klagomål/A 40614-2022 FSC-klagomål.docx", "A 40614-2022")</f>
        <v/>
      </c>
      <c r="W153">
        <f>HYPERLINK("https://klasma.github.io/Logging_2321/klagomålsmail/A 40614-2022 FSC-klagomål mail.docx", "A 40614-2022")</f>
        <v/>
      </c>
      <c r="X153">
        <f>HYPERLINK("https://klasma.github.io/Logging_2321/tillsyn/A 40614-2022 tillsynsbegäran.docx", "A 40614-2022")</f>
        <v/>
      </c>
      <c r="Y153">
        <f>HYPERLINK("https://klasma.github.io/Logging_2321/tillsynsmail/A 40614-2022 tillsynsbegäran mail.docx", "A 40614-2022")</f>
        <v/>
      </c>
      <c r="Z153">
        <f>HYPERLINK("https://klasma.github.io/Logging_2321/fåglar/A 40614-2022 prioriterade fågelarter.docx", "A 40614-2022")</f>
        <v/>
      </c>
    </row>
    <row r="154" ht="15" customHeight="1">
      <c r="A154" t="inlineStr">
        <is>
          <t>A 55805-2022</t>
        </is>
      </c>
      <c r="B154" s="1" t="n">
        <v>44888</v>
      </c>
      <c r="C154" s="1" t="n">
        <v>45337</v>
      </c>
      <c r="D154" t="inlineStr">
        <is>
          <t>JÄMTLANDS LÄN</t>
        </is>
      </c>
      <c r="E154" t="inlineStr">
        <is>
          <t>ÅRE</t>
        </is>
      </c>
      <c r="F154" t="inlineStr">
        <is>
          <t>Övriga Aktiebolag</t>
        </is>
      </c>
      <c r="G154" t="n">
        <v>17.7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55805-2022 artfynd.xlsx", "A 55805-2022")</f>
        <v/>
      </c>
      <c r="T154">
        <f>HYPERLINK("https://klasma.github.io/Logging_2321/kartor/A 55805-2022 karta.png", "A 55805-2022")</f>
        <v/>
      </c>
      <c r="V154">
        <f>HYPERLINK("https://klasma.github.io/Logging_2321/klagomål/A 55805-2022 FSC-klagomål.docx", "A 55805-2022")</f>
        <v/>
      </c>
      <c r="W154">
        <f>HYPERLINK("https://klasma.github.io/Logging_2321/klagomålsmail/A 55805-2022 FSC-klagomål mail.docx", "A 55805-2022")</f>
        <v/>
      </c>
      <c r="X154">
        <f>HYPERLINK("https://klasma.github.io/Logging_2321/tillsyn/A 55805-2022 tillsynsbegäran.docx", "A 55805-2022")</f>
        <v/>
      </c>
      <c r="Y154">
        <f>HYPERLINK("https://klasma.github.io/Logging_2321/tillsynsmail/A 55805-2022 tillsynsbegäran mail.docx", "A 55805-2022")</f>
        <v/>
      </c>
      <c r="Z154">
        <f>HYPERLINK("https://klasma.github.io/Logging_2321/fåglar/A 55805-2022 prioriterade fågelarter.docx", "A 55805-2022")</f>
        <v/>
      </c>
    </row>
    <row r="155" ht="15" customHeight="1">
      <c r="A155" t="inlineStr">
        <is>
          <t>A 56493-2022</t>
        </is>
      </c>
      <c r="B155" s="1" t="n">
        <v>44893</v>
      </c>
      <c r="C155" s="1" t="n">
        <v>45337</v>
      </c>
      <c r="D155" t="inlineStr">
        <is>
          <t>JÄMTLANDS LÄN</t>
        </is>
      </c>
      <c r="E155" t="inlineStr">
        <is>
          <t>ÅRE</t>
        </is>
      </c>
      <c r="F155" t="inlineStr">
        <is>
          <t>Övriga Aktiebolag</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HYPERLINK("https://klasma.github.io/Logging_2321/artfynd/A 56493-2022 artfynd.xlsx", "A 56493-2022")</f>
        <v/>
      </c>
      <c r="T155">
        <f>HYPERLINK("https://klasma.github.io/Logging_2321/kartor/A 56493-2022 karta.png", "A 56493-2022")</f>
        <v/>
      </c>
      <c r="V155">
        <f>HYPERLINK("https://klasma.github.io/Logging_2321/klagomål/A 56493-2022 FSC-klagomål.docx", "A 56493-2022")</f>
        <v/>
      </c>
      <c r="W155">
        <f>HYPERLINK("https://klasma.github.io/Logging_2321/klagomålsmail/A 56493-2022 FSC-klagomål mail.docx", "A 56493-2022")</f>
        <v/>
      </c>
      <c r="X155">
        <f>HYPERLINK("https://klasma.github.io/Logging_2321/tillsyn/A 56493-2022 tillsynsbegäran.docx", "A 56493-2022")</f>
        <v/>
      </c>
      <c r="Y155">
        <f>HYPERLINK("https://klasma.github.io/Logging_2321/tillsynsmail/A 56493-2022 tillsynsbegäran mail.docx", "A 56493-2022")</f>
        <v/>
      </c>
    </row>
    <row r="156" ht="15" customHeight="1">
      <c r="A156" t="inlineStr">
        <is>
          <t>A 56603-2022</t>
        </is>
      </c>
      <c r="B156" s="1" t="n">
        <v>44893</v>
      </c>
      <c r="C156" s="1" t="n">
        <v>45337</v>
      </c>
      <c r="D156" t="inlineStr">
        <is>
          <t>JÄMTLANDS LÄN</t>
        </is>
      </c>
      <c r="E156" t="inlineStr">
        <is>
          <t>ÅRE</t>
        </is>
      </c>
      <c r="F156" t="inlineStr">
        <is>
          <t>Övriga Aktiebolag</t>
        </is>
      </c>
      <c r="G156" t="n">
        <v>14.3</v>
      </c>
      <c r="H156" t="n">
        <v>1</v>
      </c>
      <c r="I156" t="n">
        <v>0</v>
      </c>
      <c r="J156" t="n">
        <v>1</v>
      </c>
      <c r="K156" t="n">
        <v>0</v>
      </c>
      <c r="L156" t="n">
        <v>0</v>
      </c>
      <c r="M156" t="n">
        <v>0</v>
      </c>
      <c r="N156" t="n">
        <v>0</v>
      </c>
      <c r="O156" t="n">
        <v>1</v>
      </c>
      <c r="P156" t="n">
        <v>0</v>
      </c>
      <c r="Q156" t="n">
        <v>1</v>
      </c>
      <c r="R156" s="2" t="inlineStr">
        <is>
          <t>Talltita</t>
        </is>
      </c>
      <c r="S156">
        <f>HYPERLINK("https://klasma.github.io/Logging_2321/artfynd/A 56603-2022 artfynd.xlsx", "A 56603-2022")</f>
        <v/>
      </c>
      <c r="T156">
        <f>HYPERLINK("https://klasma.github.io/Logging_2321/kartor/A 56603-2022 karta.png", "A 56603-2022")</f>
        <v/>
      </c>
      <c r="V156">
        <f>HYPERLINK("https://klasma.github.io/Logging_2321/klagomål/A 56603-2022 FSC-klagomål.docx", "A 56603-2022")</f>
        <v/>
      </c>
      <c r="W156">
        <f>HYPERLINK("https://klasma.github.io/Logging_2321/klagomålsmail/A 56603-2022 FSC-klagomål mail.docx", "A 56603-2022")</f>
        <v/>
      </c>
      <c r="X156">
        <f>HYPERLINK("https://klasma.github.io/Logging_2321/tillsyn/A 56603-2022 tillsynsbegäran.docx", "A 56603-2022")</f>
        <v/>
      </c>
      <c r="Y156">
        <f>HYPERLINK("https://klasma.github.io/Logging_2321/tillsynsmail/A 56603-2022 tillsynsbegäran mail.docx", "A 56603-2022")</f>
        <v/>
      </c>
      <c r="Z156">
        <f>HYPERLINK("https://klasma.github.io/Logging_2321/fåglar/A 56603-2022 prioriterade fågelarter.docx", "A 56603-2022")</f>
        <v/>
      </c>
    </row>
    <row r="157" ht="15" customHeight="1">
      <c r="A157" t="inlineStr">
        <is>
          <t>A 57396-2022</t>
        </is>
      </c>
      <c r="B157" s="1" t="n">
        <v>44896</v>
      </c>
      <c r="C157" s="1" t="n">
        <v>45337</v>
      </c>
      <c r="D157" t="inlineStr">
        <is>
          <t>JÄMTLANDS LÄN</t>
        </is>
      </c>
      <c r="E157" t="inlineStr">
        <is>
          <t>ÅRE</t>
        </is>
      </c>
      <c r="G157" t="n">
        <v>3.1</v>
      </c>
      <c r="H157" t="n">
        <v>0</v>
      </c>
      <c r="I157" t="n">
        <v>0</v>
      </c>
      <c r="J157" t="n">
        <v>1</v>
      </c>
      <c r="K157" t="n">
        <v>0</v>
      </c>
      <c r="L157" t="n">
        <v>0</v>
      </c>
      <c r="M157" t="n">
        <v>0</v>
      </c>
      <c r="N157" t="n">
        <v>0</v>
      </c>
      <c r="O157" t="n">
        <v>1</v>
      </c>
      <c r="P157" t="n">
        <v>0</v>
      </c>
      <c r="Q157" t="n">
        <v>1</v>
      </c>
      <c r="R157" s="2" t="inlineStr">
        <is>
          <t>Granticka</t>
        </is>
      </c>
      <c r="S157">
        <f>HYPERLINK("https://klasma.github.io/Logging_2321/artfynd/A 57396-2022 artfynd.xlsx", "A 57396-2022")</f>
        <v/>
      </c>
      <c r="T157">
        <f>HYPERLINK("https://klasma.github.io/Logging_2321/kartor/A 57396-2022 karta.png", "A 57396-2022")</f>
        <v/>
      </c>
      <c r="V157">
        <f>HYPERLINK("https://klasma.github.io/Logging_2321/klagomål/A 57396-2022 FSC-klagomål.docx", "A 57396-2022")</f>
        <v/>
      </c>
      <c r="W157">
        <f>HYPERLINK("https://klasma.github.io/Logging_2321/klagomålsmail/A 57396-2022 FSC-klagomål mail.docx", "A 57396-2022")</f>
        <v/>
      </c>
      <c r="X157">
        <f>HYPERLINK("https://klasma.github.io/Logging_2321/tillsyn/A 57396-2022 tillsynsbegäran.docx", "A 57396-2022")</f>
        <v/>
      </c>
      <c r="Y157">
        <f>HYPERLINK("https://klasma.github.io/Logging_2321/tillsynsmail/A 57396-2022 tillsynsbegäran mail.docx", "A 57396-2022")</f>
        <v/>
      </c>
    </row>
    <row r="158" ht="15" customHeight="1">
      <c r="A158" t="inlineStr">
        <is>
          <t>A 60544-2022</t>
        </is>
      </c>
      <c r="B158" s="1" t="n">
        <v>44904</v>
      </c>
      <c r="C158" s="1" t="n">
        <v>45337</v>
      </c>
      <c r="D158" t="inlineStr">
        <is>
          <t>JÄMTLANDS LÄN</t>
        </is>
      </c>
      <c r="E158" t="inlineStr">
        <is>
          <t>ÅRE</t>
        </is>
      </c>
      <c r="G158" t="n">
        <v>1.2</v>
      </c>
      <c r="H158" t="n">
        <v>1</v>
      </c>
      <c r="I158" t="n">
        <v>0</v>
      </c>
      <c r="J158" t="n">
        <v>1</v>
      </c>
      <c r="K158" t="n">
        <v>0</v>
      </c>
      <c r="L158" t="n">
        <v>0</v>
      </c>
      <c r="M158" t="n">
        <v>0</v>
      </c>
      <c r="N158" t="n">
        <v>0</v>
      </c>
      <c r="O158" t="n">
        <v>1</v>
      </c>
      <c r="P158" t="n">
        <v>0</v>
      </c>
      <c r="Q158" t="n">
        <v>1</v>
      </c>
      <c r="R158" s="2" t="inlineStr">
        <is>
          <t>Järpe</t>
        </is>
      </c>
      <c r="S158">
        <f>HYPERLINK("https://klasma.github.io/Logging_2321/artfynd/A 60544-2022 artfynd.xlsx", "A 60544-2022")</f>
        <v/>
      </c>
      <c r="T158">
        <f>HYPERLINK("https://klasma.github.io/Logging_2321/kartor/A 60544-2022 karta.png", "A 60544-2022")</f>
        <v/>
      </c>
      <c r="V158">
        <f>HYPERLINK("https://klasma.github.io/Logging_2321/klagomål/A 60544-2022 FSC-klagomål.docx", "A 60544-2022")</f>
        <v/>
      </c>
      <c r="W158">
        <f>HYPERLINK("https://klasma.github.io/Logging_2321/klagomålsmail/A 60544-2022 FSC-klagomål mail.docx", "A 60544-2022")</f>
        <v/>
      </c>
      <c r="X158">
        <f>HYPERLINK("https://klasma.github.io/Logging_2321/tillsyn/A 60544-2022 tillsynsbegäran.docx", "A 60544-2022")</f>
        <v/>
      </c>
      <c r="Y158">
        <f>HYPERLINK("https://klasma.github.io/Logging_2321/tillsynsmail/A 60544-2022 tillsynsbegäran mail.docx", "A 60544-2022")</f>
        <v/>
      </c>
      <c r="Z158">
        <f>HYPERLINK("https://klasma.github.io/Logging_2321/fåglar/A 60544-2022 prioriterade fågelarter.docx", "A 60544-2022")</f>
        <v/>
      </c>
    </row>
    <row r="159" ht="15" customHeight="1">
      <c r="A159" t="inlineStr">
        <is>
          <t>A 60435-2022</t>
        </is>
      </c>
      <c r="B159" s="1" t="n">
        <v>44911</v>
      </c>
      <c r="C159" s="1" t="n">
        <v>45337</v>
      </c>
      <c r="D159" t="inlineStr">
        <is>
          <t>JÄMTLANDS LÄN</t>
        </is>
      </c>
      <c r="E159" t="inlineStr">
        <is>
          <t>ÅRE</t>
        </is>
      </c>
      <c r="F159" t="inlineStr">
        <is>
          <t>Övriga Aktiebolag</t>
        </is>
      </c>
      <c r="G159" t="n">
        <v>7.9</v>
      </c>
      <c r="H159" t="n">
        <v>0</v>
      </c>
      <c r="I159" t="n">
        <v>1</v>
      </c>
      <c r="J159" t="n">
        <v>0</v>
      </c>
      <c r="K159" t="n">
        <v>0</v>
      </c>
      <c r="L159" t="n">
        <v>0</v>
      </c>
      <c r="M159" t="n">
        <v>0</v>
      </c>
      <c r="N159" t="n">
        <v>0</v>
      </c>
      <c r="O159" t="n">
        <v>0</v>
      </c>
      <c r="P159" t="n">
        <v>0</v>
      </c>
      <c r="Q159" t="n">
        <v>1</v>
      </c>
      <c r="R159" s="2" t="inlineStr">
        <is>
          <t>Kransrams</t>
        </is>
      </c>
      <c r="S159">
        <f>HYPERLINK("https://klasma.github.io/Logging_2321/artfynd/A 60435-2022 artfynd.xlsx", "A 60435-2022")</f>
        <v/>
      </c>
      <c r="T159">
        <f>HYPERLINK("https://klasma.github.io/Logging_2321/kartor/A 60435-2022 karta.png", "A 60435-2022")</f>
        <v/>
      </c>
      <c r="V159">
        <f>HYPERLINK("https://klasma.github.io/Logging_2321/klagomål/A 60435-2022 FSC-klagomål.docx", "A 60435-2022")</f>
        <v/>
      </c>
      <c r="W159">
        <f>HYPERLINK("https://klasma.github.io/Logging_2321/klagomålsmail/A 60435-2022 FSC-klagomål mail.docx", "A 60435-2022")</f>
        <v/>
      </c>
      <c r="X159">
        <f>HYPERLINK("https://klasma.github.io/Logging_2321/tillsyn/A 60435-2022 tillsynsbegäran.docx", "A 60435-2022")</f>
        <v/>
      </c>
      <c r="Y159">
        <f>HYPERLINK("https://klasma.github.io/Logging_2321/tillsynsmail/A 60435-2022 tillsynsbegäran mail.docx", "A 60435-2022")</f>
        <v/>
      </c>
    </row>
    <row r="160" ht="15" customHeight="1">
      <c r="A160" t="inlineStr">
        <is>
          <t>A 5480-2023</t>
        </is>
      </c>
      <c r="B160" s="1" t="n">
        <v>44957</v>
      </c>
      <c r="C160" s="1" t="n">
        <v>45337</v>
      </c>
      <c r="D160" t="inlineStr">
        <is>
          <t>JÄMTLANDS LÄN</t>
        </is>
      </c>
      <c r="E160" t="inlineStr">
        <is>
          <t>ÅRE</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5480-2023 artfynd.xlsx", "A 5480-2023")</f>
        <v/>
      </c>
      <c r="T160">
        <f>HYPERLINK("https://klasma.github.io/Logging_2321/kartor/A 5480-2023 karta.png", "A 5480-2023")</f>
        <v/>
      </c>
      <c r="V160">
        <f>HYPERLINK("https://klasma.github.io/Logging_2321/klagomål/A 5480-2023 FSC-klagomål.docx", "A 5480-2023")</f>
        <v/>
      </c>
      <c r="W160">
        <f>HYPERLINK("https://klasma.github.io/Logging_2321/klagomålsmail/A 5480-2023 FSC-klagomål mail.docx", "A 5480-2023")</f>
        <v/>
      </c>
      <c r="X160">
        <f>HYPERLINK("https://klasma.github.io/Logging_2321/tillsyn/A 5480-2023 tillsynsbegäran.docx", "A 5480-2023")</f>
        <v/>
      </c>
      <c r="Y160">
        <f>HYPERLINK("https://klasma.github.io/Logging_2321/tillsynsmail/A 5480-2023 tillsynsbegäran mail.docx", "A 5480-2023")</f>
        <v/>
      </c>
      <c r="Z160">
        <f>HYPERLINK("https://klasma.github.io/Logging_2321/fåglar/A 5480-2023 prioriterade fågelarter.docx", "A 5480-2023")</f>
        <v/>
      </c>
    </row>
    <row r="161" ht="15" customHeight="1">
      <c r="A161" t="inlineStr">
        <is>
          <t>A 10632-2023</t>
        </is>
      </c>
      <c r="B161" s="1" t="n">
        <v>44984</v>
      </c>
      <c r="C161" s="1" t="n">
        <v>45337</v>
      </c>
      <c r="D161" t="inlineStr">
        <is>
          <t>JÄMTLANDS LÄN</t>
        </is>
      </c>
      <c r="E161" t="inlineStr">
        <is>
          <t>ÅRE</t>
        </is>
      </c>
      <c r="G161" t="n">
        <v>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10632-2023 artfynd.xlsx", "A 10632-2023")</f>
        <v/>
      </c>
      <c r="T161">
        <f>HYPERLINK("https://klasma.github.io/Logging_2321/kartor/A 10632-2023 karta.png", "A 10632-2023")</f>
        <v/>
      </c>
      <c r="V161">
        <f>HYPERLINK("https://klasma.github.io/Logging_2321/klagomål/A 10632-2023 FSC-klagomål.docx", "A 10632-2023")</f>
        <v/>
      </c>
      <c r="W161">
        <f>HYPERLINK("https://klasma.github.io/Logging_2321/klagomålsmail/A 10632-2023 FSC-klagomål mail.docx", "A 10632-2023")</f>
        <v/>
      </c>
      <c r="X161">
        <f>HYPERLINK("https://klasma.github.io/Logging_2321/tillsyn/A 10632-2023 tillsynsbegäran.docx", "A 10632-2023")</f>
        <v/>
      </c>
      <c r="Y161">
        <f>HYPERLINK("https://klasma.github.io/Logging_2321/tillsynsmail/A 10632-2023 tillsynsbegäran mail.docx", "A 10632-2023")</f>
        <v/>
      </c>
      <c r="Z161">
        <f>HYPERLINK("https://klasma.github.io/Logging_2321/fåglar/A 10632-2023 prioriterade fågelarter.docx", "A 10632-2023")</f>
        <v/>
      </c>
    </row>
    <row r="162" ht="15" customHeight="1">
      <c r="A162" t="inlineStr">
        <is>
          <t>A 13625-2023</t>
        </is>
      </c>
      <c r="B162" s="1" t="n">
        <v>45006</v>
      </c>
      <c r="C162" s="1" t="n">
        <v>45337</v>
      </c>
      <c r="D162" t="inlineStr">
        <is>
          <t>JÄMTLANDS LÄN</t>
        </is>
      </c>
      <c r="E162" t="inlineStr">
        <is>
          <t>ÅRE</t>
        </is>
      </c>
      <c r="G162" t="n">
        <v>22.9</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13625-2023 artfynd.xlsx", "A 13625-2023")</f>
        <v/>
      </c>
      <c r="T162">
        <f>HYPERLINK("https://klasma.github.io/Logging_2321/kartor/A 13625-2023 karta.png", "A 13625-2023")</f>
        <v/>
      </c>
      <c r="V162">
        <f>HYPERLINK("https://klasma.github.io/Logging_2321/klagomål/A 13625-2023 FSC-klagomål.docx", "A 13625-2023")</f>
        <v/>
      </c>
      <c r="W162">
        <f>HYPERLINK("https://klasma.github.io/Logging_2321/klagomålsmail/A 13625-2023 FSC-klagomål mail.docx", "A 13625-2023")</f>
        <v/>
      </c>
      <c r="X162">
        <f>HYPERLINK("https://klasma.github.io/Logging_2321/tillsyn/A 13625-2023 tillsynsbegäran.docx", "A 13625-2023")</f>
        <v/>
      </c>
      <c r="Y162">
        <f>HYPERLINK("https://klasma.github.io/Logging_2321/tillsynsmail/A 13625-2023 tillsynsbegäran mail.docx", "A 13625-2023")</f>
        <v/>
      </c>
      <c r="Z162">
        <f>HYPERLINK("https://klasma.github.io/Logging_2321/fåglar/A 13625-2023 prioriterade fågelarter.docx", "A 13625-2023")</f>
        <v/>
      </c>
    </row>
    <row r="163" ht="15" customHeight="1">
      <c r="A163" t="inlineStr">
        <is>
          <t>A 41405-2023</t>
        </is>
      </c>
      <c r="B163" s="1" t="n">
        <v>45174</v>
      </c>
      <c r="C163" s="1" t="n">
        <v>45337</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Ögonpyrola</t>
        </is>
      </c>
      <c r="S163">
        <f>HYPERLINK("https://klasma.github.io/Logging_2321/artfynd/A 41405-2023 artfynd.xlsx", "A 41405-2023")</f>
        <v/>
      </c>
      <c r="T163">
        <f>HYPERLINK("https://klasma.github.io/Logging_2321/kartor/A 41405-2023 karta.png", "A 41405-2023")</f>
        <v/>
      </c>
      <c r="V163">
        <f>HYPERLINK("https://klasma.github.io/Logging_2321/klagomål/A 41405-2023 FSC-klagomål.docx", "A 41405-2023")</f>
        <v/>
      </c>
      <c r="W163">
        <f>HYPERLINK("https://klasma.github.io/Logging_2321/klagomålsmail/A 41405-2023 FSC-klagomål mail.docx", "A 41405-2023")</f>
        <v/>
      </c>
      <c r="X163">
        <f>HYPERLINK("https://klasma.github.io/Logging_2321/tillsyn/A 41405-2023 tillsynsbegäran.docx", "A 41405-2023")</f>
        <v/>
      </c>
      <c r="Y163">
        <f>HYPERLINK("https://klasma.github.io/Logging_2321/tillsynsmail/A 41405-2023 tillsynsbegäran mail.docx", "A 41405-2023")</f>
        <v/>
      </c>
    </row>
    <row r="164" ht="15" customHeight="1">
      <c r="A164" t="inlineStr">
        <is>
          <t>A 55105-2023</t>
        </is>
      </c>
      <c r="B164" s="1" t="n">
        <v>45237</v>
      </c>
      <c r="C164" s="1" t="n">
        <v>45337</v>
      </c>
      <c r="D164" t="inlineStr">
        <is>
          <t>JÄMTLANDS LÄN</t>
        </is>
      </c>
      <c r="E164" t="inlineStr">
        <is>
          <t>ÅRE</t>
        </is>
      </c>
      <c r="G164" t="n">
        <v>15.8</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55105-2023 artfynd.xlsx", "A 55105-2023")</f>
        <v/>
      </c>
      <c r="T164">
        <f>HYPERLINK("https://klasma.github.io/Logging_2321/kartor/A 55105-2023 karta.png", "A 55105-2023")</f>
        <v/>
      </c>
      <c r="V164">
        <f>HYPERLINK("https://klasma.github.io/Logging_2321/klagomål/A 55105-2023 FSC-klagomål.docx", "A 55105-2023")</f>
        <v/>
      </c>
      <c r="W164">
        <f>HYPERLINK("https://klasma.github.io/Logging_2321/klagomålsmail/A 55105-2023 FSC-klagomål mail.docx", "A 55105-2023")</f>
        <v/>
      </c>
      <c r="X164">
        <f>HYPERLINK("https://klasma.github.io/Logging_2321/tillsyn/A 55105-2023 tillsynsbegäran.docx", "A 55105-2023")</f>
        <v/>
      </c>
      <c r="Y164">
        <f>HYPERLINK("https://klasma.github.io/Logging_2321/tillsynsmail/A 55105-2023 tillsynsbegäran mail.docx", "A 55105-2023")</f>
        <v/>
      </c>
      <c r="Z164">
        <f>HYPERLINK("https://klasma.github.io/Logging_2321/fåglar/A 55105-2023 prioriterade fågelarter.docx", "A 55105-2023")</f>
        <v/>
      </c>
    </row>
    <row r="165" ht="15" customHeight="1">
      <c r="A165" t="inlineStr">
        <is>
          <t>A 59402-2023</t>
        </is>
      </c>
      <c r="B165" s="1" t="n">
        <v>45253</v>
      </c>
      <c r="C165" s="1" t="n">
        <v>45337</v>
      </c>
      <c r="D165" t="inlineStr">
        <is>
          <t>JÄMTLANDS LÄN</t>
        </is>
      </c>
      <c r="E165" t="inlineStr">
        <is>
          <t>ÅRE</t>
        </is>
      </c>
      <c r="G165" t="n">
        <v>2.3</v>
      </c>
      <c r="H165" t="n">
        <v>0</v>
      </c>
      <c r="I165" t="n">
        <v>0</v>
      </c>
      <c r="J165" t="n">
        <v>1</v>
      </c>
      <c r="K165" t="n">
        <v>0</v>
      </c>
      <c r="L165" t="n">
        <v>0</v>
      </c>
      <c r="M165" t="n">
        <v>0</v>
      </c>
      <c r="N165" t="n">
        <v>0</v>
      </c>
      <c r="O165" t="n">
        <v>1</v>
      </c>
      <c r="P165" t="n">
        <v>0</v>
      </c>
      <c r="Q165" t="n">
        <v>1</v>
      </c>
      <c r="R165" s="2" t="inlineStr">
        <is>
          <t>Garnlav</t>
        </is>
      </c>
      <c r="S165">
        <f>HYPERLINK("https://klasma.github.io/Logging_2321/artfynd/A 59402-2023 artfynd.xlsx", "A 59402-2023")</f>
        <v/>
      </c>
      <c r="T165">
        <f>HYPERLINK("https://klasma.github.io/Logging_2321/kartor/A 59402-2023 karta.png", "A 59402-2023")</f>
        <v/>
      </c>
      <c r="V165">
        <f>HYPERLINK("https://klasma.github.io/Logging_2321/klagomål/A 59402-2023 FSC-klagomål.docx", "A 59402-2023")</f>
        <v/>
      </c>
      <c r="W165">
        <f>HYPERLINK("https://klasma.github.io/Logging_2321/klagomålsmail/A 59402-2023 FSC-klagomål mail.docx", "A 59402-2023")</f>
        <v/>
      </c>
      <c r="X165">
        <f>HYPERLINK("https://klasma.github.io/Logging_2321/tillsyn/A 59402-2023 tillsynsbegäran.docx", "A 59402-2023")</f>
        <v/>
      </c>
      <c r="Y165">
        <f>HYPERLINK("https://klasma.github.io/Logging_2321/tillsynsmail/A 59402-2023 tillsynsbegäran mail.docx", "A 59402-2023")</f>
        <v/>
      </c>
    </row>
    <row r="166" ht="15" customHeight="1">
      <c r="A166" t="inlineStr">
        <is>
          <t>A 61471-2023</t>
        </is>
      </c>
      <c r="B166" s="1" t="n">
        <v>45264</v>
      </c>
      <c r="C166" s="1" t="n">
        <v>45337</v>
      </c>
      <c r="D166" t="inlineStr">
        <is>
          <t>JÄMTLANDS LÄN</t>
        </is>
      </c>
      <c r="E166" t="inlineStr">
        <is>
          <t>ÅRE</t>
        </is>
      </c>
      <c r="G166" t="n">
        <v>1</v>
      </c>
      <c r="H166" t="n">
        <v>0</v>
      </c>
      <c r="I166" t="n">
        <v>0</v>
      </c>
      <c r="J166" t="n">
        <v>1</v>
      </c>
      <c r="K166" t="n">
        <v>0</v>
      </c>
      <c r="L166" t="n">
        <v>0</v>
      </c>
      <c r="M166" t="n">
        <v>0</v>
      </c>
      <c r="N166" t="n">
        <v>0</v>
      </c>
      <c r="O166" t="n">
        <v>1</v>
      </c>
      <c r="P166" t="n">
        <v>0</v>
      </c>
      <c r="Q166" t="n">
        <v>1</v>
      </c>
      <c r="R166" s="2" t="inlineStr">
        <is>
          <t>Skrovellav</t>
        </is>
      </c>
      <c r="S166">
        <f>HYPERLINK("https://klasma.github.io/Logging_2321/artfynd/A 61471-2023 artfynd.xlsx", "A 61471-2023")</f>
        <v/>
      </c>
      <c r="T166">
        <f>HYPERLINK("https://klasma.github.io/Logging_2321/kartor/A 61471-2023 karta.png", "A 61471-2023")</f>
        <v/>
      </c>
      <c r="V166">
        <f>HYPERLINK("https://klasma.github.io/Logging_2321/klagomål/A 61471-2023 FSC-klagomål.docx", "A 61471-2023")</f>
        <v/>
      </c>
      <c r="W166">
        <f>HYPERLINK("https://klasma.github.io/Logging_2321/klagomålsmail/A 61471-2023 FSC-klagomål mail.docx", "A 61471-2023")</f>
        <v/>
      </c>
      <c r="X166">
        <f>HYPERLINK("https://klasma.github.io/Logging_2321/tillsyn/A 61471-2023 tillsynsbegäran.docx", "A 61471-2023")</f>
        <v/>
      </c>
      <c r="Y166">
        <f>HYPERLINK("https://klasma.github.io/Logging_2321/tillsynsmail/A 61471-2023 tillsynsbegäran mail.docx", "A 61471-2023")</f>
        <v/>
      </c>
    </row>
    <row r="167" ht="15" customHeight="1">
      <c r="A167" t="inlineStr">
        <is>
          <t>A 64026-2023</t>
        </is>
      </c>
      <c r="B167" s="1" t="n">
        <v>45278</v>
      </c>
      <c r="C167" s="1" t="n">
        <v>45337</v>
      </c>
      <c r="D167" t="inlineStr">
        <is>
          <t>JÄMTLANDS LÄN</t>
        </is>
      </c>
      <c r="E167" t="inlineStr">
        <is>
          <t>ÅRE</t>
        </is>
      </c>
      <c r="F167" t="inlineStr">
        <is>
          <t>Övriga Aktiebolag</t>
        </is>
      </c>
      <c r="G167" t="n">
        <v>9.800000000000001</v>
      </c>
      <c r="H167" t="n">
        <v>0</v>
      </c>
      <c r="I167" t="n">
        <v>1</v>
      </c>
      <c r="J167" t="n">
        <v>0</v>
      </c>
      <c r="K167" t="n">
        <v>0</v>
      </c>
      <c r="L167" t="n">
        <v>0</v>
      </c>
      <c r="M167" t="n">
        <v>0</v>
      </c>
      <c r="N167" t="n">
        <v>0</v>
      </c>
      <c r="O167" t="n">
        <v>0</v>
      </c>
      <c r="P167" t="n">
        <v>0</v>
      </c>
      <c r="Q167" t="n">
        <v>1</v>
      </c>
      <c r="R167" s="2" t="inlineStr">
        <is>
          <t>Svavelriska</t>
        </is>
      </c>
      <c r="S167">
        <f>HYPERLINK("https://klasma.github.io/Logging_2321/artfynd/A 64026-2023 artfynd.xlsx", "A 64026-2023")</f>
        <v/>
      </c>
      <c r="T167">
        <f>HYPERLINK("https://klasma.github.io/Logging_2321/kartor/A 64026-2023 karta.png", "A 64026-2023")</f>
        <v/>
      </c>
      <c r="V167">
        <f>HYPERLINK("https://klasma.github.io/Logging_2321/klagomål/A 64026-2023 FSC-klagomål.docx", "A 64026-2023")</f>
        <v/>
      </c>
      <c r="W167">
        <f>HYPERLINK("https://klasma.github.io/Logging_2321/klagomålsmail/A 64026-2023 FSC-klagomål mail.docx", "A 64026-2023")</f>
        <v/>
      </c>
      <c r="X167">
        <f>HYPERLINK("https://klasma.github.io/Logging_2321/tillsyn/A 64026-2023 tillsynsbegäran.docx", "A 64026-2023")</f>
        <v/>
      </c>
      <c r="Y167">
        <f>HYPERLINK("https://klasma.github.io/Logging_2321/tillsynsmail/A 64026-2023 tillsynsbegäran mail.docx", "A 64026-2023")</f>
        <v/>
      </c>
    </row>
    <row r="168" ht="15" customHeight="1">
      <c r="A168" t="inlineStr">
        <is>
          <t>A 36231-2018</t>
        </is>
      </c>
      <c r="B168" s="1" t="n">
        <v>43328</v>
      </c>
      <c r="C168" s="1" t="n">
        <v>45337</v>
      </c>
      <c r="D168" t="inlineStr">
        <is>
          <t>JÄMTLANDS LÄN</t>
        </is>
      </c>
      <c r="E168" t="inlineStr">
        <is>
          <t>ÅRE</t>
        </is>
      </c>
      <c r="G168" t="n">
        <v>7.1</v>
      </c>
      <c r="H168" t="n">
        <v>0</v>
      </c>
      <c r="I168" t="n">
        <v>0</v>
      </c>
      <c r="J168" t="n">
        <v>0</v>
      </c>
      <c r="K168" t="n">
        <v>0</v>
      </c>
      <c r="L168" t="n">
        <v>0</v>
      </c>
      <c r="M168" t="n">
        <v>0</v>
      </c>
      <c r="N168" t="n">
        <v>0</v>
      </c>
      <c r="O168" t="n">
        <v>0</v>
      </c>
      <c r="P168" t="n">
        <v>0</v>
      </c>
      <c r="Q168" t="n">
        <v>0</v>
      </c>
      <c r="R168" s="2" t="inlineStr"/>
    </row>
    <row r="169" ht="15" customHeight="1">
      <c r="A169" t="inlineStr">
        <is>
          <t>A 43244-2018</t>
        </is>
      </c>
      <c r="B169" s="1" t="n">
        <v>43353</v>
      </c>
      <c r="C169" s="1" t="n">
        <v>45337</v>
      </c>
      <c r="D169" t="inlineStr">
        <is>
          <t>JÄMTLANDS LÄN</t>
        </is>
      </c>
      <c r="E169" t="inlineStr">
        <is>
          <t>ÅRE</t>
        </is>
      </c>
      <c r="F169" t="inlineStr">
        <is>
          <t>Övriga statliga verk och myndigheter</t>
        </is>
      </c>
      <c r="G169" t="n">
        <v>12.9</v>
      </c>
      <c r="H169" t="n">
        <v>0</v>
      </c>
      <c r="I169" t="n">
        <v>0</v>
      </c>
      <c r="J169" t="n">
        <v>0</v>
      </c>
      <c r="K169" t="n">
        <v>0</v>
      </c>
      <c r="L169" t="n">
        <v>0</v>
      </c>
      <c r="M169" t="n">
        <v>0</v>
      </c>
      <c r="N169" t="n">
        <v>0</v>
      </c>
      <c r="O169" t="n">
        <v>0</v>
      </c>
      <c r="P169" t="n">
        <v>0</v>
      </c>
      <c r="Q169" t="n">
        <v>0</v>
      </c>
      <c r="R169" s="2" t="inlineStr"/>
    </row>
    <row r="170" ht="15" customHeight="1">
      <c r="A170" t="inlineStr">
        <is>
          <t>A 44507-2018</t>
        </is>
      </c>
      <c r="B170" s="1" t="n">
        <v>43355</v>
      </c>
      <c r="C170" s="1" t="n">
        <v>45337</v>
      </c>
      <c r="D170" t="inlineStr">
        <is>
          <t>JÄMTLANDS LÄN</t>
        </is>
      </c>
      <c r="E170" t="inlineStr">
        <is>
          <t>ÅRE</t>
        </is>
      </c>
      <c r="G170" t="n">
        <v>7.2</v>
      </c>
      <c r="H170" t="n">
        <v>0</v>
      </c>
      <c r="I170" t="n">
        <v>0</v>
      </c>
      <c r="J170" t="n">
        <v>0</v>
      </c>
      <c r="K170" t="n">
        <v>0</v>
      </c>
      <c r="L170" t="n">
        <v>0</v>
      </c>
      <c r="M170" t="n">
        <v>0</v>
      </c>
      <c r="N170" t="n">
        <v>0</v>
      </c>
      <c r="O170" t="n">
        <v>0</v>
      </c>
      <c r="P170" t="n">
        <v>0</v>
      </c>
      <c r="Q170" t="n">
        <v>0</v>
      </c>
      <c r="R170" s="2" t="inlineStr"/>
    </row>
    <row r="171" ht="15" customHeight="1">
      <c r="A171" t="inlineStr">
        <is>
          <t>A 44558-2018</t>
        </is>
      </c>
      <c r="B171" s="1" t="n">
        <v>43355</v>
      </c>
      <c r="C171" s="1" t="n">
        <v>45337</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43661-2018</t>
        </is>
      </c>
      <c r="B172" s="1" t="n">
        <v>43357</v>
      </c>
      <c r="C172" s="1" t="n">
        <v>45337</v>
      </c>
      <c r="D172" t="inlineStr">
        <is>
          <t>JÄMTLANDS LÄN</t>
        </is>
      </c>
      <c r="E172" t="inlineStr">
        <is>
          <t>ÅRE</t>
        </is>
      </c>
      <c r="F172" t="inlineStr">
        <is>
          <t>Övriga Aktiebolag</t>
        </is>
      </c>
      <c r="G172" t="n">
        <v>21.3</v>
      </c>
      <c r="H172" t="n">
        <v>0</v>
      </c>
      <c r="I172" t="n">
        <v>0</v>
      </c>
      <c r="J172" t="n">
        <v>0</v>
      </c>
      <c r="K172" t="n">
        <v>0</v>
      </c>
      <c r="L172" t="n">
        <v>0</v>
      </c>
      <c r="M172" t="n">
        <v>0</v>
      </c>
      <c r="N172" t="n">
        <v>0</v>
      </c>
      <c r="O172" t="n">
        <v>0</v>
      </c>
      <c r="P172" t="n">
        <v>0</v>
      </c>
      <c r="Q172" t="n">
        <v>0</v>
      </c>
      <c r="R172" s="2" t="inlineStr"/>
    </row>
    <row r="173" ht="15" customHeight="1">
      <c r="A173" t="inlineStr">
        <is>
          <t>A 46640-2018</t>
        </is>
      </c>
      <c r="B173" s="1" t="n">
        <v>43368</v>
      </c>
      <c r="C173" s="1" t="n">
        <v>45337</v>
      </c>
      <c r="D173" t="inlineStr">
        <is>
          <t>JÄMTLANDS LÄN</t>
        </is>
      </c>
      <c r="E173" t="inlineStr">
        <is>
          <t>ÅRE</t>
        </is>
      </c>
      <c r="G173" t="n">
        <v>1.8</v>
      </c>
      <c r="H173" t="n">
        <v>0</v>
      </c>
      <c r="I173" t="n">
        <v>0</v>
      </c>
      <c r="J173" t="n">
        <v>0</v>
      </c>
      <c r="K173" t="n">
        <v>0</v>
      </c>
      <c r="L173" t="n">
        <v>0</v>
      </c>
      <c r="M173" t="n">
        <v>0</v>
      </c>
      <c r="N173" t="n">
        <v>0</v>
      </c>
      <c r="O173" t="n">
        <v>0</v>
      </c>
      <c r="P173" t="n">
        <v>0</v>
      </c>
      <c r="Q173" t="n">
        <v>0</v>
      </c>
      <c r="R173" s="2" t="inlineStr"/>
    </row>
    <row r="174" ht="15" customHeight="1">
      <c r="A174" t="inlineStr">
        <is>
          <t>A 47303-2018</t>
        </is>
      </c>
      <c r="B174" s="1" t="n">
        <v>43369</v>
      </c>
      <c r="C174" s="1" t="n">
        <v>45337</v>
      </c>
      <c r="D174" t="inlineStr">
        <is>
          <t>JÄMTLANDS LÄN</t>
        </is>
      </c>
      <c r="E174" t="inlineStr">
        <is>
          <t>ÅRE</t>
        </is>
      </c>
      <c r="G174" t="n">
        <v>14.5</v>
      </c>
      <c r="H174" t="n">
        <v>0</v>
      </c>
      <c r="I174" t="n">
        <v>0</v>
      </c>
      <c r="J174" t="n">
        <v>0</v>
      </c>
      <c r="K174" t="n">
        <v>0</v>
      </c>
      <c r="L174" t="n">
        <v>0</v>
      </c>
      <c r="M174" t="n">
        <v>0</v>
      </c>
      <c r="N174" t="n">
        <v>0</v>
      </c>
      <c r="O174" t="n">
        <v>0</v>
      </c>
      <c r="P174" t="n">
        <v>0</v>
      </c>
      <c r="Q174" t="n">
        <v>0</v>
      </c>
      <c r="R174" s="2" t="inlineStr"/>
    </row>
    <row r="175" ht="15" customHeight="1">
      <c r="A175" t="inlineStr">
        <is>
          <t>A 50928-2018</t>
        </is>
      </c>
      <c r="B175" s="1" t="n">
        <v>43375</v>
      </c>
      <c r="C175" s="1" t="n">
        <v>45337</v>
      </c>
      <c r="D175" t="inlineStr">
        <is>
          <t>JÄMTLANDS LÄN</t>
        </is>
      </c>
      <c r="E175" t="inlineStr">
        <is>
          <t>ÅRE</t>
        </is>
      </c>
      <c r="G175" t="n">
        <v>8.6</v>
      </c>
      <c r="H175" t="n">
        <v>0</v>
      </c>
      <c r="I175" t="n">
        <v>0</v>
      </c>
      <c r="J175" t="n">
        <v>0</v>
      </c>
      <c r="K175" t="n">
        <v>0</v>
      </c>
      <c r="L175" t="n">
        <v>0</v>
      </c>
      <c r="M175" t="n">
        <v>0</v>
      </c>
      <c r="N175" t="n">
        <v>0</v>
      </c>
      <c r="O175" t="n">
        <v>0</v>
      </c>
      <c r="P175" t="n">
        <v>0</v>
      </c>
      <c r="Q175" t="n">
        <v>0</v>
      </c>
      <c r="R175" s="2" t="inlineStr"/>
    </row>
    <row r="176" ht="15" customHeight="1">
      <c r="A176" t="inlineStr">
        <is>
          <t>A 51383-2018</t>
        </is>
      </c>
      <c r="B176" s="1" t="n">
        <v>43383</v>
      </c>
      <c r="C176" s="1" t="n">
        <v>45337</v>
      </c>
      <c r="D176" t="inlineStr">
        <is>
          <t>JÄMTLANDS LÄN</t>
        </is>
      </c>
      <c r="E176" t="inlineStr">
        <is>
          <t>ÅRE</t>
        </is>
      </c>
      <c r="G176" t="n">
        <v>1.9</v>
      </c>
      <c r="H176" t="n">
        <v>0</v>
      </c>
      <c r="I176" t="n">
        <v>0</v>
      </c>
      <c r="J176" t="n">
        <v>0</v>
      </c>
      <c r="K176" t="n">
        <v>0</v>
      </c>
      <c r="L176" t="n">
        <v>0</v>
      </c>
      <c r="M176" t="n">
        <v>0</v>
      </c>
      <c r="N176" t="n">
        <v>0</v>
      </c>
      <c r="O176" t="n">
        <v>0</v>
      </c>
      <c r="P176" t="n">
        <v>0</v>
      </c>
      <c r="Q176" t="n">
        <v>0</v>
      </c>
      <c r="R176" s="2" t="inlineStr"/>
    </row>
    <row r="177" ht="15" customHeight="1">
      <c r="A177" t="inlineStr">
        <is>
          <t>A 52842-2018</t>
        </is>
      </c>
      <c r="B177" s="1" t="n">
        <v>43384</v>
      </c>
      <c r="C177" s="1" t="n">
        <v>45337</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52573-2018</t>
        </is>
      </c>
      <c r="B178" s="1" t="n">
        <v>43388</v>
      </c>
      <c r="C178" s="1" t="n">
        <v>45337</v>
      </c>
      <c r="D178" t="inlineStr">
        <is>
          <t>JÄMTLANDS LÄN</t>
        </is>
      </c>
      <c r="E178" t="inlineStr">
        <is>
          <t>ÅRE</t>
        </is>
      </c>
      <c r="G178" t="n">
        <v>4.4</v>
      </c>
      <c r="H178" t="n">
        <v>0</v>
      </c>
      <c r="I178" t="n">
        <v>0</v>
      </c>
      <c r="J178" t="n">
        <v>0</v>
      </c>
      <c r="K178" t="n">
        <v>0</v>
      </c>
      <c r="L178" t="n">
        <v>0</v>
      </c>
      <c r="M178" t="n">
        <v>0</v>
      </c>
      <c r="N178" t="n">
        <v>0</v>
      </c>
      <c r="O178" t="n">
        <v>0</v>
      </c>
      <c r="P178" t="n">
        <v>0</v>
      </c>
      <c r="Q178" t="n">
        <v>0</v>
      </c>
      <c r="R178" s="2" t="inlineStr"/>
    </row>
    <row r="179" ht="15" customHeight="1">
      <c r="A179" t="inlineStr">
        <is>
          <t>A 52615-2018</t>
        </is>
      </c>
      <c r="B179" s="1" t="n">
        <v>43389</v>
      </c>
      <c r="C179" s="1" t="n">
        <v>45337</v>
      </c>
      <c r="D179" t="inlineStr">
        <is>
          <t>JÄMTLANDS LÄN</t>
        </is>
      </c>
      <c r="E179" t="inlineStr">
        <is>
          <t>ÅRE</t>
        </is>
      </c>
      <c r="F179" t="inlineStr">
        <is>
          <t>Övriga Aktiebolag</t>
        </is>
      </c>
      <c r="G179" t="n">
        <v>65.90000000000001</v>
      </c>
      <c r="H179" t="n">
        <v>0</v>
      </c>
      <c r="I179" t="n">
        <v>0</v>
      </c>
      <c r="J179" t="n">
        <v>0</v>
      </c>
      <c r="K179" t="n">
        <v>0</v>
      </c>
      <c r="L179" t="n">
        <v>0</v>
      </c>
      <c r="M179" t="n">
        <v>0</v>
      </c>
      <c r="N179" t="n">
        <v>0</v>
      </c>
      <c r="O179" t="n">
        <v>0</v>
      </c>
      <c r="P179" t="n">
        <v>0</v>
      </c>
      <c r="Q179" t="n">
        <v>0</v>
      </c>
      <c r="R179" s="2" t="inlineStr"/>
    </row>
    <row r="180" ht="15" customHeight="1">
      <c r="A180" t="inlineStr">
        <is>
          <t>A 53430-2018</t>
        </is>
      </c>
      <c r="B180" s="1" t="n">
        <v>43391</v>
      </c>
      <c r="C180" s="1" t="n">
        <v>45337</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54859-2018</t>
        </is>
      </c>
      <c r="B181" s="1" t="n">
        <v>43396</v>
      </c>
      <c r="C181" s="1" t="n">
        <v>45337</v>
      </c>
      <c r="D181" t="inlineStr">
        <is>
          <t>JÄMTLANDS LÄN</t>
        </is>
      </c>
      <c r="E181" t="inlineStr">
        <is>
          <t>ÅRE</t>
        </is>
      </c>
      <c r="G181" t="n">
        <v>2.1</v>
      </c>
      <c r="H181" t="n">
        <v>0</v>
      </c>
      <c r="I181" t="n">
        <v>0</v>
      </c>
      <c r="J181" t="n">
        <v>0</v>
      </c>
      <c r="K181" t="n">
        <v>0</v>
      </c>
      <c r="L181" t="n">
        <v>0</v>
      </c>
      <c r="M181" t="n">
        <v>0</v>
      </c>
      <c r="N181" t="n">
        <v>0</v>
      </c>
      <c r="O181" t="n">
        <v>0</v>
      </c>
      <c r="P181" t="n">
        <v>0</v>
      </c>
      <c r="Q181" t="n">
        <v>0</v>
      </c>
      <c r="R181" s="2" t="inlineStr"/>
    </row>
    <row r="182" ht="15" customHeight="1">
      <c r="A182" t="inlineStr">
        <is>
          <t>A 57752-2018</t>
        </is>
      </c>
      <c r="B182" s="1" t="n">
        <v>43397</v>
      </c>
      <c r="C182" s="1" t="n">
        <v>45337</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56780-2018</t>
        </is>
      </c>
      <c r="B183" s="1" t="n">
        <v>43402</v>
      </c>
      <c r="C183" s="1" t="n">
        <v>45337</v>
      </c>
      <c r="D183" t="inlineStr">
        <is>
          <t>JÄMTLANDS LÄN</t>
        </is>
      </c>
      <c r="E183" t="inlineStr">
        <is>
          <t>ÅRE</t>
        </is>
      </c>
      <c r="G183" t="n">
        <v>45.1</v>
      </c>
      <c r="H183" t="n">
        <v>0</v>
      </c>
      <c r="I183" t="n">
        <v>0</v>
      </c>
      <c r="J183" t="n">
        <v>0</v>
      </c>
      <c r="K183" t="n">
        <v>0</v>
      </c>
      <c r="L183" t="n">
        <v>0</v>
      </c>
      <c r="M183" t="n">
        <v>0</v>
      </c>
      <c r="N183" t="n">
        <v>0</v>
      </c>
      <c r="O183" t="n">
        <v>0</v>
      </c>
      <c r="P183" t="n">
        <v>0</v>
      </c>
      <c r="Q183" t="n">
        <v>0</v>
      </c>
      <c r="R183" s="2" t="inlineStr"/>
    </row>
    <row r="184" ht="15" customHeight="1">
      <c r="A184" t="inlineStr">
        <is>
          <t>A 61015-2018</t>
        </is>
      </c>
      <c r="B184" s="1" t="n">
        <v>43423</v>
      </c>
      <c r="C184" s="1" t="n">
        <v>45337</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61054-2018</t>
        </is>
      </c>
      <c r="B185" s="1" t="n">
        <v>43423</v>
      </c>
      <c r="C185" s="1" t="n">
        <v>45337</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61002-2018</t>
        </is>
      </c>
      <c r="B186" s="1" t="n">
        <v>43423</v>
      </c>
      <c r="C186" s="1" t="n">
        <v>45337</v>
      </c>
      <c r="D186" t="inlineStr">
        <is>
          <t>JÄMTLANDS LÄN</t>
        </is>
      </c>
      <c r="E186" t="inlineStr">
        <is>
          <t>ÅRE</t>
        </is>
      </c>
      <c r="G186" t="n">
        <v>3.5</v>
      </c>
      <c r="H186" t="n">
        <v>0</v>
      </c>
      <c r="I186" t="n">
        <v>0</v>
      </c>
      <c r="J186" t="n">
        <v>0</v>
      </c>
      <c r="K186" t="n">
        <v>0</v>
      </c>
      <c r="L186" t="n">
        <v>0</v>
      </c>
      <c r="M186" t="n">
        <v>0</v>
      </c>
      <c r="N186" t="n">
        <v>0</v>
      </c>
      <c r="O186" t="n">
        <v>0</v>
      </c>
      <c r="P186" t="n">
        <v>0</v>
      </c>
      <c r="Q186" t="n">
        <v>0</v>
      </c>
      <c r="R186" s="2" t="inlineStr"/>
    </row>
    <row r="187" ht="15" customHeight="1">
      <c r="A187" t="inlineStr">
        <is>
          <t>A 61032-2018</t>
        </is>
      </c>
      <c r="B187" s="1" t="n">
        <v>43423</v>
      </c>
      <c r="C187" s="1" t="n">
        <v>45337</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61198-2018</t>
        </is>
      </c>
      <c r="B188" s="1" t="n">
        <v>43423</v>
      </c>
      <c r="C188" s="1" t="n">
        <v>45337</v>
      </c>
      <c r="D188" t="inlineStr">
        <is>
          <t>JÄMTLANDS LÄN</t>
        </is>
      </c>
      <c r="E188" t="inlineStr">
        <is>
          <t>ÅRE</t>
        </is>
      </c>
      <c r="G188" t="n">
        <v>4.2</v>
      </c>
      <c r="H188" t="n">
        <v>0</v>
      </c>
      <c r="I188" t="n">
        <v>0</v>
      </c>
      <c r="J188" t="n">
        <v>0</v>
      </c>
      <c r="K188" t="n">
        <v>0</v>
      </c>
      <c r="L188" t="n">
        <v>0</v>
      </c>
      <c r="M188" t="n">
        <v>0</v>
      </c>
      <c r="N188" t="n">
        <v>0</v>
      </c>
      <c r="O188" t="n">
        <v>0</v>
      </c>
      <c r="P188" t="n">
        <v>0</v>
      </c>
      <c r="Q188" t="n">
        <v>0</v>
      </c>
      <c r="R188" s="2" t="inlineStr"/>
    </row>
    <row r="189" ht="15" customHeight="1">
      <c r="A189" t="inlineStr">
        <is>
          <t>A 61062-2018</t>
        </is>
      </c>
      <c r="B189" s="1" t="n">
        <v>43423</v>
      </c>
      <c r="C189" s="1" t="n">
        <v>45337</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61508-2018</t>
        </is>
      </c>
      <c r="B190" s="1" t="n">
        <v>43424</v>
      </c>
      <c r="C190" s="1" t="n">
        <v>45337</v>
      </c>
      <c r="D190" t="inlineStr">
        <is>
          <t>JÄMTLANDS LÄN</t>
        </is>
      </c>
      <c r="E190" t="inlineStr">
        <is>
          <t>ÅRE</t>
        </is>
      </c>
      <c r="G190" t="n">
        <v>1.9</v>
      </c>
      <c r="H190" t="n">
        <v>0</v>
      </c>
      <c r="I190" t="n">
        <v>0</v>
      </c>
      <c r="J190" t="n">
        <v>0</v>
      </c>
      <c r="K190" t="n">
        <v>0</v>
      </c>
      <c r="L190" t="n">
        <v>0</v>
      </c>
      <c r="M190" t="n">
        <v>0</v>
      </c>
      <c r="N190" t="n">
        <v>0</v>
      </c>
      <c r="O190" t="n">
        <v>0</v>
      </c>
      <c r="P190" t="n">
        <v>0</v>
      </c>
      <c r="Q190" t="n">
        <v>0</v>
      </c>
      <c r="R190" s="2" t="inlineStr"/>
    </row>
    <row r="191" ht="15" customHeight="1">
      <c r="A191" t="inlineStr">
        <is>
          <t>A 61499-2018</t>
        </is>
      </c>
      <c r="B191" s="1" t="n">
        <v>43424</v>
      </c>
      <c r="C191" s="1" t="n">
        <v>45337</v>
      </c>
      <c r="D191" t="inlineStr">
        <is>
          <t>JÄMTLANDS LÄN</t>
        </is>
      </c>
      <c r="E191" t="inlineStr">
        <is>
          <t>ÅRE</t>
        </is>
      </c>
      <c r="G191" t="n">
        <v>20.6</v>
      </c>
      <c r="H191" t="n">
        <v>0</v>
      </c>
      <c r="I191" t="n">
        <v>0</v>
      </c>
      <c r="J191" t="n">
        <v>0</v>
      </c>
      <c r="K191" t="n">
        <v>0</v>
      </c>
      <c r="L191" t="n">
        <v>0</v>
      </c>
      <c r="M191" t="n">
        <v>0</v>
      </c>
      <c r="N191" t="n">
        <v>0</v>
      </c>
      <c r="O191" t="n">
        <v>0</v>
      </c>
      <c r="P191" t="n">
        <v>0</v>
      </c>
      <c r="Q191" t="n">
        <v>0</v>
      </c>
      <c r="R191" s="2" t="inlineStr"/>
    </row>
    <row r="192" ht="15" customHeight="1">
      <c r="A192" t="inlineStr">
        <is>
          <t>A 62167-2018</t>
        </is>
      </c>
      <c r="B192" s="1" t="n">
        <v>43425</v>
      </c>
      <c r="C192" s="1" t="n">
        <v>45337</v>
      </c>
      <c r="D192" t="inlineStr">
        <is>
          <t>JÄMTLANDS LÄN</t>
        </is>
      </c>
      <c r="E192" t="inlineStr">
        <is>
          <t>ÅRE</t>
        </is>
      </c>
      <c r="G192" t="n">
        <v>9</v>
      </c>
      <c r="H192" t="n">
        <v>0</v>
      </c>
      <c r="I192" t="n">
        <v>0</v>
      </c>
      <c r="J192" t="n">
        <v>0</v>
      </c>
      <c r="K192" t="n">
        <v>0</v>
      </c>
      <c r="L192" t="n">
        <v>0</v>
      </c>
      <c r="M192" t="n">
        <v>0</v>
      </c>
      <c r="N192" t="n">
        <v>0</v>
      </c>
      <c r="O192" t="n">
        <v>0</v>
      </c>
      <c r="P192" t="n">
        <v>0</v>
      </c>
      <c r="Q192" t="n">
        <v>0</v>
      </c>
      <c r="R192" s="2" t="inlineStr"/>
    </row>
    <row r="193" ht="15" customHeight="1">
      <c r="A193" t="inlineStr">
        <is>
          <t>A 61897-2018</t>
        </is>
      </c>
      <c r="B193" s="1" t="n">
        <v>43425</v>
      </c>
      <c r="C193" s="1" t="n">
        <v>45337</v>
      </c>
      <c r="D193" t="inlineStr">
        <is>
          <t>JÄMTLANDS LÄN</t>
        </is>
      </c>
      <c r="E193" t="inlineStr">
        <is>
          <t>ÅRE</t>
        </is>
      </c>
      <c r="G193" t="n">
        <v>2.5</v>
      </c>
      <c r="H193" t="n">
        <v>0</v>
      </c>
      <c r="I193" t="n">
        <v>0</v>
      </c>
      <c r="J193" t="n">
        <v>0</v>
      </c>
      <c r="K193" t="n">
        <v>0</v>
      </c>
      <c r="L193" t="n">
        <v>0</v>
      </c>
      <c r="M193" t="n">
        <v>0</v>
      </c>
      <c r="N193" t="n">
        <v>0</v>
      </c>
      <c r="O193" t="n">
        <v>0</v>
      </c>
      <c r="P193" t="n">
        <v>0</v>
      </c>
      <c r="Q193" t="n">
        <v>0</v>
      </c>
      <c r="R193" s="2" t="inlineStr"/>
    </row>
    <row r="194" ht="15" customHeight="1">
      <c r="A194" t="inlineStr">
        <is>
          <t>A 63724-2018</t>
        </is>
      </c>
      <c r="B194" s="1" t="n">
        <v>43428</v>
      </c>
      <c r="C194" s="1" t="n">
        <v>45337</v>
      </c>
      <c r="D194" t="inlineStr">
        <is>
          <t>JÄMTLANDS LÄN</t>
        </is>
      </c>
      <c r="E194" t="inlineStr">
        <is>
          <t>ÅRE</t>
        </is>
      </c>
      <c r="G194" t="n">
        <v>1.5</v>
      </c>
      <c r="H194" t="n">
        <v>0</v>
      </c>
      <c r="I194" t="n">
        <v>0</v>
      </c>
      <c r="J194" t="n">
        <v>0</v>
      </c>
      <c r="K194" t="n">
        <v>0</v>
      </c>
      <c r="L194" t="n">
        <v>0</v>
      </c>
      <c r="M194" t="n">
        <v>0</v>
      </c>
      <c r="N194" t="n">
        <v>0</v>
      </c>
      <c r="O194" t="n">
        <v>0</v>
      </c>
      <c r="P194" t="n">
        <v>0</v>
      </c>
      <c r="Q194" t="n">
        <v>0</v>
      </c>
      <c r="R194" s="2" t="inlineStr"/>
    </row>
    <row r="195" ht="15" customHeight="1">
      <c r="A195" t="inlineStr">
        <is>
          <t>A 63720-2018</t>
        </is>
      </c>
      <c r="B195" s="1" t="n">
        <v>43428</v>
      </c>
      <c r="C195" s="1" t="n">
        <v>45337</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63726-2018</t>
        </is>
      </c>
      <c r="B196" s="1" t="n">
        <v>43428</v>
      </c>
      <c r="C196" s="1" t="n">
        <v>45337</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63721-2018</t>
        </is>
      </c>
      <c r="B197" s="1" t="n">
        <v>43428</v>
      </c>
      <c r="C197" s="1" t="n">
        <v>45337</v>
      </c>
      <c r="D197" t="inlineStr">
        <is>
          <t>JÄMTLANDS LÄN</t>
        </is>
      </c>
      <c r="E197" t="inlineStr">
        <is>
          <t>ÅRE</t>
        </is>
      </c>
      <c r="G197" t="n">
        <v>1.3</v>
      </c>
      <c r="H197" t="n">
        <v>0</v>
      </c>
      <c r="I197" t="n">
        <v>0</v>
      </c>
      <c r="J197" t="n">
        <v>0</v>
      </c>
      <c r="K197" t="n">
        <v>0</v>
      </c>
      <c r="L197" t="n">
        <v>0</v>
      </c>
      <c r="M197" t="n">
        <v>0</v>
      </c>
      <c r="N197" t="n">
        <v>0</v>
      </c>
      <c r="O197" t="n">
        <v>0</v>
      </c>
      <c r="P197" t="n">
        <v>0</v>
      </c>
      <c r="Q197" t="n">
        <v>0</v>
      </c>
      <c r="R197" s="2" t="inlineStr"/>
    </row>
    <row r="198" ht="15" customHeight="1">
      <c r="A198" t="inlineStr">
        <is>
          <t>A 63725-2018</t>
        </is>
      </c>
      <c r="B198" s="1" t="n">
        <v>43428</v>
      </c>
      <c r="C198" s="1" t="n">
        <v>45337</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64630-2018</t>
        </is>
      </c>
      <c r="B199" s="1" t="n">
        <v>43431</v>
      </c>
      <c r="C199" s="1" t="n">
        <v>45337</v>
      </c>
      <c r="D199" t="inlineStr">
        <is>
          <t>JÄMTLANDS LÄN</t>
        </is>
      </c>
      <c r="E199" t="inlineStr">
        <is>
          <t>ÅRE</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65264-2018</t>
        </is>
      </c>
      <c r="B200" s="1" t="n">
        <v>43432</v>
      </c>
      <c r="C200" s="1" t="n">
        <v>45337</v>
      </c>
      <c r="D200" t="inlineStr">
        <is>
          <t>JÄMTLANDS LÄN</t>
        </is>
      </c>
      <c r="E200" t="inlineStr">
        <is>
          <t>ÅRE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65243-2018</t>
        </is>
      </c>
      <c r="B201" s="1" t="n">
        <v>43432</v>
      </c>
      <c r="C201" s="1" t="n">
        <v>45337</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67305-2018</t>
        </is>
      </c>
      <c r="B202" s="1" t="n">
        <v>43439</v>
      </c>
      <c r="C202" s="1" t="n">
        <v>45337</v>
      </c>
      <c r="D202" t="inlineStr">
        <is>
          <t>JÄMTLANDS LÄN</t>
        </is>
      </c>
      <c r="E202" t="inlineStr">
        <is>
          <t>ÅRE</t>
        </is>
      </c>
      <c r="G202" t="n">
        <v>15.8</v>
      </c>
      <c r="H202" t="n">
        <v>0</v>
      </c>
      <c r="I202" t="n">
        <v>0</v>
      </c>
      <c r="J202" t="n">
        <v>0</v>
      </c>
      <c r="K202" t="n">
        <v>0</v>
      </c>
      <c r="L202" t="n">
        <v>0</v>
      </c>
      <c r="M202" t="n">
        <v>0</v>
      </c>
      <c r="N202" t="n">
        <v>0</v>
      </c>
      <c r="O202" t="n">
        <v>0</v>
      </c>
      <c r="P202" t="n">
        <v>0</v>
      </c>
      <c r="Q202" t="n">
        <v>0</v>
      </c>
      <c r="R202" s="2" t="inlineStr"/>
    </row>
    <row r="203" ht="15" customHeight="1">
      <c r="A203" t="inlineStr">
        <is>
          <t>A 68616-2018</t>
        </is>
      </c>
      <c r="B203" s="1" t="n">
        <v>43444</v>
      </c>
      <c r="C203" s="1" t="n">
        <v>45337</v>
      </c>
      <c r="D203" t="inlineStr">
        <is>
          <t>JÄMTLANDS LÄN</t>
        </is>
      </c>
      <c r="E203" t="inlineStr">
        <is>
          <t>ÅRE</t>
        </is>
      </c>
      <c r="G203" t="n">
        <v>4.2</v>
      </c>
      <c r="H203" t="n">
        <v>0</v>
      </c>
      <c r="I203" t="n">
        <v>0</v>
      </c>
      <c r="J203" t="n">
        <v>0</v>
      </c>
      <c r="K203" t="n">
        <v>0</v>
      </c>
      <c r="L203" t="n">
        <v>0</v>
      </c>
      <c r="M203" t="n">
        <v>0</v>
      </c>
      <c r="N203" t="n">
        <v>0</v>
      </c>
      <c r="O203" t="n">
        <v>0</v>
      </c>
      <c r="P203" t="n">
        <v>0</v>
      </c>
      <c r="Q203" t="n">
        <v>0</v>
      </c>
      <c r="R203" s="2" t="inlineStr"/>
    </row>
    <row r="204" ht="15" customHeight="1">
      <c r="A204" t="inlineStr">
        <is>
          <t>A 68659-2018</t>
        </is>
      </c>
      <c r="B204" s="1" t="n">
        <v>43444</v>
      </c>
      <c r="C204" s="1" t="n">
        <v>45337</v>
      </c>
      <c r="D204" t="inlineStr">
        <is>
          <t>JÄMTLANDS LÄN</t>
        </is>
      </c>
      <c r="E204" t="inlineStr">
        <is>
          <t>ÅRE</t>
        </is>
      </c>
      <c r="G204" t="n">
        <v>1.7</v>
      </c>
      <c r="H204" t="n">
        <v>0</v>
      </c>
      <c r="I204" t="n">
        <v>0</v>
      </c>
      <c r="J204" t="n">
        <v>0</v>
      </c>
      <c r="K204" t="n">
        <v>0</v>
      </c>
      <c r="L204" t="n">
        <v>0</v>
      </c>
      <c r="M204" t="n">
        <v>0</v>
      </c>
      <c r="N204" t="n">
        <v>0</v>
      </c>
      <c r="O204" t="n">
        <v>0</v>
      </c>
      <c r="P204" t="n">
        <v>0</v>
      </c>
      <c r="Q204" t="n">
        <v>0</v>
      </c>
      <c r="R204" s="2" t="inlineStr"/>
    </row>
    <row r="205" ht="15" customHeight="1">
      <c r="A205" t="inlineStr">
        <is>
          <t>A 68655-2018</t>
        </is>
      </c>
      <c r="B205" s="1" t="n">
        <v>43444</v>
      </c>
      <c r="C205" s="1" t="n">
        <v>45337</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69427-2018</t>
        </is>
      </c>
      <c r="B206" s="1" t="n">
        <v>43446</v>
      </c>
      <c r="C206" s="1" t="n">
        <v>45337</v>
      </c>
      <c r="D206" t="inlineStr">
        <is>
          <t>JÄMTLANDS LÄN</t>
        </is>
      </c>
      <c r="E206" t="inlineStr">
        <is>
          <t>ÅRE</t>
        </is>
      </c>
      <c r="G206" t="n">
        <v>0.3</v>
      </c>
      <c r="H206" t="n">
        <v>0</v>
      </c>
      <c r="I206" t="n">
        <v>0</v>
      </c>
      <c r="J206" t="n">
        <v>0</v>
      </c>
      <c r="K206" t="n">
        <v>0</v>
      </c>
      <c r="L206" t="n">
        <v>0</v>
      </c>
      <c r="M206" t="n">
        <v>0</v>
      </c>
      <c r="N206" t="n">
        <v>0</v>
      </c>
      <c r="O206" t="n">
        <v>0</v>
      </c>
      <c r="P206" t="n">
        <v>0</v>
      </c>
      <c r="Q206" t="n">
        <v>0</v>
      </c>
      <c r="R206" s="2" t="inlineStr"/>
    </row>
    <row r="207" ht="15" customHeight="1">
      <c r="A207" t="inlineStr">
        <is>
          <t>A 80-2019</t>
        </is>
      </c>
      <c r="B207" s="1" t="n">
        <v>43467</v>
      </c>
      <c r="C207" s="1" t="n">
        <v>45337</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250-2019</t>
        </is>
      </c>
      <c r="B208" s="1" t="n">
        <v>43468</v>
      </c>
      <c r="C208" s="1" t="n">
        <v>45337</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685-2019</t>
        </is>
      </c>
      <c r="B209" s="1" t="n">
        <v>43469</v>
      </c>
      <c r="C209" s="1" t="n">
        <v>45337</v>
      </c>
      <c r="D209" t="inlineStr">
        <is>
          <t>JÄMTLANDS LÄN</t>
        </is>
      </c>
      <c r="E209" t="inlineStr">
        <is>
          <t>ÅRE</t>
        </is>
      </c>
      <c r="G209" t="n">
        <v>4.5</v>
      </c>
      <c r="H209" t="n">
        <v>0</v>
      </c>
      <c r="I209" t="n">
        <v>0</v>
      </c>
      <c r="J209" t="n">
        <v>0</v>
      </c>
      <c r="K209" t="n">
        <v>0</v>
      </c>
      <c r="L209" t="n">
        <v>0</v>
      </c>
      <c r="M209" t="n">
        <v>0</v>
      </c>
      <c r="N209" t="n">
        <v>0</v>
      </c>
      <c r="O209" t="n">
        <v>0</v>
      </c>
      <c r="P209" t="n">
        <v>0</v>
      </c>
      <c r="Q209" t="n">
        <v>0</v>
      </c>
      <c r="R209" s="2" t="inlineStr"/>
    </row>
    <row r="210" ht="15" customHeight="1">
      <c r="A210" t="inlineStr">
        <is>
          <t>A 2126-2019</t>
        </is>
      </c>
      <c r="B210" s="1" t="n">
        <v>43475</v>
      </c>
      <c r="C210" s="1" t="n">
        <v>45337</v>
      </c>
      <c r="D210" t="inlineStr">
        <is>
          <t>JÄMTLANDS LÄN</t>
        </is>
      </c>
      <c r="E210" t="inlineStr">
        <is>
          <t>ÅRE</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5930-2019</t>
        </is>
      </c>
      <c r="B211" s="1" t="n">
        <v>43490</v>
      </c>
      <c r="C211" s="1" t="n">
        <v>45337</v>
      </c>
      <c r="D211" t="inlineStr">
        <is>
          <t>JÄMTLANDS LÄN</t>
        </is>
      </c>
      <c r="E211" t="inlineStr">
        <is>
          <t>ÅRE</t>
        </is>
      </c>
      <c r="G211" t="n">
        <v>0.9</v>
      </c>
      <c r="H211" t="n">
        <v>0</v>
      </c>
      <c r="I211" t="n">
        <v>0</v>
      </c>
      <c r="J211" t="n">
        <v>0</v>
      </c>
      <c r="K211" t="n">
        <v>0</v>
      </c>
      <c r="L211" t="n">
        <v>0</v>
      </c>
      <c r="M211" t="n">
        <v>0</v>
      </c>
      <c r="N211" t="n">
        <v>0</v>
      </c>
      <c r="O211" t="n">
        <v>0</v>
      </c>
      <c r="P211" t="n">
        <v>0</v>
      </c>
      <c r="Q211" t="n">
        <v>0</v>
      </c>
      <c r="R211" s="2" t="inlineStr"/>
    </row>
    <row r="212" ht="15" customHeight="1">
      <c r="A212" t="inlineStr">
        <is>
          <t>A 5929-2019</t>
        </is>
      </c>
      <c r="B212" s="1" t="n">
        <v>43490</v>
      </c>
      <c r="C212" s="1" t="n">
        <v>45337</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5914-2019</t>
        </is>
      </c>
      <c r="B213" s="1" t="n">
        <v>43490</v>
      </c>
      <c r="C213" s="1" t="n">
        <v>45337</v>
      </c>
      <c r="D213" t="inlineStr">
        <is>
          <t>JÄMTLANDS LÄN</t>
        </is>
      </c>
      <c r="E213" t="inlineStr">
        <is>
          <t>ÅRE</t>
        </is>
      </c>
      <c r="G213" t="n">
        <v>3.5</v>
      </c>
      <c r="H213" t="n">
        <v>0</v>
      </c>
      <c r="I213" t="n">
        <v>0</v>
      </c>
      <c r="J213" t="n">
        <v>0</v>
      </c>
      <c r="K213" t="n">
        <v>0</v>
      </c>
      <c r="L213" t="n">
        <v>0</v>
      </c>
      <c r="M213" t="n">
        <v>0</v>
      </c>
      <c r="N213" t="n">
        <v>0</v>
      </c>
      <c r="O213" t="n">
        <v>0</v>
      </c>
      <c r="P213" t="n">
        <v>0</v>
      </c>
      <c r="Q213" t="n">
        <v>0</v>
      </c>
      <c r="R213" s="2" t="inlineStr"/>
    </row>
    <row r="214" ht="15" customHeight="1">
      <c r="A214" t="inlineStr">
        <is>
          <t>A 8001-2019</t>
        </is>
      </c>
      <c r="B214" s="1" t="n">
        <v>43501</v>
      </c>
      <c r="C214" s="1" t="n">
        <v>45337</v>
      </c>
      <c r="D214" t="inlineStr">
        <is>
          <t>JÄMTLANDS LÄN</t>
        </is>
      </c>
      <c r="E214" t="inlineStr">
        <is>
          <t>ÅRE</t>
        </is>
      </c>
      <c r="G214" t="n">
        <v>20.3</v>
      </c>
      <c r="H214" t="n">
        <v>0</v>
      </c>
      <c r="I214" t="n">
        <v>0</v>
      </c>
      <c r="J214" t="n">
        <v>0</v>
      </c>
      <c r="K214" t="n">
        <v>0</v>
      </c>
      <c r="L214" t="n">
        <v>0</v>
      </c>
      <c r="M214" t="n">
        <v>0</v>
      </c>
      <c r="N214" t="n">
        <v>0</v>
      </c>
      <c r="O214" t="n">
        <v>0</v>
      </c>
      <c r="P214" t="n">
        <v>0</v>
      </c>
      <c r="Q214" t="n">
        <v>0</v>
      </c>
      <c r="R214" s="2" t="inlineStr"/>
    </row>
    <row r="215" ht="15" customHeight="1">
      <c r="A215" t="inlineStr">
        <is>
          <t>A 8006-2019</t>
        </is>
      </c>
      <c r="B215" s="1" t="n">
        <v>43501</v>
      </c>
      <c r="C215" s="1" t="n">
        <v>45337</v>
      </c>
      <c r="D215" t="inlineStr">
        <is>
          <t>JÄMTLANDS LÄN</t>
        </is>
      </c>
      <c r="E215" t="inlineStr">
        <is>
          <t>ÅRE</t>
        </is>
      </c>
      <c r="G215" t="n">
        <v>23.8</v>
      </c>
      <c r="H215" t="n">
        <v>0</v>
      </c>
      <c r="I215" t="n">
        <v>0</v>
      </c>
      <c r="J215" t="n">
        <v>0</v>
      </c>
      <c r="K215" t="n">
        <v>0</v>
      </c>
      <c r="L215" t="n">
        <v>0</v>
      </c>
      <c r="M215" t="n">
        <v>0</v>
      </c>
      <c r="N215" t="n">
        <v>0</v>
      </c>
      <c r="O215" t="n">
        <v>0</v>
      </c>
      <c r="P215" t="n">
        <v>0</v>
      </c>
      <c r="Q215" t="n">
        <v>0</v>
      </c>
      <c r="R215" s="2" t="inlineStr"/>
    </row>
    <row r="216" ht="15" customHeight="1">
      <c r="A216" t="inlineStr">
        <is>
          <t>A 8931-2019</t>
        </is>
      </c>
      <c r="B216" s="1" t="n">
        <v>43503</v>
      </c>
      <c r="C216" s="1" t="n">
        <v>45337</v>
      </c>
      <c r="D216" t="inlineStr">
        <is>
          <t>JÄMTLANDS LÄN</t>
        </is>
      </c>
      <c r="E216" t="inlineStr">
        <is>
          <t>ÅRE</t>
        </is>
      </c>
      <c r="G216" t="n">
        <v>7.7</v>
      </c>
      <c r="H216" t="n">
        <v>0</v>
      </c>
      <c r="I216" t="n">
        <v>0</v>
      </c>
      <c r="J216" t="n">
        <v>0</v>
      </c>
      <c r="K216" t="n">
        <v>0</v>
      </c>
      <c r="L216" t="n">
        <v>0</v>
      </c>
      <c r="M216" t="n">
        <v>0</v>
      </c>
      <c r="N216" t="n">
        <v>0</v>
      </c>
      <c r="O216" t="n">
        <v>0</v>
      </c>
      <c r="P216" t="n">
        <v>0</v>
      </c>
      <c r="Q216" t="n">
        <v>0</v>
      </c>
      <c r="R216" s="2" t="inlineStr"/>
    </row>
    <row r="217" ht="15" customHeight="1">
      <c r="A217" t="inlineStr">
        <is>
          <t>A 8930-2019</t>
        </is>
      </c>
      <c r="B217" s="1" t="n">
        <v>43503</v>
      </c>
      <c r="C217" s="1" t="n">
        <v>45337</v>
      </c>
      <c r="D217" t="inlineStr">
        <is>
          <t>JÄMTLANDS LÄN</t>
        </is>
      </c>
      <c r="E217" t="inlineStr">
        <is>
          <t>ÅRE</t>
        </is>
      </c>
      <c r="G217" t="n">
        <v>1.7</v>
      </c>
      <c r="H217" t="n">
        <v>0</v>
      </c>
      <c r="I217" t="n">
        <v>0</v>
      </c>
      <c r="J217" t="n">
        <v>0</v>
      </c>
      <c r="K217" t="n">
        <v>0</v>
      </c>
      <c r="L217" t="n">
        <v>0</v>
      </c>
      <c r="M217" t="n">
        <v>0</v>
      </c>
      <c r="N217" t="n">
        <v>0</v>
      </c>
      <c r="O217" t="n">
        <v>0</v>
      </c>
      <c r="P217" t="n">
        <v>0</v>
      </c>
      <c r="Q217" t="n">
        <v>0</v>
      </c>
      <c r="R217" s="2" t="inlineStr"/>
    </row>
    <row r="218" ht="15" customHeight="1">
      <c r="A218" t="inlineStr">
        <is>
          <t>A 10106-2019</t>
        </is>
      </c>
      <c r="B218" s="1" t="n">
        <v>43510</v>
      </c>
      <c r="C218" s="1" t="n">
        <v>45337</v>
      </c>
      <c r="D218" t="inlineStr">
        <is>
          <t>JÄMTLANDS LÄN</t>
        </is>
      </c>
      <c r="E218" t="inlineStr">
        <is>
          <t>ÅRE</t>
        </is>
      </c>
      <c r="G218" t="n">
        <v>0.9</v>
      </c>
      <c r="H218" t="n">
        <v>0</v>
      </c>
      <c r="I218" t="n">
        <v>0</v>
      </c>
      <c r="J218" t="n">
        <v>0</v>
      </c>
      <c r="K218" t="n">
        <v>0</v>
      </c>
      <c r="L218" t="n">
        <v>0</v>
      </c>
      <c r="M218" t="n">
        <v>0</v>
      </c>
      <c r="N218" t="n">
        <v>0</v>
      </c>
      <c r="O218" t="n">
        <v>0</v>
      </c>
      <c r="P218" t="n">
        <v>0</v>
      </c>
      <c r="Q218" t="n">
        <v>0</v>
      </c>
      <c r="R218" s="2" t="inlineStr"/>
    </row>
    <row r="219" ht="15" customHeight="1">
      <c r="A219" t="inlineStr">
        <is>
          <t>A 10111-2019</t>
        </is>
      </c>
      <c r="B219" s="1" t="n">
        <v>43510</v>
      </c>
      <c r="C219" s="1" t="n">
        <v>45337</v>
      </c>
      <c r="D219" t="inlineStr">
        <is>
          <t>JÄMTLANDS LÄN</t>
        </is>
      </c>
      <c r="E219" t="inlineStr">
        <is>
          <t>ÅRE</t>
        </is>
      </c>
      <c r="G219" t="n">
        <v>2.8</v>
      </c>
      <c r="H219" t="n">
        <v>0</v>
      </c>
      <c r="I219" t="n">
        <v>0</v>
      </c>
      <c r="J219" t="n">
        <v>0</v>
      </c>
      <c r="K219" t="n">
        <v>0</v>
      </c>
      <c r="L219" t="n">
        <v>0</v>
      </c>
      <c r="M219" t="n">
        <v>0</v>
      </c>
      <c r="N219" t="n">
        <v>0</v>
      </c>
      <c r="O219" t="n">
        <v>0</v>
      </c>
      <c r="P219" t="n">
        <v>0</v>
      </c>
      <c r="Q219" t="n">
        <v>0</v>
      </c>
      <c r="R219" s="2" t="inlineStr"/>
    </row>
    <row r="220" ht="15" customHeight="1">
      <c r="A220" t="inlineStr">
        <is>
          <t>A 11983-2019</t>
        </is>
      </c>
      <c r="B220" s="1" t="n">
        <v>43521</v>
      </c>
      <c r="C220" s="1" t="n">
        <v>45337</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14394-2019</t>
        </is>
      </c>
      <c r="B221" s="1" t="n">
        <v>43536</v>
      </c>
      <c r="C221" s="1" t="n">
        <v>45337</v>
      </c>
      <c r="D221" t="inlineStr">
        <is>
          <t>JÄMTLANDS LÄN</t>
        </is>
      </c>
      <c r="E221" t="inlineStr">
        <is>
          <t>ÅRE</t>
        </is>
      </c>
      <c r="G221" t="n">
        <v>0.5</v>
      </c>
      <c r="H221" t="n">
        <v>0</v>
      </c>
      <c r="I221" t="n">
        <v>0</v>
      </c>
      <c r="J221" t="n">
        <v>0</v>
      </c>
      <c r="K221" t="n">
        <v>0</v>
      </c>
      <c r="L221" t="n">
        <v>0</v>
      </c>
      <c r="M221" t="n">
        <v>0</v>
      </c>
      <c r="N221" t="n">
        <v>0</v>
      </c>
      <c r="O221" t="n">
        <v>0</v>
      </c>
      <c r="P221" t="n">
        <v>0</v>
      </c>
      <c r="Q221" t="n">
        <v>0</v>
      </c>
      <c r="R221" s="2" t="inlineStr"/>
    </row>
    <row r="222" ht="15" customHeight="1">
      <c r="A222" t="inlineStr">
        <is>
          <t>A 17404-2019</t>
        </is>
      </c>
      <c r="B222" s="1" t="n">
        <v>43552</v>
      </c>
      <c r="C222" s="1" t="n">
        <v>45337</v>
      </c>
      <c r="D222" t="inlineStr">
        <is>
          <t>JÄMTLANDS LÄN</t>
        </is>
      </c>
      <c r="E222" t="inlineStr">
        <is>
          <t>ÅRE</t>
        </is>
      </c>
      <c r="G222" t="n">
        <v>2.2</v>
      </c>
      <c r="H222" t="n">
        <v>0</v>
      </c>
      <c r="I222" t="n">
        <v>0</v>
      </c>
      <c r="J222" t="n">
        <v>0</v>
      </c>
      <c r="K222" t="n">
        <v>0</v>
      </c>
      <c r="L222" t="n">
        <v>0</v>
      </c>
      <c r="M222" t="n">
        <v>0</v>
      </c>
      <c r="N222" t="n">
        <v>0</v>
      </c>
      <c r="O222" t="n">
        <v>0</v>
      </c>
      <c r="P222" t="n">
        <v>0</v>
      </c>
      <c r="Q222" t="n">
        <v>0</v>
      </c>
      <c r="R222" s="2" t="inlineStr"/>
    </row>
    <row r="223" ht="15" customHeight="1">
      <c r="A223" t="inlineStr">
        <is>
          <t>A 21532-2019</t>
        </is>
      </c>
      <c r="B223" s="1" t="n">
        <v>43580</v>
      </c>
      <c r="C223" s="1" t="n">
        <v>45337</v>
      </c>
      <c r="D223" t="inlineStr">
        <is>
          <t>JÄMTLANDS LÄN</t>
        </is>
      </c>
      <c r="E223" t="inlineStr">
        <is>
          <t>ÅRE</t>
        </is>
      </c>
      <c r="G223" t="n">
        <v>20.1</v>
      </c>
      <c r="H223" t="n">
        <v>0</v>
      </c>
      <c r="I223" t="n">
        <v>0</v>
      </c>
      <c r="J223" t="n">
        <v>0</v>
      </c>
      <c r="K223" t="n">
        <v>0</v>
      </c>
      <c r="L223" t="n">
        <v>0</v>
      </c>
      <c r="M223" t="n">
        <v>0</v>
      </c>
      <c r="N223" t="n">
        <v>0</v>
      </c>
      <c r="O223" t="n">
        <v>0</v>
      </c>
      <c r="P223" t="n">
        <v>0</v>
      </c>
      <c r="Q223" t="n">
        <v>0</v>
      </c>
      <c r="R223" s="2" t="inlineStr"/>
    </row>
    <row r="224" ht="15" customHeight="1">
      <c r="A224" t="inlineStr">
        <is>
          <t>A 21883-2019</t>
        </is>
      </c>
      <c r="B224" s="1" t="n">
        <v>43584</v>
      </c>
      <c r="C224" s="1" t="n">
        <v>45337</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22558-2019</t>
        </is>
      </c>
      <c r="B225" s="1" t="n">
        <v>43587</v>
      </c>
      <c r="C225" s="1" t="n">
        <v>45337</v>
      </c>
      <c r="D225" t="inlineStr">
        <is>
          <t>JÄMTLANDS LÄN</t>
        </is>
      </c>
      <c r="E225" t="inlineStr">
        <is>
          <t>ÅRE</t>
        </is>
      </c>
      <c r="G225" t="n">
        <v>79.09999999999999</v>
      </c>
      <c r="H225" t="n">
        <v>0</v>
      </c>
      <c r="I225" t="n">
        <v>0</v>
      </c>
      <c r="J225" t="n">
        <v>0</v>
      </c>
      <c r="K225" t="n">
        <v>0</v>
      </c>
      <c r="L225" t="n">
        <v>0</v>
      </c>
      <c r="M225" t="n">
        <v>0</v>
      </c>
      <c r="N225" t="n">
        <v>0</v>
      </c>
      <c r="O225" t="n">
        <v>0</v>
      </c>
      <c r="P225" t="n">
        <v>0</v>
      </c>
      <c r="Q225" t="n">
        <v>0</v>
      </c>
      <c r="R225" s="2" t="inlineStr"/>
    </row>
    <row r="226" ht="15" customHeight="1">
      <c r="A226" t="inlineStr">
        <is>
          <t>A 25099-2019</t>
        </is>
      </c>
      <c r="B226" s="1" t="n">
        <v>43605</v>
      </c>
      <c r="C226" s="1" t="n">
        <v>45337</v>
      </c>
      <c r="D226" t="inlineStr">
        <is>
          <t>JÄMTLANDS LÄN</t>
        </is>
      </c>
      <c r="E226" t="inlineStr">
        <is>
          <t>ÅRE</t>
        </is>
      </c>
      <c r="G226" t="n">
        <v>8.9</v>
      </c>
      <c r="H226" t="n">
        <v>0</v>
      </c>
      <c r="I226" t="n">
        <v>0</v>
      </c>
      <c r="J226" t="n">
        <v>0</v>
      </c>
      <c r="K226" t="n">
        <v>0</v>
      </c>
      <c r="L226" t="n">
        <v>0</v>
      </c>
      <c r="M226" t="n">
        <v>0</v>
      </c>
      <c r="N226" t="n">
        <v>0</v>
      </c>
      <c r="O226" t="n">
        <v>0</v>
      </c>
      <c r="P226" t="n">
        <v>0</v>
      </c>
      <c r="Q226" t="n">
        <v>0</v>
      </c>
      <c r="R226" s="2" t="inlineStr"/>
    </row>
    <row r="227" ht="15" customHeight="1">
      <c r="A227" t="inlineStr">
        <is>
          <t>A 26624-2019</t>
        </is>
      </c>
      <c r="B227" s="1" t="n">
        <v>43612</v>
      </c>
      <c r="C227" s="1" t="n">
        <v>45337</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26626-2019</t>
        </is>
      </c>
      <c r="B228" s="1" t="n">
        <v>43612</v>
      </c>
      <c r="C228" s="1" t="n">
        <v>45337</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28793-2019</t>
        </is>
      </c>
      <c r="B229" s="1" t="n">
        <v>43627</v>
      </c>
      <c r="C229" s="1" t="n">
        <v>45337</v>
      </c>
      <c r="D229" t="inlineStr">
        <is>
          <t>JÄMTLANDS LÄN</t>
        </is>
      </c>
      <c r="E229" t="inlineStr">
        <is>
          <t>ÅRE</t>
        </is>
      </c>
      <c r="G229" t="n">
        <v>7.8</v>
      </c>
      <c r="H229" t="n">
        <v>0</v>
      </c>
      <c r="I229" t="n">
        <v>0</v>
      </c>
      <c r="J229" t="n">
        <v>0</v>
      </c>
      <c r="K229" t="n">
        <v>0</v>
      </c>
      <c r="L229" t="n">
        <v>0</v>
      </c>
      <c r="M229" t="n">
        <v>0</v>
      </c>
      <c r="N229" t="n">
        <v>0</v>
      </c>
      <c r="O229" t="n">
        <v>0</v>
      </c>
      <c r="P229" t="n">
        <v>0</v>
      </c>
      <c r="Q229" t="n">
        <v>0</v>
      </c>
      <c r="R229" s="2" t="inlineStr"/>
    </row>
    <row r="230" ht="15" customHeight="1">
      <c r="A230" t="inlineStr">
        <is>
          <t>A 29272-2019</t>
        </is>
      </c>
      <c r="B230" s="1" t="n">
        <v>43629</v>
      </c>
      <c r="C230" s="1" t="n">
        <v>45337</v>
      </c>
      <c r="D230" t="inlineStr">
        <is>
          <t>JÄMTLANDS LÄN</t>
        </is>
      </c>
      <c r="E230" t="inlineStr">
        <is>
          <t>ÅRE</t>
        </is>
      </c>
      <c r="G230" t="n">
        <v>10.9</v>
      </c>
      <c r="H230" t="n">
        <v>0</v>
      </c>
      <c r="I230" t="n">
        <v>0</v>
      </c>
      <c r="J230" t="n">
        <v>0</v>
      </c>
      <c r="K230" t="n">
        <v>0</v>
      </c>
      <c r="L230" t="n">
        <v>0</v>
      </c>
      <c r="M230" t="n">
        <v>0</v>
      </c>
      <c r="N230" t="n">
        <v>0</v>
      </c>
      <c r="O230" t="n">
        <v>0</v>
      </c>
      <c r="P230" t="n">
        <v>0</v>
      </c>
      <c r="Q230" t="n">
        <v>0</v>
      </c>
      <c r="R230" s="2" t="inlineStr"/>
    </row>
    <row r="231" ht="15" customHeight="1">
      <c r="A231" t="inlineStr">
        <is>
          <t>A 29769-2019</t>
        </is>
      </c>
      <c r="B231" s="1" t="n">
        <v>43632</v>
      </c>
      <c r="C231" s="1" t="n">
        <v>45337</v>
      </c>
      <c r="D231" t="inlineStr">
        <is>
          <t>JÄMTLANDS LÄN</t>
        </is>
      </c>
      <c r="E231" t="inlineStr">
        <is>
          <t>ÅRE</t>
        </is>
      </c>
      <c r="G231" t="n">
        <v>1.8</v>
      </c>
      <c r="H231" t="n">
        <v>0</v>
      </c>
      <c r="I231" t="n">
        <v>0</v>
      </c>
      <c r="J231" t="n">
        <v>0</v>
      </c>
      <c r="K231" t="n">
        <v>0</v>
      </c>
      <c r="L231" t="n">
        <v>0</v>
      </c>
      <c r="M231" t="n">
        <v>0</v>
      </c>
      <c r="N231" t="n">
        <v>0</v>
      </c>
      <c r="O231" t="n">
        <v>0</v>
      </c>
      <c r="P231" t="n">
        <v>0</v>
      </c>
      <c r="Q231" t="n">
        <v>0</v>
      </c>
      <c r="R231" s="2" t="inlineStr"/>
    </row>
    <row r="232" ht="15" customHeight="1">
      <c r="A232" t="inlineStr">
        <is>
          <t>A 29916-2019</t>
        </is>
      </c>
      <c r="B232" s="1" t="n">
        <v>43633</v>
      </c>
      <c r="C232" s="1" t="n">
        <v>45337</v>
      </c>
      <c r="D232" t="inlineStr">
        <is>
          <t>JÄMTLANDS LÄN</t>
        </is>
      </c>
      <c r="E232" t="inlineStr">
        <is>
          <t>ÅRE</t>
        </is>
      </c>
      <c r="G232" t="n">
        <v>2.5</v>
      </c>
      <c r="H232" t="n">
        <v>0</v>
      </c>
      <c r="I232" t="n">
        <v>0</v>
      </c>
      <c r="J232" t="n">
        <v>0</v>
      </c>
      <c r="K232" t="n">
        <v>0</v>
      </c>
      <c r="L232" t="n">
        <v>0</v>
      </c>
      <c r="M232" t="n">
        <v>0</v>
      </c>
      <c r="N232" t="n">
        <v>0</v>
      </c>
      <c r="O232" t="n">
        <v>0</v>
      </c>
      <c r="P232" t="n">
        <v>0</v>
      </c>
      <c r="Q232" t="n">
        <v>0</v>
      </c>
      <c r="R232" s="2" t="inlineStr"/>
    </row>
    <row r="233" ht="15" customHeight="1">
      <c r="A233" t="inlineStr">
        <is>
          <t>A 30384-2019</t>
        </is>
      </c>
      <c r="B233" s="1" t="n">
        <v>43634</v>
      </c>
      <c r="C233" s="1" t="n">
        <v>45337</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33856-2019</t>
        </is>
      </c>
      <c r="B234" s="1" t="n">
        <v>43652</v>
      </c>
      <c r="C234" s="1" t="n">
        <v>45337</v>
      </c>
      <c r="D234" t="inlineStr">
        <is>
          <t>JÄMTLANDS LÄN</t>
        </is>
      </c>
      <c r="E234" t="inlineStr">
        <is>
          <t>ÅRE</t>
        </is>
      </c>
      <c r="G234" t="n">
        <v>9.6</v>
      </c>
      <c r="H234" t="n">
        <v>0</v>
      </c>
      <c r="I234" t="n">
        <v>0</v>
      </c>
      <c r="J234" t="n">
        <v>0</v>
      </c>
      <c r="K234" t="n">
        <v>0</v>
      </c>
      <c r="L234" t="n">
        <v>0</v>
      </c>
      <c r="M234" t="n">
        <v>0</v>
      </c>
      <c r="N234" t="n">
        <v>0</v>
      </c>
      <c r="O234" t="n">
        <v>0</v>
      </c>
      <c r="P234" t="n">
        <v>0</v>
      </c>
      <c r="Q234" t="n">
        <v>0</v>
      </c>
      <c r="R234" s="2" t="inlineStr"/>
    </row>
    <row r="235" ht="15" customHeight="1">
      <c r="A235" t="inlineStr">
        <is>
          <t>A 35391-2019</t>
        </is>
      </c>
      <c r="B235" s="1" t="n">
        <v>43661</v>
      </c>
      <c r="C235" s="1" t="n">
        <v>45337</v>
      </c>
      <c r="D235" t="inlineStr">
        <is>
          <t>JÄMTLANDS LÄN</t>
        </is>
      </c>
      <c r="E235" t="inlineStr">
        <is>
          <t>ÅRE</t>
        </is>
      </c>
      <c r="G235" t="n">
        <v>19.7</v>
      </c>
      <c r="H235" t="n">
        <v>0</v>
      </c>
      <c r="I235" t="n">
        <v>0</v>
      </c>
      <c r="J235" t="n">
        <v>0</v>
      </c>
      <c r="K235" t="n">
        <v>0</v>
      </c>
      <c r="L235" t="n">
        <v>0</v>
      </c>
      <c r="M235" t="n">
        <v>0</v>
      </c>
      <c r="N235" t="n">
        <v>0</v>
      </c>
      <c r="O235" t="n">
        <v>0</v>
      </c>
      <c r="P235" t="n">
        <v>0</v>
      </c>
      <c r="Q235" t="n">
        <v>0</v>
      </c>
      <c r="R235" s="2" t="inlineStr"/>
    </row>
    <row r="236" ht="15" customHeight="1">
      <c r="A236" t="inlineStr">
        <is>
          <t>A 35485-2019</t>
        </is>
      </c>
      <c r="B236" s="1" t="n">
        <v>43661</v>
      </c>
      <c r="C236" s="1" t="n">
        <v>45337</v>
      </c>
      <c r="D236" t="inlineStr">
        <is>
          <t>JÄMTLANDS LÄN</t>
        </is>
      </c>
      <c r="E236" t="inlineStr">
        <is>
          <t>ÅRE</t>
        </is>
      </c>
      <c r="G236" t="n">
        <v>5.5</v>
      </c>
      <c r="H236" t="n">
        <v>0</v>
      </c>
      <c r="I236" t="n">
        <v>0</v>
      </c>
      <c r="J236" t="n">
        <v>0</v>
      </c>
      <c r="K236" t="n">
        <v>0</v>
      </c>
      <c r="L236" t="n">
        <v>0</v>
      </c>
      <c r="M236" t="n">
        <v>0</v>
      </c>
      <c r="N236" t="n">
        <v>0</v>
      </c>
      <c r="O236" t="n">
        <v>0</v>
      </c>
      <c r="P236" t="n">
        <v>0</v>
      </c>
      <c r="Q236" t="n">
        <v>0</v>
      </c>
      <c r="R236" s="2" t="inlineStr"/>
    </row>
    <row r="237" ht="15" customHeight="1">
      <c r="A237" t="inlineStr">
        <is>
          <t>A 36975-2019</t>
        </is>
      </c>
      <c r="B237" s="1" t="n">
        <v>43676</v>
      </c>
      <c r="C237" s="1" t="n">
        <v>45337</v>
      </c>
      <c r="D237" t="inlineStr">
        <is>
          <t>JÄMTLANDS LÄN</t>
        </is>
      </c>
      <c r="E237" t="inlineStr">
        <is>
          <t>ÅRE</t>
        </is>
      </c>
      <c r="F237" t="inlineStr">
        <is>
          <t>Sveaskog</t>
        </is>
      </c>
      <c r="G237" t="n">
        <v>3.4</v>
      </c>
      <c r="H237" t="n">
        <v>0</v>
      </c>
      <c r="I237" t="n">
        <v>0</v>
      </c>
      <c r="J237" t="n">
        <v>0</v>
      </c>
      <c r="K237" t="n">
        <v>0</v>
      </c>
      <c r="L237" t="n">
        <v>0</v>
      </c>
      <c r="M237" t="n">
        <v>0</v>
      </c>
      <c r="N237" t="n">
        <v>0</v>
      </c>
      <c r="O237" t="n">
        <v>0</v>
      </c>
      <c r="P237" t="n">
        <v>0</v>
      </c>
      <c r="Q237" t="n">
        <v>0</v>
      </c>
      <c r="R237" s="2" t="inlineStr"/>
    </row>
    <row r="238" ht="15" customHeight="1">
      <c r="A238" t="inlineStr">
        <is>
          <t>A 41107-2019</t>
        </is>
      </c>
      <c r="B238" s="1" t="n">
        <v>43698</v>
      </c>
      <c r="C238" s="1" t="n">
        <v>45337</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42311-2019</t>
        </is>
      </c>
      <c r="B239" s="1" t="n">
        <v>43699</v>
      </c>
      <c r="C239" s="1" t="n">
        <v>45337</v>
      </c>
      <c r="D239" t="inlineStr">
        <is>
          <t>JÄMTLANDS LÄN</t>
        </is>
      </c>
      <c r="E239" t="inlineStr">
        <is>
          <t>ÅRE</t>
        </is>
      </c>
      <c r="G239" t="n">
        <v>13.7</v>
      </c>
      <c r="H239" t="n">
        <v>0</v>
      </c>
      <c r="I239" t="n">
        <v>0</v>
      </c>
      <c r="J239" t="n">
        <v>0</v>
      </c>
      <c r="K239" t="n">
        <v>0</v>
      </c>
      <c r="L239" t="n">
        <v>0</v>
      </c>
      <c r="M239" t="n">
        <v>0</v>
      </c>
      <c r="N239" t="n">
        <v>0</v>
      </c>
      <c r="O239" t="n">
        <v>0</v>
      </c>
      <c r="P239" t="n">
        <v>0</v>
      </c>
      <c r="Q239" t="n">
        <v>0</v>
      </c>
      <c r="R239" s="2" t="inlineStr"/>
    </row>
    <row r="240" ht="15" customHeight="1">
      <c r="A240" t="inlineStr">
        <is>
          <t>A 43678-2019</t>
        </is>
      </c>
      <c r="B240" s="1" t="n">
        <v>43707</v>
      </c>
      <c r="C240" s="1" t="n">
        <v>45337</v>
      </c>
      <c r="D240" t="inlineStr">
        <is>
          <t>JÄMTLANDS LÄN</t>
        </is>
      </c>
      <c r="E240" t="inlineStr">
        <is>
          <t>ÅRE</t>
        </is>
      </c>
      <c r="G240" t="n">
        <v>7.9</v>
      </c>
      <c r="H240" t="n">
        <v>0</v>
      </c>
      <c r="I240" t="n">
        <v>0</v>
      </c>
      <c r="J240" t="n">
        <v>0</v>
      </c>
      <c r="K240" t="n">
        <v>0</v>
      </c>
      <c r="L240" t="n">
        <v>0</v>
      </c>
      <c r="M240" t="n">
        <v>0</v>
      </c>
      <c r="N240" t="n">
        <v>0</v>
      </c>
      <c r="O240" t="n">
        <v>0</v>
      </c>
      <c r="P240" t="n">
        <v>0</v>
      </c>
      <c r="Q240" t="n">
        <v>0</v>
      </c>
      <c r="R240" s="2" t="inlineStr"/>
    </row>
    <row r="241" ht="15" customHeight="1">
      <c r="A241" t="inlineStr">
        <is>
          <t>A 43683-2019</t>
        </is>
      </c>
      <c r="B241" s="1" t="n">
        <v>43707</v>
      </c>
      <c r="C241" s="1" t="n">
        <v>45337</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44329-2019</t>
        </is>
      </c>
      <c r="B242" s="1" t="n">
        <v>43710</v>
      </c>
      <c r="C242" s="1" t="n">
        <v>45337</v>
      </c>
      <c r="D242" t="inlineStr">
        <is>
          <t>JÄMTLANDS LÄN</t>
        </is>
      </c>
      <c r="E242" t="inlineStr">
        <is>
          <t>ÅRE</t>
        </is>
      </c>
      <c r="G242" t="n">
        <v>2.1</v>
      </c>
      <c r="H242" t="n">
        <v>0</v>
      </c>
      <c r="I242" t="n">
        <v>0</v>
      </c>
      <c r="J242" t="n">
        <v>0</v>
      </c>
      <c r="K242" t="n">
        <v>0</v>
      </c>
      <c r="L242" t="n">
        <v>0</v>
      </c>
      <c r="M242" t="n">
        <v>0</v>
      </c>
      <c r="N242" t="n">
        <v>0</v>
      </c>
      <c r="O242" t="n">
        <v>0</v>
      </c>
      <c r="P242" t="n">
        <v>0</v>
      </c>
      <c r="Q242" t="n">
        <v>0</v>
      </c>
      <c r="R242" s="2" t="inlineStr"/>
    </row>
    <row r="243" ht="15" customHeight="1">
      <c r="A243" t="inlineStr">
        <is>
          <t>A 45794-2019</t>
        </is>
      </c>
      <c r="B243" s="1" t="n">
        <v>43717</v>
      </c>
      <c r="C243" s="1" t="n">
        <v>45337</v>
      </c>
      <c r="D243" t="inlineStr">
        <is>
          <t>JÄMTLANDS LÄN</t>
        </is>
      </c>
      <c r="E243" t="inlineStr">
        <is>
          <t>ÅRE</t>
        </is>
      </c>
      <c r="G243" t="n">
        <v>37.7</v>
      </c>
      <c r="H243" t="n">
        <v>0</v>
      </c>
      <c r="I243" t="n">
        <v>0</v>
      </c>
      <c r="J243" t="n">
        <v>0</v>
      </c>
      <c r="K243" t="n">
        <v>0</v>
      </c>
      <c r="L243" t="n">
        <v>0</v>
      </c>
      <c r="M243" t="n">
        <v>0</v>
      </c>
      <c r="N243" t="n">
        <v>0</v>
      </c>
      <c r="O243" t="n">
        <v>0</v>
      </c>
      <c r="P243" t="n">
        <v>0</v>
      </c>
      <c r="Q243" t="n">
        <v>0</v>
      </c>
      <c r="R243" s="2" t="inlineStr"/>
    </row>
    <row r="244" ht="15" customHeight="1">
      <c r="A244" t="inlineStr">
        <is>
          <t>A 45798-2019</t>
        </is>
      </c>
      <c r="B244" s="1" t="n">
        <v>43717</v>
      </c>
      <c r="C244" s="1" t="n">
        <v>45337</v>
      </c>
      <c r="D244" t="inlineStr">
        <is>
          <t>JÄMTLANDS LÄN</t>
        </is>
      </c>
      <c r="E244" t="inlineStr">
        <is>
          <t>ÅRE</t>
        </is>
      </c>
      <c r="G244" t="n">
        <v>14.6</v>
      </c>
      <c r="H244" t="n">
        <v>0</v>
      </c>
      <c r="I244" t="n">
        <v>0</v>
      </c>
      <c r="J244" t="n">
        <v>0</v>
      </c>
      <c r="K244" t="n">
        <v>0</v>
      </c>
      <c r="L244" t="n">
        <v>0</v>
      </c>
      <c r="M244" t="n">
        <v>0</v>
      </c>
      <c r="N244" t="n">
        <v>0</v>
      </c>
      <c r="O244" t="n">
        <v>0</v>
      </c>
      <c r="P244" t="n">
        <v>0</v>
      </c>
      <c r="Q244" t="n">
        <v>0</v>
      </c>
      <c r="R244" s="2" t="inlineStr"/>
    </row>
    <row r="245" ht="15" customHeight="1">
      <c r="A245" t="inlineStr">
        <is>
          <t>A 47259-2019</t>
        </is>
      </c>
      <c r="B245" s="1" t="n">
        <v>43721</v>
      </c>
      <c r="C245" s="1" t="n">
        <v>45337</v>
      </c>
      <c r="D245" t="inlineStr">
        <is>
          <t>JÄMTLANDS LÄN</t>
        </is>
      </c>
      <c r="E245" t="inlineStr">
        <is>
          <t>ÅRE</t>
        </is>
      </c>
      <c r="G245" t="n">
        <v>12.7</v>
      </c>
      <c r="H245" t="n">
        <v>0</v>
      </c>
      <c r="I245" t="n">
        <v>0</v>
      </c>
      <c r="J245" t="n">
        <v>0</v>
      </c>
      <c r="K245" t="n">
        <v>0</v>
      </c>
      <c r="L245" t="n">
        <v>0</v>
      </c>
      <c r="M245" t="n">
        <v>0</v>
      </c>
      <c r="N245" t="n">
        <v>0</v>
      </c>
      <c r="O245" t="n">
        <v>0</v>
      </c>
      <c r="P245" t="n">
        <v>0</v>
      </c>
      <c r="Q245" t="n">
        <v>0</v>
      </c>
      <c r="R245" s="2" t="inlineStr"/>
    </row>
    <row r="246" ht="15" customHeight="1">
      <c r="A246" t="inlineStr">
        <is>
          <t>A 48291-2019</t>
        </is>
      </c>
      <c r="B246" s="1" t="n">
        <v>43726</v>
      </c>
      <c r="C246" s="1" t="n">
        <v>45337</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49867-2019</t>
        </is>
      </c>
      <c r="B247" s="1" t="n">
        <v>43733</v>
      </c>
      <c r="C247" s="1" t="n">
        <v>45337</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49863-2019</t>
        </is>
      </c>
      <c r="B248" s="1" t="n">
        <v>43733</v>
      </c>
      <c r="C248" s="1" t="n">
        <v>45337</v>
      </c>
      <c r="D248" t="inlineStr">
        <is>
          <t>JÄMTLANDS LÄN</t>
        </is>
      </c>
      <c r="E248" t="inlineStr">
        <is>
          <t>ÅRE</t>
        </is>
      </c>
      <c r="G248" t="n">
        <v>4.4</v>
      </c>
      <c r="H248" t="n">
        <v>0</v>
      </c>
      <c r="I248" t="n">
        <v>0</v>
      </c>
      <c r="J248" t="n">
        <v>0</v>
      </c>
      <c r="K248" t="n">
        <v>0</v>
      </c>
      <c r="L248" t="n">
        <v>0</v>
      </c>
      <c r="M248" t="n">
        <v>0</v>
      </c>
      <c r="N248" t="n">
        <v>0</v>
      </c>
      <c r="O248" t="n">
        <v>0</v>
      </c>
      <c r="P248" t="n">
        <v>0</v>
      </c>
      <c r="Q248" t="n">
        <v>0</v>
      </c>
      <c r="R248" s="2" t="inlineStr"/>
    </row>
    <row r="249" ht="15" customHeight="1">
      <c r="A249" t="inlineStr">
        <is>
          <t>A 49858-2019</t>
        </is>
      </c>
      <c r="B249" s="1" t="n">
        <v>43733</v>
      </c>
      <c r="C249" s="1" t="n">
        <v>45337</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50012-2019</t>
        </is>
      </c>
      <c r="B250" s="1" t="n">
        <v>43733</v>
      </c>
      <c r="C250" s="1" t="n">
        <v>45337</v>
      </c>
      <c r="D250" t="inlineStr">
        <is>
          <t>JÄMTLANDS LÄN</t>
        </is>
      </c>
      <c r="E250" t="inlineStr">
        <is>
          <t>ÅRE</t>
        </is>
      </c>
      <c r="G250" t="n">
        <v>5.8</v>
      </c>
      <c r="H250" t="n">
        <v>0</v>
      </c>
      <c r="I250" t="n">
        <v>0</v>
      </c>
      <c r="J250" t="n">
        <v>0</v>
      </c>
      <c r="K250" t="n">
        <v>0</v>
      </c>
      <c r="L250" t="n">
        <v>0</v>
      </c>
      <c r="M250" t="n">
        <v>0</v>
      </c>
      <c r="N250" t="n">
        <v>0</v>
      </c>
      <c r="O250" t="n">
        <v>0</v>
      </c>
      <c r="P250" t="n">
        <v>0</v>
      </c>
      <c r="Q250" t="n">
        <v>0</v>
      </c>
      <c r="R250" s="2" t="inlineStr"/>
    </row>
    <row r="251" ht="15" customHeight="1">
      <c r="A251" t="inlineStr">
        <is>
          <t>A 52056-2019</t>
        </is>
      </c>
      <c r="B251" s="1" t="n">
        <v>43734</v>
      </c>
      <c r="C251" s="1" t="n">
        <v>45337</v>
      </c>
      <c r="D251" t="inlineStr">
        <is>
          <t>JÄMTLANDS LÄN</t>
        </is>
      </c>
      <c r="E251" t="inlineStr">
        <is>
          <t>ÅRE</t>
        </is>
      </c>
      <c r="G251" t="n">
        <v>3</v>
      </c>
      <c r="H251" t="n">
        <v>0</v>
      </c>
      <c r="I251" t="n">
        <v>0</v>
      </c>
      <c r="J251" t="n">
        <v>0</v>
      </c>
      <c r="K251" t="n">
        <v>0</v>
      </c>
      <c r="L251" t="n">
        <v>0</v>
      </c>
      <c r="M251" t="n">
        <v>0</v>
      </c>
      <c r="N251" t="n">
        <v>0</v>
      </c>
      <c r="O251" t="n">
        <v>0</v>
      </c>
      <c r="P251" t="n">
        <v>0</v>
      </c>
      <c r="Q251" t="n">
        <v>0</v>
      </c>
      <c r="R251" s="2" t="inlineStr"/>
    </row>
    <row r="252" ht="15" customHeight="1">
      <c r="A252" t="inlineStr">
        <is>
          <t>A 52047-2019</t>
        </is>
      </c>
      <c r="B252" s="1" t="n">
        <v>43734</v>
      </c>
      <c r="C252" s="1" t="n">
        <v>45337</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51818-2019</t>
        </is>
      </c>
      <c r="B253" s="1" t="n">
        <v>43741</v>
      </c>
      <c r="C253" s="1" t="n">
        <v>45337</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55358-2019</t>
        </is>
      </c>
      <c r="B254" s="1" t="n">
        <v>43756</v>
      </c>
      <c r="C254" s="1" t="n">
        <v>45337</v>
      </c>
      <c r="D254" t="inlineStr">
        <is>
          <t>JÄMTLANDS LÄN</t>
        </is>
      </c>
      <c r="E254" t="inlineStr">
        <is>
          <t>ÅRE</t>
        </is>
      </c>
      <c r="G254" t="n">
        <v>4.9</v>
      </c>
      <c r="H254" t="n">
        <v>0</v>
      </c>
      <c r="I254" t="n">
        <v>0</v>
      </c>
      <c r="J254" t="n">
        <v>0</v>
      </c>
      <c r="K254" t="n">
        <v>0</v>
      </c>
      <c r="L254" t="n">
        <v>0</v>
      </c>
      <c r="M254" t="n">
        <v>0</v>
      </c>
      <c r="N254" t="n">
        <v>0</v>
      </c>
      <c r="O254" t="n">
        <v>0</v>
      </c>
      <c r="P254" t="n">
        <v>0</v>
      </c>
      <c r="Q254" t="n">
        <v>0</v>
      </c>
      <c r="R254" s="2" t="inlineStr"/>
    </row>
    <row r="255" ht="15" customHeight="1">
      <c r="A255" t="inlineStr">
        <is>
          <t>A 57825-2019</t>
        </is>
      </c>
      <c r="B255" s="1" t="n">
        <v>43768</v>
      </c>
      <c r="C255" s="1" t="n">
        <v>45337</v>
      </c>
      <c r="D255" t="inlineStr">
        <is>
          <t>JÄMTLANDS LÄN</t>
        </is>
      </c>
      <c r="E255" t="inlineStr">
        <is>
          <t>ÅRE</t>
        </is>
      </c>
      <c r="G255" t="n">
        <v>3.1</v>
      </c>
      <c r="H255" t="n">
        <v>0</v>
      </c>
      <c r="I255" t="n">
        <v>0</v>
      </c>
      <c r="J255" t="n">
        <v>0</v>
      </c>
      <c r="K255" t="n">
        <v>0</v>
      </c>
      <c r="L255" t="n">
        <v>0</v>
      </c>
      <c r="M255" t="n">
        <v>0</v>
      </c>
      <c r="N255" t="n">
        <v>0</v>
      </c>
      <c r="O255" t="n">
        <v>0</v>
      </c>
      <c r="P255" t="n">
        <v>0</v>
      </c>
      <c r="Q255" t="n">
        <v>0</v>
      </c>
      <c r="R255" s="2" t="inlineStr"/>
    </row>
    <row r="256" ht="15" customHeight="1">
      <c r="A256" t="inlineStr">
        <is>
          <t>A 59815-2019</t>
        </is>
      </c>
      <c r="B256" s="1" t="n">
        <v>43774</v>
      </c>
      <c r="C256" s="1" t="n">
        <v>45337</v>
      </c>
      <c r="D256" t="inlineStr">
        <is>
          <t>JÄMTLANDS LÄN</t>
        </is>
      </c>
      <c r="E256" t="inlineStr">
        <is>
          <t>ÅRE</t>
        </is>
      </c>
      <c r="G256" t="n">
        <v>2.8</v>
      </c>
      <c r="H256" t="n">
        <v>0</v>
      </c>
      <c r="I256" t="n">
        <v>0</v>
      </c>
      <c r="J256" t="n">
        <v>0</v>
      </c>
      <c r="K256" t="n">
        <v>0</v>
      </c>
      <c r="L256" t="n">
        <v>0</v>
      </c>
      <c r="M256" t="n">
        <v>0</v>
      </c>
      <c r="N256" t="n">
        <v>0</v>
      </c>
      <c r="O256" t="n">
        <v>0</v>
      </c>
      <c r="P256" t="n">
        <v>0</v>
      </c>
      <c r="Q256" t="n">
        <v>0</v>
      </c>
      <c r="R256" s="2" t="inlineStr"/>
    </row>
    <row r="257" ht="15" customHeight="1">
      <c r="A257" t="inlineStr">
        <is>
          <t>A 60093-2019</t>
        </is>
      </c>
      <c r="B257" s="1" t="n">
        <v>43777</v>
      </c>
      <c r="C257" s="1" t="n">
        <v>45337</v>
      </c>
      <c r="D257" t="inlineStr">
        <is>
          <t>JÄMTLANDS LÄN</t>
        </is>
      </c>
      <c r="E257" t="inlineStr">
        <is>
          <t>ÅRE</t>
        </is>
      </c>
      <c r="G257" t="n">
        <v>8.6</v>
      </c>
      <c r="H257" t="n">
        <v>0</v>
      </c>
      <c r="I257" t="n">
        <v>0</v>
      </c>
      <c r="J257" t="n">
        <v>0</v>
      </c>
      <c r="K257" t="n">
        <v>0</v>
      </c>
      <c r="L257" t="n">
        <v>0</v>
      </c>
      <c r="M257" t="n">
        <v>0</v>
      </c>
      <c r="N257" t="n">
        <v>0</v>
      </c>
      <c r="O257" t="n">
        <v>0</v>
      </c>
      <c r="P257" t="n">
        <v>0</v>
      </c>
      <c r="Q257" t="n">
        <v>0</v>
      </c>
      <c r="R257" s="2" t="inlineStr"/>
    </row>
    <row r="258" ht="15" customHeight="1">
      <c r="A258" t="inlineStr">
        <is>
          <t>A 62359-2019</t>
        </is>
      </c>
      <c r="B258" s="1" t="n">
        <v>43788</v>
      </c>
      <c r="C258" s="1" t="n">
        <v>45337</v>
      </c>
      <c r="D258" t="inlineStr">
        <is>
          <t>JÄMTLANDS LÄN</t>
        </is>
      </c>
      <c r="E258" t="inlineStr">
        <is>
          <t>ÅRE</t>
        </is>
      </c>
      <c r="F258" t="inlineStr">
        <is>
          <t>Övriga Aktiebolag</t>
        </is>
      </c>
      <c r="G258" t="n">
        <v>7</v>
      </c>
      <c r="H258" t="n">
        <v>0</v>
      </c>
      <c r="I258" t="n">
        <v>0</v>
      </c>
      <c r="J258" t="n">
        <v>0</v>
      </c>
      <c r="K258" t="n">
        <v>0</v>
      </c>
      <c r="L258" t="n">
        <v>0</v>
      </c>
      <c r="M258" t="n">
        <v>0</v>
      </c>
      <c r="N258" t="n">
        <v>0</v>
      </c>
      <c r="O258" t="n">
        <v>0</v>
      </c>
      <c r="P258" t="n">
        <v>0</v>
      </c>
      <c r="Q258" t="n">
        <v>0</v>
      </c>
      <c r="R258" s="2" t="inlineStr"/>
    </row>
    <row r="259" ht="15" customHeight="1">
      <c r="A259" t="inlineStr">
        <is>
          <t>A 62326-2019</t>
        </is>
      </c>
      <c r="B259" s="1" t="n">
        <v>43788</v>
      </c>
      <c r="C259" s="1" t="n">
        <v>45337</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63729-2019</t>
        </is>
      </c>
      <c r="B260" s="1" t="n">
        <v>43788</v>
      </c>
      <c r="C260" s="1" t="n">
        <v>45337</v>
      </c>
      <c r="D260" t="inlineStr">
        <is>
          <t>JÄMTLANDS LÄN</t>
        </is>
      </c>
      <c r="E260" t="inlineStr">
        <is>
          <t>ÅRE</t>
        </is>
      </c>
      <c r="F260" t="inlineStr">
        <is>
          <t>Övriga Aktiebolag</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65986-2019</t>
        </is>
      </c>
      <c r="B261" s="1" t="n">
        <v>43801</v>
      </c>
      <c r="C261" s="1" t="n">
        <v>45337</v>
      </c>
      <c r="D261" t="inlineStr">
        <is>
          <t>JÄMTLANDS LÄN</t>
        </is>
      </c>
      <c r="E261" t="inlineStr">
        <is>
          <t>ÅRE</t>
        </is>
      </c>
      <c r="G261" t="n">
        <v>3</v>
      </c>
      <c r="H261" t="n">
        <v>0</v>
      </c>
      <c r="I261" t="n">
        <v>0</v>
      </c>
      <c r="J261" t="n">
        <v>0</v>
      </c>
      <c r="K261" t="n">
        <v>0</v>
      </c>
      <c r="L261" t="n">
        <v>0</v>
      </c>
      <c r="M261" t="n">
        <v>0</v>
      </c>
      <c r="N261" t="n">
        <v>0</v>
      </c>
      <c r="O261" t="n">
        <v>0</v>
      </c>
      <c r="P261" t="n">
        <v>0</v>
      </c>
      <c r="Q261" t="n">
        <v>0</v>
      </c>
      <c r="R261" s="2" t="inlineStr"/>
    </row>
    <row r="262" ht="15" customHeight="1">
      <c r="A262" t="inlineStr">
        <is>
          <t>A 66395-2019</t>
        </is>
      </c>
      <c r="B262" s="1" t="n">
        <v>43808</v>
      </c>
      <c r="C262" s="1" t="n">
        <v>45337</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66774-2019</t>
        </is>
      </c>
      <c r="B263" s="1" t="n">
        <v>43810</v>
      </c>
      <c r="C263" s="1" t="n">
        <v>45337</v>
      </c>
      <c r="D263" t="inlineStr">
        <is>
          <t>JÄMTLANDS LÄN</t>
        </is>
      </c>
      <c r="E263" t="inlineStr">
        <is>
          <t>ÅRE</t>
        </is>
      </c>
      <c r="G263" t="n">
        <v>7.4</v>
      </c>
      <c r="H263" t="n">
        <v>0</v>
      </c>
      <c r="I263" t="n">
        <v>0</v>
      </c>
      <c r="J263" t="n">
        <v>0</v>
      </c>
      <c r="K263" t="n">
        <v>0</v>
      </c>
      <c r="L263" t="n">
        <v>0</v>
      </c>
      <c r="M263" t="n">
        <v>0</v>
      </c>
      <c r="N263" t="n">
        <v>0</v>
      </c>
      <c r="O263" t="n">
        <v>0</v>
      </c>
      <c r="P263" t="n">
        <v>0</v>
      </c>
      <c r="Q263" t="n">
        <v>0</v>
      </c>
      <c r="R263" s="2" t="inlineStr"/>
    </row>
    <row r="264" ht="15" customHeight="1">
      <c r="A264" t="inlineStr">
        <is>
          <t>A 66787-2019</t>
        </is>
      </c>
      <c r="B264" s="1" t="n">
        <v>43810</v>
      </c>
      <c r="C264" s="1" t="n">
        <v>45337</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67988-2019</t>
        </is>
      </c>
      <c r="B265" s="1" t="n">
        <v>43811</v>
      </c>
      <c r="C265" s="1" t="n">
        <v>45337</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68076-2019</t>
        </is>
      </c>
      <c r="B266" s="1" t="n">
        <v>43816</v>
      </c>
      <c r="C266" s="1" t="n">
        <v>45337</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68315-2019</t>
        </is>
      </c>
      <c r="B267" s="1" t="n">
        <v>43817</v>
      </c>
      <c r="C267" s="1" t="n">
        <v>45337</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824-2020</t>
        </is>
      </c>
      <c r="B268" s="1" t="n">
        <v>43818</v>
      </c>
      <c r="C268" s="1" t="n">
        <v>45337</v>
      </c>
      <c r="D268" t="inlineStr">
        <is>
          <t>JÄMTLANDS LÄN</t>
        </is>
      </c>
      <c r="E268" t="inlineStr">
        <is>
          <t>ÅRE</t>
        </is>
      </c>
      <c r="G268" t="n">
        <v>1.8</v>
      </c>
      <c r="H268" t="n">
        <v>0</v>
      </c>
      <c r="I268" t="n">
        <v>0</v>
      </c>
      <c r="J268" t="n">
        <v>0</v>
      </c>
      <c r="K268" t="n">
        <v>0</v>
      </c>
      <c r="L268" t="n">
        <v>0</v>
      </c>
      <c r="M268" t="n">
        <v>0</v>
      </c>
      <c r="N268" t="n">
        <v>0</v>
      </c>
      <c r="O268" t="n">
        <v>0</v>
      </c>
      <c r="P268" t="n">
        <v>0</v>
      </c>
      <c r="Q268" t="n">
        <v>0</v>
      </c>
      <c r="R268" s="2" t="inlineStr"/>
    </row>
    <row r="269" ht="15" customHeight="1">
      <c r="A269" t="inlineStr">
        <is>
          <t>A 70-2020</t>
        </is>
      </c>
      <c r="B269" s="1" t="n">
        <v>43832</v>
      </c>
      <c r="C269" s="1" t="n">
        <v>45337</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72-2020</t>
        </is>
      </c>
      <c r="B270" s="1" t="n">
        <v>43832</v>
      </c>
      <c r="C270" s="1" t="n">
        <v>45337</v>
      </c>
      <c r="D270" t="inlineStr">
        <is>
          <t>JÄMTLANDS LÄN</t>
        </is>
      </c>
      <c r="E270" t="inlineStr">
        <is>
          <t>ÅRE</t>
        </is>
      </c>
      <c r="G270" t="n">
        <v>4.7</v>
      </c>
      <c r="H270" t="n">
        <v>0</v>
      </c>
      <c r="I270" t="n">
        <v>0</v>
      </c>
      <c r="J270" t="n">
        <v>0</v>
      </c>
      <c r="K270" t="n">
        <v>0</v>
      </c>
      <c r="L270" t="n">
        <v>0</v>
      </c>
      <c r="M270" t="n">
        <v>0</v>
      </c>
      <c r="N270" t="n">
        <v>0</v>
      </c>
      <c r="O270" t="n">
        <v>0</v>
      </c>
      <c r="P270" t="n">
        <v>0</v>
      </c>
      <c r="Q270" t="n">
        <v>0</v>
      </c>
      <c r="R270" s="2" t="inlineStr"/>
    </row>
    <row r="271" ht="15" customHeight="1">
      <c r="A271" t="inlineStr">
        <is>
          <t>A 67-2020</t>
        </is>
      </c>
      <c r="B271" s="1" t="n">
        <v>43832</v>
      </c>
      <c r="C271" s="1" t="n">
        <v>45337</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1819-2020</t>
        </is>
      </c>
      <c r="B272" s="1" t="n">
        <v>43833</v>
      </c>
      <c r="C272" s="1" t="n">
        <v>45337</v>
      </c>
      <c r="D272" t="inlineStr">
        <is>
          <t>JÄMTLANDS LÄN</t>
        </is>
      </c>
      <c r="E272" t="inlineStr">
        <is>
          <t>ÅRE</t>
        </is>
      </c>
      <c r="G272" t="n">
        <v>3.2</v>
      </c>
      <c r="H272" t="n">
        <v>0</v>
      </c>
      <c r="I272" t="n">
        <v>0</v>
      </c>
      <c r="J272" t="n">
        <v>0</v>
      </c>
      <c r="K272" t="n">
        <v>0</v>
      </c>
      <c r="L272" t="n">
        <v>0</v>
      </c>
      <c r="M272" t="n">
        <v>0</v>
      </c>
      <c r="N272" t="n">
        <v>0</v>
      </c>
      <c r="O272" t="n">
        <v>0</v>
      </c>
      <c r="P272" t="n">
        <v>0</v>
      </c>
      <c r="Q272" t="n">
        <v>0</v>
      </c>
      <c r="R272" s="2" t="inlineStr"/>
    </row>
    <row r="273" ht="15" customHeight="1">
      <c r="A273" t="inlineStr">
        <is>
          <t>A 3838-2020</t>
        </is>
      </c>
      <c r="B273" s="1" t="n">
        <v>43854</v>
      </c>
      <c r="C273" s="1" t="n">
        <v>45337</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13402-2020</t>
        </is>
      </c>
      <c r="B274" s="1" t="n">
        <v>43902</v>
      </c>
      <c r="C274" s="1" t="n">
        <v>45337</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13408-2020</t>
        </is>
      </c>
      <c r="B275" s="1" t="n">
        <v>43902</v>
      </c>
      <c r="C275" s="1" t="n">
        <v>45337</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14753-2020</t>
        </is>
      </c>
      <c r="B276" s="1" t="n">
        <v>43909</v>
      </c>
      <c r="C276" s="1" t="n">
        <v>45337</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20538-2020</t>
        </is>
      </c>
      <c r="B277" s="1" t="n">
        <v>43948</v>
      </c>
      <c r="C277" s="1" t="n">
        <v>45337</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21448-2020</t>
        </is>
      </c>
      <c r="B278" s="1" t="n">
        <v>43956</v>
      </c>
      <c r="C278" s="1" t="n">
        <v>45337</v>
      </c>
      <c r="D278" t="inlineStr">
        <is>
          <t>JÄMTLANDS LÄN</t>
        </is>
      </c>
      <c r="E278" t="inlineStr">
        <is>
          <t>ÅRE</t>
        </is>
      </c>
      <c r="G278" t="n">
        <v>0.8</v>
      </c>
      <c r="H278" t="n">
        <v>0</v>
      </c>
      <c r="I278" t="n">
        <v>0</v>
      </c>
      <c r="J278" t="n">
        <v>0</v>
      </c>
      <c r="K278" t="n">
        <v>0</v>
      </c>
      <c r="L278" t="n">
        <v>0</v>
      </c>
      <c r="M278" t="n">
        <v>0</v>
      </c>
      <c r="N278" t="n">
        <v>0</v>
      </c>
      <c r="O278" t="n">
        <v>0</v>
      </c>
      <c r="P278" t="n">
        <v>0</v>
      </c>
      <c r="Q278" t="n">
        <v>0</v>
      </c>
      <c r="R278" s="2" t="inlineStr"/>
    </row>
    <row r="279" ht="15" customHeight="1">
      <c r="A279" t="inlineStr">
        <is>
          <t>A 23393-2020</t>
        </is>
      </c>
      <c r="B279" s="1" t="n">
        <v>43968</v>
      </c>
      <c r="C279" s="1" t="n">
        <v>45337</v>
      </c>
      <c r="D279" t="inlineStr">
        <is>
          <t>JÄMTLANDS LÄN</t>
        </is>
      </c>
      <c r="E279" t="inlineStr">
        <is>
          <t>ÅRE</t>
        </is>
      </c>
      <c r="G279" t="n">
        <v>5</v>
      </c>
      <c r="H279" t="n">
        <v>0</v>
      </c>
      <c r="I279" t="n">
        <v>0</v>
      </c>
      <c r="J279" t="n">
        <v>0</v>
      </c>
      <c r="K279" t="n">
        <v>0</v>
      </c>
      <c r="L279" t="n">
        <v>0</v>
      </c>
      <c r="M279" t="n">
        <v>0</v>
      </c>
      <c r="N279" t="n">
        <v>0</v>
      </c>
      <c r="O279" t="n">
        <v>0</v>
      </c>
      <c r="P279" t="n">
        <v>0</v>
      </c>
      <c r="Q279" t="n">
        <v>0</v>
      </c>
      <c r="R279" s="2" t="inlineStr"/>
    </row>
    <row r="280" ht="15" customHeight="1">
      <c r="A280" t="inlineStr">
        <is>
          <t>A 24436-2020</t>
        </is>
      </c>
      <c r="B280" s="1" t="n">
        <v>43976</v>
      </c>
      <c r="C280" s="1" t="n">
        <v>45337</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25587-2020</t>
        </is>
      </c>
      <c r="B281" s="1" t="n">
        <v>43983</v>
      </c>
      <c r="C281" s="1" t="n">
        <v>45337</v>
      </c>
      <c r="D281" t="inlineStr">
        <is>
          <t>JÄMTLANDS LÄN</t>
        </is>
      </c>
      <c r="E281" t="inlineStr">
        <is>
          <t>ÅRE</t>
        </is>
      </c>
      <c r="G281" t="n">
        <v>10.3</v>
      </c>
      <c r="H281" t="n">
        <v>0</v>
      </c>
      <c r="I281" t="n">
        <v>0</v>
      </c>
      <c r="J281" t="n">
        <v>0</v>
      </c>
      <c r="K281" t="n">
        <v>0</v>
      </c>
      <c r="L281" t="n">
        <v>0</v>
      </c>
      <c r="M281" t="n">
        <v>0</v>
      </c>
      <c r="N281" t="n">
        <v>0</v>
      </c>
      <c r="O281" t="n">
        <v>0</v>
      </c>
      <c r="P281" t="n">
        <v>0</v>
      </c>
      <c r="Q281" t="n">
        <v>0</v>
      </c>
      <c r="R281" s="2" t="inlineStr"/>
    </row>
    <row r="282" ht="15" customHeight="1">
      <c r="A282" t="inlineStr">
        <is>
          <t>A 25592-2020</t>
        </is>
      </c>
      <c r="B282" s="1" t="n">
        <v>43983</v>
      </c>
      <c r="C282" s="1" t="n">
        <v>45337</v>
      </c>
      <c r="D282" t="inlineStr">
        <is>
          <t>JÄMTLANDS LÄN</t>
        </is>
      </c>
      <c r="E282" t="inlineStr">
        <is>
          <t>ÅRE</t>
        </is>
      </c>
      <c r="G282" t="n">
        <v>6.6</v>
      </c>
      <c r="H282" t="n">
        <v>0</v>
      </c>
      <c r="I282" t="n">
        <v>0</v>
      </c>
      <c r="J282" t="n">
        <v>0</v>
      </c>
      <c r="K282" t="n">
        <v>0</v>
      </c>
      <c r="L282" t="n">
        <v>0</v>
      </c>
      <c r="M282" t="n">
        <v>0</v>
      </c>
      <c r="N282" t="n">
        <v>0</v>
      </c>
      <c r="O282" t="n">
        <v>0</v>
      </c>
      <c r="P282" t="n">
        <v>0</v>
      </c>
      <c r="Q282" t="n">
        <v>0</v>
      </c>
      <c r="R282" s="2" t="inlineStr"/>
    </row>
    <row r="283" ht="15" customHeight="1">
      <c r="A283" t="inlineStr">
        <is>
          <t>A 27292-2020</t>
        </is>
      </c>
      <c r="B283" s="1" t="n">
        <v>43992</v>
      </c>
      <c r="C283" s="1" t="n">
        <v>45337</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27369-2020</t>
        </is>
      </c>
      <c r="B284" s="1" t="n">
        <v>43992</v>
      </c>
      <c r="C284" s="1" t="n">
        <v>45337</v>
      </c>
      <c r="D284" t="inlineStr">
        <is>
          <t>JÄMTLANDS LÄN</t>
        </is>
      </c>
      <c r="E284" t="inlineStr">
        <is>
          <t>ÅRE</t>
        </is>
      </c>
      <c r="G284" t="n">
        <v>7.3</v>
      </c>
      <c r="H284" t="n">
        <v>0</v>
      </c>
      <c r="I284" t="n">
        <v>0</v>
      </c>
      <c r="J284" t="n">
        <v>0</v>
      </c>
      <c r="K284" t="n">
        <v>0</v>
      </c>
      <c r="L284" t="n">
        <v>0</v>
      </c>
      <c r="M284" t="n">
        <v>0</v>
      </c>
      <c r="N284" t="n">
        <v>0</v>
      </c>
      <c r="O284" t="n">
        <v>0</v>
      </c>
      <c r="P284" t="n">
        <v>0</v>
      </c>
      <c r="Q284" t="n">
        <v>0</v>
      </c>
      <c r="R284" s="2" t="inlineStr"/>
    </row>
    <row r="285" ht="15" customHeight="1">
      <c r="A285" t="inlineStr">
        <is>
          <t>A 28422-2020</t>
        </is>
      </c>
      <c r="B285" s="1" t="n">
        <v>43998</v>
      </c>
      <c r="C285" s="1" t="n">
        <v>45337</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28385-2020</t>
        </is>
      </c>
      <c r="B286" s="1" t="n">
        <v>43998</v>
      </c>
      <c r="C286" s="1" t="n">
        <v>45337</v>
      </c>
      <c r="D286" t="inlineStr">
        <is>
          <t>JÄMTLANDS LÄN</t>
        </is>
      </c>
      <c r="E286" t="inlineStr">
        <is>
          <t>ÅRE</t>
        </is>
      </c>
      <c r="G286" t="n">
        <v>0.5</v>
      </c>
      <c r="H286" t="n">
        <v>0</v>
      </c>
      <c r="I286" t="n">
        <v>0</v>
      </c>
      <c r="J286" t="n">
        <v>0</v>
      </c>
      <c r="K286" t="n">
        <v>0</v>
      </c>
      <c r="L286" t="n">
        <v>0</v>
      </c>
      <c r="M286" t="n">
        <v>0</v>
      </c>
      <c r="N286" t="n">
        <v>0</v>
      </c>
      <c r="O286" t="n">
        <v>0</v>
      </c>
      <c r="P286" t="n">
        <v>0</v>
      </c>
      <c r="Q286" t="n">
        <v>0</v>
      </c>
      <c r="R286" s="2" t="inlineStr"/>
    </row>
    <row r="287" ht="15" customHeight="1">
      <c r="A287" t="inlineStr">
        <is>
          <t>A 28869-2020</t>
        </is>
      </c>
      <c r="B287" s="1" t="n">
        <v>44000</v>
      </c>
      <c r="C287" s="1" t="n">
        <v>45337</v>
      </c>
      <c r="D287" t="inlineStr">
        <is>
          <t>JÄMTLANDS LÄN</t>
        </is>
      </c>
      <c r="E287" t="inlineStr">
        <is>
          <t>ÅRE</t>
        </is>
      </c>
      <c r="F287" t="inlineStr">
        <is>
          <t>Kyrkan</t>
        </is>
      </c>
      <c r="G287" t="n">
        <v>1.7</v>
      </c>
      <c r="H287" t="n">
        <v>0</v>
      </c>
      <c r="I287" t="n">
        <v>0</v>
      </c>
      <c r="J287" t="n">
        <v>0</v>
      </c>
      <c r="K287" t="n">
        <v>0</v>
      </c>
      <c r="L287" t="n">
        <v>0</v>
      </c>
      <c r="M287" t="n">
        <v>0</v>
      </c>
      <c r="N287" t="n">
        <v>0</v>
      </c>
      <c r="O287" t="n">
        <v>0</v>
      </c>
      <c r="P287" t="n">
        <v>0</v>
      </c>
      <c r="Q287" t="n">
        <v>0</v>
      </c>
      <c r="R287" s="2" t="inlineStr"/>
    </row>
    <row r="288" ht="15" customHeight="1">
      <c r="A288" t="inlineStr">
        <is>
          <t>A 29083-2020</t>
        </is>
      </c>
      <c r="B288" s="1" t="n">
        <v>44002</v>
      </c>
      <c r="C288" s="1" t="n">
        <v>45337</v>
      </c>
      <c r="D288" t="inlineStr">
        <is>
          <t>JÄMTLANDS LÄN</t>
        </is>
      </c>
      <c r="E288" t="inlineStr">
        <is>
          <t>ÅRE</t>
        </is>
      </c>
      <c r="G288" t="n">
        <v>0.9</v>
      </c>
      <c r="H288" t="n">
        <v>0</v>
      </c>
      <c r="I288" t="n">
        <v>0</v>
      </c>
      <c r="J288" t="n">
        <v>0</v>
      </c>
      <c r="K288" t="n">
        <v>0</v>
      </c>
      <c r="L288" t="n">
        <v>0</v>
      </c>
      <c r="M288" t="n">
        <v>0</v>
      </c>
      <c r="N288" t="n">
        <v>0</v>
      </c>
      <c r="O288" t="n">
        <v>0</v>
      </c>
      <c r="P288" t="n">
        <v>0</v>
      </c>
      <c r="Q288" t="n">
        <v>0</v>
      </c>
      <c r="R288" s="2" t="inlineStr"/>
    </row>
    <row r="289" ht="15" customHeight="1">
      <c r="A289" t="inlineStr">
        <is>
          <t>A 29080-2020</t>
        </is>
      </c>
      <c r="B289" s="1" t="n">
        <v>44002</v>
      </c>
      <c r="C289" s="1" t="n">
        <v>45337</v>
      </c>
      <c r="D289" t="inlineStr">
        <is>
          <t>JÄMTLANDS LÄN</t>
        </is>
      </c>
      <c r="E289" t="inlineStr">
        <is>
          <t>ÅRE</t>
        </is>
      </c>
      <c r="G289" t="n">
        <v>2.5</v>
      </c>
      <c r="H289" t="n">
        <v>0</v>
      </c>
      <c r="I289" t="n">
        <v>0</v>
      </c>
      <c r="J289" t="n">
        <v>0</v>
      </c>
      <c r="K289" t="n">
        <v>0</v>
      </c>
      <c r="L289" t="n">
        <v>0</v>
      </c>
      <c r="M289" t="n">
        <v>0</v>
      </c>
      <c r="N289" t="n">
        <v>0</v>
      </c>
      <c r="O289" t="n">
        <v>0</v>
      </c>
      <c r="P289" t="n">
        <v>0</v>
      </c>
      <c r="Q289" t="n">
        <v>0</v>
      </c>
      <c r="R289" s="2" t="inlineStr"/>
    </row>
    <row r="290" ht="15" customHeight="1">
      <c r="A290" t="inlineStr">
        <is>
          <t>A 33239-2020</t>
        </is>
      </c>
      <c r="B290" s="1" t="n">
        <v>44022</v>
      </c>
      <c r="C290" s="1" t="n">
        <v>45337</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33530-2020</t>
        </is>
      </c>
      <c r="B291" s="1" t="n">
        <v>44025</v>
      </c>
      <c r="C291" s="1" t="n">
        <v>45337</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34013-2020</t>
        </is>
      </c>
      <c r="B292" s="1" t="n">
        <v>44028</v>
      </c>
      <c r="C292" s="1" t="n">
        <v>45337</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34207-2020</t>
        </is>
      </c>
      <c r="B293" s="1" t="n">
        <v>44029</v>
      </c>
      <c r="C293" s="1" t="n">
        <v>45337</v>
      </c>
      <c r="D293" t="inlineStr">
        <is>
          <t>JÄMTLANDS LÄN</t>
        </is>
      </c>
      <c r="E293" t="inlineStr">
        <is>
          <t>ÅRE</t>
        </is>
      </c>
      <c r="G293" t="n">
        <v>10.2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45337</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45337</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45337</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45337</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45337</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45337</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45337</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45337</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45337</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45337</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45337</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45337</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45337</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45337</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45337</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45337</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45337</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45337</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45337</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45337</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45337</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45337</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45337</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45337</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45337</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45337</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45337</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45337</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45337</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45337</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45337</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45337</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45337</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61510-2020</t>
        </is>
      </c>
      <c r="B327" s="1" t="n">
        <v>44158</v>
      </c>
      <c r="C327" s="1" t="n">
        <v>45337</v>
      </c>
      <c r="D327" t="inlineStr">
        <is>
          <t>JÄMTLANDS LÄN</t>
        </is>
      </c>
      <c r="E327" t="inlineStr">
        <is>
          <t>ÅRE</t>
        </is>
      </c>
      <c r="F327" t="inlineStr">
        <is>
          <t>Övriga Aktiebolag</t>
        </is>
      </c>
      <c r="G327" t="n">
        <v>5.9</v>
      </c>
      <c r="H327" t="n">
        <v>0</v>
      </c>
      <c r="I327" t="n">
        <v>0</v>
      </c>
      <c r="J327" t="n">
        <v>0</v>
      </c>
      <c r="K327" t="n">
        <v>0</v>
      </c>
      <c r="L327" t="n">
        <v>0</v>
      </c>
      <c r="M327" t="n">
        <v>0</v>
      </c>
      <c r="N327" t="n">
        <v>0</v>
      </c>
      <c r="O327" t="n">
        <v>0</v>
      </c>
      <c r="P327" t="n">
        <v>0</v>
      </c>
      <c r="Q327" t="n">
        <v>0</v>
      </c>
      <c r="R327" s="2" t="inlineStr"/>
    </row>
    <row r="328" ht="15" customHeight="1">
      <c r="A328" t="inlineStr">
        <is>
          <t>A 64355-2020</t>
        </is>
      </c>
      <c r="B328" s="1" t="n">
        <v>44168</v>
      </c>
      <c r="C328" s="1" t="n">
        <v>45337</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66083-2020</t>
        </is>
      </c>
      <c r="B329" s="1" t="n">
        <v>44172</v>
      </c>
      <c r="C329" s="1" t="n">
        <v>45337</v>
      </c>
      <c r="D329" t="inlineStr">
        <is>
          <t>JÄMTLANDS LÄN</t>
        </is>
      </c>
      <c r="E329" t="inlineStr">
        <is>
          <t>ÅRE</t>
        </is>
      </c>
      <c r="G329" t="n">
        <v>563.3</v>
      </c>
      <c r="H329" t="n">
        <v>0</v>
      </c>
      <c r="I329" t="n">
        <v>0</v>
      </c>
      <c r="J329" t="n">
        <v>0</v>
      </c>
      <c r="K329" t="n">
        <v>0</v>
      </c>
      <c r="L329" t="n">
        <v>0</v>
      </c>
      <c r="M329" t="n">
        <v>0</v>
      </c>
      <c r="N329" t="n">
        <v>0</v>
      </c>
      <c r="O329" t="n">
        <v>0</v>
      </c>
      <c r="P329" t="n">
        <v>0</v>
      </c>
      <c r="Q329" t="n">
        <v>0</v>
      </c>
      <c r="R329" s="2" t="inlineStr"/>
    </row>
    <row r="330" ht="15" customHeight="1">
      <c r="A330" t="inlineStr">
        <is>
          <t>A 65439-2020</t>
        </is>
      </c>
      <c r="B330" s="1" t="n">
        <v>44173</v>
      </c>
      <c r="C330" s="1" t="n">
        <v>45337</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65512-2020</t>
        </is>
      </c>
      <c r="B331" s="1" t="n">
        <v>44173</v>
      </c>
      <c r="C331" s="1" t="n">
        <v>45337</v>
      </c>
      <c r="D331" t="inlineStr">
        <is>
          <t>JÄMTLANDS LÄN</t>
        </is>
      </c>
      <c r="E331" t="inlineStr">
        <is>
          <t>ÅRE</t>
        </is>
      </c>
      <c r="G331" t="n">
        <v>5.6</v>
      </c>
      <c r="H331" t="n">
        <v>0</v>
      </c>
      <c r="I331" t="n">
        <v>0</v>
      </c>
      <c r="J331" t="n">
        <v>0</v>
      </c>
      <c r="K331" t="n">
        <v>0</v>
      </c>
      <c r="L331" t="n">
        <v>0</v>
      </c>
      <c r="M331" t="n">
        <v>0</v>
      </c>
      <c r="N331" t="n">
        <v>0</v>
      </c>
      <c r="O331" t="n">
        <v>0</v>
      </c>
      <c r="P331" t="n">
        <v>0</v>
      </c>
      <c r="Q331" t="n">
        <v>0</v>
      </c>
      <c r="R331" s="2" t="inlineStr"/>
    </row>
    <row r="332" ht="15" customHeight="1">
      <c r="A332" t="inlineStr">
        <is>
          <t>A 65519-2020</t>
        </is>
      </c>
      <c r="B332" s="1" t="n">
        <v>44173</v>
      </c>
      <c r="C332" s="1" t="n">
        <v>45337</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66755-2020</t>
        </is>
      </c>
      <c r="B333" s="1" t="n">
        <v>44179</v>
      </c>
      <c r="C333" s="1" t="n">
        <v>45337</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66790-2020</t>
        </is>
      </c>
      <c r="B334" s="1" t="n">
        <v>44179</v>
      </c>
      <c r="C334" s="1" t="n">
        <v>45337</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67270-2020</t>
        </is>
      </c>
      <c r="B335" s="1" t="n">
        <v>44179</v>
      </c>
      <c r="C335" s="1" t="n">
        <v>45337</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67972-2020</t>
        </is>
      </c>
      <c r="B336" s="1" t="n">
        <v>44182</v>
      </c>
      <c r="C336" s="1" t="n">
        <v>45337</v>
      </c>
      <c r="D336" t="inlineStr">
        <is>
          <t>JÄMTLANDS LÄN</t>
        </is>
      </c>
      <c r="E336" t="inlineStr">
        <is>
          <t>ÅRE</t>
        </is>
      </c>
      <c r="G336" t="n">
        <v>6</v>
      </c>
      <c r="H336" t="n">
        <v>0</v>
      </c>
      <c r="I336" t="n">
        <v>0</v>
      </c>
      <c r="J336" t="n">
        <v>0</v>
      </c>
      <c r="K336" t="n">
        <v>0</v>
      </c>
      <c r="L336" t="n">
        <v>0</v>
      </c>
      <c r="M336" t="n">
        <v>0</v>
      </c>
      <c r="N336" t="n">
        <v>0</v>
      </c>
      <c r="O336" t="n">
        <v>0</v>
      </c>
      <c r="P336" t="n">
        <v>0</v>
      </c>
      <c r="Q336" t="n">
        <v>0</v>
      </c>
      <c r="R336" s="2" t="inlineStr"/>
    </row>
    <row r="337" ht="15" customHeight="1">
      <c r="A337" t="inlineStr">
        <is>
          <t>A 68545-2020</t>
        </is>
      </c>
      <c r="B337" s="1" t="n">
        <v>44186</v>
      </c>
      <c r="C337" s="1" t="n">
        <v>45337</v>
      </c>
      <c r="D337" t="inlineStr">
        <is>
          <t>JÄMTLANDS LÄN</t>
        </is>
      </c>
      <c r="E337" t="inlineStr">
        <is>
          <t>ÅRE</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68537-2020</t>
        </is>
      </c>
      <c r="B338" s="1" t="n">
        <v>44186</v>
      </c>
      <c r="C338" s="1" t="n">
        <v>45337</v>
      </c>
      <c r="D338" t="inlineStr">
        <is>
          <t>JÄMTLANDS LÄN</t>
        </is>
      </c>
      <c r="E338" t="inlineStr">
        <is>
          <t>ÅRE</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45337</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68594-2020</t>
        </is>
      </c>
      <c r="B340" s="1" t="n">
        <v>44186</v>
      </c>
      <c r="C340" s="1" t="n">
        <v>45337</v>
      </c>
      <c r="D340" t="inlineStr">
        <is>
          <t>JÄMTLANDS LÄN</t>
        </is>
      </c>
      <c r="E340" t="inlineStr">
        <is>
          <t>ÅRE</t>
        </is>
      </c>
      <c r="G340" t="n">
        <v>2.8</v>
      </c>
      <c r="H340" t="n">
        <v>0</v>
      </c>
      <c r="I340" t="n">
        <v>0</v>
      </c>
      <c r="J340" t="n">
        <v>0</v>
      </c>
      <c r="K340" t="n">
        <v>0</v>
      </c>
      <c r="L340" t="n">
        <v>0</v>
      </c>
      <c r="M340" t="n">
        <v>0</v>
      </c>
      <c r="N340" t="n">
        <v>0</v>
      </c>
      <c r="O340" t="n">
        <v>0</v>
      </c>
      <c r="P340" t="n">
        <v>0</v>
      </c>
      <c r="Q340" t="n">
        <v>0</v>
      </c>
      <c r="R340" s="2" t="inlineStr"/>
    </row>
    <row r="341" ht="15" customHeight="1">
      <c r="A341" t="inlineStr">
        <is>
          <t>A 1339-2021</t>
        </is>
      </c>
      <c r="B341" s="1" t="n">
        <v>44208</v>
      </c>
      <c r="C341" s="1" t="n">
        <v>45337</v>
      </c>
      <c r="D341" t="inlineStr">
        <is>
          <t>JÄMTLANDS LÄN</t>
        </is>
      </c>
      <c r="E341" t="inlineStr">
        <is>
          <t>ÅRE</t>
        </is>
      </c>
      <c r="G341" t="n">
        <v>0.9</v>
      </c>
      <c r="H341" t="n">
        <v>0</v>
      </c>
      <c r="I341" t="n">
        <v>0</v>
      </c>
      <c r="J341" t="n">
        <v>0</v>
      </c>
      <c r="K341" t="n">
        <v>0</v>
      </c>
      <c r="L341" t="n">
        <v>0</v>
      </c>
      <c r="M341" t="n">
        <v>0</v>
      </c>
      <c r="N341" t="n">
        <v>0</v>
      </c>
      <c r="O341" t="n">
        <v>0</v>
      </c>
      <c r="P341" t="n">
        <v>0</v>
      </c>
      <c r="Q341" t="n">
        <v>0</v>
      </c>
      <c r="R341" s="2" t="inlineStr"/>
    </row>
    <row r="342" ht="15" customHeight="1">
      <c r="A342" t="inlineStr">
        <is>
          <t>A 4838-2021</t>
        </is>
      </c>
      <c r="B342" s="1" t="n">
        <v>44225</v>
      </c>
      <c r="C342" s="1" t="n">
        <v>45337</v>
      </c>
      <c r="D342" t="inlineStr">
        <is>
          <t>JÄMTLANDS LÄN</t>
        </is>
      </c>
      <c r="E342" t="inlineStr">
        <is>
          <t>ÅRE</t>
        </is>
      </c>
      <c r="G342" t="n">
        <v>12.4</v>
      </c>
      <c r="H342" t="n">
        <v>0</v>
      </c>
      <c r="I342" t="n">
        <v>0</v>
      </c>
      <c r="J342" t="n">
        <v>0</v>
      </c>
      <c r="K342" t="n">
        <v>0</v>
      </c>
      <c r="L342" t="n">
        <v>0</v>
      </c>
      <c r="M342" t="n">
        <v>0</v>
      </c>
      <c r="N342" t="n">
        <v>0</v>
      </c>
      <c r="O342" t="n">
        <v>0</v>
      </c>
      <c r="P342" t="n">
        <v>0</v>
      </c>
      <c r="Q342" t="n">
        <v>0</v>
      </c>
      <c r="R342" s="2" t="inlineStr"/>
    </row>
    <row r="343" ht="15" customHeight="1">
      <c r="A343" t="inlineStr">
        <is>
          <t>A 4870-2021</t>
        </is>
      </c>
      <c r="B343" s="1" t="n">
        <v>44225</v>
      </c>
      <c r="C343" s="1" t="n">
        <v>45337</v>
      </c>
      <c r="D343" t="inlineStr">
        <is>
          <t>JÄMTLANDS LÄN</t>
        </is>
      </c>
      <c r="E343" t="inlineStr">
        <is>
          <t>ÅRE</t>
        </is>
      </c>
      <c r="G343" t="n">
        <v>0.5</v>
      </c>
      <c r="H343" t="n">
        <v>0</v>
      </c>
      <c r="I343" t="n">
        <v>0</v>
      </c>
      <c r="J343" t="n">
        <v>0</v>
      </c>
      <c r="K343" t="n">
        <v>0</v>
      </c>
      <c r="L343" t="n">
        <v>0</v>
      </c>
      <c r="M343" t="n">
        <v>0</v>
      </c>
      <c r="N343" t="n">
        <v>0</v>
      </c>
      <c r="O343" t="n">
        <v>0</v>
      </c>
      <c r="P343" t="n">
        <v>0</v>
      </c>
      <c r="Q343" t="n">
        <v>0</v>
      </c>
      <c r="R343" s="2" t="inlineStr"/>
    </row>
    <row r="344" ht="15" customHeight="1">
      <c r="A344" t="inlineStr">
        <is>
          <t>A 5401-2021</t>
        </is>
      </c>
      <c r="B344" s="1" t="n">
        <v>44229</v>
      </c>
      <c r="C344" s="1" t="n">
        <v>45337</v>
      </c>
      <c r="D344" t="inlineStr">
        <is>
          <t>JÄMTLANDS LÄN</t>
        </is>
      </c>
      <c r="E344" t="inlineStr">
        <is>
          <t>ÅRE</t>
        </is>
      </c>
      <c r="G344" t="n">
        <v>10</v>
      </c>
      <c r="H344" t="n">
        <v>0</v>
      </c>
      <c r="I344" t="n">
        <v>0</v>
      </c>
      <c r="J344" t="n">
        <v>0</v>
      </c>
      <c r="K344" t="n">
        <v>0</v>
      </c>
      <c r="L344" t="n">
        <v>0</v>
      </c>
      <c r="M344" t="n">
        <v>0</v>
      </c>
      <c r="N344" t="n">
        <v>0</v>
      </c>
      <c r="O344" t="n">
        <v>0</v>
      </c>
      <c r="P344" t="n">
        <v>0</v>
      </c>
      <c r="Q344" t="n">
        <v>0</v>
      </c>
      <c r="R344" s="2" t="inlineStr"/>
    </row>
    <row r="345" ht="15" customHeight="1">
      <c r="A345" t="inlineStr">
        <is>
          <t>A 5753-2021</t>
        </is>
      </c>
      <c r="B345" s="1" t="n">
        <v>44230</v>
      </c>
      <c r="C345" s="1" t="n">
        <v>45337</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45337</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6232-2021</t>
        </is>
      </c>
      <c r="B347" s="1" t="n">
        <v>44231</v>
      </c>
      <c r="C347" s="1" t="n">
        <v>45337</v>
      </c>
      <c r="D347" t="inlineStr">
        <is>
          <t>JÄMTLANDS LÄN</t>
        </is>
      </c>
      <c r="E347" t="inlineStr">
        <is>
          <t>ÅRE</t>
        </is>
      </c>
      <c r="G347" t="n">
        <v>11.9</v>
      </c>
      <c r="H347" t="n">
        <v>0</v>
      </c>
      <c r="I347" t="n">
        <v>0</v>
      </c>
      <c r="J347" t="n">
        <v>0</v>
      </c>
      <c r="K347" t="n">
        <v>0</v>
      </c>
      <c r="L347" t="n">
        <v>0</v>
      </c>
      <c r="M347" t="n">
        <v>0</v>
      </c>
      <c r="N347" t="n">
        <v>0</v>
      </c>
      <c r="O347" t="n">
        <v>0</v>
      </c>
      <c r="P347" t="n">
        <v>0</v>
      </c>
      <c r="Q347" t="n">
        <v>0</v>
      </c>
      <c r="R347" s="2" t="inlineStr"/>
    </row>
    <row r="348" ht="15" customHeight="1">
      <c r="A348" t="inlineStr">
        <is>
          <t>A 8294-2021</t>
        </is>
      </c>
      <c r="B348" s="1" t="n">
        <v>44243</v>
      </c>
      <c r="C348" s="1" t="n">
        <v>45337</v>
      </c>
      <c r="D348" t="inlineStr">
        <is>
          <t>JÄMTLANDS LÄN</t>
        </is>
      </c>
      <c r="E348" t="inlineStr">
        <is>
          <t>ÅRE</t>
        </is>
      </c>
      <c r="G348" t="n">
        <v>16.5</v>
      </c>
      <c r="H348" t="n">
        <v>0</v>
      </c>
      <c r="I348" t="n">
        <v>0</v>
      </c>
      <c r="J348" t="n">
        <v>0</v>
      </c>
      <c r="K348" t="n">
        <v>0</v>
      </c>
      <c r="L348" t="n">
        <v>0</v>
      </c>
      <c r="M348" t="n">
        <v>0</v>
      </c>
      <c r="N348" t="n">
        <v>0</v>
      </c>
      <c r="O348" t="n">
        <v>0</v>
      </c>
      <c r="P348" t="n">
        <v>0</v>
      </c>
      <c r="Q348" t="n">
        <v>0</v>
      </c>
      <c r="R348" s="2" t="inlineStr"/>
    </row>
    <row r="349" ht="15" customHeight="1">
      <c r="A349" t="inlineStr">
        <is>
          <t>A 8217-2021</t>
        </is>
      </c>
      <c r="B349" s="1" t="n">
        <v>44244</v>
      </c>
      <c r="C349" s="1" t="n">
        <v>45337</v>
      </c>
      <c r="D349" t="inlineStr">
        <is>
          <t>JÄMTLANDS LÄN</t>
        </is>
      </c>
      <c r="E349" t="inlineStr">
        <is>
          <t>ÅRE</t>
        </is>
      </c>
      <c r="G349" t="n">
        <v>51.8</v>
      </c>
      <c r="H349" t="n">
        <v>0</v>
      </c>
      <c r="I349" t="n">
        <v>0</v>
      </c>
      <c r="J349" t="n">
        <v>0</v>
      </c>
      <c r="K349" t="n">
        <v>0</v>
      </c>
      <c r="L349" t="n">
        <v>0</v>
      </c>
      <c r="M349" t="n">
        <v>0</v>
      </c>
      <c r="N349" t="n">
        <v>0</v>
      </c>
      <c r="O349" t="n">
        <v>0</v>
      </c>
      <c r="P349" t="n">
        <v>0</v>
      </c>
      <c r="Q349" t="n">
        <v>0</v>
      </c>
      <c r="R349" s="2" t="inlineStr"/>
    </row>
    <row r="350" ht="15" customHeight="1">
      <c r="A350" t="inlineStr">
        <is>
          <t>A 8668-2021</t>
        </is>
      </c>
      <c r="B350" s="1" t="n">
        <v>44246</v>
      </c>
      <c r="C350" s="1" t="n">
        <v>45337</v>
      </c>
      <c r="D350" t="inlineStr">
        <is>
          <t>JÄMTLANDS LÄN</t>
        </is>
      </c>
      <c r="E350" t="inlineStr">
        <is>
          <t>ÅRE</t>
        </is>
      </c>
      <c r="G350" t="n">
        <v>19.5</v>
      </c>
      <c r="H350" t="n">
        <v>0</v>
      </c>
      <c r="I350" t="n">
        <v>0</v>
      </c>
      <c r="J350" t="n">
        <v>0</v>
      </c>
      <c r="K350" t="n">
        <v>0</v>
      </c>
      <c r="L350" t="n">
        <v>0</v>
      </c>
      <c r="M350" t="n">
        <v>0</v>
      </c>
      <c r="N350" t="n">
        <v>0</v>
      </c>
      <c r="O350" t="n">
        <v>0</v>
      </c>
      <c r="P350" t="n">
        <v>0</v>
      </c>
      <c r="Q350" t="n">
        <v>0</v>
      </c>
      <c r="R350" s="2" t="inlineStr"/>
    </row>
    <row r="351" ht="15" customHeight="1">
      <c r="A351" t="inlineStr">
        <is>
          <t>A 9613-2021</t>
        </is>
      </c>
      <c r="B351" s="1" t="n">
        <v>44251</v>
      </c>
      <c r="C351" s="1" t="n">
        <v>45337</v>
      </c>
      <c r="D351" t="inlineStr">
        <is>
          <t>JÄMTLANDS LÄN</t>
        </is>
      </c>
      <c r="E351" t="inlineStr">
        <is>
          <t>ÅRE</t>
        </is>
      </c>
      <c r="G351" t="n">
        <v>2</v>
      </c>
      <c r="H351" t="n">
        <v>0</v>
      </c>
      <c r="I351" t="n">
        <v>0</v>
      </c>
      <c r="J351" t="n">
        <v>0</v>
      </c>
      <c r="K351" t="n">
        <v>0</v>
      </c>
      <c r="L351" t="n">
        <v>0</v>
      </c>
      <c r="M351" t="n">
        <v>0</v>
      </c>
      <c r="N351" t="n">
        <v>0</v>
      </c>
      <c r="O351" t="n">
        <v>0</v>
      </c>
      <c r="P351" t="n">
        <v>0</v>
      </c>
      <c r="Q351" t="n">
        <v>0</v>
      </c>
      <c r="R351" s="2" t="inlineStr"/>
    </row>
    <row r="352" ht="15" customHeight="1">
      <c r="A352" t="inlineStr">
        <is>
          <t>A 9777-2021</t>
        </is>
      </c>
      <c r="B352" s="1" t="n">
        <v>44252</v>
      </c>
      <c r="C352" s="1" t="n">
        <v>45337</v>
      </c>
      <c r="D352" t="inlineStr">
        <is>
          <t>JÄMTLANDS LÄN</t>
        </is>
      </c>
      <c r="E352" t="inlineStr">
        <is>
          <t>ÅRE</t>
        </is>
      </c>
      <c r="G352" t="n">
        <v>4.2</v>
      </c>
      <c r="H352" t="n">
        <v>0</v>
      </c>
      <c r="I352" t="n">
        <v>0</v>
      </c>
      <c r="J352" t="n">
        <v>0</v>
      </c>
      <c r="K352" t="n">
        <v>0</v>
      </c>
      <c r="L352" t="n">
        <v>0</v>
      </c>
      <c r="M352" t="n">
        <v>0</v>
      </c>
      <c r="N352" t="n">
        <v>0</v>
      </c>
      <c r="O352" t="n">
        <v>0</v>
      </c>
      <c r="P352" t="n">
        <v>0</v>
      </c>
      <c r="Q352" t="n">
        <v>0</v>
      </c>
      <c r="R352" s="2" t="inlineStr"/>
    </row>
    <row r="353" ht="15" customHeight="1">
      <c r="A353" t="inlineStr">
        <is>
          <t>A 10191-2021</t>
        </is>
      </c>
      <c r="B353" s="1" t="n">
        <v>44256</v>
      </c>
      <c r="C353" s="1" t="n">
        <v>45337</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10285-2021</t>
        </is>
      </c>
      <c r="B354" s="1" t="n">
        <v>44257</v>
      </c>
      <c r="C354" s="1" t="n">
        <v>45337</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10283-2021</t>
        </is>
      </c>
      <c r="B355" s="1" t="n">
        <v>44257</v>
      </c>
      <c r="C355" s="1" t="n">
        <v>45337</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12387-2021</t>
        </is>
      </c>
      <c r="B356" s="1" t="n">
        <v>44267</v>
      </c>
      <c r="C356" s="1" t="n">
        <v>45337</v>
      </c>
      <c r="D356" t="inlineStr">
        <is>
          <t>JÄMTLANDS LÄN</t>
        </is>
      </c>
      <c r="E356" t="inlineStr">
        <is>
          <t>ÅRE</t>
        </is>
      </c>
      <c r="G356" t="n">
        <v>3.4</v>
      </c>
      <c r="H356" t="n">
        <v>0</v>
      </c>
      <c r="I356" t="n">
        <v>0</v>
      </c>
      <c r="J356" t="n">
        <v>0</v>
      </c>
      <c r="K356" t="n">
        <v>0</v>
      </c>
      <c r="L356" t="n">
        <v>0</v>
      </c>
      <c r="M356" t="n">
        <v>0</v>
      </c>
      <c r="N356" t="n">
        <v>0</v>
      </c>
      <c r="O356" t="n">
        <v>0</v>
      </c>
      <c r="P356" t="n">
        <v>0</v>
      </c>
      <c r="Q356" t="n">
        <v>0</v>
      </c>
      <c r="R356" s="2" t="inlineStr"/>
    </row>
    <row r="357" ht="15" customHeight="1">
      <c r="A357" t="inlineStr">
        <is>
          <t>A 12857-2021</t>
        </is>
      </c>
      <c r="B357" s="1" t="n">
        <v>44270</v>
      </c>
      <c r="C357" s="1" t="n">
        <v>45337</v>
      </c>
      <c r="D357" t="inlineStr">
        <is>
          <t>JÄMTLANDS LÄN</t>
        </is>
      </c>
      <c r="E357" t="inlineStr">
        <is>
          <t>ÅRE</t>
        </is>
      </c>
      <c r="F357" t="inlineStr">
        <is>
          <t>Kommuner</t>
        </is>
      </c>
      <c r="G357" t="n">
        <v>17.2</v>
      </c>
      <c r="H357" t="n">
        <v>0</v>
      </c>
      <c r="I357" t="n">
        <v>0</v>
      </c>
      <c r="J357" t="n">
        <v>0</v>
      </c>
      <c r="K357" t="n">
        <v>0</v>
      </c>
      <c r="L357" t="n">
        <v>0</v>
      </c>
      <c r="M357" t="n">
        <v>0</v>
      </c>
      <c r="N357" t="n">
        <v>0</v>
      </c>
      <c r="O357" t="n">
        <v>0</v>
      </c>
      <c r="P357" t="n">
        <v>0</v>
      </c>
      <c r="Q357" t="n">
        <v>0</v>
      </c>
      <c r="R357" s="2" t="inlineStr"/>
    </row>
    <row r="358" ht="15" customHeight="1">
      <c r="A358" t="inlineStr">
        <is>
          <t>A 12827-2021</t>
        </is>
      </c>
      <c r="B358" s="1" t="n">
        <v>44271</v>
      </c>
      <c r="C358" s="1" t="n">
        <v>45337</v>
      </c>
      <c r="D358" t="inlineStr">
        <is>
          <t>JÄMTLANDS LÄN</t>
        </is>
      </c>
      <c r="E358" t="inlineStr">
        <is>
          <t>ÅRE</t>
        </is>
      </c>
      <c r="G358" t="n">
        <v>1.5</v>
      </c>
      <c r="H358" t="n">
        <v>0</v>
      </c>
      <c r="I358" t="n">
        <v>0</v>
      </c>
      <c r="J358" t="n">
        <v>0</v>
      </c>
      <c r="K358" t="n">
        <v>0</v>
      </c>
      <c r="L358" t="n">
        <v>0</v>
      </c>
      <c r="M358" t="n">
        <v>0</v>
      </c>
      <c r="N358" t="n">
        <v>0</v>
      </c>
      <c r="O358" t="n">
        <v>0</v>
      </c>
      <c r="P358" t="n">
        <v>0</v>
      </c>
      <c r="Q358" t="n">
        <v>0</v>
      </c>
      <c r="R358" s="2" t="inlineStr"/>
    </row>
    <row r="359" ht="15" customHeight="1">
      <c r="A359" t="inlineStr">
        <is>
          <t>A 14202-2021</t>
        </is>
      </c>
      <c r="B359" s="1" t="n">
        <v>44278</v>
      </c>
      <c r="C359" s="1" t="n">
        <v>45337</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14210-2021</t>
        </is>
      </c>
      <c r="B360" s="1" t="n">
        <v>44278</v>
      </c>
      <c r="C360" s="1" t="n">
        <v>45337</v>
      </c>
      <c r="D360" t="inlineStr">
        <is>
          <t>JÄMTLANDS LÄN</t>
        </is>
      </c>
      <c r="E360" t="inlineStr">
        <is>
          <t>ÅRE</t>
        </is>
      </c>
      <c r="G360" t="n">
        <v>5.3</v>
      </c>
      <c r="H360" t="n">
        <v>0</v>
      </c>
      <c r="I360" t="n">
        <v>0</v>
      </c>
      <c r="J360" t="n">
        <v>0</v>
      </c>
      <c r="K360" t="n">
        <v>0</v>
      </c>
      <c r="L360" t="n">
        <v>0</v>
      </c>
      <c r="M360" t="n">
        <v>0</v>
      </c>
      <c r="N360" t="n">
        <v>0</v>
      </c>
      <c r="O360" t="n">
        <v>0</v>
      </c>
      <c r="P360" t="n">
        <v>0</v>
      </c>
      <c r="Q360" t="n">
        <v>0</v>
      </c>
      <c r="R360" s="2" t="inlineStr"/>
    </row>
    <row r="361" ht="15" customHeight="1">
      <c r="A361" t="inlineStr">
        <is>
          <t>A 14204-2021</t>
        </is>
      </c>
      <c r="B361" s="1" t="n">
        <v>44278</v>
      </c>
      <c r="C361" s="1" t="n">
        <v>45337</v>
      </c>
      <c r="D361" t="inlineStr">
        <is>
          <t>JÄMTLANDS LÄN</t>
        </is>
      </c>
      <c r="E361" t="inlineStr">
        <is>
          <t>ÅRE</t>
        </is>
      </c>
      <c r="G361" t="n">
        <v>24.6</v>
      </c>
      <c r="H361" t="n">
        <v>0</v>
      </c>
      <c r="I361" t="n">
        <v>0</v>
      </c>
      <c r="J361" t="n">
        <v>0</v>
      </c>
      <c r="K361" t="n">
        <v>0</v>
      </c>
      <c r="L361" t="n">
        <v>0</v>
      </c>
      <c r="M361" t="n">
        <v>0</v>
      </c>
      <c r="N361" t="n">
        <v>0</v>
      </c>
      <c r="O361" t="n">
        <v>0</v>
      </c>
      <c r="P361" t="n">
        <v>0</v>
      </c>
      <c r="Q361" t="n">
        <v>0</v>
      </c>
      <c r="R361" s="2" t="inlineStr"/>
    </row>
    <row r="362" ht="15" customHeight="1">
      <c r="A362" t="inlineStr">
        <is>
          <t>A 14826-2021</t>
        </is>
      </c>
      <c r="B362" s="1" t="n">
        <v>44280</v>
      </c>
      <c r="C362" s="1" t="n">
        <v>45337</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15305-2021</t>
        </is>
      </c>
      <c r="B363" s="1" t="n">
        <v>44284</v>
      </c>
      <c r="C363" s="1" t="n">
        <v>45337</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16625-2021</t>
        </is>
      </c>
      <c r="B364" s="1" t="n">
        <v>44294</v>
      </c>
      <c r="C364" s="1" t="n">
        <v>45337</v>
      </c>
      <c r="D364" t="inlineStr">
        <is>
          <t>JÄMTLANDS LÄN</t>
        </is>
      </c>
      <c r="E364" t="inlineStr">
        <is>
          <t>ÅRE</t>
        </is>
      </c>
      <c r="F364" t="inlineStr">
        <is>
          <t>Övriga Aktiebolag</t>
        </is>
      </c>
      <c r="G364" t="n">
        <v>0.1</v>
      </c>
      <c r="H364" t="n">
        <v>0</v>
      </c>
      <c r="I364" t="n">
        <v>0</v>
      </c>
      <c r="J364" t="n">
        <v>0</v>
      </c>
      <c r="K364" t="n">
        <v>0</v>
      </c>
      <c r="L364" t="n">
        <v>0</v>
      </c>
      <c r="M364" t="n">
        <v>0</v>
      </c>
      <c r="N364" t="n">
        <v>0</v>
      </c>
      <c r="O364" t="n">
        <v>0</v>
      </c>
      <c r="P364" t="n">
        <v>0</v>
      </c>
      <c r="Q364" t="n">
        <v>0</v>
      </c>
      <c r="R364" s="2" t="inlineStr"/>
    </row>
    <row r="365" ht="15" customHeight="1">
      <c r="A365" t="inlineStr">
        <is>
          <t>A 17883-2021</t>
        </is>
      </c>
      <c r="B365" s="1" t="n">
        <v>44301</v>
      </c>
      <c r="C365" s="1" t="n">
        <v>45337</v>
      </c>
      <c r="D365" t="inlineStr">
        <is>
          <t>JÄMTLANDS LÄN</t>
        </is>
      </c>
      <c r="E365" t="inlineStr">
        <is>
          <t>ÅRE</t>
        </is>
      </c>
      <c r="F365" t="inlineStr">
        <is>
          <t>Övriga Aktiebolag</t>
        </is>
      </c>
      <c r="G365" t="n">
        <v>6.7</v>
      </c>
      <c r="H365" t="n">
        <v>0</v>
      </c>
      <c r="I365" t="n">
        <v>0</v>
      </c>
      <c r="J365" t="n">
        <v>0</v>
      </c>
      <c r="K365" t="n">
        <v>0</v>
      </c>
      <c r="L365" t="n">
        <v>0</v>
      </c>
      <c r="M365" t="n">
        <v>0</v>
      </c>
      <c r="N365" t="n">
        <v>0</v>
      </c>
      <c r="O365" t="n">
        <v>0</v>
      </c>
      <c r="P365" t="n">
        <v>0</v>
      </c>
      <c r="Q365" t="n">
        <v>0</v>
      </c>
      <c r="R365" s="2" t="inlineStr"/>
    </row>
    <row r="366" ht="15" customHeight="1">
      <c r="A366" t="inlineStr">
        <is>
          <t>A 18374-2021</t>
        </is>
      </c>
      <c r="B366" s="1" t="n">
        <v>44305</v>
      </c>
      <c r="C366" s="1" t="n">
        <v>45337</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18531-2021</t>
        </is>
      </c>
      <c r="B367" s="1" t="n">
        <v>44306</v>
      </c>
      <c r="C367" s="1" t="n">
        <v>45337</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18792-2021</t>
        </is>
      </c>
      <c r="B368" s="1" t="n">
        <v>44307</v>
      </c>
      <c r="C368" s="1" t="n">
        <v>45337</v>
      </c>
      <c r="D368" t="inlineStr">
        <is>
          <t>JÄMTLANDS LÄN</t>
        </is>
      </c>
      <c r="E368" t="inlineStr">
        <is>
          <t>ÅRE</t>
        </is>
      </c>
      <c r="G368" t="n">
        <v>16.6</v>
      </c>
      <c r="H368" t="n">
        <v>0</v>
      </c>
      <c r="I368" t="n">
        <v>0</v>
      </c>
      <c r="J368" t="n">
        <v>0</v>
      </c>
      <c r="K368" t="n">
        <v>0</v>
      </c>
      <c r="L368" t="n">
        <v>0</v>
      </c>
      <c r="M368" t="n">
        <v>0</v>
      </c>
      <c r="N368" t="n">
        <v>0</v>
      </c>
      <c r="O368" t="n">
        <v>0</v>
      </c>
      <c r="P368" t="n">
        <v>0</v>
      </c>
      <c r="Q368" t="n">
        <v>0</v>
      </c>
      <c r="R368" s="2" t="inlineStr"/>
    </row>
    <row r="369" ht="15" customHeight="1">
      <c r="A369" t="inlineStr">
        <is>
          <t>A 19275-2021</t>
        </is>
      </c>
      <c r="B369" s="1" t="n">
        <v>44309</v>
      </c>
      <c r="C369" s="1" t="n">
        <v>45337</v>
      </c>
      <c r="D369" t="inlineStr">
        <is>
          <t>JÄMTLANDS LÄN</t>
        </is>
      </c>
      <c r="E369" t="inlineStr">
        <is>
          <t>ÅRE</t>
        </is>
      </c>
      <c r="G369" t="n">
        <v>16.4</v>
      </c>
      <c r="H369" t="n">
        <v>0</v>
      </c>
      <c r="I369" t="n">
        <v>0</v>
      </c>
      <c r="J369" t="n">
        <v>0</v>
      </c>
      <c r="K369" t="n">
        <v>0</v>
      </c>
      <c r="L369" t="n">
        <v>0</v>
      </c>
      <c r="M369" t="n">
        <v>0</v>
      </c>
      <c r="N369" t="n">
        <v>0</v>
      </c>
      <c r="O369" t="n">
        <v>0</v>
      </c>
      <c r="P369" t="n">
        <v>0</v>
      </c>
      <c r="Q369" t="n">
        <v>0</v>
      </c>
      <c r="R369" s="2" t="inlineStr"/>
    </row>
    <row r="370" ht="15" customHeight="1">
      <c r="A370" t="inlineStr">
        <is>
          <t>A 20501-2021</t>
        </is>
      </c>
      <c r="B370" s="1" t="n">
        <v>44315</v>
      </c>
      <c r="C370" s="1" t="n">
        <v>45337</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21897-2021</t>
        </is>
      </c>
      <c r="B371" s="1" t="n">
        <v>44322</v>
      </c>
      <c r="C371" s="1" t="n">
        <v>45337</v>
      </c>
      <c r="D371" t="inlineStr">
        <is>
          <t>JÄMTLANDS LÄN</t>
        </is>
      </c>
      <c r="E371" t="inlineStr">
        <is>
          <t>ÅRE</t>
        </is>
      </c>
      <c r="G371" t="n">
        <v>41.4</v>
      </c>
      <c r="H371" t="n">
        <v>0</v>
      </c>
      <c r="I371" t="n">
        <v>0</v>
      </c>
      <c r="J371" t="n">
        <v>0</v>
      </c>
      <c r="K371" t="n">
        <v>0</v>
      </c>
      <c r="L371" t="n">
        <v>0</v>
      </c>
      <c r="M371" t="n">
        <v>0</v>
      </c>
      <c r="N371" t="n">
        <v>0</v>
      </c>
      <c r="O371" t="n">
        <v>0</v>
      </c>
      <c r="P371" t="n">
        <v>0</v>
      </c>
      <c r="Q371" t="n">
        <v>0</v>
      </c>
      <c r="R371" s="2" t="inlineStr"/>
    </row>
    <row r="372" ht="15" customHeight="1">
      <c r="A372" t="inlineStr">
        <is>
          <t>A 21905-2021</t>
        </is>
      </c>
      <c r="B372" s="1" t="n">
        <v>44322</v>
      </c>
      <c r="C372" s="1" t="n">
        <v>45337</v>
      </c>
      <c r="D372" t="inlineStr">
        <is>
          <t>JÄMTLANDS LÄN</t>
        </is>
      </c>
      <c r="E372" t="inlineStr">
        <is>
          <t>ÅRE</t>
        </is>
      </c>
      <c r="G372" t="n">
        <v>14.3</v>
      </c>
      <c r="H372" t="n">
        <v>0</v>
      </c>
      <c r="I372" t="n">
        <v>0</v>
      </c>
      <c r="J372" t="n">
        <v>0</v>
      </c>
      <c r="K372" t="n">
        <v>0</v>
      </c>
      <c r="L372" t="n">
        <v>0</v>
      </c>
      <c r="M372" t="n">
        <v>0</v>
      </c>
      <c r="N372" t="n">
        <v>0</v>
      </c>
      <c r="O372" t="n">
        <v>0</v>
      </c>
      <c r="P372" t="n">
        <v>0</v>
      </c>
      <c r="Q372" t="n">
        <v>0</v>
      </c>
      <c r="R372" s="2" t="inlineStr"/>
    </row>
    <row r="373" ht="15" customHeight="1">
      <c r="A373" t="inlineStr">
        <is>
          <t>A 22707-2021</t>
        </is>
      </c>
      <c r="B373" s="1" t="n">
        <v>44323</v>
      </c>
      <c r="C373" s="1" t="n">
        <v>45337</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22505-2021</t>
        </is>
      </c>
      <c r="B374" s="1" t="n">
        <v>44326</v>
      </c>
      <c r="C374" s="1" t="n">
        <v>45337</v>
      </c>
      <c r="D374" t="inlineStr">
        <is>
          <t>JÄMTLANDS LÄN</t>
        </is>
      </c>
      <c r="E374" t="inlineStr">
        <is>
          <t>ÅRE</t>
        </is>
      </c>
      <c r="G374" t="n">
        <v>0.6</v>
      </c>
      <c r="H374" t="n">
        <v>0</v>
      </c>
      <c r="I374" t="n">
        <v>0</v>
      </c>
      <c r="J374" t="n">
        <v>0</v>
      </c>
      <c r="K374" t="n">
        <v>0</v>
      </c>
      <c r="L374" t="n">
        <v>0</v>
      </c>
      <c r="M374" t="n">
        <v>0</v>
      </c>
      <c r="N374" t="n">
        <v>0</v>
      </c>
      <c r="O374" t="n">
        <v>0</v>
      </c>
      <c r="P374" t="n">
        <v>0</v>
      </c>
      <c r="Q374" t="n">
        <v>0</v>
      </c>
      <c r="R374" s="2" t="inlineStr"/>
    </row>
    <row r="375" ht="15" customHeight="1">
      <c r="A375" t="inlineStr">
        <is>
          <t>A 23561-2021</t>
        </is>
      </c>
      <c r="B375" s="1" t="n">
        <v>44334</v>
      </c>
      <c r="C375" s="1" t="n">
        <v>45337</v>
      </c>
      <c r="D375" t="inlineStr">
        <is>
          <t>JÄMTLANDS LÄN</t>
        </is>
      </c>
      <c r="E375" t="inlineStr">
        <is>
          <t>ÅRE</t>
        </is>
      </c>
      <c r="G375" t="n">
        <v>8.5</v>
      </c>
      <c r="H375" t="n">
        <v>0</v>
      </c>
      <c r="I375" t="n">
        <v>0</v>
      </c>
      <c r="J375" t="n">
        <v>0</v>
      </c>
      <c r="K375" t="n">
        <v>0</v>
      </c>
      <c r="L375" t="n">
        <v>0</v>
      </c>
      <c r="M375" t="n">
        <v>0</v>
      </c>
      <c r="N375" t="n">
        <v>0</v>
      </c>
      <c r="O375" t="n">
        <v>0</v>
      </c>
      <c r="P375" t="n">
        <v>0</v>
      </c>
      <c r="Q375" t="n">
        <v>0</v>
      </c>
      <c r="R375" s="2" t="inlineStr"/>
    </row>
    <row r="376" ht="15" customHeight="1">
      <c r="A376" t="inlineStr">
        <is>
          <t>A 24201-2021</t>
        </is>
      </c>
      <c r="B376" s="1" t="n">
        <v>44336</v>
      </c>
      <c r="C376" s="1" t="n">
        <v>45337</v>
      </c>
      <c r="D376" t="inlineStr">
        <is>
          <t>JÄMTLANDS LÄN</t>
        </is>
      </c>
      <c r="E376" t="inlineStr">
        <is>
          <t>ÅRE</t>
        </is>
      </c>
      <c r="G376" t="n">
        <v>23.1</v>
      </c>
      <c r="H376" t="n">
        <v>0</v>
      </c>
      <c r="I376" t="n">
        <v>0</v>
      </c>
      <c r="J376" t="n">
        <v>0</v>
      </c>
      <c r="K376" t="n">
        <v>0</v>
      </c>
      <c r="L376" t="n">
        <v>0</v>
      </c>
      <c r="M376" t="n">
        <v>0</v>
      </c>
      <c r="N376" t="n">
        <v>0</v>
      </c>
      <c r="O376" t="n">
        <v>0</v>
      </c>
      <c r="P376" t="n">
        <v>0</v>
      </c>
      <c r="Q376" t="n">
        <v>0</v>
      </c>
      <c r="R376" s="2" t="inlineStr"/>
    </row>
    <row r="377" ht="15" customHeight="1">
      <c r="A377" t="inlineStr">
        <is>
          <t>A 24585-2021</t>
        </is>
      </c>
      <c r="B377" s="1" t="n">
        <v>44337</v>
      </c>
      <c r="C377" s="1" t="n">
        <v>45337</v>
      </c>
      <c r="D377" t="inlineStr">
        <is>
          <t>JÄMTLANDS LÄN</t>
        </is>
      </c>
      <c r="E377" t="inlineStr">
        <is>
          <t>ÅRE</t>
        </is>
      </c>
      <c r="G377" t="n">
        <v>1.9</v>
      </c>
      <c r="H377" t="n">
        <v>0</v>
      </c>
      <c r="I377" t="n">
        <v>0</v>
      </c>
      <c r="J377" t="n">
        <v>0</v>
      </c>
      <c r="K377" t="n">
        <v>0</v>
      </c>
      <c r="L377" t="n">
        <v>0</v>
      </c>
      <c r="M377" t="n">
        <v>0</v>
      </c>
      <c r="N377" t="n">
        <v>0</v>
      </c>
      <c r="O377" t="n">
        <v>0</v>
      </c>
      <c r="P377" t="n">
        <v>0</v>
      </c>
      <c r="Q377" t="n">
        <v>0</v>
      </c>
      <c r="R377" s="2" t="inlineStr"/>
    </row>
    <row r="378" ht="15" customHeight="1">
      <c r="A378" t="inlineStr">
        <is>
          <t>A 26722-2021</t>
        </is>
      </c>
      <c r="B378" s="1" t="n">
        <v>44349</v>
      </c>
      <c r="C378" s="1" t="n">
        <v>45337</v>
      </c>
      <c r="D378" t="inlineStr">
        <is>
          <t>JÄMTLANDS LÄN</t>
        </is>
      </c>
      <c r="E378" t="inlineStr">
        <is>
          <t>ÅRE</t>
        </is>
      </c>
      <c r="G378" t="n">
        <v>11.4</v>
      </c>
      <c r="H378" t="n">
        <v>0</v>
      </c>
      <c r="I378" t="n">
        <v>0</v>
      </c>
      <c r="J378" t="n">
        <v>0</v>
      </c>
      <c r="K378" t="n">
        <v>0</v>
      </c>
      <c r="L378" t="n">
        <v>0</v>
      </c>
      <c r="M378" t="n">
        <v>0</v>
      </c>
      <c r="N378" t="n">
        <v>0</v>
      </c>
      <c r="O378" t="n">
        <v>0</v>
      </c>
      <c r="P378" t="n">
        <v>0</v>
      </c>
      <c r="Q378" t="n">
        <v>0</v>
      </c>
      <c r="R378" s="2" t="inlineStr"/>
    </row>
    <row r="379" ht="15" customHeight="1">
      <c r="A379" t="inlineStr">
        <is>
          <t>A 27010-2021</t>
        </is>
      </c>
      <c r="B379" s="1" t="n">
        <v>44350</v>
      </c>
      <c r="C379" s="1" t="n">
        <v>45337</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45337</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27390-2021</t>
        </is>
      </c>
      <c r="B381" s="1" t="n">
        <v>44351</v>
      </c>
      <c r="C381" s="1" t="n">
        <v>45337</v>
      </c>
      <c r="D381" t="inlineStr">
        <is>
          <t>JÄMTLANDS LÄN</t>
        </is>
      </c>
      <c r="E381" t="inlineStr">
        <is>
          <t>ÅRE</t>
        </is>
      </c>
      <c r="G381" t="n">
        <v>14.9</v>
      </c>
      <c r="H381" t="n">
        <v>0</v>
      </c>
      <c r="I381" t="n">
        <v>0</v>
      </c>
      <c r="J381" t="n">
        <v>0</v>
      </c>
      <c r="K381" t="n">
        <v>0</v>
      </c>
      <c r="L381" t="n">
        <v>0</v>
      </c>
      <c r="M381" t="n">
        <v>0</v>
      </c>
      <c r="N381" t="n">
        <v>0</v>
      </c>
      <c r="O381" t="n">
        <v>0</v>
      </c>
      <c r="P381" t="n">
        <v>0</v>
      </c>
      <c r="Q381" t="n">
        <v>0</v>
      </c>
      <c r="R381" s="2" t="inlineStr"/>
    </row>
    <row r="382" ht="15" customHeight="1">
      <c r="A382" t="inlineStr">
        <is>
          <t>A 27946-2021</t>
        </is>
      </c>
      <c r="B382" s="1" t="n">
        <v>44354</v>
      </c>
      <c r="C382" s="1" t="n">
        <v>45337</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28881-2021</t>
        </is>
      </c>
      <c r="B383" s="1" t="n">
        <v>44357</v>
      </c>
      <c r="C383" s="1" t="n">
        <v>45337</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28817-2021</t>
        </is>
      </c>
      <c r="B384" s="1" t="n">
        <v>44357</v>
      </c>
      <c r="C384" s="1" t="n">
        <v>45337</v>
      </c>
      <c r="D384" t="inlineStr">
        <is>
          <t>JÄMTLANDS LÄN</t>
        </is>
      </c>
      <c r="E384" t="inlineStr">
        <is>
          <t>ÅRE</t>
        </is>
      </c>
      <c r="G384" t="n">
        <v>21.4</v>
      </c>
      <c r="H384" t="n">
        <v>0</v>
      </c>
      <c r="I384" t="n">
        <v>0</v>
      </c>
      <c r="J384" t="n">
        <v>0</v>
      </c>
      <c r="K384" t="n">
        <v>0</v>
      </c>
      <c r="L384" t="n">
        <v>0</v>
      </c>
      <c r="M384" t="n">
        <v>0</v>
      </c>
      <c r="N384" t="n">
        <v>0</v>
      </c>
      <c r="O384" t="n">
        <v>0</v>
      </c>
      <c r="P384" t="n">
        <v>0</v>
      </c>
      <c r="Q384" t="n">
        <v>0</v>
      </c>
      <c r="R384" s="2" t="inlineStr"/>
    </row>
    <row r="385" ht="15" customHeight="1">
      <c r="A385" t="inlineStr">
        <is>
          <t>A 31388-2021</t>
        </is>
      </c>
      <c r="B385" s="1" t="n">
        <v>44369</v>
      </c>
      <c r="C385" s="1" t="n">
        <v>45337</v>
      </c>
      <c r="D385" t="inlineStr">
        <is>
          <t>JÄMTLANDS LÄN</t>
        </is>
      </c>
      <c r="E385" t="inlineStr">
        <is>
          <t>ÅRE</t>
        </is>
      </c>
      <c r="G385" t="n">
        <v>2</v>
      </c>
      <c r="H385" t="n">
        <v>0</v>
      </c>
      <c r="I385" t="n">
        <v>0</v>
      </c>
      <c r="J385" t="n">
        <v>0</v>
      </c>
      <c r="K385" t="n">
        <v>0</v>
      </c>
      <c r="L385" t="n">
        <v>0</v>
      </c>
      <c r="M385" t="n">
        <v>0</v>
      </c>
      <c r="N385" t="n">
        <v>0</v>
      </c>
      <c r="O385" t="n">
        <v>0</v>
      </c>
      <c r="P385" t="n">
        <v>0</v>
      </c>
      <c r="Q385" t="n">
        <v>0</v>
      </c>
      <c r="R385" s="2" t="inlineStr"/>
    </row>
    <row r="386" ht="15" customHeight="1">
      <c r="A386" t="inlineStr">
        <is>
          <t>A 32241-2021</t>
        </is>
      </c>
      <c r="B386" s="1" t="n">
        <v>44371</v>
      </c>
      <c r="C386" s="1" t="n">
        <v>45337</v>
      </c>
      <c r="D386" t="inlineStr">
        <is>
          <t>JÄMTLANDS LÄN</t>
        </is>
      </c>
      <c r="E386" t="inlineStr">
        <is>
          <t>ÅRE</t>
        </is>
      </c>
      <c r="G386" t="n">
        <v>2.3</v>
      </c>
      <c r="H386" t="n">
        <v>0</v>
      </c>
      <c r="I386" t="n">
        <v>0</v>
      </c>
      <c r="J386" t="n">
        <v>0</v>
      </c>
      <c r="K386" t="n">
        <v>0</v>
      </c>
      <c r="L386" t="n">
        <v>0</v>
      </c>
      <c r="M386" t="n">
        <v>0</v>
      </c>
      <c r="N386" t="n">
        <v>0</v>
      </c>
      <c r="O386" t="n">
        <v>0</v>
      </c>
      <c r="P386" t="n">
        <v>0</v>
      </c>
      <c r="Q386" t="n">
        <v>0</v>
      </c>
      <c r="R386" s="2" t="inlineStr"/>
    </row>
    <row r="387" ht="15" customHeight="1">
      <c r="A387" t="inlineStr">
        <is>
          <t>A 34357-2021</t>
        </is>
      </c>
      <c r="B387" s="1" t="n">
        <v>44379</v>
      </c>
      <c r="C387" s="1" t="n">
        <v>45337</v>
      </c>
      <c r="D387" t="inlineStr">
        <is>
          <t>JÄMTLANDS LÄN</t>
        </is>
      </c>
      <c r="E387" t="inlineStr">
        <is>
          <t>ÅRE</t>
        </is>
      </c>
      <c r="G387" t="n">
        <v>7.1</v>
      </c>
      <c r="H387" t="n">
        <v>0</v>
      </c>
      <c r="I387" t="n">
        <v>0</v>
      </c>
      <c r="J387" t="n">
        <v>0</v>
      </c>
      <c r="K387" t="n">
        <v>0</v>
      </c>
      <c r="L387" t="n">
        <v>0</v>
      </c>
      <c r="M387" t="n">
        <v>0</v>
      </c>
      <c r="N387" t="n">
        <v>0</v>
      </c>
      <c r="O387" t="n">
        <v>0</v>
      </c>
      <c r="P387" t="n">
        <v>0</v>
      </c>
      <c r="Q387" t="n">
        <v>0</v>
      </c>
      <c r="R387" s="2" t="inlineStr"/>
    </row>
    <row r="388" ht="15" customHeight="1">
      <c r="A388" t="inlineStr">
        <is>
          <t>A 36868-2021</t>
        </is>
      </c>
      <c r="B388" s="1" t="n">
        <v>44393</v>
      </c>
      <c r="C388" s="1" t="n">
        <v>45337</v>
      </c>
      <c r="D388" t="inlineStr">
        <is>
          <t>JÄMTLANDS LÄN</t>
        </is>
      </c>
      <c r="E388" t="inlineStr">
        <is>
          <t>ÅRE</t>
        </is>
      </c>
      <c r="G388" t="n">
        <v>2.5</v>
      </c>
      <c r="H388" t="n">
        <v>0</v>
      </c>
      <c r="I388" t="n">
        <v>0</v>
      </c>
      <c r="J388" t="n">
        <v>0</v>
      </c>
      <c r="K388" t="n">
        <v>0</v>
      </c>
      <c r="L388" t="n">
        <v>0</v>
      </c>
      <c r="M388" t="n">
        <v>0</v>
      </c>
      <c r="N388" t="n">
        <v>0</v>
      </c>
      <c r="O388" t="n">
        <v>0</v>
      </c>
      <c r="P388" t="n">
        <v>0</v>
      </c>
      <c r="Q388" t="n">
        <v>0</v>
      </c>
      <c r="R388" s="2" t="inlineStr"/>
    </row>
    <row r="389" ht="15" customHeight="1">
      <c r="A389" t="inlineStr">
        <is>
          <t>A 37086-2021</t>
        </is>
      </c>
      <c r="B389" s="1" t="n">
        <v>44395</v>
      </c>
      <c r="C389" s="1" t="n">
        <v>45337</v>
      </c>
      <c r="D389" t="inlineStr">
        <is>
          <t>JÄMTLANDS LÄN</t>
        </is>
      </c>
      <c r="E389" t="inlineStr">
        <is>
          <t>ÅRE</t>
        </is>
      </c>
      <c r="G389" t="n">
        <v>34.1</v>
      </c>
      <c r="H389" t="n">
        <v>0</v>
      </c>
      <c r="I389" t="n">
        <v>0</v>
      </c>
      <c r="J389" t="n">
        <v>0</v>
      </c>
      <c r="K389" t="n">
        <v>0</v>
      </c>
      <c r="L389" t="n">
        <v>0</v>
      </c>
      <c r="M389" t="n">
        <v>0</v>
      </c>
      <c r="N389" t="n">
        <v>0</v>
      </c>
      <c r="O389" t="n">
        <v>0</v>
      </c>
      <c r="P389" t="n">
        <v>0</v>
      </c>
      <c r="Q389" t="n">
        <v>0</v>
      </c>
      <c r="R389" s="2" t="inlineStr"/>
    </row>
    <row r="390" ht="15" customHeight="1">
      <c r="A390" t="inlineStr">
        <is>
          <t>A 37156-2021</t>
        </is>
      </c>
      <c r="B390" s="1" t="n">
        <v>44396</v>
      </c>
      <c r="C390" s="1" t="n">
        <v>45337</v>
      </c>
      <c r="D390" t="inlineStr">
        <is>
          <t>JÄMTLANDS LÄN</t>
        </is>
      </c>
      <c r="E390" t="inlineStr">
        <is>
          <t>ÅRE</t>
        </is>
      </c>
      <c r="G390" t="n">
        <v>16.5</v>
      </c>
      <c r="H390" t="n">
        <v>0</v>
      </c>
      <c r="I390" t="n">
        <v>0</v>
      </c>
      <c r="J390" t="n">
        <v>0</v>
      </c>
      <c r="K390" t="n">
        <v>0</v>
      </c>
      <c r="L390" t="n">
        <v>0</v>
      </c>
      <c r="M390" t="n">
        <v>0</v>
      </c>
      <c r="N390" t="n">
        <v>0</v>
      </c>
      <c r="O390" t="n">
        <v>0</v>
      </c>
      <c r="P390" t="n">
        <v>0</v>
      </c>
      <c r="Q390" t="n">
        <v>0</v>
      </c>
      <c r="R390" s="2" t="inlineStr"/>
    </row>
    <row r="391" ht="15" customHeight="1">
      <c r="A391" t="inlineStr">
        <is>
          <t>A 37461-2021</t>
        </is>
      </c>
      <c r="B391" s="1" t="n">
        <v>44398</v>
      </c>
      <c r="C391" s="1" t="n">
        <v>45337</v>
      </c>
      <c r="D391" t="inlineStr">
        <is>
          <t>JÄMTLANDS LÄN</t>
        </is>
      </c>
      <c r="E391" t="inlineStr">
        <is>
          <t>ÅRE</t>
        </is>
      </c>
      <c r="G391" t="n">
        <v>11.7</v>
      </c>
      <c r="H391" t="n">
        <v>0</v>
      </c>
      <c r="I391" t="n">
        <v>0</v>
      </c>
      <c r="J391" t="n">
        <v>0</v>
      </c>
      <c r="K391" t="n">
        <v>0</v>
      </c>
      <c r="L391" t="n">
        <v>0</v>
      </c>
      <c r="M391" t="n">
        <v>0</v>
      </c>
      <c r="N391" t="n">
        <v>0</v>
      </c>
      <c r="O391" t="n">
        <v>0</v>
      </c>
      <c r="P391" t="n">
        <v>0</v>
      </c>
      <c r="Q391" t="n">
        <v>0</v>
      </c>
      <c r="R391" s="2" t="inlineStr"/>
    </row>
    <row r="392" ht="15" customHeight="1">
      <c r="A392" t="inlineStr">
        <is>
          <t>A 38450-2021</t>
        </is>
      </c>
      <c r="B392" s="1" t="n">
        <v>44406</v>
      </c>
      <c r="C392" s="1" t="n">
        <v>45337</v>
      </c>
      <c r="D392" t="inlineStr">
        <is>
          <t>JÄMTLANDS LÄN</t>
        </is>
      </c>
      <c r="E392" t="inlineStr">
        <is>
          <t>ÅRE</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38456-2021</t>
        </is>
      </c>
      <c r="B393" s="1" t="n">
        <v>44406</v>
      </c>
      <c r="C393" s="1" t="n">
        <v>45337</v>
      </c>
      <c r="D393" t="inlineStr">
        <is>
          <t>JÄMTLANDS LÄN</t>
        </is>
      </c>
      <c r="E393" t="inlineStr">
        <is>
          <t>ÅRE</t>
        </is>
      </c>
      <c r="G393" t="n">
        <v>19.8</v>
      </c>
      <c r="H393" t="n">
        <v>0</v>
      </c>
      <c r="I393" t="n">
        <v>0</v>
      </c>
      <c r="J393" t="n">
        <v>0</v>
      </c>
      <c r="K393" t="n">
        <v>0</v>
      </c>
      <c r="L393" t="n">
        <v>0</v>
      </c>
      <c r="M393" t="n">
        <v>0</v>
      </c>
      <c r="N393" t="n">
        <v>0</v>
      </c>
      <c r="O393" t="n">
        <v>0</v>
      </c>
      <c r="P393" t="n">
        <v>0</v>
      </c>
      <c r="Q393" t="n">
        <v>0</v>
      </c>
      <c r="R393" s="2" t="inlineStr"/>
    </row>
    <row r="394" ht="15" customHeight="1">
      <c r="A394" t="inlineStr">
        <is>
          <t>A 40336-2021</t>
        </is>
      </c>
      <c r="B394" s="1" t="n">
        <v>44419</v>
      </c>
      <c r="C394" s="1" t="n">
        <v>45337</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40339-2021</t>
        </is>
      </c>
      <c r="B395" s="1" t="n">
        <v>44419</v>
      </c>
      <c r="C395" s="1" t="n">
        <v>45337</v>
      </c>
      <c r="D395" t="inlineStr">
        <is>
          <t>JÄMTLANDS LÄN</t>
        </is>
      </c>
      <c r="E395" t="inlineStr">
        <is>
          <t>ÅRE</t>
        </is>
      </c>
      <c r="G395" t="n">
        <v>6.4</v>
      </c>
      <c r="H395" t="n">
        <v>0</v>
      </c>
      <c r="I395" t="n">
        <v>0</v>
      </c>
      <c r="J395" t="n">
        <v>0</v>
      </c>
      <c r="K395" t="n">
        <v>0</v>
      </c>
      <c r="L395" t="n">
        <v>0</v>
      </c>
      <c r="M395" t="n">
        <v>0</v>
      </c>
      <c r="N395" t="n">
        <v>0</v>
      </c>
      <c r="O395" t="n">
        <v>0</v>
      </c>
      <c r="P395" t="n">
        <v>0</v>
      </c>
      <c r="Q395" t="n">
        <v>0</v>
      </c>
      <c r="R395" s="2" t="inlineStr"/>
    </row>
    <row r="396" ht="15" customHeight="1">
      <c r="A396" t="inlineStr">
        <is>
          <t>A 40341-2021</t>
        </is>
      </c>
      <c r="B396" s="1" t="n">
        <v>44419</v>
      </c>
      <c r="C396" s="1" t="n">
        <v>45337</v>
      </c>
      <c r="D396" t="inlineStr">
        <is>
          <t>JÄMTLANDS LÄN</t>
        </is>
      </c>
      <c r="E396" t="inlineStr">
        <is>
          <t>ÅRE</t>
        </is>
      </c>
      <c r="G396" t="n">
        <v>3</v>
      </c>
      <c r="H396" t="n">
        <v>0</v>
      </c>
      <c r="I396" t="n">
        <v>0</v>
      </c>
      <c r="J396" t="n">
        <v>0</v>
      </c>
      <c r="K396" t="n">
        <v>0</v>
      </c>
      <c r="L396" t="n">
        <v>0</v>
      </c>
      <c r="M396" t="n">
        <v>0</v>
      </c>
      <c r="N396" t="n">
        <v>0</v>
      </c>
      <c r="O396" t="n">
        <v>0</v>
      </c>
      <c r="P396" t="n">
        <v>0</v>
      </c>
      <c r="Q396" t="n">
        <v>0</v>
      </c>
      <c r="R396" s="2" t="inlineStr"/>
    </row>
    <row r="397" ht="15" customHeight="1">
      <c r="A397" t="inlineStr">
        <is>
          <t>A 50099-2021</t>
        </is>
      </c>
      <c r="B397" s="1" t="n">
        <v>44456</v>
      </c>
      <c r="C397" s="1" t="n">
        <v>45337</v>
      </c>
      <c r="D397" t="inlineStr">
        <is>
          <t>JÄMTLANDS LÄN</t>
        </is>
      </c>
      <c r="E397" t="inlineStr">
        <is>
          <t>ÅRE</t>
        </is>
      </c>
      <c r="G397" t="n">
        <v>6.2</v>
      </c>
      <c r="H397" t="n">
        <v>0</v>
      </c>
      <c r="I397" t="n">
        <v>0</v>
      </c>
      <c r="J397" t="n">
        <v>0</v>
      </c>
      <c r="K397" t="n">
        <v>0</v>
      </c>
      <c r="L397" t="n">
        <v>0</v>
      </c>
      <c r="M397" t="n">
        <v>0</v>
      </c>
      <c r="N397" t="n">
        <v>0</v>
      </c>
      <c r="O397" t="n">
        <v>0</v>
      </c>
      <c r="P397" t="n">
        <v>0</v>
      </c>
      <c r="Q397" t="n">
        <v>0</v>
      </c>
      <c r="R397" s="2" t="inlineStr"/>
    </row>
    <row r="398" ht="15" customHeight="1">
      <c r="A398" t="inlineStr">
        <is>
          <t>A 51042-2021</t>
        </is>
      </c>
      <c r="B398" s="1" t="n">
        <v>44461</v>
      </c>
      <c r="C398" s="1" t="n">
        <v>45337</v>
      </c>
      <c r="D398" t="inlineStr">
        <is>
          <t>JÄMTLANDS LÄN</t>
        </is>
      </c>
      <c r="E398" t="inlineStr">
        <is>
          <t>ÅRE</t>
        </is>
      </c>
      <c r="G398" t="n">
        <v>0.8</v>
      </c>
      <c r="H398" t="n">
        <v>0</v>
      </c>
      <c r="I398" t="n">
        <v>0</v>
      </c>
      <c r="J398" t="n">
        <v>0</v>
      </c>
      <c r="K398" t="n">
        <v>0</v>
      </c>
      <c r="L398" t="n">
        <v>0</v>
      </c>
      <c r="M398" t="n">
        <v>0</v>
      </c>
      <c r="N398" t="n">
        <v>0</v>
      </c>
      <c r="O398" t="n">
        <v>0</v>
      </c>
      <c r="P398" t="n">
        <v>0</v>
      </c>
      <c r="Q398" t="n">
        <v>0</v>
      </c>
      <c r="R398" s="2" t="inlineStr"/>
    </row>
    <row r="399" ht="15" customHeight="1">
      <c r="A399" t="inlineStr">
        <is>
          <t>A 51040-2021</t>
        </is>
      </c>
      <c r="B399" s="1" t="n">
        <v>44461</v>
      </c>
      <c r="C399" s="1" t="n">
        <v>45337</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52427-2021</t>
        </is>
      </c>
      <c r="B400" s="1" t="n">
        <v>44466</v>
      </c>
      <c r="C400" s="1" t="n">
        <v>45337</v>
      </c>
      <c r="D400" t="inlineStr">
        <is>
          <t>JÄMTLANDS LÄN</t>
        </is>
      </c>
      <c r="E400" t="inlineStr">
        <is>
          <t>ÅRE</t>
        </is>
      </c>
      <c r="G400" t="n">
        <v>4</v>
      </c>
      <c r="H400" t="n">
        <v>0</v>
      </c>
      <c r="I400" t="n">
        <v>0</v>
      </c>
      <c r="J400" t="n">
        <v>0</v>
      </c>
      <c r="K400" t="n">
        <v>0</v>
      </c>
      <c r="L400" t="n">
        <v>0</v>
      </c>
      <c r="M400" t="n">
        <v>0</v>
      </c>
      <c r="N400" t="n">
        <v>0</v>
      </c>
      <c r="O400" t="n">
        <v>0</v>
      </c>
      <c r="P400" t="n">
        <v>0</v>
      </c>
      <c r="Q400" t="n">
        <v>0</v>
      </c>
      <c r="R400" s="2" t="inlineStr"/>
    </row>
    <row r="401" ht="15" customHeight="1">
      <c r="A401" t="inlineStr">
        <is>
          <t>A 56197-2021</t>
        </is>
      </c>
      <c r="B401" s="1" t="n">
        <v>44478</v>
      </c>
      <c r="C401" s="1" t="n">
        <v>45337</v>
      </c>
      <c r="D401" t="inlineStr">
        <is>
          <t>JÄMTLANDS LÄN</t>
        </is>
      </c>
      <c r="E401" t="inlineStr">
        <is>
          <t>ÅRE</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56192-2021</t>
        </is>
      </c>
      <c r="B402" s="1" t="n">
        <v>44477</v>
      </c>
      <c r="C402" s="1" t="n">
        <v>45337</v>
      </c>
      <c r="D402" t="inlineStr">
        <is>
          <t>JÄMTLANDS LÄN</t>
        </is>
      </c>
      <c r="E402" t="inlineStr">
        <is>
          <t>ÅRE</t>
        </is>
      </c>
      <c r="F402" t="inlineStr">
        <is>
          <t>Övriga Aktiebolag</t>
        </is>
      </c>
      <c r="G402" t="n">
        <v>21.5</v>
      </c>
      <c r="H402" t="n">
        <v>0</v>
      </c>
      <c r="I402" t="n">
        <v>0</v>
      </c>
      <c r="J402" t="n">
        <v>0</v>
      </c>
      <c r="K402" t="n">
        <v>0</v>
      </c>
      <c r="L402" t="n">
        <v>0</v>
      </c>
      <c r="M402" t="n">
        <v>0</v>
      </c>
      <c r="N402" t="n">
        <v>0</v>
      </c>
      <c r="O402" t="n">
        <v>0</v>
      </c>
      <c r="P402" t="n">
        <v>0</v>
      </c>
      <c r="Q402" t="n">
        <v>0</v>
      </c>
      <c r="R402" s="2" t="inlineStr"/>
    </row>
    <row r="403" ht="15" customHeight="1">
      <c r="A403" t="inlineStr">
        <is>
          <t>A 57150-2021</t>
        </is>
      </c>
      <c r="B403" s="1" t="n">
        <v>44482</v>
      </c>
      <c r="C403" s="1" t="n">
        <v>45337</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57158-2021</t>
        </is>
      </c>
      <c r="B404" s="1" t="n">
        <v>44482</v>
      </c>
      <c r="C404" s="1" t="n">
        <v>45337</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57512-2021</t>
        </is>
      </c>
      <c r="B405" s="1" t="n">
        <v>44483</v>
      </c>
      <c r="C405" s="1" t="n">
        <v>45337</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57710-2021</t>
        </is>
      </c>
      <c r="B406" s="1" t="n">
        <v>44484</v>
      </c>
      <c r="C406" s="1" t="n">
        <v>45337</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58230-2021</t>
        </is>
      </c>
      <c r="B407" s="1" t="n">
        <v>44487</v>
      </c>
      <c r="C407" s="1" t="n">
        <v>45337</v>
      </c>
      <c r="D407" t="inlineStr">
        <is>
          <t>JÄMTLANDS LÄN</t>
        </is>
      </c>
      <c r="E407" t="inlineStr">
        <is>
          <t>ÅRE</t>
        </is>
      </c>
      <c r="G407" t="n">
        <v>19.3</v>
      </c>
      <c r="H407" t="n">
        <v>0</v>
      </c>
      <c r="I407" t="n">
        <v>0</v>
      </c>
      <c r="J407" t="n">
        <v>0</v>
      </c>
      <c r="K407" t="n">
        <v>0</v>
      </c>
      <c r="L407" t="n">
        <v>0</v>
      </c>
      <c r="M407" t="n">
        <v>0</v>
      </c>
      <c r="N407" t="n">
        <v>0</v>
      </c>
      <c r="O407" t="n">
        <v>0</v>
      </c>
      <c r="P407" t="n">
        <v>0</v>
      </c>
      <c r="Q407" t="n">
        <v>0</v>
      </c>
      <c r="R407" s="2" t="inlineStr"/>
    </row>
    <row r="408" ht="15" customHeight="1">
      <c r="A408" t="inlineStr">
        <is>
          <t>A 58232-2021</t>
        </is>
      </c>
      <c r="B408" s="1" t="n">
        <v>44487</v>
      </c>
      <c r="C408" s="1" t="n">
        <v>45337</v>
      </c>
      <c r="D408" t="inlineStr">
        <is>
          <t>JÄMTLANDS LÄN</t>
        </is>
      </c>
      <c r="E408" t="inlineStr">
        <is>
          <t>ÅRE</t>
        </is>
      </c>
      <c r="G408" t="n">
        <v>43.7</v>
      </c>
      <c r="H408" t="n">
        <v>0</v>
      </c>
      <c r="I408" t="n">
        <v>0</v>
      </c>
      <c r="J408" t="n">
        <v>0</v>
      </c>
      <c r="K408" t="n">
        <v>0</v>
      </c>
      <c r="L408" t="n">
        <v>0</v>
      </c>
      <c r="M408" t="n">
        <v>0</v>
      </c>
      <c r="N408" t="n">
        <v>0</v>
      </c>
      <c r="O408" t="n">
        <v>0</v>
      </c>
      <c r="P408" t="n">
        <v>0</v>
      </c>
      <c r="Q408" t="n">
        <v>0</v>
      </c>
      <c r="R408" s="2" t="inlineStr"/>
    </row>
    <row r="409" ht="15" customHeight="1">
      <c r="A409" t="inlineStr">
        <is>
          <t>A 58228-2021</t>
        </is>
      </c>
      <c r="B409" s="1" t="n">
        <v>44487</v>
      </c>
      <c r="C409" s="1" t="n">
        <v>45337</v>
      </c>
      <c r="D409" t="inlineStr">
        <is>
          <t>JÄMTLANDS LÄN</t>
        </is>
      </c>
      <c r="E409" t="inlineStr">
        <is>
          <t>ÅRE</t>
        </is>
      </c>
      <c r="G409" t="n">
        <v>46.2</v>
      </c>
      <c r="H409" t="n">
        <v>0</v>
      </c>
      <c r="I409" t="n">
        <v>0</v>
      </c>
      <c r="J409" t="n">
        <v>0</v>
      </c>
      <c r="K409" t="n">
        <v>0</v>
      </c>
      <c r="L409" t="n">
        <v>0</v>
      </c>
      <c r="M409" t="n">
        <v>0</v>
      </c>
      <c r="N409" t="n">
        <v>0</v>
      </c>
      <c r="O409" t="n">
        <v>0</v>
      </c>
      <c r="P409" t="n">
        <v>0</v>
      </c>
      <c r="Q409" t="n">
        <v>0</v>
      </c>
      <c r="R409" s="2" t="inlineStr"/>
    </row>
    <row r="410" ht="15" customHeight="1">
      <c r="A410" t="inlineStr">
        <is>
          <t>A 58940-2021</t>
        </is>
      </c>
      <c r="B410" s="1" t="n">
        <v>44489</v>
      </c>
      <c r="C410" s="1" t="n">
        <v>45337</v>
      </c>
      <c r="D410" t="inlineStr">
        <is>
          <t>JÄMTLANDS LÄN</t>
        </is>
      </c>
      <c r="E410" t="inlineStr">
        <is>
          <t>ÅRE</t>
        </is>
      </c>
      <c r="G410" t="n">
        <v>5.8</v>
      </c>
      <c r="H410" t="n">
        <v>0</v>
      </c>
      <c r="I410" t="n">
        <v>0</v>
      </c>
      <c r="J410" t="n">
        <v>0</v>
      </c>
      <c r="K410" t="n">
        <v>0</v>
      </c>
      <c r="L410" t="n">
        <v>0</v>
      </c>
      <c r="M410" t="n">
        <v>0</v>
      </c>
      <c r="N410" t="n">
        <v>0</v>
      </c>
      <c r="O410" t="n">
        <v>0</v>
      </c>
      <c r="P410" t="n">
        <v>0</v>
      </c>
      <c r="Q410" t="n">
        <v>0</v>
      </c>
      <c r="R410" s="2" t="inlineStr"/>
    </row>
    <row r="411" ht="15" customHeight="1">
      <c r="A411" t="inlineStr">
        <is>
          <t>A 59352-2021</t>
        </is>
      </c>
      <c r="B411" s="1" t="n">
        <v>44490</v>
      </c>
      <c r="C411" s="1" t="n">
        <v>45337</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59397-2021</t>
        </is>
      </c>
      <c r="B412" s="1" t="n">
        <v>44491</v>
      </c>
      <c r="C412" s="1" t="n">
        <v>45337</v>
      </c>
      <c r="D412" t="inlineStr">
        <is>
          <t>JÄMTLANDS LÄN</t>
        </is>
      </c>
      <c r="E412" t="inlineStr">
        <is>
          <t>ÅRE</t>
        </is>
      </c>
      <c r="F412" t="inlineStr">
        <is>
          <t>Övriga Aktiebolag</t>
        </is>
      </c>
      <c r="G412" t="n">
        <v>7.6</v>
      </c>
      <c r="H412" t="n">
        <v>0</v>
      </c>
      <c r="I412" t="n">
        <v>0</v>
      </c>
      <c r="J412" t="n">
        <v>0</v>
      </c>
      <c r="K412" t="n">
        <v>0</v>
      </c>
      <c r="L412" t="n">
        <v>0</v>
      </c>
      <c r="M412" t="n">
        <v>0</v>
      </c>
      <c r="N412" t="n">
        <v>0</v>
      </c>
      <c r="O412" t="n">
        <v>0</v>
      </c>
      <c r="P412" t="n">
        <v>0</v>
      </c>
      <c r="Q412" t="n">
        <v>0</v>
      </c>
      <c r="R412" s="2" t="inlineStr"/>
    </row>
    <row r="413" ht="15" customHeight="1">
      <c r="A413" t="inlineStr">
        <is>
          <t>A 60132-2021</t>
        </is>
      </c>
      <c r="B413" s="1" t="n">
        <v>44495</v>
      </c>
      <c r="C413" s="1" t="n">
        <v>45337</v>
      </c>
      <c r="D413" t="inlineStr">
        <is>
          <t>JÄMTLANDS LÄN</t>
        </is>
      </c>
      <c r="E413" t="inlineStr">
        <is>
          <t>ÅRE</t>
        </is>
      </c>
      <c r="G413" t="n">
        <v>3.7</v>
      </c>
      <c r="H413" t="n">
        <v>0</v>
      </c>
      <c r="I413" t="n">
        <v>0</v>
      </c>
      <c r="J413" t="n">
        <v>0</v>
      </c>
      <c r="K413" t="n">
        <v>0</v>
      </c>
      <c r="L413" t="n">
        <v>0</v>
      </c>
      <c r="M413" t="n">
        <v>0</v>
      </c>
      <c r="N413" t="n">
        <v>0</v>
      </c>
      <c r="O413" t="n">
        <v>0</v>
      </c>
      <c r="P413" t="n">
        <v>0</v>
      </c>
      <c r="Q413" t="n">
        <v>0</v>
      </c>
      <c r="R413" s="2" t="inlineStr"/>
    </row>
    <row r="414" ht="15" customHeight="1">
      <c r="A414" t="inlineStr">
        <is>
          <t>A 60122-2021</t>
        </is>
      </c>
      <c r="B414" s="1" t="n">
        <v>44495</v>
      </c>
      <c r="C414" s="1" t="n">
        <v>45337</v>
      </c>
      <c r="D414" t="inlineStr">
        <is>
          <t>JÄMTLANDS LÄN</t>
        </is>
      </c>
      <c r="E414" t="inlineStr">
        <is>
          <t>ÅRE</t>
        </is>
      </c>
      <c r="G414" t="n">
        <v>46.7</v>
      </c>
      <c r="H414" t="n">
        <v>0</v>
      </c>
      <c r="I414" t="n">
        <v>0</v>
      </c>
      <c r="J414" t="n">
        <v>0</v>
      </c>
      <c r="K414" t="n">
        <v>0</v>
      </c>
      <c r="L414" t="n">
        <v>0</v>
      </c>
      <c r="M414" t="n">
        <v>0</v>
      </c>
      <c r="N414" t="n">
        <v>0</v>
      </c>
      <c r="O414" t="n">
        <v>0</v>
      </c>
      <c r="P414" t="n">
        <v>0</v>
      </c>
      <c r="Q414" t="n">
        <v>0</v>
      </c>
      <c r="R414" s="2" t="inlineStr"/>
    </row>
    <row r="415" ht="15" customHeight="1">
      <c r="A415" t="inlineStr">
        <is>
          <t>A 61566-2021</t>
        </is>
      </c>
      <c r="B415" s="1" t="n">
        <v>44496</v>
      </c>
      <c r="C415" s="1" t="n">
        <v>45337</v>
      </c>
      <c r="D415" t="inlineStr">
        <is>
          <t>JÄMTLANDS LÄN</t>
        </is>
      </c>
      <c r="E415" t="inlineStr">
        <is>
          <t>ÅRE</t>
        </is>
      </c>
      <c r="F415" t="inlineStr">
        <is>
          <t>Övriga statliga verk och myndigheter</t>
        </is>
      </c>
      <c r="G415" t="n">
        <v>10.9</v>
      </c>
      <c r="H415" t="n">
        <v>0</v>
      </c>
      <c r="I415" t="n">
        <v>0</v>
      </c>
      <c r="J415" t="n">
        <v>0</v>
      </c>
      <c r="K415" t="n">
        <v>0</v>
      </c>
      <c r="L415" t="n">
        <v>0</v>
      </c>
      <c r="M415" t="n">
        <v>0</v>
      </c>
      <c r="N415" t="n">
        <v>0</v>
      </c>
      <c r="O415" t="n">
        <v>0</v>
      </c>
      <c r="P415" t="n">
        <v>0</v>
      </c>
      <c r="Q415" t="n">
        <v>0</v>
      </c>
      <c r="R415" s="2" t="inlineStr"/>
    </row>
    <row r="416" ht="15" customHeight="1">
      <c r="A416" t="inlineStr">
        <is>
          <t>A 61524-2021</t>
        </is>
      </c>
      <c r="B416" s="1" t="n">
        <v>44496</v>
      </c>
      <c r="C416" s="1" t="n">
        <v>45337</v>
      </c>
      <c r="D416" t="inlineStr">
        <is>
          <t>JÄMTLANDS LÄN</t>
        </is>
      </c>
      <c r="E416" t="inlineStr">
        <is>
          <t>ÅRE</t>
        </is>
      </c>
      <c r="F416" t="inlineStr">
        <is>
          <t>Övriga statliga verk och myndigheter</t>
        </is>
      </c>
      <c r="G416" t="n">
        <v>15</v>
      </c>
      <c r="H416" t="n">
        <v>0</v>
      </c>
      <c r="I416" t="n">
        <v>0</v>
      </c>
      <c r="J416" t="n">
        <v>0</v>
      </c>
      <c r="K416" t="n">
        <v>0</v>
      </c>
      <c r="L416" t="n">
        <v>0</v>
      </c>
      <c r="M416" t="n">
        <v>0</v>
      </c>
      <c r="N416" t="n">
        <v>0</v>
      </c>
      <c r="O416" t="n">
        <v>0</v>
      </c>
      <c r="P416" t="n">
        <v>0</v>
      </c>
      <c r="Q416" t="n">
        <v>0</v>
      </c>
      <c r="R416" s="2" t="inlineStr"/>
    </row>
    <row r="417" ht="15" customHeight="1">
      <c r="A417" t="inlineStr">
        <is>
          <t>A 61331-2021</t>
        </is>
      </c>
      <c r="B417" s="1" t="n">
        <v>44498</v>
      </c>
      <c r="C417" s="1" t="n">
        <v>45337</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61803-2021</t>
        </is>
      </c>
      <c r="B418" s="1" t="n">
        <v>44498</v>
      </c>
      <c r="C418" s="1" t="n">
        <v>45337</v>
      </c>
      <c r="D418" t="inlineStr">
        <is>
          <t>JÄMTLANDS LÄN</t>
        </is>
      </c>
      <c r="E418" t="inlineStr">
        <is>
          <t>ÅRE</t>
        </is>
      </c>
      <c r="G418" t="n">
        <v>0.9</v>
      </c>
      <c r="H418" t="n">
        <v>0</v>
      </c>
      <c r="I418" t="n">
        <v>0</v>
      </c>
      <c r="J418" t="n">
        <v>0</v>
      </c>
      <c r="K418" t="n">
        <v>0</v>
      </c>
      <c r="L418" t="n">
        <v>0</v>
      </c>
      <c r="M418" t="n">
        <v>0</v>
      </c>
      <c r="N418" t="n">
        <v>0</v>
      </c>
      <c r="O418" t="n">
        <v>0</v>
      </c>
      <c r="P418" t="n">
        <v>0</v>
      </c>
      <c r="Q418" t="n">
        <v>0</v>
      </c>
      <c r="R418" s="2" t="inlineStr"/>
    </row>
    <row r="419" ht="15" customHeight="1">
      <c r="A419" t="inlineStr">
        <is>
          <t>A 61806-2021</t>
        </is>
      </c>
      <c r="B419" s="1" t="n">
        <v>44498</v>
      </c>
      <c r="C419" s="1" t="n">
        <v>45337</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61815-2021</t>
        </is>
      </c>
      <c r="B420" s="1" t="n">
        <v>44498</v>
      </c>
      <c r="C420" s="1" t="n">
        <v>45337</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61375-2021</t>
        </is>
      </c>
      <c r="B421" s="1" t="n">
        <v>44499</v>
      </c>
      <c r="C421" s="1" t="n">
        <v>45337</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62183-2021</t>
        </is>
      </c>
      <c r="B422" s="1" t="n">
        <v>44502</v>
      </c>
      <c r="C422" s="1" t="n">
        <v>45337</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62352-2021</t>
        </is>
      </c>
      <c r="B423" s="1" t="n">
        <v>44502</v>
      </c>
      <c r="C423" s="1" t="n">
        <v>45337</v>
      </c>
      <c r="D423" t="inlineStr">
        <is>
          <t>JÄMTLANDS LÄN</t>
        </is>
      </c>
      <c r="E423" t="inlineStr">
        <is>
          <t>ÅRE</t>
        </is>
      </c>
      <c r="F423" t="inlineStr">
        <is>
          <t>Övriga statliga verk och myndigheter</t>
        </is>
      </c>
      <c r="G423" t="n">
        <v>64.90000000000001</v>
      </c>
      <c r="H423" t="n">
        <v>0</v>
      </c>
      <c r="I423" t="n">
        <v>0</v>
      </c>
      <c r="J423" t="n">
        <v>0</v>
      </c>
      <c r="K423" t="n">
        <v>0</v>
      </c>
      <c r="L423" t="n">
        <v>0</v>
      </c>
      <c r="M423" t="n">
        <v>0</v>
      </c>
      <c r="N423" t="n">
        <v>0</v>
      </c>
      <c r="O423" t="n">
        <v>0</v>
      </c>
      <c r="P423" t="n">
        <v>0</v>
      </c>
      <c r="Q423" t="n">
        <v>0</v>
      </c>
      <c r="R423" s="2" t="inlineStr"/>
    </row>
    <row r="424" ht="15" customHeight="1">
      <c r="A424" t="inlineStr">
        <is>
          <t>A 63226-2021</t>
        </is>
      </c>
      <c r="B424" s="1" t="n">
        <v>44504</v>
      </c>
      <c r="C424" s="1" t="n">
        <v>45337</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64196-2021</t>
        </is>
      </c>
      <c r="B425" s="1" t="n">
        <v>44510</v>
      </c>
      <c r="C425" s="1" t="n">
        <v>45337</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64237-2021</t>
        </is>
      </c>
      <c r="B426" s="1" t="n">
        <v>44510</v>
      </c>
      <c r="C426" s="1" t="n">
        <v>45337</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64219-2021</t>
        </is>
      </c>
      <c r="B427" s="1" t="n">
        <v>44510</v>
      </c>
      <c r="C427" s="1" t="n">
        <v>45337</v>
      </c>
      <c r="D427" t="inlineStr">
        <is>
          <t>JÄMTLANDS LÄN</t>
        </is>
      </c>
      <c r="E427" t="inlineStr">
        <is>
          <t>ÅRE</t>
        </is>
      </c>
      <c r="G427" t="n">
        <v>5.1</v>
      </c>
      <c r="H427" t="n">
        <v>0</v>
      </c>
      <c r="I427" t="n">
        <v>0</v>
      </c>
      <c r="J427" t="n">
        <v>0</v>
      </c>
      <c r="K427" t="n">
        <v>0</v>
      </c>
      <c r="L427" t="n">
        <v>0</v>
      </c>
      <c r="M427" t="n">
        <v>0</v>
      </c>
      <c r="N427" t="n">
        <v>0</v>
      </c>
      <c r="O427" t="n">
        <v>0</v>
      </c>
      <c r="P427" t="n">
        <v>0</v>
      </c>
      <c r="Q427" t="n">
        <v>0</v>
      </c>
      <c r="R427" s="2" t="inlineStr"/>
    </row>
    <row r="428" ht="15" customHeight="1">
      <c r="A428" t="inlineStr">
        <is>
          <t>A 64245-2021</t>
        </is>
      </c>
      <c r="B428" s="1" t="n">
        <v>44510</v>
      </c>
      <c r="C428" s="1" t="n">
        <v>45337</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65239-2021</t>
        </is>
      </c>
      <c r="B429" s="1" t="n">
        <v>44515</v>
      </c>
      <c r="C429" s="1" t="n">
        <v>45337</v>
      </c>
      <c r="D429" t="inlineStr">
        <is>
          <t>JÄMTLANDS LÄN</t>
        </is>
      </c>
      <c r="E429" t="inlineStr">
        <is>
          <t>ÅRE</t>
        </is>
      </c>
      <c r="G429" t="n">
        <v>0</v>
      </c>
      <c r="H429" t="n">
        <v>0</v>
      </c>
      <c r="I429" t="n">
        <v>0</v>
      </c>
      <c r="J429" t="n">
        <v>0</v>
      </c>
      <c r="K429" t="n">
        <v>0</v>
      </c>
      <c r="L429" t="n">
        <v>0</v>
      </c>
      <c r="M429" t="n">
        <v>0</v>
      </c>
      <c r="N429" t="n">
        <v>0</v>
      </c>
      <c r="O429" t="n">
        <v>0</v>
      </c>
      <c r="P429" t="n">
        <v>0</v>
      </c>
      <c r="Q429" t="n">
        <v>0</v>
      </c>
      <c r="R429" s="2" t="inlineStr"/>
    </row>
    <row r="430" ht="15" customHeight="1">
      <c r="A430" t="inlineStr">
        <is>
          <t>A 65415-2021</t>
        </is>
      </c>
      <c r="B430" s="1" t="n">
        <v>44515</v>
      </c>
      <c r="C430" s="1" t="n">
        <v>45337</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65782-2021</t>
        </is>
      </c>
      <c r="B431" s="1" t="n">
        <v>44516</v>
      </c>
      <c r="C431" s="1" t="n">
        <v>45337</v>
      </c>
      <c r="D431" t="inlineStr">
        <is>
          <t>JÄMTLANDS LÄN</t>
        </is>
      </c>
      <c r="E431" t="inlineStr">
        <is>
          <t>ÅRE</t>
        </is>
      </c>
      <c r="G431" t="n">
        <v>0.5</v>
      </c>
      <c r="H431" t="n">
        <v>0</v>
      </c>
      <c r="I431" t="n">
        <v>0</v>
      </c>
      <c r="J431" t="n">
        <v>0</v>
      </c>
      <c r="K431" t="n">
        <v>0</v>
      </c>
      <c r="L431" t="n">
        <v>0</v>
      </c>
      <c r="M431" t="n">
        <v>0</v>
      </c>
      <c r="N431" t="n">
        <v>0</v>
      </c>
      <c r="O431" t="n">
        <v>0</v>
      </c>
      <c r="P431" t="n">
        <v>0</v>
      </c>
      <c r="Q431" t="n">
        <v>0</v>
      </c>
      <c r="R431" s="2" t="inlineStr"/>
    </row>
    <row r="432" ht="15" customHeight="1">
      <c r="A432" t="inlineStr">
        <is>
          <t>A 65784-2021</t>
        </is>
      </c>
      <c r="B432" s="1" t="n">
        <v>44516</v>
      </c>
      <c r="C432" s="1" t="n">
        <v>45337</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67541-2021</t>
        </is>
      </c>
      <c r="B433" s="1" t="n">
        <v>44524</v>
      </c>
      <c r="C433" s="1" t="n">
        <v>45337</v>
      </c>
      <c r="D433" t="inlineStr">
        <is>
          <t>JÄMTLANDS LÄN</t>
        </is>
      </c>
      <c r="E433" t="inlineStr">
        <is>
          <t>ÅRE</t>
        </is>
      </c>
      <c r="G433" t="n">
        <v>3</v>
      </c>
      <c r="H433" t="n">
        <v>0</v>
      </c>
      <c r="I433" t="n">
        <v>0</v>
      </c>
      <c r="J433" t="n">
        <v>0</v>
      </c>
      <c r="K433" t="n">
        <v>0</v>
      </c>
      <c r="L433" t="n">
        <v>0</v>
      </c>
      <c r="M433" t="n">
        <v>0</v>
      </c>
      <c r="N433" t="n">
        <v>0</v>
      </c>
      <c r="O433" t="n">
        <v>0</v>
      </c>
      <c r="P433" t="n">
        <v>0</v>
      </c>
      <c r="Q433" t="n">
        <v>0</v>
      </c>
      <c r="R433" s="2" t="inlineStr"/>
    </row>
    <row r="434" ht="15" customHeight="1">
      <c r="A434" t="inlineStr">
        <is>
          <t>A 69170-2021</t>
        </is>
      </c>
      <c r="B434" s="1" t="n">
        <v>44529</v>
      </c>
      <c r="C434" s="1" t="n">
        <v>45337</v>
      </c>
      <c r="D434" t="inlineStr">
        <is>
          <t>JÄMTLANDS LÄN</t>
        </is>
      </c>
      <c r="E434" t="inlineStr">
        <is>
          <t>ÅRE</t>
        </is>
      </c>
      <c r="G434" t="n">
        <v>114.4</v>
      </c>
      <c r="H434" t="n">
        <v>0</v>
      </c>
      <c r="I434" t="n">
        <v>0</v>
      </c>
      <c r="J434" t="n">
        <v>0</v>
      </c>
      <c r="K434" t="n">
        <v>0</v>
      </c>
      <c r="L434" t="n">
        <v>0</v>
      </c>
      <c r="M434" t="n">
        <v>0</v>
      </c>
      <c r="N434" t="n">
        <v>0</v>
      </c>
      <c r="O434" t="n">
        <v>0</v>
      </c>
      <c r="P434" t="n">
        <v>0</v>
      </c>
      <c r="Q434" t="n">
        <v>0</v>
      </c>
      <c r="R434" s="2" t="inlineStr"/>
    </row>
    <row r="435" ht="15" customHeight="1">
      <c r="A435" t="inlineStr">
        <is>
          <t>A 69568-2021</t>
        </is>
      </c>
      <c r="B435" s="1" t="n">
        <v>44531</v>
      </c>
      <c r="C435" s="1" t="n">
        <v>45337</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69592-2021</t>
        </is>
      </c>
      <c r="B436" s="1" t="n">
        <v>44531</v>
      </c>
      <c r="C436" s="1" t="n">
        <v>45337</v>
      </c>
      <c r="D436" t="inlineStr">
        <is>
          <t>JÄMTLANDS LÄN</t>
        </is>
      </c>
      <c r="E436" t="inlineStr">
        <is>
          <t>ÅRE</t>
        </is>
      </c>
      <c r="G436" t="n">
        <v>4.7</v>
      </c>
      <c r="H436" t="n">
        <v>0</v>
      </c>
      <c r="I436" t="n">
        <v>0</v>
      </c>
      <c r="J436" t="n">
        <v>0</v>
      </c>
      <c r="K436" t="n">
        <v>0</v>
      </c>
      <c r="L436" t="n">
        <v>0</v>
      </c>
      <c r="M436" t="n">
        <v>0</v>
      </c>
      <c r="N436" t="n">
        <v>0</v>
      </c>
      <c r="O436" t="n">
        <v>0</v>
      </c>
      <c r="P436" t="n">
        <v>0</v>
      </c>
      <c r="Q436" t="n">
        <v>0</v>
      </c>
      <c r="R436" s="2" t="inlineStr"/>
    </row>
    <row r="437" ht="15" customHeight="1">
      <c r="A437" t="inlineStr">
        <is>
          <t>A 69801-2021</t>
        </is>
      </c>
      <c r="B437" s="1" t="n">
        <v>44532</v>
      </c>
      <c r="C437" s="1" t="n">
        <v>45337</v>
      </c>
      <c r="D437" t="inlineStr">
        <is>
          <t>JÄMTLANDS LÄN</t>
        </is>
      </c>
      <c r="E437" t="inlineStr">
        <is>
          <t>ÅRE</t>
        </is>
      </c>
      <c r="G437" t="n">
        <v>4</v>
      </c>
      <c r="H437" t="n">
        <v>0</v>
      </c>
      <c r="I437" t="n">
        <v>0</v>
      </c>
      <c r="J437" t="n">
        <v>0</v>
      </c>
      <c r="K437" t="n">
        <v>0</v>
      </c>
      <c r="L437" t="n">
        <v>0</v>
      </c>
      <c r="M437" t="n">
        <v>0</v>
      </c>
      <c r="N437" t="n">
        <v>0</v>
      </c>
      <c r="O437" t="n">
        <v>0</v>
      </c>
      <c r="P437" t="n">
        <v>0</v>
      </c>
      <c r="Q437" t="n">
        <v>0</v>
      </c>
      <c r="R437" s="2" t="inlineStr"/>
    </row>
    <row r="438" ht="15" customHeight="1">
      <c r="A438" t="inlineStr">
        <is>
          <t>A 70523-2021</t>
        </is>
      </c>
      <c r="B438" s="1" t="n">
        <v>44536</v>
      </c>
      <c r="C438" s="1" t="n">
        <v>45337</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70522-2021</t>
        </is>
      </c>
      <c r="B439" s="1" t="n">
        <v>44536</v>
      </c>
      <c r="C439" s="1" t="n">
        <v>45337</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71005-2021</t>
        </is>
      </c>
      <c r="B440" s="1" t="n">
        <v>44538</v>
      </c>
      <c r="C440" s="1" t="n">
        <v>45337</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71043-2021</t>
        </is>
      </c>
      <c r="B441" s="1" t="n">
        <v>44538</v>
      </c>
      <c r="C441" s="1" t="n">
        <v>45337</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71968-2021</t>
        </is>
      </c>
      <c r="B442" s="1" t="n">
        <v>44540</v>
      </c>
      <c r="C442" s="1" t="n">
        <v>45337</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71900-2021</t>
        </is>
      </c>
      <c r="B443" s="1" t="n">
        <v>44543</v>
      </c>
      <c r="C443" s="1" t="n">
        <v>45337</v>
      </c>
      <c r="D443" t="inlineStr">
        <is>
          <t>JÄMTLANDS LÄN</t>
        </is>
      </c>
      <c r="E443" t="inlineStr">
        <is>
          <t>ÅRE</t>
        </is>
      </c>
      <c r="G443" t="n">
        <v>7.7</v>
      </c>
      <c r="H443" t="n">
        <v>0</v>
      </c>
      <c r="I443" t="n">
        <v>0</v>
      </c>
      <c r="J443" t="n">
        <v>0</v>
      </c>
      <c r="K443" t="n">
        <v>0</v>
      </c>
      <c r="L443" t="n">
        <v>0</v>
      </c>
      <c r="M443" t="n">
        <v>0</v>
      </c>
      <c r="N443" t="n">
        <v>0</v>
      </c>
      <c r="O443" t="n">
        <v>0</v>
      </c>
      <c r="P443" t="n">
        <v>0</v>
      </c>
      <c r="Q443" t="n">
        <v>0</v>
      </c>
      <c r="R443" s="2" t="inlineStr"/>
    </row>
    <row r="444" ht="15" customHeight="1">
      <c r="A444" t="inlineStr">
        <is>
          <t>A 72214-2021</t>
        </is>
      </c>
      <c r="B444" s="1" t="n">
        <v>44544</v>
      </c>
      <c r="C444" s="1" t="n">
        <v>45337</v>
      </c>
      <c r="D444" t="inlineStr">
        <is>
          <t>JÄMTLANDS LÄN</t>
        </is>
      </c>
      <c r="E444" t="inlineStr">
        <is>
          <t>ÅRE</t>
        </is>
      </c>
      <c r="G444" t="n">
        <v>14.1</v>
      </c>
      <c r="H444" t="n">
        <v>0</v>
      </c>
      <c r="I444" t="n">
        <v>0</v>
      </c>
      <c r="J444" t="n">
        <v>0</v>
      </c>
      <c r="K444" t="n">
        <v>0</v>
      </c>
      <c r="L444" t="n">
        <v>0</v>
      </c>
      <c r="M444" t="n">
        <v>0</v>
      </c>
      <c r="N444" t="n">
        <v>0</v>
      </c>
      <c r="O444" t="n">
        <v>0</v>
      </c>
      <c r="P444" t="n">
        <v>0</v>
      </c>
      <c r="Q444" t="n">
        <v>0</v>
      </c>
      <c r="R444" s="2" t="inlineStr"/>
    </row>
    <row r="445" ht="15" customHeight="1">
      <c r="A445" t="inlineStr">
        <is>
          <t>A 72215-2021</t>
        </is>
      </c>
      <c r="B445" s="1" t="n">
        <v>44544</v>
      </c>
      <c r="C445" s="1" t="n">
        <v>45337</v>
      </c>
      <c r="D445" t="inlineStr">
        <is>
          <t>JÄMTLANDS LÄN</t>
        </is>
      </c>
      <c r="E445" t="inlineStr">
        <is>
          <t>ÅRE</t>
        </is>
      </c>
      <c r="G445" t="n">
        <v>3.9</v>
      </c>
      <c r="H445" t="n">
        <v>0</v>
      </c>
      <c r="I445" t="n">
        <v>0</v>
      </c>
      <c r="J445" t="n">
        <v>0</v>
      </c>
      <c r="K445" t="n">
        <v>0</v>
      </c>
      <c r="L445" t="n">
        <v>0</v>
      </c>
      <c r="M445" t="n">
        <v>0</v>
      </c>
      <c r="N445" t="n">
        <v>0</v>
      </c>
      <c r="O445" t="n">
        <v>0</v>
      </c>
      <c r="P445" t="n">
        <v>0</v>
      </c>
      <c r="Q445" t="n">
        <v>0</v>
      </c>
      <c r="R445" s="2" t="inlineStr"/>
    </row>
    <row r="446" ht="15" customHeight="1">
      <c r="A446" t="inlineStr">
        <is>
          <t>A 73086-2021</t>
        </is>
      </c>
      <c r="B446" s="1" t="n">
        <v>44550</v>
      </c>
      <c r="C446" s="1" t="n">
        <v>45337</v>
      </c>
      <c r="D446" t="inlineStr">
        <is>
          <t>JÄMTLANDS LÄN</t>
        </is>
      </c>
      <c r="E446" t="inlineStr">
        <is>
          <t>ÅRE</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73738-2021</t>
        </is>
      </c>
      <c r="B447" s="1" t="n">
        <v>44551</v>
      </c>
      <c r="C447" s="1" t="n">
        <v>45337</v>
      </c>
      <c r="D447" t="inlineStr">
        <is>
          <t>JÄMTLANDS LÄN</t>
        </is>
      </c>
      <c r="E447" t="inlineStr">
        <is>
          <t>ÅRE</t>
        </is>
      </c>
      <c r="G447" t="n">
        <v>1.4</v>
      </c>
      <c r="H447" t="n">
        <v>0</v>
      </c>
      <c r="I447" t="n">
        <v>0</v>
      </c>
      <c r="J447" t="n">
        <v>0</v>
      </c>
      <c r="K447" t="n">
        <v>0</v>
      </c>
      <c r="L447" t="n">
        <v>0</v>
      </c>
      <c r="M447" t="n">
        <v>0</v>
      </c>
      <c r="N447" t="n">
        <v>0</v>
      </c>
      <c r="O447" t="n">
        <v>0</v>
      </c>
      <c r="P447" t="n">
        <v>0</v>
      </c>
      <c r="Q447" t="n">
        <v>0</v>
      </c>
      <c r="R447" s="2" t="inlineStr"/>
    </row>
    <row r="448" ht="15" customHeight="1">
      <c r="A448" t="inlineStr">
        <is>
          <t>A 73629-2021</t>
        </is>
      </c>
      <c r="B448" s="1" t="n">
        <v>44552</v>
      </c>
      <c r="C448" s="1" t="n">
        <v>45337</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73800-2021</t>
        </is>
      </c>
      <c r="B449" s="1" t="n">
        <v>44552</v>
      </c>
      <c r="C449" s="1" t="n">
        <v>45337</v>
      </c>
      <c r="D449" t="inlineStr">
        <is>
          <t>JÄMTLANDS LÄN</t>
        </is>
      </c>
      <c r="E449" t="inlineStr">
        <is>
          <t>ÅRE</t>
        </is>
      </c>
      <c r="G449" t="n">
        <v>8.6</v>
      </c>
      <c r="H449" t="n">
        <v>0</v>
      </c>
      <c r="I449" t="n">
        <v>0</v>
      </c>
      <c r="J449" t="n">
        <v>0</v>
      </c>
      <c r="K449" t="n">
        <v>0</v>
      </c>
      <c r="L449" t="n">
        <v>0</v>
      </c>
      <c r="M449" t="n">
        <v>0</v>
      </c>
      <c r="N449" t="n">
        <v>0</v>
      </c>
      <c r="O449" t="n">
        <v>0</v>
      </c>
      <c r="P449" t="n">
        <v>0</v>
      </c>
      <c r="Q449" t="n">
        <v>0</v>
      </c>
      <c r="R449" s="2" t="inlineStr"/>
    </row>
    <row r="450" ht="15" customHeight="1">
      <c r="A450" t="inlineStr">
        <is>
          <t>A 73798-2021</t>
        </is>
      </c>
      <c r="B450" s="1" t="n">
        <v>44552</v>
      </c>
      <c r="C450" s="1" t="n">
        <v>45337</v>
      </c>
      <c r="D450" t="inlineStr">
        <is>
          <t>JÄMTLANDS LÄN</t>
        </is>
      </c>
      <c r="E450" t="inlineStr">
        <is>
          <t>ÅRE</t>
        </is>
      </c>
      <c r="G450" t="n">
        <v>2.5</v>
      </c>
      <c r="H450" t="n">
        <v>0</v>
      </c>
      <c r="I450" t="n">
        <v>0</v>
      </c>
      <c r="J450" t="n">
        <v>0</v>
      </c>
      <c r="K450" t="n">
        <v>0</v>
      </c>
      <c r="L450" t="n">
        <v>0</v>
      </c>
      <c r="M450" t="n">
        <v>0</v>
      </c>
      <c r="N450" t="n">
        <v>0</v>
      </c>
      <c r="O450" t="n">
        <v>0</v>
      </c>
      <c r="P450" t="n">
        <v>0</v>
      </c>
      <c r="Q450" t="n">
        <v>0</v>
      </c>
      <c r="R450" s="2" t="inlineStr"/>
    </row>
    <row r="451" ht="15" customHeight="1">
      <c r="A451" t="inlineStr">
        <is>
          <t>A 74046-2021</t>
        </is>
      </c>
      <c r="B451" s="1" t="n">
        <v>44553</v>
      </c>
      <c r="C451" s="1" t="n">
        <v>45337</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911-2022</t>
        </is>
      </c>
      <c r="B452" s="1" t="n">
        <v>44570</v>
      </c>
      <c r="C452" s="1" t="n">
        <v>45337</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2230-2022</t>
        </is>
      </c>
      <c r="B453" s="1" t="n">
        <v>44578</v>
      </c>
      <c r="C453" s="1" t="n">
        <v>45337</v>
      </c>
      <c r="D453" t="inlineStr">
        <is>
          <t>JÄMTLANDS LÄN</t>
        </is>
      </c>
      <c r="E453" t="inlineStr">
        <is>
          <t>ÅRE</t>
        </is>
      </c>
      <c r="G453" t="n">
        <v>1.6</v>
      </c>
      <c r="H453" t="n">
        <v>0</v>
      </c>
      <c r="I453" t="n">
        <v>0</v>
      </c>
      <c r="J453" t="n">
        <v>0</v>
      </c>
      <c r="K453" t="n">
        <v>0</v>
      </c>
      <c r="L453" t="n">
        <v>0</v>
      </c>
      <c r="M453" t="n">
        <v>0</v>
      </c>
      <c r="N453" t="n">
        <v>0</v>
      </c>
      <c r="O453" t="n">
        <v>0</v>
      </c>
      <c r="P453" t="n">
        <v>0</v>
      </c>
      <c r="Q453" t="n">
        <v>0</v>
      </c>
      <c r="R453" s="2" t="inlineStr"/>
    </row>
    <row r="454" ht="15" customHeight="1">
      <c r="A454" t="inlineStr">
        <is>
          <t>A 2571-2022</t>
        </is>
      </c>
      <c r="B454" s="1" t="n">
        <v>44580</v>
      </c>
      <c r="C454" s="1" t="n">
        <v>45337</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5160-2022</t>
        </is>
      </c>
      <c r="B455" s="1" t="n">
        <v>44593</v>
      </c>
      <c r="C455" s="1" t="n">
        <v>45337</v>
      </c>
      <c r="D455" t="inlineStr">
        <is>
          <t>JÄMTLANDS LÄN</t>
        </is>
      </c>
      <c r="E455" t="inlineStr">
        <is>
          <t>ÅRE</t>
        </is>
      </c>
      <c r="G455" t="n">
        <v>11.4</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45337</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45337</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45337</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45337</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45337</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45337</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45337</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45337</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45337</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45337</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45337</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45337</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45337</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45337</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45337</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45337</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45337</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45337</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45337</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45337</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27805-2022</t>
        </is>
      </c>
      <c r="B476" s="1" t="n">
        <v>44743</v>
      </c>
      <c r="C476" s="1" t="n">
        <v>45337</v>
      </c>
      <c r="D476" t="inlineStr">
        <is>
          <t>JÄMTLANDS LÄN</t>
        </is>
      </c>
      <c r="E476" t="inlineStr">
        <is>
          <t>ÅRE</t>
        </is>
      </c>
      <c r="G476" t="n">
        <v>106.2</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45337</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45337</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45337</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45337</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45337</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45337</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45337</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45337</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45337</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45337</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45337</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45337</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45337</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45337</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45337</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45337</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45337</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45337</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45337</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45337</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45337</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45337</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45337</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45337</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45337</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45337</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45337</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45337</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45337</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45337</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45337</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45337</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45337</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45337</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45337</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45337</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45337</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45337</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45337</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45337</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45337</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45337</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45337</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45337</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45337</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45337</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45337</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45337</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45337</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45337</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45337</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45337</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55194-2022</t>
        </is>
      </c>
      <c r="B529" s="1" t="n">
        <v>44886</v>
      </c>
      <c r="C529" s="1" t="n">
        <v>45337</v>
      </c>
      <c r="D529" t="inlineStr">
        <is>
          <t>JÄMTLANDS LÄN</t>
        </is>
      </c>
      <c r="E529" t="inlineStr">
        <is>
          <t>ÅRE</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45337</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45337</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45337</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45337</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45337</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45337</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45337</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45337</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45337</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45337</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45337</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45337</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45337</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45337</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45337</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45337</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45337</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45337</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45337</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45337</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45337</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45337</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45337</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45337</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45337</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45337</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45337</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45337</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45337</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45337</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45337</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45337</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45337</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45337</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45337</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45337</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45337</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45337</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45337</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45337</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45337</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45337</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45337</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45337</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45337</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45337</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45337</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45337</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45337</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45337</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45337</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45337</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45337</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45337</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45337</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45337</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45337</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45337</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45337</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45337</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45337</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45337</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45337</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45337</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45337</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45337</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45337</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45337</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45337</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45337</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45337</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45337</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45337</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45337</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45337</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45337</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45337</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45337</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5611-2023</t>
        </is>
      </c>
      <c r="B608" s="1" t="n">
        <v>44958</v>
      </c>
      <c r="C608" s="1" t="n">
        <v>45337</v>
      </c>
      <c r="D608" t="inlineStr">
        <is>
          <t>JÄMTLANDS LÄN</t>
        </is>
      </c>
      <c r="E608" t="inlineStr">
        <is>
          <t>ÅRE</t>
        </is>
      </c>
      <c r="G608" t="n">
        <v>10.5</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45337</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45337</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45337</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45337</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45337</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45337</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45337</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45337</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45337</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45337</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45337</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45337</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45337</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45337</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45337</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45337</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45337</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45337</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45337</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45337</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45337</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45337</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45337</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45337</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45337</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45337</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45337</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45337</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45337</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45337</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45337</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45337</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45337</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45337</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45337</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45337</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45337</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45337</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45337</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45337</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45337</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45337</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45337</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45337</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45337</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45337</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45337</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45337</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45337</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45337</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45337</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45337</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45337</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45337</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45337</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45337</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45337</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45337</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45337</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45337</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45337</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45337</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45337</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45337</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45337</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45337</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45337</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45337</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45337</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45337</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45337</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45337</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45337</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45337</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45337</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45337</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45337</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45337</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45337</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45337</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45337</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45337</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45337</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45337</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45337</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45337</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45337</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45337</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45337</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45337</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45337</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45337</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45337</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45337</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45337</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45337</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45337</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45337</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45337</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45337</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45337</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45337</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45337</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45337</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54128-2023</t>
        </is>
      </c>
      <c r="B713" s="1" t="n">
        <v>45232</v>
      </c>
      <c r="C713" s="1" t="n">
        <v>45337</v>
      </c>
      <c r="D713" t="inlineStr">
        <is>
          <t>JÄMTLANDS LÄN</t>
        </is>
      </c>
      <c r="E713" t="inlineStr">
        <is>
          <t>ÅRE</t>
        </is>
      </c>
      <c r="G713" t="n">
        <v>3.9</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45337</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45337</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45337</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45337</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45337</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45337</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45337</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45337</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45337</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45337</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45337</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45337</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45337</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45337</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45337</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45337</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45337</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45337</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45337</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45337</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45337</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45337</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45337</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45337</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45337</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45337</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45337</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45337</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45337</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45337</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45337</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45337</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45337</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45337</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45337</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45337</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45337</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45337</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45337</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45337</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60973-2023</t>
        </is>
      </c>
      <c r="B754" s="1" t="n">
        <v>45261</v>
      </c>
      <c r="C754" s="1" t="n">
        <v>45337</v>
      </c>
      <c r="D754" t="inlineStr">
        <is>
          <t>JÄMTLANDS LÄN</t>
        </is>
      </c>
      <c r="E754" t="inlineStr">
        <is>
          <t>ÅRE</t>
        </is>
      </c>
      <c r="G754" t="n">
        <v>3.1</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45337</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45337</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45337</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45337</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45337</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61828-2023</t>
        </is>
      </c>
      <c r="B760" s="1" t="n">
        <v>45264</v>
      </c>
      <c r="C760" s="1" t="n">
        <v>45337</v>
      </c>
      <c r="D760" t="inlineStr">
        <is>
          <t>JÄMTLANDS LÄN</t>
        </is>
      </c>
      <c r="E760" t="inlineStr">
        <is>
          <t>ÅRE</t>
        </is>
      </c>
      <c r="F760" t="inlineStr">
        <is>
          <t>Övriga Aktiebolag</t>
        </is>
      </c>
      <c r="G760" t="n">
        <v>6.2</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45337</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45337</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45337</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45337</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45337</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45337</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45337</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65079-2023</t>
        </is>
      </c>
      <c r="B768" s="1" t="n">
        <v>45288</v>
      </c>
      <c r="C768" s="1" t="n">
        <v>45337</v>
      </c>
      <c r="D768" t="inlineStr">
        <is>
          <t>JÄMTLANDS LÄN</t>
        </is>
      </c>
      <c r="E768" t="inlineStr">
        <is>
          <t>ÅRE</t>
        </is>
      </c>
      <c r="G768" t="n">
        <v>6</v>
      </c>
      <c r="H768" t="n">
        <v>0</v>
      </c>
      <c r="I768" t="n">
        <v>0</v>
      </c>
      <c r="J768" t="n">
        <v>0</v>
      </c>
      <c r="K768" t="n">
        <v>0</v>
      </c>
      <c r="L768" t="n">
        <v>0</v>
      </c>
      <c r="M768" t="n">
        <v>0</v>
      </c>
      <c r="N768" t="n">
        <v>0</v>
      </c>
      <c r="O768" t="n">
        <v>0</v>
      </c>
      <c r="P768" t="n">
        <v>0</v>
      </c>
      <c r="Q768" t="n">
        <v>0</v>
      </c>
      <c r="R768" s="2" t="inlineStr"/>
    </row>
    <row r="769" ht="15" customHeight="1">
      <c r="A769" t="inlineStr">
        <is>
          <t>A 65029-2023</t>
        </is>
      </c>
      <c r="B769" s="1" t="n">
        <v>45287</v>
      </c>
      <c r="C769" s="1" t="n">
        <v>45337</v>
      </c>
      <c r="D769" t="inlineStr">
        <is>
          <t>JÄMTLANDS LÄN</t>
        </is>
      </c>
      <c r="E769" t="inlineStr">
        <is>
          <t>ÅRE</t>
        </is>
      </c>
      <c r="G769" t="n">
        <v>18.2</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45337</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376-2024</t>
        </is>
      </c>
      <c r="B771" s="1" t="n">
        <v>45296</v>
      </c>
      <c r="C771" s="1" t="n">
        <v>45337</v>
      </c>
      <c r="D771" t="inlineStr">
        <is>
          <t>JÄMTLANDS LÄN</t>
        </is>
      </c>
      <c r="E771" t="inlineStr">
        <is>
          <t>ÅRE</t>
        </is>
      </c>
      <c r="F771" t="inlineStr">
        <is>
          <t>Kyrkan</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45337</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45337</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45337</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45337</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c r="A776" t="inlineStr">
        <is>
          <t>A 1491-2024</t>
        </is>
      </c>
      <c r="B776" s="1" t="n">
        <v>45305</v>
      </c>
      <c r="C776" s="1" t="n">
        <v>45337</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2024-02-15T10:56:49Z</dcterms:created>
  <dcterms:modified xmlns:dcterms="http://purl.org/dc/terms/" xmlns:xsi="http://www.w3.org/2001/XMLSchema-instance" xsi:type="dcterms:W3CDTF">2024-02-15T10:56:50Z</dcterms:modified>
</cp:coreProperties>
</file>