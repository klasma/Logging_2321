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46049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46049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46049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46049</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46049</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46049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46049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46049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46049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46049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46049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46049</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46049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46049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46049</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46049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46049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46049</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50311-2024</t>
        </is>
      </c>
      <c r="B28" s="1" t="n">
        <v>45600</v>
      </c>
      <c r="C28" s="1" t="n">
        <v>46049</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36974-2025</t>
        </is>
      </c>
      <c r="B29" s="1" t="n">
        <v>45874.63766203704</v>
      </c>
      <c r="C29" s="1" t="n">
        <v>46049</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46049</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14188-2021</t>
        </is>
      </c>
      <c r="B31" s="1" t="n">
        <v>44278</v>
      </c>
      <c r="C31" s="1" t="n">
        <v>46049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46049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46049</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17107-2025</t>
        </is>
      </c>
      <c r="B35" s="1" t="n">
        <v>45755</v>
      </c>
      <c r="C35" s="1" t="n">
        <v>46049</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46049</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17095-2025</t>
        </is>
      </c>
      <c r="B37" s="1" t="n">
        <v>45755</v>
      </c>
      <c r="C37" s="1" t="n">
        <v>46049</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40788-2023</t>
        </is>
      </c>
      <c r="B38" s="1" t="n">
        <v>45170</v>
      </c>
      <c r="C38" s="1" t="n">
        <v>46049</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46049</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20658-2021</t>
        </is>
      </c>
      <c r="B40" s="1" t="n">
        <v>44316</v>
      </c>
      <c r="C40" s="1" t="n">
        <v>46049</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46049</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46049</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1529-2025</t>
        </is>
      </c>
      <c r="B43" s="1" t="n">
        <v>45670</v>
      </c>
      <c r="C43" s="1" t="n">
        <v>46049</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27805-2022</t>
        </is>
      </c>
      <c r="B44" s="1" t="n">
        <v>44743</v>
      </c>
      <c r="C44" s="1" t="n">
        <v>46049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46049</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46049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46049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46049</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63179-2025</t>
        </is>
      </c>
      <c r="B50" s="1" t="n">
        <v>46010.42215277778</v>
      </c>
      <c r="C50" s="1" t="n">
        <v>46049</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46049</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47944-2025</t>
        </is>
      </c>
      <c r="B52" s="1" t="n">
        <v>45931</v>
      </c>
      <c r="C52" s="1" t="n">
        <v>46049</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43910-2024</t>
        </is>
      </c>
      <c r="B53" s="1" t="n">
        <v>45572</v>
      </c>
      <c r="C53" s="1" t="n">
        <v>46049</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20644-2021</t>
        </is>
      </c>
      <c r="B54" s="1" t="n">
        <v>44316</v>
      </c>
      <c r="C54" s="1" t="n">
        <v>46049</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46049</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46049</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46049</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46049</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46049</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46049</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46049</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46049</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46049</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4938-2025</t>
        </is>
      </c>
      <c r="B64" s="1" t="n">
        <v>45688</v>
      </c>
      <c r="C64" s="1" t="n">
        <v>46049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46049</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46049</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46049</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43942-2024</t>
        </is>
      </c>
      <c r="B68" s="1" t="n">
        <v>45572</v>
      </c>
      <c r="C68" s="1" t="n">
        <v>46049</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46259-2024</t>
        </is>
      </c>
      <c r="B69" s="1" t="n">
        <v>45581</v>
      </c>
      <c r="C69" s="1" t="n">
        <v>46049</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14205-2021</t>
        </is>
      </c>
      <c r="B70" s="1" t="n">
        <v>44278</v>
      </c>
      <c r="C70" s="1" t="n">
        <v>46049</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46049</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46049</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46049</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14195-2021</t>
        </is>
      </c>
      <c r="B74" s="1" t="n">
        <v>44278</v>
      </c>
      <c r="C74" s="1" t="n">
        <v>46049</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32097-2025</t>
        </is>
      </c>
      <c r="B75" s="1" t="n">
        <v>45835.4641087963</v>
      </c>
      <c r="C75" s="1" t="n">
        <v>46049</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4775-2025</t>
        </is>
      </c>
      <c r="B76" s="1" t="n">
        <v>45688</v>
      </c>
      <c r="C76" s="1" t="n">
        <v>46049</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53436-2025</t>
        </is>
      </c>
      <c r="B77" s="1" t="n">
        <v>45959.63353009259</v>
      </c>
      <c r="C77" s="1" t="n">
        <v>46049</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54374-2025</t>
        </is>
      </c>
      <c r="B78" s="1" t="n">
        <v>45965.41842592593</v>
      </c>
      <c r="C78" s="1" t="n">
        <v>46049</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12988-2021</t>
        </is>
      </c>
      <c r="B79" s="1" t="n">
        <v>44271</v>
      </c>
      <c r="C79" s="1" t="n">
        <v>46049</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17855-2024</t>
        </is>
      </c>
      <c r="B80" s="1" t="n">
        <v>45419</v>
      </c>
      <c r="C80" s="1" t="n">
        <v>46049</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30034-2024</t>
        </is>
      </c>
      <c r="B81" s="1" t="n">
        <v>45485</v>
      </c>
      <c r="C81" s="1" t="n">
        <v>46049</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46049</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42565-2024</t>
        </is>
      </c>
      <c r="B83" s="1" t="n">
        <v>45565</v>
      </c>
      <c r="C83" s="1" t="n">
        <v>46049</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10491-2024</t>
        </is>
      </c>
      <c r="B84" s="1" t="n">
        <v>45366</v>
      </c>
      <c r="C84" s="1" t="n">
        <v>46049</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19925-2025</t>
        </is>
      </c>
      <c r="B85" s="1" t="n">
        <v>45771.634375</v>
      </c>
      <c r="C85" s="1" t="n">
        <v>46049</v>
      </c>
      <c r="D85" t="inlineStr">
        <is>
          <t>JÄMTLANDS LÄN</t>
        </is>
      </c>
      <c r="E85" t="inlineStr">
        <is>
          <t>ÅRE</t>
        </is>
      </c>
      <c r="G85" t="n">
        <v>7.6</v>
      </c>
      <c r="H85" t="n">
        <v>1</v>
      </c>
      <c r="I85" t="n">
        <v>1</v>
      </c>
      <c r="J85" t="n">
        <v>2</v>
      </c>
      <c r="K85" t="n">
        <v>0</v>
      </c>
      <c r="L85" t="n">
        <v>1</v>
      </c>
      <c r="M85" t="n">
        <v>0</v>
      </c>
      <c r="N85" t="n">
        <v>0</v>
      </c>
      <c r="O85" t="n">
        <v>3</v>
      </c>
      <c r="P85" t="n">
        <v>1</v>
      </c>
      <c r="Q85" t="n">
        <v>5</v>
      </c>
      <c r="R85" s="2" t="inlineStr">
        <is>
          <t>Skarptandad daggkåpa
Liten svartspik
Vitgrynig nållav
Kornig nållav
Blåsippa</t>
        </is>
      </c>
      <c r="S85">
        <f>HYPERLINK("https://klasma.github.io/Logging_2321/artfynd/A 19925-2025 artfynd.xlsx", "A 19925-2025")</f>
        <v/>
      </c>
      <c r="T85">
        <f>HYPERLINK("https://klasma.github.io/Logging_2321/kartor/A 19925-2025 karta.png", "A 19925-2025")</f>
        <v/>
      </c>
      <c r="V85">
        <f>HYPERLINK("https://klasma.github.io/Logging_2321/klagomål/A 19925-2025 FSC-klagomål.docx", "A 19925-2025")</f>
        <v/>
      </c>
      <c r="W85">
        <f>HYPERLINK("https://klasma.github.io/Logging_2321/klagomålsmail/A 19925-2025 FSC-klagomål mail.docx", "A 19925-2025")</f>
        <v/>
      </c>
      <c r="X85">
        <f>HYPERLINK("https://klasma.github.io/Logging_2321/tillsyn/A 19925-2025 tillsynsbegäran.docx", "A 19925-2025")</f>
        <v/>
      </c>
      <c r="Y85">
        <f>HYPERLINK("https://klasma.github.io/Logging_2321/tillsynsmail/A 19925-2025 tillsynsbegäran mail.docx", "A 19925-2025")</f>
        <v/>
      </c>
    </row>
    <row r="86" ht="15" customHeight="1">
      <c r="A86" t="inlineStr">
        <is>
          <t>A 48189-2025</t>
        </is>
      </c>
      <c r="B86" s="1" t="n">
        <v>45931</v>
      </c>
      <c r="C86" s="1" t="n">
        <v>46049</v>
      </c>
      <c r="D86" t="inlineStr">
        <is>
          <t>JÄMTLANDS LÄN</t>
        </is>
      </c>
      <c r="E86" t="inlineStr">
        <is>
          <t>ÅRE</t>
        </is>
      </c>
      <c r="G86" t="n">
        <v>2.9</v>
      </c>
      <c r="H86" t="n">
        <v>1</v>
      </c>
      <c r="I86" t="n">
        <v>0</v>
      </c>
      <c r="J86" t="n">
        <v>4</v>
      </c>
      <c r="K86" t="n">
        <v>0</v>
      </c>
      <c r="L86" t="n">
        <v>0</v>
      </c>
      <c r="M86" t="n">
        <v>0</v>
      </c>
      <c r="N86" t="n">
        <v>0</v>
      </c>
      <c r="O86" t="n">
        <v>4</v>
      </c>
      <c r="P86" t="n">
        <v>0</v>
      </c>
      <c r="Q86" t="n">
        <v>5</v>
      </c>
      <c r="R86" s="2" t="inlineStr">
        <is>
          <t>Garnlav
Granticka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12271-2022</t>
        </is>
      </c>
      <c r="B87" s="1" t="n">
        <v>44637</v>
      </c>
      <c r="C87" s="1" t="n">
        <v>46049</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46049</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20035-2024</t>
        </is>
      </c>
      <c r="B89" s="1" t="n">
        <v>45434</v>
      </c>
      <c r="C89" s="1" t="n">
        <v>46049</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62273-2025</t>
        </is>
      </c>
      <c r="B90" s="1" t="n">
        <v>46006.62581018519</v>
      </c>
      <c r="C90" s="1" t="n">
        <v>46049</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19277-2021</t>
        </is>
      </c>
      <c r="B91" s="1" t="n">
        <v>44309</v>
      </c>
      <c r="C91" s="1" t="n">
        <v>46049</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46049</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56183-2022</t>
        </is>
      </c>
      <c r="B93" s="1" t="n">
        <v>44889</v>
      </c>
      <c r="C93" s="1" t="n">
        <v>46049</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10773-2021</t>
        </is>
      </c>
      <c r="B94" s="1" t="n">
        <v>44259</v>
      </c>
      <c r="C94" s="1" t="n">
        <v>46049</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10773-2021 artfynd.xlsx", "A 10773-2021")</f>
        <v/>
      </c>
      <c r="T94">
        <f>HYPERLINK("https://klasma.github.io/Logging_2321/kartor/A 10773-2021 karta.png", "A 10773-2021")</f>
        <v/>
      </c>
      <c r="V94">
        <f>HYPERLINK("https://klasma.github.io/Logging_2321/klagomål/A 10773-2021 FSC-klagomål.docx", "A 10773-2021")</f>
        <v/>
      </c>
      <c r="W94">
        <f>HYPERLINK("https://klasma.github.io/Logging_2321/klagomålsmail/A 10773-2021 FSC-klagomål mail.docx", "A 10773-2021")</f>
        <v/>
      </c>
      <c r="X94">
        <f>HYPERLINK("https://klasma.github.io/Logging_2321/tillsyn/A 10773-2021 tillsynsbegäran.docx", "A 10773-2021")</f>
        <v/>
      </c>
      <c r="Y94">
        <f>HYPERLINK("https://klasma.github.io/Logging_2321/tillsynsmail/A 10773-2021 tillsynsbegäran mail.docx", "A 10773-2021")</f>
        <v/>
      </c>
      <c r="Z94">
        <f>HYPERLINK("https://klasma.github.io/Logging_2321/fåglar/A 10773-2021 prioriterade fågelarter.docx", "A 10773-2021")</f>
        <v/>
      </c>
    </row>
    <row r="95" ht="15" customHeight="1">
      <c r="A95" t="inlineStr">
        <is>
          <t>A 12269-2022</t>
        </is>
      </c>
      <c r="B95" s="1" t="n">
        <v>44637</v>
      </c>
      <c r="C95" s="1" t="n">
        <v>46049</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61875-2024</t>
        </is>
      </c>
      <c r="B96" s="1" t="n">
        <v>45651</v>
      </c>
      <c r="C96" s="1" t="n">
        <v>46049</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72934-2021</t>
        </is>
      </c>
      <c r="B97" s="1" t="n">
        <v>44547</v>
      </c>
      <c r="C97" s="1" t="n">
        <v>46049</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58387-2023</t>
        </is>
      </c>
      <c r="B98" s="1" t="n">
        <v>45250</v>
      </c>
      <c r="C98" s="1" t="n">
        <v>46049</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21006-2022</t>
        </is>
      </c>
      <c r="B99" s="1" t="n">
        <v>44701</v>
      </c>
      <c r="C99" s="1" t="n">
        <v>46049</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54376-2025</t>
        </is>
      </c>
      <c r="B100" s="1" t="n">
        <v>45965.42515046296</v>
      </c>
      <c r="C100" s="1" t="n">
        <v>46049</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23572-2021</t>
        </is>
      </c>
      <c r="B101" s="1" t="n">
        <v>44334</v>
      </c>
      <c r="C101" s="1" t="n">
        <v>46049</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40386-2025</t>
        </is>
      </c>
      <c r="B102" s="1" t="n">
        <v>45895</v>
      </c>
      <c r="C102" s="1" t="n">
        <v>46049</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46049</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46049</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22601-2024</t>
        </is>
      </c>
      <c r="B105" s="1" t="n">
        <v>45447</v>
      </c>
      <c r="C105" s="1" t="n">
        <v>46049</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46049</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62522-2025</t>
        </is>
      </c>
      <c r="B107" s="1" t="n">
        <v>46007.61512731481</v>
      </c>
      <c r="C107" s="1" t="n">
        <v>46049</v>
      </c>
      <c r="D107" t="inlineStr">
        <is>
          <t>JÄMTLANDS LÄN</t>
        </is>
      </c>
      <c r="E107" t="inlineStr">
        <is>
          <t>ÅRE</t>
        </is>
      </c>
      <c r="F107" t="inlineStr">
        <is>
          <t>Övriga Aktiebolag</t>
        </is>
      </c>
      <c r="G107" t="n">
        <v>2</v>
      </c>
      <c r="H107" t="n">
        <v>1</v>
      </c>
      <c r="I107" t="n">
        <v>1</v>
      </c>
      <c r="J107" t="n">
        <v>2</v>
      </c>
      <c r="K107" t="n">
        <v>0</v>
      </c>
      <c r="L107" t="n">
        <v>0</v>
      </c>
      <c r="M107" t="n">
        <v>0</v>
      </c>
      <c r="N107" t="n">
        <v>0</v>
      </c>
      <c r="O107" t="n">
        <v>2</v>
      </c>
      <c r="P107" t="n">
        <v>0</v>
      </c>
      <c r="Q107" t="n">
        <v>3</v>
      </c>
      <c r="R107" s="2" t="inlineStr">
        <is>
          <t>Garnlav
Tretåig hackspett
Blodticka</t>
        </is>
      </c>
      <c r="S107">
        <f>HYPERLINK("https://klasma.github.io/Logging_2321/artfynd/A 62522-2025 artfynd.xlsx", "A 62522-2025")</f>
        <v/>
      </c>
      <c r="T107">
        <f>HYPERLINK("https://klasma.github.io/Logging_2321/kartor/A 62522-2025 karta.png", "A 62522-2025")</f>
        <v/>
      </c>
      <c r="V107">
        <f>HYPERLINK("https://klasma.github.io/Logging_2321/klagomål/A 62522-2025 FSC-klagomål.docx", "A 62522-2025")</f>
        <v/>
      </c>
      <c r="W107">
        <f>HYPERLINK("https://klasma.github.io/Logging_2321/klagomålsmail/A 62522-2025 FSC-klagomål mail.docx", "A 62522-2025")</f>
        <v/>
      </c>
      <c r="X107">
        <f>HYPERLINK("https://klasma.github.io/Logging_2321/tillsyn/A 62522-2025 tillsynsbegäran.docx", "A 62522-2025")</f>
        <v/>
      </c>
      <c r="Y107">
        <f>HYPERLINK("https://klasma.github.io/Logging_2321/tillsynsmail/A 62522-2025 tillsynsbegäran mail.docx", "A 62522-2025")</f>
        <v/>
      </c>
      <c r="Z107">
        <f>HYPERLINK("https://klasma.github.io/Logging_2321/fåglar/A 62522-2025 prioriterade fågelarter.docx", "A 62522-2025")</f>
        <v/>
      </c>
    </row>
    <row r="108" ht="15" customHeight="1">
      <c r="A108" t="inlineStr">
        <is>
          <t>A 59237-2022</t>
        </is>
      </c>
      <c r="B108" s="1" t="n">
        <v>44904</v>
      </c>
      <c r="C108" s="1" t="n">
        <v>46049</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56549-2025</t>
        </is>
      </c>
      <c r="B109" s="1" t="n">
        <v>45975.48099537037</v>
      </c>
      <c r="C109" s="1" t="n">
        <v>46049</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52588-2024</t>
        </is>
      </c>
      <c r="B110" s="1" t="n">
        <v>45609.69825231482</v>
      </c>
      <c r="C110" s="1" t="n">
        <v>46049</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59776-2025</t>
        </is>
      </c>
      <c r="B111" s="1" t="n">
        <v>45992.60733796296</v>
      </c>
      <c r="C111" s="1" t="n">
        <v>46049</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47988-2025</t>
        </is>
      </c>
      <c r="B112" s="1" t="n">
        <v>45931</v>
      </c>
      <c r="C112" s="1" t="n">
        <v>46049</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40245-2023</t>
        </is>
      </c>
      <c r="B113" s="1" t="n">
        <v>45167</v>
      </c>
      <c r="C113" s="1" t="n">
        <v>46049</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14198-2021</t>
        </is>
      </c>
      <c r="B114" s="1" t="n">
        <v>44278</v>
      </c>
      <c r="C114" s="1" t="n">
        <v>46049</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23638-2023</t>
        </is>
      </c>
      <c r="B115" s="1" t="n">
        <v>45072</v>
      </c>
      <c r="C115" s="1" t="n">
        <v>46049</v>
      </c>
      <c r="D115" t="inlineStr">
        <is>
          <t>JÄMTLANDS LÄN</t>
        </is>
      </c>
      <c r="E115" t="inlineStr">
        <is>
          <t>ÅRE</t>
        </is>
      </c>
      <c r="G115" t="n">
        <v>11.2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23638-2023 artfynd.xlsx", "A 23638-2023")</f>
        <v/>
      </c>
      <c r="T115">
        <f>HYPERLINK("https://klasma.github.io/Logging_2321/kartor/A 23638-2023 karta.png", "A 23638-2023")</f>
        <v/>
      </c>
      <c r="V115">
        <f>HYPERLINK("https://klasma.github.io/Logging_2321/klagomål/A 23638-2023 FSC-klagomål.docx", "A 23638-2023")</f>
        <v/>
      </c>
      <c r="W115">
        <f>HYPERLINK("https://klasma.github.io/Logging_2321/klagomålsmail/A 23638-2023 FSC-klagomål mail.docx", "A 23638-2023")</f>
        <v/>
      </c>
      <c r="X115">
        <f>HYPERLINK("https://klasma.github.io/Logging_2321/tillsyn/A 23638-2023 tillsynsbegäran.docx", "A 23638-2023")</f>
        <v/>
      </c>
      <c r="Y115">
        <f>HYPERLINK("https://klasma.github.io/Logging_2321/tillsynsmail/A 23638-2023 tillsynsbegäran mail.docx", "A 23638-2023")</f>
        <v/>
      </c>
      <c r="Z115">
        <f>HYPERLINK("https://klasma.github.io/Logging_2321/fåglar/A 23638-2023 prioriterade fågelarter.docx", "A 23638-2023")</f>
        <v/>
      </c>
    </row>
    <row r="116" ht="15" customHeight="1">
      <c r="A116" t="inlineStr">
        <is>
          <t>A 58082-2022</t>
        </is>
      </c>
      <c r="B116" s="1" t="n">
        <v>44900</v>
      </c>
      <c r="C116" s="1" t="n">
        <v>46049</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36260-2023</t>
        </is>
      </c>
      <c r="B117" s="1" t="n">
        <v>45151</v>
      </c>
      <c r="C117" s="1" t="n">
        <v>46049</v>
      </c>
      <c r="D117" t="inlineStr">
        <is>
          <t>JÄMTLANDS LÄN</t>
        </is>
      </c>
      <c r="E117" t="inlineStr">
        <is>
          <t>ÅRE</t>
        </is>
      </c>
      <c r="G117" t="n">
        <v>2.6</v>
      </c>
      <c r="H117" t="n">
        <v>0</v>
      </c>
      <c r="I117" t="n">
        <v>3</v>
      </c>
      <c r="J117" t="n">
        <v>0</v>
      </c>
      <c r="K117" t="n">
        <v>0</v>
      </c>
      <c r="L117" t="n">
        <v>0</v>
      </c>
      <c r="M117" t="n">
        <v>0</v>
      </c>
      <c r="N117" t="n">
        <v>0</v>
      </c>
      <c r="O117" t="n">
        <v>0</v>
      </c>
      <c r="P117" t="n">
        <v>0</v>
      </c>
      <c r="Q117" t="n">
        <v>3</v>
      </c>
      <c r="R117" s="2" t="inlineStr">
        <is>
          <t>Svavelriska
Underviol
Vedticka</t>
        </is>
      </c>
      <c r="S117">
        <f>HYPERLINK("https://klasma.github.io/Logging_2321/artfynd/A 36260-2023 artfynd.xlsx", "A 36260-2023")</f>
        <v/>
      </c>
      <c r="T117">
        <f>HYPERLINK("https://klasma.github.io/Logging_2321/kartor/A 36260-2023 karta.png", "A 36260-2023")</f>
        <v/>
      </c>
      <c r="V117">
        <f>HYPERLINK("https://klasma.github.io/Logging_2321/klagomål/A 36260-2023 FSC-klagomål.docx", "A 36260-2023")</f>
        <v/>
      </c>
      <c r="W117">
        <f>HYPERLINK("https://klasma.github.io/Logging_2321/klagomålsmail/A 36260-2023 FSC-klagomål mail.docx", "A 36260-2023")</f>
        <v/>
      </c>
      <c r="X117">
        <f>HYPERLINK("https://klasma.github.io/Logging_2321/tillsyn/A 36260-2023 tillsynsbegäran.docx", "A 36260-2023")</f>
        <v/>
      </c>
      <c r="Y117">
        <f>HYPERLINK("https://klasma.github.io/Logging_2321/tillsynsmail/A 36260-2023 tillsynsbegäran mail.docx", "A 36260-2023")</f>
        <v/>
      </c>
    </row>
    <row r="118" ht="15" customHeight="1">
      <c r="A118" t="inlineStr">
        <is>
          <t>A 13625-2023</t>
        </is>
      </c>
      <c r="B118" s="1" t="n">
        <v>45006</v>
      </c>
      <c r="C118" s="1" t="n">
        <v>46049</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20124-2023</t>
        </is>
      </c>
      <c r="B119" s="1" t="n">
        <v>45055</v>
      </c>
      <c r="C119" s="1" t="n">
        <v>46049</v>
      </c>
      <c r="D119" t="inlineStr">
        <is>
          <t>JÄMTLANDS LÄN</t>
        </is>
      </c>
      <c r="E119" t="inlineStr">
        <is>
          <t>ÅRE</t>
        </is>
      </c>
      <c r="G119" t="n">
        <v>3.4</v>
      </c>
      <c r="H119" t="n">
        <v>0</v>
      </c>
      <c r="I119" t="n">
        <v>3</v>
      </c>
      <c r="J119" t="n">
        <v>0</v>
      </c>
      <c r="K119" t="n">
        <v>0</v>
      </c>
      <c r="L119" t="n">
        <v>0</v>
      </c>
      <c r="M119" t="n">
        <v>0</v>
      </c>
      <c r="N119" t="n">
        <v>0</v>
      </c>
      <c r="O119" t="n">
        <v>0</v>
      </c>
      <c r="P119" t="n">
        <v>0</v>
      </c>
      <c r="Q119" t="n">
        <v>3</v>
      </c>
      <c r="R119" s="2" t="inlineStr">
        <is>
          <t>Finbräken
Svart trolldruva
Underviol</t>
        </is>
      </c>
      <c r="S119">
        <f>HYPERLINK("https://klasma.github.io/Logging_2321/artfynd/A 20124-2023 artfynd.xlsx", "A 20124-2023")</f>
        <v/>
      </c>
      <c r="T119">
        <f>HYPERLINK("https://klasma.github.io/Logging_2321/kartor/A 20124-2023 karta.png", "A 20124-2023")</f>
        <v/>
      </c>
      <c r="V119">
        <f>HYPERLINK("https://klasma.github.io/Logging_2321/klagomål/A 20124-2023 FSC-klagomål.docx", "A 20124-2023")</f>
        <v/>
      </c>
      <c r="W119">
        <f>HYPERLINK("https://klasma.github.io/Logging_2321/klagomålsmail/A 20124-2023 FSC-klagomål mail.docx", "A 20124-2023")</f>
        <v/>
      </c>
      <c r="X119">
        <f>HYPERLINK("https://klasma.github.io/Logging_2321/tillsyn/A 20124-2023 tillsynsbegäran.docx", "A 20124-2023")</f>
        <v/>
      </c>
      <c r="Y119">
        <f>HYPERLINK("https://klasma.github.io/Logging_2321/tillsynsmail/A 20124-2023 tillsynsbegäran mail.docx", "A 20124-2023")</f>
        <v/>
      </c>
    </row>
    <row r="120" ht="15" customHeight="1">
      <c r="A120" t="inlineStr">
        <is>
          <t>A 22692-2025</t>
        </is>
      </c>
      <c r="B120" s="1" t="n">
        <v>45789.53834490741</v>
      </c>
      <c r="C120" s="1" t="n">
        <v>46049</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54128-2023</t>
        </is>
      </c>
      <c r="B121" s="1" t="n">
        <v>45232</v>
      </c>
      <c r="C121" s="1" t="n">
        <v>46049</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46049</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46049</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46049</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46049</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46049</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23566-2021</t>
        </is>
      </c>
      <c r="B127" s="1" t="n">
        <v>44334</v>
      </c>
      <c r="C127" s="1" t="n">
        <v>46049</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41280-2025</t>
        </is>
      </c>
      <c r="B128" s="1" t="n">
        <v>45898</v>
      </c>
      <c r="C128" s="1" t="n">
        <v>46049</v>
      </c>
      <c r="D128" t="inlineStr">
        <is>
          <t>JÄMTLANDS LÄN</t>
        </is>
      </c>
      <c r="E128" t="inlineStr">
        <is>
          <t>ÅRE</t>
        </is>
      </c>
      <c r="F128" t="inlineStr">
        <is>
          <t>Övriga Aktiebolag</t>
        </is>
      </c>
      <c r="G128" t="n">
        <v>4.5</v>
      </c>
      <c r="H128" t="n">
        <v>1</v>
      </c>
      <c r="I128" t="n">
        <v>0</v>
      </c>
      <c r="J128" t="n">
        <v>2</v>
      </c>
      <c r="K128" t="n">
        <v>0</v>
      </c>
      <c r="L128" t="n">
        <v>0</v>
      </c>
      <c r="M128" t="n">
        <v>0</v>
      </c>
      <c r="N128" t="n">
        <v>0</v>
      </c>
      <c r="O128" t="n">
        <v>2</v>
      </c>
      <c r="P128" t="n">
        <v>0</v>
      </c>
      <c r="Q128" t="n">
        <v>2</v>
      </c>
      <c r="R128" s="2" t="inlineStr">
        <is>
          <t>Garnlav
Järpe</t>
        </is>
      </c>
      <c r="S128">
        <f>HYPERLINK("https://klasma.github.io/Logging_2321/artfynd/A 41280-2025 artfynd.xlsx", "A 41280-2025")</f>
        <v/>
      </c>
      <c r="T128">
        <f>HYPERLINK("https://klasma.github.io/Logging_2321/kartor/A 41280-2025 karta.png", "A 41280-2025")</f>
        <v/>
      </c>
      <c r="V128">
        <f>HYPERLINK("https://klasma.github.io/Logging_2321/klagomål/A 41280-2025 FSC-klagomål.docx", "A 41280-2025")</f>
        <v/>
      </c>
      <c r="W128">
        <f>HYPERLINK("https://klasma.github.io/Logging_2321/klagomålsmail/A 41280-2025 FSC-klagomål mail.docx", "A 41280-2025")</f>
        <v/>
      </c>
      <c r="X128">
        <f>HYPERLINK("https://klasma.github.io/Logging_2321/tillsyn/A 41280-2025 tillsynsbegäran.docx", "A 41280-2025")</f>
        <v/>
      </c>
      <c r="Y128">
        <f>HYPERLINK("https://klasma.github.io/Logging_2321/tillsynsmail/A 41280-2025 tillsynsbegäran mail.docx", "A 41280-2025")</f>
        <v/>
      </c>
      <c r="Z128">
        <f>HYPERLINK("https://klasma.github.io/Logging_2321/fåglar/A 41280-2025 prioriterade fågelarter.docx", "A 41280-2025")</f>
        <v/>
      </c>
    </row>
    <row r="129" ht="15" customHeight="1">
      <c r="A129" t="inlineStr">
        <is>
          <t>A 37204-2025</t>
        </is>
      </c>
      <c r="B129" s="1" t="n">
        <v>45875.69826388889</v>
      </c>
      <c r="C129" s="1" t="n">
        <v>46049</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22231-2022</t>
        </is>
      </c>
      <c r="B130" s="1" t="n">
        <v>44712</v>
      </c>
      <c r="C130" s="1" t="n">
        <v>46049</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23706-2023</t>
        </is>
      </c>
      <c r="B131" s="1" t="n">
        <v>45072</v>
      </c>
      <c r="C131" s="1" t="n">
        <v>46049</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18719-2024</t>
        </is>
      </c>
      <c r="B132" s="1" t="n">
        <v>45426</v>
      </c>
      <c r="C132" s="1" t="n">
        <v>46049</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23625-2024</t>
        </is>
      </c>
      <c r="B133" s="1" t="n">
        <v>45454</v>
      </c>
      <c r="C133" s="1" t="n">
        <v>46049</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46049</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52427-2021</t>
        </is>
      </c>
      <c r="B135" s="1" t="n">
        <v>44466.34178240741</v>
      </c>
      <c r="C135" s="1" t="n">
        <v>46049</v>
      </c>
      <c r="D135" t="inlineStr">
        <is>
          <t>JÄMTLANDS LÄN</t>
        </is>
      </c>
      <c r="E135" t="inlineStr">
        <is>
          <t>ÅRE</t>
        </is>
      </c>
      <c r="G135" t="n">
        <v>4</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52427-2021 artfynd.xlsx", "A 52427-2021")</f>
        <v/>
      </c>
      <c r="T135">
        <f>HYPERLINK("https://klasma.github.io/Logging_2321/kartor/A 52427-2021 karta.png", "A 52427-2021")</f>
        <v/>
      </c>
      <c r="V135">
        <f>HYPERLINK("https://klasma.github.io/Logging_2321/klagomål/A 52427-2021 FSC-klagomål.docx", "A 52427-2021")</f>
        <v/>
      </c>
      <c r="W135">
        <f>HYPERLINK("https://klasma.github.io/Logging_2321/klagomålsmail/A 52427-2021 FSC-klagomål mail.docx", "A 52427-2021")</f>
        <v/>
      </c>
      <c r="X135">
        <f>HYPERLINK("https://klasma.github.io/Logging_2321/tillsyn/A 52427-2021 tillsynsbegäran.docx", "A 52427-2021")</f>
        <v/>
      </c>
      <c r="Y135">
        <f>HYPERLINK("https://klasma.github.io/Logging_2321/tillsynsmail/A 52427-2021 tillsynsbegäran mail.docx", "A 52427-2021")</f>
        <v/>
      </c>
      <c r="Z135">
        <f>HYPERLINK("https://klasma.github.io/Logging_2321/fåglar/A 52427-2021 prioriterade fågelarter.docx", "A 52427-2021")</f>
        <v/>
      </c>
    </row>
    <row r="136" ht="15" customHeight="1">
      <c r="A136" t="inlineStr">
        <is>
          <t>A 64668-2021</t>
        </is>
      </c>
      <c r="B136" s="1" t="n">
        <v>44512</v>
      </c>
      <c r="C136" s="1" t="n">
        <v>46049</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5418-2023</t>
        </is>
      </c>
      <c r="B137" s="1" t="n">
        <v>44957</v>
      </c>
      <c r="C137" s="1" t="n">
        <v>46049</v>
      </c>
      <c r="D137" t="inlineStr">
        <is>
          <t>JÄMTLANDS LÄN</t>
        </is>
      </c>
      <c r="E137" t="inlineStr">
        <is>
          <t>ÅRE</t>
        </is>
      </c>
      <c r="G137" t="n">
        <v>5</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5418-2023 artfynd.xlsx", "A 5418-2023")</f>
        <v/>
      </c>
      <c r="T137">
        <f>HYPERLINK("https://klasma.github.io/Logging_2321/kartor/A 5418-2023 karta.png", "A 5418-2023")</f>
        <v/>
      </c>
      <c r="V137">
        <f>HYPERLINK("https://klasma.github.io/Logging_2321/klagomål/A 5418-2023 FSC-klagomål.docx", "A 5418-2023")</f>
        <v/>
      </c>
      <c r="W137">
        <f>HYPERLINK("https://klasma.github.io/Logging_2321/klagomålsmail/A 5418-2023 FSC-klagomål mail.docx", "A 5418-2023")</f>
        <v/>
      </c>
      <c r="X137">
        <f>HYPERLINK("https://klasma.github.io/Logging_2321/tillsyn/A 5418-2023 tillsynsbegäran.docx", "A 5418-2023")</f>
        <v/>
      </c>
      <c r="Y137">
        <f>HYPERLINK("https://klasma.github.io/Logging_2321/tillsynsmail/A 5418-2023 tillsynsbegäran mail.docx", "A 5418-2023")</f>
        <v/>
      </c>
      <c r="Z137">
        <f>HYPERLINK("https://klasma.github.io/Logging_2321/fåglar/A 5418-2023 prioriterade fågelarter.docx", "A 5418-2023")</f>
        <v/>
      </c>
    </row>
    <row r="138" ht="15" customHeight="1">
      <c r="A138" t="inlineStr">
        <is>
          <t>A 60533-2022</t>
        </is>
      </c>
      <c r="B138" s="1" t="n">
        <v>44904</v>
      </c>
      <c r="C138" s="1" t="n">
        <v>46049</v>
      </c>
      <c r="D138" t="inlineStr">
        <is>
          <t>JÄMTLANDS LÄN</t>
        </is>
      </c>
      <c r="E138" t="inlineStr">
        <is>
          <t>ÅRE</t>
        </is>
      </c>
      <c r="G138" t="n">
        <v>3.6</v>
      </c>
      <c r="H138" t="n">
        <v>2</v>
      </c>
      <c r="I138" t="n">
        <v>0</v>
      </c>
      <c r="J138" t="n">
        <v>2</v>
      </c>
      <c r="K138" t="n">
        <v>0</v>
      </c>
      <c r="L138" t="n">
        <v>0</v>
      </c>
      <c r="M138" t="n">
        <v>0</v>
      </c>
      <c r="N138" t="n">
        <v>0</v>
      </c>
      <c r="O138" t="n">
        <v>2</v>
      </c>
      <c r="P138" t="n">
        <v>0</v>
      </c>
      <c r="Q138" t="n">
        <v>2</v>
      </c>
      <c r="R138" s="2" t="inlineStr">
        <is>
          <t>Talltita
Tretåig hackspett</t>
        </is>
      </c>
      <c r="S138">
        <f>HYPERLINK("https://klasma.github.io/Logging_2321/artfynd/A 60533-2022 artfynd.xlsx", "A 60533-2022")</f>
        <v/>
      </c>
      <c r="T138">
        <f>HYPERLINK("https://klasma.github.io/Logging_2321/kartor/A 60533-2022 karta.png", "A 60533-2022")</f>
        <v/>
      </c>
      <c r="V138">
        <f>HYPERLINK("https://klasma.github.io/Logging_2321/klagomål/A 60533-2022 FSC-klagomål.docx", "A 60533-2022")</f>
        <v/>
      </c>
      <c r="W138">
        <f>HYPERLINK("https://klasma.github.io/Logging_2321/klagomålsmail/A 60533-2022 FSC-klagomål mail.docx", "A 60533-2022")</f>
        <v/>
      </c>
      <c r="X138">
        <f>HYPERLINK("https://klasma.github.io/Logging_2321/tillsyn/A 60533-2022 tillsynsbegäran.docx", "A 60533-2022")</f>
        <v/>
      </c>
      <c r="Y138">
        <f>HYPERLINK("https://klasma.github.io/Logging_2321/tillsynsmail/A 60533-2022 tillsynsbegäran mail.docx", "A 60533-2022")</f>
        <v/>
      </c>
      <c r="Z138">
        <f>HYPERLINK("https://klasma.github.io/Logging_2321/fåglar/A 60533-2022 prioriterade fågelarter.docx", "A 60533-2022")</f>
        <v/>
      </c>
    </row>
    <row r="139" ht="15" customHeight="1">
      <c r="A139" t="inlineStr">
        <is>
          <t>A 3152-2023</t>
        </is>
      </c>
      <c r="B139" s="1" t="n">
        <v>44946</v>
      </c>
      <c r="C139" s="1" t="n">
        <v>46049</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HYPERLINK("https://klasma.github.io/Logging_2321/artfynd/A 3152-2023 artfynd.xlsx", "A 3152-2023")</f>
        <v/>
      </c>
      <c r="T139">
        <f>HYPERLINK("https://klasma.github.io/Logging_2321/kartor/A 3152-2023 karta.png", "A 3152-2023")</f>
        <v/>
      </c>
      <c r="V139">
        <f>HYPERLINK("https://klasma.github.io/Logging_2321/klagomål/A 3152-2023 FSC-klagomål.docx", "A 3152-2023")</f>
        <v/>
      </c>
      <c r="W139">
        <f>HYPERLINK("https://klasma.github.io/Logging_2321/klagomålsmail/A 3152-2023 FSC-klagomål mail.docx", "A 3152-2023")</f>
        <v/>
      </c>
      <c r="X139">
        <f>HYPERLINK("https://klasma.github.io/Logging_2321/tillsyn/A 3152-2023 tillsynsbegäran.docx", "A 3152-2023")</f>
        <v/>
      </c>
      <c r="Y139">
        <f>HYPERLINK("https://klasma.github.io/Logging_2321/tillsynsmail/A 3152-2023 tillsynsbegäran mail.docx", "A 3152-2023")</f>
        <v/>
      </c>
      <c r="Z139">
        <f>HYPERLINK("https://klasma.github.io/Logging_2321/fåglar/A 3152-2023 prioriterade fågelarter.docx", "A 3152-2023")</f>
        <v/>
      </c>
    </row>
    <row r="140" ht="15" customHeight="1">
      <c r="A140" t="inlineStr">
        <is>
          <t>A 47993-2025</t>
        </is>
      </c>
      <c r="B140" s="1" t="n">
        <v>45931</v>
      </c>
      <c r="C140" s="1" t="n">
        <v>46049</v>
      </c>
      <c r="D140" t="inlineStr">
        <is>
          <t>JÄMTLANDS LÄN</t>
        </is>
      </c>
      <c r="E140" t="inlineStr">
        <is>
          <t>ÅRE</t>
        </is>
      </c>
      <c r="G140" t="n">
        <v>2.1</v>
      </c>
      <c r="H140" t="n">
        <v>0</v>
      </c>
      <c r="I140" t="n">
        <v>1</v>
      </c>
      <c r="J140" t="n">
        <v>1</v>
      </c>
      <c r="K140" t="n">
        <v>0</v>
      </c>
      <c r="L140" t="n">
        <v>0</v>
      </c>
      <c r="M140" t="n">
        <v>0</v>
      </c>
      <c r="N140" t="n">
        <v>0</v>
      </c>
      <c r="O140" t="n">
        <v>1</v>
      </c>
      <c r="P140" t="n">
        <v>0</v>
      </c>
      <c r="Q140" t="n">
        <v>2</v>
      </c>
      <c r="R140" s="2" t="inlineStr">
        <is>
          <t>Ullticka
Svart trolldruva</t>
        </is>
      </c>
      <c r="S140">
        <f>HYPERLINK("https://klasma.github.io/Logging_2321/artfynd/A 47993-2025 artfynd.xlsx", "A 47993-2025")</f>
        <v/>
      </c>
      <c r="T140">
        <f>HYPERLINK("https://klasma.github.io/Logging_2321/kartor/A 47993-2025 karta.png", "A 47993-2025")</f>
        <v/>
      </c>
      <c r="V140">
        <f>HYPERLINK("https://klasma.github.io/Logging_2321/klagomål/A 47993-2025 FSC-klagomål.docx", "A 47993-2025")</f>
        <v/>
      </c>
      <c r="W140">
        <f>HYPERLINK("https://klasma.github.io/Logging_2321/klagomålsmail/A 47993-2025 FSC-klagomål mail.docx", "A 47993-2025")</f>
        <v/>
      </c>
      <c r="X140">
        <f>HYPERLINK("https://klasma.github.io/Logging_2321/tillsyn/A 47993-2025 tillsynsbegäran.docx", "A 47993-2025")</f>
        <v/>
      </c>
      <c r="Y140">
        <f>HYPERLINK("https://klasma.github.io/Logging_2321/tillsynsmail/A 47993-2025 tillsynsbegäran mail.docx", "A 47993-2025")</f>
        <v/>
      </c>
    </row>
    <row r="141" ht="15" customHeight="1">
      <c r="A141" t="inlineStr">
        <is>
          <t>A 62173-2025</t>
        </is>
      </c>
      <c r="B141" s="1" t="n">
        <v>46006.51138888889</v>
      </c>
      <c r="C141" s="1" t="n">
        <v>46049</v>
      </c>
      <c r="D141" t="inlineStr">
        <is>
          <t>JÄMTLANDS LÄN</t>
        </is>
      </c>
      <c r="E141" t="inlineStr">
        <is>
          <t>ÅRE</t>
        </is>
      </c>
      <c r="G141" t="n">
        <v>1.5</v>
      </c>
      <c r="H141" t="n">
        <v>0</v>
      </c>
      <c r="I141" t="n">
        <v>2</v>
      </c>
      <c r="J141" t="n">
        <v>0</v>
      </c>
      <c r="K141" t="n">
        <v>0</v>
      </c>
      <c r="L141" t="n">
        <v>0</v>
      </c>
      <c r="M141" t="n">
        <v>0</v>
      </c>
      <c r="N141" t="n">
        <v>0</v>
      </c>
      <c r="O141" t="n">
        <v>0</v>
      </c>
      <c r="P141" t="n">
        <v>0</v>
      </c>
      <c r="Q141" t="n">
        <v>2</v>
      </c>
      <c r="R141" s="2" t="inlineStr">
        <is>
          <t>Kransrams
Svavelriska</t>
        </is>
      </c>
      <c r="S141">
        <f>HYPERLINK("https://klasma.github.io/Logging_2321/artfynd/A 62173-2025 artfynd.xlsx", "A 62173-2025")</f>
        <v/>
      </c>
      <c r="T141">
        <f>HYPERLINK("https://klasma.github.io/Logging_2321/kartor/A 62173-2025 karta.png", "A 62173-2025")</f>
        <v/>
      </c>
      <c r="V141">
        <f>HYPERLINK("https://klasma.github.io/Logging_2321/klagomål/A 62173-2025 FSC-klagomål.docx", "A 62173-2025")</f>
        <v/>
      </c>
      <c r="W141">
        <f>HYPERLINK("https://klasma.github.io/Logging_2321/klagomålsmail/A 62173-2025 FSC-klagomål mail.docx", "A 62173-2025")</f>
        <v/>
      </c>
      <c r="X141">
        <f>HYPERLINK("https://klasma.github.io/Logging_2321/tillsyn/A 62173-2025 tillsynsbegäran.docx", "A 62173-2025")</f>
        <v/>
      </c>
      <c r="Y141">
        <f>HYPERLINK("https://klasma.github.io/Logging_2321/tillsynsmail/A 62173-2025 tillsynsbegäran mail.docx", "A 62173-2025")</f>
        <v/>
      </c>
    </row>
    <row r="142" ht="15" customHeight="1">
      <c r="A142" t="inlineStr">
        <is>
          <t>A 18851-2022</t>
        </is>
      </c>
      <c r="B142" s="1" t="n">
        <v>44690</v>
      </c>
      <c r="C142" s="1" t="n">
        <v>46049</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46049</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46049</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46049</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46049</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46049</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46049</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46049</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46049</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46049</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46049</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12970-2021</t>
        </is>
      </c>
      <c r="B153" s="1" t="n">
        <v>44271</v>
      </c>
      <c r="C153" s="1" t="n">
        <v>46049</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12970-2021 artfynd.xlsx", "A 12970-2021")</f>
        <v/>
      </c>
      <c r="T153">
        <f>HYPERLINK("https://klasma.github.io/Logging_2321/kartor/A 12970-2021 karta.png", "A 12970-2021")</f>
        <v/>
      </c>
      <c r="V153">
        <f>HYPERLINK("https://klasma.github.io/Logging_2321/klagomål/A 12970-2021 FSC-klagomål.docx", "A 12970-2021")</f>
        <v/>
      </c>
      <c r="W153">
        <f>HYPERLINK("https://klasma.github.io/Logging_2321/klagomålsmail/A 12970-2021 FSC-klagomål mail.docx", "A 12970-2021")</f>
        <v/>
      </c>
      <c r="X153">
        <f>HYPERLINK("https://klasma.github.io/Logging_2321/tillsyn/A 12970-2021 tillsynsbegäran.docx", "A 12970-2021")</f>
        <v/>
      </c>
      <c r="Y153">
        <f>HYPERLINK("https://klasma.github.io/Logging_2321/tillsynsmail/A 12970-2021 tillsynsbegäran mail.docx", "A 12970-2021")</f>
        <v/>
      </c>
    </row>
    <row r="154" ht="15" customHeight="1">
      <c r="A154" t="inlineStr">
        <is>
          <t>A 17636-2024</t>
        </is>
      </c>
      <c r="B154" s="1" t="n">
        <v>45418</v>
      </c>
      <c r="C154" s="1" t="n">
        <v>46049</v>
      </c>
      <c r="D154" t="inlineStr">
        <is>
          <t>JÄMTLANDS LÄN</t>
        </is>
      </c>
      <c r="E154" t="inlineStr">
        <is>
          <t>ÅRE</t>
        </is>
      </c>
      <c r="F154" t="inlineStr">
        <is>
          <t>Övriga Aktiebolag</t>
        </is>
      </c>
      <c r="G154" t="n">
        <v>12.4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17636-2024 artfynd.xlsx", "A 17636-2024")</f>
        <v/>
      </c>
      <c r="T154">
        <f>HYPERLINK("https://klasma.github.io/Logging_2321/kartor/A 17636-2024 karta.png", "A 17636-2024")</f>
        <v/>
      </c>
      <c r="V154">
        <f>HYPERLINK("https://klasma.github.io/Logging_2321/klagomål/A 17636-2024 FSC-klagomål.docx", "A 17636-2024")</f>
        <v/>
      </c>
      <c r="W154">
        <f>HYPERLINK("https://klasma.github.io/Logging_2321/klagomålsmail/A 17636-2024 FSC-klagomål mail.docx", "A 17636-2024")</f>
        <v/>
      </c>
      <c r="X154">
        <f>HYPERLINK("https://klasma.github.io/Logging_2321/tillsyn/A 17636-2024 tillsynsbegäran.docx", "A 17636-2024")</f>
        <v/>
      </c>
      <c r="Y154">
        <f>HYPERLINK("https://klasma.github.io/Logging_2321/tillsynsmail/A 17636-2024 tillsynsbegäran mail.docx", "A 17636-2024")</f>
        <v/>
      </c>
      <c r="Z154">
        <f>HYPERLINK("https://klasma.github.io/Logging_2321/fåglar/A 17636-2024 prioriterade fågelarter.docx", "A 17636-2024")</f>
        <v/>
      </c>
    </row>
    <row r="155" ht="15" customHeight="1">
      <c r="A155" t="inlineStr">
        <is>
          <t>A 55194-2022</t>
        </is>
      </c>
      <c r="B155" s="1" t="n">
        <v>44886</v>
      </c>
      <c r="C155" s="1" t="n">
        <v>46049</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10632-2023</t>
        </is>
      </c>
      <c r="B156" s="1" t="n">
        <v>44984</v>
      </c>
      <c r="C156" s="1" t="n">
        <v>46049</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46049</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46049</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11781-2021</t>
        </is>
      </c>
      <c r="B159" s="1" t="n">
        <v>44265</v>
      </c>
      <c r="C159" s="1" t="n">
        <v>46049</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14245-2025</t>
        </is>
      </c>
      <c r="B160" s="1" t="n">
        <v>45740</v>
      </c>
      <c r="C160" s="1" t="n">
        <v>46049</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14245-2025 artfynd.xlsx", "A 14245-2025")</f>
        <v/>
      </c>
      <c r="T160">
        <f>HYPERLINK("https://klasma.github.io/Logging_2321/kartor/A 14245-2025 karta.png", "A 14245-2025")</f>
        <v/>
      </c>
      <c r="V160">
        <f>HYPERLINK("https://klasma.github.io/Logging_2321/klagomål/A 14245-2025 FSC-klagomål.docx", "A 14245-2025")</f>
        <v/>
      </c>
      <c r="W160">
        <f>HYPERLINK("https://klasma.github.io/Logging_2321/klagomålsmail/A 14245-2025 FSC-klagomål mail.docx", "A 14245-2025")</f>
        <v/>
      </c>
      <c r="X160">
        <f>HYPERLINK("https://klasma.github.io/Logging_2321/tillsyn/A 14245-2025 tillsynsbegäran.docx", "A 14245-2025")</f>
        <v/>
      </c>
      <c r="Y160">
        <f>HYPERLINK("https://klasma.github.io/Logging_2321/tillsynsmail/A 14245-2025 tillsynsbegäran mail.docx", "A 14245-2025")</f>
        <v/>
      </c>
      <c r="Z160">
        <f>HYPERLINK("https://klasma.github.io/Logging_2321/fåglar/A 14245-2025 prioriterade fågelarter.docx", "A 14245-2025")</f>
        <v/>
      </c>
    </row>
    <row r="161" ht="15" customHeight="1">
      <c r="A161" t="inlineStr">
        <is>
          <t>A 17692-2022</t>
        </is>
      </c>
      <c r="B161" s="1" t="n">
        <v>44680</v>
      </c>
      <c r="C161" s="1" t="n">
        <v>46049</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45144-2024</t>
        </is>
      </c>
      <c r="B162" s="1" t="n">
        <v>45575.63767361111</v>
      </c>
      <c r="C162" s="1" t="n">
        <v>46049</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50321-2024</t>
        </is>
      </c>
      <c r="B163" s="1" t="n">
        <v>45600</v>
      </c>
      <c r="C163" s="1" t="n">
        <v>46049</v>
      </c>
      <c r="D163" t="inlineStr">
        <is>
          <t>JÄMTLANDS LÄN</t>
        </is>
      </c>
      <c r="E163" t="inlineStr">
        <is>
          <t>ÅRE</t>
        </is>
      </c>
      <c r="F163" t="inlineStr">
        <is>
          <t>Övriga Aktiebolag</t>
        </is>
      </c>
      <c r="G163" t="n">
        <v>2.6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50321-2024 artfynd.xlsx", "A 50321-2024")</f>
        <v/>
      </c>
      <c r="T163">
        <f>HYPERLINK("https://klasma.github.io/Logging_2321/kartor/A 50321-2024 karta.png", "A 50321-2024")</f>
        <v/>
      </c>
      <c r="V163">
        <f>HYPERLINK("https://klasma.github.io/Logging_2321/klagomål/A 50321-2024 FSC-klagomål.docx", "A 50321-2024")</f>
        <v/>
      </c>
      <c r="W163">
        <f>HYPERLINK("https://klasma.github.io/Logging_2321/klagomålsmail/A 50321-2024 FSC-klagomål mail.docx", "A 50321-2024")</f>
        <v/>
      </c>
      <c r="X163">
        <f>HYPERLINK("https://klasma.github.io/Logging_2321/tillsyn/A 50321-2024 tillsynsbegäran.docx", "A 50321-2024")</f>
        <v/>
      </c>
      <c r="Y163">
        <f>HYPERLINK("https://klasma.github.io/Logging_2321/tillsynsmail/A 50321-2024 tillsynsbegäran mail.docx", "A 50321-2024")</f>
        <v/>
      </c>
      <c r="Z163">
        <f>HYPERLINK("https://klasma.github.io/Logging_2321/fåglar/A 50321-2024 prioriterade fågelarter.docx", "A 50321-2024")</f>
        <v/>
      </c>
    </row>
    <row r="164" ht="15" customHeight="1">
      <c r="A164" t="inlineStr">
        <is>
          <t>A 4937-2025</t>
        </is>
      </c>
      <c r="B164" s="1" t="n">
        <v>45688</v>
      </c>
      <c r="C164" s="1" t="n">
        <v>46049</v>
      </c>
      <c r="D164" t="inlineStr">
        <is>
          <t>JÄMTLANDS LÄN</t>
        </is>
      </c>
      <c r="E164" t="inlineStr">
        <is>
          <t>ÅRE</t>
        </is>
      </c>
      <c r="G164" t="n">
        <v>1.8</v>
      </c>
      <c r="H164" t="n">
        <v>0</v>
      </c>
      <c r="I164" t="n">
        <v>0</v>
      </c>
      <c r="J164" t="n">
        <v>1</v>
      </c>
      <c r="K164" t="n">
        <v>0</v>
      </c>
      <c r="L164" t="n">
        <v>0</v>
      </c>
      <c r="M164" t="n">
        <v>0</v>
      </c>
      <c r="N164" t="n">
        <v>0</v>
      </c>
      <c r="O164" t="n">
        <v>1</v>
      </c>
      <c r="P164" t="n">
        <v>0</v>
      </c>
      <c r="Q164" t="n">
        <v>1</v>
      </c>
      <c r="R164" s="2" t="inlineStr">
        <is>
          <t>Granticka</t>
        </is>
      </c>
      <c r="S164">
        <f>HYPERLINK("https://klasma.github.io/Logging_2321/artfynd/A 4937-2025 artfynd.xlsx", "A 4937-2025")</f>
        <v/>
      </c>
      <c r="T164">
        <f>HYPERLINK("https://klasma.github.io/Logging_2321/kartor/A 4937-2025 karta.png", "A 4937-2025")</f>
        <v/>
      </c>
      <c r="V164">
        <f>HYPERLINK("https://klasma.github.io/Logging_2321/klagomål/A 4937-2025 FSC-klagomål.docx", "A 4937-2025")</f>
        <v/>
      </c>
      <c r="W164">
        <f>HYPERLINK("https://klasma.github.io/Logging_2321/klagomålsmail/A 4937-2025 FSC-klagomål mail.docx", "A 4937-2025")</f>
        <v/>
      </c>
      <c r="X164">
        <f>HYPERLINK("https://klasma.github.io/Logging_2321/tillsyn/A 4937-2025 tillsynsbegäran.docx", "A 4937-2025")</f>
        <v/>
      </c>
      <c r="Y164">
        <f>HYPERLINK("https://klasma.github.io/Logging_2321/tillsynsmail/A 4937-2025 tillsynsbegäran mail.docx", "A 4937-2025")</f>
        <v/>
      </c>
    </row>
    <row r="165" ht="15" customHeight="1">
      <c r="A165" t="inlineStr">
        <is>
          <t>A 21939-2025</t>
        </is>
      </c>
      <c r="B165" s="1" t="n">
        <v>45784.58445601852</v>
      </c>
      <c r="C165" s="1" t="n">
        <v>46049</v>
      </c>
      <c r="D165" t="inlineStr">
        <is>
          <t>JÄMTLANDS LÄN</t>
        </is>
      </c>
      <c r="E165" t="inlineStr">
        <is>
          <t>ÅRE</t>
        </is>
      </c>
      <c r="G165" t="n">
        <v>6.5</v>
      </c>
      <c r="H165" t="n">
        <v>0</v>
      </c>
      <c r="I165" t="n">
        <v>1</v>
      </c>
      <c r="J165" t="n">
        <v>0</v>
      </c>
      <c r="K165" t="n">
        <v>0</v>
      </c>
      <c r="L165" t="n">
        <v>0</v>
      </c>
      <c r="M165" t="n">
        <v>0</v>
      </c>
      <c r="N165" t="n">
        <v>0</v>
      </c>
      <c r="O165" t="n">
        <v>0</v>
      </c>
      <c r="P165" t="n">
        <v>0</v>
      </c>
      <c r="Q165" t="n">
        <v>1</v>
      </c>
      <c r="R165" s="2" t="inlineStr">
        <is>
          <t>Finbräken</t>
        </is>
      </c>
      <c r="S165">
        <f>HYPERLINK("https://klasma.github.io/Logging_2321/artfynd/A 21939-2025 artfynd.xlsx", "A 21939-2025")</f>
        <v/>
      </c>
      <c r="T165">
        <f>HYPERLINK("https://klasma.github.io/Logging_2321/kartor/A 21939-2025 karta.png", "A 21939-2025")</f>
        <v/>
      </c>
      <c r="V165">
        <f>HYPERLINK("https://klasma.github.io/Logging_2321/klagomål/A 21939-2025 FSC-klagomål.docx", "A 21939-2025")</f>
        <v/>
      </c>
      <c r="W165">
        <f>HYPERLINK("https://klasma.github.io/Logging_2321/klagomålsmail/A 21939-2025 FSC-klagomål mail.docx", "A 21939-2025")</f>
        <v/>
      </c>
      <c r="X165">
        <f>HYPERLINK("https://klasma.github.io/Logging_2321/tillsyn/A 21939-2025 tillsynsbegäran.docx", "A 21939-2025")</f>
        <v/>
      </c>
      <c r="Y165">
        <f>HYPERLINK("https://klasma.github.io/Logging_2321/tillsynsmail/A 21939-2025 tillsynsbegäran mail.docx", "A 21939-2025")</f>
        <v/>
      </c>
    </row>
    <row r="166" ht="15" customHeight="1">
      <c r="A166" t="inlineStr">
        <is>
          <t>A 23556-2021</t>
        </is>
      </c>
      <c r="B166" s="1" t="n">
        <v>44334</v>
      </c>
      <c r="C166" s="1" t="n">
        <v>46049</v>
      </c>
      <c r="D166" t="inlineStr">
        <is>
          <t>JÄMTLANDS LÄN</t>
        </is>
      </c>
      <c r="E166" t="inlineStr">
        <is>
          <t>ÅRE</t>
        </is>
      </c>
      <c r="G166" t="n">
        <v>11.1</v>
      </c>
      <c r="H166" t="n">
        <v>1</v>
      </c>
      <c r="I166" t="n">
        <v>1</v>
      </c>
      <c r="J166" t="n">
        <v>0</v>
      </c>
      <c r="K166" t="n">
        <v>0</v>
      </c>
      <c r="L166" t="n">
        <v>0</v>
      </c>
      <c r="M166" t="n">
        <v>0</v>
      </c>
      <c r="N166" t="n">
        <v>0</v>
      </c>
      <c r="O166" t="n">
        <v>0</v>
      </c>
      <c r="P166" t="n">
        <v>0</v>
      </c>
      <c r="Q166" t="n">
        <v>1</v>
      </c>
      <c r="R166" s="2" t="inlineStr">
        <is>
          <t>Tvåblad</t>
        </is>
      </c>
      <c r="S166">
        <f>HYPERLINK("https://klasma.github.io/Logging_2321/artfynd/A 23556-2021 artfynd.xlsx", "A 23556-2021")</f>
        <v/>
      </c>
      <c r="T166">
        <f>HYPERLINK("https://klasma.github.io/Logging_2321/kartor/A 23556-2021 karta.png", "A 23556-2021")</f>
        <v/>
      </c>
      <c r="V166">
        <f>HYPERLINK("https://klasma.github.io/Logging_2321/klagomål/A 23556-2021 FSC-klagomål.docx", "A 23556-2021")</f>
        <v/>
      </c>
      <c r="W166">
        <f>HYPERLINK("https://klasma.github.io/Logging_2321/klagomålsmail/A 23556-2021 FSC-klagomål mail.docx", "A 23556-2021")</f>
        <v/>
      </c>
      <c r="X166">
        <f>HYPERLINK("https://klasma.github.io/Logging_2321/tillsyn/A 23556-2021 tillsynsbegäran.docx", "A 23556-2021")</f>
        <v/>
      </c>
      <c r="Y166">
        <f>HYPERLINK("https://klasma.github.io/Logging_2321/tillsynsmail/A 23556-2021 tillsynsbegäran mail.docx", "A 23556-2021")</f>
        <v/>
      </c>
    </row>
    <row r="167" ht="15" customHeight="1">
      <c r="A167" t="inlineStr">
        <is>
          <t>A 53462-2024</t>
        </is>
      </c>
      <c r="B167" s="1" t="n">
        <v>45614.55241898148</v>
      </c>
      <c r="C167" s="1" t="n">
        <v>46049</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57493-2025</t>
        </is>
      </c>
      <c r="B168" s="1" t="n">
        <v>45980.58540509259</v>
      </c>
      <c r="C168" s="1" t="n">
        <v>46049</v>
      </c>
      <c r="D168" t="inlineStr">
        <is>
          <t>JÄMTLANDS LÄN</t>
        </is>
      </c>
      <c r="E168" t="inlineStr">
        <is>
          <t>ÅRE</t>
        </is>
      </c>
      <c r="G168" t="n">
        <v>164</v>
      </c>
      <c r="H168" t="n">
        <v>0</v>
      </c>
      <c r="I168" t="n">
        <v>0</v>
      </c>
      <c r="J168" t="n">
        <v>1</v>
      </c>
      <c r="K168" t="n">
        <v>0</v>
      </c>
      <c r="L168" t="n">
        <v>0</v>
      </c>
      <c r="M168" t="n">
        <v>0</v>
      </c>
      <c r="N168" t="n">
        <v>0</v>
      </c>
      <c r="O168" t="n">
        <v>1</v>
      </c>
      <c r="P168" t="n">
        <v>0</v>
      </c>
      <c r="Q168" t="n">
        <v>1</v>
      </c>
      <c r="R168" s="2" t="inlineStr">
        <is>
          <t>Doftskinn</t>
        </is>
      </c>
      <c r="S168">
        <f>HYPERLINK("https://klasma.github.io/Logging_2321/artfynd/A 57493-2025 artfynd.xlsx", "A 57493-2025")</f>
        <v/>
      </c>
      <c r="T168">
        <f>HYPERLINK("https://klasma.github.io/Logging_2321/kartor/A 57493-2025 karta.png", "A 57493-2025")</f>
        <v/>
      </c>
      <c r="V168">
        <f>HYPERLINK("https://klasma.github.io/Logging_2321/klagomål/A 57493-2025 FSC-klagomål.docx", "A 57493-2025")</f>
        <v/>
      </c>
      <c r="W168">
        <f>HYPERLINK("https://klasma.github.io/Logging_2321/klagomålsmail/A 57493-2025 FSC-klagomål mail.docx", "A 57493-2025")</f>
        <v/>
      </c>
      <c r="X168">
        <f>HYPERLINK("https://klasma.github.io/Logging_2321/tillsyn/A 57493-2025 tillsynsbegäran.docx", "A 57493-2025")</f>
        <v/>
      </c>
      <c r="Y168">
        <f>HYPERLINK("https://klasma.github.io/Logging_2321/tillsynsmail/A 57493-2025 tillsynsbegäran mail.docx", "A 57493-2025")</f>
        <v/>
      </c>
    </row>
    <row r="169" ht="15" customHeight="1">
      <c r="A169" t="inlineStr">
        <is>
          <t>A 5611-2023</t>
        </is>
      </c>
      <c r="B169" s="1" t="n">
        <v>44958</v>
      </c>
      <c r="C169" s="1" t="n">
        <v>46049</v>
      </c>
      <c r="D169" t="inlineStr">
        <is>
          <t>JÄMTLANDS LÄN</t>
        </is>
      </c>
      <c r="E169" t="inlineStr">
        <is>
          <t>ÅRE</t>
        </is>
      </c>
      <c r="G169" t="n">
        <v>10.5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5611-2023 artfynd.xlsx", "A 5611-2023")</f>
        <v/>
      </c>
      <c r="T169">
        <f>HYPERLINK("https://klasma.github.io/Logging_2321/kartor/A 5611-2023 karta.png", "A 5611-2023")</f>
        <v/>
      </c>
      <c r="V169">
        <f>HYPERLINK("https://klasma.github.io/Logging_2321/klagomål/A 5611-2023 FSC-klagomål.docx", "A 5611-2023")</f>
        <v/>
      </c>
      <c r="W169">
        <f>HYPERLINK("https://klasma.github.io/Logging_2321/klagomålsmail/A 5611-2023 FSC-klagomål mail.docx", "A 5611-2023")</f>
        <v/>
      </c>
      <c r="X169">
        <f>HYPERLINK("https://klasma.github.io/Logging_2321/tillsyn/A 5611-2023 tillsynsbegäran.docx", "A 5611-2023")</f>
        <v/>
      </c>
      <c r="Y169">
        <f>HYPERLINK("https://klasma.github.io/Logging_2321/tillsynsmail/A 5611-2023 tillsynsbegäran mail.docx", "A 5611-2023")</f>
        <v/>
      </c>
      <c r="Z169">
        <f>HYPERLINK("https://klasma.github.io/Logging_2321/fåglar/A 5611-2023 prioriterade fågelarter.docx", "A 5611-2023")</f>
        <v/>
      </c>
    </row>
    <row r="170" ht="15" customHeight="1">
      <c r="A170" t="inlineStr">
        <is>
          <t>A 30032-2024</t>
        </is>
      </c>
      <c r="B170" s="1" t="n">
        <v>45485</v>
      </c>
      <c r="C170" s="1" t="n">
        <v>46049</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37082-2021</t>
        </is>
      </c>
      <c r="B171" s="1" t="n">
        <v>44395</v>
      </c>
      <c r="C171" s="1" t="n">
        <v>46049</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63363-2025</t>
        </is>
      </c>
      <c r="B172" s="1" t="n">
        <v>46010.68505787037</v>
      </c>
      <c r="C172" s="1" t="n">
        <v>46049</v>
      </c>
      <c r="D172" t="inlineStr">
        <is>
          <t>JÄMTLANDS LÄN</t>
        </is>
      </c>
      <c r="E172" t="inlineStr">
        <is>
          <t>ÅRE</t>
        </is>
      </c>
      <c r="F172" t="inlineStr">
        <is>
          <t>Övriga Aktiebolag</t>
        </is>
      </c>
      <c r="G172" t="n">
        <v>28.4</v>
      </c>
      <c r="H172" t="n">
        <v>0</v>
      </c>
      <c r="I172" t="n">
        <v>0</v>
      </c>
      <c r="J172" t="n">
        <v>1</v>
      </c>
      <c r="K172" t="n">
        <v>0</v>
      </c>
      <c r="L172" t="n">
        <v>0</v>
      </c>
      <c r="M172" t="n">
        <v>0</v>
      </c>
      <c r="N172" t="n">
        <v>0</v>
      </c>
      <c r="O172" t="n">
        <v>1</v>
      </c>
      <c r="P172" t="n">
        <v>0</v>
      </c>
      <c r="Q172" t="n">
        <v>1</v>
      </c>
      <c r="R172" s="2" t="inlineStr">
        <is>
          <t>Garnlav</t>
        </is>
      </c>
      <c r="S172">
        <f>HYPERLINK("https://klasma.github.io/Logging_2321/artfynd/A 63363-2025 artfynd.xlsx", "A 63363-2025")</f>
        <v/>
      </c>
      <c r="T172">
        <f>HYPERLINK("https://klasma.github.io/Logging_2321/kartor/A 63363-2025 karta.png", "A 63363-2025")</f>
        <v/>
      </c>
      <c r="V172">
        <f>HYPERLINK("https://klasma.github.io/Logging_2321/klagomål/A 63363-2025 FSC-klagomål.docx", "A 63363-2025")</f>
        <v/>
      </c>
      <c r="W172">
        <f>HYPERLINK("https://klasma.github.io/Logging_2321/klagomålsmail/A 63363-2025 FSC-klagomål mail.docx", "A 63363-2025")</f>
        <v/>
      </c>
      <c r="X172">
        <f>HYPERLINK("https://klasma.github.io/Logging_2321/tillsyn/A 63363-2025 tillsynsbegäran.docx", "A 63363-2025")</f>
        <v/>
      </c>
      <c r="Y172">
        <f>HYPERLINK("https://klasma.github.io/Logging_2321/tillsynsmail/A 63363-2025 tillsynsbegäran mail.docx", "A 63363-2025")</f>
        <v/>
      </c>
    </row>
    <row r="173" ht="15" customHeight="1">
      <c r="A173" t="inlineStr">
        <is>
          <t>A 55718-2025</t>
        </is>
      </c>
      <c r="B173" s="1" t="n">
        <v>45972.49988425926</v>
      </c>
      <c r="C173" s="1" t="n">
        <v>46049</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74392-2021</t>
        </is>
      </c>
      <c r="B174" s="1" t="n">
        <v>44559</v>
      </c>
      <c r="C174" s="1" t="n">
        <v>46049</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15909-2025</t>
        </is>
      </c>
      <c r="B175" s="1" t="n">
        <v>45749</v>
      </c>
      <c r="C175" s="1" t="n">
        <v>46049</v>
      </c>
      <c r="D175" t="inlineStr">
        <is>
          <t>JÄMTLANDS LÄN</t>
        </is>
      </c>
      <c r="E175" t="inlineStr">
        <is>
          <t>ÅRE</t>
        </is>
      </c>
      <c r="G175" t="n">
        <v>23.8</v>
      </c>
      <c r="H175" t="n">
        <v>0</v>
      </c>
      <c r="I175" t="n">
        <v>0</v>
      </c>
      <c r="J175" t="n">
        <v>1</v>
      </c>
      <c r="K175" t="n">
        <v>0</v>
      </c>
      <c r="L175" t="n">
        <v>0</v>
      </c>
      <c r="M175" t="n">
        <v>0</v>
      </c>
      <c r="N175" t="n">
        <v>0</v>
      </c>
      <c r="O175" t="n">
        <v>1</v>
      </c>
      <c r="P175" t="n">
        <v>0</v>
      </c>
      <c r="Q175" t="n">
        <v>1</v>
      </c>
      <c r="R175" s="2" t="inlineStr">
        <is>
          <t>Garnlav</t>
        </is>
      </c>
      <c r="S175">
        <f>HYPERLINK("https://klasma.github.io/Logging_2321/artfynd/A 15909-2025 artfynd.xlsx", "A 15909-2025")</f>
        <v/>
      </c>
      <c r="T175">
        <f>HYPERLINK("https://klasma.github.io/Logging_2321/kartor/A 15909-2025 karta.png", "A 15909-2025")</f>
        <v/>
      </c>
      <c r="V175">
        <f>HYPERLINK("https://klasma.github.io/Logging_2321/klagomål/A 15909-2025 FSC-klagomål.docx", "A 15909-2025")</f>
        <v/>
      </c>
      <c r="W175">
        <f>HYPERLINK("https://klasma.github.io/Logging_2321/klagomålsmail/A 15909-2025 FSC-klagomål mail.docx", "A 15909-2025")</f>
        <v/>
      </c>
      <c r="X175">
        <f>HYPERLINK("https://klasma.github.io/Logging_2321/tillsyn/A 15909-2025 tillsynsbegäran.docx", "A 15909-2025")</f>
        <v/>
      </c>
      <c r="Y175">
        <f>HYPERLINK("https://klasma.github.io/Logging_2321/tillsynsmail/A 15909-2025 tillsynsbegäran mail.docx", "A 15909-2025")</f>
        <v/>
      </c>
    </row>
    <row r="176" ht="15" customHeight="1">
      <c r="A176" t="inlineStr">
        <is>
          <t>A 8131-2024</t>
        </is>
      </c>
      <c r="B176" s="1" t="n">
        <v>45351</v>
      </c>
      <c r="C176" s="1" t="n">
        <v>46049</v>
      </c>
      <c r="D176" t="inlineStr">
        <is>
          <t>JÄMTLANDS LÄN</t>
        </is>
      </c>
      <c r="E176" t="inlineStr">
        <is>
          <t>ÅRE</t>
        </is>
      </c>
      <c r="F176" t="inlineStr">
        <is>
          <t>Övriga Aktiebolag</t>
        </is>
      </c>
      <c r="G176" t="n">
        <v>3.1</v>
      </c>
      <c r="H176" t="n">
        <v>0</v>
      </c>
      <c r="I176" t="n">
        <v>0</v>
      </c>
      <c r="J176" t="n">
        <v>0</v>
      </c>
      <c r="K176" t="n">
        <v>1</v>
      </c>
      <c r="L176" t="n">
        <v>0</v>
      </c>
      <c r="M176" t="n">
        <v>0</v>
      </c>
      <c r="N176" t="n">
        <v>0</v>
      </c>
      <c r="O176" t="n">
        <v>1</v>
      </c>
      <c r="P176" t="n">
        <v>1</v>
      </c>
      <c r="Q176" t="n">
        <v>1</v>
      </c>
      <c r="R176" s="2" t="inlineStr">
        <is>
          <t>Gräddporing</t>
        </is>
      </c>
      <c r="S176">
        <f>HYPERLINK("https://klasma.github.io/Logging_2321/artfynd/A 8131-2024 artfynd.xlsx", "A 8131-2024")</f>
        <v/>
      </c>
      <c r="T176">
        <f>HYPERLINK("https://klasma.github.io/Logging_2321/kartor/A 8131-2024 karta.png", "A 8131-2024")</f>
        <v/>
      </c>
      <c r="V176">
        <f>HYPERLINK("https://klasma.github.io/Logging_2321/klagomål/A 8131-2024 FSC-klagomål.docx", "A 8131-2024")</f>
        <v/>
      </c>
      <c r="W176">
        <f>HYPERLINK("https://klasma.github.io/Logging_2321/klagomålsmail/A 8131-2024 FSC-klagomål mail.docx", "A 8131-2024")</f>
        <v/>
      </c>
      <c r="X176">
        <f>HYPERLINK("https://klasma.github.io/Logging_2321/tillsyn/A 8131-2024 tillsynsbegäran.docx", "A 8131-2024")</f>
        <v/>
      </c>
      <c r="Y176">
        <f>HYPERLINK("https://klasma.github.io/Logging_2321/tillsynsmail/A 8131-2024 tillsynsbegäran mail.docx", "A 8131-2024")</f>
        <v/>
      </c>
    </row>
    <row r="177" ht="15" customHeight="1">
      <c r="A177" t="inlineStr">
        <is>
          <t>A 4754-2026</t>
        </is>
      </c>
      <c r="B177" s="1" t="n">
        <v>46048.52958333334</v>
      </c>
      <c r="C177" s="1" t="n">
        <v>46049</v>
      </c>
      <c r="D177" t="inlineStr">
        <is>
          <t>JÄMTLANDS LÄN</t>
        </is>
      </c>
      <c r="E177" t="inlineStr">
        <is>
          <t>ÅRE</t>
        </is>
      </c>
      <c r="G177" t="n">
        <v>8.9</v>
      </c>
      <c r="H177" t="n">
        <v>1</v>
      </c>
      <c r="I177" t="n">
        <v>0</v>
      </c>
      <c r="J177" t="n">
        <v>0</v>
      </c>
      <c r="K177" t="n">
        <v>0</v>
      </c>
      <c r="L177" t="n">
        <v>0</v>
      </c>
      <c r="M177" t="n">
        <v>0</v>
      </c>
      <c r="N177" t="n">
        <v>0</v>
      </c>
      <c r="O177" t="n">
        <v>0</v>
      </c>
      <c r="P177" t="n">
        <v>0</v>
      </c>
      <c r="Q177" t="n">
        <v>1</v>
      </c>
      <c r="R177" s="2" t="inlineStr">
        <is>
          <t>Lavskrika</t>
        </is>
      </c>
      <c r="S177">
        <f>HYPERLINK("https://klasma.github.io/Logging_2321/artfynd/A 4754-2026 artfynd.xlsx", "A 4754-2026")</f>
        <v/>
      </c>
      <c r="T177">
        <f>HYPERLINK("https://klasma.github.io/Logging_2321/kartor/A 4754-2026 karta.png", "A 4754-2026")</f>
        <v/>
      </c>
      <c r="V177">
        <f>HYPERLINK("https://klasma.github.io/Logging_2321/klagomål/A 4754-2026 FSC-klagomål.docx", "A 4754-2026")</f>
        <v/>
      </c>
      <c r="W177">
        <f>HYPERLINK("https://klasma.github.io/Logging_2321/klagomålsmail/A 4754-2026 FSC-klagomål mail.docx", "A 4754-2026")</f>
        <v/>
      </c>
      <c r="X177">
        <f>HYPERLINK("https://klasma.github.io/Logging_2321/tillsyn/A 4754-2026 tillsynsbegäran.docx", "A 4754-2026")</f>
        <v/>
      </c>
      <c r="Y177">
        <f>HYPERLINK("https://klasma.github.io/Logging_2321/tillsynsmail/A 4754-2026 tillsynsbegäran mail.docx", "A 4754-2026")</f>
        <v/>
      </c>
      <c r="Z177">
        <f>HYPERLINK("https://klasma.github.io/Logging_2321/fåglar/A 4754-2026 prioriterade fågelarter.docx", "A 4754-2026")</f>
        <v/>
      </c>
    </row>
    <row r="178" ht="15" customHeight="1">
      <c r="A178" t="inlineStr">
        <is>
          <t>A 32216-2022</t>
        </is>
      </c>
      <c r="B178" s="1" t="n">
        <v>44781</v>
      </c>
      <c r="C178" s="1" t="n">
        <v>46049</v>
      </c>
      <c r="D178" t="inlineStr">
        <is>
          <t>JÄMTLANDS LÄN</t>
        </is>
      </c>
      <c r="E178" t="inlineStr">
        <is>
          <t>ÅRE</t>
        </is>
      </c>
      <c r="G178" t="n">
        <v>27.3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32216-2022 artfynd.xlsx", "A 32216-2022")</f>
        <v/>
      </c>
      <c r="T178">
        <f>HYPERLINK("https://klasma.github.io/Logging_2321/kartor/A 32216-2022 karta.png", "A 32216-2022")</f>
        <v/>
      </c>
      <c r="V178">
        <f>HYPERLINK("https://klasma.github.io/Logging_2321/klagomål/A 32216-2022 FSC-klagomål.docx", "A 32216-2022")</f>
        <v/>
      </c>
      <c r="W178">
        <f>HYPERLINK("https://klasma.github.io/Logging_2321/klagomålsmail/A 32216-2022 FSC-klagomål mail.docx", "A 32216-2022")</f>
        <v/>
      </c>
      <c r="X178">
        <f>HYPERLINK("https://klasma.github.io/Logging_2321/tillsyn/A 32216-2022 tillsynsbegäran.docx", "A 32216-2022")</f>
        <v/>
      </c>
      <c r="Y178">
        <f>HYPERLINK("https://klasma.github.io/Logging_2321/tillsynsmail/A 32216-2022 tillsynsbegäran mail.docx", "A 32216-2022")</f>
        <v/>
      </c>
      <c r="Z178">
        <f>HYPERLINK("https://klasma.github.io/Logging_2321/fåglar/A 32216-2022 prioriterade fågelarter.docx", "A 32216-2022")</f>
        <v/>
      </c>
    </row>
    <row r="179" ht="15" customHeight="1">
      <c r="A179" t="inlineStr">
        <is>
          <t>A 5480-2023</t>
        </is>
      </c>
      <c r="B179" s="1" t="n">
        <v>44957</v>
      </c>
      <c r="C179" s="1" t="n">
        <v>46049</v>
      </c>
      <c r="D179" t="inlineStr">
        <is>
          <t>JÄMTLANDS LÄN</t>
        </is>
      </c>
      <c r="E179" t="inlineStr">
        <is>
          <t>ÅRE</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5480-2023 artfynd.xlsx", "A 5480-2023")</f>
        <v/>
      </c>
      <c r="T179">
        <f>HYPERLINK("https://klasma.github.io/Logging_2321/kartor/A 5480-2023 karta.png", "A 5480-2023")</f>
        <v/>
      </c>
      <c r="V179">
        <f>HYPERLINK("https://klasma.github.io/Logging_2321/klagomål/A 5480-2023 FSC-klagomål.docx", "A 5480-2023")</f>
        <v/>
      </c>
      <c r="W179">
        <f>HYPERLINK("https://klasma.github.io/Logging_2321/klagomålsmail/A 5480-2023 FSC-klagomål mail.docx", "A 5480-2023")</f>
        <v/>
      </c>
      <c r="X179">
        <f>HYPERLINK("https://klasma.github.io/Logging_2321/tillsyn/A 5480-2023 tillsynsbegäran.docx", "A 5480-2023")</f>
        <v/>
      </c>
      <c r="Y179">
        <f>HYPERLINK("https://klasma.github.io/Logging_2321/tillsynsmail/A 5480-2023 tillsynsbegäran mail.docx", "A 5480-2023")</f>
        <v/>
      </c>
      <c r="Z179">
        <f>HYPERLINK("https://klasma.github.io/Logging_2321/fåglar/A 5480-2023 prioriterade fågelarter.docx", "A 5480-2023")</f>
        <v/>
      </c>
    </row>
    <row r="180" ht="15" customHeight="1">
      <c r="A180" t="inlineStr">
        <is>
          <t>A 18543-2021</t>
        </is>
      </c>
      <c r="B180" s="1" t="n">
        <v>44306</v>
      </c>
      <c r="C180" s="1" t="n">
        <v>46049</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61471-2023</t>
        </is>
      </c>
      <c r="B181" s="1" t="n">
        <v>45264</v>
      </c>
      <c r="C181" s="1" t="n">
        <v>46049</v>
      </c>
      <c r="D181" t="inlineStr">
        <is>
          <t>JÄMTLANDS LÄN</t>
        </is>
      </c>
      <c r="E181" t="inlineStr">
        <is>
          <t>ÅRE</t>
        </is>
      </c>
      <c r="G181" t="n">
        <v>1</v>
      </c>
      <c r="H181" t="n">
        <v>0</v>
      </c>
      <c r="I181" t="n">
        <v>0</v>
      </c>
      <c r="J181" t="n">
        <v>1</v>
      </c>
      <c r="K181" t="n">
        <v>0</v>
      </c>
      <c r="L181" t="n">
        <v>0</v>
      </c>
      <c r="M181" t="n">
        <v>0</v>
      </c>
      <c r="N181" t="n">
        <v>0</v>
      </c>
      <c r="O181" t="n">
        <v>1</v>
      </c>
      <c r="P181" t="n">
        <v>0</v>
      </c>
      <c r="Q181" t="n">
        <v>1</v>
      </c>
      <c r="R181" s="2" t="inlineStr">
        <is>
          <t>Skrovellav</t>
        </is>
      </c>
      <c r="S181">
        <f>HYPERLINK("https://klasma.github.io/Logging_2321/artfynd/A 61471-2023 artfynd.xlsx", "A 61471-2023")</f>
        <v/>
      </c>
      <c r="T181">
        <f>HYPERLINK("https://klasma.github.io/Logging_2321/kartor/A 61471-2023 karta.png", "A 61471-2023")</f>
        <v/>
      </c>
      <c r="V181">
        <f>HYPERLINK("https://klasma.github.io/Logging_2321/klagomål/A 61471-2023 FSC-klagomål.docx", "A 61471-2023")</f>
        <v/>
      </c>
      <c r="W181">
        <f>HYPERLINK("https://klasma.github.io/Logging_2321/klagomålsmail/A 61471-2023 FSC-klagomål mail.docx", "A 61471-2023")</f>
        <v/>
      </c>
      <c r="X181">
        <f>HYPERLINK("https://klasma.github.io/Logging_2321/tillsyn/A 61471-2023 tillsynsbegäran.docx", "A 61471-2023")</f>
        <v/>
      </c>
      <c r="Y181">
        <f>HYPERLINK("https://klasma.github.io/Logging_2321/tillsynsmail/A 61471-2023 tillsynsbegäran mail.docx", "A 61471-2023")</f>
        <v/>
      </c>
    </row>
    <row r="182" ht="15" customHeight="1">
      <c r="A182" t="inlineStr">
        <is>
          <t>A 52746-2024</t>
        </is>
      </c>
      <c r="B182" s="1" t="n">
        <v>45610.4809375</v>
      </c>
      <c r="C182" s="1" t="n">
        <v>46049</v>
      </c>
      <c r="D182" t="inlineStr">
        <is>
          <t>JÄMTLANDS LÄN</t>
        </is>
      </c>
      <c r="E182" t="inlineStr">
        <is>
          <t>ÅRE</t>
        </is>
      </c>
      <c r="G182" t="n">
        <v>1.4</v>
      </c>
      <c r="H182" t="n">
        <v>1</v>
      </c>
      <c r="I182" t="n">
        <v>0</v>
      </c>
      <c r="J182" t="n">
        <v>0</v>
      </c>
      <c r="K182" t="n">
        <v>0</v>
      </c>
      <c r="L182" t="n">
        <v>0</v>
      </c>
      <c r="M182" t="n">
        <v>0</v>
      </c>
      <c r="N182" t="n">
        <v>0</v>
      </c>
      <c r="O182" t="n">
        <v>0</v>
      </c>
      <c r="P182" t="n">
        <v>0</v>
      </c>
      <c r="Q182" t="n">
        <v>1</v>
      </c>
      <c r="R182" s="2" t="inlineStr">
        <is>
          <t>Blåsippa</t>
        </is>
      </c>
      <c r="S182">
        <f>HYPERLINK("https://klasma.github.io/Logging_2321/artfynd/A 52746-2024 artfynd.xlsx", "A 52746-2024")</f>
        <v/>
      </c>
      <c r="T182">
        <f>HYPERLINK("https://klasma.github.io/Logging_2321/kartor/A 52746-2024 karta.png", "A 52746-2024")</f>
        <v/>
      </c>
      <c r="V182">
        <f>HYPERLINK("https://klasma.github.io/Logging_2321/klagomål/A 52746-2024 FSC-klagomål.docx", "A 52746-2024")</f>
        <v/>
      </c>
      <c r="W182">
        <f>HYPERLINK("https://klasma.github.io/Logging_2321/klagomålsmail/A 52746-2024 FSC-klagomål mail.docx", "A 52746-2024")</f>
        <v/>
      </c>
      <c r="X182">
        <f>HYPERLINK("https://klasma.github.io/Logging_2321/tillsyn/A 52746-2024 tillsynsbegäran.docx", "A 52746-2024")</f>
        <v/>
      </c>
      <c r="Y182">
        <f>HYPERLINK("https://klasma.github.io/Logging_2321/tillsynsmail/A 52746-2024 tillsynsbegäran mail.docx", "A 52746-2024")</f>
        <v/>
      </c>
    </row>
    <row r="183" ht="15" customHeight="1">
      <c r="A183" t="inlineStr">
        <is>
          <t>A 23818-2025</t>
        </is>
      </c>
      <c r="B183" s="1" t="n">
        <v>45793.58469907408</v>
      </c>
      <c r="C183" s="1" t="n">
        <v>46049</v>
      </c>
      <c r="D183" t="inlineStr">
        <is>
          <t>JÄMTLANDS LÄN</t>
        </is>
      </c>
      <c r="E183" t="inlineStr">
        <is>
          <t>ÅRE</t>
        </is>
      </c>
      <c r="G183" t="n">
        <v>7.5</v>
      </c>
      <c r="H183" t="n">
        <v>1</v>
      </c>
      <c r="I183" t="n">
        <v>0</v>
      </c>
      <c r="J183" t="n">
        <v>0</v>
      </c>
      <c r="K183" t="n">
        <v>0</v>
      </c>
      <c r="L183" t="n">
        <v>0</v>
      </c>
      <c r="M183" t="n">
        <v>0</v>
      </c>
      <c r="N183" t="n">
        <v>0</v>
      </c>
      <c r="O183" t="n">
        <v>0</v>
      </c>
      <c r="P183" t="n">
        <v>0</v>
      </c>
      <c r="Q183" t="n">
        <v>1</v>
      </c>
      <c r="R183" s="2" t="inlineStr">
        <is>
          <t>Tjäder</t>
        </is>
      </c>
      <c r="S183">
        <f>HYPERLINK("https://klasma.github.io/Logging_2321/artfynd/A 23818-2025 artfynd.xlsx", "A 23818-2025")</f>
        <v/>
      </c>
      <c r="T183">
        <f>HYPERLINK("https://klasma.github.io/Logging_2321/kartor/A 23818-2025 karta.png", "A 23818-2025")</f>
        <v/>
      </c>
      <c r="V183">
        <f>HYPERLINK("https://klasma.github.io/Logging_2321/klagomål/A 23818-2025 FSC-klagomål.docx", "A 23818-2025")</f>
        <v/>
      </c>
      <c r="W183">
        <f>HYPERLINK("https://klasma.github.io/Logging_2321/klagomålsmail/A 23818-2025 FSC-klagomål mail.docx", "A 23818-2025")</f>
        <v/>
      </c>
      <c r="X183">
        <f>HYPERLINK("https://klasma.github.io/Logging_2321/tillsyn/A 23818-2025 tillsynsbegäran.docx", "A 23818-2025")</f>
        <v/>
      </c>
      <c r="Y183">
        <f>HYPERLINK("https://klasma.github.io/Logging_2321/tillsynsmail/A 23818-2025 tillsynsbegäran mail.docx", "A 23818-2025")</f>
        <v/>
      </c>
      <c r="Z183">
        <f>HYPERLINK("https://klasma.github.io/Logging_2321/fåglar/A 23818-2025 prioriterade fågelarter.docx", "A 23818-2025")</f>
        <v/>
      </c>
    </row>
    <row r="184" ht="15" customHeight="1">
      <c r="A184" t="inlineStr">
        <is>
          <t>A 14826-2021</t>
        </is>
      </c>
      <c r="B184" s="1" t="n">
        <v>44280</v>
      </c>
      <c r="C184" s="1" t="n">
        <v>46049</v>
      </c>
      <c r="D184" t="inlineStr">
        <is>
          <t>JÄMTLANDS LÄN</t>
        </is>
      </c>
      <c r="E184" t="inlineStr">
        <is>
          <t>ÅRE</t>
        </is>
      </c>
      <c r="G184" t="n">
        <v>1.1</v>
      </c>
      <c r="H184" t="n">
        <v>0</v>
      </c>
      <c r="I184" t="n">
        <v>0</v>
      </c>
      <c r="J184" t="n">
        <v>0</v>
      </c>
      <c r="K184" t="n">
        <v>0</v>
      </c>
      <c r="L184" t="n">
        <v>0</v>
      </c>
      <c r="M184" t="n">
        <v>0</v>
      </c>
      <c r="N184" t="n">
        <v>0</v>
      </c>
      <c r="O184" t="n">
        <v>0</v>
      </c>
      <c r="P184" t="n">
        <v>0</v>
      </c>
      <c r="Q184" t="n">
        <v>0</v>
      </c>
      <c r="R184" s="2" t="inlineStr"/>
    </row>
    <row r="185" ht="15" customHeight="1">
      <c r="A185" t="inlineStr">
        <is>
          <t>A 5401-2021</t>
        </is>
      </c>
      <c r="B185" s="1" t="n">
        <v>44229</v>
      </c>
      <c r="C185" s="1" t="n">
        <v>46049</v>
      </c>
      <c r="D185" t="inlineStr">
        <is>
          <t>JÄMTLANDS LÄN</t>
        </is>
      </c>
      <c r="E185" t="inlineStr">
        <is>
          <t>ÅRE</t>
        </is>
      </c>
      <c r="G185" t="n">
        <v>10</v>
      </c>
      <c r="H185" t="n">
        <v>0</v>
      </c>
      <c r="I185" t="n">
        <v>0</v>
      </c>
      <c r="J185" t="n">
        <v>0</v>
      </c>
      <c r="K185" t="n">
        <v>0</v>
      </c>
      <c r="L185" t="n">
        <v>0</v>
      </c>
      <c r="M185" t="n">
        <v>0</v>
      </c>
      <c r="N185" t="n">
        <v>0</v>
      </c>
      <c r="O185" t="n">
        <v>0</v>
      </c>
      <c r="P185" t="n">
        <v>0</v>
      </c>
      <c r="Q185" t="n">
        <v>0</v>
      </c>
      <c r="R185" s="2" t="inlineStr"/>
    </row>
    <row r="186" ht="15" customHeight="1">
      <c r="A186" t="inlineStr">
        <is>
          <t>A 69801-2021</t>
        </is>
      </c>
      <c r="B186" s="1" t="n">
        <v>44532</v>
      </c>
      <c r="C186" s="1" t="n">
        <v>46049</v>
      </c>
      <c r="D186" t="inlineStr">
        <is>
          <t>JÄMTLANDS LÄN</t>
        </is>
      </c>
      <c r="E186" t="inlineStr">
        <is>
          <t>ÅRE</t>
        </is>
      </c>
      <c r="G186" t="n">
        <v>4</v>
      </c>
      <c r="H186" t="n">
        <v>0</v>
      </c>
      <c r="I186" t="n">
        <v>0</v>
      </c>
      <c r="J186" t="n">
        <v>0</v>
      </c>
      <c r="K186" t="n">
        <v>0</v>
      </c>
      <c r="L186" t="n">
        <v>0</v>
      </c>
      <c r="M186" t="n">
        <v>0</v>
      </c>
      <c r="N186" t="n">
        <v>0</v>
      </c>
      <c r="O186" t="n">
        <v>0</v>
      </c>
      <c r="P186" t="n">
        <v>0</v>
      </c>
      <c r="Q186" t="n">
        <v>0</v>
      </c>
      <c r="R186" s="2" t="inlineStr"/>
    </row>
    <row r="187" ht="15" customHeight="1">
      <c r="A187" t="inlineStr">
        <is>
          <t>A 65782-2021</t>
        </is>
      </c>
      <c r="B187" s="1" t="n">
        <v>44516</v>
      </c>
      <c r="C187" s="1" t="n">
        <v>46049</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12827-2021</t>
        </is>
      </c>
      <c r="B188" s="1" t="n">
        <v>44271</v>
      </c>
      <c r="C188" s="1" t="n">
        <v>46049</v>
      </c>
      <c r="D188" t="inlineStr">
        <is>
          <t>JÄMTLANDS LÄN</t>
        </is>
      </c>
      <c r="E188" t="inlineStr">
        <is>
          <t>ÅRE</t>
        </is>
      </c>
      <c r="G188" t="n">
        <v>1.5</v>
      </c>
      <c r="H188" t="n">
        <v>0</v>
      </c>
      <c r="I188" t="n">
        <v>0</v>
      </c>
      <c r="J188" t="n">
        <v>0</v>
      </c>
      <c r="K188" t="n">
        <v>0</v>
      </c>
      <c r="L188" t="n">
        <v>0</v>
      </c>
      <c r="M188" t="n">
        <v>0</v>
      </c>
      <c r="N188" t="n">
        <v>0</v>
      </c>
      <c r="O188" t="n">
        <v>0</v>
      </c>
      <c r="P188" t="n">
        <v>0</v>
      </c>
      <c r="Q188" t="n">
        <v>0</v>
      </c>
      <c r="R188" s="2" t="inlineStr"/>
    </row>
    <row r="189" ht="15" customHeight="1">
      <c r="A189" t="inlineStr">
        <is>
          <t>A 37461-2021</t>
        </is>
      </c>
      <c r="B189" s="1" t="n">
        <v>44398</v>
      </c>
      <c r="C189" s="1" t="n">
        <v>46049</v>
      </c>
      <c r="D189" t="inlineStr">
        <is>
          <t>JÄMTLANDS LÄN</t>
        </is>
      </c>
      <c r="E189" t="inlineStr">
        <is>
          <t>ÅRE</t>
        </is>
      </c>
      <c r="G189" t="n">
        <v>11.7</v>
      </c>
      <c r="H189" t="n">
        <v>0</v>
      </c>
      <c r="I189" t="n">
        <v>0</v>
      </c>
      <c r="J189" t="n">
        <v>0</v>
      </c>
      <c r="K189" t="n">
        <v>0</v>
      </c>
      <c r="L189" t="n">
        <v>0</v>
      </c>
      <c r="M189" t="n">
        <v>0</v>
      </c>
      <c r="N189" t="n">
        <v>0</v>
      </c>
      <c r="O189" t="n">
        <v>0</v>
      </c>
      <c r="P189" t="n">
        <v>0</v>
      </c>
      <c r="Q189" t="n">
        <v>0</v>
      </c>
      <c r="R189" s="2" t="inlineStr"/>
    </row>
    <row r="190" ht="15" customHeight="1">
      <c r="A190" t="inlineStr">
        <is>
          <t>A 18443-2022</t>
        </is>
      </c>
      <c r="B190" s="1" t="n">
        <v>44686.48277777778</v>
      </c>
      <c r="C190" s="1" t="n">
        <v>46049</v>
      </c>
      <c r="D190" t="inlineStr">
        <is>
          <t>JÄMTLANDS LÄN</t>
        </is>
      </c>
      <c r="E190" t="inlineStr">
        <is>
          <t>ÅRE</t>
        </is>
      </c>
      <c r="G190" t="n">
        <v>5.1</v>
      </c>
      <c r="H190" t="n">
        <v>0</v>
      </c>
      <c r="I190" t="n">
        <v>0</v>
      </c>
      <c r="J190" t="n">
        <v>0</v>
      </c>
      <c r="K190" t="n">
        <v>0</v>
      </c>
      <c r="L190" t="n">
        <v>0</v>
      </c>
      <c r="M190" t="n">
        <v>0</v>
      </c>
      <c r="N190" t="n">
        <v>0</v>
      </c>
      <c r="O190" t="n">
        <v>0</v>
      </c>
      <c r="P190" t="n">
        <v>0</v>
      </c>
      <c r="Q190" t="n">
        <v>0</v>
      </c>
      <c r="R190" s="2" t="inlineStr"/>
    </row>
    <row r="191" ht="15" customHeight="1">
      <c r="A191" t="inlineStr">
        <is>
          <t>A 12387-2021</t>
        </is>
      </c>
      <c r="B191" s="1" t="n">
        <v>44267</v>
      </c>
      <c r="C191" s="1" t="n">
        <v>46049</v>
      </c>
      <c r="D191" t="inlineStr">
        <is>
          <t>JÄMTLANDS LÄN</t>
        </is>
      </c>
      <c r="E191" t="inlineStr">
        <is>
          <t>ÅRE</t>
        </is>
      </c>
      <c r="G191" t="n">
        <v>3.4</v>
      </c>
      <c r="H191" t="n">
        <v>0</v>
      </c>
      <c r="I191" t="n">
        <v>0</v>
      </c>
      <c r="J191" t="n">
        <v>0</v>
      </c>
      <c r="K191" t="n">
        <v>0</v>
      </c>
      <c r="L191" t="n">
        <v>0</v>
      </c>
      <c r="M191" t="n">
        <v>0</v>
      </c>
      <c r="N191" t="n">
        <v>0</v>
      </c>
      <c r="O191" t="n">
        <v>0</v>
      </c>
      <c r="P191" t="n">
        <v>0</v>
      </c>
      <c r="Q191" t="n">
        <v>0</v>
      </c>
      <c r="R191" s="2" t="inlineStr"/>
    </row>
    <row r="192" ht="15" customHeight="1">
      <c r="A192" t="inlineStr">
        <is>
          <t>A 60132-2021</t>
        </is>
      </c>
      <c r="B192" s="1" t="n">
        <v>44495</v>
      </c>
      <c r="C192" s="1" t="n">
        <v>46049</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38265-2022</t>
        </is>
      </c>
      <c r="B193" s="1" t="n">
        <v>44812</v>
      </c>
      <c r="C193" s="1" t="n">
        <v>46049</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51042-2021</t>
        </is>
      </c>
      <c r="B194" s="1" t="n">
        <v>44461</v>
      </c>
      <c r="C194" s="1" t="n">
        <v>46049</v>
      </c>
      <c r="D194" t="inlineStr">
        <is>
          <t>JÄMTLANDS LÄN</t>
        </is>
      </c>
      <c r="E194" t="inlineStr">
        <is>
          <t>ÅRE</t>
        </is>
      </c>
      <c r="G194" t="n">
        <v>0.8</v>
      </c>
      <c r="H194" t="n">
        <v>0</v>
      </c>
      <c r="I194" t="n">
        <v>0</v>
      </c>
      <c r="J194" t="n">
        <v>0</v>
      </c>
      <c r="K194" t="n">
        <v>0</v>
      </c>
      <c r="L194" t="n">
        <v>0</v>
      </c>
      <c r="M194" t="n">
        <v>0</v>
      </c>
      <c r="N194" t="n">
        <v>0</v>
      </c>
      <c r="O194" t="n">
        <v>0</v>
      </c>
      <c r="P194" t="n">
        <v>0</v>
      </c>
      <c r="Q194" t="n">
        <v>0</v>
      </c>
      <c r="R194" s="2" t="inlineStr"/>
    </row>
    <row r="195" ht="15" customHeight="1">
      <c r="A195" t="inlineStr">
        <is>
          <t>A 58230-2021</t>
        </is>
      </c>
      <c r="B195" s="1" t="n">
        <v>44487</v>
      </c>
      <c r="C195" s="1" t="n">
        <v>46049</v>
      </c>
      <c r="D195" t="inlineStr">
        <is>
          <t>JÄMTLANDS LÄN</t>
        </is>
      </c>
      <c r="E195" t="inlineStr">
        <is>
          <t>ÅRE</t>
        </is>
      </c>
      <c r="G195" t="n">
        <v>19.3</v>
      </c>
      <c r="H195" t="n">
        <v>0</v>
      </c>
      <c r="I195" t="n">
        <v>0</v>
      </c>
      <c r="J195" t="n">
        <v>0</v>
      </c>
      <c r="K195" t="n">
        <v>0</v>
      </c>
      <c r="L195" t="n">
        <v>0</v>
      </c>
      <c r="M195" t="n">
        <v>0</v>
      </c>
      <c r="N195" t="n">
        <v>0</v>
      </c>
      <c r="O195" t="n">
        <v>0</v>
      </c>
      <c r="P195" t="n">
        <v>0</v>
      </c>
      <c r="Q195" t="n">
        <v>0</v>
      </c>
      <c r="R195" s="2" t="inlineStr"/>
    </row>
    <row r="196" ht="15" customHeight="1">
      <c r="A196" t="inlineStr">
        <is>
          <t>A 45461-2022</t>
        </is>
      </c>
      <c r="B196" s="1" t="n">
        <v>44841</v>
      </c>
      <c r="C196" s="1" t="n">
        <v>46049</v>
      </c>
      <c r="D196" t="inlineStr">
        <is>
          <t>JÄMTLANDS LÄN</t>
        </is>
      </c>
      <c r="E196" t="inlineStr">
        <is>
          <t>ÅRE</t>
        </is>
      </c>
      <c r="G196" t="n">
        <v>1</v>
      </c>
      <c r="H196" t="n">
        <v>0</v>
      </c>
      <c r="I196" t="n">
        <v>0</v>
      </c>
      <c r="J196" t="n">
        <v>0</v>
      </c>
      <c r="K196" t="n">
        <v>0</v>
      </c>
      <c r="L196" t="n">
        <v>0</v>
      </c>
      <c r="M196" t="n">
        <v>0</v>
      </c>
      <c r="N196" t="n">
        <v>0</v>
      </c>
      <c r="O196" t="n">
        <v>0</v>
      </c>
      <c r="P196" t="n">
        <v>0</v>
      </c>
      <c r="Q196" t="n">
        <v>0</v>
      </c>
      <c r="R196" s="2" t="inlineStr"/>
    </row>
    <row r="197" ht="15" customHeight="1">
      <c r="A197" t="inlineStr">
        <is>
          <t>A 65415-2021</t>
        </is>
      </c>
      <c r="B197" s="1" t="n">
        <v>44515</v>
      </c>
      <c r="C197" s="1" t="n">
        <v>46049</v>
      </c>
      <c r="D197" t="inlineStr">
        <is>
          <t>JÄMTLANDS LÄN</t>
        </is>
      </c>
      <c r="E197" t="inlineStr">
        <is>
          <t>ÅRE</t>
        </is>
      </c>
      <c r="G197" t="n">
        <v>2.7</v>
      </c>
      <c r="H197" t="n">
        <v>0</v>
      </c>
      <c r="I197" t="n">
        <v>0</v>
      </c>
      <c r="J197" t="n">
        <v>0</v>
      </c>
      <c r="K197" t="n">
        <v>0</v>
      </c>
      <c r="L197" t="n">
        <v>0</v>
      </c>
      <c r="M197" t="n">
        <v>0</v>
      </c>
      <c r="N197" t="n">
        <v>0</v>
      </c>
      <c r="O197" t="n">
        <v>0</v>
      </c>
      <c r="P197" t="n">
        <v>0</v>
      </c>
      <c r="Q197" t="n">
        <v>0</v>
      </c>
      <c r="R197" s="2" t="inlineStr"/>
    </row>
    <row r="198" ht="15" customHeight="1">
      <c r="A198" t="inlineStr">
        <is>
          <t>A 67541-2021</t>
        </is>
      </c>
      <c r="B198" s="1" t="n">
        <v>44524</v>
      </c>
      <c r="C198" s="1" t="n">
        <v>46049</v>
      </c>
      <c r="D198" t="inlineStr">
        <is>
          <t>JÄMTLANDS LÄN</t>
        </is>
      </c>
      <c r="E198" t="inlineStr">
        <is>
          <t>ÅRE</t>
        </is>
      </c>
      <c r="G198" t="n">
        <v>3</v>
      </c>
      <c r="H198" t="n">
        <v>0</v>
      </c>
      <c r="I198" t="n">
        <v>0</v>
      </c>
      <c r="J198" t="n">
        <v>0</v>
      </c>
      <c r="K198" t="n">
        <v>0</v>
      </c>
      <c r="L198" t="n">
        <v>0</v>
      </c>
      <c r="M198" t="n">
        <v>0</v>
      </c>
      <c r="N198" t="n">
        <v>0</v>
      </c>
      <c r="O198" t="n">
        <v>0</v>
      </c>
      <c r="P198" t="n">
        <v>0</v>
      </c>
      <c r="Q198" t="n">
        <v>0</v>
      </c>
      <c r="R198" s="2" t="inlineStr"/>
    </row>
    <row r="199" ht="15" customHeight="1">
      <c r="A199" t="inlineStr">
        <is>
          <t>A 22505-2021</t>
        </is>
      </c>
      <c r="B199" s="1" t="n">
        <v>44326</v>
      </c>
      <c r="C199" s="1" t="n">
        <v>46049</v>
      </c>
      <c r="D199" t="inlineStr">
        <is>
          <t>JÄMTLANDS LÄN</t>
        </is>
      </c>
      <c r="E199" t="inlineStr">
        <is>
          <t>ÅRE</t>
        </is>
      </c>
      <c r="G199" t="n">
        <v>0.6</v>
      </c>
      <c r="H199" t="n">
        <v>0</v>
      </c>
      <c r="I199" t="n">
        <v>0</v>
      </c>
      <c r="J199" t="n">
        <v>0</v>
      </c>
      <c r="K199" t="n">
        <v>0</v>
      </c>
      <c r="L199" t="n">
        <v>0</v>
      </c>
      <c r="M199" t="n">
        <v>0</v>
      </c>
      <c r="N199" t="n">
        <v>0</v>
      </c>
      <c r="O199" t="n">
        <v>0</v>
      </c>
      <c r="P199" t="n">
        <v>0</v>
      </c>
      <c r="Q199" t="n">
        <v>0</v>
      </c>
      <c r="R199" s="2" t="inlineStr"/>
    </row>
    <row r="200" ht="15" customHeight="1">
      <c r="A200" t="inlineStr">
        <is>
          <t>A 47873-2022</t>
        </is>
      </c>
      <c r="B200" s="1" t="n">
        <v>44855</v>
      </c>
      <c r="C200" s="1" t="n">
        <v>46049</v>
      </c>
      <c r="D200" t="inlineStr">
        <is>
          <t>JÄMTLANDS LÄN</t>
        </is>
      </c>
      <c r="E200" t="inlineStr">
        <is>
          <t>ÅRE</t>
        </is>
      </c>
      <c r="G200" t="n">
        <v>0.5</v>
      </c>
      <c r="H200" t="n">
        <v>0</v>
      </c>
      <c r="I200" t="n">
        <v>0</v>
      </c>
      <c r="J200" t="n">
        <v>0</v>
      </c>
      <c r="K200" t="n">
        <v>0</v>
      </c>
      <c r="L200" t="n">
        <v>0</v>
      </c>
      <c r="M200" t="n">
        <v>0</v>
      </c>
      <c r="N200" t="n">
        <v>0</v>
      </c>
      <c r="O200" t="n">
        <v>0</v>
      </c>
      <c r="P200" t="n">
        <v>0</v>
      </c>
      <c r="Q200" t="n">
        <v>0</v>
      </c>
      <c r="R200" s="2" t="inlineStr"/>
    </row>
    <row r="201" ht="15" customHeight="1">
      <c r="A201" t="inlineStr">
        <is>
          <t>A 10191-2021</t>
        </is>
      </c>
      <c r="B201" s="1" t="n">
        <v>44256</v>
      </c>
      <c r="C201" s="1" t="n">
        <v>46049</v>
      </c>
      <c r="D201" t="inlineStr">
        <is>
          <t>JÄMTLANDS LÄN</t>
        </is>
      </c>
      <c r="E201" t="inlineStr">
        <is>
          <t>ÅRE</t>
        </is>
      </c>
      <c r="G201" t="n">
        <v>2.3</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46049</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46049</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46049</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46049</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46049</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46049</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46049</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46049</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46049</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46049</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46049</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46049</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46049</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46049</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46049</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46049</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46049</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46049</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46049</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46049</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46049</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46049</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46049</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46049</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46049</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46049</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46049</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8798-2025</t>
        </is>
      </c>
      <c r="B229" s="1" t="n">
        <v>45712</v>
      </c>
      <c r="C229" s="1" t="n">
        <v>46049</v>
      </c>
      <c r="D229" t="inlineStr">
        <is>
          <t>JÄMTLANDS LÄN</t>
        </is>
      </c>
      <c r="E229" t="inlineStr">
        <is>
          <t>ÅRE</t>
        </is>
      </c>
      <c r="G229" t="n">
        <v>1.6</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46049</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46049</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46049</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46049</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57158-2021</t>
        </is>
      </c>
      <c r="B234" s="1" t="n">
        <v>44482</v>
      </c>
      <c r="C234" s="1" t="n">
        <v>46049</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46049</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46049</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34231-2023</t>
        </is>
      </c>
      <c r="B237" s="1" t="n">
        <v>45127</v>
      </c>
      <c r="C237" s="1" t="n">
        <v>46049</v>
      </c>
      <c r="D237" t="inlineStr">
        <is>
          <t>JÄMTLANDS LÄN</t>
        </is>
      </c>
      <c r="E237" t="inlineStr">
        <is>
          <t>ÅRE</t>
        </is>
      </c>
      <c r="G237" t="n">
        <v>18.3</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46049</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6232-2021</t>
        </is>
      </c>
      <c r="B239" s="1" t="n">
        <v>44231</v>
      </c>
      <c r="C239" s="1" t="n">
        <v>46049</v>
      </c>
      <c r="D239" t="inlineStr">
        <is>
          <t>JÄMTLANDS LÄN</t>
        </is>
      </c>
      <c r="E239" t="inlineStr">
        <is>
          <t>ÅRE</t>
        </is>
      </c>
      <c r="G239" t="n">
        <v>7.1</v>
      </c>
      <c r="H239" t="n">
        <v>0</v>
      </c>
      <c r="I239" t="n">
        <v>0</v>
      </c>
      <c r="J239" t="n">
        <v>0</v>
      </c>
      <c r="K239" t="n">
        <v>0</v>
      </c>
      <c r="L239" t="n">
        <v>0</v>
      </c>
      <c r="M239" t="n">
        <v>0</v>
      </c>
      <c r="N239" t="n">
        <v>0</v>
      </c>
      <c r="O239" t="n">
        <v>0</v>
      </c>
      <c r="P239" t="n">
        <v>0</v>
      </c>
      <c r="Q239" t="n">
        <v>0</v>
      </c>
      <c r="R239" s="2" t="inlineStr"/>
    </row>
    <row r="240" ht="15" customHeight="1">
      <c r="A240" t="inlineStr">
        <is>
          <t>A 15482-2024</t>
        </is>
      </c>
      <c r="B240" s="1" t="n">
        <v>45401.49361111111</v>
      </c>
      <c r="C240" s="1" t="n">
        <v>46049</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12944-2024</t>
        </is>
      </c>
      <c r="B241" s="1" t="n">
        <v>45385</v>
      </c>
      <c r="C241" s="1" t="n">
        <v>46049</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56576-2022</t>
        </is>
      </c>
      <c r="B242" s="1" t="n">
        <v>44893</v>
      </c>
      <c r="C242" s="1" t="n">
        <v>46049</v>
      </c>
      <c r="D242" t="inlineStr">
        <is>
          <t>JÄMTLANDS LÄN</t>
        </is>
      </c>
      <c r="E242" t="inlineStr">
        <is>
          <t>ÅRE</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46049</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46049</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46049</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38456-2021</t>
        </is>
      </c>
      <c r="B246" s="1" t="n">
        <v>44406</v>
      </c>
      <c r="C246" s="1" t="n">
        <v>46049</v>
      </c>
      <c r="D246" t="inlineStr">
        <is>
          <t>JÄMTLANDS LÄN</t>
        </is>
      </c>
      <c r="E246" t="inlineStr">
        <is>
          <t>ÅRE</t>
        </is>
      </c>
      <c r="G246" t="n">
        <v>19.8</v>
      </c>
      <c r="H246" t="n">
        <v>0</v>
      </c>
      <c r="I246" t="n">
        <v>0</v>
      </c>
      <c r="J246" t="n">
        <v>0</v>
      </c>
      <c r="K246" t="n">
        <v>0</v>
      </c>
      <c r="L246" t="n">
        <v>0</v>
      </c>
      <c r="M246" t="n">
        <v>0</v>
      </c>
      <c r="N246" t="n">
        <v>0</v>
      </c>
      <c r="O246" t="n">
        <v>0</v>
      </c>
      <c r="P246" t="n">
        <v>0</v>
      </c>
      <c r="Q246" t="n">
        <v>0</v>
      </c>
      <c r="R246" s="2" t="inlineStr"/>
    </row>
    <row r="247" ht="15" customHeight="1">
      <c r="A247" t="inlineStr">
        <is>
          <t>A 34357-2021</t>
        </is>
      </c>
      <c r="B247" s="1" t="n">
        <v>44379</v>
      </c>
      <c r="C247" s="1" t="n">
        <v>46049</v>
      </c>
      <c r="D247" t="inlineStr">
        <is>
          <t>JÄMTLANDS LÄN</t>
        </is>
      </c>
      <c r="E247" t="inlineStr">
        <is>
          <t>ÅRE</t>
        </is>
      </c>
      <c r="G247" t="n">
        <v>7.1</v>
      </c>
      <c r="H247" t="n">
        <v>0</v>
      </c>
      <c r="I247" t="n">
        <v>0</v>
      </c>
      <c r="J247" t="n">
        <v>0</v>
      </c>
      <c r="K247" t="n">
        <v>0</v>
      </c>
      <c r="L247" t="n">
        <v>0</v>
      </c>
      <c r="M247" t="n">
        <v>0</v>
      </c>
      <c r="N247" t="n">
        <v>0</v>
      </c>
      <c r="O247" t="n">
        <v>0</v>
      </c>
      <c r="P247" t="n">
        <v>0</v>
      </c>
      <c r="Q247" t="n">
        <v>0</v>
      </c>
      <c r="R247" s="2" t="inlineStr"/>
    </row>
    <row r="248" ht="15" customHeight="1">
      <c r="A248" t="inlineStr">
        <is>
          <t>A 58232-2021</t>
        </is>
      </c>
      <c r="B248" s="1" t="n">
        <v>44487</v>
      </c>
      <c r="C248" s="1" t="n">
        <v>46049</v>
      </c>
      <c r="D248" t="inlineStr">
        <is>
          <t>JÄMTLANDS LÄN</t>
        </is>
      </c>
      <c r="E248" t="inlineStr">
        <is>
          <t>ÅRE</t>
        </is>
      </c>
      <c r="G248" t="n">
        <v>43.7</v>
      </c>
      <c r="H248" t="n">
        <v>0</v>
      </c>
      <c r="I248" t="n">
        <v>0</v>
      </c>
      <c r="J248" t="n">
        <v>0</v>
      </c>
      <c r="K248" t="n">
        <v>0</v>
      </c>
      <c r="L248" t="n">
        <v>0</v>
      </c>
      <c r="M248" t="n">
        <v>0</v>
      </c>
      <c r="N248" t="n">
        <v>0</v>
      </c>
      <c r="O248" t="n">
        <v>0</v>
      </c>
      <c r="P248" t="n">
        <v>0</v>
      </c>
      <c r="Q248" t="n">
        <v>0</v>
      </c>
      <c r="R248" s="2" t="inlineStr"/>
    </row>
    <row r="249" ht="15" customHeight="1">
      <c r="A249" t="inlineStr">
        <is>
          <t>A 59968-2023</t>
        </is>
      </c>
      <c r="B249" s="1" t="n">
        <v>45254</v>
      </c>
      <c r="C249" s="1" t="n">
        <v>46049</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58758-2022</t>
        </is>
      </c>
      <c r="B250" s="1" t="n">
        <v>44903</v>
      </c>
      <c r="C250" s="1" t="n">
        <v>46049</v>
      </c>
      <c r="D250" t="inlineStr">
        <is>
          <t>JÄMTLANDS LÄN</t>
        </is>
      </c>
      <c r="E250" t="inlineStr">
        <is>
          <t>ÅRE</t>
        </is>
      </c>
      <c r="F250" t="inlineStr">
        <is>
          <t>Övriga Aktiebolag</t>
        </is>
      </c>
      <c r="G250" t="n">
        <v>42.9</v>
      </c>
      <c r="H250" t="n">
        <v>0</v>
      </c>
      <c r="I250" t="n">
        <v>0</v>
      </c>
      <c r="J250" t="n">
        <v>0</v>
      </c>
      <c r="K250" t="n">
        <v>0</v>
      </c>
      <c r="L250" t="n">
        <v>0</v>
      </c>
      <c r="M250" t="n">
        <v>0</v>
      </c>
      <c r="N250" t="n">
        <v>0</v>
      </c>
      <c r="O250" t="n">
        <v>0</v>
      </c>
      <c r="P250" t="n">
        <v>0</v>
      </c>
      <c r="Q250" t="n">
        <v>0</v>
      </c>
      <c r="R250" s="2" t="inlineStr"/>
    </row>
    <row r="251" ht="15" customHeight="1">
      <c r="A251" t="inlineStr">
        <is>
          <t>A 64237-2021</t>
        </is>
      </c>
      <c r="B251" s="1" t="n">
        <v>44510</v>
      </c>
      <c r="C251" s="1" t="n">
        <v>46049</v>
      </c>
      <c r="D251" t="inlineStr">
        <is>
          <t>JÄMTLANDS LÄN</t>
        </is>
      </c>
      <c r="E251" t="inlineStr">
        <is>
          <t>ÅRE</t>
        </is>
      </c>
      <c r="G251" t="n">
        <v>2.7</v>
      </c>
      <c r="H251" t="n">
        <v>0</v>
      </c>
      <c r="I251" t="n">
        <v>0</v>
      </c>
      <c r="J251" t="n">
        <v>0</v>
      </c>
      <c r="K251" t="n">
        <v>0</v>
      </c>
      <c r="L251" t="n">
        <v>0</v>
      </c>
      <c r="M251" t="n">
        <v>0</v>
      </c>
      <c r="N251" t="n">
        <v>0</v>
      </c>
      <c r="O251" t="n">
        <v>0</v>
      </c>
      <c r="P251" t="n">
        <v>0</v>
      </c>
      <c r="Q251" t="n">
        <v>0</v>
      </c>
      <c r="R251" s="2" t="inlineStr"/>
    </row>
    <row r="252" ht="15" customHeight="1">
      <c r="A252" t="inlineStr">
        <is>
          <t>A 64758-2023</t>
        </is>
      </c>
      <c r="B252" s="1" t="n">
        <v>45281</v>
      </c>
      <c r="C252" s="1" t="n">
        <v>46049</v>
      </c>
      <c r="D252" t="inlineStr">
        <is>
          <t>JÄMTLANDS LÄN</t>
        </is>
      </c>
      <c r="E252" t="inlineStr">
        <is>
          <t>ÅRE</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46049</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7970-2023</t>
        </is>
      </c>
      <c r="B254" s="1" t="n">
        <v>44970</v>
      </c>
      <c r="C254" s="1" t="n">
        <v>46049</v>
      </c>
      <c r="D254" t="inlineStr">
        <is>
          <t>JÄMTLANDS LÄN</t>
        </is>
      </c>
      <c r="E254" t="inlineStr">
        <is>
          <t>ÅRE</t>
        </is>
      </c>
      <c r="G254" t="n">
        <v>3.5</v>
      </c>
      <c r="H254" t="n">
        <v>0</v>
      </c>
      <c r="I254" t="n">
        <v>0</v>
      </c>
      <c r="J254" t="n">
        <v>0</v>
      </c>
      <c r="K254" t="n">
        <v>0</v>
      </c>
      <c r="L254" t="n">
        <v>0</v>
      </c>
      <c r="M254" t="n">
        <v>0</v>
      </c>
      <c r="N254" t="n">
        <v>0</v>
      </c>
      <c r="O254" t="n">
        <v>0</v>
      </c>
      <c r="P254" t="n">
        <v>0</v>
      </c>
      <c r="Q254" t="n">
        <v>0</v>
      </c>
      <c r="R254" s="2" t="inlineStr"/>
    </row>
    <row r="255" ht="15" customHeight="1">
      <c r="A255" t="inlineStr">
        <is>
          <t>A 40336-2021</t>
        </is>
      </c>
      <c r="B255" s="1" t="n">
        <v>44419</v>
      </c>
      <c r="C255" s="1" t="n">
        <v>46049</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61622-2023</t>
        </is>
      </c>
      <c r="B256" s="1" t="n">
        <v>45261</v>
      </c>
      <c r="C256" s="1" t="n">
        <v>46049</v>
      </c>
      <c r="D256" t="inlineStr">
        <is>
          <t>JÄMTLANDS LÄN</t>
        </is>
      </c>
      <c r="E256" t="inlineStr">
        <is>
          <t>ÅRE</t>
        </is>
      </c>
      <c r="G256" t="n">
        <v>1.6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46049</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41266-2024</t>
        </is>
      </c>
      <c r="B258" s="1" t="n">
        <v>45559</v>
      </c>
      <c r="C258" s="1" t="n">
        <v>46049</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22707-2021</t>
        </is>
      </c>
      <c r="B259" s="1" t="n">
        <v>44323</v>
      </c>
      <c r="C259" s="1" t="n">
        <v>46049</v>
      </c>
      <c r="D259" t="inlineStr">
        <is>
          <t>JÄMTLANDS LÄN</t>
        </is>
      </c>
      <c r="E259" t="inlineStr">
        <is>
          <t>ÅRE</t>
        </is>
      </c>
      <c r="G259" t="n">
        <v>6.3</v>
      </c>
      <c r="H259" t="n">
        <v>0</v>
      </c>
      <c r="I259" t="n">
        <v>0</v>
      </c>
      <c r="J259" t="n">
        <v>0</v>
      </c>
      <c r="K259" t="n">
        <v>0</v>
      </c>
      <c r="L259" t="n">
        <v>0</v>
      </c>
      <c r="M259" t="n">
        <v>0</v>
      </c>
      <c r="N259" t="n">
        <v>0</v>
      </c>
      <c r="O259" t="n">
        <v>0</v>
      </c>
      <c r="P259" t="n">
        <v>0</v>
      </c>
      <c r="Q259" t="n">
        <v>0</v>
      </c>
      <c r="R259" s="2" t="inlineStr"/>
    </row>
    <row r="260" ht="15" customHeight="1">
      <c r="A260" t="inlineStr">
        <is>
          <t>A 29177-2024</t>
        </is>
      </c>
      <c r="B260" s="1" t="n">
        <v>45482.53859953704</v>
      </c>
      <c r="C260" s="1" t="n">
        <v>46049</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9775-2023</t>
        </is>
      </c>
      <c r="B261" s="1" t="n">
        <v>44984.60255787037</v>
      </c>
      <c r="C261" s="1" t="n">
        <v>46049</v>
      </c>
      <c r="D261" t="inlineStr">
        <is>
          <t>JÄMTLANDS LÄN</t>
        </is>
      </c>
      <c r="E261" t="inlineStr">
        <is>
          <t>ÅRE</t>
        </is>
      </c>
      <c r="G261" t="n">
        <v>2.4</v>
      </c>
      <c r="H261" t="n">
        <v>0</v>
      </c>
      <c r="I261" t="n">
        <v>0</v>
      </c>
      <c r="J261" t="n">
        <v>0</v>
      </c>
      <c r="K261" t="n">
        <v>0</v>
      </c>
      <c r="L261" t="n">
        <v>0</v>
      </c>
      <c r="M261" t="n">
        <v>0</v>
      </c>
      <c r="N261" t="n">
        <v>0</v>
      </c>
      <c r="O261" t="n">
        <v>0</v>
      </c>
      <c r="P261" t="n">
        <v>0</v>
      </c>
      <c r="Q261" t="n">
        <v>0</v>
      </c>
      <c r="R261" s="2" t="inlineStr"/>
    </row>
    <row r="262" ht="15" customHeight="1">
      <c r="A262" t="inlineStr">
        <is>
          <t>A 32241-2021</t>
        </is>
      </c>
      <c r="B262" s="1" t="n">
        <v>44371</v>
      </c>
      <c r="C262" s="1" t="n">
        <v>46049</v>
      </c>
      <c r="D262" t="inlineStr">
        <is>
          <t>JÄMTLANDS LÄN</t>
        </is>
      </c>
      <c r="E262" t="inlineStr">
        <is>
          <t>ÅRE</t>
        </is>
      </c>
      <c r="G262" t="n">
        <v>2.3</v>
      </c>
      <c r="H262" t="n">
        <v>0</v>
      </c>
      <c r="I262" t="n">
        <v>0</v>
      </c>
      <c r="J262" t="n">
        <v>0</v>
      </c>
      <c r="K262" t="n">
        <v>0</v>
      </c>
      <c r="L262" t="n">
        <v>0</v>
      </c>
      <c r="M262" t="n">
        <v>0</v>
      </c>
      <c r="N262" t="n">
        <v>0</v>
      </c>
      <c r="O262" t="n">
        <v>0</v>
      </c>
      <c r="P262" t="n">
        <v>0</v>
      </c>
      <c r="Q262" t="n">
        <v>0</v>
      </c>
      <c r="R262" s="2" t="inlineStr"/>
    </row>
    <row r="263" ht="15" customHeight="1">
      <c r="A263" t="inlineStr">
        <is>
          <t>A 54904-2022</t>
        </is>
      </c>
      <c r="B263" s="1" t="n">
        <v>44886</v>
      </c>
      <c r="C263" s="1" t="n">
        <v>46049</v>
      </c>
      <c r="D263" t="inlineStr">
        <is>
          <t>JÄMTLANDS LÄN</t>
        </is>
      </c>
      <c r="E263" t="inlineStr">
        <is>
          <t>ÅRE</t>
        </is>
      </c>
      <c r="F263" t="inlineStr">
        <is>
          <t>Övriga Aktiebolag</t>
        </is>
      </c>
      <c r="G263" t="n">
        <v>12.2</v>
      </c>
      <c r="H263" t="n">
        <v>0</v>
      </c>
      <c r="I263" t="n">
        <v>0</v>
      </c>
      <c r="J263" t="n">
        <v>0</v>
      </c>
      <c r="K263" t="n">
        <v>0</v>
      </c>
      <c r="L263" t="n">
        <v>0</v>
      </c>
      <c r="M263" t="n">
        <v>0</v>
      </c>
      <c r="N263" t="n">
        <v>0</v>
      </c>
      <c r="O263" t="n">
        <v>0</v>
      </c>
      <c r="P263" t="n">
        <v>0</v>
      </c>
      <c r="Q263" t="n">
        <v>0</v>
      </c>
      <c r="R263" s="2" t="inlineStr"/>
    </row>
    <row r="264" ht="15" customHeight="1">
      <c r="A264" t="inlineStr">
        <is>
          <t>A 38285-2025</t>
        </is>
      </c>
      <c r="B264" s="1" t="n">
        <v>45883.43145833333</v>
      </c>
      <c r="C264" s="1" t="n">
        <v>46049</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1460-2024</t>
        </is>
      </c>
      <c r="B265" s="1" t="n">
        <v>45303.93322916667</v>
      </c>
      <c r="C265" s="1" t="n">
        <v>46049</v>
      </c>
      <c r="D265" t="inlineStr">
        <is>
          <t>JÄMTLANDS LÄN</t>
        </is>
      </c>
      <c r="E265" t="inlineStr">
        <is>
          <t>ÅRE</t>
        </is>
      </c>
      <c r="F265" t="inlineStr">
        <is>
          <t>Övriga Aktiebolag</t>
        </is>
      </c>
      <c r="G265" t="n">
        <v>1.3</v>
      </c>
      <c r="H265" t="n">
        <v>0</v>
      </c>
      <c r="I265" t="n">
        <v>0</v>
      </c>
      <c r="J265" t="n">
        <v>0</v>
      </c>
      <c r="K265" t="n">
        <v>0</v>
      </c>
      <c r="L265" t="n">
        <v>0</v>
      </c>
      <c r="M265" t="n">
        <v>0</v>
      </c>
      <c r="N265" t="n">
        <v>0</v>
      </c>
      <c r="O265" t="n">
        <v>0</v>
      </c>
      <c r="P265" t="n">
        <v>0</v>
      </c>
      <c r="Q265" t="n">
        <v>0</v>
      </c>
      <c r="R265" s="2" t="inlineStr"/>
    </row>
    <row r="266" ht="15" customHeight="1">
      <c r="A266" t="inlineStr">
        <is>
          <t>A 60426-2022</t>
        </is>
      </c>
      <c r="B266" s="1" t="n">
        <v>44911.32092592592</v>
      </c>
      <c r="C266" s="1" t="n">
        <v>46049</v>
      </c>
      <c r="D266" t="inlineStr">
        <is>
          <t>JÄMTLANDS LÄN</t>
        </is>
      </c>
      <c r="E266" t="inlineStr">
        <is>
          <t>ÅRE</t>
        </is>
      </c>
      <c r="G266" t="n">
        <v>0.8</v>
      </c>
      <c r="H266" t="n">
        <v>0</v>
      </c>
      <c r="I266" t="n">
        <v>0</v>
      </c>
      <c r="J266" t="n">
        <v>0</v>
      </c>
      <c r="K266" t="n">
        <v>0</v>
      </c>
      <c r="L266" t="n">
        <v>0</v>
      </c>
      <c r="M266" t="n">
        <v>0</v>
      </c>
      <c r="N266" t="n">
        <v>0</v>
      </c>
      <c r="O266" t="n">
        <v>0</v>
      </c>
      <c r="P266" t="n">
        <v>0</v>
      </c>
      <c r="Q266" t="n">
        <v>0</v>
      </c>
      <c r="R266" s="2" t="inlineStr"/>
    </row>
    <row r="267" ht="15" customHeight="1">
      <c r="A267" t="inlineStr">
        <is>
          <t>A 45324-2024</t>
        </is>
      </c>
      <c r="B267" s="1" t="n">
        <v>45576</v>
      </c>
      <c r="C267" s="1" t="n">
        <v>46049</v>
      </c>
      <c r="D267" t="inlineStr">
        <is>
          <t>JÄMTLANDS LÄN</t>
        </is>
      </c>
      <c r="E267" t="inlineStr">
        <is>
          <t>ÅRE</t>
        </is>
      </c>
      <c r="G267" t="n">
        <v>9.4</v>
      </c>
      <c r="H267" t="n">
        <v>0</v>
      </c>
      <c r="I267" t="n">
        <v>0</v>
      </c>
      <c r="J267" t="n">
        <v>0</v>
      </c>
      <c r="K267" t="n">
        <v>0</v>
      </c>
      <c r="L267" t="n">
        <v>0</v>
      </c>
      <c r="M267" t="n">
        <v>0</v>
      </c>
      <c r="N267" t="n">
        <v>0</v>
      </c>
      <c r="O267" t="n">
        <v>0</v>
      </c>
      <c r="P267" t="n">
        <v>0</v>
      </c>
      <c r="Q267" t="n">
        <v>0</v>
      </c>
      <c r="R267" s="2" t="inlineStr"/>
    </row>
    <row r="268" ht="15" customHeight="1">
      <c r="A268" t="inlineStr">
        <is>
          <t>A 56556-2022</t>
        </is>
      </c>
      <c r="B268" s="1" t="n">
        <v>44893.48930555556</v>
      </c>
      <c r="C268" s="1" t="n">
        <v>46049</v>
      </c>
      <c r="D268" t="inlineStr">
        <is>
          <t>JÄMTLANDS LÄN</t>
        </is>
      </c>
      <c r="E268" t="inlineStr">
        <is>
          <t>ÅRE</t>
        </is>
      </c>
      <c r="F268" t="inlineStr">
        <is>
          <t>Övriga Aktiebolag</t>
        </is>
      </c>
      <c r="G268" t="n">
        <v>4.9</v>
      </c>
      <c r="H268" t="n">
        <v>0</v>
      </c>
      <c r="I268" t="n">
        <v>0</v>
      </c>
      <c r="J268" t="n">
        <v>0</v>
      </c>
      <c r="K268" t="n">
        <v>0</v>
      </c>
      <c r="L268" t="n">
        <v>0</v>
      </c>
      <c r="M268" t="n">
        <v>0</v>
      </c>
      <c r="N268" t="n">
        <v>0</v>
      </c>
      <c r="O268" t="n">
        <v>0</v>
      </c>
      <c r="P268" t="n">
        <v>0</v>
      </c>
      <c r="Q268" t="n">
        <v>0</v>
      </c>
      <c r="R268" s="2" t="inlineStr"/>
    </row>
    <row r="269" ht="15" customHeight="1">
      <c r="A269" t="inlineStr">
        <is>
          <t>A 38268-2024</t>
        </is>
      </c>
      <c r="B269" s="1" t="n">
        <v>45545.59842592593</v>
      </c>
      <c r="C269" s="1" t="n">
        <v>46049</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45834-2024</t>
        </is>
      </c>
      <c r="B270" s="1" t="n">
        <v>45579.91509259259</v>
      </c>
      <c r="C270" s="1" t="n">
        <v>46049</v>
      </c>
      <c r="D270" t="inlineStr">
        <is>
          <t>JÄMTLANDS LÄN</t>
        </is>
      </c>
      <c r="E270" t="inlineStr">
        <is>
          <t>ÅRE</t>
        </is>
      </c>
      <c r="G270" t="n">
        <v>3.9</v>
      </c>
      <c r="H270" t="n">
        <v>0</v>
      </c>
      <c r="I270" t="n">
        <v>0</v>
      </c>
      <c r="J270" t="n">
        <v>0</v>
      </c>
      <c r="K270" t="n">
        <v>0</v>
      </c>
      <c r="L270" t="n">
        <v>0</v>
      </c>
      <c r="M270" t="n">
        <v>0</v>
      </c>
      <c r="N270" t="n">
        <v>0</v>
      </c>
      <c r="O270" t="n">
        <v>0</v>
      </c>
      <c r="P270" t="n">
        <v>0</v>
      </c>
      <c r="Q270" t="n">
        <v>0</v>
      </c>
      <c r="R270" s="2" t="inlineStr"/>
    </row>
    <row r="271" ht="15" customHeight="1">
      <c r="A271" t="inlineStr">
        <is>
          <t>A 25275-2025</t>
        </is>
      </c>
      <c r="B271" s="1" t="n">
        <v>45800.55372685185</v>
      </c>
      <c r="C271" s="1" t="n">
        <v>46049</v>
      </c>
      <c r="D271" t="inlineStr">
        <is>
          <t>JÄMTLANDS LÄN</t>
        </is>
      </c>
      <c r="E271" t="inlineStr">
        <is>
          <t>ÅRE</t>
        </is>
      </c>
      <c r="G271" t="n">
        <v>1.1</v>
      </c>
      <c r="H271" t="n">
        <v>0</v>
      </c>
      <c r="I271" t="n">
        <v>0</v>
      </c>
      <c r="J271" t="n">
        <v>0</v>
      </c>
      <c r="K271" t="n">
        <v>0</v>
      </c>
      <c r="L271" t="n">
        <v>0</v>
      </c>
      <c r="M271" t="n">
        <v>0</v>
      </c>
      <c r="N271" t="n">
        <v>0</v>
      </c>
      <c r="O271" t="n">
        <v>0</v>
      </c>
      <c r="P271" t="n">
        <v>0</v>
      </c>
      <c r="Q271" t="n">
        <v>0</v>
      </c>
      <c r="R271" s="2" t="inlineStr"/>
    </row>
    <row r="272" ht="15" customHeight="1">
      <c r="A272" t="inlineStr">
        <is>
          <t>A 57102-2024</t>
        </is>
      </c>
      <c r="B272" s="1" t="n">
        <v>45629.35856481481</v>
      </c>
      <c r="C272" s="1" t="n">
        <v>46049</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55944-2022</t>
        </is>
      </c>
      <c r="B273" s="1" t="n">
        <v>44889</v>
      </c>
      <c r="C273" s="1" t="n">
        <v>46049</v>
      </c>
      <c r="D273" t="inlineStr">
        <is>
          <t>JÄMTLANDS LÄN</t>
        </is>
      </c>
      <c r="E273" t="inlineStr">
        <is>
          <t>ÅRE</t>
        </is>
      </c>
      <c r="G273" t="n">
        <v>11.1</v>
      </c>
      <c r="H273" t="n">
        <v>0</v>
      </c>
      <c r="I273" t="n">
        <v>0</v>
      </c>
      <c r="J273" t="n">
        <v>0</v>
      </c>
      <c r="K273" t="n">
        <v>0</v>
      </c>
      <c r="L273" t="n">
        <v>0</v>
      </c>
      <c r="M273" t="n">
        <v>0</v>
      </c>
      <c r="N273" t="n">
        <v>0</v>
      </c>
      <c r="O273" t="n">
        <v>0</v>
      </c>
      <c r="P273" t="n">
        <v>0</v>
      </c>
      <c r="Q273" t="n">
        <v>0</v>
      </c>
      <c r="R273" s="2" t="inlineStr"/>
    </row>
    <row r="274" ht="15" customHeight="1">
      <c r="A274" t="inlineStr">
        <is>
          <t>A 59352-2021</t>
        </is>
      </c>
      <c r="B274" s="1" t="n">
        <v>44490</v>
      </c>
      <c r="C274" s="1" t="n">
        <v>46049</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61331-2021</t>
        </is>
      </c>
      <c r="B275" s="1" t="n">
        <v>44498</v>
      </c>
      <c r="C275" s="1" t="n">
        <v>46049</v>
      </c>
      <c r="D275" t="inlineStr">
        <is>
          <t>JÄMTLANDS LÄN</t>
        </is>
      </c>
      <c r="E275" t="inlineStr">
        <is>
          <t>ÅRE</t>
        </is>
      </c>
      <c r="G275" t="n">
        <v>8.4</v>
      </c>
      <c r="H275" t="n">
        <v>0</v>
      </c>
      <c r="I275" t="n">
        <v>0</v>
      </c>
      <c r="J275" t="n">
        <v>0</v>
      </c>
      <c r="K275" t="n">
        <v>0</v>
      </c>
      <c r="L275" t="n">
        <v>0</v>
      </c>
      <c r="M275" t="n">
        <v>0</v>
      </c>
      <c r="N275" t="n">
        <v>0</v>
      </c>
      <c r="O275" t="n">
        <v>0</v>
      </c>
      <c r="P275" t="n">
        <v>0</v>
      </c>
      <c r="Q275" t="n">
        <v>0</v>
      </c>
      <c r="R275" s="2" t="inlineStr"/>
    </row>
    <row r="276" ht="15" customHeight="1">
      <c r="A276" t="inlineStr">
        <is>
          <t>A 5651-2023</t>
        </is>
      </c>
      <c r="B276" s="1" t="n">
        <v>44958</v>
      </c>
      <c r="C276" s="1" t="n">
        <v>46049</v>
      </c>
      <c r="D276" t="inlineStr">
        <is>
          <t>JÄMTLANDS LÄN</t>
        </is>
      </c>
      <c r="E276" t="inlineStr">
        <is>
          <t>ÅRE</t>
        </is>
      </c>
      <c r="G276" t="n">
        <v>5.7</v>
      </c>
      <c r="H276" t="n">
        <v>0</v>
      </c>
      <c r="I276" t="n">
        <v>0</v>
      </c>
      <c r="J276" t="n">
        <v>0</v>
      </c>
      <c r="K276" t="n">
        <v>0</v>
      </c>
      <c r="L276" t="n">
        <v>0</v>
      </c>
      <c r="M276" t="n">
        <v>0</v>
      </c>
      <c r="N276" t="n">
        <v>0</v>
      </c>
      <c r="O276" t="n">
        <v>0</v>
      </c>
      <c r="P276" t="n">
        <v>0</v>
      </c>
      <c r="Q276" t="n">
        <v>0</v>
      </c>
      <c r="R276" s="2" t="inlineStr"/>
    </row>
    <row r="277" ht="15" customHeight="1">
      <c r="A277" t="inlineStr">
        <is>
          <t>A 40339-2021</t>
        </is>
      </c>
      <c r="B277" s="1" t="n">
        <v>44419</v>
      </c>
      <c r="C277" s="1" t="n">
        <v>46049</v>
      </c>
      <c r="D277" t="inlineStr">
        <is>
          <t>JÄMTLANDS LÄN</t>
        </is>
      </c>
      <c r="E277" t="inlineStr">
        <is>
          <t>ÅRE</t>
        </is>
      </c>
      <c r="G277" t="n">
        <v>6.4</v>
      </c>
      <c r="H277" t="n">
        <v>0</v>
      </c>
      <c r="I277" t="n">
        <v>0</v>
      </c>
      <c r="J277" t="n">
        <v>0</v>
      </c>
      <c r="K277" t="n">
        <v>0</v>
      </c>
      <c r="L277" t="n">
        <v>0</v>
      </c>
      <c r="M277" t="n">
        <v>0</v>
      </c>
      <c r="N277" t="n">
        <v>0</v>
      </c>
      <c r="O277" t="n">
        <v>0</v>
      </c>
      <c r="P277" t="n">
        <v>0</v>
      </c>
      <c r="Q277" t="n">
        <v>0</v>
      </c>
      <c r="R277" s="2" t="inlineStr"/>
    </row>
    <row r="278" ht="15" customHeight="1">
      <c r="A278" t="inlineStr">
        <is>
          <t>A 33230-2024</t>
        </is>
      </c>
      <c r="B278" s="1" t="n">
        <v>45518.57418981481</v>
      </c>
      <c r="C278" s="1" t="n">
        <v>46049</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43446-2023</t>
        </is>
      </c>
      <c r="B279" s="1" t="n">
        <v>45184.35760416667</v>
      </c>
      <c r="C279" s="1" t="n">
        <v>46049</v>
      </c>
      <c r="D279" t="inlineStr">
        <is>
          <t>JÄMTLANDS LÄN</t>
        </is>
      </c>
      <c r="E279" t="inlineStr">
        <is>
          <t>ÅRE</t>
        </is>
      </c>
      <c r="F279" t="inlineStr">
        <is>
          <t>Övriga Aktiebolag</t>
        </is>
      </c>
      <c r="G279" t="n">
        <v>6.4</v>
      </c>
      <c r="H279" t="n">
        <v>0</v>
      </c>
      <c r="I279" t="n">
        <v>0</v>
      </c>
      <c r="J279" t="n">
        <v>0</v>
      </c>
      <c r="K279" t="n">
        <v>0</v>
      </c>
      <c r="L279" t="n">
        <v>0</v>
      </c>
      <c r="M279" t="n">
        <v>0</v>
      </c>
      <c r="N279" t="n">
        <v>0</v>
      </c>
      <c r="O279" t="n">
        <v>0</v>
      </c>
      <c r="P279" t="n">
        <v>0</v>
      </c>
      <c r="Q279" t="n">
        <v>0</v>
      </c>
      <c r="R279" s="2" t="inlineStr"/>
    </row>
    <row r="280" ht="15" customHeight="1">
      <c r="A280" t="inlineStr">
        <is>
          <t>A 43449-2023</t>
        </is>
      </c>
      <c r="B280" s="1" t="n">
        <v>45184.36697916667</v>
      </c>
      <c r="C280" s="1" t="n">
        <v>46049</v>
      </c>
      <c r="D280" t="inlineStr">
        <is>
          <t>JÄMTLANDS LÄN</t>
        </is>
      </c>
      <c r="E280" t="inlineStr">
        <is>
          <t>ÅRE</t>
        </is>
      </c>
      <c r="F280" t="inlineStr">
        <is>
          <t>Övriga Aktiebolag</t>
        </is>
      </c>
      <c r="G280" t="n">
        <v>3.1</v>
      </c>
      <c r="H280" t="n">
        <v>0</v>
      </c>
      <c r="I280" t="n">
        <v>0</v>
      </c>
      <c r="J280" t="n">
        <v>0</v>
      </c>
      <c r="K280" t="n">
        <v>0</v>
      </c>
      <c r="L280" t="n">
        <v>0</v>
      </c>
      <c r="M280" t="n">
        <v>0</v>
      </c>
      <c r="N280" t="n">
        <v>0</v>
      </c>
      <c r="O280" t="n">
        <v>0</v>
      </c>
      <c r="P280" t="n">
        <v>0</v>
      </c>
      <c r="Q280" t="n">
        <v>0</v>
      </c>
      <c r="R280" s="2" t="inlineStr"/>
    </row>
    <row r="281" ht="15" customHeight="1">
      <c r="A281" t="inlineStr">
        <is>
          <t>A 42244-2024</t>
        </is>
      </c>
      <c r="B281" s="1" t="n">
        <v>45562.56747685185</v>
      </c>
      <c r="C281" s="1" t="n">
        <v>46049</v>
      </c>
      <c r="D281" t="inlineStr">
        <is>
          <t>JÄMTLANDS LÄN</t>
        </is>
      </c>
      <c r="E281" t="inlineStr">
        <is>
          <t>ÅRE</t>
        </is>
      </c>
      <c r="F281" t="inlineStr">
        <is>
          <t>Övriga Aktiebolag</t>
        </is>
      </c>
      <c r="G281" t="n">
        <v>6</v>
      </c>
      <c r="H281" t="n">
        <v>0</v>
      </c>
      <c r="I281" t="n">
        <v>0</v>
      </c>
      <c r="J281" t="n">
        <v>0</v>
      </c>
      <c r="K281" t="n">
        <v>0</v>
      </c>
      <c r="L281" t="n">
        <v>0</v>
      </c>
      <c r="M281" t="n">
        <v>0</v>
      </c>
      <c r="N281" t="n">
        <v>0</v>
      </c>
      <c r="O281" t="n">
        <v>0</v>
      </c>
      <c r="P281" t="n">
        <v>0</v>
      </c>
      <c r="Q281" t="n">
        <v>0</v>
      </c>
      <c r="R281" s="2" t="inlineStr"/>
    </row>
    <row r="282" ht="15" customHeight="1">
      <c r="A282" t="inlineStr">
        <is>
          <t>A 51444-2024</t>
        </is>
      </c>
      <c r="B282" s="1" t="n">
        <v>45604.48304398148</v>
      </c>
      <c r="C282" s="1" t="n">
        <v>46049</v>
      </c>
      <c r="D282" t="inlineStr">
        <is>
          <t>JÄMTLANDS LÄN</t>
        </is>
      </c>
      <c r="E282" t="inlineStr">
        <is>
          <t>ÅRE</t>
        </is>
      </c>
      <c r="G282" t="n">
        <v>2.2</v>
      </c>
      <c r="H282" t="n">
        <v>0</v>
      </c>
      <c r="I282" t="n">
        <v>0</v>
      </c>
      <c r="J282" t="n">
        <v>0</v>
      </c>
      <c r="K282" t="n">
        <v>0</v>
      </c>
      <c r="L282" t="n">
        <v>0</v>
      </c>
      <c r="M282" t="n">
        <v>0</v>
      </c>
      <c r="N282" t="n">
        <v>0</v>
      </c>
      <c r="O282" t="n">
        <v>0</v>
      </c>
      <c r="P282" t="n">
        <v>0</v>
      </c>
      <c r="Q282" t="n">
        <v>0</v>
      </c>
      <c r="R282" s="2" t="inlineStr"/>
    </row>
    <row r="283" ht="15" customHeight="1">
      <c r="A283" t="inlineStr">
        <is>
          <t>A 278-2023</t>
        </is>
      </c>
      <c r="B283" s="1" t="n">
        <v>44928</v>
      </c>
      <c r="C283" s="1" t="n">
        <v>46049</v>
      </c>
      <c r="D283" t="inlineStr">
        <is>
          <t>JÄMTLANDS LÄN</t>
        </is>
      </c>
      <c r="E283" t="inlineStr">
        <is>
          <t>ÅRE</t>
        </is>
      </c>
      <c r="G283" t="n">
        <v>2.4</v>
      </c>
      <c r="H283" t="n">
        <v>0</v>
      </c>
      <c r="I283" t="n">
        <v>0</v>
      </c>
      <c r="J283" t="n">
        <v>0</v>
      </c>
      <c r="K283" t="n">
        <v>0</v>
      </c>
      <c r="L283" t="n">
        <v>0</v>
      </c>
      <c r="M283" t="n">
        <v>0</v>
      </c>
      <c r="N283" t="n">
        <v>0</v>
      </c>
      <c r="O283" t="n">
        <v>0</v>
      </c>
      <c r="P283" t="n">
        <v>0</v>
      </c>
      <c r="Q283" t="n">
        <v>0</v>
      </c>
      <c r="R283" s="2" t="inlineStr"/>
    </row>
    <row r="284" ht="15" customHeight="1">
      <c r="A284" t="inlineStr">
        <is>
          <t>A 6232-2021</t>
        </is>
      </c>
      <c r="B284" s="1" t="n">
        <v>44231</v>
      </c>
      <c r="C284" s="1" t="n">
        <v>46049</v>
      </c>
      <c r="D284" t="inlineStr">
        <is>
          <t>JÄMTLANDS LÄN</t>
        </is>
      </c>
      <c r="E284" t="inlineStr">
        <is>
          <t>ÅRE</t>
        </is>
      </c>
      <c r="G284" t="n">
        <v>4.8</v>
      </c>
      <c r="H284" t="n">
        <v>0</v>
      </c>
      <c r="I284" t="n">
        <v>0</v>
      </c>
      <c r="J284" t="n">
        <v>0</v>
      </c>
      <c r="K284" t="n">
        <v>0</v>
      </c>
      <c r="L284" t="n">
        <v>0</v>
      </c>
      <c r="M284" t="n">
        <v>0</v>
      </c>
      <c r="N284" t="n">
        <v>0</v>
      </c>
      <c r="O284" t="n">
        <v>0</v>
      </c>
      <c r="P284" t="n">
        <v>0</v>
      </c>
      <c r="Q284" t="n">
        <v>0</v>
      </c>
      <c r="R284" s="2" t="inlineStr"/>
    </row>
    <row r="285" ht="15" customHeight="1">
      <c r="A285" t="inlineStr">
        <is>
          <t>A 14283-2025</t>
        </is>
      </c>
      <c r="B285" s="1" t="n">
        <v>45740.65851851852</v>
      </c>
      <c r="C285" s="1" t="n">
        <v>46049</v>
      </c>
      <c r="D285" t="inlineStr">
        <is>
          <t>JÄMTLANDS LÄN</t>
        </is>
      </c>
      <c r="E285" t="inlineStr">
        <is>
          <t>ÅRE</t>
        </is>
      </c>
      <c r="G285" t="n">
        <v>4.6</v>
      </c>
      <c r="H285" t="n">
        <v>0</v>
      </c>
      <c r="I285" t="n">
        <v>0</v>
      </c>
      <c r="J285" t="n">
        <v>0</v>
      </c>
      <c r="K285" t="n">
        <v>0</v>
      </c>
      <c r="L285" t="n">
        <v>0</v>
      </c>
      <c r="M285" t="n">
        <v>0</v>
      </c>
      <c r="N285" t="n">
        <v>0</v>
      </c>
      <c r="O285" t="n">
        <v>0</v>
      </c>
      <c r="P285" t="n">
        <v>0</v>
      </c>
      <c r="Q285" t="n">
        <v>0</v>
      </c>
      <c r="R285" s="2" t="inlineStr"/>
    </row>
    <row r="286" ht="15" customHeight="1">
      <c r="A286" t="inlineStr">
        <is>
          <t>A 45453-2024</t>
        </is>
      </c>
      <c r="B286" s="1" t="n">
        <v>45576.66674768519</v>
      </c>
      <c r="C286" s="1" t="n">
        <v>46049</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54116-2023</t>
        </is>
      </c>
      <c r="B287" s="1" t="n">
        <v>45232</v>
      </c>
      <c r="C287" s="1" t="n">
        <v>46049</v>
      </c>
      <c r="D287" t="inlineStr">
        <is>
          <t>JÄMTLANDS LÄN</t>
        </is>
      </c>
      <c r="E287" t="inlineStr">
        <is>
          <t>ÅRE</t>
        </is>
      </c>
      <c r="G287" t="n">
        <v>3.8</v>
      </c>
      <c r="H287" t="n">
        <v>0</v>
      </c>
      <c r="I287" t="n">
        <v>0</v>
      </c>
      <c r="J287" t="n">
        <v>0</v>
      </c>
      <c r="K287" t="n">
        <v>0</v>
      </c>
      <c r="L287" t="n">
        <v>0</v>
      </c>
      <c r="M287" t="n">
        <v>0</v>
      </c>
      <c r="N287" t="n">
        <v>0</v>
      </c>
      <c r="O287" t="n">
        <v>0</v>
      </c>
      <c r="P287" t="n">
        <v>0</v>
      </c>
      <c r="Q287" t="n">
        <v>0</v>
      </c>
      <c r="R287" s="2" t="inlineStr"/>
    </row>
    <row r="288" ht="15" customHeight="1">
      <c r="A288" t="inlineStr">
        <is>
          <t>A 71043-2021</t>
        </is>
      </c>
      <c r="B288" s="1" t="n">
        <v>44538</v>
      </c>
      <c r="C288" s="1" t="n">
        <v>46049</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51500-2024</t>
        </is>
      </c>
      <c r="B289" s="1" t="n">
        <v>45604.54693287037</v>
      </c>
      <c r="C289" s="1" t="n">
        <v>46049</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47075-2024</t>
        </is>
      </c>
      <c r="B290" s="1" t="n">
        <v>45586.5008912037</v>
      </c>
      <c r="C290" s="1" t="n">
        <v>46049</v>
      </c>
      <c r="D290" t="inlineStr">
        <is>
          <t>JÄMTLANDS LÄN</t>
        </is>
      </c>
      <c r="E290" t="inlineStr">
        <is>
          <t>ÅRE</t>
        </is>
      </c>
      <c r="G290" t="n">
        <v>1.2</v>
      </c>
      <c r="H290" t="n">
        <v>0</v>
      </c>
      <c r="I290" t="n">
        <v>0</v>
      </c>
      <c r="J290" t="n">
        <v>0</v>
      </c>
      <c r="K290" t="n">
        <v>0</v>
      </c>
      <c r="L290" t="n">
        <v>0</v>
      </c>
      <c r="M290" t="n">
        <v>0</v>
      </c>
      <c r="N290" t="n">
        <v>0</v>
      </c>
      <c r="O290" t="n">
        <v>0</v>
      </c>
      <c r="P290" t="n">
        <v>0</v>
      </c>
      <c r="Q290" t="n">
        <v>0</v>
      </c>
      <c r="R290" s="2" t="inlineStr"/>
    </row>
    <row r="291" ht="15" customHeight="1">
      <c r="A291" t="inlineStr">
        <is>
          <t>A 45161-2024</t>
        </is>
      </c>
      <c r="B291" s="1" t="n">
        <v>45575.64982638889</v>
      </c>
      <c r="C291" s="1" t="n">
        <v>46049</v>
      </c>
      <c r="D291" t="inlineStr">
        <is>
          <t>JÄMTLANDS LÄN</t>
        </is>
      </c>
      <c r="E291" t="inlineStr">
        <is>
          <t>ÅRE</t>
        </is>
      </c>
      <c r="G291" t="n">
        <v>6.9</v>
      </c>
      <c r="H291" t="n">
        <v>0</v>
      </c>
      <c r="I291" t="n">
        <v>0</v>
      </c>
      <c r="J291" t="n">
        <v>0</v>
      </c>
      <c r="K291" t="n">
        <v>0</v>
      </c>
      <c r="L291" t="n">
        <v>0</v>
      </c>
      <c r="M291" t="n">
        <v>0</v>
      </c>
      <c r="N291" t="n">
        <v>0</v>
      </c>
      <c r="O291" t="n">
        <v>0</v>
      </c>
      <c r="P291" t="n">
        <v>0</v>
      </c>
      <c r="Q291" t="n">
        <v>0</v>
      </c>
      <c r="R291" s="2" t="inlineStr"/>
    </row>
    <row r="292" ht="15" customHeight="1">
      <c r="A292" t="inlineStr">
        <is>
          <t>A 15480-2024</t>
        </is>
      </c>
      <c r="B292" s="1" t="n">
        <v>45401.49065972222</v>
      </c>
      <c r="C292" s="1" t="n">
        <v>46049</v>
      </c>
      <c r="D292" t="inlineStr">
        <is>
          <t>JÄMTLANDS LÄN</t>
        </is>
      </c>
      <c r="E292" t="inlineStr">
        <is>
          <t>ÅRE</t>
        </is>
      </c>
      <c r="G292" t="n">
        <v>11.8</v>
      </c>
      <c r="H292" t="n">
        <v>0</v>
      </c>
      <c r="I292" t="n">
        <v>0</v>
      </c>
      <c r="J292" t="n">
        <v>0</v>
      </c>
      <c r="K292" t="n">
        <v>0</v>
      </c>
      <c r="L292" t="n">
        <v>0</v>
      </c>
      <c r="M292" t="n">
        <v>0</v>
      </c>
      <c r="N292" t="n">
        <v>0</v>
      </c>
      <c r="O292" t="n">
        <v>0</v>
      </c>
      <c r="P292" t="n">
        <v>0</v>
      </c>
      <c r="Q292" t="n">
        <v>0</v>
      </c>
      <c r="R292" s="2" t="inlineStr"/>
    </row>
    <row r="293" ht="15" customHeight="1">
      <c r="A293" t="inlineStr">
        <is>
          <t>A 43342-2024</t>
        </is>
      </c>
      <c r="B293" s="1" t="n">
        <v>45568.55114583333</v>
      </c>
      <c r="C293" s="1" t="n">
        <v>46049</v>
      </c>
      <c r="D293" t="inlineStr">
        <is>
          <t>JÄMTLANDS LÄN</t>
        </is>
      </c>
      <c r="E293" t="inlineStr">
        <is>
          <t>ÅRE</t>
        </is>
      </c>
      <c r="F293" t="inlineStr">
        <is>
          <t>Övriga Aktiebolag</t>
        </is>
      </c>
      <c r="G293" t="n">
        <v>4.8</v>
      </c>
      <c r="H293" t="n">
        <v>0</v>
      </c>
      <c r="I293" t="n">
        <v>0</v>
      </c>
      <c r="J293" t="n">
        <v>0</v>
      </c>
      <c r="K293" t="n">
        <v>0</v>
      </c>
      <c r="L293" t="n">
        <v>0</v>
      </c>
      <c r="M293" t="n">
        <v>0</v>
      </c>
      <c r="N293" t="n">
        <v>0</v>
      </c>
      <c r="O293" t="n">
        <v>0</v>
      </c>
      <c r="P293" t="n">
        <v>0</v>
      </c>
      <c r="Q293" t="n">
        <v>0</v>
      </c>
      <c r="R293" s="2" t="inlineStr"/>
    </row>
    <row r="294" ht="15" customHeight="1">
      <c r="A294" t="inlineStr">
        <is>
          <t>A 4870-2021</t>
        </is>
      </c>
      <c r="B294" s="1" t="n">
        <v>44225</v>
      </c>
      <c r="C294" s="1" t="n">
        <v>46049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61183-2023</t>
        </is>
      </c>
      <c r="B295" s="1" t="n">
        <v>45263</v>
      </c>
      <c r="C295" s="1" t="n">
        <v>46049</v>
      </c>
      <c r="D295" t="inlineStr">
        <is>
          <t>JÄMTLANDS LÄN</t>
        </is>
      </c>
      <c r="E295" t="inlineStr">
        <is>
          <t>ÅRE</t>
        </is>
      </c>
      <c r="G295" t="n">
        <v>8.4</v>
      </c>
      <c r="H295" t="n">
        <v>0</v>
      </c>
      <c r="I295" t="n">
        <v>0</v>
      </c>
      <c r="J295" t="n">
        <v>0</v>
      </c>
      <c r="K295" t="n">
        <v>0</v>
      </c>
      <c r="L295" t="n">
        <v>0</v>
      </c>
      <c r="M295" t="n">
        <v>0</v>
      </c>
      <c r="N295" t="n">
        <v>0</v>
      </c>
      <c r="O295" t="n">
        <v>0</v>
      </c>
      <c r="P295" t="n">
        <v>0</v>
      </c>
      <c r="Q295" t="n">
        <v>0</v>
      </c>
      <c r="R295" s="2" t="inlineStr"/>
    </row>
    <row r="296" ht="15" customHeight="1">
      <c r="A296" t="inlineStr">
        <is>
          <t>A 50574-2025</t>
        </is>
      </c>
      <c r="B296" s="1" t="n">
        <v>45945</v>
      </c>
      <c r="C296" s="1" t="n">
        <v>46049</v>
      </c>
      <c r="D296" t="inlineStr">
        <is>
          <t>JÄMTLANDS LÄN</t>
        </is>
      </c>
      <c r="E296" t="inlineStr">
        <is>
          <t>ÅRE</t>
        </is>
      </c>
      <c r="G296" t="n">
        <v>16.1</v>
      </c>
      <c r="H296" t="n">
        <v>0</v>
      </c>
      <c r="I296" t="n">
        <v>0</v>
      </c>
      <c r="J296" t="n">
        <v>0</v>
      </c>
      <c r="K296" t="n">
        <v>0</v>
      </c>
      <c r="L296" t="n">
        <v>0</v>
      </c>
      <c r="M296" t="n">
        <v>0</v>
      </c>
      <c r="N296" t="n">
        <v>0</v>
      </c>
      <c r="O296" t="n">
        <v>0</v>
      </c>
      <c r="P296" t="n">
        <v>0</v>
      </c>
      <c r="Q296" t="n">
        <v>0</v>
      </c>
      <c r="R296" s="2" t="inlineStr"/>
    </row>
    <row r="297" ht="15" customHeight="1">
      <c r="A297" t="inlineStr">
        <is>
          <t>A 61481-2022</t>
        </is>
      </c>
      <c r="B297" s="1" t="n">
        <v>44910</v>
      </c>
      <c r="C297" s="1" t="n">
        <v>46049</v>
      </c>
      <c r="D297" t="inlineStr">
        <is>
          <t>JÄMTLANDS LÄN</t>
        </is>
      </c>
      <c r="E297" t="inlineStr">
        <is>
          <t>ÅRE</t>
        </is>
      </c>
      <c r="G297" t="n">
        <v>0.4</v>
      </c>
      <c r="H297" t="n">
        <v>0</v>
      </c>
      <c r="I297" t="n">
        <v>0</v>
      </c>
      <c r="J297" t="n">
        <v>0</v>
      </c>
      <c r="K297" t="n">
        <v>0</v>
      </c>
      <c r="L297" t="n">
        <v>0</v>
      </c>
      <c r="M297" t="n">
        <v>0</v>
      </c>
      <c r="N297" t="n">
        <v>0</v>
      </c>
      <c r="O297" t="n">
        <v>0</v>
      </c>
      <c r="P297" t="n">
        <v>0</v>
      </c>
      <c r="Q297" t="n">
        <v>0</v>
      </c>
      <c r="R297" s="2" t="inlineStr"/>
    </row>
    <row r="298" ht="15" customHeight="1">
      <c r="A298" t="inlineStr">
        <is>
          <t>A 43307-2024</t>
        </is>
      </c>
      <c r="B298" s="1" t="n">
        <v>45568.44303240741</v>
      </c>
      <c r="C298" s="1" t="n">
        <v>46049</v>
      </c>
      <c r="D298" t="inlineStr">
        <is>
          <t>JÄMTLANDS LÄN</t>
        </is>
      </c>
      <c r="E298" t="inlineStr">
        <is>
          <t>ÅRE</t>
        </is>
      </c>
      <c r="F298" t="inlineStr">
        <is>
          <t>Övriga Aktiebolag</t>
        </is>
      </c>
      <c r="G298" t="n">
        <v>1.1</v>
      </c>
      <c r="H298" t="n">
        <v>0</v>
      </c>
      <c r="I298" t="n">
        <v>0</v>
      </c>
      <c r="J298" t="n">
        <v>0</v>
      </c>
      <c r="K298" t="n">
        <v>0</v>
      </c>
      <c r="L298" t="n">
        <v>0</v>
      </c>
      <c r="M298" t="n">
        <v>0</v>
      </c>
      <c r="N298" t="n">
        <v>0</v>
      </c>
      <c r="O298" t="n">
        <v>0</v>
      </c>
      <c r="P298" t="n">
        <v>0</v>
      </c>
      <c r="Q298" t="n">
        <v>0</v>
      </c>
      <c r="R298" s="2" t="inlineStr"/>
    </row>
    <row r="299" ht="15" customHeight="1">
      <c r="A299" t="inlineStr">
        <is>
          <t>A 12857-2021</t>
        </is>
      </c>
      <c r="B299" s="1" t="n">
        <v>44270</v>
      </c>
      <c r="C299" s="1" t="n">
        <v>46049</v>
      </c>
      <c r="D299" t="inlineStr">
        <is>
          <t>JÄMTLANDS LÄN</t>
        </is>
      </c>
      <c r="E299" t="inlineStr">
        <is>
          <t>ÅRE</t>
        </is>
      </c>
      <c r="F299" t="inlineStr">
        <is>
          <t>Kommuner</t>
        </is>
      </c>
      <c r="G299" t="n">
        <v>17.2</v>
      </c>
      <c r="H299" t="n">
        <v>0</v>
      </c>
      <c r="I299" t="n">
        <v>0</v>
      </c>
      <c r="J299" t="n">
        <v>0</v>
      </c>
      <c r="K299" t="n">
        <v>0</v>
      </c>
      <c r="L299" t="n">
        <v>0</v>
      </c>
      <c r="M299" t="n">
        <v>0</v>
      </c>
      <c r="N299" t="n">
        <v>0</v>
      </c>
      <c r="O299" t="n">
        <v>0</v>
      </c>
      <c r="P299" t="n">
        <v>0</v>
      </c>
      <c r="Q299" t="n">
        <v>0</v>
      </c>
      <c r="R299" s="2" t="inlineStr"/>
    </row>
    <row r="300" ht="15" customHeight="1">
      <c r="A300" t="inlineStr">
        <is>
          <t>A 51183-2025</t>
        </is>
      </c>
      <c r="B300" s="1" t="n">
        <v>45947.62087962963</v>
      </c>
      <c r="C300" s="1" t="n">
        <v>46049</v>
      </c>
      <c r="D300" t="inlineStr">
        <is>
          <t>JÄMTLANDS LÄN</t>
        </is>
      </c>
      <c r="E300" t="inlineStr">
        <is>
          <t>ÅRE</t>
        </is>
      </c>
      <c r="F300" t="inlineStr">
        <is>
          <t>Övriga statliga verk och myndigheter</t>
        </is>
      </c>
      <c r="G300" t="n">
        <v>2</v>
      </c>
      <c r="H300" t="n">
        <v>0</v>
      </c>
      <c r="I300" t="n">
        <v>0</v>
      </c>
      <c r="J300" t="n">
        <v>0</v>
      </c>
      <c r="K300" t="n">
        <v>0</v>
      </c>
      <c r="L300" t="n">
        <v>0</v>
      </c>
      <c r="M300" t="n">
        <v>0</v>
      </c>
      <c r="N300" t="n">
        <v>0</v>
      </c>
      <c r="O300" t="n">
        <v>0</v>
      </c>
      <c r="P300" t="n">
        <v>0</v>
      </c>
      <c r="Q300" t="n">
        <v>0</v>
      </c>
      <c r="R300" s="2" t="inlineStr"/>
    </row>
    <row r="301" ht="15" customHeight="1">
      <c r="A301" t="inlineStr">
        <is>
          <t>A 13383-2022</t>
        </is>
      </c>
      <c r="B301" s="1" t="n">
        <v>44637</v>
      </c>
      <c r="C301" s="1" t="n">
        <v>46049</v>
      </c>
      <c r="D301" t="inlineStr">
        <is>
          <t>JÄMTLANDS LÄN</t>
        </is>
      </c>
      <c r="E301" t="inlineStr">
        <is>
          <t>ÅRE</t>
        </is>
      </c>
      <c r="G301" t="n">
        <v>2.2</v>
      </c>
      <c r="H301" t="n">
        <v>0</v>
      </c>
      <c r="I301" t="n">
        <v>0</v>
      </c>
      <c r="J301" t="n">
        <v>0</v>
      </c>
      <c r="K301" t="n">
        <v>0</v>
      </c>
      <c r="L301" t="n">
        <v>0</v>
      </c>
      <c r="M301" t="n">
        <v>0</v>
      </c>
      <c r="N301" t="n">
        <v>0</v>
      </c>
      <c r="O301" t="n">
        <v>0</v>
      </c>
      <c r="P301" t="n">
        <v>0</v>
      </c>
      <c r="Q301" t="n">
        <v>0</v>
      </c>
      <c r="R301" s="2" t="inlineStr"/>
    </row>
    <row r="302" ht="15" customHeight="1">
      <c r="A302" t="inlineStr">
        <is>
          <t>A 49702-2024</t>
        </is>
      </c>
      <c r="B302" s="1" t="n">
        <v>45596</v>
      </c>
      <c r="C302" s="1" t="n">
        <v>46049</v>
      </c>
      <c r="D302" t="inlineStr">
        <is>
          <t>JÄMTLANDS LÄN</t>
        </is>
      </c>
      <c r="E302" t="inlineStr">
        <is>
          <t>ÅRE</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9777-2021</t>
        </is>
      </c>
      <c r="B303" s="1" t="n">
        <v>44252</v>
      </c>
      <c r="C303" s="1" t="n">
        <v>46049</v>
      </c>
      <c r="D303" t="inlineStr">
        <is>
          <t>JÄMTLANDS LÄN</t>
        </is>
      </c>
      <c r="E303" t="inlineStr">
        <is>
          <t>ÅRE</t>
        </is>
      </c>
      <c r="G303" t="n">
        <v>4.2</v>
      </c>
      <c r="H303" t="n">
        <v>0</v>
      </c>
      <c r="I303" t="n">
        <v>0</v>
      </c>
      <c r="J303" t="n">
        <v>0</v>
      </c>
      <c r="K303" t="n">
        <v>0</v>
      </c>
      <c r="L303" t="n">
        <v>0</v>
      </c>
      <c r="M303" t="n">
        <v>0</v>
      </c>
      <c r="N303" t="n">
        <v>0</v>
      </c>
      <c r="O303" t="n">
        <v>0</v>
      </c>
      <c r="P303" t="n">
        <v>0</v>
      </c>
      <c r="Q303" t="n">
        <v>0</v>
      </c>
      <c r="R303" s="2" t="inlineStr"/>
    </row>
    <row r="304" ht="15" customHeight="1">
      <c r="A304" t="inlineStr">
        <is>
          <t>A 43769-2025</t>
        </is>
      </c>
      <c r="B304" s="1" t="n">
        <v>45912.49420138889</v>
      </c>
      <c r="C304" s="1" t="n">
        <v>46049</v>
      </c>
      <c r="D304" t="inlineStr">
        <is>
          <t>JÄMTLANDS LÄN</t>
        </is>
      </c>
      <c r="E304" t="inlineStr">
        <is>
          <t>ÅRE</t>
        </is>
      </c>
      <c r="G304" t="n">
        <v>6.1</v>
      </c>
      <c r="H304" t="n">
        <v>0</v>
      </c>
      <c r="I304" t="n">
        <v>0</v>
      </c>
      <c r="J304" t="n">
        <v>0</v>
      </c>
      <c r="K304" t="n">
        <v>0</v>
      </c>
      <c r="L304" t="n">
        <v>0</v>
      </c>
      <c r="M304" t="n">
        <v>0</v>
      </c>
      <c r="N304" t="n">
        <v>0</v>
      </c>
      <c r="O304" t="n">
        <v>0</v>
      </c>
      <c r="P304" t="n">
        <v>0</v>
      </c>
      <c r="Q304" t="n">
        <v>0</v>
      </c>
      <c r="R304" s="2" t="inlineStr"/>
    </row>
    <row r="305" ht="15" customHeight="1">
      <c r="A305" t="inlineStr">
        <is>
          <t>A 3196-2023</t>
        </is>
      </c>
      <c r="B305" s="1" t="n">
        <v>44946</v>
      </c>
      <c r="C305" s="1" t="n">
        <v>46049</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46049</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2374-2023</t>
        </is>
      </c>
      <c r="B307" s="1" t="n">
        <v>44942.69005787037</v>
      </c>
      <c r="C307" s="1" t="n">
        <v>46049</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43767-2025</t>
        </is>
      </c>
      <c r="B308" s="1" t="n">
        <v>45912.49256944445</v>
      </c>
      <c r="C308" s="1" t="n">
        <v>46049</v>
      </c>
      <c r="D308" t="inlineStr">
        <is>
          <t>JÄMTLANDS LÄN</t>
        </is>
      </c>
      <c r="E308" t="inlineStr">
        <is>
          <t>ÅRE</t>
        </is>
      </c>
      <c r="G308" t="n">
        <v>7.1</v>
      </c>
      <c r="H308" t="n">
        <v>0</v>
      </c>
      <c r="I308" t="n">
        <v>0</v>
      </c>
      <c r="J308" t="n">
        <v>0</v>
      </c>
      <c r="K308" t="n">
        <v>0</v>
      </c>
      <c r="L308" t="n">
        <v>0</v>
      </c>
      <c r="M308" t="n">
        <v>0</v>
      </c>
      <c r="N308" t="n">
        <v>0</v>
      </c>
      <c r="O308" t="n">
        <v>0</v>
      </c>
      <c r="P308" t="n">
        <v>0</v>
      </c>
      <c r="Q308" t="n">
        <v>0</v>
      </c>
      <c r="R308" s="2" t="inlineStr"/>
    </row>
    <row r="309" ht="15" customHeight="1">
      <c r="A309" t="inlineStr">
        <is>
          <t>A 39202-2025</t>
        </is>
      </c>
      <c r="B309" s="1" t="n">
        <v>45888.72116898148</v>
      </c>
      <c r="C309" s="1" t="n">
        <v>46049</v>
      </c>
      <c r="D309" t="inlineStr">
        <is>
          <t>JÄMTLANDS LÄN</t>
        </is>
      </c>
      <c r="E309" t="inlineStr">
        <is>
          <t>ÅRE</t>
        </is>
      </c>
      <c r="G309" t="n">
        <v>4.4</v>
      </c>
      <c r="H309" t="n">
        <v>0</v>
      </c>
      <c r="I309" t="n">
        <v>0</v>
      </c>
      <c r="J309" t="n">
        <v>0</v>
      </c>
      <c r="K309" t="n">
        <v>0</v>
      </c>
      <c r="L309" t="n">
        <v>0</v>
      </c>
      <c r="M309" t="n">
        <v>0</v>
      </c>
      <c r="N309" t="n">
        <v>0</v>
      </c>
      <c r="O309" t="n">
        <v>0</v>
      </c>
      <c r="P309" t="n">
        <v>0</v>
      </c>
      <c r="Q309" t="n">
        <v>0</v>
      </c>
      <c r="R309" s="2" t="inlineStr"/>
    </row>
    <row r="310" ht="15" customHeight="1">
      <c r="A310" t="inlineStr">
        <is>
          <t>A 4777-2025</t>
        </is>
      </c>
      <c r="B310" s="1" t="n">
        <v>45688</v>
      </c>
      <c r="C310" s="1" t="n">
        <v>46049</v>
      </c>
      <c r="D310" t="inlineStr">
        <is>
          <t>JÄMTLANDS LÄN</t>
        </is>
      </c>
      <c r="E310" t="inlineStr">
        <is>
          <t>ÅRE</t>
        </is>
      </c>
      <c r="G310" t="n">
        <v>0.7</v>
      </c>
      <c r="H310" t="n">
        <v>0</v>
      </c>
      <c r="I310" t="n">
        <v>0</v>
      </c>
      <c r="J310" t="n">
        <v>0</v>
      </c>
      <c r="K310" t="n">
        <v>0</v>
      </c>
      <c r="L310" t="n">
        <v>0</v>
      </c>
      <c r="M310" t="n">
        <v>0</v>
      </c>
      <c r="N310" t="n">
        <v>0</v>
      </c>
      <c r="O310" t="n">
        <v>0</v>
      </c>
      <c r="P310" t="n">
        <v>0</v>
      </c>
      <c r="Q310" t="n">
        <v>0</v>
      </c>
      <c r="R310" s="2" t="inlineStr"/>
    </row>
    <row r="311" ht="15" customHeight="1">
      <c r="A311" t="inlineStr">
        <is>
          <t>A 39115-2025</t>
        </is>
      </c>
      <c r="B311" s="1" t="n">
        <v>45888.55096064815</v>
      </c>
      <c r="C311" s="1" t="n">
        <v>46049</v>
      </c>
      <c r="D311" t="inlineStr">
        <is>
          <t>JÄMTLANDS LÄN</t>
        </is>
      </c>
      <c r="E311" t="inlineStr">
        <is>
          <t>ÅRE</t>
        </is>
      </c>
      <c r="F311" t="inlineStr">
        <is>
          <t>Övriga statliga verk och myndigheter</t>
        </is>
      </c>
      <c r="G311" t="n">
        <v>11.4</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46049</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65239-2021</t>
        </is>
      </c>
      <c r="B313" s="1" t="n">
        <v>44515</v>
      </c>
      <c r="C313" s="1" t="n">
        <v>46049</v>
      </c>
      <c r="D313" t="inlineStr">
        <is>
          <t>JÄMTLANDS LÄN</t>
        </is>
      </c>
      <c r="E313" t="inlineStr">
        <is>
          <t>ÅRE</t>
        </is>
      </c>
      <c r="G313" t="n">
        <v>0</v>
      </c>
      <c r="H313" t="n">
        <v>0</v>
      </c>
      <c r="I313" t="n">
        <v>0</v>
      </c>
      <c r="J313" t="n">
        <v>0</v>
      </c>
      <c r="K313" t="n">
        <v>0</v>
      </c>
      <c r="L313" t="n">
        <v>0</v>
      </c>
      <c r="M313" t="n">
        <v>0</v>
      </c>
      <c r="N313" t="n">
        <v>0</v>
      </c>
      <c r="O313" t="n">
        <v>0</v>
      </c>
      <c r="P313" t="n">
        <v>0</v>
      </c>
      <c r="Q313" t="n">
        <v>0</v>
      </c>
      <c r="R313" s="2" t="inlineStr"/>
    </row>
    <row r="314" ht="15" customHeight="1">
      <c r="A314" t="inlineStr">
        <is>
          <t>A 44251-2025</t>
        </is>
      </c>
      <c r="B314" s="1" t="n">
        <v>45915.69837962963</v>
      </c>
      <c r="C314" s="1" t="n">
        <v>46049</v>
      </c>
      <c r="D314" t="inlineStr">
        <is>
          <t>JÄMTLANDS LÄN</t>
        </is>
      </c>
      <c r="E314" t="inlineStr">
        <is>
          <t>ÅRE</t>
        </is>
      </c>
      <c r="G314" t="n">
        <v>0.2</v>
      </c>
      <c r="H314" t="n">
        <v>0</v>
      </c>
      <c r="I314" t="n">
        <v>0</v>
      </c>
      <c r="J314" t="n">
        <v>0</v>
      </c>
      <c r="K314" t="n">
        <v>0</v>
      </c>
      <c r="L314" t="n">
        <v>0</v>
      </c>
      <c r="M314" t="n">
        <v>0</v>
      </c>
      <c r="N314" t="n">
        <v>0</v>
      </c>
      <c r="O314" t="n">
        <v>0</v>
      </c>
      <c r="P314" t="n">
        <v>0</v>
      </c>
      <c r="Q314" t="n">
        <v>0</v>
      </c>
      <c r="R314" s="2" t="inlineStr"/>
    </row>
    <row r="315" ht="15" customHeight="1">
      <c r="A315" t="inlineStr">
        <is>
          <t>A 44644-2025</t>
        </is>
      </c>
      <c r="B315" s="1" t="n">
        <v>45917.53284722222</v>
      </c>
      <c r="C315" s="1" t="n">
        <v>46049</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46789-2024</t>
        </is>
      </c>
      <c r="B316" s="1" t="n">
        <v>45583.53219907408</v>
      </c>
      <c r="C316" s="1" t="n">
        <v>46049</v>
      </c>
      <c r="D316" t="inlineStr">
        <is>
          <t>JÄMTLANDS LÄN</t>
        </is>
      </c>
      <c r="E316" t="inlineStr">
        <is>
          <t>ÅRE</t>
        </is>
      </c>
      <c r="F316" t="inlineStr">
        <is>
          <t>Övriga Aktiebolag</t>
        </is>
      </c>
      <c r="G316" t="n">
        <v>2.7</v>
      </c>
      <c r="H316" t="n">
        <v>0</v>
      </c>
      <c r="I316" t="n">
        <v>0</v>
      </c>
      <c r="J316" t="n">
        <v>0</v>
      </c>
      <c r="K316" t="n">
        <v>0</v>
      </c>
      <c r="L316" t="n">
        <v>0</v>
      </c>
      <c r="M316" t="n">
        <v>0</v>
      </c>
      <c r="N316" t="n">
        <v>0</v>
      </c>
      <c r="O316" t="n">
        <v>0</v>
      </c>
      <c r="P316" t="n">
        <v>0</v>
      </c>
      <c r="Q316" t="n">
        <v>0</v>
      </c>
      <c r="R316" s="2" t="inlineStr"/>
    </row>
    <row r="317" ht="15" customHeight="1">
      <c r="A317" t="inlineStr">
        <is>
          <t>A 1112-2025</t>
        </is>
      </c>
      <c r="B317" s="1" t="n">
        <v>45666</v>
      </c>
      <c r="C317" s="1" t="n">
        <v>46049</v>
      </c>
      <c r="D317" t="inlineStr">
        <is>
          <t>JÄMTLANDS LÄN</t>
        </is>
      </c>
      <c r="E317" t="inlineStr">
        <is>
          <t>ÅRE</t>
        </is>
      </c>
      <c r="F317" t="inlineStr">
        <is>
          <t>Övriga Aktiebolag</t>
        </is>
      </c>
      <c r="G317" t="n">
        <v>17.7</v>
      </c>
      <c r="H317" t="n">
        <v>0</v>
      </c>
      <c r="I317" t="n">
        <v>0</v>
      </c>
      <c r="J317" t="n">
        <v>0</v>
      </c>
      <c r="K317" t="n">
        <v>0</v>
      </c>
      <c r="L317" t="n">
        <v>0</v>
      </c>
      <c r="M317" t="n">
        <v>0</v>
      </c>
      <c r="N317" t="n">
        <v>0</v>
      </c>
      <c r="O317" t="n">
        <v>0</v>
      </c>
      <c r="P317" t="n">
        <v>0</v>
      </c>
      <c r="Q317" t="n">
        <v>0</v>
      </c>
      <c r="R317" s="2" t="inlineStr"/>
    </row>
    <row r="318" ht="15" customHeight="1">
      <c r="A318" t="inlineStr">
        <is>
          <t>A 44668-2025</t>
        </is>
      </c>
      <c r="B318" s="1" t="n">
        <v>45917.56306712963</v>
      </c>
      <c r="C318" s="1" t="n">
        <v>46049</v>
      </c>
      <c r="D318" t="inlineStr">
        <is>
          <t>JÄMTLANDS LÄN</t>
        </is>
      </c>
      <c r="E318" t="inlineStr">
        <is>
          <t>ÅRE</t>
        </is>
      </c>
      <c r="G318" t="n">
        <v>3.6</v>
      </c>
      <c r="H318" t="n">
        <v>0</v>
      </c>
      <c r="I318" t="n">
        <v>0</v>
      </c>
      <c r="J318" t="n">
        <v>0</v>
      </c>
      <c r="K318" t="n">
        <v>0</v>
      </c>
      <c r="L318" t="n">
        <v>0</v>
      </c>
      <c r="M318" t="n">
        <v>0</v>
      </c>
      <c r="N318" t="n">
        <v>0</v>
      </c>
      <c r="O318" t="n">
        <v>0</v>
      </c>
      <c r="P318" t="n">
        <v>0</v>
      </c>
      <c r="Q318" t="n">
        <v>0</v>
      </c>
      <c r="R318" s="2" t="inlineStr"/>
    </row>
    <row r="319" ht="15" customHeight="1">
      <c r="A319" t="inlineStr">
        <is>
          <t>A 44685-2025</t>
        </is>
      </c>
      <c r="B319" s="1" t="n">
        <v>45917.58569444445</v>
      </c>
      <c r="C319" s="1" t="n">
        <v>46049</v>
      </c>
      <c r="D319" t="inlineStr">
        <is>
          <t>JÄMTLANDS LÄN</t>
        </is>
      </c>
      <c r="E319" t="inlineStr">
        <is>
          <t>ÅRE</t>
        </is>
      </c>
      <c r="G319" t="n">
        <v>2.2</v>
      </c>
      <c r="H319" t="n">
        <v>0</v>
      </c>
      <c r="I319" t="n">
        <v>0</v>
      </c>
      <c r="J319" t="n">
        <v>0</v>
      </c>
      <c r="K319" t="n">
        <v>0</v>
      </c>
      <c r="L319" t="n">
        <v>0</v>
      </c>
      <c r="M319" t="n">
        <v>0</v>
      </c>
      <c r="N319" t="n">
        <v>0</v>
      </c>
      <c r="O319" t="n">
        <v>0</v>
      </c>
      <c r="P319" t="n">
        <v>0</v>
      </c>
      <c r="Q319" t="n">
        <v>0</v>
      </c>
      <c r="R319" s="2" t="inlineStr"/>
    </row>
    <row r="320" ht="15" customHeight="1">
      <c r="A320" t="inlineStr">
        <is>
          <t>A 34925-2025</t>
        </is>
      </c>
      <c r="B320" s="1" t="n">
        <v>45849</v>
      </c>
      <c r="C320" s="1" t="n">
        <v>46049</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45614-2025</t>
        </is>
      </c>
      <c r="B321" s="1" t="n">
        <v>45922.719375</v>
      </c>
      <c r="C321" s="1" t="n">
        <v>46049</v>
      </c>
      <c r="D321" t="inlineStr">
        <is>
          <t>JÄMTLANDS LÄN</t>
        </is>
      </c>
      <c r="E321" t="inlineStr">
        <is>
          <t>ÅRE</t>
        </is>
      </c>
      <c r="G321" t="n">
        <v>2.4</v>
      </c>
      <c r="H321" t="n">
        <v>0</v>
      </c>
      <c r="I321" t="n">
        <v>0</v>
      </c>
      <c r="J321" t="n">
        <v>0</v>
      </c>
      <c r="K321" t="n">
        <v>0</v>
      </c>
      <c r="L321" t="n">
        <v>0</v>
      </c>
      <c r="M321" t="n">
        <v>0</v>
      </c>
      <c r="N321" t="n">
        <v>0</v>
      </c>
      <c r="O321" t="n">
        <v>0</v>
      </c>
      <c r="P321" t="n">
        <v>0</v>
      </c>
      <c r="Q321" t="n">
        <v>0</v>
      </c>
      <c r="R321" s="2" t="inlineStr"/>
    </row>
    <row r="322" ht="15" customHeight="1">
      <c r="A322" t="inlineStr">
        <is>
          <t>A 35058-2025</t>
        </is>
      </c>
      <c r="B322" s="1" t="n">
        <v>45849</v>
      </c>
      <c r="C322" s="1" t="n">
        <v>46049</v>
      </c>
      <c r="D322" t="inlineStr">
        <is>
          <t>JÄMTLANDS LÄN</t>
        </is>
      </c>
      <c r="E322" t="inlineStr">
        <is>
          <t>ÅRE</t>
        </is>
      </c>
      <c r="G322" t="n">
        <v>2.5</v>
      </c>
      <c r="H322" t="n">
        <v>0</v>
      </c>
      <c r="I322" t="n">
        <v>0</v>
      </c>
      <c r="J322" t="n">
        <v>0</v>
      </c>
      <c r="K322" t="n">
        <v>0</v>
      </c>
      <c r="L322" t="n">
        <v>0</v>
      </c>
      <c r="M322" t="n">
        <v>0</v>
      </c>
      <c r="N322" t="n">
        <v>0</v>
      </c>
      <c r="O322" t="n">
        <v>0</v>
      </c>
      <c r="P322" t="n">
        <v>0</v>
      </c>
      <c r="Q322" t="n">
        <v>0</v>
      </c>
      <c r="R322" s="2" t="inlineStr"/>
    </row>
    <row r="323" ht="15" customHeight="1">
      <c r="A323" t="inlineStr">
        <is>
          <t>A 39742-2025</t>
        </is>
      </c>
      <c r="B323" s="1" t="n">
        <v>45891.37998842593</v>
      </c>
      <c r="C323" s="1" t="n">
        <v>46049</v>
      </c>
      <c r="D323" t="inlineStr">
        <is>
          <t>JÄMTLANDS LÄN</t>
        </is>
      </c>
      <c r="E323" t="inlineStr">
        <is>
          <t>ÅRE</t>
        </is>
      </c>
      <c r="F323" t="inlineStr">
        <is>
          <t>Övriga statliga verk och myndigheter</t>
        </is>
      </c>
      <c r="G323" t="n">
        <v>6.2</v>
      </c>
      <c r="H323" t="n">
        <v>0</v>
      </c>
      <c r="I323" t="n">
        <v>0</v>
      </c>
      <c r="J323" t="n">
        <v>0</v>
      </c>
      <c r="K323" t="n">
        <v>0</v>
      </c>
      <c r="L323" t="n">
        <v>0</v>
      </c>
      <c r="M323" t="n">
        <v>0</v>
      </c>
      <c r="N323" t="n">
        <v>0</v>
      </c>
      <c r="O323" t="n">
        <v>0</v>
      </c>
      <c r="P323" t="n">
        <v>0</v>
      </c>
      <c r="Q323" t="n">
        <v>0</v>
      </c>
      <c r="R323" s="2" t="inlineStr"/>
    </row>
    <row r="324" ht="15" customHeight="1">
      <c r="A324" t="inlineStr">
        <is>
          <t>A 45605-2025</t>
        </is>
      </c>
      <c r="B324" s="1" t="n">
        <v>45922.69826388889</v>
      </c>
      <c r="C324" s="1" t="n">
        <v>46049</v>
      </c>
      <c r="D324" t="inlineStr">
        <is>
          <t>JÄMTLANDS LÄN</t>
        </is>
      </c>
      <c r="E324" t="inlineStr">
        <is>
          <t>ÅRE</t>
        </is>
      </c>
      <c r="G324" t="n">
        <v>1.9</v>
      </c>
      <c r="H324" t="n">
        <v>0</v>
      </c>
      <c r="I324" t="n">
        <v>0</v>
      </c>
      <c r="J324" t="n">
        <v>0</v>
      </c>
      <c r="K324" t="n">
        <v>0</v>
      </c>
      <c r="L324" t="n">
        <v>0</v>
      </c>
      <c r="M324" t="n">
        <v>0</v>
      </c>
      <c r="N324" t="n">
        <v>0</v>
      </c>
      <c r="O324" t="n">
        <v>0</v>
      </c>
      <c r="P324" t="n">
        <v>0</v>
      </c>
      <c r="Q324" t="n">
        <v>0</v>
      </c>
      <c r="R324" s="2" t="inlineStr"/>
    </row>
    <row r="325" ht="15" customHeight="1">
      <c r="A325" t="inlineStr">
        <is>
          <t>A 34805-2025</t>
        </is>
      </c>
      <c r="B325" s="1" t="n">
        <v>45849.33071759259</v>
      </c>
      <c r="C325" s="1" t="n">
        <v>46049</v>
      </c>
      <c r="D325" t="inlineStr">
        <is>
          <t>JÄMTLANDS LÄN</t>
        </is>
      </c>
      <c r="E325" t="inlineStr">
        <is>
          <t>ÅRE</t>
        </is>
      </c>
      <c r="G325" t="n">
        <v>2.2</v>
      </c>
      <c r="H325" t="n">
        <v>0</v>
      </c>
      <c r="I325" t="n">
        <v>0</v>
      </c>
      <c r="J325" t="n">
        <v>0</v>
      </c>
      <c r="K325" t="n">
        <v>0</v>
      </c>
      <c r="L325" t="n">
        <v>0</v>
      </c>
      <c r="M325" t="n">
        <v>0</v>
      </c>
      <c r="N325" t="n">
        <v>0</v>
      </c>
      <c r="O325" t="n">
        <v>0</v>
      </c>
      <c r="P325" t="n">
        <v>0</v>
      </c>
      <c r="Q325" t="n">
        <v>0</v>
      </c>
      <c r="R325" s="2" t="inlineStr"/>
    </row>
    <row r="326" ht="15" customHeight="1">
      <c r="A326" t="inlineStr">
        <is>
          <t>A 34897-2025</t>
        </is>
      </c>
      <c r="B326" s="1" t="n">
        <v>45849</v>
      </c>
      <c r="C326" s="1" t="n">
        <v>46049</v>
      </c>
      <c r="D326" t="inlineStr">
        <is>
          <t>JÄMTLANDS LÄN</t>
        </is>
      </c>
      <c r="E326" t="inlineStr">
        <is>
          <t>ÅRE</t>
        </is>
      </c>
      <c r="G326" t="n">
        <v>1.6</v>
      </c>
      <c r="H326" t="n">
        <v>0</v>
      </c>
      <c r="I326" t="n">
        <v>0</v>
      </c>
      <c r="J326" t="n">
        <v>0</v>
      </c>
      <c r="K326" t="n">
        <v>0</v>
      </c>
      <c r="L326" t="n">
        <v>0</v>
      </c>
      <c r="M326" t="n">
        <v>0</v>
      </c>
      <c r="N326" t="n">
        <v>0</v>
      </c>
      <c r="O326" t="n">
        <v>0</v>
      </c>
      <c r="P326" t="n">
        <v>0</v>
      </c>
      <c r="Q326" t="n">
        <v>0</v>
      </c>
      <c r="R326" s="2" t="inlineStr"/>
    </row>
    <row r="327" ht="15" customHeight="1">
      <c r="A327" t="inlineStr">
        <is>
          <t>A 35054-2025</t>
        </is>
      </c>
      <c r="B327" s="1" t="n">
        <v>45849</v>
      </c>
      <c r="C327" s="1" t="n">
        <v>46049</v>
      </c>
      <c r="D327" t="inlineStr">
        <is>
          <t>JÄMTLANDS LÄN</t>
        </is>
      </c>
      <c r="E327" t="inlineStr">
        <is>
          <t>ÅRE</t>
        </is>
      </c>
      <c r="G327" t="n">
        <v>5.3</v>
      </c>
      <c r="H327" t="n">
        <v>0</v>
      </c>
      <c r="I327" t="n">
        <v>0</v>
      </c>
      <c r="J327" t="n">
        <v>0</v>
      </c>
      <c r="K327" t="n">
        <v>0</v>
      </c>
      <c r="L327" t="n">
        <v>0</v>
      </c>
      <c r="M327" t="n">
        <v>0</v>
      </c>
      <c r="N327" t="n">
        <v>0</v>
      </c>
      <c r="O327" t="n">
        <v>0</v>
      </c>
      <c r="P327" t="n">
        <v>0</v>
      </c>
      <c r="Q327" t="n">
        <v>0</v>
      </c>
      <c r="R327" s="2" t="inlineStr"/>
    </row>
    <row r="328" ht="15" customHeight="1">
      <c r="A328" t="inlineStr">
        <is>
          <t>A 39744-2025</t>
        </is>
      </c>
      <c r="B328" s="1" t="n">
        <v>45891.38489583333</v>
      </c>
      <c r="C328" s="1" t="n">
        <v>46049</v>
      </c>
      <c r="D328" t="inlineStr">
        <is>
          <t>JÄMTLANDS LÄN</t>
        </is>
      </c>
      <c r="E328" t="inlineStr">
        <is>
          <t>ÅRE</t>
        </is>
      </c>
      <c r="F328" t="inlineStr">
        <is>
          <t>Övriga statliga verk och myndigheter</t>
        </is>
      </c>
      <c r="G328" t="n">
        <v>14.4</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46049</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44889-2023</t>
        </is>
      </c>
      <c r="B330" s="1" t="n">
        <v>45190</v>
      </c>
      <c r="C330" s="1" t="n">
        <v>46049</v>
      </c>
      <c r="D330" t="inlineStr">
        <is>
          <t>JÄMTLANDS LÄN</t>
        </is>
      </c>
      <c r="E330" t="inlineStr">
        <is>
          <t>ÅRE</t>
        </is>
      </c>
      <c r="G330" t="n">
        <v>1.3</v>
      </c>
      <c r="H330" t="n">
        <v>0</v>
      </c>
      <c r="I330" t="n">
        <v>0</v>
      </c>
      <c r="J330" t="n">
        <v>0</v>
      </c>
      <c r="K330" t="n">
        <v>0</v>
      </c>
      <c r="L330" t="n">
        <v>0</v>
      </c>
      <c r="M330" t="n">
        <v>0</v>
      </c>
      <c r="N330" t="n">
        <v>0</v>
      </c>
      <c r="O330" t="n">
        <v>0</v>
      </c>
      <c r="P330" t="n">
        <v>0</v>
      </c>
      <c r="Q330" t="n">
        <v>0</v>
      </c>
      <c r="R330" s="2" t="inlineStr"/>
    </row>
    <row r="331" ht="15" customHeight="1">
      <c r="A331" t="inlineStr">
        <is>
          <t>A 45796-2025</t>
        </is>
      </c>
      <c r="B331" s="1" t="n">
        <v>45923.57418981481</v>
      </c>
      <c r="C331" s="1" t="n">
        <v>46049</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13221-2022</t>
        </is>
      </c>
      <c r="B332" s="1" t="n">
        <v>44644</v>
      </c>
      <c r="C332" s="1" t="n">
        <v>46049</v>
      </c>
      <c r="D332" t="inlineStr">
        <is>
          <t>JÄMTLANDS LÄN</t>
        </is>
      </c>
      <c r="E332" t="inlineStr">
        <is>
          <t>ÅRE</t>
        </is>
      </c>
      <c r="F332" t="inlineStr">
        <is>
          <t>Övriga Aktiebolag</t>
        </is>
      </c>
      <c r="G332" t="n">
        <v>6.6</v>
      </c>
      <c r="H332" t="n">
        <v>0</v>
      </c>
      <c r="I332" t="n">
        <v>0</v>
      </c>
      <c r="J332" t="n">
        <v>0</v>
      </c>
      <c r="K332" t="n">
        <v>0</v>
      </c>
      <c r="L332" t="n">
        <v>0</v>
      </c>
      <c r="M332" t="n">
        <v>0</v>
      </c>
      <c r="N332" t="n">
        <v>0</v>
      </c>
      <c r="O332" t="n">
        <v>0</v>
      </c>
      <c r="P332" t="n">
        <v>0</v>
      </c>
      <c r="Q332" t="n">
        <v>0</v>
      </c>
      <c r="R332" s="2" t="inlineStr"/>
    </row>
    <row r="333" ht="15" customHeight="1">
      <c r="A333" t="inlineStr">
        <is>
          <t>A 8294-2021</t>
        </is>
      </c>
      <c r="B333" s="1" t="n">
        <v>44243</v>
      </c>
      <c r="C333" s="1" t="n">
        <v>46049</v>
      </c>
      <c r="D333" t="inlineStr">
        <is>
          <t>JÄMTLANDS LÄN</t>
        </is>
      </c>
      <c r="E333" t="inlineStr">
        <is>
          <t>ÅRE</t>
        </is>
      </c>
      <c r="G333" t="n">
        <v>16.5</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46049</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27390-2021</t>
        </is>
      </c>
      <c r="B335" s="1" t="n">
        <v>44351</v>
      </c>
      <c r="C335" s="1" t="n">
        <v>46049</v>
      </c>
      <c r="D335" t="inlineStr">
        <is>
          <t>JÄMTLANDS LÄN</t>
        </is>
      </c>
      <c r="E335" t="inlineStr">
        <is>
          <t>ÅRE</t>
        </is>
      </c>
      <c r="G335" t="n">
        <v>14.9</v>
      </c>
      <c r="H335" t="n">
        <v>0</v>
      </c>
      <c r="I335" t="n">
        <v>0</v>
      </c>
      <c r="J335" t="n">
        <v>0</v>
      </c>
      <c r="K335" t="n">
        <v>0</v>
      </c>
      <c r="L335" t="n">
        <v>0</v>
      </c>
      <c r="M335" t="n">
        <v>0</v>
      </c>
      <c r="N335" t="n">
        <v>0</v>
      </c>
      <c r="O335" t="n">
        <v>0</v>
      </c>
      <c r="P335" t="n">
        <v>0</v>
      </c>
      <c r="Q335" t="n">
        <v>0</v>
      </c>
      <c r="R335" s="2" t="inlineStr"/>
    </row>
    <row r="336" ht="15" customHeight="1">
      <c r="A336" t="inlineStr">
        <is>
          <t>A 23651-2025</t>
        </is>
      </c>
      <c r="B336" s="1" t="n">
        <v>45792</v>
      </c>
      <c r="C336" s="1" t="n">
        <v>46049</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39509-2025</t>
        </is>
      </c>
      <c r="B337" s="1" t="n">
        <v>45890.40737268519</v>
      </c>
      <c r="C337" s="1" t="n">
        <v>46049</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12193-2023</t>
        </is>
      </c>
      <c r="B338" s="1" t="n">
        <v>44998</v>
      </c>
      <c r="C338" s="1" t="n">
        <v>46049</v>
      </c>
      <c r="D338" t="inlineStr">
        <is>
          <t>JÄMTLANDS LÄN</t>
        </is>
      </c>
      <c r="E338" t="inlineStr">
        <is>
          <t>ÅRE</t>
        </is>
      </c>
      <c r="G338" t="n">
        <v>14.7</v>
      </c>
      <c r="H338" t="n">
        <v>0</v>
      </c>
      <c r="I338" t="n">
        <v>0</v>
      </c>
      <c r="J338" t="n">
        <v>0</v>
      </c>
      <c r="K338" t="n">
        <v>0</v>
      </c>
      <c r="L338" t="n">
        <v>0</v>
      </c>
      <c r="M338" t="n">
        <v>0</v>
      </c>
      <c r="N338" t="n">
        <v>0</v>
      </c>
      <c r="O338" t="n">
        <v>0</v>
      </c>
      <c r="P338" t="n">
        <v>0</v>
      </c>
      <c r="Q338" t="n">
        <v>0</v>
      </c>
      <c r="R338" s="2" t="inlineStr"/>
    </row>
    <row r="339" ht="15" customHeight="1">
      <c r="A339" t="inlineStr">
        <is>
          <t>A 17566-2023</t>
        </is>
      </c>
      <c r="B339" s="1" t="n">
        <v>45034</v>
      </c>
      <c r="C339" s="1" t="n">
        <v>46049</v>
      </c>
      <c r="D339" t="inlineStr">
        <is>
          <t>JÄMTLANDS LÄN</t>
        </is>
      </c>
      <c r="E339" t="inlineStr">
        <is>
          <t>ÅRE</t>
        </is>
      </c>
      <c r="G339" t="n">
        <v>4.8</v>
      </c>
      <c r="H339" t="n">
        <v>0</v>
      </c>
      <c r="I339" t="n">
        <v>0</v>
      </c>
      <c r="J339" t="n">
        <v>0</v>
      </c>
      <c r="K339" t="n">
        <v>0</v>
      </c>
      <c r="L339" t="n">
        <v>0</v>
      </c>
      <c r="M339" t="n">
        <v>0</v>
      </c>
      <c r="N339" t="n">
        <v>0</v>
      </c>
      <c r="O339" t="n">
        <v>0</v>
      </c>
      <c r="P339" t="n">
        <v>0</v>
      </c>
      <c r="Q339" t="n">
        <v>0</v>
      </c>
      <c r="R339" s="2" t="inlineStr"/>
    </row>
    <row r="340" ht="15" customHeight="1">
      <c r="A340" t="inlineStr">
        <is>
          <t>A 55129-2025</t>
        </is>
      </c>
      <c r="B340" s="1" t="n">
        <v>45968.41502314815</v>
      </c>
      <c r="C340" s="1" t="n">
        <v>46049</v>
      </c>
      <c r="D340" t="inlineStr">
        <is>
          <t>JÄMTLANDS LÄN</t>
        </is>
      </c>
      <c r="E340" t="inlineStr">
        <is>
          <t>ÅRE</t>
        </is>
      </c>
      <c r="F340" t="inlineStr">
        <is>
          <t>Övriga Aktiebolag</t>
        </is>
      </c>
      <c r="G340" t="n">
        <v>103.3</v>
      </c>
      <c r="H340" t="n">
        <v>0</v>
      </c>
      <c r="I340" t="n">
        <v>0</v>
      </c>
      <c r="J340" t="n">
        <v>0</v>
      </c>
      <c r="K340" t="n">
        <v>0</v>
      </c>
      <c r="L340" t="n">
        <v>0</v>
      </c>
      <c r="M340" t="n">
        <v>0</v>
      </c>
      <c r="N340" t="n">
        <v>0</v>
      </c>
      <c r="O340" t="n">
        <v>0</v>
      </c>
      <c r="P340" t="n">
        <v>0</v>
      </c>
      <c r="Q340" t="n">
        <v>0</v>
      </c>
      <c r="R340" s="2" t="inlineStr"/>
    </row>
    <row r="341" ht="15" customHeight="1">
      <c r="A341" t="inlineStr">
        <is>
          <t>A 36015-2025</t>
        </is>
      </c>
      <c r="B341" s="1" t="n">
        <v>45863.61373842593</v>
      </c>
      <c r="C341" s="1" t="n">
        <v>46049</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36013-2025</t>
        </is>
      </c>
      <c r="B342" s="1" t="n">
        <v>45863.60643518518</v>
      </c>
      <c r="C342" s="1" t="n">
        <v>46049</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61014-2024</t>
        </is>
      </c>
      <c r="B343" s="1" t="n">
        <v>45645.449375</v>
      </c>
      <c r="C343" s="1" t="n">
        <v>46049</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20485-2024</t>
        </is>
      </c>
      <c r="B344" s="1" t="n">
        <v>45435.7403125</v>
      </c>
      <c r="C344" s="1" t="n">
        <v>46049</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42876-2025</t>
        </is>
      </c>
      <c r="B345" s="1" t="n">
        <v>45908</v>
      </c>
      <c r="C345" s="1" t="n">
        <v>46049</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37739-2023</t>
        </is>
      </c>
      <c r="B346" s="1" t="n">
        <v>45159</v>
      </c>
      <c r="C346" s="1" t="n">
        <v>46049</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37758-2023</t>
        </is>
      </c>
      <c r="B347" s="1" t="n">
        <v>45159</v>
      </c>
      <c r="C347" s="1" t="n">
        <v>46049</v>
      </c>
      <c r="D347" t="inlineStr">
        <is>
          <t>JÄMTLANDS LÄN</t>
        </is>
      </c>
      <c r="E347" t="inlineStr">
        <is>
          <t>ÅRE</t>
        </is>
      </c>
      <c r="G347" t="n">
        <v>20.1</v>
      </c>
      <c r="H347" t="n">
        <v>0</v>
      </c>
      <c r="I347" t="n">
        <v>0</v>
      </c>
      <c r="J347" t="n">
        <v>0</v>
      </c>
      <c r="K347" t="n">
        <v>0</v>
      </c>
      <c r="L347" t="n">
        <v>0</v>
      </c>
      <c r="M347" t="n">
        <v>0</v>
      </c>
      <c r="N347" t="n">
        <v>0</v>
      </c>
      <c r="O347" t="n">
        <v>0</v>
      </c>
      <c r="P347" t="n">
        <v>0</v>
      </c>
      <c r="Q347" t="n">
        <v>0</v>
      </c>
      <c r="R347" s="2" t="inlineStr"/>
    </row>
    <row r="348" ht="15" customHeight="1">
      <c r="A348" t="inlineStr">
        <is>
          <t>A 23561-2021</t>
        </is>
      </c>
      <c r="B348" s="1" t="n">
        <v>44334</v>
      </c>
      <c r="C348" s="1" t="n">
        <v>46049</v>
      </c>
      <c r="D348" t="inlineStr">
        <is>
          <t>JÄMTLANDS LÄN</t>
        </is>
      </c>
      <c r="E348" t="inlineStr">
        <is>
          <t>ÅRE</t>
        </is>
      </c>
      <c r="G348" t="n">
        <v>8.5</v>
      </c>
      <c r="H348" t="n">
        <v>0</v>
      </c>
      <c r="I348" t="n">
        <v>0</v>
      </c>
      <c r="J348" t="n">
        <v>0</v>
      </c>
      <c r="K348" t="n">
        <v>0</v>
      </c>
      <c r="L348" t="n">
        <v>0</v>
      </c>
      <c r="M348" t="n">
        <v>0</v>
      </c>
      <c r="N348" t="n">
        <v>0</v>
      </c>
      <c r="O348" t="n">
        <v>0</v>
      </c>
      <c r="P348" t="n">
        <v>0</v>
      </c>
      <c r="Q348" t="n">
        <v>0</v>
      </c>
      <c r="R348" s="2" t="inlineStr"/>
    </row>
    <row r="349" ht="15" customHeight="1">
      <c r="A349" t="inlineStr">
        <is>
          <t>A 34931-2025</t>
        </is>
      </c>
      <c r="B349" s="1" t="n">
        <v>45849</v>
      </c>
      <c r="C349" s="1" t="n">
        <v>46049</v>
      </c>
      <c r="D349" t="inlineStr">
        <is>
          <t>JÄMTLANDS LÄN</t>
        </is>
      </c>
      <c r="E349" t="inlineStr">
        <is>
          <t>ÅRE</t>
        </is>
      </c>
      <c r="G349" t="n">
        <v>1.4</v>
      </c>
      <c r="H349" t="n">
        <v>0</v>
      </c>
      <c r="I349" t="n">
        <v>0</v>
      </c>
      <c r="J349" t="n">
        <v>0</v>
      </c>
      <c r="K349" t="n">
        <v>0</v>
      </c>
      <c r="L349" t="n">
        <v>0</v>
      </c>
      <c r="M349" t="n">
        <v>0</v>
      </c>
      <c r="N349" t="n">
        <v>0</v>
      </c>
      <c r="O349" t="n">
        <v>0</v>
      </c>
      <c r="P349" t="n">
        <v>0</v>
      </c>
      <c r="Q349" t="n">
        <v>0</v>
      </c>
      <c r="R349" s="2" t="inlineStr"/>
    </row>
    <row r="350" ht="15" customHeight="1">
      <c r="A350" t="inlineStr">
        <is>
          <t>A 12168-2023</t>
        </is>
      </c>
      <c r="B350" s="1" t="n">
        <v>44998</v>
      </c>
      <c r="C350" s="1" t="n">
        <v>46049</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12173-2023</t>
        </is>
      </c>
      <c r="B351" s="1" t="n">
        <v>44998</v>
      </c>
      <c r="C351" s="1" t="n">
        <v>46049</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48211-2025</t>
        </is>
      </c>
      <c r="B352" s="1" t="n">
        <v>45931</v>
      </c>
      <c r="C352" s="1" t="n">
        <v>46049</v>
      </c>
      <c r="D352" t="inlineStr">
        <is>
          <t>JÄMTLANDS LÄN</t>
        </is>
      </c>
      <c r="E352" t="inlineStr">
        <is>
          <t>ÅRE</t>
        </is>
      </c>
      <c r="G352" t="n">
        <v>6.6</v>
      </c>
      <c r="H352" t="n">
        <v>0</v>
      </c>
      <c r="I352" t="n">
        <v>0</v>
      </c>
      <c r="J352" t="n">
        <v>0</v>
      </c>
      <c r="K352" t="n">
        <v>0</v>
      </c>
      <c r="L352" t="n">
        <v>0</v>
      </c>
      <c r="M352" t="n">
        <v>0</v>
      </c>
      <c r="N352" t="n">
        <v>0</v>
      </c>
      <c r="O352" t="n">
        <v>0</v>
      </c>
      <c r="P352" t="n">
        <v>0</v>
      </c>
      <c r="Q352" t="n">
        <v>0</v>
      </c>
      <c r="R352" s="2" t="inlineStr"/>
    </row>
    <row r="353" ht="15" customHeight="1">
      <c r="A353" t="inlineStr">
        <is>
          <t>A 33379-2024</t>
        </is>
      </c>
      <c r="B353" s="1" t="n">
        <v>45519.4495949074</v>
      </c>
      <c r="C353" s="1" t="n">
        <v>46049</v>
      </c>
      <c r="D353" t="inlineStr">
        <is>
          <t>JÄMTLANDS LÄN</t>
        </is>
      </c>
      <c r="E353" t="inlineStr">
        <is>
          <t>ÅRE</t>
        </is>
      </c>
      <c r="G353" t="n">
        <v>1.5</v>
      </c>
      <c r="H353" t="n">
        <v>0</v>
      </c>
      <c r="I353" t="n">
        <v>0</v>
      </c>
      <c r="J353" t="n">
        <v>0</v>
      </c>
      <c r="K353" t="n">
        <v>0</v>
      </c>
      <c r="L353" t="n">
        <v>0</v>
      </c>
      <c r="M353" t="n">
        <v>0</v>
      </c>
      <c r="N353" t="n">
        <v>0</v>
      </c>
      <c r="O353" t="n">
        <v>0</v>
      </c>
      <c r="P353" t="n">
        <v>0</v>
      </c>
      <c r="Q353" t="n">
        <v>0</v>
      </c>
      <c r="R353" s="2" t="inlineStr"/>
    </row>
    <row r="354" ht="15" customHeight="1">
      <c r="A354" t="inlineStr">
        <is>
          <t>A 36975-2025</t>
        </is>
      </c>
      <c r="B354" s="1" t="n">
        <v>45874.63773148148</v>
      </c>
      <c r="C354" s="1" t="n">
        <v>46049</v>
      </c>
      <c r="D354" t="inlineStr">
        <is>
          <t>JÄMTLANDS LÄN</t>
        </is>
      </c>
      <c r="E354" t="inlineStr">
        <is>
          <t>ÅRE</t>
        </is>
      </c>
      <c r="F354" t="inlineStr">
        <is>
          <t>Övriga Aktiebolag</t>
        </is>
      </c>
      <c r="G354" t="n">
        <v>3.2</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46049</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30081-2024</t>
        </is>
      </c>
      <c r="B356" s="1" t="n">
        <v>45485</v>
      </c>
      <c r="C356" s="1" t="n">
        <v>46049</v>
      </c>
      <c r="D356" t="inlineStr">
        <is>
          <t>JÄMTLANDS LÄN</t>
        </is>
      </c>
      <c r="E356" t="inlineStr">
        <is>
          <t>ÅRE</t>
        </is>
      </c>
      <c r="G356" t="n">
        <v>17.8</v>
      </c>
      <c r="H356" t="n">
        <v>0</v>
      </c>
      <c r="I356" t="n">
        <v>0</v>
      </c>
      <c r="J356" t="n">
        <v>0</v>
      </c>
      <c r="K356" t="n">
        <v>0</v>
      </c>
      <c r="L356" t="n">
        <v>0</v>
      </c>
      <c r="M356" t="n">
        <v>0</v>
      </c>
      <c r="N356" t="n">
        <v>0</v>
      </c>
      <c r="O356" t="n">
        <v>0</v>
      </c>
      <c r="P356" t="n">
        <v>0</v>
      </c>
      <c r="Q356" t="n">
        <v>0</v>
      </c>
      <c r="R356" s="2" t="inlineStr"/>
    </row>
    <row r="357" ht="15" customHeight="1">
      <c r="A357" t="inlineStr">
        <is>
          <t>A 22602-2025</t>
        </is>
      </c>
      <c r="B357" s="1" t="n">
        <v>45786</v>
      </c>
      <c r="C357" s="1" t="n">
        <v>46049</v>
      </c>
      <c r="D357" t="inlineStr">
        <is>
          <t>JÄMTLANDS LÄN</t>
        </is>
      </c>
      <c r="E357" t="inlineStr">
        <is>
          <t>ÅRE</t>
        </is>
      </c>
      <c r="G357" t="n">
        <v>13.1</v>
      </c>
      <c r="H357" t="n">
        <v>0</v>
      </c>
      <c r="I357" t="n">
        <v>0</v>
      </c>
      <c r="J357" t="n">
        <v>0</v>
      </c>
      <c r="K357" t="n">
        <v>0</v>
      </c>
      <c r="L357" t="n">
        <v>0</v>
      </c>
      <c r="M357" t="n">
        <v>0</v>
      </c>
      <c r="N357" t="n">
        <v>0</v>
      </c>
      <c r="O357" t="n">
        <v>0</v>
      </c>
      <c r="P357" t="n">
        <v>0</v>
      </c>
      <c r="Q357" t="n">
        <v>0</v>
      </c>
      <c r="R357" s="2" t="inlineStr"/>
    </row>
    <row r="358" ht="15" customHeight="1">
      <c r="A358" t="inlineStr">
        <is>
          <t>A 22603-2025</t>
        </is>
      </c>
      <c r="B358" s="1" t="n">
        <v>45786</v>
      </c>
      <c r="C358" s="1" t="n">
        <v>46049</v>
      </c>
      <c r="D358" t="inlineStr">
        <is>
          <t>JÄMTLANDS LÄN</t>
        </is>
      </c>
      <c r="E358" t="inlineStr">
        <is>
          <t>ÅRE</t>
        </is>
      </c>
      <c r="G358" t="n">
        <v>1.4</v>
      </c>
      <c r="H358" t="n">
        <v>0</v>
      </c>
      <c r="I358" t="n">
        <v>0</v>
      </c>
      <c r="J358" t="n">
        <v>0</v>
      </c>
      <c r="K358" t="n">
        <v>0</v>
      </c>
      <c r="L358" t="n">
        <v>0</v>
      </c>
      <c r="M358" t="n">
        <v>0</v>
      </c>
      <c r="N358" t="n">
        <v>0</v>
      </c>
      <c r="O358" t="n">
        <v>0</v>
      </c>
      <c r="P358" t="n">
        <v>0</v>
      </c>
      <c r="Q358" t="n">
        <v>0</v>
      </c>
      <c r="R358" s="2" t="inlineStr"/>
    </row>
    <row r="359" ht="15" customHeight="1">
      <c r="A359" t="inlineStr">
        <is>
          <t>A 37178-2025</t>
        </is>
      </c>
      <c r="B359" s="1" t="n">
        <v>45875</v>
      </c>
      <c r="C359" s="1" t="n">
        <v>46049</v>
      </c>
      <c r="D359" t="inlineStr">
        <is>
          <t>JÄMTLANDS LÄN</t>
        </is>
      </c>
      <c r="E359" t="inlineStr">
        <is>
          <t>ÅRE</t>
        </is>
      </c>
      <c r="G359" t="n">
        <v>5</v>
      </c>
      <c r="H359" t="n">
        <v>0</v>
      </c>
      <c r="I359" t="n">
        <v>0</v>
      </c>
      <c r="J359" t="n">
        <v>0</v>
      </c>
      <c r="K359" t="n">
        <v>0</v>
      </c>
      <c r="L359" t="n">
        <v>0</v>
      </c>
      <c r="M359" t="n">
        <v>0</v>
      </c>
      <c r="N359" t="n">
        <v>0</v>
      </c>
      <c r="O359" t="n">
        <v>0</v>
      </c>
      <c r="P359" t="n">
        <v>0</v>
      </c>
      <c r="Q359" t="n">
        <v>0</v>
      </c>
      <c r="R359" s="2" t="inlineStr"/>
    </row>
    <row r="360" ht="15" customHeight="1">
      <c r="A360" t="inlineStr">
        <is>
          <t>A 30080-2024</t>
        </is>
      </c>
      <c r="B360" s="1" t="n">
        <v>45485</v>
      </c>
      <c r="C360" s="1" t="n">
        <v>46049</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49303-2024</t>
        </is>
      </c>
      <c r="B361" s="1" t="n">
        <v>45595</v>
      </c>
      <c r="C361" s="1" t="n">
        <v>46049</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24655-2023</t>
        </is>
      </c>
      <c r="B362" s="1" t="n">
        <v>45084.47790509259</v>
      </c>
      <c r="C362" s="1" t="n">
        <v>46049</v>
      </c>
      <c r="D362" t="inlineStr">
        <is>
          <t>JÄMTLANDS LÄN</t>
        </is>
      </c>
      <c r="E362" t="inlineStr">
        <is>
          <t>ÅRE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41273-2025</t>
        </is>
      </c>
      <c r="B363" s="1" t="n">
        <v>45898</v>
      </c>
      <c r="C363" s="1" t="n">
        <v>46049</v>
      </c>
      <c r="D363" t="inlineStr">
        <is>
          <t>JÄMTLANDS LÄN</t>
        </is>
      </c>
      <c r="E363" t="inlineStr">
        <is>
          <t>ÅRE</t>
        </is>
      </c>
      <c r="F363" t="inlineStr">
        <is>
          <t>Övriga Aktiebolag</t>
        </is>
      </c>
      <c r="G363" t="n">
        <v>3.1</v>
      </c>
      <c r="H363" t="n">
        <v>0</v>
      </c>
      <c r="I363" t="n">
        <v>0</v>
      </c>
      <c r="J363" t="n">
        <v>0</v>
      </c>
      <c r="K363" t="n">
        <v>0</v>
      </c>
      <c r="L363" t="n">
        <v>0</v>
      </c>
      <c r="M363" t="n">
        <v>0</v>
      </c>
      <c r="N363" t="n">
        <v>0</v>
      </c>
      <c r="O363" t="n">
        <v>0</v>
      </c>
      <c r="P363" t="n">
        <v>0</v>
      </c>
      <c r="Q363" t="n">
        <v>0</v>
      </c>
      <c r="R363" s="2" t="inlineStr"/>
    </row>
    <row r="364" ht="15" customHeight="1">
      <c r="A364" t="inlineStr">
        <is>
          <t>A 12669-2023</t>
        </is>
      </c>
      <c r="B364" s="1" t="n">
        <v>45000</v>
      </c>
      <c r="C364" s="1" t="n">
        <v>46049</v>
      </c>
      <c r="D364" t="inlineStr">
        <is>
          <t>JÄMTLANDS LÄN</t>
        </is>
      </c>
      <c r="E364" t="inlineStr">
        <is>
          <t>ÅRE</t>
        </is>
      </c>
      <c r="F364" t="inlineStr">
        <is>
          <t>Övriga Aktiebolag</t>
        </is>
      </c>
      <c r="G364" t="n">
        <v>2.8</v>
      </c>
      <c r="H364" t="n">
        <v>0</v>
      </c>
      <c r="I364" t="n">
        <v>0</v>
      </c>
      <c r="J364" t="n">
        <v>0</v>
      </c>
      <c r="K364" t="n">
        <v>0</v>
      </c>
      <c r="L364" t="n">
        <v>0</v>
      </c>
      <c r="M364" t="n">
        <v>0</v>
      </c>
      <c r="N364" t="n">
        <v>0</v>
      </c>
      <c r="O364" t="n">
        <v>0</v>
      </c>
      <c r="P364" t="n">
        <v>0</v>
      </c>
      <c r="Q364" t="n">
        <v>0</v>
      </c>
      <c r="R364" s="2" t="inlineStr"/>
    </row>
    <row r="365" ht="15" customHeight="1">
      <c r="A365" t="inlineStr">
        <is>
          <t>A 25379-2024</t>
        </is>
      </c>
      <c r="B365" s="1" t="n">
        <v>45462</v>
      </c>
      <c r="C365" s="1" t="n">
        <v>46049</v>
      </c>
      <c r="D365" t="inlineStr">
        <is>
          <t>JÄMTLANDS LÄN</t>
        </is>
      </c>
      <c r="E365" t="inlineStr">
        <is>
          <t>ÅRE</t>
        </is>
      </c>
      <c r="G365" t="n">
        <v>4.5</v>
      </c>
      <c r="H365" t="n">
        <v>0</v>
      </c>
      <c r="I365" t="n">
        <v>0</v>
      </c>
      <c r="J365" t="n">
        <v>0</v>
      </c>
      <c r="K365" t="n">
        <v>0</v>
      </c>
      <c r="L365" t="n">
        <v>0</v>
      </c>
      <c r="M365" t="n">
        <v>0</v>
      </c>
      <c r="N365" t="n">
        <v>0</v>
      </c>
      <c r="O365" t="n">
        <v>0</v>
      </c>
      <c r="P365" t="n">
        <v>0</v>
      </c>
      <c r="Q365" t="n">
        <v>0</v>
      </c>
      <c r="R365" s="2" t="inlineStr"/>
    </row>
    <row r="366" ht="15" customHeight="1">
      <c r="A366" t="inlineStr">
        <is>
          <t>A 27630-2025</t>
        </is>
      </c>
      <c r="B366" s="1" t="n">
        <v>45813</v>
      </c>
      <c r="C366" s="1" t="n">
        <v>46049</v>
      </c>
      <c r="D366" t="inlineStr">
        <is>
          <t>JÄMTLANDS LÄN</t>
        </is>
      </c>
      <c r="E366" t="inlineStr">
        <is>
          <t>ÅRE</t>
        </is>
      </c>
      <c r="G366" t="n">
        <v>8.4</v>
      </c>
      <c r="H366" t="n">
        <v>0</v>
      </c>
      <c r="I366" t="n">
        <v>0</v>
      </c>
      <c r="J366" t="n">
        <v>0</v>
      </c>
      <c r="K366" t="n">
        <v>0</v>
      </c>
      <c r="L366" t="n">
        <v>0</v>
      </c>
      <c r="M366" t="n">
        <v>0</v>
      </c>
      <c r="N366" t="n">
        <v>0</v>
      </c>
      <c r="O366" t="n">
        <v>0</v>
      </c>
      <c r="P366" t="n">
        <v>0</v>
      </c>
      <c r="Q366" t="n">
        <v>0</v>
      </c>
      <c r="R366" s="2" t="inlineStr"/>
    </row>
    <row r="367" ht="15" customHeight="1">
      <c r="A367" t="inlineStr">
        <is>
          <t>A 37249-2025</t>
        </is>
      </c>
      <c r="B367" s="1" t="n">
        <v>45876.40699074074</v>
      </c>
      <c r="C367" s="1" t="n">
        <v>46049</v>
      </c>
      <c r="D367" t="inlineStr">
        <is>
          <t>JÄMTLANDS LÄN</t>
        </is>
      </c>
      <c r="E367" t="inlineStr">
        <is>
          <t>ÅRE</t>
        </is>
      </c>
      <c r="G367" t="n">
        <v>1.9</v>
      </c>
      <c r="H367" t="n">
        <v>0</v>
      </c>
      <c r="I367" t="n">
        <v>0</v>
      </c>
      <c r="J367" t="n">
        <v>0</v>
      </c>
      <c r="K367" t="n">
        <v>0</v>
      </c>
      <c r="L367" t="n">
        <v>0</v>
      </c>
      <c r="M367" t="n">
        <v>0</v>
      </c>
      <c r="N367" t="n">
        <v>0</v>
      </c>
      <c r="O367" t="n">
        <v>0</v>
      </c>
      <c r="P367" t="n">
        <v>0</v>
      </c>
      <c r="Q367" t="n">
        <v>0</v>
      </c>
      <c r="R367" s="2" t="inlineStr"/>
    </row>
    <row r="368" ht="15" customHeight="1">
      <c r="A368" t="inlineStr">
        <is>
          <t>A 37158-2025</t>
        </is>
      </c>
      <c r="B368" s="1" t="n">
        <v>45875</v>
      </c>
      <c r="C368" s="1" t="n">
        <v>46049</v>
      </c>
      <c r="D368" t="inlineStr">
        <is>
          <t>JÄMTLANDS LÄN</t>
        </is>
      </c>
      <c r="E368" t="inlineStr">
        <is>
          <t>ÅRE</t>
        </is>
      </c>
      <c r="G368" t="n">
        <v>4.7</v>
      </c>
      <c r="H368" t="n">
        <v>0</v>
      </c>
      <c r="I368" t="n">
        <v>0</v>
      </c>
      <c r="J368" t="n">
        <v>0</v>
      </c>
      <c r="K368" t="n">
        <v>0</v>
      </c>
      <c r="L368" t="n">
        <v>0</v>
      </c>
      <c r="M368" t="n">
        <v>0</v>
      </c>
      <c r="N368" t="n">
        <v>0</v>
      </c>
      <c r="O368" t="n">
        <v>0</v>
      </c>
      <c r="P368" t="n">
        <v>0</v>
      </c>
      <c r="Q368" t="n">
        <v>0</v>
      </c>
      <c r="R368" s="2" t="inlineStr"/>
    </row>
    <row r="369" ht="15" customHeight="1">
      <c r="A369" t="inlineStr">
        <is>
          <t>A 37118-2025</t>
        </is>
      </c>
      <c r="B369" s="1" t="n">
        <v>45875</v>
      </c>
      <c r="C369" s="1" t="n">
        <v>46049</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48571-2025</t>
        </is>
      </c>
      <c r="B370" s="1" t="n">
        <v>45936.44934027778</v>
      </c>
      <c r="C370" s="1" t="n">
        <v>46049</v>
      </c>
      <c r="D370" t="inlineStr">
        <is>
          <t>JÄMTLANDS LÄN</t>
        </is>
      </c>
      <c r="E370" t="inlineStr">
        <is>
          <t>ÅRE</t>
        </is>
      </c>
      <c r="G370" t="n">
        <v>5.2</v>
      </c>
      <c r="H370" t="n">
        <v>0</v>
      </c>
      <c r="I370" t="n">
        <v>0</v>
      </c>
      <c r="J370" t="n">
        <v>0</v>
      </c>
      <c r="K370" t="n">
        <v>0</v>
      </c>
      <c r="L370" t="n">
        <v>0</v>
      </c>
      <c r="M370" t="n">
        <v>0</v>
      </c>
      <c r="N370" t="n">
        <v>0</v>
      </c>
      <c r="O370" t="n">
        <v>0</v>
      </c>
      <c r="P370" t="n">
        <v>0</v>
      </c>
      <c r="Q370" t="n">
        <v>0</v>
      </c>
      <c r="R370" s="2" t="inlineStr"/>
    </row>
    <row r="371" ht="15" customHeight="1">
      <c r="A371" t="inlineStr">
        <is>
          <t>A 37159-2025</t>
        </is>
      </c>
      <c r="B371" s="1" t="n">
        <v>45875</v>
      </c>
      <c r="C371" s="1" t="n">
        <v>46049</v>
      </c>
      <c r="D371" t="inlineStr">
        <is>
          <t>JÄMTLANDS LÄN</t>
        </is>
      </c>
      <c r="E371" t="inlineStr">
        <is>
          <t>ÅRE</t>
        </is>
      </c>
      <c r="G371" t="n">
        <v>0.3</v>
      </c>
      <c r="H371" t="n">
        <v>0</v>
      </c>
      <c r="I371" t="n">
        <v>0</v>
      </c>
      <c r="J371" t="n">
        <v>0</v>
      </c>
      <c r="K371" t="n">
        <v>0</v>
      </c>
      <c r="L371" t="n">
        <v>0</v>
      </c>
      <c r="M371" t="n">
        <v>0</v>
      </c>
      <c r="N371" t="n">
        <v>0</v>
      </c>
      <c r="O371" t="n">
        <v>0</v>
      </c>
      <c r="P371" t="n">
        <v>0</v>
      </c>
      <c r="Q371" t="n">
        <v>0</v>
      </c>
      <c r="R371" s="2" t="inlineStr"/>
    </row>
    <row r="372" ht="15" customHeight="1">
      <c r="A372" t="inlineStr">
        <is>
          <t>A 46457-2025</t>
        </is>
      </c>
      <c r="B372" s="1" t="n">
        <v>45925.66126157407</v>
      </c>
      <c r="C372" s="1" t="n">
        <v>46049</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48178-2025</t>
        </is>
      </c>
      <c r="B373" s="1" t="n">
        <v>45933.44865740741</v>
      </c>
      <c r="C373" s="1" t="n">
        <v>46049</v>
      </c>
      <c r="D373" t="inlineStr">
        <is>
          <t>JÄMTLANDS LÄN</t>
        </is>
      </c>
      <c r="E373" t="inlineStr">
        <is>
          <t>ÅRE</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45378-2025</t>
        </is>
      </c>
      <c r="B374" s="1" t="n">
        <v>45922.39506944444</v>
      </c>
      <c r="C374" s="1" t="n">
        <v>46049</v>
      </c>
      <c r="D374" t="inlineStr">
        <is>
          <t>JÄMTLANDS LÄN</t>
        </is>
      </c>
      <c r="E374" t="inlineStr">
        <is>
          <t>ÅRE</t>
        </is>
      </c>
      <c r="G374" t="n">
        <v>15.7</v>
      </c>
      <c r="H374" t="n">
        <v>0</v>
      </c>
      <c r="I374" t="n">
        <v>0</v>
      </c>
      <c r="J374" t="n">
        <v>0</v>
      </c>
      <c r="K374" t="n">
        <v>0</v>
      </c>
      <c r="L374" t="n">
        <v>0</v>
      </c>
      <c r="M374" t="n">
        <v>0</v>
      </c>
      <c r="N374" t="n">
        <v>0</v>
      </c>
      <c r="O374" t="n">
        <v>0</v>
      </c>
      <c r="P374" t="n">
        <v>0</v>
      </c>
      <c r="Q374" t="n">
        <v>0</v>
      </c>
      <c r="R374" s="2" t="inlineStr"/>
    </row>
    <row r="375" ht="15" customHeight="1">
      <c r="A375" t="inlineStr">
        <is>
          <t>A 46452-2025</t>
        </is>
      </c>
      <c r="B375" s="1" t="n">
        <v>45925.65625</v>
      </c>
      <c r="C375" s="1" t="n">
        <v>46049</v>
      </c>
      <c r="D375" t="inlineStr">
        <is>
          <t>JÄMTLANDS LÄN</t>
        </is>
      </c>
      <c r="E375" t="inlineStr">
        <is>
          <t>ÅRE</t>
        </is>
      </c>
      <c r="G375" t="n">
        <v>7.2</v>
      </c>
      <c r="H375" t="n">
        <v>0</v>
      </c>
      <c r="I375" t="n">
        <v>0</v>
      </c>
      <c r="J375" t="n">
        <v>0</v>
      </c>
      <c r="K375" t="n">
        <v>0</v>
      </c>
      <c r="L375" t="n">
        <v>0</v>
      </c>
      <c r="M375" t="n">
        <v>0</v>
      </c>
      <c r="N375" t="n">
        <v>0</v>
      </c>
      <c r="O375" t="n">
        <v>0</v>
      </c>
      <c r="P375" t="n">
        <v>0</v>
      </c>
      <c r="Q375" t="n">
        <v>0</v>
      </c>
      <c r="R375" s="2" t="inlineStr"/>
    </row>
    <row r="376" ht="15" customHeight="1">
      <c r="A376" t="inlineStr">
        <is>
          <t>A 25710-2024</t>
        </is>
      </c>
      <c r="B376" s="1" t="n">
        <v>45463</v>
      </c>
      <c r="C376" s="1" t="n">
        <v>46049</v>
      </c>
      <c r="D376" t="inlineStr">
        <is>
          <t>JÄMTLANDS LÄN</t>
        </is>
      </c>
      <c r="E376" t="inlineStr">
        <is>
          <t>ÅRE</t>
        </is>
      </c>
      <c r="G376" t="n">
        <v>4.5</v>
      </c>
      <c r="H376" t="n">
        <v>0</v>
      </c>
      <c r="I376" t="n">
        <v>0</v>
      </c>
      <c r="J376" t="n">
        <v>0</v>
      </c>
      <c r="K376" t="n">
        <v>0</v>
      </c>
      <c r="L376" t="n">
        <v>0</v>
      </c>
      <c r="M376" t="n">
        <v>0</v>
      </c>
      <c r="N376" t="n">
        <v>0</v>
      </c>
      <c r="O376" t="n">
        <v>0</v>
      </c>
      <c r="P376" t="n">
        <v>0</v>
      </c>
      <c r="Q376" t="n">
        <v>0</v>
      </c>
      <c r="R376" s="2" t="inlineStr"/>
    </row>
    <row r="377" ht="15" customHeight="1">
      <c r="A377" t="inlineStr">
        <is>
          <t>A 13561-2025</t>
        </is>
      </c>
      <c r="B377" s="1" t="n">
        <v>45736.5587037037</v>
      </c>
      <c r="C377" s="1" t="n">
        <v>46049</v>
      </c>
      <c r="D377" t="inlineStr">
        <is>
          <t>JÄMTLANDS LÄN</t>
        </is>
      </c>
      <c r="E377" t="inlineStr">
        <is>
          <t>ÅRE</t>
        </is>
      </c>
      <c r="F377" t="inlineStr">
        <is>
          <t>Övriga statliga verk och myndigheter</t>
        </is>
      </c>
      <c r="G377" t="n">
        <v>3.8</v>
      </c>
      <c r="H377" t="n">
        <v>0</v>
      </c>
      <c r="I377" t="n">
        <v>0</v>
      </c>
      <c r="J377" t="n">
        <v>0</v>
      </c>
      <c r="K377" t="n">
        <v>0</v>
      </c>
      <c r="L377" t="n">
        <v>0</v>
      </c>
      <c r="M377" t="n">
        <v>0</v>
      </c>
      <c r="N377" t="n">
        <v>0</v>
      </c>
      <c r="O377" t="n">
        <v>0</v>
      </c>
      <c r="P377" t="n">
        <v>0</v>
      </c>
      <c r="Q377" t="n">
        <v>0</v>
      </c>
      <c r="R377" s="2" t="inlineStr"/>
    </row>
    <row r="378" ht="15" customHeight="1">
      <c r="A378" t="inlineStr">
        <is>
          <t>A 31388-2021</t>
        </is>
      </c>
      <c r="B378" s="1" t="n">
        <v>44369</v>
      </c>
      <c r="C378" s="1" t="n">
        <v>46049</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23805-2024</t>
        </is>
      </c>
      <c r="B379" s="1" t="n">
        <v>45455.44194444444</v>
      </c>
      <c r="C379" s="1" t="n">
        <v>46049</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46049</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57864-2024</t>
        </is>
      </c>
      <c r="B381" s="1" t="n">
        <v>45631.43578703704</v>
      </c>
      <c r="C381" s="1" t="n">
        <v>46049</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47052-2022</t>
        </is>
      </c>
      <c r="B382" s="1" t="n">
        <v>44851</v>
      </c>
      <c r="C382" s="1" t="n">
        <v>46049</v>
      </c>
      <c r="D382" t="inlineStr">
        <is>
          <t>JÄMTLANDS LÄN</t>
        </is>
      </c>
      <c r="E382" t="inlineStr">
        <is>
          <t>ÅRE</t>
        </is>
      </c>
      <c r="G382" t="n">
        <v>90.8</v>
      </c>
      <c r="H382" t="n">
        <v>0</v>
      </c>
      <c r="I382" t="n">
        <v>0</v>
      </c>
      <c r="J382" t="n">
        <v>0</v>
      </c>
      <c r="K382" t="n">
        <v>0</v>
      </c>
      <c r="L382" t="n">
        <v>0</v>
      </c>
      <c r="M382" t="n">
        <v>0</v>
      </c>
      <c r="N382" t="n">
        <v>0</v>
      </c>
      <c r="O382" t="n">
        <v>0</v>
      </c>
      <c r="P382" t="n">
        <v>0</v>
      </c>
      <c r="Q382" t="n">
        <v>0</v>
      </c>
      <c r="R382" s="2" t="inlineStr"/>
    </row>
    <row r="383" ht="15" customHeight="1">
      <c r="A383" t="inlineStr">
        <is>
          <t>A 49493-2025</t>
        </is>
      </c>
      <c r="B383" s="1" t="n">
        <v>45939.36626157408</v>
      </c>
      <c r="C383" s="1" t="n">
        <v>46049</v>
      </c>
      <c r="D383" t="inlineStr">
        <is>
          <t>JÄMTLANDS LÄN</t>
        </is>
      </c>
      <c r="E383" t="inlineStr">
        <is>
          <t>ÅRE</t>
        </is>
      </c>
      <c r="G383" t="n">
        <v>2.4</v>
      </c>
      <c r="H383" t="n">
        <v>0</v>
      </c>
      <c r="I383" t="n">
        <v>0</v>
      </c>
      <c r="J383" t="n">
        <v>0</v>
      </c>
      <c r="K383" t="n">
        <v>0</v>
      </c>
      <c r="L383" t="n">
        <v>0</v>
      </c>
      <c r="M383" t="n">
        <v>0</v>
      </c>
      <c r="N383" t="n">
        <v>0</v>
      </c>
      <c r="O383" t="n">
        <v>0</v>
      </c>
      <c r="P383" t="n">
        <v>0</v>
      </c>
      <c r="Q383" t="n">
        <v>0</v>
      </c>
      <c r="R383" s="2" t="inlineStr"/>
    </row>
    <row r="384" ht="15" customHeight="1">
      <c r="A384" t="inlineStr">
        <is>
          <t>A 49593-2025</t>
        </is>
      </c>
      <c r="B384" s="1" t="n">
        <v>45939.53186342592</v>
      </c>
      <c r="C384" s="1" t="n">
        <v>46049</v>
      </c>
      <c r="D384" t="inlineStr">
        <is>
          <t>JÄMTLANDS LÄN</t>
        </is>
      </c>
      <c r="E384" t="inlineStr">
        <is>
          <t>ÅRE</t>
        </is>
      </c>
      <c r="G384" t="n">
        <v>7.9</v>
      </c>
      <c r="H384" t="n">
        <v>0</v>
      </c>
      <c r="I384" t="n">
        <v>0</v>
      </c>
      <c r="J384" t="n">
        <v>0</v>
      </c>
      <c r="K384" t="n">
        <v>0</v>
      </c>
      <c r="L384" t="n">
        <v>0</v>
      </c>
      <c r="M384" t="n">
        <v>0</v>
      </c>
      <c r="N384" t="n">
        <v>0</v>
      </c>
      <c r="O384" t="n">
        <v>0</v>
      </c>
      <c r="P384" t="n">
        <v>0</v>
      </c>
      <c r="Q384" t="n">
        <v>0</v>
      </c>
      <c r="R384" s="2" t="inlineStr"/>
    </row>
    <row r="385" ht="15" customHeight="1">
      <c r="A385" t="inlineStr">
        <is>
          <t>A 49571-2025</t>
        </is>
      </c>
      <c r="B385" s="1" t="n">
        <v>45939.48998842593</v>
      </c>
      <c r="C385" s="1" t="n">
        <v>46049</v>
      </c>
      <c r="D385" t="inlineStr">
        <is>
          <t>JÄMTLANDS LÄN</t>
        </is>
      </c>
      <c r="E385" t="inlineStr">
        <is>
          <t>ÅRE</t>
        </is>
      </c>
      <c r="G385" t="n">
        <v>4</v>
      </c>
      <c r="H385" t="n">
        <v>0</v>
      </c>
      <c r="I385" t="n">
        <v>0</v>
      </c>
      <c r="J385" t="n">
        <v>0</v>
      </c>
      <c r="K385" t="n">
        <v>0</v>
      </c>
      <c r="L385" t="n">
        <v>0</v>
      </c>
      <c r="M385" t="n">
        <v>0</v>
      </c>
      <c r="N385" t="n">
        <v>0</v>
      </c>
      <c r="O385" t="n">
        <v>0</v>
      </c>
      <c r="P385" t="n">
        <v>0</v>
      </c>
      <c r="Q385" t="n">
        <v>0</v>
      </c>
      <c r="R385" s="2" t="inlineStr"/>
    </row>
    <row r="386" ht="15" customHeight="1">
      <c r="A386" t="inlineStr">
        <is>
          <t>A 58395-2025</t>
        </is>
      </c>
      <c r="B386" s="1" t="n">
        <v>45985.55648148148</v>
      </c>
      <c r="C386" s="1" t="n">
        <v>46049</v>
      </c>
      <c r="D386" t="inlineStr">
        <is>
          <t>JÄMTLANDS LÄN</t>
        </is>
      </c>
      <c r="E386" t="inlineStr">
        <is>
          <t>ÅRE</t>
        </is>
      </c>
      <c r="F386" t="inlineStr">
        <is>
          <t>Övriga Aktiebolag</t>
        </is>
      </c>
      <c r="G386" t="n">
        <v>4.1</v>
      </c>
      <c r="H386" t="n">
        <v>0</v>
      </c>
      <c r="I386" t="n">
        <v>0</v>
      </c>
      <c r="J386" t="n">
        <v>0</v>
      </c>
      <c r="K386" t="n">
        <v>0</v>
      </c>
      <c r="L386" t="n">
        <v>0</v>
      </c>
      <c r="M386" t="n">
        <v>0</v>
      </c>
      <c r="N386" t="n">
        <v>0</v>
      </c>
      <c r="O386" t="n">
        <v>0</v>
      </c>
      <c r="P386" t="n">
        <v>0</v>
      </c>
      <c r="Q386" t="n">
        <v>0</v>
      </c>
      <c r="R386" s="2" t="inlineStr"/>
    </row>
    <row r="387" ht="15" customHeight="1">
      <c r="A387" t="inlineStr">
        <is>
          <t>A 61803-2021</t>
        </is>
      </c>
      <c r="B387" s="1" t="n">
        <v>44498</v>
      </c>
      <c r="C387" s="1" t="n">
        <v>46049</v>
      </c>
      <c r="D387" t="inlineStr">
        <is>
          <t>JÄMTLANDS LÄN</t>
        </is>
      </c>
      <c r="E387" t="inlineStr">
        <is>
          <t>ÅRE</t>
        </is>
      </c>
      <c r="G387" t="n">
        <v>0.9</v>
      </c>
      <c r="H387" t="n">
        <v>0</v>
      </c>
      <c r="I387" t="n">
        <v>0</v>
      </c>
      <c r="J387" t="n">
        <v>0</v>
      </c>
      <c r="K387" t="n">
        <v>0</v>
      </c>
      <c r="L387" t="n">
        <v>0</v>
      </c>
      <c r="M387" t="n">
        <v>0</v>
      </c>
      <c r="N387" t="n">
        <v>0</v>
      </c>
      <c r="O387" t="n">
        <v>0</v>
      </c>
      <c r="P387" t="n">
        <v>0</v>
      </c>
      <c r="Q387" t="n">
        <v>0</v>
      </c>
      <c r="R387" s="2" t="inlineStr"/>
    </row>
    <row r="388" ht="15" customHeight="1">
      <c r="A388" t="inlineStr">
        <is>
          <t>A 50203-2025</t>
        </is>
      </c>
      <c r="B388" s="1" t="n">
        <v>45943.65641203704</v>
      </c>
      <c r="C388" s="1" t="n">
        <v>46049</v>
      </c>
      <c r="D388" t="inlineStr">
        <is>
          <t>JÄMTLANDS LÄN</t>
        </is>
      </c>
      <c r="E388" t="inlineStr">
        <is>
          <t>ÅRE</t>
        </is>
      </c>
      <c r="G388" t="n">
        <v>7.2</v>
      </c>
      <c r="H388" t="n">
        <v>0</v>
      </c>
      <c r="I388" t="n">
        <v>0</v>
      </c>
      <c r="J388" t="n">
        <v>0</v>
      </c>
      <c r="K388" t="n">
        <v>0</v>
      </c>
      <c r="L388" t="n">
        <v>0</v>
      </c>
      <c r="M388" t="n">
        <v>0</v>
      </c>
      <c r="N388" t="n">
        <v>0</v>
      </c>
      <c r="O388" t="n">
        <v>0</v>
      </c>
      <c r="P388" t="n">
        <v>0</v>
      </c>
      <c r="Q388" t="n">
        <v>0</v>
      </c>
      <c r="R388" s="2" t="inlineStr"/>
    </row>
    <row r="389" ht="15" customHeight="1">
      <c r="A389" t="inlineStr">
        <is>
          <t>A 50488-2025</t>
        </is>
      </c>
      <c r="B389" s="1" t="n">
        <v>45945.39144675926</v>
      </c>
      <c r="C389" s="1" t="n">
        <v>46049</v>
      </c>
      <c r="D389" t="inlineStr">
        <is>
          <t>JÄMTLANDS LÄN</t>
        </is>
      </c>
      <c r="E389" t="inlineStr">
        <is>
          <t>ÅRE</t>
        </is>
      </c>
      <c r="G389" t="n">
        <v>3.8</v>
      </c>
      <c r="H389" t="n">
        <v>0</v>
      </c>
      <c r="I389" t="n">
        <v>0</v>
      </c>
      <c r="J389" t="n">
        <v>0</v>
      </c>
      <c r="K389" t="n">
        <v>0</v>
      </c>
      <c r="L389" t="n">
        <v>0</v>
      </c>
      <c r="M389" t="n">
        <v>0</v>
      </c>
      <c r="N389" t="n">
        <v>0</v>
      </c>
      <c r="O389" t="n">
        <v>0</v>
      </c>
      <c r="P389" t="n">
        <v>0</v>
      </c>
      <c r="Q389" t="n">
        <v>0</v>
      </c>
      <c r="R389" s="2" t="inlineStr"/>
    </row>
    <row r="390" ht="15" customHeight="1">
      <c r="A390" t="inlineStr">
        <is>
          <t>A 15889-2025</t>
        </is>
      </c>
      <c r="B390" s="1" t="n">
        <v>45749.4075</v>
      </c>
      <c r="C390" s="1" t="n">
        <v>46049</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18264-2023</t>
        </is>
      </c>
      <c r="B391" s="1" t="n">
        <v>45041</v>
      </c>
      <c r="C391" s="1" t="n">
        <v>46049</v>
      </c>
      <c r="D391" t="inlineStr">
        <is>
          <t>JÄMTLANDS LÄN</t>
        </is>
      </c>
      <c r="E391" t="inlineStr">
        <is>
          <t>ÅRE</t>
        </is>
      </c>
      <c r="G391" t="n">
        <v>0.2</v>
      </c>
      <c r="H391" t="n">
        <v>0</v>
      </c>
      <c r="I391" t="n">
        <v>0</v>
      </c>
      <c r="J391" t="n">
        <v>0</v>
      </c>
      <c r="K391" t="n">
        <v>0</v>
      </c>
      <c r="L391" t="n">
        <v>0</v>
      </c>
      <c r="M391" t="n">
        <v>0</v>
      </c>
      <c r="N391" t="n">
        <v>0</v>
      </c>
      <c r="O391" t="n">
        <v>0</v>
      </c>
      <c r="P391" t="n">
        <v>0</v>
      </c>
      <c r="Q391" t="n">
        <v>0</v>
      </c>
      <c r="R391" s="2" t="inlineStr"/>
    </row>
    <row r="392" ht="15" customHeight="1">
      <c r="A392" t="inlineStr">
        <is>
          <t>A 911-2022</t>
        </is>
      </c>
      <c r="B392" s="1" t="n">
        <v>44570</v>
      </c>
      <c r="C392" s="1" t="n">
        <v>46049</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59698-2025</t>
        </is>
      </c>
      <c r="B393" s="1" t="n">
        <v>45992.49357638889</v>
      </c>
      <c r="C393" s="1" t="n">
        <v>46049</v>
      </c>
      <c r="D393" t="inlineStr">
        <is>
          <t>JÄMTLANDS LÄN</t>
        </is>
      </c>
      <c r="E393" t="inlineStr">
        <is>
          <t>ÅRE</t>
        </is>
      </c>
      <c r="F393" t="inlineStr">
        <is>
          <t>Övriga Aktiebolag</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6049-2025</t>
        </is>
      </c>
      <c r="B394" s="1" t="n">
        <v>45695</v>
      </c>
      <c r="C394" s="1" t="n">
        <v>46049</v>
      </c>
      <c r="D394" t="inlineStr">
        <is>
          <t>JÄMTLANDS LÄN</t>
        </is>
      </c>
      <c r="E394" t="inlineStr">
        <is>
          <t>ÅRE</t>
        </is>
      </c>
      <c r="G394" t="n">
        <v>58.3</v>
      </c>
      <c r="H394" t="n">
        <v>0</v>
      </c>
      <c r="I394" t="n">
        <v>0</v>
      </c>
      <c r="J394" t="n">
        <v>0</v>
      </c>
      <c r="K394" t="n">
        <v>0</v>
      </c>
      <c r="L394" t="n">
        <v>0</v>
      </c>
      <c r="M394" t="n">
        <v>0</v>
      </c>
      <c r="N394" t="n">
        <v>0</v>
      </c>
      <c r="O394" t="n">
        <v>0</v>
      </c>
      <c r="P394" t="n">
        <v>0</v>
      </c>
      <c r="Q394" t="n">
        <v>0</v>
      </c>
      <c r="R394" s="2" t="inlineStr"/>
    </row>
    <row r="395" ht="15" customHeight="1">
      <c r="A395" t="inlineStr">
        <is>
          <t>A 13301-2024</t>
        </is>
      </c>
      <c r="B395" s="1" t="n">
        <v>45386</v>
      </c>
      <c r="C395" s="1" t="n">
        <v>46049</v>
      </c>
      <c r="D395" t="inlineStr">
        <is>
          <t>JÄMTLANDS LÄN</t>
        </is>
      </c>
      <c r="E395" t="inlineStr">
        <is>
          <t>ÅRE</t>
        </is>
      </c>
      <c r="G395" t="n">
        <v>9</v>
      </c>
      <c r="H395" t="n">
        <v>0</v>
      </c>
      <c r="I395" t="n">
        <v>0</v>
      </c>
      <c r="J395" t="n">
        <v>0</v>
      </c>
      <c r="K395" t="n">
        <v>0</v>
      </c>
      <c r="L395" t="n">
        <v>0</v>
      </c>
      <c r="M395" t="n">
        <v>0</v>
      </c>
      <c r="N395" t="n">
        <v>0</v>
      </c>
      <c r="O395" t="n">
        <v>0</v>
      </c>
      <c r="P395" t="n">
        <v>0</v>
      </c>
      <c r="Q395" t="n">
        <v>0</v>
      </c>
      <c r="R395" s="2" t="inlineStr"/>
    </row>
    <row r="396" ht="15" customHeight="1">
      <c r="A396" t="inlineStr">
        <is>
          <t>A 56910-2022</t>
        </is>
      </c>
      <c r="B396" s="1" t="n">
        <v>44894.59936342593</v>
      </c>
      <c r="C396" s="1" t="n">
        <v>46049</v>
      </c>
      <c r="D396" t="inlineStr">
        <is>
          <t>JÄMTLANDS LÄN</t>
        </is>
      </c>
      <c r="E396" t="inlineStr">
        <is>
          <t>ÅRE</t>
        </is>
      </c>
      <c r="F396" t="inlineStr">
        <is>
          <t>Övriga Aktiebolag</t>
        </is>
      </c>
      <c r="G396" t="n">
        <v>4.9</v>
      </c>
      <c r="H396" t="n">
        <v>0</v>
      </c>
      <c r="I396" t="n">
        <v>0</v>
      </c>
      <c r="J396" t="n">
        <v>0</v>
      </c>
      <c r="K396" t="n">
        <v>0</v>
      </c>
      <c r="L396" t="n">
        <v>0</v>
      </c>
      <c r="M396" t="n">
        <v>0</v>
      </c>
      <c r="N396" t="n">
        <v>0</v>
      </c>
      <c r="O396" t="n">
        <v>0</v>
      </c>
      <c r="P396" t="n">
        <v>0</v>
      </c>
      <c r="Q396" t="n">
        <v>0</v>
      </c>
      <c r="R396" s="2" t="inlineStr"/>
    </row>
    <row r="397" ht="15" customHeight="1">
      <c r="A397" t="inlineStr">
        <is>
          <t>A 51876-2025</t>
        </is>
      </c>
      <c r="B397" s="1" t="n">
        <v>45952.39850694445</v>
      </c>
      <c r="C397" s="1" t="n">
        <v>46049</v>
      </c>
      <c r="D397" t="inlineStr">
        <is>
          <t>JÄMTLANDS LÄN</t>
        </is>
      </c>
      <c r="E397" t="inlineStr">
        <is>
          <t>ÅRE</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56976-2023</t>
        </is>
      </c>
      <c r="B398" s="1" t="n">
        <v>45244.64202546296</v>
      </c>
      <c r="C398" s="1" t="n">
        <v>46049</v>
      </c>
      <c r="D398" t="inlineStr">
        <is>
          <t>JÄMTLANDS LÄN</t>
        </is>
      </c>
      <c r="E398" t="inlineStr">
        <is>
          <t>ÅRE</t>
        </is>
      </c>
      <c r="F398" t="inlineStr">
        <is>
          <t>Övriga Aktiebolag</t>
        </is>
      </c>
      <c r="G398" t="n">
        <v>4.9</v>
      </c>
      <c r="H398" t="n">
        <v>0</v>
      </c>
      <c r="I398" t="n">
        <v>0</v>
      </c>
      <c r="J398" t="n">
        <v>0</v>
      </c>
      <c r="K398" t="n">
        <v>0</v>
      </c>
      <c r="L398" t="n">
        <v>0</v>
      </c>
      <c r="M398" t="n">
        <v>0</v>
      </c>
      <c r="N398" t="n">
        <v>0</v>
      </c>
      <c r="O398" t="n">
        <v>0</v>
      </c>
      <c r="P398" t="n">
        <v>0</v>
      </c>
      <c r="Q398" t="n">
        <v>0</v>
      </c>
      <c r="R398" s="2" t="inlineStr"/>
    </row>
    <row r="399" ht="15" customHeight="1">
      <c r="A399" t="inlineStr">
        <is>
          <t>A 47069-2024</t>
        </is>
      </c>
      <c r="B399" s="1" t="n">
        <v>45586.48003472222</v>
      </c>
      <c r="C399" s="1" t="n">
        <v>46049</v>
      </c>
      <c r="D399" t="inlineStr">
        <is>
          <t>JÄMTLANDS LÄN</t>
        </is>
      </c>
      <c r="E399" t="inlineStr">
        <is>
          <t>ÅRE</t>
        </is>
      </c>
      <c r="G399" t="n">
        <v>7.1</v>
      </c>
      <c r="H399" t="n">
        <v>0</v>
      </c>
      <c r="I399" t="n">
        <v>0</v>
      </c>
      <c r="J399" t="n">
        <v>0</v>
      </c>
      <c r="K399" t="n">
        <v>0</v>
      </c>
      <c r="L399" t="n">
        <v>0</v>
      </c>
      <c r="M399" t="n">
        <v>0</v>
      </c>
      <c r="N399" t="n">
        <v>0</v>
      </c>
      <c r="O399" t="n">
        <v>0</v>
      </c>
      <c r="P399" t="n">
        <v>0</v>
      </c>
      <c r="Q399" t="n">
        <v>0</v>
      </c>
      <c r="R399" s="2" t="inlineStr"/>
    </row>
    <row r="400" ht="15" customHeight="1">
      <c r="A400" t="inlineStr">
        <is>
          <t>A 52607-2025</t>
        </is>
      </c>
      <c r="B400" s="1" t="n">
        <v>45954.66291666667</v>
      </c>
      <c r="C400" s="1" t="n">
        <v>46049</v>
      </c>
      <c r="D400" t="inlineStr">
        <is>
          <t>JÄMTLANDS LÄN</t>
        </is>
      </c>
      <c r="E400" t="inlineStr">
        <is>
          <t>ÅRE</t>
        </is>
      </c>
      <c r="G400" t="n">
        <v>1</v>
      </c>
      <c r="H400" t="n">
        <v>0</v>
      </c>
      <c r="I400" t="n">
        <v>0</v>
      </c>
      <c r="J400" t="n">
        <v>0</v>
      </c>
      <c r="K400" t="n">
        <v>0</v>
      </c>
      <c r="L400" t="n">
        <v>0</v>
      </c>
      <c r="M400" t="n">
        <v>0</v>
      </c>
      <c r="N400" t="n">
        <v>0</v>
      </c>
      <c r="O400" t="n">
        <v>0</v>
      </c>
      <c r="P400" t="n">
        <v>0</v>
      </c>
      <c r="Q400" t="n">
        <v>0</v>
      </c>
      <c r="R400" s="2" t="inlineStr"/>
    </row>
    <row r="401" ht="15" customHeight="1">
      <c r="A401" t="inlineStr">
        <is>
          <t>A 52597-2025</t>
        </is>
      </c>
      <c r="B401" s="1" t="n">
        <v>45954.65364583334</v>
      </c>
      <c r="C401" s="1" t="n">
        <v>46049</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52606-2025</t>
        </is>
      </c>
      <c r="B402" s="1" t="n">
        <v>45954.66020833333</v>
      </c>
      <c r="C402" s="1" t="n">
        <v>46049</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52604-2025</t>
        </is>
      </c>
      <c r="B403" s="1" t="n">
        <v>45954.65774305556</v>
      </c>
      <c r="C403" s="1" t="n">
        <v>46049</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53134-2025</t>
        </is>
      </c>
      <c r="B404" s="1" t="n">
        <v>45958.46826388889</v>
      </c>
      <c r="C404" s="1" t="n">
        <v>46049</v>
      </c>
      <c r="D404" t="inlineStr">
        <is>
          <t>JÄMTLANDS LÄN</t>
        </is>
      </c>
      <c r="E404" t="inlineStr">
        <is>
          <t>ÅRE</t>
        </is>
      </c>
      <c r="G404" t="n">
        <v>13.8</v>
      </c>
      <c r="H404" t="n">
        <v>0</v>
      </c>
      <c r="I404" t="n">
        <v>0</v>
      </c>
      <c r="J404" t="n">
        <v>0</v>
      </c>
      <c r="K404" t="n">
        <v>0</v>
      </c>
      <c r="L404" t="n">
        <v>0</v>
      </c>
      <c r="M404" t="n">
        <v>0</v>
      </c>
      <c r="N404" t="n">
        <v>0</v>
      </c>
      <c r="O404" t="n">
        <v>0</v>
      </c>
      <c r="P404" t="n">
        <v>0</v>
      </c>
      <c r="Q404" t="n">
        <v>0</v>
      </c>
      <c r="R404" s="2" t="inlineStr"/>
    </row>
    <row r="405" ht="15" customHeight="1">
      <c r="A405" t="inlineStr">
        <is>
          <t>A 46444-2024</t>
        </is>
      </c>
      <c r="B405" s="1" t="n">
        <v>45582</v>
      </c>
      <c r="C405" s="1" t="n">
        <v>46049</v>
      </c>
      <c r="D405" t="inlineStr">
        <is>
          <t>JÄMTLANDS LÄN</t>
        </is>
      </c>
      <c r="E405" t="inlineStr">
        <is>
          <t>ÅRE</t>
        </is>
      </c>
      <c r="G405" t="n">
        <v>19.6</v>
      </c>
      <c r="H405" t="n">
        <v>0</v>
      </c>
      <c r="I405" t="n">
        <v>0</v>
      </c>
      <c r="J405" t="n">
        <v>0</v>
      </c>
      <c r="K405" t="n">
        <v>0</v>
      </c>
      <c r="L405" t="n">
        <v>0</v>
      </c>
      <c r="M405" t="n">
        <v>0</v>
      </c>
      <c r="N405" t="n">
        <v>0</v>
      </c>
      <c r="O405" t="n">
        <v>0</v>
      </c>
      <c r="P405" t="n">
        <v>0</v>
      </c>
      <c r="Q405" t="n">
        <v>0</v>
      </c>
      <c r="R405" s="2" t="inlineStr"/>
    </row>
    <row r="406" ht="15" customHeight="1">
      <c r="A406" t="inlineStr">
        <is>
          <t>A 53133-2025</t>
        </is>
      </c>
      <c r="B406" s="1" t="n">
        <v>45958.46806712963</v>
      </c>
      <c r="C406" s="1" t="n">
        <v>46049</v>
      </c>
      <c r="D406" t="inlineStr">
        <is>
          <t>JÄMTLANDS LÄN</t>
        </is>
      </c>
      <c r="E406" t="inlineStr">
        <is>
          <t>ÅRE</t>
        </is>
      </c>
      <c r="G406" t="n">
        <v>13.8</v>
      </c>
      <c r="H406" t="n">
        <v>0</v>
      </c>
      <c r="I406" t="n">
        <v>0</v>
      </c>
      <c r="J406" t="n">
        <v>0</v>
      </c>
      <c r="K406" t="n">
        <v>0</v>
      </c>
      <c r="L406" t="n">
        <v>0</v>
      </c>
      <c r="M406" t="n">
        <v>0</v>
      </c>
      <c r="N406" t="n">
        <v>0</v>
      </c>
      <c r="O406" t="n">
        <v>0</v>
      </c>
      <c r="P406" t="n">
        <v>0</v>
      </c>
      <c r="Q406" t="n">
        <v>0</v>
      </c>
      <c r="R406" s="2" t="inlineStr"/>
    </row>
    <row r="407" ht="15" customHeight="1">
      <c r="A407" t="inlineStr">
        <is>
          <t>A 52944-2025</t>
        </is>
      </c>
      <c r="B407" s="1" t="n">
        <v>45957.6437037037</v>
      </c>
      <c r="C407" s="1" t="n">
        <v>46049</v>
      </c>
      <c r="D407" t="inlineStr">
        <is>
          <t>JÄMTLANDS LÄN</t>
        </is>
      </c>
      <c r="E407" t="inlineStr">
        <is>
          <t>ÅRE</t>
        </is>
      </c>
      <c r="G407" t="n">
        <v>1.5</v>
      </c>
      <c r="H407" t="n">
        <v>0</v>
      </c>
      <c r="I407" t="n">
        <v>0</v>
      </c>
      <c r="J407" t="n">
        <v>0</v>
      </c>
      <c r="K407" t="n">
        <v>0</v>
      </c>
      <c r="L407" t="n">
        <v>0</v>
      </c>
      <c r="M407" t="n">
        <v>0</v>
      </c>
      <c r="N407" t="n">
        <v>0</v>
      </c>
      <c r="O407" t="n">
        <v>0</v>
      </c>
      <c r="P407" t="n">
        <v>0</v>
      </c>
      <c r="Q407" t="n">
        <v>0</v>
      </c>
      <c r="R407" s="2" t="inlineStr"/>
    </row>
    <row r="408" ht="15" customHeight="1">
      <c r="A408" t="inlineStr">
        <is>
          <t>A 10567-2025</t>
        </is>
      </c>
      <c r="B408" s="1" t="n">
        <v>45714</v>
      </c>
      <c r="C408" s="1" t="n">
        <v>46049</v>
      </c>
      <c r="D408" t="inlineStr">
        <is>
          <t>JÄMTLANDS LÄN</t>
        </is>
      </c>
      <c r="E408" t="inlineStr">
        <is>
          <t>ÅRE</t>
        </is>
      </c>
      <c r="G408" t="n">
        <v>3.6</v>
      </c>
      <c r="H408" t="n">
        <v>0</v>
      </c>
      <c r="I408" t="n">
        <v>0</v>
      </c>
      <c r="J408" t="n">
        <v>0</v>
      </c>
      <c r="K408" t="n">
        <v>0</v>
      </c>
      <c r="L408" t="n">
        <v>0</v>
      </c>
      <c r="M408" t="n">
        <v>0</v>
      </c>
      <c r="N408" t="n">
        <v>0</v>
      </c>
      <c r="O408" t="n">
        <v>0</v>
      </c>
      <c r="P408" t="n">
        <v>0</v>
      </c>
      <c r="Q408" t="n">
        <v>0</v>
      </c>
      <c r="R408" s="2" t="inlineStr"/>
    </row>
    <row r="409" ht="15" customHeight="1">
      <c r="A409" t="inlineStr">
        <is>
          <t>A 60913-2025</t>
        </is>
      </c>
      <c r="B409" s="1" t="n">
        <v>45999.60133101852</v>
      </c>
      <c r="C409" s="1" t="n">
        <v>46049</v>
      </c>
      <c r="D409" t="inlineStr">
        <is>
          <t>JÄMTLANDS LÄN</t>
        </is>
      </c>
      <c r="E409" t="inlineStr">
        <is>
          <t>ÅRE</t>
        </is>
      </c>
      <c r="F409" t="inlineStr">
        <is>
          <t>Övriga Aktiebolag</t>
        </is>
      </c>
      <c r="G409" t="n">
        <v>19.9</v>
      </c>
      <c r="H409" t="n">
        <v>0</v>
      </c>
      <c r="I409" t="n">
        <v>0</v>
      </c>
      <c r="J409" t="n">
        <v>0</v>
      </c>
      <c r="K409" t="n">
        <v>0</v>
      </c>
      <c r="L409" t="n">
        <v>0</v>
      </c>
      <c r="M409" t="n">
        <v>0</v>
      </c>
      <c r="N409" t="n">
        <v>0</v>
      </c>
      <c r="O409" t="n">
        <v>0</v>
      </c>
      <c r="P409" t="n">
        <v>0</v>
      </c>
      <c r="Q409" t="n">
        <v>0</v>
      </c>
      <c r="R409" s="2" t="inlineStr"/>
    </row>
    <row r="410" ht="15" customHeight="1">
      <c r="A410" t="inlineStr">
        <is>
          <t>A 53156-2025</t>
        </is>
      </c>
      <c r="B410" s="1" t="n">
        <v>45958.49030092593</v>
      </c>
      <c r="C410" s="1" t="n">
        <v>46049</v>
      </c>
      <c r="D410" t="inlineStr">
        <is>
          <t>JÄMTLANDS LÄN</t>
        </is>
      </c>
      <c r="E410" t="inlineStr">
        <is>
          <t>ÅRE</t>
        </is>
      </c>
      <c r="G410" t="n">
        <v>1.6</v>
      </c>
      <c r="H410" t="n">
        <v>0</v>
      </c>
      <c r="I410" t="n">
        <v>0</v>
      </c>
      <c r="J410" t="n">
        <v>0</v>
      </c>
      <c r="K410" t="n">
        <v>0</v>
      </c>
      <c r="L410" t="n">
        <v>0</v>
      </c>
      <c r="M410" t="n">
        <v>0</v>
      </c>
      <c r="N410" t="n">
        <v>0</v>
      </c>
      <c r="O410" t="n">
        <v>0</v>
      </c>
      <c r="P410" t="n">
        <v>0</v>
      </c>
      <c r="Q410" t="n">
        <v>0</v>
      </c>
      <c r="R410" s="2" t="inlineStr"/>
    </row>
    <row r="411" ht="15" customHeight="1">
      <c r="A411" t="inlineStr">
        <is>
          <t>A 52946-2025</t>
        </is>
      </c>
      <c r="B411" s="1" t="n">
        <v>45957.64819444445</v>
      </c>
      <c r="C411" s="1" t="n">
        <v>46049</v>
      </c>
      <c r="D411" t="inlineStr">
        <is>
          <t>JÄMTLANDS LÄN</t>
        </is>
      </c>
      <c r="E411" t="inlineStr">
        <is>
          <t>ÅRE</t>
        </is>
      </c>
      <c r="G411" t="n">
        <v>2.6</v>
      </c>
      <c r="H411" t="n">
        <v>0</v>
      </c>
      <c r="I411" t="n">
        <v>0</v>
      </c>
      <c r="J411" t="n">
        <v>0</v>
      </c>
      <c r="K411" t="n">
        <v>0</v>
      </c>
      <c r="L411" t="n">
        <v>0</v>
      </c>
      <c r="M411" t="n">
        <v>0</v>
      </c>
      <c r="N411" t="n">
        <v>0</v>
      </c>
      <c r="O411" t="n">
        <v>0</v>
      </c>
      <c r="P411" t="n">
        <v>0</v>
      </c>
      <c r="Q411" t="n">
        <v>0</v>
      </c>
      <c r="R411" s="2" t="inlineStr"/>
    </row>
    <row r="412" ht="15" customHeight="1">
      <c r="A412" t="inlineStr">
        <is>
          <t>A 61109-2025</t>
        </is>
      </c>
      <c r="B412" s="1" t="n">
        <v>46000.45017361111</v>
      </c>
      <c r="C412" s="1" t="n">
        <v>46049</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52470-2022</t>
        </is>
      </c>
      <c r="B413" s="1" t="n">
        <v>44874.48167824074</v>
      </c>
      <c r="C413" s="1" t="n">
        <v>46049</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13559-2025</t>
        </is>
      </c>
      <c r="B414" s="1" t="n">
        <v>45736.55288194444</v>
      </c>
      <c r="C414" s="1" t="n">
        <v>46049</v>
      </c>
      <c r="D414" t="inlineStr">
        <is>
          <t>JÄMTLANDS LÄN</t>
        </is>
      </c>
      <c r="E414" t="inlineStr">
        <is>
          <t>ÅRE</t>
        </is>
      </c>
      <c r="F414" t="inlineStr">
        <is>
          <t>Övriga statliga verk och myndigheter</t>
        </is>
      </c>
      <c r="G414" t="n">
        <v>0.4</v>
      </c>
      <c r="H414" t="n">
        <v>0</v>
      </c>
      <c r="I414" t="n">
        <v>0</v>
      </c>
      <c r="J414" t="n">
        <v>0</v>
      </c>
      <c r="K414" t="n">
        <v>0</v>
      </c>
      <c r="L414" t="n">
        <v>0</v>
      </c>
      <c r="M414" t="n">
        <v>0</v>
      </c>
      <c r="N414" t="n">
        <v>0</v>
      </c>
      <c r="O414" t="n">
        <v>0</v>
      </c>
      <c r="P414" t="n">
        <v>0</v>
      </c>
      <c r="Q414" t="n">
        <v>0</v>
      </c>
      <c r="R414" s="2" t="inlineStr"/>
    </row>
    <row r="415" ht="15" customHeight="1">
      <c r="A415" t="inlineStr">
        <is>
          <t>A 57150-2021</t>
        </is>
      </c>
      <c r="B415" s="1" t="n">
        <v>44482</v>
      </c>
      <c r="C415" s="1" t="n">
        <v>46049</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46049</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52707-2022</t>
        </is>
      </c>
      <c r="B417" s="1" t="n">
        <v>44874</v>
      </c>
      <c r="C417" s="1" t="n">
        <v>46049</v>
      </c>
      <c r="D417" t="inlineStr">
        <is>
          <t>JÄMTLANDS LÄN</t>
        </is>
      </c>
      <c r="E417" t="inlineStr">
        <is>
          <t>ÅRE</t>
        </is>
      </c>
      <c r="F417" t="inlineStr">
        <is>
          <t>Övriga Aktiebolag</t>
        </is>
      </c>
      <c r="G417" t="n">
        <v>2.3</v>
      </c>
      <c r="H417" t="n">
        <v>0</v>
      </c>
      <c r="I417" t="n">
        <v>0</v>
      </c>
      <c r="J417" t="n">
        <v>0</v>
      </c>
      <c r="K417" t="n">
        <v>0</v>
      </c>
      <c r="L417" t="n">
        <v>0</v>
      </c>
      <c r="M417" t="n">
        <v>0</v>
      </c>
      <c r="N417" t="n">
        <v>0</v>
      </c>
      <c r="O417" t="n">
        <v>0</v>
      </c>
      <c r="P417" t="n">
        <v>0</v>
      </c>
      <c r="Q417" t="n">
        <v>0</v>
      </c>
      <c r="R417" s="2" t="inlineStr"/>
    </row>
    <row r="418" ht="15" customHeight="1">
      <c r="A418" t="inlineStr">
        <is>
          <t>A 50951-2023</t>
        </is>
      </c>
      <c r="B418" s="1" t="n">
        <v>45218</v>
      </c>
      <c r="C418" s="1" t="n">
        <v>46049</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46976-2024</t>
        </is>
      </c>
      <c r="B419" s="1" t="n">
        <v>45586</v>
      </c>
      <c r="C419" s="1" t="n">
        <v>46049</v>
      </c>
      <c r="D419" t="inlineStr">
        <is>
          <t>JÄMTLANDS LÄN</t>
        </is>
      </c>
      <c r="E419" t="inlineStr">
        <is>
          <t>ÅRE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3066-2023</t>
        </is>
      </c>
      <c r="B420" s="1" t="n">
        <v>44946</v>
      </c>
      <c r="C420" s="1" t="n">
        <v>46049</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3149-2023</t>
        </is>
      </c>
      <c r="B421" s="1" t="n">
        <v>44946.5500925926</v>
      </c>
      <c r="C421" s="1" t="n">
        <v>46049</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54213-2025</t>
        </is>
      </c>
      <c r="B422" s="1" t="n">
        <v>45964.59420138889</v>
      </c>
      <c r="C422" s="1" t="n">
        <v>46049</v>
      </c>
      <c r="D422" t="inlineStr">
        <is>
          <t>JÄMTLANDS LÄN</t>
        </is>
      </c>
      <c r="E422" t="inlineStr">
        <is>
          <t>ÅRE</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54137-2025</t>
        </is>
      </c>
      <c r="B423" s="1" t="n">
        <v>45964.47275462963</v>
      </c>
      <c r="C423" s="1" t="n">
        <v>46049</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53862-2025</t>
        </is>
      </c>
      <c r="B424" s="1" t="n">
        <v>45961.38105324074</v>
      </c>
      <c r="C424" s="1" t="n">
        <v>46049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54211-2025</t>
        </is>
      </c>
      <c r="B425" s="1" t="n">
        <v>45964.59214120371</v>
      </c>
      <c r="C425" s="1" t="n">
        <v>46049</v>
      </c>
      <c r="D425" t="inlineStr">
        <is>
          <t>JÄMTLANDS LÄN</t>
        </is>
      </c>
      <c r="E425" t="inlineStr">
        <is>
          <t>ÅRE</t>
        </is>
      </c>
      <c r="G425" t="n">
        <v>4.3</v>
      </c>
      <c r="H425" t="n">
        <v>0</v>
      </c>
      <c r="I425" t="n">
        <v>0</v>
      </c>
      <c r="J425" t="n">
        <v>0</v>
      </c>
      <c r="K425" t="n">
        <v>0</v>
      </c>
      <c r="L425" t="n">
        <v>0</v>
      </c>
      <c r="M425" t="n">
        <v>0</v>
      </c>
      <c r="N425" t="n">
        <v>0</v>
      </c>
      <c r="O425" t="n">
        <v>0</v>
      </c>
      <c r="P425" t="n">
        <v>0</v>
      </c>
      <c r="Q425" t="n">
        <v>0</v>
      </c>
      <c r="R425" s="2" t="inlineStr"/>
    </row>
    <row r="426" ht="15" customHeight="1">
      <c r="A426" t="inlineStr">
        <is>
          <t>A 53873-2025</t>
        </is>
      </c>
      <c r="B426" s="1" t="n">
        <v>45961.39340277778</v>
      </c>
      <c r="C426" s="1" t="n">
        <v>46049</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54131-2025</t>
        </is>
      </c>
      <c r="B427" s="1" t="n">
        <v>45964.46167824074</v>
      </c>
      <c r="C427" s="1" t="n">
        <v>46049</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54136-2025</t>
        </is>
      </c>
      <c r="B428" s="1" t="n">
        <v>45964.47177083333</v>
      </c>
      <c r="C428" s="1" t="n">
        <v>46049</v>
      </c>
      <c r="D428" t="inlineStr">
        <is>
          <t>JÄMTLANDS LÄN</t>
        </is>
      </c>
      <c r="E428" t="inlineStr">
        <is>
          <t>ÅRE</t>
        </is>
      </c>
      <c r="G428" t="n">
        <v>7.2</v>
      </c>
      <c r="H428" t="n">
        <v>0</v>
      </c>
      <c r="I428" t="n">
        <v>0</v>
      </c>
      <c r="J428" t="n">
        <v>0</v>
      </c>
      <c r="K428" t="n">
        <v>0</v>
      </c>
      <c r="L428" t="n">
        <v>0</v>
      </c>
      <c r="M428" t="n">
        <v>0</v>
      </c>
      <c r="N428" t="n">
        <v>0</v>
      </c>
      <c r="O428" t="n">
        <v>0</v>
      </c>
      <c r="P428" t="n">
        <v>0</v>
      </c>
      <c r="Q428" t="n">
        <v>0</v>
      </c>
      <c r="R428" s="2" t="inlineStr"/>
    </row>
    <row r="429" ht="15" customHeight="1">
      <c r="A429" t="inlineStr">
        <is>
          <t>A 54139-2025</t>
        </is>
      </c>
      <c r="B429" s="1" t="n">
        <v>45964.47564814815</v>
      </c>
      <c r="C429" s="1" t="n">
        <v>46049</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54580-2025</t>
        </is>
      </c>
      <c r="B430" s="1" t="n">
        <v>45965.70755787037</v>
      </c>
      <c r="C430" s="1" t="n">
        <v>46049</v>
      </c>
      <c r="D430" t="inlineStr">
        <is>
          <t>JÄMTLANDS LÄN</t>
        </is>
      </c>
      <c r="E430" t="inlineStr">
        <is>
          <t>ÅRE</t>
        </is>
      </c>
      <c r="G430" t="n">
        <v>5</v>
      </c>
      <c r="H430" t="n">
        <v>0</v>
      </c>
      <c r="I430" t="n">
        <v>0</v>
      </c>
      <c r="J430" t="n">
        <v>0</v>
      </c>
      <c r="K430" t="n">
        <v>0</v>
      </c>
      <c r="L430" t="n">
        <v>0</v>
      </c>
      <c r="M430" t="n">
        <v>0</v>
      </c>
      <c r="N430" t="n">
        <v>0</v>
      </c>
      <c r="O430" t="n">
        <v>0</v>
      </c>
      <c r="P430" t="n">
        <v>0</v>
      </c>
      <c r="Q430" t="n">
        <v>0</v>
      </c>
      <c r="R430" s="2" t="inlineStr"/>
    </row>
    <row r="431" ht="15" customHeight="1">
      <c r="A431" t="inlineStr">
        <is>
          <t>A 54838-2025</t>
        </is>
      </c>
      <c r="B431" s="1" t="n">
        <v>45966.68252314815</v>
      </c>
      <c r="C431" s="1" t="n">
        <v>46049</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54164-2023</t>
        </is>
      </c>
      <c r="B432" s="1" t="n">
        <v>45232.47815972222</v>
      </c>
      <c r="C432" s="1" t="n">
        <v>46049</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62530-2025</t>
        </is>
      </c>
      <c r="B433" s="1" t="n">
        <v>46007.63618055556</v>
      </c>
      <c r="C433" s="1" t="n">
        <v>46049</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54823-2025</t>
        </is>
      </c>
      <c r="B434" s="1" t="n">
        <v>45966.66451388889</v>
      </c>
      <c r="C434" s="1" t="n">
        <v>46049</v>
      </c>
      <c r="D434" t="inlineStr">
        <is>
          <t>JÄMTLANDS LÄN</t>
        </is>
      </c>
      <c r="E434" t="inlineStr">
        <is>
          <t>ÅRE</t>
        </is>
      </c>
      <c r="G434" t="n">
        <v>5.2</v>
      </c>
      <c r="H434" t="n">
        <v>0</v>
      </c>
      <c r="I434" t="n">
        <v>0</v>
      </c>
      <c r="J434" t="n">
        <v>0</v>
      </c>
      <c r="K434" t="n">
        <v>0</v>
      </c>
      <c r="L434" t="n">
        <v>0</v>
      </c>
      <c r="M434" t="n">
        <v>0</v>
      </c>
      <c r="N434" t="n">
        <v>0</v>
      </c>
      <c r="O434" t="n">
        <v>0</v>
      </c>
      <c r="P434" t="n">
        <v>0</v>
      </c>
      <c r="Q434" t="n">
        <v>0</v>
      </c>
      <c r="R434" s="2" t="inlineStr"/>
    </row>
    <row r="435" ht="15" customHeight="1">
      <c r="A435" t="inlineStr">
        <is>
          <t>A 62521-2025</t>
        </is>
      </c>
      <c r="B435" s="1" t="n">
        <v>46007.61506944444</v>
      </c>
      <c r="C435" s="1" t="n">
        <v>46049</v>
      </c>
      <c r="D435" t="inlineStr">
        <is>
          <t>JÄMTLANDS LÄN</t>
        </is>
      </c>
      <c r="E435" t="inlineStr">
        <is>
          <t>ÅRE</t>
        </is>
      </c>
      <c r="F435" t="inlineStr">
        <is>
          <t>Övriga Aktiebolag</t>
        </is>
      </c>
      <c r="G435" t="n">
        <v>0.8</v>
      </c>
      <c r="H435" t="n">
        <v>0</v>
      </c>
      <c r="I435" t="n">
        <v>0</v>
      </c>
      <c r="J435" t="n">
        <v>0</v>
      </c>
      <c r="K435" t="n">
        <v>0</v>
      </c>
      <c r="L435" t="n">
        <v>0</v>
      </c>
      <c r="M435" t="n">
        <v>0</v>
      </c>
      <c r="N435" t="n">
        <v>0</v>
      </c>
      <c r="O435" t="n">
        <v>0</v>
      </c>
      <c r="P435" t="n">
        <v>0</v>
      </c>
      <c r="Q435" t="n">
        <v>0</v>
      </c>
      <c r="R435" s="2" t="inlineStr"/>
    </row>
    <row r="436" ht="15" customHeight="1">
      <c r="A436" t="inlineStr">
        <is>
          <t>A 62621-2025</t>
        </is>
      </c>
      <c r="B436" s="1" t="n">
        <v>46008.34428240741</v>
      </c>
      <c r="C436" s="1" t="n">
        <v>46049</v>
      </c>
      <c r="D436" t="inlineStr">
        <is>
          <t>JÄMTLANDS LÄN</t>
        </is>
      </c>
      <c r="E436" t="inlineStr">
        <is>
          <t>ÅRE</t>
        </is>
      </c>
      <c r="G436" t="n">
        <v>7.4</v>
      </c>
      <c r="H436" t="n">
        <v>0</v>
      </c>
      <c r="I436" t="n">
        <v>0</v>
      </c>
      <c r="J436" t="n">
        <v>0</v>
      </c>
      <c r="K436" t="n">
        <v>0</v>
      </c>
      <c r="L436" t="n">
        <v>0</v>
      </c>
      <c r="M436" t="n">
        <v>0</v>
      </c>
      <c r="N436" t="n">
        <v>0</v>
      </c>
      <c r="O436" t="n">
        <v>0</v>
      </c>
      <c r="P436" t="n">
        <v>0</v>
      </c>
      <c r="Q436" t="n">
        <v>0</v>
      </c>
      <c r="R436" s="2" t="inlineStr"/>
    </row>
    <row r="437" ht="15" customHeight="1">
      <c r="A437" t="inlineStr">
        <is>
          <t>A 62532-2025</t>
        </is>
      </c>
      <c r="B437" s="1" t="n">
        <v>46007.63630787037</v>
      </c>
      <c r="C437" s="1" t="n">
        <v>46049</v>
      </c>
      <c r="D437" t="inlineStr">
        <is>
          <t>JÄMTLANDS LÄN</t>
        </is>
      </c>
      <c r="E437" t="inlineStr">
        <is>
          <t>ÅRE</t>
        </is>
      </c>
      <c r="G437" t="n">
        <v>5</v>
      </c>
      <c r="H437" t="n">
        <v>0</v>
      </c>
      <c r="I437" t="n">
        <v>0</v>
      </c>
      <c r="J437" t="n">
        <v>0</v>
      </c>
      <c r="K437" t="n">
        <v>0</v>
      </c>
      <c r="L437" t="n">
        <v>0</v>
      </c>
      <c r="M437" t="n">
        <v>0</v>
      </c>
      <c r="N437" t="n">
        <v>0</v>
      </c>
      <c r="O437" t="n">
        <v>0</v>
      </c>
      <c r="P437" t="n">
        <v>0</v>
      </c>
      <c r="Q437" t="n">
        <v>0</v>
      </c>
      <c r="R437" s="2" t="inlineStr"/>
    </row>
    <row r="438" ht="15" customHeight="1">
      <c r="A438" t="inlineStr">
        <is>
          <t>A 62545-2025</t>
        </is>
      </c>
      <c r="B438" s="1" t="n">
        <v>46007.65723379629</v>
      </c>
      <c r="C438" s="1" t="n">
        <v>46049</v>
      </c>
      <c r="D438" t="inlineStr">
        <is>
          <t>JÄMTLANDS LÄN</t>
        </is>
      </c>
      <c r="E438" t="inlineStr">
        <is>
          <t>ÅRE</t>
        </is>
      </c>
      <c r="F438" t="inlineStr">
        <is>
          <t>Övriga Aktiebolag</t>
        </is>
      </c>
      <c r="G438" t="n">
        <v>4.3</v>
      </c>
      <c r="H438" t="n">
        <v>0</v>
      </c>
      <c r="I438" t="n">
        <v>0</v>
      </c>
      <c r="J438" t="n">
        <v>0</v>
      </c>
      <c r="K438" t="n">
        <v>0</v>
      </c>
      <c r="L438" t="n">
        <v>0</v>
      </c>
      <c r="M438" t="n">
        <v>0</v>
      </c>
      <c r="N438" t="n">
        <v>0</v>
      </c>
      <c r="O438" t="n">
        <v>0</v>
      </c>
      <c r="P438" t="n">
        <v>0</v>
      </c>
      <c r="Q438" t="n">
        <v>0</v>
      </c>
      <c r="R438" s="2" t="inlineStr"/>
    </row>
    <row r="439" ht="15" customHeight="1">
      <c r="A439" t="inlineStr">
        <is>
          <t>A 39071-2024</t>
        </is>
      </c>
      <c r="B439" s="1" t="n">
        <v>45548.53193287037</v>
      </c>
      <c r="C439" s="1" t="n">
        <v>46049</v>
      </c>
      <c r="D439" t="inlineStr">
        <is>
          <t>JÄMTLANDS LÄN</t>
        </is>
      </c>
      <c r="E439" t="inlineStr">
        <is>
          <t>ÅRE</t>
        </is>
      </c>
      <c r="G439" t="n">
        <v>0.6</v>
      </c>
      <c r="H439" t="n">
        <v>0</v>
      </c>
      <c r="I439" t="n">
        <v>0</v>
      </c>
      <c r="J439" t="n">
        <v>0</v>
      </c>
      <c r="K439" t="n">
        <v>0</v>
      </c>
      <c r="L439" t="n">
        <v>0</v>
      </c>
      <c r="M439" t="n">
        <v>0</v>
      </c>
      <c r="N439" t="n">
        <v>0</v>
      </c>
      <c r="O439" t="n">
        <v>0</v>
      </c>
      <c r="P439" t="n">
        <v>0</v>
      </c>
      <c r="Q439" t="n">
        <v>0</v>
      </c>
      <c r="R439" s="2" t="inlineStr"/>
    </row>
    <row r="440" ht="15" customHeight="1">
      <c r="A440" t="inlineStr">
        <is>
          <t>A 54444-2025</t>
        </is>
      </c>
      <c r="B440" s="1" t="n">
        <v>45965.51078703703</v>
      </c>
      <c r="C440" s="1" t="n">
        <v>46049</v>
      </c>
      <c r="D440" t="inlineStr">
        <is>
          <t>JÄMTLANDS LÄN</t>
        </is>
      </c>
      <c r="E440" t="inlineStr">
        <is>
          <t>ÅRE</t>
        </is>
      </c>
      <c r="G440" t="n">
        <v>5.2</v>
      </c>
      <c r="H440" t="n">
        <v>0</v>
      </c>
      <c r="I440" t="n">
        <v>0</v>
      </c>
      <c r="J440" t="n">
        <v>0</v>
      </c>
      <c r="K440" t="n">
        <v>0</v>
      </c>
      <c r="L440" t="n">
        <v>0</v>
      </c>
      <c r="M440" t="n">
        <v>0</v>
      </c>
      <c r="N440" t="n">
        <v>0</v>
      </c>
      <c r="O440" t="n">
        <v>0</v>
      </c>
      <c r="P440" t="n">
        <v>0</v>
      </c>
      <c r="Q440" t="n">
        <v>0</v>
      </c>
      <c r="R440" s="2" t="inlineStr"/>
    </row>
    <row r="441" ht="15" customHeight="1">
      <c r="A441" t="inlineStr">
        <is>
          <t>A 54445-2025</t>
        </is>
      </c>
      <c r="B441" s="1" t="n">
        <v>45965.51081018519</v>
      </c>
      <c r="C441" s="1" t="n">
        <v>46049</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54937-2025</t>
        </is>
      </c>
      <c r="B442" s="1" t="n">
        <v>45967.43244212963</v>
      </c>
      <c r="C442" s="1" t="n">
        <v>46049</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63225-2025</t>
        </is>
      </c>
      <c r="B443" s="1" t="n">
        <v>46010.49605324074</v>
      </c>
      <c r="C443" s="1" t="n">
        <v>46049</v>
      </c>
      <c r="D443" t="inlineStr">
        <is>
          <t>JÄMTLANDS LÄN</t>
        </is>
      </c>
      <c r="E443" t="inlineStr">
        <is>
          <t>ÅRE</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36219-2022</t>
        </is>
      </c>
      <c r="B444" s="1" t="n">
        <v>44803</v>
      </c>
      <c r="C444" s="1" t="n">
        <v>46049</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33239-2024</t>
        </is>
      </c>
      <c r="B445" s="1" t="n">
        <v>45518.59618055556</v>
      </c>
      <c r="C445" s="1" t="n">
        <v>46049</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63020-2025</t>
        </is>
      </c>
      <c r="B446" s="1" t="n">
        <v>46009.59424768519</v>
      </c>
      <c r="C446" s="1" t="n">
        <v>46049</v>
      </c>
      <c r="D446" t="inlineStr">
        <is>
          <t>JÄMTLANDS LÄN</t>
        </is>
      </c>
      <c r="E446" t="inlineStr">
        <is>
          <t>ÅRE</t>
        </is>
      </c>
      <c r="G446" t="n">
        <v>0.5</v>
      </c>
      <c r="H446" t="n">
        <v>0</v>
      </c>
      <c r="I446" t="n">
        <v>0</v>
      </c>
      <c r="J446" t="n">
        <v>0</v>
      </c>
      <c r="K446" t="n">
        <v>0</v>
      </c>
      <c r="L446" t="n">
        <v>0</v>
      </c>
      <c r="M446" t="n">
        <v>0</v>
      </c>
      <c r="N446" t="n">
        <v>0</v>
      </c>
      <c r="O446" t="n">
        <v>0</v>
      </c>
      <c r="P446" t="n">
        <v>0</v>
      </c>
      <c r="Q446" t="n">
        <v>0</v>
      </c>
      <c r="R446" s="2" t="inlineStr"/>
    </row>
    <row r="447" ht="15" customHeight="1">
      <c r="A447" t="inlineStr">
        <is>
          <t>A 57710-2021</t>
        </is>
      </c>
      <c r="B447" s="1" t="n">
        <v>44484</v>
      </c>
      <c r="C447" s="1" t="n">
        <v>46049</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55411-2025</t>
        </is>
      </c>
      <c r="B448" s="1" t="n">
        <v>45971.46741898148</v>
      </c>
      <c r="C448" s="1" t="n">
        <v>46049</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55379-2025</t>
        </is>
      </c>
      <c r="B449" s="1" t="n">
        <v>45971.42776620371</v>
      </c>
      <c r="C449" s="1" t="n">
        <v>46049</v>
      </c>
      <c r="D449" t="inlineStr">
        <is>
          <t>JÄMTLANDS LÄN</t>
        </is>
      </c>
      <c r="E449" t="inlineStr">
        <is>
          <t>ÅRE</t>
        </is>
      </c>
      <c r="G449" t="n">
        <v>4.6</v>
      </c>
      <c r="H449" t="n">
        <v>0</v>
      </c>
      <c r="I449" t="n">
        <v>0</v>
      </c>
      <c r="J449" t="n">
        <v>0</v>
      </c>
      <c r="K449" t="n">
        <v>0</v>
      </c>
      <c r="L449" t="n">
        <v>0</v>
      </c>
      <c r="M449" t="n">
        <v>0</v>
      </c>
      <c r="N449" t="n">
        <v>0</v>
      </c>
      <c r="O449" t="n">
        <v>0</v>
      </c>
      <c r="P449" t="n">
        <v>0</v>
      </c>
      <c r="Q449" t="n">
        <v>0</v>
      </c>
      <c r="R449" s="2" t="inlineStr"/>
    </row>
    <row r="450" ht="15" customHeight="1">
      <c r="A450" t="inlineStr">
        <is>
          <t>A 55389-2025</t>
        </is>
      </c>
      <c r="B450" s="1" t="n">
        <v>45971.4482175926</v>
      </c>
      <c r="C450" s="1" t="n">
        <v>46049</v>
      </c>
      <c r="D450" t="inlineStr">
        <is>
          <t>JÄMTLANDS LÄN</t>
        </is>
      </c>
      <c r="E450" t="inlineStr">
        <is>
          <t>ÅRE</t>
        </is>
      </c>
      <c r="G450" t="n">
        <v>2</v>
      </c>
      <c r="H450" t="n">
        <v>0</v>
      </c>
      <c r="I450" t="n">
        <v>0</v>
      </c>
      <c r="J450" t="n">
        <v>0</v>
      </c>
      <c r="K450" t="n">
        <v>0</v>
      </c>
      <c r="L450" t="n">
        <v>0</v>
      </c>
      <c r="M450" t="n">
        <v>0</v>
      </c>
      <c r="N450" t="n">
        <v>0</v>
      </c>
      <c r="O450" t="n">
        <v>0</v>
      </c>
      <c r="P450" t="n">
        <v>0</v>
      </c>
      <c r="Q450" t="n">
        <v>0</v>
      </c>
      <c r="R450" s="2" t="inlineStr"/>
    </row>
    <row r="451" ht="15" customHeight="1">
      <c r="A451" t="inlineStr">
        <is>
          <t>A 63463-2025</t>
        </is>
      </c>
      <c r="B451" s="1" t="n">
        <v>46013.42751157407</v>
      </c>
      <c r="C451" s="1" t="n">
        <v>46049</v>
      </c>
      <c r="D451" t="inlineStr">
        <is>
          <t>JÄMTLANDS LÄN</t>
        </is>
      </c>
      <c r="E451" t="inlineStr">
        <is>
          <t>ÅRE</t>
        </is>
      </c>
      <c r="G451" t="n">
        <v>17.5</v>
      </c>
      <c r="H451" t="n">
        <v>0</v>
      </c>
      <c r="I451" t="n">
        <v>0</v>
      </c>
      <c r="J451" t="n">
        <v>0</v>
      </c>
      <c r="K451" t="n">
        <v>0</v>
      </c>
      <c r="L451" t="n">
        <v>0</v>
      </c>
      <c r="M451" t="n">
        <v>0</v>
      </c>
      <c r="N451" t="n">
        <v>0</v>
      </c>
      <c r="O451" t="n">
        <v>0</v>
      </c>
      <c r="P451" t="n">
        <v>0</v>
      </c>
      <c r="Q451" t="n">
        <v>0</v>
      </c>
      <c r="R451" s="2" t="inlineStr"/>
    </row>
    <row r="452" ht="15" customHeight="1">
      <c r="A452" t="inlineStr">
        <is>
          <t>A 62520-2025</t>
        </is>
      </c>
      <c r="B452" s="1" t="n">
        <v>46007.61498842593</v>
      </c>
      <c r="C452" s="1" t="n">
        <v>46049</v>
      </c>
      <c r="D452" t="inlineStr">
        <is>
          <t>JÄMTLANDS LÄN</t>
        </is>
      </c>
      <c r="E452" t="inlineStr">
        <is>
          <t>ÅRE</t>
        </is>
      </c>
      <c r="G452" t="n">
        <v>0.9</v>
      </c>
      <c r="H452" t="n">
        <v>0</v>
      </c>
      <c r="I452" t="n">
        <v>0</v>
      </c>
      <c r="J452" t="n">
        <v>0</v>
      </c>
      <c r="K452" t="n">
        <v>0</v>
      </c>
      <c r="L452" t="n">
        <v>0</v>
      </c>
      <c r="M452" t="n">
        <v>0</v>
      </c>
      <c r="N452" t="n">
        <v>0</v>
      </c>
      <c r="O452" t="n">
        <v>0</v>
      </c>
      <c r="P452" t="n">
        <v>0</v>
      </c>
      <c r="Q452" t="n">
        <v>0</v>
      </c>
      <c r="R452" s="2" t="inlineStr"/>
    </row>
    <row r="453" ht="15" customHeight="1">
      <c r="A453" t="inlineStr">
        <is>
          <t>A 55413-2025</t>
        </is>
      </c>
      <c r="B453" s="1" t="n">
        <v>45971.46915509259</v>
      </c>
      <c r="C453" s="1" t="n">
        <v>46049</v>
      </c>
      <c r="D453" t="inlineStr">
        <is>
          <t>JÄMTLANDS LÄN</t>
        </is>
      </c>
      <c r="E453" t="inlineStr">
        <is>
          <t>ÅRE</t>
        </is>
      </c>
      <c r="G453" t="n">
        <v>7.2</v>
      </c>
      <c r="H453" t="n">
        <v>0</v>
      </c>
      <c r="I453" t="n">
        <v>0</v>
      </c>
      <c r="J453" t="n">
        <v>0</v>
      </c>
      <c r="K453" t="n">
        <v>0</v>
      </c>
      <c r="L453" t="n">
        <v>0</v>
      </c>
      <c r="M453" t="n">
        <v>0</v>
      </c>
      <c r="N453" t="n">
        <v>0</v>
      </c>
      <c r="O453" t="n">
        <v>0</v>
      </c>
      <c r="P453" t="n">
        <v>0</v>
      </c>
      <c r="Q453" t="n">
        <v>0</v>
      </c>
      <c r="R453" s="2" t="inlineStr"/>
    </row>
    <row r="454" ht="15" customHeight="1">
      <c r="A454" t="inlineStr">
        <is>
          <t>A 53899-2023</t>
        </is>
      </c>
      <c r="B454" s="1" t="n">
        <v>45231.54160879629</v>
      </c>
      <c r="C454" s="1" t="n">
        <v>46049</v>
      </c>
      <c r="D454" t="inlineStr">
        <is>
          <t>JÄMTLANDS LÄN</t>
        </is>
      </c>
      <c r="E454" t="inlineStr">
        <is>
          <t>ÅRE</t>
        </is>
      </c>
      <c r="G454" t="n">
        <v>20.4</v>
      </c>
      <c r="H454" t="n">
        <v>0</v>
      </c>
      <c r="I454" t="n">
        <v>0</v>
      </c>
      <c r="J454" t="n">
        <v>0</v>
      </c>
      <c r="K454" t="n">
        <v>0</v>
      </c>
      <c r="L454" t="n">
        <v>0</v>
      </c>
      <c r="M454" t="n">
        <v>0</v>
      </c>
      <c r="N454" t="n">
        <v>0</v>
      </c>
      <c r="O454" t="n">
        <v>0</v>
      </c>
      <c r="P454" t="n">
        <v>0</v>
      </c>
      <c r="Q454" t="n">
        <v>0</v>
      </c>
      <c r="R454" s="2" t="inlineStr"/>
    </row>
    <row r="455" ht="15" customHeight="1">
      <c r="A455" t="inlineStr">
        <is>
          <t>A 55416-2025</t>
        </is>
      </c>
      <c r="B455" s="1" t="n">
        <v>45971.46951388889</v>
      </c>
      <c r="C455" s="1" t="n">
        <v>46049</v>
      </c>
      <c r="D455" t="inlineStr">
        <is>
          <t>JÄMTLANDS LÄN</t>
        </is>
      </c>
      <c r="E455" t="inlineStr">
        <is>
          <t>ÅRE</t>
        </is>
      </c>
      <c r="G455" t="n">
        <v>6.3</v>
      </c>
      <c r="H455" t="n">
        <v>0</v>
      </c>
      <c r="I455" t="n">
        <v>0</v>
      </c>
      <c r="J455" t="n">
        <v>0</v>
      </c>
      <c r="K455" t="n">
        <v>0</v>
      </c>
      <c r="L455" t="n">
        <v>0</v>
      </c>
      <c r="M455" t="n">
        <v>0</v>
      </c>
      <c r="N455" t="n">
        <v>0</v>
      </c>
      <c r="O455" t="n">
        <v>0</v>
      </c>
      <c r="P455" t="n">
        <v>0</v>
      </c>
      <c r="Q455" t="n">
        <v>0</v>
      </c>
      <c r="R455" s="2" t="inlineStr"/>
    </row>
    <row r="456" ht="15" customHeight="1">
      <c r="A456" t="inlineStr">
        <is>
          <t>A 56091-2025</t>
        </is>
      </c>
      <c r="B456" s="1" t="n">
        <v>45973.67434027778</v>
      </c>
      <c r="C456" s="1" t="n">
        <v>46049</v>
      </c>
      <c r="D456" t="inlineStr">
        <is>
          <t>JÄMTLANDS LÄN</t>
        </is>
      </c>
      <c r="E456" t="inlineStr">
        <is>
          <t>ÅRE</t>
        </is>
      </c>
      <c r="G456" t="n">
        <v>8</v>
      </c>
      <c r="H456" t="n">
        <v>0</v>
      </c>
      <c r="I456" t="n">
        <v>0</v>
      </c>
      <c r="J456" t="n">
        <v>0</v>
      </c>
      <c r="K456" t="n">
        <v>0</v>
      </c>
      <c r="L456" t="n">
        <v>0</v>
      </c>
      <c r="M456" t="n">
        <v>0</v>
      </c>
      <c r="N456" t="n">
        <v>0</v>
      </c>
      <c r="O456" t="n">
        <v>0</v>
      </c>
      <c r="P456" t="n">
        <v>0</v>
      </c>
      <c r="Q456" t="n">
        <v>0</v>
      </c>
      <c r="R456" s="2" t="inlineStr"/>
    </row>
    <row r="457" ht="15" customHeight="1">
      <c r="A457" t="inlineStr">
        <is>
          <t>A 34538-2023</t>
        </is>
      </c>
      <c r="B457" s="1" t="n">
        <v>45134</v>
      </c>
      <c r="C457" s="1" t="n">
        <v>46049</v>
      </c>
      <c r="D457" t="inlineStr">
        <is>
          <t>JÄMTLANDS LÄN</t>
        </is>
      </c>
      <c r="E457" t="inlineStr">
        <is>
          <t>ÅRE</t>
        </is>
      </c>
      <c r="G457" t="n">
        <v>1.3</v>
      </c>
      <c r="H457" t="n">
        <v>0</v>
      </c>
      <c r="I457" t="n">
        <v>0</v>
      </c>
      <c r="J457" t="n">
        <v>0</v>
      </c>
      <c r="K457" t="n">
        <v>0</v>
      </c>
      <c r="L457" t="n">
        <v>0</v>
      </c>
      <c r="M457" t="n">
        <v>0</v>
      </c>
      <c r="N457" t="n">
        <v>0</v>
      </c>
      <c r="O457" t="n">
        <v>0</v>
      </c>
      <c r="P457" t="n">
        <v>0</v>
      </c>
      <c r="Q457" t="n">
        <v>0</v>
      </c>
      <c r="R457" s="2" t="inlineStr"/>
    </row>
    <row r="458" ht="15" customHeight="1">
      <c r="A458" t="inlineStr">
        <is>
          <t>A 56205-2025</t>
        </is>
      </c>
      <c r="B458" s="1" t="n">
        <v>45974.469375</v>
      </c>
      <c r="C458" s="1" t="n">
        <v>46049</v>
      </c>
      <c r="D458" t="inlineStr">
        <is>
          <t>JÄMTLANDS LÄN</t>
        </is>
      </c>
      <c r="E458" t="inlineStr">
        <is>
          <t>ÅRE</t>
        </is>
      </c>
      <c r="G458" t="n">
        <v>2.5</v>
      </c>
      <c r="H458" t="n">
        <v>0</v>
      </c>
      <c r="I458" t="n">
        <v>0</v>
      </c>
      <c r="J458" t="n">
        <v>0</v>
      </c>
      <c r="K458" t="n">
        <v>0</v>
      </c>
      <c r="L458" t="n">
        <v>0</v>
      </c>
      <c r="M458" t="n">
        <v>0</v>
      </c>
      <c r="N458" t="n">
        <v>0</v>
      </c>
      <c r="O458" t="n">
        <v>0</v>
      </c>
      <c r="P458" t="n">
        <v>0</v>
      </c>
      <c r="Q458" t="n">
        <v>0</v>
      </c>
      <c r="R458" s="2" t="inlineStr"/>
    </row>
    <row r="459" ht="15" customHeight="1">
      <c r="A459" t="inlineStr">
        <is>
          <t>A 56204-2025</t>
        </is>
      </c>
      <c r="B459" s="1" t="n">
        <v>45974.46935185185</v>
      </c>
      <c r="C459" s="1" t="n">
        <v>46049</v>
      </c>
      <c r="D459" t="inlineStr">
        <is>
          <t>JÄMTLANDS LÄN</t>
        </is>
      </c>
      <c r="E459" t="inlineStr">
        <is>
          <t>ÅRE</t>
        </is>
      </c>
      <c r="G459" t="n">
        <v>3.2</v>
      </c>
      <c r="H459" t="n">
        <v>0</v>
      </c>
      <c r="I459" t="n">
        <v>0</v>
      </c>
      <c r="J459" t="n">
        <v>0</v>
      </c>
      <c r="K459" t="n">
        <v>0</v>
      </c>
      <c r="L459" t="n">
        <v>0</v>
      </c>
      <c r="M459" t="n">
        <v>0</v>
      </c>
      <c r="N459" t="n">
        <v>0</v>
      </c>
      <c r="O459" t="n">
        <v>0</v>
      </c>
      <c r="P459" t="n">
        <v>0</v>
      </c>
      <c r="Q459" t="n">
        <v>0</v>
      </c>
      <c r="R459" s="2" t="inlineStr"/>
    </row>
    <row r="460" ht="15" customHeight="1">
      <c r="A460" t="inlineStr">
        <is>
          <t>A 58889-2022</t>
        </is>
      </c>
      <c r="B460" s="1" t="n">
        <v>44896</v>
      </c>
      <c r="C460" s="1" t="n">
        <v>46049</v>
      </c>
      <c r="D460" t="inlineStr">
        <is>
          <t>JÄMTLANDS LÄN</t>
        </is>
      </c>
      <c r="E460" t="inlineStr">
        <is>
          <t>ÅRE</t>
        </is>
      </c>
      <c r="G460" t="n">
        <v>6.9</v>
      </c>
      <c r="H460" t="n">
        <v>0</v>
      </c>
      <c r="I460" t="n">
        <v>0</v>
      </c>
      <c r="J460" t="n">
        <v>0</v>
      </c>
      <c r="K460" t="n">
        <v>0</v>
      </c>
      <c r="L460" t="n">
        <v>0</v>
      </c>
      <c r="M460" t="n">
        <v>0</v>
      </c>
      <c r="N460" t="n">
        <v>0</v>
      </c>
      <c r="O460" t="n">
        <v>0</v>
      </c>
      <c r="P460" t="n">
        <v>0</v>
      </c>
      <c r="Q460" t="n">
        <v>0</v>
      </c>
      <c r="R460" s="2" t="inlineStr"/>
    </row>
    <row r="461" ht="15" customHeight="1">
      <c r="A461" t="inlineStr">
        <is>
          <t>A 56563-2025</t>
        </is>
      </c>
      <c r="B461" s="1" t="n">
        <v>45975.49930555555</v>
      </c>
      <c r="C461" s="1" t="n">
        <v>46049</v>
      </c>
      <c r="D461" t="inlineStr">
        <is>
          <t>JÄMTLANDS LÄN</t>
        </is>
      </c>
      <c r="E461" t="inlineStr">
        <is>
          <t>ÅRE</t>
        </is>
      </c>
      <c r="G461" t="n">
        <v>1.5</v>
      </c>
      <c r="H461" t="n">
        <v>0</v>
      </c>
      <c r="I461" t="n">
        <v>0</v>
      </c>
      <c r="J461" t="n">
        <v>0</v>
      </c>
      <c r="K461" t="n">
        <v>0</v>
      </c>
      <c r="L461" t="n">
        <v>0</v>
      </c>
      <c r="M461" t="n">
        <v>0</v>
      </c>
      <c r="N461" t="n">
        <v>0</v>
      </c>
      <c r="O461" t="n">
        <v>0</v>
      </c>
      <c r="P461" t="n">
        <v>0</v>
      </c>
      <c r="Q461" t="n">
        <v>0</v>
      </c>
      <c r="R461" s="2" t="inlineStr"/>
    </row>
    <row r="462" ht="15" customHeight="1">
      <c r="A462" t="inlineStr">
        <is>
          <t>A 56873-2025</t>
        </is>
      </c>
      <c r="B462" s="1" t="n">
        <v>45978.53459490741</v>
      </c>
      <c r="C462" s="1" t="n">
        <v>46049</v>
      </c>
      <c r="D462" t="inlineStr">
        <is>
          <t>JÄMTLANDS LÄN</t>
        </is>
      </c>
      <c r="E462" t="inlineStr">
        <is>
          <t>ÅRE</t>
        </is>
      </c>
      <c r="F462" t="inlineStr">
        <is>
          <t>Övriga Aktiebolag</t>
        </is>
      </c>
      <c r="G462" t="n">
        <v>6.1</v>
      </c>
      <c r="H462" t="n">
        <v>0</v>
      </c>
      <c r="I462" t="n">
        <v>0</v>
      </c>
      <c r="J462" t="n">
        <v>0</v>
      </c>
      <c r="K462" t="n">
        <v>0</v>
      </c>
      <c r="L462" t="n">
        <v>0</v>
      </c>
      <c r="M462" t="n">
        <v>0</v>
      </c>
      <c r="N462" t="n">
        <v>0</v>
      </c>
      <c r="O462" t="n">
        <v>0</v>
      </c>
      <c r="P462" t="n">
        <v>0</v>
      </c>
      <c r="Q462" t="n">
        <v>0</v>
      </c>
      <c r="R462" s="2" t="inlineStr"/>
    </row>
    <row r="463" ht="15" customHeight="1">
      <c r="A463" t="inlineStr">
        <is>
          <t>A 61815-2021</t>
        </is>
      </c>
      <c r="B463" s="1" t="n">
        <v>44498</v>
      </c>
      <c r="C463" s="1" t="n">
        <v>46049</v>
      </c>
      <c r="D463" t="inlineStr">
        <is>
          <t>JÄMTLANDS LÄN</t>
        </is>
      </c>
      <c r="E463" t="inlineStr">
        <is>
          <t>ÅRE</t>
        </is>
      </c>
      <c r="G463" t="n">
        <v>7.4</v>
      </c>
      <c r="H463" t="n">
        <v>0</v>
      </c>
      <c r="I463" t="n">
        <v>0</v>
      </c>
      <c r="J463" t="n">
        <v>0</v>
      </c>
      <c r="K463" t="n">
        <v>0</v>
      </c>
      <c r="L463" t="n">
        <v>0</v>
      </c>
      <c r="M463" t="n">
        <v>0</v>
      </c>
      <c r="N463" t="n">
        <v>0</v>
      </c>
      <c r="O463" t="n">
        <v>0</v>
      </c>
      <c r="P463" t="n">
        <v>0</v>
      </c>
      <c r="Q463" t="n">
        <v>0</v>
      </c>
      <c r="R463" s="2" t="inlineStr"/>
    </row>
    <row r="464" ht="15" customHeight="1">
      <c r="A464" t="inlineStr">
        <is>
          <t>A 63838-2025</t>
        </is>
      </c>
      <c r="B464" s="1" t="n">
        <v>46020.4169212963</v>
      </c>
      <c r="C464" s="1" t="n">
        <v>46049</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63863-2025</t>
        </is>
      </c>
      <c r="B465" s="1" t="n">
        <v>46020.49924768518</v>
      </c>
      <c r="C465" s="1" t="n">
        <v>46049</v>
      </c>
      <c r="D465" t="inlineStr">
        <is>
          <t>JÄMTLANDS LÄN</t>
        </is>
      </c>
      <c r="E465" t="inlineStr">
        <is>
          <t>ÅRE</t>
        </is>
      </c>
      <c r="G465" t="n">
        <v>1.5</v>
      </c>
      <c r="H465" t="n">
        <v>0</v>
      </c>
      <c r="I465" t="n">
        <v>0</v>
      </c>
      <c r="J465" t="n">
        <v>0</v>
      </c>
      <c r="K465" t="n">
        <v>0</v>
      </c>
      <c r="L465" t="n">
        <v>0</v>
      </c>
      <c r="M465" t="n">
        <v>0</v>
      </c>
      <c r="N465" t="n">
        <v>0</v>
      </c>
      <c r="O465" t="n">
        <v>0</v>
      </c>
      <c r="P465" t="n">
        <v>0</v>
      </c>
      <c r="Q465" t="n">
        <v>0</v>
      </c>
      <c r="R465" s="2" t="inlineStr"/>
    </row>
    <row r="466" ht="15" customHeight="1">
      <c r="A466" t="inlineStr">
        <is>
          <t>A 63860-2025</t>
        </is>
      </c>
      <c r="B466" s="1" t="n">
        <v>46020.48969907407</v>
      </c>
      <c r="C466" s="1" t="n">
        <v>46049</v>
      </c>
      <c r="D466" t="inlineStr">
        <is>
          <t>JÄMTLANDS LÄN</t>
        </is>
      </c>
      <c r="E466" t="inlineStr">
        <is>
          <t>ÅRE</t>
        </is>
      </c>
      <c r="G466" t="n">
        <v>4.1</v>
      </c>
      <c r="H466" t="n">
        <v>0</v>
      </c>
      <c r="I466" t="n">
        <v>0</v>
      </c>
      <c r="J466" t="n">
        <v>0</v>
      </c>
      <c r="K466" t="n">
        <v>0</v>
      </c>
      <c r="L466" t="n">
        <v>0</v>
      </c>
      <c r="M466" t="n">
        <v>0</v>
      </c>
      <c r="N466" t="n">
        <v>0</v>
      </c>
      <c r="O466" t="n">
        <v>0</v>
      </c>
      <c r="P466" t="n">
        <v>0</v>
      </c>
      <c r="Q466" t="n">
        <v>0</v>
      </c>
      <c r="R466" s="2" t="inlineStr"/>
    </row>
    <row r="467" ht="15" customHeight="1">
      <c r="A467" t="inlineStr">
        <is>
          <t>A 30263-2023</t>
        </is>
      </c>
      <c r="B467" s="1" t="n">
        <v>45099</v>
      </c>
      <c r="C467" s="1" t="n">
        <v>46049</v>
      </c>
      <c r="D467" t="inlineStr">
        <is>
          <t>JÄMTLANDS LÄN</t>
        </is>
      </c>
      <c r="E467" t="inlineStr">
        <is>
          <t>ÅRE</t>
        </is>
      </c>
      <c r="G467" t="n">
        <v>15.9</v>
      </c>
      <c r="H467" t="n">
        <v>0</v>
      </c>
      <c r="I467" t="n">
        <v>0</v>
      </c>
      <c r="J467" t="n">
        <v>0</v>
      </c>
      <c r="K467" t="n">
        <v>0</v>
      </c>
      <c r="L467" t="n">
        <v>0</v>
      </c>
      <c r="M467" t="n">
        <v>0</v>
      </c>
      <c r="N467" t="n">
        <v>0</v>
      </c>
      <c r="O467" t="n">
        <v>0</v>
      </c>
      <c r="P467" t="n">
        <v>0</v>
      </c>
      <c r="Q467" t="n">
        <v>0</v>
      </c>
      <c r="R467" s="2" t="inlineStr"/>
    </row>
    <row r="468" ht="15" customHeight="1">
      <c r="A468" t="inlineStr">
        <is>
          <t>A 56576-2025</t>
        </is>
      </c>
      <c r="B468" s="1" t="n">
        <v>45975.52893518518</v>
      </c>
      <c r="C468" s="1" t="n">
        <v>46049</v>
      </c>
      <c r="D468" t="inlineStr">
        <is>
          <t>JÄMTLANDS LÄN</t>
        </is>
      </c>
      <c r="E468" t="inlineStr">
        <is>
          <t>ÅRE</t>
        </is>
      </c>
      <c r="G468" t="n">
        <v>1.2</v>
      </c>
      <c r="H468" t="n">
        <v>0</v>
      </c>
      <c r="I468" t="n">
        <v>0</v>
      </c>
      <c r="J468" t="n">
        <v>0</v>
      </c>
      <c r="K468" t="n">
        <v>0</v>
      </c>
      <c r="L468" t="n">
        <v>0</v>
      </c>
      <c r="M468" t="n">
        <v>0</v>
      </c>
      <c r="N468" t="n">
        <v>0</v>
      </c>
      <c r="O468" t="n">
        <v>0</v>
      </c>
      <c r="P468" t="n">
        <v>0</v>
      </c>
      <c r="Q468" t="n">
        <v>0</v>
      </c>
      <c r="R468" s="2" t="inlineStr"/>
    </row>
    <row r="469" ht="15" customHeight="1">
      <c r="A469" t="inlineStr">
        <is>
          <t>A 56495-2025</t>
        </is>
      </c>
      <c r="B469" s="1" t="n">
        <v>45975.42577546297</v>
      </c>
      <c r="C469" s="1" t="n">
        <v>46049</v>
      </c>
      <c r="D469" t="inlineStr">
        <is>
          <t>JÄMTLANDS LÄN</t>
        </is>
      </c>
      <c r="E469" t="inlineStr">
        <is>
          <t>ÅRE</t>
        </is>
      </c>
      <c r="G469" t="n">
        <v>6.3</v>
      </c>
      <c r="H469" t="n">
        <v>0</v>
      </c>
      <c r="I469" t="n">
        <v>0</v>
      </c>
      <c r="J469" t="n">
        <v>0</v>
      </c>
      <c r="K469" t="n">
        <v>0</v>
      </c>
      <c r="L469" t="n">
        <v>0</v>
      </c>
      <c r="M469" t="n">
        <v>0</v>
      </c>
      <c r="N469" t="n">
        <v>0</v>
      </c>
      <c r="O469" t="n">
        <v>0</v>
      </c>
      <c r="P469" t="n">
        <v>0</v>
      </c>
      <c r="Q469" t="n">
        <v>0</v>
      </c>
      <c r="R469" s="2" t="inlineStr"/>
    </row>
    <row r="470" ht="15" customHeight="1">
      <c r="A470" t="inlineStr">
        <is>
          <t>A 59387-2022</t>
        </is>
      </c>
      <c r="B470" s="1" t="n">
        <v>44905</v>
      </c>
      <c r="C470" s="1" t="n">
        <v>46049</v>
      </c>
      <c r="D470" t="inlineStr">
        <is>
          <t>JÄMTLANDS LÄN</t>
        </is>
      </c>
      <c r="E470" t="inlineStr">
        <is>
          <t>ÅRE</t>
        </is>
      </c>
      <c r="G470" t="n">
        <v>0.6</v>
      </c>
      <c r="H470" t="n">
        <v>0</v>
      </c>
      <c r="I470" t="n">
        <v>0</v>
      </c>
      <c r="J470" t="n">
        <v>0</v>
      </c>
      <c r="K470" t="n">
        <v>0</v>
      </c>
      <c r="L470" t="n">
        <v>0</v>
      </c>
      <c r="M470" t="n">
        <v>0</v>
      </c>
      <c r="N470" t="n">
        <v>0</v>
      </c>
      <c r="O470" t="n">
        <v>0</v>
      </c>
      <c r="P470" t="n">
        <v>0</v>
      </c>
      <c r="Q470" t="n">
        <v>0</v>
      </c>
      <c r="R470" s="2" t="inlineStr"/>
    </row>
    <row r="471" ht="15" customHeight="1">
      <c r="A471" t="inlineStr">
        <is>
          <t>A 8217-2021</t>
        </is>
      </c>
      <c r="B471" s="1" t="n">
        <v>44244</v>
      </c>
      <c r="C471" s="1" t="n">
        <v>46049</v>
      </c>
      <c r="D471" t="inlineStr">
        <is>
          <t>JÄMTLANDS LÄN</t>
        </is>
      </c>
      <c r="E471" t="inlineStr">
        <is>
          <t>ÅRE</t>
        </is>
      </c>
      <c r="G471" t="n">
        <v>51.8</v>
      </c>
      <c r="H471" t="n">
        <v>0</v>
      </c>
      <c r="I471" t="n">
        <v>0</v>
      </c>
      <c r="J471" t="n">
        <v>0</v>
      </c>
      <c r="K471" t="n">
        <v>0</v>
      </c>
      <c r="L471" t="n">
        <v>0</v>
      </c>
      <c r="M471" t="n">
        <v>0</v>
      </c>
      <c r="N471" t="n">
        <v>0</v>
      </c>
      <c r="O471" t="n">
        <v>0</v>
      </c>
      <c r="P471" t="n">
        <v>0</v>
      </c>
      <c r="Q471" t="n">
        <v>0</v>
      </c>
      <c r="R471" s="2" t="inlineStr"/>
    </row>
    <row r="472" ht="15" customHeight="1">
      <c r="A472" t="inlineStr">
        <is>
          <t>A 56601-2025</t>
        </is>
      </c>
      <c r="B472" s="1" t="n">
        <v>45975.57423611111</v>
      </c>
      <c r="C472" s="1" t="n">
        <v>46049</v>
      </c>
      <c r="D472" t="inlineStr">
        <is>
          <t>JÄMTLANDS LÄN</t>
        </is>
      </c>
      <c r="E472" t="inlineStr">
        <is>
          <t>ÅRE</t>
        </is>
      </c>
      <c r="G472" t="n">
        <v>0.7</v>
      </c>
      <c r="H472" t="n">
        <v>0</v>
      </c>
      <c r="I472" t="n">
        <v>0</v>
      </c>
      <c r="J472" t="n">
        <v>0</v>
      </c>
      <c r="K472" t="n">
        <v>0</v>
      </c>
      <c r="L472" t="n">
        <v>0</v>
      </c>
      <c r="M472" t="n">
        <v>0</v>
      </c>
      <c r="N472" t="n">
        <v>0</v>
      </c>
      <c r="O472" t="n">
        <v>0</v>
      </c>
      <c r="P472" t="n">
        <v>0</v>
      </c>
      <c r="Q472" t="n">
        <v>0</v>
      </c>
      <c r="R472" s="2" t="inlineStr"/>
    </row>
    <row r="473" ht="15" customHeight="1">
      <c r="A473" t="inlineStr">
        <is>
          <t>A 23159-2024</t>
        </is>
      </c>
      <c r="B473" s="1" t="n">
        <v>45450.7033912037</v>
      </c>
      <c r="C473" s="1" t="n">
        <v>46049</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57285-2025</t>
        </is>
      </c>
      <c r="B474" s="1" t="n">
        <v>45979.73390046296</v>
      </c>
      <c r="C474" s="1" t="n">
        <v>46049</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57286-2025</t>
        </is>
      </c>
      <c r="B475" s="1" t="n">
        <v>45979.74055555555</v>
      </c>
      <c r="C475" s="1" t="n">
        <v>46049</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73800-2021</t>
        </is>
      </c>
      <c r="B476" s="1" t="n">
        <v>44552</v>
      </c>
      <c r="C476" s="1" t="n">
        <v>46049</v>
      </c>
      <c r="D476" t="inlineStr">
        <is>
          <t>JÄMTLANDS LÄN</t>
        </is>
      </c>
      <c r="E476" t="inlineStr">
        <is>
          <t>ÅRE</t>
        </is>
      </c>
      <c r="G476" t="n">
        <v>8.6</v>
      </c>
      <c r="H476" t="n">
        <v>0</v>
      </c>
      <c r="I476" t="n">
        <v>0</v>
      </c>
      <c r="J476" t="n">
        <v>0</v>
      </c>
      <c r="K476" t="n">
        <v>0</v>
      </c>
      <c r="L476" t="n">
        <v>0</v>
      </c>
      <c r="M476" t="n">
        <v>0</v>
      </c>
      <c r="N476" t="n">
        <v>0</v>
      </c>
      <c r="O476" t="n">
        <v>0</v>
      </c>
      <c r="P476" t="n">
        <v>0</v>
      </c>
      <c r="Q476" t="n">
        <v>0</v>
      </c>
      <c r="R476" s="2" t="inlineStr"/>
    </row>
    <row r="477" ht="15" customHeight="1">
      <c r="A477" t="inlineStr">
        <is>
          <t>A 57464-2025</t>
        </is>
      </c>
      <c r="B477" s="1" t="n">
        <v>45980</v>
      </c>
      <c r="C477" s="1" t="n">
        <v>46049</v>
      </c>
      <c r="D477" t="inlineStr">
        <is>
          <t>JÄMTLANDS LÄN</t>
        </is>
      </c>
      <c r="E477" t="inlineStr">
        <is>
          <t>ÅRE</t>
        </is>
      </c>
      <c r="G477" t="n">
        <v>8.1</v>
      </c>
      <c r="H477" t="n">
        <v>0</v>
      </c>
      <c r="I477" t="n">
        <v>0</v>
      </c>
      <c r="J477" t="n">
        <v>0</v>
      </c>
      <c r="K477" t="n">
        <v>0</v>
      </c>
      <c r="L477" t="n">
        <v>0</v>
      </c>
      <c r="M477" t="n">
        <v>0</v>
      </c>
      <c r="N477" t="n">
        <v>0</v>
      </c>
      <c r="O477" t="n">
        <v>0</v>
      </c>
      <c r="P477" t="n">
        <v>0</v>
      </c>
      <c r="Q477" t="n">
        <v>0</v>
      </c>
      <c r="R477" s="2" t="inlineStr"/>
    </row>
    <row r="478" ht="15" customHeight="1">
      <c r="A478" t="inlineStr">
        <is>
          <t>A 44925-2024</t>
        </is>
      </c>
      <c r="B478" s="1" t="n">
        <v>45575.40700231482</v>
      </c>
      <c r="C478" s="1" t="n">
        <v>46049</v>
      </c>
      <c r="D478" t="inlineStr">
        <is>
          <t>JÄMTLANDS LÄN</t>
        </is>
      </c>
      <c r="E478" t="inlineStr">
        <is>
          <t>ÅRE</t>
        </is>
      </c>
      <c r="F478" t="inlineStr">
        <is>
          <t>Övriga Aktiebolag</t>
        </is>
      </c>
      <c r="G478" t="n">
        <v>22.3</v>
      </c>
      <c r="H478" t="n">
        <v>0</v>
      </c>
      <c r="I478" t="n">
        <v>0</v>
      </c>
      <c r="J478" t="n">
        <v>0</v>
      </c>
      <c r="K478" t="n">
        <v>0</v>
      </c>
      <c r="L478" t="n">
        <v>0</v>
      </c>
      <c r="M478" t="n">
        <v>0</v>
      </c>
      <c r="N478" t="n">
        <v>0</v>
      </c>
      <c r="O478" t="n">
        <v>0</v>
      </c>
      <c r="P478" t="n">
        <v>0</v>
      </c>
      <c r="Q478" t="n">
        <v>0</v>
      </c>
      <c r="R478" s="2" t="inlineStr"/>
    </row>
    <row r="479" ht="15" customHeight="1">
      <c r="A479" t="inlineStr">
        <is>
          <t>A 64245-2021</t>
        </is>
      </c>
      <c r="B479" s="1" t="n">
        <v>44510</v>
      </c>
      <c r="C479" s="1" t="n">
        <v>46049</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9613-2021</t>
        </is>
      </c>
      <c r="B480" s="1" t="n">
        <v>44251</v>
      </c>
      <c r="C480" s="1" t="n">
        <v>46049</v>
      </c>
      <c r="D480" t="inlineStr">
        <is>
          <t>JÄMTLANDS LÄN</t>
        </is>
      </c>
      <c r="E480" t="inlineStr">
        <is>
          <t>ÅRE</t>
        </is>
      </c>
      <c r="G480" t="n">
        <v>2</v>
      </c>
      <c r="H480" t="n">
        <v>0</v>
      </c>
      <c r="I480" t="n">
        <v>0</v>
      </c>
      <c r="J480" t="n">
        <v>0</v>
      </c>
      <c r="K480" t="n">
        <v>0</v>
      </c>
      <c r="L480" t="n">
        <v>0</v>
      </c>
      <c r="M480" t="n">
        <v>0</v>
      </c>
      <c r="N480" t="n">
        <v>0</v>
      </c>
      <c r="O480" t="n">
        <v>0</v>
      </c>
      <c r="P480" t="n">
        <v>0</v>
      </c>
      <c r="Q480" t="n">
        <v>0</v>
      </c>
      <c r="R480" s="2" t="inlineStr"/>
    </row>
    <row r="481" ht="15" customHeight="1">
      <c r="A481" t="inlineStr">
        <is>
          <t>A 57627-2025</t>
        </is>
      </c>
      <c r="B481" s="1" t="n">
        <v>45981.34583333333</v>
      </c>
      <c r="C481" s="1" t="n">
        <v>46049</v>
      </c>
      <c r="D481" t="inlineStr">
        <is>
          <t>JÄMTLANDS LÄN</t>
        </is>
      </c>
      <c r="E481" t="inlineStr">
        <is>
          <t>ÅRE</t>
        </is>
      </c>
      <c r="G481" t="n">
        <v>3.3</v>
      </c>
      <c r="H481" t="n">
        <v>0</v>
      </c>
      <c r="I481" t="n">
        <v>0</v>
      </c>
      <c r="J481" t="n">
        <v>0</v>
      </c>
      <c r="K481" t="n">
        <v>0</v>
      </c>
      <c r="L481" t="n">
        <v>0</v>
      </c>
      <c r="M481" t="n">
        <v>0</v>
      </c>
      <c r="N481" t="n">
        <v>0</v>
      </c>
      <c r="O481" t="n">
        <v>0</v>
      </c>
      <c r="P481" t="n">
        <v>0</v>
      </c>
      <c r="Q481" t="n">
        <v>0</v>
      </c>
      <c r="R481" s="2" t="inlineStr"/>
    </row>
    <row r="482" ht="15" customHeight="1">
      <c r="A482" t="inlineStr">
        <is>
          <t>A 57622-2025</t>
        </is>
      </c>
      <c r="B482" s="1" t="n">
        <v>45981.34545138889</v>
      </c>
      <c r="C482" s="1" t="n">
        <v>46049</v>
      </c>
      <c r="D482" t="inlineStr">
        <is>
          <t>JÄMTLANDS LÄN</t>
        </is>
      </c>
      <c r="E482" t="inlineStr">
        <is>
          <t>ÅRE</t>
        </is>
      </c>
      <c r="G482" t="n">
        <v>1.3</v>
      </c>
      <c r="H482" t="n">
        <v>0</v>
      </c>
      <c r="I482" t="n">
        <v>0</v>
      </c>
      <c r="J482" t="n">
        <v>0</v>
      </c>
      <c r="K482" t="n">
        <v>0</v>
      </c>
      <c r="L482" t="n">
        <v>0</v>
      </c>
      <c r="M482" t="n">
        <v>0</v>
      </c>
      <c r="N482" t="n">
        <v>0</v>
      </c>
      <c r="O482" t="n">
        <v>0</v>
      </c>
      <c r="P482" t="n">
        <v>0</v>
      </c>
      <c r="Q482" t="n">
        <v>0</v>
      </c>
      <c r="R482" s="2" t="inlineStr"/>
    </row>
    <row r="483" ht="15" customHeight="1">
      <c r="A483" t="inlineStr">
        <is>
          <t>A 57816-2025</t>
        </is>
      </c>
      <c r="B483" s="1" t="n">
        <v>45981.59471064815</v>
      </c>
      <c r="C483" s="1" t="n">
        <v>46049</v>
      </c>
      <c r="D483" t="inlineStr">
        <is>
          <t>JÄMTLANDS LÄN</t>
        </is>
      </c>
      <c r="E483" t="inlineStr">
        <is>
          <t>ÅRE</t>
        </is>
      </c>
      <c r="G483" t="n">
        <v>5.8</v>
      </c>
      <c r="H483" t="n">
        <v>0</v>
      </c>
      <c r="I483" t="n">
        <v>0</v>
      </c>
      <c r="J483" t="n">
        <v>0</v>
      </c>
      <c r="K483" t="n">
        <v>0</v>
      </c>
      <c r="L483" t="n">
        <v>0</v>
      </c>
      <c r="M483" t="n">
        <v>0</v>
      </c>
      <c r="N483" t="n">
        <v>0</v>
      </c>
      <c r="O483" t="n">
        <v>0</v>
      </c>
      <c r="P483" t="n">
        <v>0</v>
      </c>
      <c r="Q483" t="n">
        <v>0</v>
      </c>
      <c r="R483" s="2" t="inlineStr"/>
    </row>
    <row r="484" ht="15" customHeight="1">
      <c r="A484" t="inlineStr">
        <is>
          <t>A 61924-2022</t>
        </is>
      </c>
      <c r="B484" s="1" t="n">
        <v>44917</v>
      </c>
      <c r="C484" s="1" t="n">
        <v>46049</v>
      </c>
      <c r="D484" t="inlineStr">
        <is>
          <t>JÄMTLANDS LÄN</t>
        </is>
      </c>
      <c r="E484" t="inlineStr">
        <is>
          <t>ÅRE</t>
        </is>
      </c>
      <c r="G484" t="n">
        <v>39.8</v>
      </c>
      <c r="H484" t="n">
        <v>0</v>
      </c>
      <c r="I484" t="n">
        <v>0</v>
      </c>
      <c r="J484" t="n">
        <v>0</v>
      </c>
      <c r="K484" t="n">
        <v>0</v>
      </c>
      <c r="L484" t="n">
        <v>0</v>
      </c>
      <c r="M484" t="n">
        <v>0</v>
      </c>
      <c r="N484" t="n">
        <v>0</v>
      </c>
      <c r="O484" t="n">
        <v>0</v>
      </c>
      <c r="P484" t="n">
        <v>0</v>
      </c>
      <c r="Q484" t="n">
        <v>0</v>
      </c>
      <c r="R484" s="2" t="inlineStr"/>
    </row>
    <row r="485" ht="15" customHeight="1">
      <c r="A485" t="inlineStr">
        <is>
          <t>A 57745-2025</t>
        </is>
      </c>
      <c r="B485" s="1" t="n">
        <v>45981.53217592592</v>
      </c>
      <c r="C485" s="1" t="n">
        <v>46049</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37729-2023</t>
        </is>
      </c>
      <c r="B486" s="1" t="n">
        <v>45159</v>
      </c>
      <c r="C486" s="1" t="n">
        <v>46049</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57928-2025</t>
        </is>
      </c>
      <c r="B487" s="1" t="n">
        <v>45981.88722222222</v>
      </c>
      <c r="C487" s="1" t="n">
        <v>46049</v>
      </c>
      <c r="D487" t="inlineStr">
        <is>
          <t>JÄMTLANDS LÄN</t>
        </is>
      </c>
      <c r="E487" t="inlineStr">
        <is>
          <t>ÅRE</t>
        </is>
      </c>
      <c r="G487" t="n">
        <v>2.4</v>
      </c>
      <c r="H487" t="n">
        <v>0</v>
      </c>
      <c r="I487" t="n">
        <v>0</v>
      </c>
      <c r="J487" t="n">
        <v>0</v>
      </c>
      <c r="K487" t="n">
        <v>0</v>
      </c>
      <c r="L487" t="n">
        <v>0</v>
      </c>
      <c r="M487" t="n">
        <v>0</v>
      </c>
      <c r="N487" t="n">
        <v>0</v>
      </c>
      <c r="O487" t="n">
        <v>0</v>
      </c>
      <c r="P487" t="n">
        <v>0</v>
      </c>
      <c r="Q487" t="n">
        <v>0</v>
      </c>
      <c r="R487" s="2" t="inlineStr"/>
    </row>
    <row r="488" ht="15" customHeight="1">
      <c r="A488" t="inlineStr">
        <is>
          <t>A 50099-2021</t>
        </is>
      </c>
      <c r="B488" s="1" t="n">
        <v>44456</v>
      </c>
      <c r="C488" s="1" t="n">
        <v>46049</v>
      </c>
      <c r="D488" t="inlineStr">
        <is>
          <t>JÄMTLANDS LÄN</t>
        </is>
      </c>
      <c r="E488" t="inlineStr">
        <is>
          <t>ÅRE</t>
        </is>
      </c>
      <c r="G488" t="n">
        <v>6.2</v>
      </c>
      <c r="H488" t="n">
        <v>0</v>
      </c>
      <c r="I488" t="n">
        <v>0</v>
      </c>
      <c r="J488" t="n">
        <v>0</v>
      </c>
      <c r="K488" t="n">
        <v>0</v>
      </c>
      <c r="L488" t="n">
        <v>0</v>
      </c>
      <c r="M488" t="n">
        <v>0</v>
      </c>
      <c r="N488" t="n">
        <v>0</v>
      </c>
      <c r="O488" t="n">
        <v>0</v>
      </c>
      <c r="P488" t="n">
        <v>0</v>
      </c>
      <c r="Q488" t="n">
        <v>0</v>
      </c>
      <c r="R488" s="2" t="inlineStr"/>
    </row>
    <row r="489" ht="15" customHeight="1">
      <c r="A489" t="inlineStr">
        <is>
          <t>A 58006-2025</t>
        </is>
      </c>
      <c r="B489" s="1" t="n">
        <v>45982.44869212963</v>
      </c>
      <c r="C489" s="1" t="n">
        <v>46049</v>
      </c>
      <c r="D489" t="inlineStr">
        <is>
          <t>JÄMTLANDS LÄN</t>
        </is>
      </c>
      <c r="E489" t="inlineStr">
        <is>
          <t>ÅRE</t>
        </is>
      </c>
      <c r="G489" t="n">
        <v>4</v>
      </c>
      <c r="H489" t="n">
        <v>0</v>
      </c>
      <c r="I489" t="n">
        <v>0</v>
      </c>
      <c r="J489" t="n">
        <v>0</v>
      </c>
      <c r="K489" t="n">
        <v>0</v>
      </c>
      <c r="L489" t="n">
        <v>0</v>
      </c>
      <c r="M489" t="n">
        <v>0</v>
      </c>
      <c r="N489" t="n">
        <v>0</v>
      </c>
      <c r="O489" t="n">
        <v>0</v>
      </c>
      <c r="P489" t="n">
        <v>0</v>
      </c>
      <c r="Q489" t="n">
        <v>0</v>
      </c>
      <c r="R489" s="2" t="inlineStr"/>
    </row>
    <row r="490" ht="15" customHeight="1">
      <c r="A490" t="inlineStr">
        <is>
          <t>A 58432-2025</t>
        </is>
      </c>
      <c r="B490" s="1" t="n">
        <v>45985.60774305555</v>
      </c>
      <c r="C490" s="1" t="n">
        <v>46049</v>
      </c>
      <c r="D490" t="inlineStr">
        <is>
          <t>JÄMTLANDS LÄN</t>
        </is>
      </c>
      <c r="E490" t="inlineStr">
        <is>
          <t>ÅRE</t>
        </is>
      </c>
      <c r="G490" t="n">
        <v>1.7</v>
      </c>
      <c r="H490" t="n">
        <v>0</v>
      </c>
      <c r="I490" t="n">
        <v>0</v>
      </c>
      <c r="J490" t="n">
        <v>0</v>
      </c>
      <c r="K490" t="n">
        <v>0</v>
      </c>
      <c r="L490" t="n">
        <v>0</v>
      </c>
      <c r="M490" t="n">
        <v>0</v>
      </c>
      <c r="N490" t="n">
        <v>0</v>
      </c>
      <c r="O490" t="n">
        <v>0</v>
      </c>
      <c r="P490" t="n">
        <v>0</v>
      </c>
      <c r="Q490" t="n">
        <v>0</v>
      </c>
      <c r="R490" s="2" t="inlineStr"/>
    </row>
    <row r="491" ht="15" customHeight="1">
      <c r="A491" t="inlineStr">
        <is>
          <t>A 20480-2024</t>
        </is>
      </c>
      <c r="B491" s="1" t="n">
        <v>45435.71126157408</v>
      </c>
      <c r="C491" s="1" t="n">
        <v>46049</v>
      </c>
      <c r="D491" t="inlineStr">
        <is>
          <t>JÄMTLANDS LÄN</t>
        </is>
      </c>
      <c r="E491" t="inlineStr">
        <is>
          <t>ÅRE</t>
        </is>
      </c>
      <c r="G491" t="n">
        <v>2.7</v>
      </c>
      <c r="H491" t="n">
        <v>0</v>
      </c>
      <c r="I491" t="n">
        <v>0</v>
      </c>
      <c r="J491" t="n">
        <v>0</v>
      </c>
      <c r="K491" t="n">
        <v>0</v>
      </c>
      <c r="L491" t="n">
        <v>0</v>
      </c>
      <c r="M491" t="n">
        <v>0</v>
      </c>
      <c r="N491" t="n">
        <v>0</v>
      </c>
      <c r="O491" t="n">
        <v>0</v>
      </c>
      <c r="P491" t="n">
        <v>0</v>
      </c>
      <c r="Q491" t="n">
        <v>0</v>
      </c>
      <c r="R491" s="2" t="inlineStr"/>
    </row>
    <row r="492" ht="15" customHeight="1">
      <c r="A492" t="inlineStr">
        <is>
          <t>A 58469-2025</t>
        </is>
      </c>
      <c r="B492" s="1" t="n">
        <v>45985.63699074074</v>
      </c>
      <c r="C492" s="1" t="n">
        <v>46049</v>
      </c>
      <c r="D492" t="inlineStr">
        <is>
          <t>JÄMTLANDS LÄN</t>
        </is>
      </c>
      <c r="E492" t="inlineStr">
        <is>
          <t>ÅRE</t>
        </is>
      </c>
      <c r="F492" t="inlineStr">
        <is>
          <t>Övriga Aktiebolag</t>
        </is>
      </c>
      <c r="G492" t="n">
        <v>3.7</v>
      </c>
      <c r="H492" t="n">
        <v>0</v>
      </c>
      <c r="I492" t="n">
        <v>0</v>
      </c>
      <c r="J492" t="n">
        <v>0</v>
      </c>
      <c r="K492" t="n">
        <v>0</v>
      </c>
      <c r="L492" t="n">
        <v>0</v>
      </c>
      <c r="M492" t="n">
        <v>0</v>
      </c>
      <c r="N492" t="n">
        <v>0</v>
      </c>
      <c r="O492" t="n">
        <v>0</v>
      </c>
      <c r="P492" t="n">
        <v>0</v>
      </c>
      <c r="Q492" t="n">
        <v>0</v>
      </c>
      <c r="R492" s="2" t="inlineStr"/>
    </row>
    <row r="493" ht="15" customHeight="1">
      <c r="A493" t="inlineStr">
        <is>
          <t>A 59666-2023</t>
        </is>
      </c>
      <c r="B493" s="1" t="n">
        <v>45254.96476851852</v>
      </c>
      <c r="C493" s="1" t="n">
        <v>46049</v>
      </c>
      <c r="D493" t="inlineStr">
        <is>
          <t>JÄMTLANDS LÄN</t>
        </is>
      </c>
      <c r="E493" t="inlineStr">
        <is>
          <t>ÅRE</t>
        </is>
      </c>
      <c r="G493" t="n">
        <v>6.6</v>
      </c>
      <c r="H493" t="n">
        <v>0</v>
      </c>
      <c r="I493" t="n">
        <v>0</v>
      </c>
      <c r="J493" t="n">
        <v>0</v>
      </c>
      <c r="K493" t="n">
        <v>0</v>
      </c>
      <c r="L493" t="n">
        <v>0</v>
      </c>
      <c r="M493" t="n">
        <v>0</v>
      </c>
      <c r="N493" t="n">
        <v>0</v>
      </c>
      <c r="O493" t="n">
        <v>0</v>
      </c>
      <c r="P493" t="n">
        <v>0</v>
      </c>
      <c r="Q493" t="n">
        <v>0</v>
      </c>
      <c r="R493" s="2" t="inlineStr"/>
    </row>
    <row r="494" ht="15" customHeight="1">
      <c r="A494" t="inlineStr">
        <is>
          <t>A 36048-2023</t>
        </is>
      </c>
      <c r="B494" s="1" t="n">
        <v>45149.42868055555</v>
      </c>
      <c r="C494" s="1" t="n">
        <v>46049</v>
      </c>
      <c r="D494" t="inlineStr">
        <is>
          <t>JÄMTLANDS LÄN</t>
        </is>
      </c>
      <c r="E494" t="inlineStr">
        <is>
          <t>ÅRE</t>
        </is>
      </c>
      <c r="G494" t="n">
        <v>11.4</v>
      </c>
      <c r="H494" t="n">
        <v>0</v>
      </c>
      <c r="I494" t="n">
        <v>0</v>
      </c>
      <c r="J494" t="n">
        <v>0</v>
      </c>
      <c r="K494" t="n">
        <v>0</v>
      </c>
      <c r="L494" t="n">
        <v>0</v>
      </c>
      <c r="M494" t="n">
        <v>0</v>
      </c>
      <c r="N494" t="n">
        <v>0</v>
      </c>
      <c r="O494" t="n">
        <v>0</v>
      </c>
      <c r="P494" t="n">
        <v>0</v>
      </c>
      <c r="Q494" t="n">
        <v>0</v>
      </c>
      <c r="R494" s="2" t="inlineStr"/>
    </row>
    <row r="495" ht="15" customHeight="1">
      <c r="A495" t="inlineStr">
        <is>
          <t>A 45279-2024</t>
        </is>
      </c>
      <c r="B495" s="1" t="n">
        <v>45576.37496527778</v>
      </c>
      <c r="C495" s="1" t="n">
        <v>46049</v>
      </c>
      <c r="D495" t="inlineStr">
        <is>
          <t>JÄMTLANDS LÄN</t>
        </is>
      </c>
      <c r="E495" t="inlineStr">
        <is>
          <t>ÅRE</t>
        </is>
      </c>
      <c r="G495" t="n">
        <v>17.2</v>
      </c>
      <c r="H495" t="n">
        <v>0</v>
      </c>
      <c r="I495" t="n">
        <v>0</v>
      </c>
      <c r="J495" t="n">
        <v>0</v>
      </c>
      <c r="K495" t="n">
        <v>0</v>
      </c>
      <c r="L495" t="n">
        <v>0</v>
      </c>
      <c r="M495" t="n">
        <v>0</v>
      </c>
      <c r="N495" t="n">
        <v>0</v>
      </c>
      <c r="O495" t="n">
        <v>0</v>
      </c>
      <c r="P495" t="n">
        <v>0</v>
      </c>
      <c r="Q495" t="n">
        <v>0</v>
      </c>
      <c r="R495" s="2" t="inlineStr"/>
    </row>
    <row r="496" ht="15" customHeight="1">
      <c r="A496" t="inlineStr">
        <is>
          <t>A 59014-2025</t>
        </is>
      </c>
      <c r="B496" s="1" t="n">
        <v>45987.81232638889</v>
      </c>
      <c r="C496" s="1" t="n">
        <v>46049</v>
      </c>
      <c r="D496" t="inlineStr">
        <is>
          <t>JÄMTLANDS LÄN</t>
        </is>
      </c>
      <c r="E496" t="inlineStr">
        <is>
          <t>ÅRE</t>
        </is>
      </c>
      <c r="G496" t="n">
        <v>2.1</v>
      </c>
      <c r="H496" t="n">
        <v>0</v>
      </c>
      <c r="I496" t="n">
        <v>0</v>
      </c>
      <c r="J496" t="n">
        <v>0</v>
      </c>
      <c r="K496" t="n">
        <v>0</v>
      </c>
      <c r="L496" t="n">
        <v>0</v>
      </c>
      <c r="M496" t="n">
        <v>0</v>
      </c>
      <c r="N496" t="n">
        <v>0</v>
      </c>
      <c r="O496" t="n">
        <v>0</v>
      </c>
      <c r="P496" t="n">
        <v>0</v>
      </c>
      <c r="Q496" t="n">
        <v>0</v>
      </c>
      <c r="R496" s="2" t="inlineStr"/>
    </row>
    <row r="497" ht="15" customHeight="1">
      <c r="A497" t="inlineStr">
        <is>
          <t>A 3154-2023</t>
        </is>
      </c>
      <c r="B497" s="1" t="n">
        <v>44946.56012731481</v>
      </c>
      <c r="C497" s="1" t="n">
        <v>46049</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3204-2023</t>
        </is>
      </c>
      <c r="B498" s="1" t="n">
        <v>44946</v>
      </c>
      <c r="C498" s="1" t="n">
        <v>46049</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52677-2024</t>
        </is>
      </c>
      <c r="B499" s="1" t="n">
        <v>45610.38560185185</v>
      </c>
      <c r="C499" s="1" t="n">
        <v>46049</v>
      </c>
      <c r="D499" t="inlineStr">
        <is>
          <t>JÄMTLANDS LÄN</t>
        </is>
      </c>
      <c r="E499" t="inlineStr">
        <is>
          <t>ÅRE</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58872-2025</t>
        </is>
      </c>
      <c r="B500" s="1" t="n">
        <v>45987.46554398148</v>
      </c>
      <c r="C500" s="1" t="n">
        <v>46049</v>
      </c>
      <c r="D500" t="inlineStr">
        <is>
          <t>JÄMTLANDS LÄN</t>
        </is>
      </c>
      <c r="E500" t="inlineStr">
        <is>
          <t>ÅRE</t>
        </is>
      </c>
      <c r="G500" t="n">
        <v>8</v>
      </c>
      <c r="H500" t="n">
        <v>0</v>
      </c>
      <c r="I500" t="n">
        <v>0</v>
      </c>
      <c r="J500" t="n">
        <v>0</v>
      </c>
      <c r="K500" t="n">
        <v>0</v>
      </c>
      <c r="L500" t="n">
        <v>0</v>
      </c>
      <c r="M500" t="n">
        <v>0</v>
      </c>
      <c r="N500" t="n">
        <v>0</v>
      </c>
      <c r="O500" t="n">
        <v>0</v>
      </c>
      <c r="P500" t="n">
        <v>0</v>
      </c>
      <c r="Q500" t="n">
        <v>0</v>
      </c>
      <c r="R500" s="2" t="inlineStr"/>
    </row>
    <row r="501" ht="15" customHeight="1">
      <c r="A501" t="inlineStr">
        <is>
          <t>A 58891-2025</t>
        </is>
      </c>
      <c r="B501" s="1" t="n">
        <v>45987.49034722222</v>
      </c>
      <c r="C501" s="1" t="n">
        <v>46049</v>
      </c>
      <c r="D501" t="inlineStr">
        <is>
          <t>JÄMTLANDS LÄN</t>
        </is>
      </c>
      <c r="E501" t="inlineStr">
        <is>
          <t>ÅRE</t>
        </is>
      </c>
      <c r="G501" t="n">
        <v>4.1</v>
      </c>
      <c r="H501" t="n">
        <v>0</v>
      </c>
      <c r="I501" t="n">
        <v>0</v>
      </c>
      <c r="J501" t="n">
        <v>0</v>
      </c>
      <c r="K501" t="n">
        <v>0</v>
      </c>
      <c r="L501" t="n">
        <v>0</v>
      </c>
      <c r="M501" t="n">
        <v>0</v>
      </c>
      <c r="N501" t="n">
        <v>0</v>
      </c>
      <c r="O501" t="n">
        <v>0</v>
      </c>
      <c r="P501" t="n">
        <v>0</v>
      </c>
      <c r="Q501" t="n">
        <v>0</v>
      </c>
      <c r="R501" s="2" t="inlineStr"/>
    </row>
    <row r="502" ht="15" customHeight="1">
      <c r="A502" t="inlineStr">
        <is>
          <t>A 49313-2024</t>
        </is>
      </c>
      <c r="B502" s="1" t="n">
        <v>45595</v>
      </c>
      <c r="C502" s="1" t="n">
        <v>46049</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500-2026</t>
        </is>
      </c>
      <c r="B503" s="1" t="n">
        <v>46029.43557870371</v>
      </c>
      <c r="C503" s="1" t="n">
        <v>46049</v>
      </c>
      <c r="D503" t="inlineStr">
        <is>
          <t>JÄMTLANDS LÄN</t>
        </is>
      </c>
      <c r="E503" t="inlineStr">
        <is>
          <t>ÅRE</t>
        </is>
      </c>
      <c r="F503" t="inlineStr">
        <is>
          <t>Övriga Aktiebolag</t>
        </is>
      </c>
      <c r="G503" t="n">
        <v>8.5</v>
      </c>
      <c r="H503" t="n">
        <v>0</v>
      </c>
      <c r="I503" t="n">
        <v>0</v>
      </c>
      <c r="J503" t="n">
        <v>0</v>
      </c>
      <c r="K503" t="n">
        <v>0</v>
      </c>
      <c r="L503" t="n">
        <v>0</v>
      </c>
      <c r="M503" t="n">
        <v>0</v>
      </c>
      <c r="N503" t="n">
        <v>0</v>
      </c>
      <c r="O503" t="n">
        <v>0</v>
      </c>
      <c r="P503" t="n">
        <v>0</v>
      </c>
      <c r="Q503" t="n">
        <v>0</v>
      </c>
      <c r="R503" s="2" t="inlineStr"/>
    </row>
    <row r="504" ht="15" customHeight="1">
      <c r="A504" t="inlineStr">
        <is>
          <t>A 59161-2025</t>
        </is>
      </c>
      <c r="B504" s="1" t="n">
        <v>45988.55300925926</v>
      </c>
      <c r="C504" s="1" t="n">
        <v>46049</v>
      </c>
      <c r="D504" t="inlineStr">
        <is>
          <t>JÄMTLANDS LÄN</t>
        </is>
      </c>
      <c r="E504" t="inlineStr">
        <is>
          <t>ÅRE</t>
        </is>
      </c>
      <c r="G504" t="n">
        <v>3.8</v>
      </c>
      <c r="H504" t="n">
        <v>0</v>
      </c>
      <c r="I504" t="n">
        <v>0</v>
      </c>
      <c r="J504" t="n">
        <v>0</v>
      </c>
      <c r="K504" t="n">
        <v>0</v>
      </c>
      <c r="L504" t="n">
        <v>0</v>
      </c>
      <c r="M504" t="n">
        <v>0</v>
      </c>
      <c r="N504" t="n">
        <v>0</v>
      </c>
      <c r="O504" t="n">
        <v>0</v>
      </c>
      <c r="P504" t="n">
        <v>0</v>
      </c>
      <c r="Q504" t="n">
        <v>0</v>
      </c>
      <c r="R504" s="2" t="inlineStr"/>
    </row>
    <row r="505" ht="15" customHeight="1">
      <c r="A505" t="inlineStr">
        <is>
          <t>A 54247-2024</t>
        </is>
      </c>
      <c r="B505" s="1" t="n">
        <v>45616</v>
      </c>
      <c r="C505" s="1" t="n">
        <v>46049</v>
      </c>
      <c r="D505" t="inlineStr">
        <is>
          <t>JÄMTLANDS LÄN</t>
        </is>
      </c>
      <c r="E505" t="inlineStr">
        <is>
          <t>ÅRE</t>
        </is>
      </c>
      <c r="G505" t="n">
        <v>0.5</v>
      </c>
      <c r="H505" t="n">
        <v>0</v>
      </c>
      <c r="I505" t="n">
        <v>0</v>
      </c>
      <c r="J505" t="n">
        <v>0</v>
      </c>
      <c r="K505" t="n">
        <v>0</v>
      </c>
      <c r="L505" t="n">
        <v>0</v>
      </c>
      <c r="M505" t="n">
        <v>0</v>
      </c>
      <c r="N505" t="n">
        <v>0</v>
      </c>
      <c r="O505" t="n">
        <v>0</v>
      </c>
      <c r="P505" t="n">
        <v>0</v>
      </c>
      <c r="Q505" t="n">
        <v>0</v>
      </c>
      <c r="R505" s="2" t="inlineStr"/>
    </row>
    <row r="506" ht="15" customHeight="1">
      <c r="A506" t="inlineStr">
        <is>
          <t>A 58983-2025</t>
        </is>
      </c>
      <c r="B506" s="1" t="n">
        <v>45987.63885416667</v>
      </c>
      <c r="C506" s="1" t="n">
        <v>46049</v>
      </c>
      <c r="D506" t="inlineStr">
        <is>
          <t>JÄMTLANDS LÄN</t>
        </is>
      </c>
      <c r="E506" t="inlineStr">
        <is>
          <t>ÅRE</t>
        </is>
      </c>
      <c r="G506" t="n">
        <v>9.9</v>
      </c>
      <c r="H506" t="n">
        <v>0</v>
      </c>
      <c r="I506" t="n">
        <v>0</v>
      </c>
      <c r="J506" t="n">
        <v>0</v>
      </c>
      <c r="K506" t="n">
        <v>0</v>
      </c>
      <c r="L506" t="n">
        <v>0</v>
      </c>
      <c r="M506" t="n">
        <v>0</v>
      </c>
      <c r="N506" t="n">
        <v>0</v>
      </c>
      <c r="O506" t="n">
        <v>0</v>
      </c>
      <c r="P506" t="n">
        <v>0</v>
      </c>
      <c r="Q506" t="n">
        <v>0</v>
      </c>
      <c r="R506" s="2" t="inlineStr"/>
    </row>
    <row r="507" ht="15" customHeight="1">
      <c r="A507" t="inlineStr">
        <is>
          <t>A 1603-2026</t>
        </is>
      </c>
      <c r="B507" s="1" t="n">
        <v>46034.45974537037</v>
      </c>
      <c r="C507" s="1" t="n">
        <v>46049</v>
      </c>
      <c r="D507" t="inlineStr">
        <is>
          <t>JÄMTLANDS LÄN</t>
        </is>
      </c>
      <c r="E507" t="inlineStr">
        <is>
          <t>ÅRE</t>
        </is>
      </c>
      <c r="G507" t="n">
        <v>3.3</v>
      </c>
      <c r="H507" t="n">
        <v>0</v>
      </c>
      <c r="I507" t="n">
        <v>0</v>
      </c>
      <c r="J507" t="n">
        <v>0</v>
      </c>
      <c r="K507" t="n">
        <v>0</v>
      </c>
      <c r="L507" t="n">
        <v>0</v>
      </c>
      <c r="M507" t="n">
        <v>0</v>
      </c>
      <c r="N507" t="n">
        <v>0</v>
      </c>
      <c r="O507" t="n">
        <v>0</v>
      </c>
      <c r="P507" t="n">
        <v>0</v>
      </c>
      <c r="Q507" t="n">
        <v>0</v>
      </c>
      <c r="R507" s="2" t="inlineStr"/>
    </row>
    <row r="508" ht="15" customHeight="1">
      <c r="A508" t="inlineStr">
        <is>
          <t>A 59653-2025</t>
        </is>
      </c>
      <c r="B508" s="1" t="n">
        <v>45992.43616898148</v>
      </c>
      <c r="C508" s="1" t="n">
        <v>46049</v>
      </c>
      <c r="D508" t="inlineStr">
        <is>
          <t>JÄMTLANDS LÄN</t>
        </is>
      </c>
      <c r="E508" t="inlineStr">
        <is>
          <t>ÅRE</t>
        </is>
      </c>
      <c r="G508" t="n">
        <v>3.6</v>
      </c>
      <c r="H508" t="n">
        <v>0</v>
      </c>
      <c r="I508" t="n">
        <v>0</v>
      </c>
      <c r="J508" t="n">
        <v>0</v>
      </c>
      <c r="K508" t="n">
        <v>0</v>
      </c>
      <c r="L508" t="n">
        <v>0</v>
      </c>
      <c r="M508" t="n">
        <v>0</v>
      </c>
      <c r="N508" t="n">
        <v>0</v>
      </c>
      <c r="O508" t="n">
        <v>0</v>
      </c>
      <c r="P508" t="n">
        <v>0</v>
      </c>
      <c r="Q508" t="n">
        <v>0</v>
      </c>
      <c r="R508" s="2" t="inlineStr"/>
    </row>
    <row r="509" ht="15" customHeight="1">
      <c r="A509" t="inlineStr">
        <is>
          <t>A 59659-2025</t>
        </is>
      </c>
      <c r="B509" s="1" t="n">
        <v>45992.44748842593</v>
      </c>
      <c r="C509" s="1" t="n">
        <v>46049</v>
      </c>
      <c r="D509" t="inlineStr">
        <is>
          <t>JÄMTLANDS LÄN</t>
        </is>
      </c>
      <c r="E509" t="inlineStr">
        <is>
          <t>ÅRE</t>
        </is>
      </c>
      <c r="G509" t="n">
        <v>2.8</v>
      </c>
      <c r="H509" t="n">
        <v>0</v>
      </c>
      <c r="I509" t="n">
        <v>0</v>
      </c>
      <c r="J509" t="n">
        <v>0</v>
      </c>
      <c r="K509" t="n">
        <v>0</v>
      </c>
      <c r="L509" t="n">
        <v>0</v>
      </c>
      <c r="M509" t="n">
        <v>0</v>
      </c>
      <c r="N509" t="n">
        <v>0</v>
      </c>
      <c r="O509" t="n">
        <v>0</v>
      </c>
      <c r="P509" t="n">
        <v>0</v>
      </c>
      <c r="Q509" t="n">
        <v>0</v>
      </c>
      <c r="R509" s="2" t="inlineStr"/>
    </row>
    <row r="510" ht="15" customHeight="1">
      <c r="A510" t="inlineStr">
        <is>
          <t>A 59690-2025</t>
        </is>
      </c>
      <c r="B510" s="1" t="n">
        <v>45992.48541666667</v>
      </c>
      <c r="C510" s="1" t="n">
        <v>46049</v>
      </c>
      <c r="D510" t="inlineStr">
        <is>
          <t>JÄMTLANDS LÄN</t>
        </is>
      </c>
      <c r="E510" t="inlineStr">
        <is>
          <t>ÅRE</t>
        </is>
      </c>
      <c r="G510" t="n">
        <v>2.5</v>
      </c>
      <c r="H510" t="n">
        <v>0</v>
      </c>
      <c r="I510" t="n">
        <v>0</v>
      </c>
      <c r="J510" t="n">
        <v>0</v>
      </c>
      <c r="K510" t="n">
        <v>0</v>
      </c>
      <c r="L510" t="n">
        <v>0</v>
      </c>
      <c r="M510" t="n">
        <v>0</v>
      </c>
      <c r="N510" t="n">
        <v>0</v>
      </c>
      <c r="O510" t="n">
        <v>0</v>
      </c>
      <c r="P510" t="n">
        <v>0</v>
      </c>
      <c r="Q510" t="n">
        <v>0</v>
      </c>
      <c r="R510" s="2" t="inlineStr"/>
    </row>
    <row r="511" ht="15" customHeight="1">
      <c r="A511" t="inlineStr">
        <is>
          <t>A 59823-2025</t>
        </is>
      </c>
      <c r="B511" s="1" t="n">
        <v>45992.64878472222</v>
      </c>
      <c r="C511" s="1" t="n">
        <v>46049</v>
      </c>
      <c r="D511" t="inlineStr">
        <is>
          <t>JÄMTLANDS LÄN</t>
        </is>
      </c>
      <c r="E511" t="inlineStr">
        <is>
          <t>ÅRE</t>
        </is>
      </c>
      <c r="G511" t="n">
        <v>0.4</v>
      </c>
      <c r="H511" t="n">
        <v>0</v>
      </c>
      <c r="I511" t="n">
        <v>0</v>
      </c>
      <c r="J511" t="n">
        <v>0</v>
      </c>
      <c r="K511" t="n">
        <v>0</v>
      </c>
      <c r="L511" t="n">
        <v>0</v>
      </c>
      <c r="M511" t="n">
        <v>0</v>
      </c>
      <c r="N511" t="n">
        <v>0</v>
      </c>
      <c r="O511" t="n">
        <v>0</v>
      </c>
      <c r="P511" t="n">
        <v>0</v>
      </c>
      <c r="Q511" t="n">
        <v>0</v>
      </c>
      <c r="R511" s="2" t="inlineStr"/>
    </row>
    <row r="512" ht="15" customHeight="1">
      <c r="A512" t="inlineStr">
        <is>
          <t>A 15884-2023</t>
        </is>
      </c>
      <c r="B512" s="1" t="n">
        <v>45022</v>
      </c>
      <c r="C512" s="1" t="n">
        <v>46049</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47076-2024</t>
        </is>
      </c>
      <c r="B513" s="1" t="n">
        <v>45586.50180555556</v>
      </c>
      <c r="C513" s="1" t="n">
        <v>46049</v>
      </c>
      <c r="D513" t="inlineStr">
        <is>
          <t>JÄMTLANDS LÄN</t>
        </is>
      </c>
      <c r="E513" t="inlineStr">
        <is>
          <t>ÅRE</t>
        </is>
      </c>
      <c r="G513" t="n">
        <v>6.5</v>
      </c>
      <c r="H513" t="n">
        <v>0</v>
      </c>
      <c r="I513" t="n">
        <v>0</v>
      </c>
      <c r="J513" t="n">
        <v>0</v>
      </c>
      <c r="K513" t="n">
        <v>0</v>
      </c>
      <c r="L513" t="n">
        <v>0</v>
      </c>
      <c r="M513" t="n">
        <v>0</v>
      </c>
      <c r="N513" t="n">
        <v>0</v>
      </c>
      <c r="O513" t="n">
        <v>0</v>
      </c>
      <c r="P513" t="n">
        <v>0</v>
      </c>
      <c r="Q513" t="n">
        <v>0</v>
      </c>
      <c r="R513" s="2" t="inlineStr"/>
    </row>
    <row r="514" ht="15" customHeight="1">
      <c r="A514" t="inlineStr">
        <is>
          <t>A 59367-2025</t>
        </is>
      </c>
      <c r="B514" s="1" t="n">
        <v>45989.44711805556</v>
      </c>
      <c r="C514" s="1" t="n">
        <v>46049</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6358-2025</t>
        </is>
      </c>
      <c r="B515" s="1" t="n">
        <v>45699.36491898148</v>
      </c>
      <c r="C515" s="1" t="n">
        <v>46049</v>
      </c>
      <c r="D515" t="inlineStr">
        <is>
          <t>JÄMTLANDS LÄN</t>
        </is>
      </c>
      <c r="E515" t="inlineStr">
        <is>
          <t>ÅRE</t>
        </is>
      </c>
      <c r="G515" t="n">
        <v>5.6</v>
      </c>
      <c r="H515" t="n">
        <v>0</v>
      </c>
      <c r="I515" t="n">
        <v>0</v>
      </c>
      <c r="J515" t="n">
        <v>0</v>
      </c>
      <c r="K515" t="n">
        <v>0</v>
      </c>
      <c r="L515" t="n">
        <v>0</v>
      </c>
      <c r="M515" t="n">
        <v>0</v>
      </c>
      <c r="N515" t="n">
        <v>0</v>
      </c>
      <c r="O515" t="n">
        <v>0</v>
      </c>
      <c r="P515" t="n">
        <v>0</v>
      </c>
      <c r="Q515" t="n">
        <v>0</v>
      </c>
      <c r="R515" s="2" t="inlineStr"/>
    </row>
    <row r="516" ht="15" customHeight="1">
      <c r="A516" t="inlineStr">
        <is>
          <t>A 18253-2023</t>
        </is>
      </c>
      <c r="B516" s="1" t="n">
        <v>45041.48034722222</v>
      </c>
      <c r="C516" s="1" t="n">
        <v>46049</v>
      </c>
      <c r="D516" t="inlineStr">
        <is>
          <t>JÄMTLANDS LÄN</t>
        </is>
      </c>
      <c r="E516" t="inlineStr">
        <is>
          <t>ÅRE</t>
        </is>
      </c>
      <c r="G516" t="n">
        <v>1.3</v>
      </c>
      <c r="H516" t="n">
        <v>0</v>
      </c>
      <c r="I516" t="n">
        <v>0</v>
      </c>
      <c r="J516" t="n">
        <v>0</v>
      </c>
      <c r="K516" t="n">
        <v>0</v>
      </c>
      <c r="L516" t="n">
        <v>0</v>
      </c>
      <c r="M516" t="n">
        <v>0</v>
      </c>
      <c r="N516" t="n">
        <v>0</v>
      </c>
      <c r="O516" t="n">
        <v>0</v>
      </c>
      <c r="P516" t="n">
        <v>0</v>
      </c>
      <c r="Q516" t="n">
        <v>0</v>
      </c>
      <c r="R516" s="2" t="inlineStr"/>
    </row>
    <row r="517" ht="15" customHeight="1">
      <c r="A517" t="inlineStr">
        <is>
          <t>A 33625-2022</t>
        </is>
      </c>
      <c r="B517" s="1" t="n">
        <v>44789</v>
      </c>
      <c r="C517" s="1" t="n">
        <v>46049</v>
      </c>
      <c r="D517" t="inlineStr">
        <is>
          <t>JÄMTLANDS LÄN</t>
        </is>
      </c>
      <c r="E517" t="inlineStr">
        <is>
          <t>ÅRE</t>
        </is>
      </c>
      <c r="G517" t="n">
        <v>20.7</v>
      </c>
      <c r="H517" t="n">
        <v>0</v>
      </c>
      <c r="I517" t="n">
        <v>0</v>
      </c>
      <c r="J517" t="n">
        <v>0</v>
      </c>
      <c r="K517" t="n">
        <v>0</v>
      </c>
      <c r="L517" t="n">
        <v>0</v>
      </c>
      <c r="M517" t="n">
        <v>0</v>
      </c>
      <c r="N517" t="n">
        <v>0</v>
      </c>
      <c r="O517" t="n">
        <v>0</v>
      </c>
      <c r="P517" t="n">
        <v>0</v>
      </c>
      <c r="Q517" t="n">
        <v>0</v>
      </c>
      <c r="R517" s="2" t="inlineStr"/>
    </row>
    <row r="518" ht="15" customHeight="1">
      <c r="A518" t="inlineStr">
        <is>
          <t>A 12286-2023</t>
        </is>
      </c>
      <c r="B518" s="1" t="n">
        <v>44998.72263888889</v>
      </c>
      <c r="C518" s="1" t="n">
        <v>46049</v>
      </c>
      <c r="D518" t="inlineStr">
        <is>
          <t>JÄMTLANDS LÄN</t>
        </is>
      </c>
      <c r="E518" t="inlineStr">
        <is>
          <t>ÅRE</t>
        </is>
      </c>
      <c r="G518" t="n">
        <v>7.3</v>
      </c>
      <c r="H518" t="n">
        <v>0</v>
      </c>
      <c r="I518" t="n">
        <v>0</v>
      </c>
      <c r="J518" t="n">
        <v>0</v>
      </c>
      <c r="K518" t="n">
        <v>0</v>
      </c>
      <c r="L518" t="n">
        <v>0</v>
      </c>
      <c r="M518" t="n">
        <v>0</v>
      </c>
      <c r="N518" t="n">
        <v>0</v>
      </c>
      <c r="O518" t="n">
        <v>0</v>
      </c>
      <c r="P518" t="n">
        <v>0</v>
      </c>
      <c r="Q518" t="n">
        <v>0</v>
      </c>
      <c r="R518" s="2" t="inlineStr"/>
    </row>
    <row r="519" ht="15" customHeight="1">
      <c r="A519" t="inlineStr">
        <is>
          <t>A 45105-2024</t>
        </is>
      </c>
      <c r="B519" s="1" t="n">
        <v>45575.5909837963</v>
      </c>
      <c r="C519" s="1" t="n">
        <v>46049</v>
      </c>
      <c r="D519" t="inlineStr">
        <is>
          <t>JÄMTLANDS LÄN</t>
        </is>
      </c>
      <c r="E519" t="inlineStr">
        <is>
          <t>ÅRE</t>
        </is>
      </c>
      <c r="F519" t="inlineStr">
        <is>
          <t>Övriga Aktiebolag</t>
        </is>
      </c>
      <c r="G519" t="n">
        <v>5</v>
      </c>
      <c r="H519" t="n">
        <v>0</v>
      </c>
      <c r="I519" t="n">
        <v>0</v>
      </c>
      <c r="J519" t="n">
        <v>0</v>
      </c>
      <c r="K519" t="n">
        <v>0</v>
      </c>
      <c r="L519" t="n">
        <v>0</v>
      </c>
      <c r="M519" t="n">
        <v>0</v>
      </c>
      <c r="N519" t="n">
        <v>0</v>
      </c>
      <c r="O519" t="n">
        <v>0</v>
      </c>
      <c r="P519" t="n">
        <v>0</v>
      </c>
      <c r="Q519" t="n">
        <v>0</v>
      </c>
      <c r="R519" s="2" t="inlineStr"/>
    </row>
    <row r="520" ht="15" customHeight="1">
      <c r="A520" t="inlineStr">
        <is>
          <t>A 2105-2026</t>
        </is>
      </c>
      <c r="B520" s="1" t="n">
        <v>46036.3758912037</v>
      </c>
      <c r="C520" s="1" t="n">
        <v>46049</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11112-2022</t>
        </is>
      </c>
      <c r="B521" s="1" t="n">
        <v>44628</v>
      </c>
      <c r="C521" s="1" t="n">
        <v>46049</v>
      </c>
      <c r="D521" t="inlineStr">
        <is>
          <t>JÄMTLANDS LÄN</t>
        </is>
      </c>
      <c r="E521" t="inlineStr">
        <is>
          <t>ÅRE</t>
        </is>
      </c>
      <c r="G521" t="n">
        <v>6.6</v>
      </c>
      <c r="H521" t="n">
        <v>0</v>
      </c>
      <c r="I521" t="n">
        <v>0</v>
      </c>
      <c r="J521" t="n">
        <v>0</v>
      </c>
      <c r="K521" t="n">
        <v>0</v>
      </c>
      <c r="L521" t="n">
        <v>0</v>
      </c>
      <c r="M521" t="n">
        <v>0</v>
      </c>
      <c r="N521" t="n">
        <v>0</v>
      </c>
      <c r="O521" t="n">
        <v>0</v>
      </c>
      <c r="P521" t="n">
        <v>0</v>
      </c>
      <c r="Q521" t="n">
        <v>0</v>
      </c>
      <c r="R521" s="2" t="inlineStr"/>
    </row>
    <row r="522" ht="15" customHeight="1">
      <c r="A522" t="inlineStr">
        <is>
          <t>A 39195-2024</t>
        </is>
      </c>
      <c r="B522" s="1" t="n">
        <v>45548.6934837963</v>
      </c>
      <c r="C522" s="1" t="n">
        <v>46049</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17703-2023</t>
        </is>
      </c>
      <c r="B523" s="1" t="n">
        <v>45037.35443287037</v>
      </c>
      <c r="C523" s="1" t="n">
        <v>46049</v>
      </c>
      <c r="D523" t="inlineStr">
        <is>
          <t>JÄMTLANDS LÄN</t>
        </is>
      </c>
      <c r="E523" t="inlineStr">
        <is>
          <t>ÅRE</t>
        </is>
      </c>
      <c r="F523" t="inlineStr">
        <is>
          <t>Övriga Aktiebolag</t>
        </is>
      </c>
      <c r="G523" t="n">
        <v>4</v>
      </c>
      <c r="H523" t="n">
        <v>0</v>
      </c>
      <c r="I523" t="n">
        <v>0</v>
      </c>
      <c r="J523" t="n">
        <v>0</v>
      </c>
      <c r="K523" t="n">
        <v>0</v>
      </c>
      <c r="L523" t="n">
        <v>0</v>
      </c>
      <c r="M523" t="n">
        <v>0</v>
      </c>
      <c r="N523" t="n">
        <v>0</v>
      </c>
      <c r="O523" t="n">
        <v>0</v>
      </c>
      <c r="P523" t="n">
        <v>0</v>
      </c>
      <c r="Q523" t="n">
        <v>0</v>
      </c>
      <c r="R523" s="2" t="inlineStr"/>
    </row>
    <row r="524" ht="15" customHeight="1">
      <c r="A524" t="inlineStr">
        <is>
          <t>A 60398-2025</t>
        </is>
      </c>
      <c r="B524" s="1" t="n">
        <v>45995.3990162037</v>
      </c>
      <c r="C524" s="1" t="n">
        <v>46049</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54186-2024</t>
        </is>
      </c>
      <c r="B525" s="1" t="n">
        <v>45616</v>
      </c>
      <c r="C525" s="1" t="n">
        <v>46049</v>
      </c>
      <c r="D525" t="inlineStr">
        <is>
          <t>JÄMTLANDS LÄN</t>
        </is>
      </c>
      <c r="E525" t="inlineStr">
        <is>
          <t>ÅRE</t>
        </is>
      </c>
      <c r="G525" t="n">
        <v>2.9</v>
      </c>
      <c r="H525" t="n">
        <v>0</v>
      </c>
      <c r="I525" t="n">
        <v>0</v>
      </c>
      <c r="J525" t="n">
        <v>0</v>
      </c>
      <c r="K525" t="n">
        <v>0</v>
      </c>
      <c r="L525" t="n">
        <v>0</v>
      </c>
      <c r="M525" t="n">
        <v>0</v>
      </c>
      <c r="N525" t="n">
        <v>0</v>
      </c>
      <c r="O525" t="n">
        <v>0</v>
      </c>
      <c r="P525" t="n">
        <v>0</v>
      </c>
      <c r="Q525" t="n">
        <v>0</v>
      </c>
      <c r="R525" s="2" t="inlineStr"/>
    </row>
    <row r="526" ht="15" customHeight="1">
      <c r="A526" t="inlineStr">
        <is>
          <t>A 3018-2026</t>
        </is>
      </c>
      <c r="B526" s="1" t="n">
        <v>46038.66943287037</v>
      </c>
      <c r="C526" s="1" t="n">
        <v>46049</v>
      </c>
      <c r="D526" t="inlineStr">
        <is>
          <t>JÄMTLANDS LÄN</t>
        </is>
      </c>
      <c r="E526" t="inlineStr">
        <is>
          <t>ÅRE</t>
        </is>
      </c>
      <c r="G526" t="n">
        <v>4.8</v>
      </c>
      <c r="H526" t="n">
        <v>0</v>
      </c>
      <c r="I526" t="n">
        <v>0</v>
      </c>
      <c r="J526" t="n">
        <v>0</v>
      </c>
      <c r="K526" t="n">
        <v>0</v>
      </c>
      <c r="L526" t="n">
        <v>0</v>
      </c>
      <c r="M526" t="n">
        <v>0</v>
      </c>
      <c r="N526" t="n">
        <v>0</v>
      </c>
      <c r="O526" t="n">
        <v>0</v>
      </c>
      <c r="P526" t="n">
        <v>0</v>
      </c>
      <c r="Q526" t="n">
        <v>0</v>
      </c>
      <c r="R526" s="2" t="inlineStr"/>
    </row>
    <row r="527" ht="15" customHeight="1">
      <c r="A527" t="inlineStr">
        <is>
          <t>A 60585-2025</t>
        </is>
      </c>
      <c r="B527" s="1" t="n">
        <v>45996.33314814815</v>
      </c>
      <c r="C527" s="1" t="n">
        <v>46049</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2520-2026</t>
        </is>
      </c>
      <c r="B528" s="1" t="n">
        <v>46037.42578703703</v>
      </c>
      <c r="C528" s="1" t="n">
        <v>46049</v>
      </c>
      <c r="D528" t="inlineStr">
        <is>
          <t>JÄMTLANDS LÄN</t>
        </is>
      </c>
      <c r="E528" t="inlineStr">
        <is>
          <t>ÅRE</t>
        </is>
      </c>
      <c r="G528" t="n">
        <v>3.3</v>
      </c>
      <c r="H528" t="n">
        <v>0</v>
      </c>
      <c r="I528" t="n">
        <v>0</v>
      </c>
      <c r="J528" t="n">
        <v>0</v>
      </c>
      <c r="K528" t="n">
        <v>0</v>
      </c>
      <c r="L528" t="n">
        <v>0</v>
      </c>
      <c r="M528" t="n">
        <v>0</v>
      </c>
      <c r="N528" t="n">
        <v>0</v>
      </c>
      <c r="O528" t="n">
        <v>0</v>
      </c>
      <c r="P528" t="n">
        <v>0</v>
      </c>
      <c r="Q528" t="n">
        <v>0</v>
      </c>
      <c r="R528" s="2" t="inlineStr"/>
    </row>
    <row r="529" ht="15" customHeight="1">
      <c r="A529" t="inlineStr">
        <is>
          <t>A 60473-2025</t>
        </is>
      </c>
      <c r="B529" s="1" t="n">
        <v>45995.57738425926</v>
      </c>
      <c r="C529" s="1" t="n">
        <v>46049</v>
      </c>
      <c r="D529" t="inlineStr">
        <is>
          <t>JÄMTLANDS LÄN</t>
        </is>
      </c>
      <c r="E529" t="inlineStr">
        <is>
          <t>ÅRE</t>
        </is>
      </c>
      <c r="G529" t="n">
        <v>7.7</v>
      </c>
      <c r="H529" t="n">
        <v>0</v>
      </c>
      <c r="I529" t="n">
        <v>0</v>
      </c>
      <c r="J529" t="n">
        <v>0</v>
      </c>
      <c r="K529" t="n">
        <v>0</v>
      </c>
      <c r="L529" t="n">
        <v>0</v>
      </c>
      <c r="M529" t="n">
        <v>0</v>
      </c>
      <c r="N529" t="n">
        <v>0</v>
      </c>
      <c r="O529" t="n">
        <v>0</v>
      </c>
      <c r="P529" t="n">
        <v>0</v>
      </c>
      <c r="Q529" t="n">
        <v>0</v>
      </c>
      <c r="R529" s="2" t="inlineStr"/>
    </row>
    <row r="530" ht="15" customHeight="1">
      <c r="A530" t="inlineStr">
        <is>
          <t>A 73798-2021</t>
        </is>
      </c>
      <c r="B530" s="1" t="n">
        <v>44552</v>
      </c>
      <c r="C530" s="1" t="n">
        <v>46049</v>
      </c>
      <c r="D530" t="inlineStr">
        <is>
          <t>JÄMTLANDS LÄN</t>
        </is>
      </c>
      <c r="E530" t="inlineStr">
        <is>
          <t>ÅRE</t>
        </is>
      </c>
      <c r="G530" t="n">
        <v>2.5</v>
      </c>
      <c r="H530" t="n">
        <v>0</v>
      </c>
      <c r="I530" t="n">
        <v>0</v>
      </c>
      <c r="J530" t="n">
        <v>0</v>
      </c>
      <c r="K530" t="n">
        <v>0</v>
      </c>
      <c r="L530" t="n">
        <v>0</v>
      </c>
      <c r="M530" t="n">
        <v>0</v>
      </c>
      <c r="N530" t="n">
        <v>0</v>
      </c>
      <c r="O530" t="n">
        <v>0</v>
      </c>
      <c r="P530" t="n">
        <v>0</v>
      </c>
      <c r="Q530" t="n">
        <v>0</v>
      </c>
      <c r="R530" s="2" t="inlineStr"/>
    </row>
    <row r="531" ht="15" customHeight="1">
      <c r="A531" t="inlineStr">
        <is>
          <t>A 61024-2025</t>
        </is>
      </c>
      <c r="B531" s="1" t="n">
        <v>45999.87188657407</v>
      </c>
      <c r="C531" s="1" t="n">
        <v>46049</v>
      </c>
      <c r="D531" t="inlineStr">
        <is>
          <t>JÄMTLANDS LÄN</t>
        </is>
      </c>
      <c r="E531" t="inlineStr">
        <is>
          <t>ÅRE</t>
        </is>
      </c>
      <c r="G531" t="n">
        <v>5.6</v>
      </c>
      <c r="H531" t="n">
        <v>0</v>
      </c>
      <c r="I531" t="n">
        <v>0</v>
      </c>
      <c r="J531" t="n">
        <v>0</v>
      </c>
      <c r="K531" t="n">
        <v>0</v>
      </c>
      <c r="L531" t="n">
        <v>0</v>
      </c>
      <c r="M531" t="n">
        <v>0</v>
      </c>
      <c r="N531" t="n">
        <v>0</v>
      </c>
      <c r="O531" t="n">
        <v>0</v>
      </c>
      <c r="P531" t="n">
        <v>0</v>
      </c>
      <c r="Q531" t="n">
        <v>0</v>
      </c>
      <c r="R531" s="2" t="inlineStr"/>
    </row>
    <row r="532" ht="15" customHeight="1">
      <c r="A532" t="inlineStr">
        <is>
          <t>A 61009-2025</t>
        </is>
      </c>
      <c r="B532" s="1" t="n">
        <v>45999</v>
      </c>
      <c r="C532" s="1" t="n">
        <v>46049</v>
      </c>
      <c r="D532" t="inlineStr">
        <is>
          <t>JÄMTLANDS LÄN</t>
        </is>
      </c>
      <c r="E532" t="inlineStr">
        <is>
          <t>ÅRE</t>
        </is>
      </c>
      <c r="G532" t="n">
        <v>1.9</v>
      </c>
      <c r="H532" t="n">
        <v>0</v>
      </c>
      <c r="I532" t="n">
        <v>0</v>
      </c>
      <c r="J532" t="n">
        <v>0</v>
      </c>
      <c r="K532" t="n">
        <v>0</v>
      </c>
      <c r="L532" t="n">
        <v>0</v>
      </c>
      <c r="M532" t="n">
        <v>0</v>
      </c>
      <c r="N532" t="n">
        <v>0</v>
      </c>
      <c r="O532" t="n">
        <v>0</v>
      </c>
      <c r="P532" t="n">
        <v>0</v>
      </c>
      <c r="Q532" t="n">
        <v>0</v>
      </c>
      <c r="R532" s="2" t="inlineStr"/>
    </row>
    <row r="533" ht="15" customHeight="1">
      <c r="A533" t="inlineStr">
        <is>
          <t>A 61032-2025</t>
        </is>
      </c>
      <c r="B533" s="1" t="n">
        <v>45999.89533564815</v>
      </c>
      <c r="C533" s="1" t="n">
        <v>46049</v>
      </c>
      <c r="D533" t="inlineStr">
        <is>
          <t>JÄMTLANDS LÄN</t>
        </is>
      </c>
      <c r="E533" t="inlineStr">
        <is>
          <t>ÅRE</t>
        </is>
      </c>
      <c r="G533" t="n">
        <v>1.4</v>
      </c>
      <c r="H533" t="n">
        <v>0</v>
      </c>
      <c r="I533" t="n">
        <v>0</v>
      </c>
      <c r="J533" t="n">
        <v>0</v>
      </c>
      <c r="K533" t="n">
        <v>0</v>
      </c>
      <c r="L533" t="n">
        <v>0</v>
      </c>
      <c r="M533" t="n">
        <v>0</v>
      </c>
      <c r="N533" t="n">
        <v>0</v>
      </c>
      <c r="O533" t="n">
        <v>0</v>
      </c>
      <c r="P533" t="n">
        <v>0</v>
      </c>
      <c r="Q533" t="n">
        <v>0</v>
      </c>
      <c r="R533" s="2" t="inlineStr"/>
    </row>
    <row r="534" ht="15" customHeight="1">
      <c r="A534" t="inlineStr">
        <is>
          <t>A 60783-2025</t>
        </is>
      </c>
      <c r="B534" s="1" t="n">
        <v>45999.39971064815</v>
      </c>
      <c r="C534" s="1" t="n">
        <v>46049</v>
      </c>
      <c r="D534" t="inlineStr">
        <is>
          <t>JÄMTLANDS LÄN</t>
        </is>
      </c>
      <c r="E534" t="inlineStr">
        <is>
          <t>ÅRE</t>
        </is>
      </c>
      <c r="G534" t="n">
        <v>10.6</v>
      </c>
      <c r="H534" t="n">
        <v>0</v>
      </c>
      <c r="I534" t="n">
        <v>0</v>
      </c>
      <c r="J534" t="n">
        <v>0</v>
      </c>
      <c r="K534" t="n">
        <v>0</v>
      </c>
      <c r="L534" t="n">
        <v>0</v>
      </c>
      <c r="M534" t="n">
        <v>0</v>
      </c>
      <c r="N534" t="n">
        <v>0</v>
      </c>
      <c r="O534" t="n">
        <v>0</v>
      </c>
      <c r="P534" t="n">
        <v>0</v>
      </c>
      <c r="Q534" t="n">
        <v>0</v>
      </c>
      <c r="R534" s="2" t="inlineStr"/>
    </row>
    <row r="535" ht="15" customHeight="1">
      <c r="A535" t="inlineStr">
        <is>
          <t>A 3394-2026</t>
        </is>
      </c>
      <c r="B535" s="1" t="n">
        <v>46042.37641203704</v>
      </c>
      <c r="C535" s="1" t="n">
        <v>46049</v>
      </c>
      <c r="D535" t="inlineStr">
        <is>
          <t>JÄMTLANDS LÄN</t>
        </is>
      </c>
      <c r="E535" t="inlineStr">
        <is>
          <t>ÅRE</t>
        </is>
      </c>
      <c r="F535" t="inlineStr">
        <is>
          <t>Övriga Aktiebolag</t>
        </is>
      </c>
      <c r="G535" t="n">
        <v>11.2</v>
      </c>
      <c r="H535" t="n">
        <v>0</v>
      </c>
      <c r="I535" t="n">
        <v>0</v>
      </c>
      <c r="J535" t="n">
        <v>0</v>
      </c>
      <c r="K535" t="n">
        <v>0</v>
      </c>
      <c r="L535" t="n">
        <v>0</v>
      </c>
      <c r="M535" t="n">
        <v>0</v>
      </c>
      <c r="N535" t="n">
        <v>0</v>
      </c>
      <c r="O535" t="n">
        <v>0</v>
      </c>
      <c r="P535" t="n">
        <v>0</v>
      </c>
      <c r="Q535" t="n">
        <v>0</v>
      </c>
      <c r="R535" s="2" t="inlineStr"/>
    </row>
    <row r="536" ht="15" customHeight="1">
      <c r="A536" t="inlineStr">
        <is>
          <t>A 47963-2025</t>
        </is>
      </c>
      <c r="B536" s="1" t="n">
        <v>45931</v>
      </c>
      <c r="C536" s="1" t="n">
        <v>46049</v>
      </c>
      <c r="D536" t="inlineStr">
        <is>
          <t>JÄMTLANDS LÄN</t>
        </is>
      </c>
      <c r="E536" t="inlineStr">
        <is>
          <t>ÅRE</t>
        </is>
      </c>
      <c r="G536" t="n">
        <v>0.3</v>
      </c>
      <c r="H536" t="n">
        <v>0</v>
      </c>
      <c r="I536" t="n">
        <v>0</v>
      </c>
      <c r="J536" t="n">
        <v>0</v>
      </c>
      <c r="K536" t="n">
        <v>0</v>
      </c>
      <c r="L536" t="n">
        <v>0</v>
      </c>
      <c r="M536" t="n">
        <v>0</v>
      </c>
      <c r="N536" t="n">
        <v>0</v>
      </c>
      <c r="O536" t="n">
        <v>0</v>
      </c>
      <c r="P536" t="n">
        <v>0</v>
      </c>
      <c r="Q536" t="n">
        <v>0</v>
      </c>
      <c r="R536" s="2" t="inlineStr"/>
    </row>
    <row r="537" ht="15" customHeight="1">
      <c r="A537" t="inlineStr">
        <is>
          <t>A 61355-2025</t>
        </is>
      </c>
      <c r="B537" s="1" t="n">
        <v>46001.39805555555</v>
      </c>
      <c r="C537" s="1" t="n">
        <v>46049</v>
      </c>
      <c r="D537" t="inlineStr">
        <is>
          <t>JÄMTLANDS LÄN</t>
        </is>
      </c>
      <c r="E537" t="inlineStr">
        <is>
          <t>ÅRE</t>
        </is>
      </c>
      <c r="G537" t="n">
        <v>6.7</v>
      </c>
      <c r="H537" t="n">
        <v>0</v>
      </c>
      <c r="I537" t="n">
        <v>0</v>
      </c>
      <c r="J537" t="n">
        <v>0</v>
      </c>
      <c r="K537" t="n">
        <v>0</v>
      </c>
      <c r="L537" t="n">
        <v>0</v>
      </c>
      <c r="M537" t="n">
        <v>0</v>
      </c>
      <c r="N537" t="n">
        <v>0</v>
      </c>
      <c r="O537" t="n">
        <v>0</v>
      </c>
      <c r="P537" t="n">
        <v>0</v>
      </c>
      <c r="Q537" t="n">
        <v>0</v>
      </c>
      <c r="R537" s="2" t="inlineStr"/>
    </row>
    <row r="538" ht="15" customHeight="1">
      <c r="A538" t="inlineStr">
        <is>
          <t>A 52676-2023</t>
        </is>
      </c>
      <c r="B538" s="1" t="n">
        <v>45225.6890625</v>
      </c>
      <c r="C538" s="1" t="n">
        <v>46049</v>
      </c>
      <c r="D538" t="inlineStr">
        <is>
          <t>JÄMTLANDS LÄN</t>
        </is>
      </c>
      <c r="E538" t="inlineStr">
        <is>
          <t>ÅRE</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48223-2025</t>
        </is>
      </c>
      <c r="B539" s="1" t="n">
        <v>45931</v>
      </c>
      <c r="C539" s="1" t="n">
        <v>46049</v>
      </c>
      <c r="D539" t="inlineStr">
        <is>
          <t>JÄMTLANDS LÄN</t>
        </is>
      </c>
      <c r="E539" t="inlineStr">
        <is>
          <t>ÅRE</t>
        </is>
      </c>
      <c r="G539" t="n">
        <v>2.1</v>
      </c>
      <c r="H539" t="n">
        <v>0</v>
      </c>
      <c r="I539" t="n">
        <v>0</v>
      </c>
      <c r="J539" t="n">
        <v>0</v>
      </c>
      <c r="K539" t="n">
        <v>0</v>
      </c>
      <c r="L539" t="n">
        <v>0</v>
      </c>
      <c r="M539" t="n">
        <v>0</v>
      </c>
      <c r="N539" t="n">
        <v>0</v>
      </c>
      <c r="O539" t="n">
        <v>0</v>
      </c>
      <c r="P539" t="n">
        <v>0</v>
      </c>
      <c r="Q539" t="n">
        <v>0</v>
      </c>
      <c r="R539" s="2" t="inlineStr"/>
      <c r="U539">
        <f>HYPERLINK("https://klasma.github.io/Logging_2321/knärot/A 48223-2025 karta knärot.png", "A 48223-2025")</f>
        <v/>
      </c>
      <c r="V539">
        <f>HYPERLINK("https://klasma.github.io/Logging_2321/klagomål/A 48223-2025 FSC-klagomål.docx", "A 48223-2025")</f>
        <v/>
      </c>
      <c r="W539">
        <f>HYPERLINK("https://klasma.github.io/Logging_2321/klagomålsmail/A 48223-2025 FSC-klagomål mail.docx", "A 48223-2025")</f>
        <v/>
      </c>
      <c r="X539">
        <f>HYPERLINK("https://klasma.github.io/Logging_2321/tillsyn/A 48223-2025 tillsynsbegäran.docx", "A 48223-2025")</f>
        <v/>
      </c>
      <c r="Y539">
        <f>HYPERLINK("https://klasma.github.io/Logging_2321/tillsynsmail/A 48223-2025 tillsynsbegäran mail.docx", "A 48223-2025")</f>
        <v/>
      </c>
    </row>
    <row r="540" ht="15" customHeight="1">
      <c r="A540" t="inlineStr">
        <is>
          <t>A 12216-2023</t>
        </is>
      </c>
      <c r="B540" s="1" t="n">
        <v>44998</v>
      </c>
      <c r="C540" s="1" t="n">
        <v>46049</v>
      </c>
      <c r="D540" t="inlineStr">
        <is>
          <t>JÄMTLANDS LÄN</t>
        </is>
      </c>
      <c r="E540" t="inlineStr">
        <is>
          <t>ÅRE</t>
        </is>
      </c>
      <c r="G540" t="n">
        <v>11.8</v>
      </c>
      <c r="H540" t="n">
        <v>0</v>
      </c>
      <c r="I540" t="n">
        <v>0</v>
      </c>
      <c r="J540" t="n">
        <v>0</v>
      </c>
      <c r="K540" t="n">
        <v>0</v>
      </c>
      <c r="L540" t="n">
        <v>0</v>
      </c>
      <c r="M540" t="n">
        <v>0</v>
      </c>
      <c r="N540" t="n">
        <v>0</v>
      </c>
      <c r="O540" t="n">
        <v>0</v>
      </c>
      <c r="P540" t="n">
        <v>0</v>
      </c>
      <c r="Q540" t="n">
        <v>0</v>
      </c>
      <c r="R540" s="2" t="inlineStr"/>
    </row>
    <row r="541" ht="15" customHeight="1">
      <c r="A541" t="inlineStr">
        <is>
          <t>A 13370-2024</t>
        </is>
      </c>
      <c r="B541" s="1" t="n">
        <v>45387</v>
      </c>
      <c r="C541" s="1" t="n">
        <v>46049</v>
      </c>
      <c r="D541" t="inlineStr">
        <is>
          <t>JÄMTLANDS LÄN</t>
        </is>
      </c>
      <c r="E541" t="inlineStr">
        <is>
          <t>ÅRE</t>
        </is>
      </c>
      <c r="G541" t="n">
        <v>8.5</v>
      </c>
      <c r="H541" t="n">
        <v>0</v>
      </c>
      <c r="I541" t="n">
        <v>0</v>
      </c>
      <c r="J541" t="n">
        <v>0</v>
      </c>
      <c r="K541" t="n">
        <v>0</v>
      </c>
      <c r="L541" t="n">
        <v>0</v>
      </c>
      <c r="M541" t="n">
        <v>0</v>
      </c>
      <c r="N541" t="n">
        <v>0</v>
      </c>
      <c r="O541" t="n">
        <v>0</v>
      </c>
      <c r="P541" t="n">
        <v>0</v>
      </c>
      <c r="Q541" t="n">
        <v>0</v>
      </c>
      <c r="R541" s="2" t="inlineStr"/>
    </row>
    <row r="542" ht="15" customHeight="1">
      <c r="A542" t="inlineStr">
        <is>
          <t>A 55033-2024</t>
        </is>
      </c>
      <c r="B542" s="1" t="n">
        <v>45621.38193287037</v>
      </c>
      <c r="C542" s="1" t="n">
        <v>46049</v>
      </c>
      <c r="D542" t="inlineStr">
        <is>
          <t>JÄMTLANDS LÄN</t>
        </is>
      </c>
      <c r="E542" t="inlineStr">
        <is>
          <t>ÅRE</t>
        </is>
      </c>
      <c r="G542" t="n">
        <v>1.1</v>
      </c>
      <c r="H542" t="n">
        <v>0</v>
      </c>
      <c r="I542" t="n">
        <v>0</v>
      </c>
      <c r="J542" t="n">
        <v>0</v>
      </c>
      <c r="K542" t="n">
        <v>0</v>
      </c>
      <c r="L542" t="n">
        <v>0</v>
      </c>
      <c r="M542" t="n">
        <v>0</v>
      </c>
      <c r="N542" t="n">
        <v>0</v>
      </c>
      <c r="O542" t="n">
        <v>0</v>
      </c>
      <c r="P542" t="n">
        <v>0</v>
      </c>
      <c r="Q542" t="n">
        <v>0</v>
      </c>
      <c r="R542" s="2" t="inlineStr"/>
    </row>
    <row r="543" ht="15" customHeight="1">
      <c r="A543" t="inlineStr">
        <is>
          <t>A 69568-2021</t>
        </is>
      </c>
      <c r="B543" s="1" t="n">
        <v>44531</v>
      </c>
      <c r="C543" s="1" t="n">
        <v>46049</v>
      </c>
      <c r="D543" t="inlineStr">
        <is>
          <t>JÄMTLANDS LÄN</t>
        </is>
      </c>
      <c r="E543" t="inlineStr">
        <is>
          <t>ÅRE</t>
        </is>
      </c>
      <c r="G543" t="n">
        <v>2.9</v>
      </c>
      <c r="H543" t="n">
        <v>0</v>
      </c>
      <c r="I543" t="n">
        <v>0</v>
      </c>
      <c r="J543" t="n">
        <v>0</v>
      </c>
      <c r="K543" t="n">
        <v>0</v>
      </c>
      <c r="L543" t="n">
        <v>0</v>
      </c>
      <c r="M543" t="n">
        <v>0</v>
      </c>
      <c r="N543" t="n">
        <v>0</v>
      </c>
      <c r="O543" t="n">
        <v>0</v>
      </c>
      <c r="P543" t="n">
        <v>0</v>
      </c>
      <c r="Q543" t="n">
        <v>0</v>
      </c>
      <c r="R543" s="2" t="inlineStr"/>
    </row>
    <row r="544" ht="15" customHeight="1">
      <c r="A544" t="inlineStr">
        <is>
          <t>A 11914-2024</t>
        </is>
      </c>
      <c r="B544" s="1" t="n">
        <v>45376.58467592593</v>
      </c>
      <c r="C544" s="1" t="n">
        <v>46049</v>
      </c>
      <c r="D544" t="inlineStr">
        <is>
          <t>JÄMTLANDS LÄN</t>
        </is>
      </c>
      <c r="E544" t="inlineStr">
        <is>
          <t>ÅRE</t>
        </is>
      </c>
      <c r="G544" t="n">
        <v>2.5</v>
      </c>
      <c r="H544" t="n">
        <v>0</v>
      </c>
      <c r="I544" t="n">
        <v>0</v>
      </c>
      <c r="J544" t="n">
        <v>0</v>
      </c>
      <c r="K544" t="n">
        <v>0</v>
      </c>
      <c r="L544" t="n">
        <v>0</v>
      </c>
      <c r="M544" t="n">
        <v>0</v>
      </c>
      <c r="N544" t="n">
        <v>0</v>
      </c>
      <c r="O544" t="n">
        <v>0</v>
      </c>
      <c r="P544" t="n">
        <v>0</v>
      </c>
      <c r="Q544" t="n">
        <v>0</v>
      </c>
      <c r="R544" s="2" t="inlineStr"/>
    </row>
    <row r="545" ht="15" customHeight="1">
      <c r="A545" t="inlineStr">
        <is>
          <t>A 41653-2024</t>
        </is>
      </c>
      <c r="B545" s="1" t="n">
        <v>45560.64059027778</v>
      </c>
      <c r="C545" s="1" t="n">
        <v>46049</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41686-2024</t>
        </is>
      </c>
      <c r="B546" s="1" t="n">
        <v>45560.67016203704</v>
      </c>
      <c r="C546" s="1" t="n">
        <v>46049</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50344-2024</t>
        </is>
      </c>
      <c r="B547" s="1" t="n">
        <v>45600</v>
      </c>
      <c r="C547" s="1" t="n">
        <v>46049</v>
      </c>
      <c r="D547" t="inlineStr">
        <is>
          <t>JÄMTLANDS LÄN</t>
        </is>
      </c>
      <c r="E547" t="inlineStr">
        <is>
          <t>ÅRE</t>
        </is>
      </c>
      <c r="G547" t="n">
        <v>4</v>
      </c>
      <c r="H547" t="n">
        <v>0</v>
      </c>
      <c r="I547" t="n">
        <v>0</v>
      </c>
      <c r="J547" t="n">
        <v>0</v>
      </c>
      <c r="K547" t="n">
        <v>0</v>
      </c>
      <c r="L547" t="n">
        <v>0</v>
      </c>
      <c r="M547" t="n">
        <v>0</v>
      </c>
      <c r="N547" t="n">
        <v>0</v>
      </c>
      <c r="O547" t="n">
        <v>0</v>
      </c>
      <c r="P547" t="n">
        <v>0</v>
      </c>
      <c r="Q547" t="n">
        <v>0</v>
      </c>
      <c r="R547" s="2" t="inlineStr"/>
    </row>
    <row r="548" ht="15" customHeight="1">
      <c r="A548" t="inlineStr">
        <is>
          <t>A 27946-2021</t>
        </is>
      </c>
      <c r="B548" s="1" t="n">
        <v>44354</v>
      </c>
      <c r="C548" s="1" t="n">
        <v>46049</v>
      </c>
      <c r="D548" t="inlineStr">
        <is>
          <t>JÄMTLANDS LÄN</t>
        </is>
      </c>
      <c r="E548" t="inlineStr">
        <is>
          <t>ÅRE</t>
        </is>
      </c>
      <c r="G548" t="n">
        <v>0.3</v>
      </c>
      <c r="H548" t="n">
        <v>0</v>
      </c>
      <c r="I548" t="n">
        <v>0</v>
      </c>
      <c r="J548" t="n">
        <v>0</v>
      </c>
      <c r="K548" t="n">
        <v>0</v>
      </c>
      <c r="L548" t="n">
        <v>0</v>
      </c>
      <c r="M548" t="n">
        <v>0</v>
      </c>
      <c r="N548" t="n">
        <v>0</v>
      </c>
      <c r="O548" t="n">
        <v>0</v>
      </c>
      <c r="P548" t="n">
        <v>0</v>
      </c>
      <c r="Q548" t="n">
        <v>0</v>
      </c>
      <c r="R548" s="2" t="inlineStr"/>
    </row>
    <row r="549" ht="15" customHeight="1">
      <c r="A549" t="inlineStr">
        <is>
          <t>A 59325-2024</t>
        </is>
      </c>
      <c r="B549" s="1" t="n">
        <v>45636</v>
      </c>
      <c r="C549" s="1" t="n">
        <v>46049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4272-2025</t>
        </is>
      </c>
      <c r="B550" s="1" t="n">
        <v>45685</v>
      </c>
      <c r="C550" s="1" t="n">
        <v>46049</v>
      </c>
      <c r="D550" t="inlineStr">
        <is>
          <t>JÄMTLANDS LÄN</t>
        </is>
      </c>
      <c r="E550" t="inlineStr">
        <is>
          <t>ÅRE</t>
        </is>
      </c>
      <c r="F550" t="inlineStr">
        <is>
          <t>Övriga Aktiebolag</t>
        </is>
      </c>
      <c r="G550" t="n">
        <v>16.6</v>
      </c>
      <c r="H550" t="n">
        <v>0</v>
      </c>
      <c r="I550" t="n">
        <v>0</v>
      </c>
      <c r="J550" t="n">
        <v>0</v>
      </c>
      <c r="K550" t="n">
        <v>0</v>
      </c>
      <c r="L550" t="n">
        <v>0</v>
      </c>
      <c r="M550" t="n">
        <v>0</v>
      </c>
      <c r="N550" t="n">
        <v>0</v>
      </c>
      <c r="O550" t="n">
        <v>0</v>
      </c>
      <c r="P550" t="n">
        <v>0</v>
      </c>
      <c r="Q550" t="n">
        <v>0</v>
      </c>
      <c r="R550" s="2" t="inlineStr"/>
    </row>
    <row r="551" ht="15" customHeight="1">
      <c r="A551" t="inlineStr">
        <is>
          <t>A 62189-2025</t>
        </is>
      </c>
      <c r="B551" s="1" t="n">
        <v>46006.54729166667</v>
      </c>
      <c r="C551" s="1" t="n">
        <v>46049</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18531-2021</t>
        </is>
      </c>
      <c r="B552" s="1" t="n">
        <v>44306</v>
      </c>
      <c r="C552" s="1" t="n">
        <v>46049</v>
      </c>
      <c r="D552" t="inlineStr">
        <is>
          <t>JÄMTLANDS LÄN</t>
        </is>
      </c>
      <c r="E552" t="inlineStr">
        <is>
          <t>ÅRE</t>
        </is>
      </c>
      <c r="G552" t="n">
        <v>4</v>
      </c>
      <c r="H552" t="n">
        <v>0</v>
      </c>
      <c r="I552" t="n">
        <v>0</v>
      </c>
      <c r="J552" t="n">
        <v>0</v>
      </c>
      <c r="K552" t="n">
        <v>0</v>
      </c>
      <c r="L552" t="n">
        <v>0</v>
      </c>
      <c r="M552" t="n">
        <v>0</v>
      </c>
      <c r="N552" t="n">
        <v>0</v>
      </c>
      <c r="O552" t="n">
        <v>0</v>
      </c>
      <c r="P552" t="n">
        <v>0</v>
      </c>
      <c r="Q552" t="n">
        <v>0</v>
      </c>
      <c r="R552" s="2" t="inlineStr"/>
    </row>
    <row r="553" ht="15" customHeight="1">
      <c r="A553" t="inlineStr">
        <is>
          <t>A 21464-2022</t>
        </is>
      </c>
      <c r="B553" s="1" t="n">
        <v>44706</v>
      </c>
      <c r="C553" s="1" t="n">
        <v>46049</v>
      </c>
      <c r="D553" t="inlineStr">
        <is>
          <t>JÄMTLANDS LÄN</t>
        </is>
      </c>
      <c r="E553" t="inlineStr">
        <is>
          <t>ÅRE</t>
        </is>
      </c>
      <c r="G553" t="n">
        <v>10.9</v>
      </c>
      <c r="H553" t="n">
        <v>0</v>
      </c>
      <c r="I553" t="n">
        <v>0</v>
      </c>
      <c r="J553" t="n">
        <v>0</v>
      </c>
      <c r="K553" t="n">
        <v>0</v>
      </c>
      <c r="L553" t="n">
        <v>0</v>
      </c>
      <c r="M553" t="n">
        <v>0</v>
      </c>
      <c r="N553" t="n">
        <v>0</v>
      </c>
      <c r="O553" t="n">
        <v>0</v>
      </c>
      <c r="P553" t="n">
        <v>0</v>
      </c>
      <c r="Q553" t="n">
        <v>0</v>
      </c>
      <c r="R553" s="2" t="inlineStr"/>
    </row>
    <row r="554" ht="15" customHeight="1">
      <c r="A554" t="inlineStr">
        <is>
          <t>A 61996-2025</t>
        </is>
      </c>
      <c r="B554" s="1" t="n">
        <v>46003.64273148148</v>
      </c>
      <c r="C554" s="1" t="n">
        <v>46049</v>
      </c>
      <c r="D554" t="inlineStr">
        <is>
          <t>JÄMTLANDS LÄN</t>
        </is>
      </c>
      <c r="E554" t="inlineStr">
        <is>
          <t>ÅRE</t>
        </is>
      </c>
      <c r="G554" t="n">
        <v>4.5</v>
      </c>
      <c r="H554" t="n">
        <v>0</v>
      </c>
      <c r="I554" t="n">
        <v>0</v>
      </c>
      <c r="J554" t="n">
        <v>0</v>
      </c>
      <c r="K554" t="n">
        <v>0</v>
      </c>
      <c r="L554" t="n">
        <v>0</v>
      </c>
      <c r="M554" t="n">
        <v>0</v>
      </c>
      <c r="N554" t="n">
        <v>0</v>
      </c>
      <c r="O554" t="n">
        <v>0</v>
      </c>
      <c r="P554" t="n">
        <v>0</v>
      </c>
      <c r="Q554" t="n">
        <v>0</v>
      </c>
      <c r="R554" s="2" t="inlineStr"/>
    </row>
    <row r="555" ht="15" customHeight="1">
      <c r="A555" t="inlineStr">
        <is>
          <t>A 62276-2025</t>
        </is>
      </c>
      <c r="B555" s="1" t="n">
        <v>46006</v>
      </c>
      <c r="C555" s="1" t="n">
        <v>46049</v>
      </c>
      <c r="D555" t="inlineStr">
        <is>
          <t>JÄMTLANDS LÄN</t>
        </is>
      </c>
      <c r="E555" t="inlineStr">
        <is>
          <t>ÅRE</t>
        </is>
      </c>
      <c r="G555" t="n">
        <v>18.8</v>
      </c>
      <c r="H555" t="n">
        <v>0</v>
      </c>
      <c r="I555" t="n">
        <v>0</v>
      </c>
      <c r="J555" t="n">
        <v>0</v>
      </c>
      <c r="K555" t="n">
        <v>0</v>
      </c>
      <c r="L555" t="n">
        <v>0</v>
      </c>
      <c r="M555" t="n">
        <v>0</v>
      </c>
      <c r="N555" t="n">
        <v>0</v>
      </c>
      <c r="O555" t="n">
        <v>0</v>
      </c>
      <c r="P555" t="n">
        <v>0</v>
      </c>
      <c r="Q555" t="n">
        <v>0</v>
      </c>
      <c r="R555" s="2" t="inlineStr"/>
    </row>
    <row r="556" ht="15" customHeight="1">
      <c r="A556" t="inlineStr">
        <is>
          <t>A 62056-2025</t>
        </is>
      </c>
      <c r="B556" s="1" t="n">
        <v>46006</v>
      </c>
      <c r="C556" s="1" t="n">
        <v>46049</v>
      </c>
      <c r="D556" t="inlineStr">
        <is>
          <t>JÄMTLANDS LÄN</t>
        </is>
      </c>
      <c r="E556" t="inlineStr">
        <is>
          <t>ÅRE</t>
        </is>
      </c>
      <c r="G556" t="n">
        <v>3.5</v>
      </c>
      <c r="H556" t="n">
        <v>0</v>
      </c>
      <c r="I556" t="n">
        <v>0</v>
      </c>
      <c r="J556" t="n">
        <v>0</v>
      </c>
      <c r="K556" t="n">
        <v>0</v>
      </c>
      <c r="L556" t="n">
        <v>0</v>
      </c>
      <c r="M556" t="n">
        <v>0</v>
      </c>
      <c r="N556" t="n">
        <v>0</v>
      </c>
      <c r="O556" t="n">
        <v>0</v>
      </c>
      <c r="P556" t="n">
        <v>0</v>
      </c>
      <c r="Q556" t="n">
        <v>0</v>
      </c>
      <c r="R556" s="2" t="inlineStr"/>
    </row>
    <row r="557" ht="15" customHeight="1">
      <c r="A557" t="inlineStr">
        <is>
          <t>A 62218-2025</t>
        </is>
      </c>
      <c r="B557" s="1" t="n">
        <v>46006.58048611111</v>
      </c>
      <c r="C557" s="1" t="n">
        <v>46049</v>
      </c>
      <c r="D557" t="inlineStr">
        <is>
          <t>JÄMTLANDS LÄN</t>
        </is>
      </c>
      <c r="E557" t="inlineStr">
        <is>
          <t>ÅRE</t>
        </is>
      </c>
      <c r="G557" t="n">
        <v>15.6</v>
      </c>
      <c r="H557" t="n">
        <v>0</v>
      </c>
      <c r="I557" t="n">
        <v>0</v>
      </c>
      <c r="J557" t="n">
        <v>0</v>
      </c>
      <c r="K557" t="n">
        <v>0</v>
      </c>
      <c r="L557" t="n">
        <v>0</v>
      </c>
      <c r="M557" t="n">
        <v>0</v>
      </c>
      <c r="N557" t="n">
        <v>0</v>
      </c>
      <c r="O557" t="n">
        <v>0</v>
      </c>
      <c r="P557" t="n">
        <v>0</v>
      </c>
      <c r="Q557" t="n">
        <v>0</v>
      </c>
      <c r="R557" s="2" t="inlineStr"/>
    </row>
    <row r="558" ht="15" customHeight="1">
      <c r="A558" t="inlineStr">
        <is>
          <t>A 62259-2025</t>
        </is>
      </c>
      <c r="B558" s="1" t="n">
        <v>46006.61553240741</v>
      </c>
      <c r="C558" s="1" t="n">
        <v>46049</v>
      </c>
      <c r="D558" t="inlineStr">
        <is>
          <t>JÄMTLANDS LÄN</t>
        </is>
      </c>
      <c r="E558" t="inlineStr">
        <is>
          <t>ÅRE</t>
        </is>
      </c>
      <c r="G558" t="n">
        <v>7.1</v>
      </c>
      <c r="H558" t="n">
        <v>0</v>
      </c>
      <c r="I558" t="n">
        <v>0</v>
      </c>
      <c r="J558" t="n">
        <v>0</v>
      </c>
      <c r="K558" t="n">
        <v>0</v>
      </c>
      <c r="L558" t="n">
        <v>0</v>
      </c>
      <c r="M558" t="n">
        <v>0</v>
      </c>
      <c r="N558" t="n">
        <v>0</v>
      </c>
      <c r="O558" t="n">
        <v>0</v>
      </c>
      <c r="P558" t="n">
        <v>0</v>
      </c>
      <c r="Q558" t="n">
        <v>0</v>
      </c>
      <c r="R558" s="2" t="inlineStr"/>
    </row>
    <row r="559" ht="15" customHeight="1">
      <c r="A559" t="inlineStr">
        <is>
          <t>A 4905-2026</t>
        </is>
      </c>
      <c r="B559" s="1" t="n">
        <v>46048.69825231482</v>
      </c>
      <c r="C559" s="1" t="n">
        <v>46049</v>
      </c>
      <c r="D559" t="inlineStr">
        <is>
          <t>JÄMTLANDS LÄN</t>
        </is>
      </c>
      <c r="E559" t="inlineStr">
        <is>
          <t>ÅRE</t>
        </is>
      </c>
      <c r="F559" t="inlineStr">
        <is>
          <t>Övriga Aktiebolag</t>
        </is>
      </c>
      <c r="G559" t="n">
        <v>0.6</v>
      </c>
      <c r="H559" t="n">
        <v>0</v>
      </c>
      <c r="I559" t="n">
        <v>0</v>
      </c>
      <c r="J559" t="n">
        <v>0</v>
      </c>
      <c r="K559" t="n">
        <v>0</v>
      </c>
      <c r="L559" t="n">
        <v>0</v>
      </c>
      <c r="M559" t="n">
        <v>0</v>
      </c>
      <c r="N559" t="n">
        <v>0</v>
      </c>
      <c r="O559" t="n">
        <v>0</v>
      </c>
      <c r="P559" t="n">
        <v>0</v>
      </c>
      <c r="Q559" t="n">
        <v>0</v>
      </c>
      <c r="R559" s="2" t="inlineStr"/>
    </row>
    <row r="560" ht="15" customHeight="1">
      <c r="A560" t="inlineStr">
        <is>
          <t>A 62210-2025</t>
        </is>
      </c>
      <c r="B560" s="1" t="n">
        <v>46006.5666087963</v>
      </c>
      <c r="C560" s="1" t="n">
        <v>46049</v>
      </c>
      <c r="D560" t="inlineStr">
        <is>
          <t>JÄMTLANDS LÄN</t>
        </is>
      </c>
      <c r="E560" t="inlineStr">
        <is>
          <t>ÅRE</t>
        </is>
      </c>
      <c r="G560" t="n">
        <v>0.9</v>
      </c>
      <c r="H560" t="n">
        <v>0</v>
      </c>
      <c r="I560" t="n">
        <v>0</v>
      </c>
      <c r="J560" t="n">
        <v>0</v>
      </c>
      <c r="K560" t="n">
        <v>0</v>
      </c>
      <c r="L560" t="n">
        <v>0</v>
      </c>
      <c r="M560" t="n">
        <v>0</v>
      </c>
      <c r="N560" t="n">
        <v>0</v>
      </c>
      <c r="O560" t="n">
        <v>0</v>
      </c>
      <c r="P560" t="n">
        <v>0</v>
      </c>
      <c r="Q560" t="n">
        <v>0</v>
      </c>
      <c r="R560" s="2" t="inlineStr"/>
    </row>
    <row r="561" ht="15" customHeight="1">
      <c r="A561" t="inlineStr">
        <is>
          <t>A 4181-2025</t>
        </is>
      </c>
      <c r="B561" s="1" t="n">
        <v>45685.44300925926</v>
      </c>
      <c r="C561" s="1" t="n">
        <v>46049</v>
      </c>
      <c r="D561" t="inlineStr">
        <is>
          <t>JÄMTLANDS LÄN</t>
        </is>
      </c>
      <c r="E561" t="inlineStr">
        <is>
          <t>ÅRE</t>
        </is>
      </c>
      <c r="F561" t="inlineStr">
        <is>
          <t>Övriga Aktiebolag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43456-2023</t>
        </is>
      </c>
      <c r="B562" s="1" t="n">
        <v>45184.37474537037</v>
      </c>
      <c r="C562" s="1" t="n">
        <v>46049</v>
      </c>
      <c r="D562" t="inlineStr">
        <is>
          <t>JÄMTLANDS LÄN</t>
        </is>
      </c>
      <c r="E562" t="inlineStr">
        <is>
          <t>ÅRE</t>
        </is>
      </c>
      <c r="F562" t="inlineStr">
        <is>
          <t>Övriga Aktiebolag</t>
        </is>
      </c>
      <c r="G562" t="n">
        <v>8.9</v>
      </c>
      <c r="H562" t="n">
        <v>0</v>
      </c>
      <c r="I562" t="n">
        <v>0</v>
      </c>
      <c r="J562" t="n">
        <v>0</v>
      </c>
      <c r="K562" t="n">
        <v>0</v>
      </c>
      <c r="L562" t="n">
        <v>0</v>
      </c>
      <c r="M562" t="n">
        <v>0</v>
      </c>
      <c r="N562" t="n">
        <v>0</v>
      </c>
      <c r="O562" t="n">
        <v>0</v>
      </c>
      <c r="P562" t="n">
        <v>0</v>
      </c>
      <c r="Q562" t="n">
        <v>0</v>
      </c>
      <c r="R562" s="2" t="inlineStr"/>
    </row>
    <row r="563" ht="15" customHeight="1">
      <c r="A563" t="inlineStr">
        <is>
          <t>A 5923-2022</t>
        </is>
      </c>
      <c r="B563" s="1" t="n">
        <v>44598.64403935185</v>
      </c>
      <c r="C563" s="1" t="n">
        <v>46049</v>
      </c>
      <c r="D563" t="inlineStr">
        <is>
          <t>JÄMTLANDS LÄN</t>
        </is>
      </c>
      <c r="E563" t="inlineStr">
        <is>
          <t>ÅRE</t>
        </is>
      </c>
      <c r="G563" t="n">
        <v>0.8</v>
      </c>
      <c r="H563" t="n">
        <v>0</v>
      </c>
      <c r="I563" t="n">
        <v>0</v>
      </c>
      <c r="J563" t="n">
        <v>0</v>
      </c>
      <c r="K563" t="n">
        <v>0</v>
      </c>
      <c r="L563" t="n">
        <v>0</v>
      </c>
      <c r="M563" t="n">
        <v>0</v>
      </c>
      <c r="N563" t="n">
        <v>0</v>
      </c>
      <c r="O563" t="n">
        <v>0</v>
      </c>
      <c r="P563" t="n">
        <v>0</v>
      </c>
      <c r="Q563" t="n">
        <v>0</v>
      </c>
      <c r="R563" s="2" t="inlineStr"/>
    </row>
    <row r="564" ht="15" customHeight="1">
      <c r="A564" t="inlineStr">
        <is>
          <t>A 46788-2024</t>
        </is>
      </c>
      <c r="B564" s="1" t="n">
        <v>45583.53219907408</v>
      </c>
      <c r="C564" s="1" t="n">
        <v>46049</v>
      </c>
      <c r="D564" t="inlineStr">
        <is>
          <t>JÄMTLANDS LÄN</t>
        </is>
      </c>
      <c r="E564" t="inlineStr">
        <is>
          <t>ÅRE</t>
        </is>
      </c>
      <c r="F564" t="inlineStr">
        <is>
          <t>Övriga Aktiebolag</t>
        </is>
      </c>
      <c r="G564" t="n">
        <v>0.3</v>
      </c>
      <c r="H564" t="n">
        <v>0</v>
      </c>
      <c r="I564" t="n">
        <v>0</v>
      </c>
      <c r="J564" t="n">
        <v>0</v>
      </c>
      <c r="K564" t="n">
        <v>0</v>
      </c>
      <c r="L564" t="n">
        <v>0</v>
      </c>
      <c r="M564" t="n">
        <v>0</v>
      </c>
      <c r="N564" t="n">
        <v>0</v>
      </c>
      <c r="O564" t="n">
        <v>0</v>
      </c>
      <c r="P564" t="n">
        <v>0</v>
      </c>
      <c r="Q564" t="n">
        <v>0</v>
      </c>
      <c r="R564" s="2" t="inlineStr"/>
    </row>
    <row r="565" ht="15" customHeight="1">
      <c r="A565" t="inlineStr">
        <is>
          <t>A 60962-2023</t>
        </is>
      </c>
      <c r="B565" s="1" t="n">
        <v>45261.46787037037</v>
      </c>
      <c r="C565" s="1" t="n">
        <v>46049</v>
      </c>
      <c r="D565" t="inlineStr">
        <is>
          <t>JÄMTLANDS LÄN</t>
        </is>
      </c>
      <c r="E565" t="inlineStr">
        <is>
          <t>ÅRE</t>
        </is>
      </c>
      <c r="G565" t="n">
        <v>3.2</v>
      </c>
      <c r="H565" t="n">
        <v>0</v>
      </c>
      <c r="I565" t="n">
        <v>0</v>
      </c>
      <c r="J565" t="n">
        <v>0</v>
      </c>
      <c r="K565" t="n">
        <v>0</v>
      </c>
      <c r="L565" t="n">
        <v>0</v>
      </c>
      <c r="M565" t="n">
        <v>0</v>
      </c>
      <c r="N565" t="n">
        <v>0</v>
      </c>
      <c r="O565" t="n">
        <v>0</v>
      </c>
      <c r="P565" t="n">
        <v>0</v>
      </c>
      <c r="Q565" t="n">
        <v>0</v>
      </c>
      <c r="R565" s="2" t="inlineStr"/>
    </row>
    <row r="566" ht="15" customHeight="1">
      <c r="A566" t="inlineStr">
        <is>
          <t>A 60973-2023</t>
        </is>
      </c>
      <c r="B566" s="1" t="n">
        <v>45261.47321759259</v>
      </c>
      <c r="C566" s="1" t="n">
        <v>46049</v>
      </c>
      <c r="D566" t="inlineStr">
        <is>
          <t>JÄMTLANDS LÄN</t>
        </is>
      </c>
      <c r="E566" t="inlineStr">
        <is>
          <t>ÅRE</t>
        </is>
      </c>
      <c r="G566" t="n">
        <v>3.1</v>
      </c>
      <c r="H566" t="n">
        <v>0</v>
      </c>
      <c r="I566" t="n">
        <v>0</v>
      </c>
      <c r="J566" t="n">
        <v>0</v>
      </c>
      <c r="K566" t="n">
        <v>0</v>
      </c>
      <c r="L566" t="n">
        <v>0</v>
      </c>
      <c r="M566" t="n">
        <v>0</v>
      </c>
      <c r="N566" t="n">
        <v>0</v>
      </c>
      <c r="O566" t="n">
        <v>0</v>
      </c>
      <c r="P566" t="n">
        <v>0</v>
      </c>
      <c r="Q566" t="n">
        <v>0</v>
      </c>
      <c r="R566" s="2" t="inlineStr"/>
    </row>
    <row r="567" ht="15" customHeight="1">
      <c r="A567" t="inlineStr">
        <is>
          <t>A 18849-2022</t>
        </is>
      </c>
      <c r="B567" s="1" t="n">
        <v>44690</v>
      </c>
      <c r="C567" s="1" t="n">
        <v>46049</v>
      </c>
      <c r="D567" t="inlineStr">
        <is>
          <t>JÄMTLANDS LÄN</t>
        </is>
      </c>
      <c r="E567" t="inlineStr">
        <is>
          <t>ÅRE</t>
        </is>
      </c>
      <c r="G567" t="n">
        <v>12.8</v>
      </c>
      <c r="H567" t="n">
        <v>0</v>
      </c>
      <c r="I567" t="n">
        <v>0</v>
      </c>
      <c r="J567" t="n">
        <v>0</v>
      </c>
      <c r="K567" t="n">
        <v>0</v>
      </c>
      <c r="L567" t="n">
        <v>0</v>
      </c>
      <c r="M567" t="n">
        <v>0</v>
      </c>
      <c r="N567" t="n">
        <v>0</v>
      </c>
      <c r="O567" t="n">
        <v>0</v>
      </c>
      <c r="P567" t="n">
        <v>0</v>
      </c>
      <c r="Q567" t="n">
        <v>0</v>
      </c>
      <c r="R567" s="2" t="inlineStr"/>
    </row>
    <row r="568" ht="15" customHeight="1">
      <c r="A568" t="inlineStr">
        <is>
          <t>A 12940-2024</t>
        </is>
      </c>
      <c r="B568" s="1" t="n">
        <v>45385.46263888889</v>
      </c>
      <c r="C568" s="1" t="n">
        <v>46049</v>
      </c>
      <c r="D568" t="inlineStr">
        <is>
          <t>JÄMTLANDS LÄN</t>
        </is>
      </c>
      <c r="E568" t="inlineStr">
        <is>
          <t>ÅRE</t>
        </is>
      </c>
      <c r="G568" t="n">
        <v>2.5</v>
      </c>
      <c r="H568" t="n">
        <v>0</v>
      </c>
      <c r="I568" t="n">
        <v>0</v>
      </c>
      <c r="J568" t="n">
        <v>0</v>
      </c>
      <c r="K568" t="n">
        <v>0</v>
      </c>
      <c r="L568" t="n">
        <v>0</v>
      </c>
      <c r="M568" t="n">
        <v>0</v>
      </c>
      <c r="N568" t="n">
        <v>0</v>
      </c>
      <c r="O568" t="n">
        <v>0</v>
      </c>
      <c r="P568" t="n">
        <v>0</v>
      </c>
      <c r="Q568" t="n">
        <v>0</v>
      </c>
      <c r="R568" s="2" t="inlineStr"/>
    </row>
    <row r="569" ht="15" customHeight="1">
      <c r="A569" t="inlineStr">
        <is>
          <t>A 23118-2022</t>
        </is>
      </c>
      <c r="B569" s="1" t="n">
        <v>44719.5662037037</v>
      </c>
      <c r="C569" s="1" t="n">
        <v>46049</v>
      </c>
      <c r="D569" t="inlineStr">
        <is>
          <t>JÄMTLANDS LÄN</t>
        </is>
      </c>
      <c r="E569" t="inlineStr">
        <is>
          <t>ÅRE</t>
        </is>
      </c>
      <c r="G569" t="n">
        <v>3.5</v>
      </c>
      <c r="H569" t="n">
        <v>0</v>
      </c>
      <c r="I569" t="n">
        <v>0</v>
      </c>
      <c r="J569" t="n">
        <v>0</v>
      </c>
      <c r="K569" t="n">
        <v>0</v>
      </c>
      <c r="L569" t="n">
        <v>0</v>
      </c>
      <c r="M569" t="n">
        <v>0</v>
      </c>
      <c r="N569" t="n">
        <v>0</v>
      </c>
      <c r="O569" t="n">
        <v>0</v>
      </c>
      <c r="P569" t="n">
        <v>0</v>
      </c>
      <c r="Q569" t="n">
        <v>0</v>
      </c>
      <c r="R569" s="2" t="inlineStr"/>
    </row>
    <row r="570" ht="15" customHeight="1">
      <c r="A570" t="inlineStr">
        <is>
          <t>A 51277-2023</t>
        </is>
      </c>
      <c r="B570" s="1" t="n">
        <v>45219</v>
      </c>
      <c r="C570" s="1" t="n">
        <v>46049</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51282-2023</t>
        </is>
      </c>
      <c r="B571" s="1" t="n">
        <v>45219</v>
      </c>
      <c r="C571" s="1" t="n">
        <v>46049</v>
      </c>
      <c r="D571" t="inlineStr">
        <is>
          <t>JÄMTLANDS LÄN</t>
        </is>
      </c>
      <c r="E571" t="inlineStr">
        <is>
          <t>ÅRE</t>
        </is>
      </c>
      <c r="G571" t="n">
        <v>2.3</v>
      </c>
      <c r="H571" t="n">
        <v>0</v>
      </c>
      <c r="I571" t="n">
        <v>0</v>
      </c>
      <c r="J571" t="n">
        <v>0</v>
      </c>
      <c r="K571" t="n">
        <v>0</v>
      </c>
      <c r="L571" t="n">
        <v>0</v>
      </c>
      <c r="M571" t="n">
        <v>0</v>
      </c>
      <c r="N571" t="n">
        <v>0</v>
      </c>
      <c r="O571" t="n">
        <v>0</v>
      </c>
      <c r="P571" t="n">
        <v>0</v>
      </c>
      <c r="Q571" t="n">
        <v>0</v>
      </c>
      <c r="R571" s="2" t="inlineStr"/>
    </row>
    <row r="572" ht="15" customHeight="1">
      <c r="A572" t="inlineStr">
        <is>
          <t>A 54385-2023</t>
        </is>
      </c>
      <c r="B572" s="1" t="n">
        <v>45233.35863425926</v>
      </c>
      <c r="C572" s="1" t="n">
        <v>46049</v>
      </c>
      <c r="D572" t="inlineStr">
        <is>
          <t>JÄMTLANDS LÄN</t>
        </is>
      </c>
      <c r="E572" t="inlineStr">
        <is>
          <t>ÅRE</t>
        </is>
      </c>
      <c r="G572" t="n">
        <v>3.7</v>
      </c>
      <c r="H572" t="n">
        <v>0</v>
      </c>
      <c r="I572" t="n">
        <v>0</v>
      </c>
      <c r="J572" t="n">
        <v>0</v>
      </c>
      <c r="K572" t="n">
        <v>0</v>
      </c>
      <c r="L572" t="n">
        <v>0</v>
      </c>
      <c r="M572" t="n">
        <v>0</v>
      </c>
      <c r="N572" t="n">
        <v>0</v>
      </c>
      <c r="O572" t="n">
        <v>0</v>
      </c>
      <c r="P572" t="n">
        <v>0</v>
      </c>
      <c r="Q572" t="n">
        <v>0</v>
      </c>
      <c r="R572" s="2" t="inlineStr"/>
    </row>
    <row r="573" ht="15" customHeight="1">
      <c r="A573" t="inlineStr">
        <is>
          <t>A 40653-2022</t>
        </is>
      </c>
      <c r="B573" s="1" t="n">
        <v>44818</v>
      </c>
      <c r="C573" s="1" t="n">
        <v>46049</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36234-2023</t>
        </is>
      </c>
      <c r="B574" s="1" t="n">
        <v>45150</v>
      </c>
      <c r="C574" s="1" t="n">
        <v>46049</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8788-2025</t>
        </is>
      </c>
      <c r="B575" s="1" t="n">
        <v>45712</v>
      </c>
      <c r="C575" s="1" t="n">
        <v>46049</v>
      </c>
      <c r="D575" t="inlineStr">
        <is>
          <t>JÄMTLANDS LÄN</t>
        </is>
      </c>
      <c r="E575" t="inlineStr">
        <is>
          <t>ÅRE</t>
        </is>
      </c>
      <c r="G575" t="n">
        <v>2.7</v>
      </c>
      <c r="H575" t="n">
        <v>0</v>
      </c>
      <c r="I575" t="n">
        <v>0</v>
      </c>
      <c r="J575" t="n">
        <v>0</v>
      </c>
      <c r="K575" t="n">
        <v>0</v>
      </c>
      <c r="L575" t="n">
        <v>0</v>
      </c>
      <c r="M575" t="n">
        <v>0</v>
      </c>
      <c r="N575" t="n">
        <v>0</v>
      </c>
      <c r="O575" t="n">
        <v>0</v>
      </c>
      <c r="P575" t="n">
        <v>0</v>
      </c>
      <c r="Q575" t="n">
        <v>0</v>
      </c>
      <c r="R575" s="2" t="inlineStr"/>
    </row>
    <row r="576" ht="15" customHeight="1">
      <c r="A576" t="inlineStr">
        <is>
          <t>A 59916-2023</t>
        </is>
      </c>
      <c r="B576" s="1" t="n">
        <v>45257.64270833333</v>
      </c>
      <c r="C576" s="1" t="n">
        <v>46049</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47664-2022</t>
        </is>
      </c>
      <c r="B577" s="1" t="n">
        <v>44854.46388888889</v>
      </c>
      <c r="C577" s="1" t="n">
        <v>46049</v>
      </c>
      <c r="D577" t="inlineStr">
        <is>
          <t>JÄMTLANDS LÄN</t>
        </is>
      </c>
      <c r="E577" t="inlineStr">
        <is>
          <t>ÅRE</t>
        </is>
      </c>
      <c r="G577" t="n">
        <v>15</v>
      </c>
      <c r="H577" t="n">
        <v>0</v>
      </c>
      <c r="I577" t="n">
        <v>0</v>
      </c>
      <c r="J577" t="n">
        <v>0</v>
      </c>
      <c r="K577" t="n">
        <v>0</v>
      </c>
      <c r="L577" t="n">
        <v>0</v>
      </c>
      <c r="M577" t="n">
        <v>0</v>
      </c>
      <c r="N577" t="n">
        <v>0</v>
      </c>
      <c r="O577" t="n">
        <v>0</v>
      </c>
      <c r="P577" t="n">
        <v>0</v>
      </c>
      <c r="Q577" t="n">
        <v>0</v>
      </c>
      <c r="R577" s="2" t="inlineStr"/>
    </row>
    <row r="578" ht="15" customHeight="1">
      <c r="A578" t="inlineStr">
        <is>
          <t>A 57448-2023</t>
        </is>
      </c>
      <c r="B578" s="1" t="n">
        <v>45246.34405092592</v>
      </c>
      <c r="C578" s="1" t="n">
        <v>46049</v>
      </c>
      <c r="D578" t="inlineStr">
        <is>
          <t>JÄMTLANDS LÄN</t>
        </is>
      </c>
      <c r="E578" t="inlineStr">
        <is>
          <t>ÅRE</t>
        </is>
      </c>
      <c r="G578" t="n">
        <v>11.9</v>
      </c>
      <c r="H578" t="n">
        <v>0</v>
      </c>
      <c r="I578" t="n">
        <v>0</v>
      </c>
      <c r="J578" t="n">
        <v>0</v>
      </c>
      <c r="K578" t="n">
        <v>0</v>
      </c>
      <c r="L578" t="n">
        <v>0</v>
      </c>
      <c r="M578" t="n">
        <v>0</v>
      </c>
      <c r="N578" t="n">
        <v>0</v>
      </c>
      <c r="O578" t="n">
        <v>0</v>
      </c>
      <c r="P578" t="n">
        <v>0</v>
      </c>
      <c r="Q578" t="n">
        <v>0</v>
      </c>
      <c r="R578" s="2" t="inlineStr"/>
    </row>
    <row r="579" ht="15" customHeight="1">
      <c r="A579" t="inlineStr">
        <is>
          <t>A 42136-2022</t>
        </is>
      </c>
      <c r="B579" s="1" t="n">
        <v>44830</v>
      </c>
      <c r="C579" s="1" t="n">
        <v>46049</v>
      </c>
      <c r="D579" t="inlineStr">
        <is>
          <t>JÄMTLANDS LÄN</t>
        </is>
      </c>
      <c r="E579" t="inlineStr">
        <is>
          <t>ÅRE</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1159-2023</t>
        </is>
      </c>
      <c r="B580" s="1" t="n">
        <v>44935.66199074074</v>
      </c>
      <c r="C580" s="1" t="n">
        <v>46049</v>
      </c>
      <c r="D580" t="inlineStr">
        <is>
          <t>JÄMTLANDS LÄN</t>
        </is>
      </c>
      <c r="E580" t="inlineStr">
        <is>
          <t>ÅRE</t>
        </is>
      </c>
      <c r="G580" t="n">
        <v>6.4</v>
      </c>
      <c r="H580" t="n">
        <v>0</v>
      </c>
      <c r="I580" t="n">
        <v>0</v>
      </c>
      <c r="J580" t="n">
        <v>0</v>
      </c>
      <c r="K580" t="n">
        <v>0</v>
      </c>
      <c r="L580" t="n">
        <v>0</v>
      </c>
      <c r="M580" t="n">
        <v>0</v>
      </c>
      <c r="N580" t="n">
        <v>0</v>
      </c>
      <c r="O580" t="n">
        <v>0</v>
      </c>
      <c r="P580" t="n">
        <v>0</v>
      </c>
      <c r="Q580" t="n">
        <v>0</v>
      </c>
      <c r="R580" s="2" t="inlineStr"/>
    </row>
    <row r="581" ht="15" customHeight="1">
      <c r="A581" t="inlineStr">
        <is>
          <t>A 58508-2023</t>
        </is>
      </c>
      <c r="B581" s="1" t="n">
        <v>45246</v>
      </c>
      <c r="C581" s="1" t="n">
        <v>46049</v>
      </c>
      <c r="D581" t="inlineStr">
        <is>
          <t>JÄMTLANDS LÄN</t>
        </is>
      </c>
      <c r="E581" t="inlineStr">
        <is>
          <t>ÅRE</t>
        </is>
      </c>
      <c r="G581" t="n">
        <v>21.8</v>
      </c>
      <c r="H581" t="n">
        <v>0</v>
      </c>
      <c r="I581" t="n">
        <v>0</v>
      </c>
      <c r="J581" t="n">
        <v>0</v>
      </c>
      <c r="K581" t="n">
        <v>0</v>
      </c>
      <c r="L581" t="n">
        <v>0</v>
      </c>
      <c r="M581" t="n">
        <v>0</v>
      </c>
      <c r="N581" t="n">
        <v>0</v>
      </c>
      <c r="O581" t="n">
        <v>0</v>
      </c>
      <c r="P581" t="n">
        <v>0</v>
      </c>
      <c r="Q581" t="n">
        <v>0</v>
      </c>
      <c r="R581" s="2" t="inlineStr"/>
    </row>
    <row r="582" ht="15" customHeight="1">
      <c r="A582" t="inlineStr">
        <is>
          <t>A 12292-2023</t>
        </is>
      </c>
      <c r="B582" s="1" t="n">
        <v>44998</v>
      </c>
      <c r="C582" s="1" t="n">
        <v>46049</v>
      </c>
      <c r="D582" t="inlineStr">
        <is>
          <t>JÄMTLANDS LÄN</t>
        </is>
      </c>
      <c r="E582" t="inlineStr">
        <is>
          <t>ÅRE</t>
        </is>
      </c>
      <c r="G582" t="n">
        <v>3.5</v>
      </c>
      <c r="H582" t="n">
        <v>0</v>
      </c>
      <c r="I582" t="n">
        <v>0</v>
      </c>
      <c r="J582" t="n">
        <v>0</v>
      </c>
      <c r="K582" t="n">
        <v>0</v>
      </c>
      <c r="L582" t="n">
        <v>0</v>
      </c>
      <c r="M582" t="n">
        <v>0</v>
      </c>
      <c r="N582" t="n">
        <v>0</v>
      </c>
      <c r="O582" t="n">
        <v>0</v>
      </c>
      <c r="P582" t="n">
        <v>0</v>
      </c>
      <c r="Q582" t="n">
        <v>0</v>
      </c>
      <c r="R582" s="2" t="inlineStr"/>
    </row>
    <row r="583" ht="15" customHeight="1">
      <c r="A583" t="inlineStr">
        <is>
          <t>A 12294-2023</t>
        </is>
      </c>
      <c r="B583" s="1" t="n">
        <v>44998.75266203703</v>
      </c>
      <c r="C583" s="1" t="n">
        <v>46049</v>
      </c>
      <c r="D583" t="inlineStr">
        <is>
          <t>JÄMTLANDS LÄN</t>
        </is>
      </c>
      <c r="E583" t="inlineStr">
        <is>
          <t>ÅRE</t>
        </is>
      </c>
      <c r="G583" t="n">
        <v>1.4</v>
      </c>
      <c r="H583" t="n">
        <v>0</v>
      </c>
      <c r="I583" t="n">
        <v>0</v>
      </c>
      <c r="J583" t="n">
        <v>0</v>
      </c>
      <c r="K583" t="n">
        <v>0</v>
      </c>
      <c r="L583" t="n">
        <v>0</v>
      </c>
      <c r="M583" t="n">
        <v>0</v>
      </c>
      <c r="N583" t="n">
        <v>0</v>
      </c>
      <c r="O583" t="n">
        <v>0</v>
      </c>
      <c r="P583" t="n">
        <v>0</v>
      </c>
      <c r="Q583" t="n">
        <v>0</v>
      </c>
      <c r="R583" s="2" t="inlineStr"/>
    </row>
    <row r="584" ht="15" customHeight="1">
      <c r="A584" t="inlineStr">
        <is>
          <t>A 32210-2022</t>
        </is>
      </c>
      <c r="B584" s="1" t="n">
        <v>44781</v>
      </c>
      <c r="C584" s="1" t="n">
        <v>46049</v>
      </c>
      <c r="D584" t="inlineStr">
        <is>
          <t>JÄMTLANDS LÄN</t>
        </is>
      </c>
      <c r="E584" t="inlineStr">
        <is>
          <t>ÅRE</t>
        </is>
      </c>
      <c r="G584" t="n">
        <v>17.3</v>
      </c>
      <c r="H584" t="n">
        <v>0</v>
      </c>
      <c r="I584" t="n">
        <v>0</v>
      </c>
      <c r="J584" t="n">
        <v>0</v>
      </c>
      <c r="K584" t="n">
        <v>0</v>
      </c>
      <c r="L584" t="n">
        <v>0</v>
      </c>
      <c r="M584" t="n">
        <v>0</v>
      </c>
      <c r="N584" t="n">
        <v>0</v>
      </c>
      <c r="O584" t="n">
        <v>0</v>
      </c>
      <c r="P584" t="n">
        <v>0</v>
      </c>
      <c r="Q584" t="n">
        <v>0</v>
      </c>
      <c r="R584" s="2" t="inlineStr"/>
    </row>
    <row r="585" ht="15" customHeight="1">
      <c r="A585" t="inlineStr">
        <is>
          <t>A 71968-2021</t>
        </is>
      </c>
      <c r="B585" s="1" t="n">
        <v>44540</v>
      </c>
      <c r="C585" s="1" t="n">
        <v>46049</v>
      </c>
      <c r="D585" t="inlineStr">
        <is>
          <t>JÄMTLANDS LÄN</t>
        </is>
      </c>
      <c r="E585" t="inlineStr">
        <is>
          <t>ÅRE</t>
        </is>
      </c>
      <c r="G585" t="n">
        <v>7</v>
      </c>
      <c r="H585" t="n">
        <v>0</v>
      </c>
      <c r="I585" t="n">
        <v>0</v>
      </c>
      <c r="J585" t="n">
        <v>0</v>
      </c>
      <c r="K585" t="n">
        <v>0</v>
      </c>
      <c r="L585" t="n">
        <v>0</v>
      </c>
      <c r="M585" t="n">
        <v>0</v>
      </c>
      <c r="N585" t="n">
        <v>0</v>
      </c>
      <c r="O585" t="n">
        <v>0</v>
      </c>
      <c r="P585" t="n">
        <v>0</v>
      </c>
      <c r="Q585" t="n">
        <v>0</v>
      </c>
      <c r="R585" s="2" t="inlineStr"/>
    </row>
    <row r="586" ht="15" customHeight="1">
      <c r="A586" t="inlineStr">
        <is>
          <t>A 5610-2025</t>
        </is>
      </c>
      <c r="B586" s="1" t="n">
        <v>45693.60425925926</v>
      </c>
      <c r="C586" s="1" t="n">
        <v>46049</v>
      </c>
      <c r="D586" t="inlineStr">
        <is>
          <t>JÄMTLANDS LÄN</t>
        </is>
      </c>
      <c r="E586" t="inlineStr">
        <is>
          <t>ÅRE</t>
        </is>
      </c>
      <c r="G586" t="n">
        <v>1.6</v>
      </c>
      <c r="H586" t="n">
        <v>0</v>
      </c>
      <c r="I586" t="n">
        <v>0</v>
      </c>
      <c r="J586" t="n">
        <v>0</v>
      </c>
      <c r="K586" t="n">
        <v>0</v>
      </c>
      <c r="L586" t="n">
        <v>0</v>
      </c>
      <c r="M586" t="n">
        <v>0</v>
      </c>
      <c r="N586" t="n">
        <v>0</v>
      </c>
      <c r="O586" t="n">
        <v>0</v>
      </c>
      <c r="P586" t="n">
        <v>0</v>
      </c>
      <c r="Q586" t="n">
        <v>0</v>
      </c>
      <c r="R586" s="2" t="inlineStr"/>
    </row>
    <row r="587" ht="15" customHeight="1">
      <c r="A587" t="inlineStr">
        <is>
          <t>A 44512-2023</t>
        </is>
      </c>
      <c r="B587" s="1" t="n">
        <v>45184</v>
      </c>
      <c r="C587" s="1" t="n">
        <v>46049</v>
      </c>
      <c r="D587" t="inlineStr">
        <is>
          <t>JÄMTLANDS LÄN</t>
        </is>
      </c>
      <c r="E587" t="inlineStr">
        <is>
          <t>ÅRE</t>
        </is>
      </c>
      <c r="G587" t="n">
        <v>12.5</v>
      </c>
      <c r="H587" t="n">
        <v>0</v>
      </c>
      <c r="I587" t="n">
        <v>0</v>
      </c>
      <c r="J587" t="n">
        <v>0</v>
      </c>
      <c r="K587" t="n">
        <v>0</v>
      </c>
      <c r="L587" t="n">
        <v>0</v>
      </c>
      <c r="M587" t="n">
        <v>0</v>
      </c>
      <c r="N587" t="n">
        <v>0</v>
      </c>
      <c r="O587" t="n">
        <v>0</v>
      </c>
      <c r="P587" t="n">
        <v>0</v>
      </c>
      <c r="Q587" t="n">
        <v>0</v>
      </c>
      <c r="R587" s="2" t="inlineStr"/>
    </row>
    <row r="588" ht="15" customHeight="1">
      <c r="A588" t="inlineStr">
        <is>
          <t>A 33003-2022</t>
        </is>
      </c>
      <c r="B588" s="1" t="n">
        <v>44784</v>
      </c>
      <c r="C588" s="1" t="n">
        <v>46049</v>
      </c>
      <c r="D588" t="inlineStr">
        <is>
          <t>JÄMTLANDS LÄN</t>
        </is>
      </c>
      <c r="E588" t="inlineStr">
        <is>
          <t>ÅRE</t>
        </is>
      </c>
      <c r="G588" t="n">
        <v>6.1</v>
      </c>
      <c r="H588" t="n">
        <v>0</v>
      </c>
      <c r="I588" t="n">
        <v>0</v>
      </c>
      <c r="J588" t="n">
        <v>0</v>
      </c>
      <c r="K588" t="n">
        <v>0</v>
      </c>
      <c r="L588" t="n">
        <v>0</v>
      </c>
      <c r="M588" t="n">
        <v>0</v>
      </c>
      <c r="N588" t="n">
        <v>0</v>
      </c>
      <c r="O588" t="n">
        <v>0</v>
      </c>
      <c r="P588" t="n">
        <v>0</v>
      </c>
      <c r="Q588" t="n">
        <v>0</v>
      </c>
      <c r="R588" s="2" t="inlineStr"/>
    </row>
    <row r="589" ht="15" customHeight="1">
      <c r="A589" t="inlineStr">
        <is>
          <t>A 5611-2025</t>
        </is>
      </c>
      <c r="B589" s="1" t="n">
        <v>45693.60480324074</v>
      </c>
      <c r="C589" s="1" t="n">
        <v>46049</v>
      </c>
      <c r="D589" t="inlineStr">
        <is>
          <t>JÄMTLANDS LÄN</t>
        </is>
      </c>
      <c r="E589" t="inlineStr">
        <is>
          <t>ÅRE</t>
        </is>
      </c>
      <c r="G589" t="n">
        <v>2.9</v>
      </c>
      <c r="H589" t="n">
        <v>0</v>
      </c>
      <c r="I589" t="n">
        <v>0</v>
      </c>
      <c r="J589" t="n">
        <v>0</v>
      </c>
      <c r="K589" t="n">
        <v>0</v>
      </c>
      <c r="L589" t="n">
        <v>0</v>
      </c>
      <c r="M589" t="n">
        <v>0</v>
      </c>
      <c r="N589" t="n">
        <v>0</v>
      </c>
      <c r="O589" t="n">
        <v>0</v>
      </c>
      <c r="P589" t="n">
        <v>0</v>
      </c>
      <c r="Q589" t="n">
        <v>0</v>
      </c>
      <c r="R589" s="2" t="inlineStr"/>
    </row>
    <row r="590" ht="15" customHeight="1">
      <c r="A590" t="inlineStr">
        <is>
          <t>A 40341-2021</t>
        </is>
      </c>
      <c r="B590" s="1" t="n">
        <v>44419</v>
      </c>
      <c r="C590" s="1" t="n">
        <v>46049</v>
      </c>
      <c r="D590" t="inlineStr">
        <is>
          <t>JÄMTLANDS LÄN</t>
        </is>
      </c>
      <c r="E590" t="inlineStr">
        <is>
          <t>ÅRE</t>
        </is>
      </c>
      <c r="G590" t="n">
        <v>3</v>
      </c>
      <c r="H590" t="n">
        <v>0</v>
      </c>
      <c r="I590" t="n">
        <v>0</v>
      </c>
      <c r="J590" t="n">
        <v>0</v>
      </c>
      <c r="K590" t="n">
        <v>0</v>
      </c>
      <c r="L590" t="n">
        <v>0</v>
      </c>
      <c r="M590" t="n">
        <v>0</v>
      </c>
      <c r="N590" t="n">
        <v>0</v>
      </c>
      <c r="O590" t="n">
        <v>0</v>
      </c>
      <c r="P590" t="n">
        <v>0</v>
      </c>
      <c r="Q590" t="n">
        <v>0</v>
      </c>
      <c r="R590" s="2" t="inlineStr"/>
    </row>
    <row r="591" ht="15" customHeight="1">
      <c r="A591" t="inlineStr">
        <is>
          <t>A 48599-2023</t>
        </is>
      </c>
      <c r="B591" s="1" t="n">
        <v>45208</v>
      </c>
      <c r="C591" s="1" t="n">
        <v>46049</v>
      </c>
      <c r="D591" t="inlineStr">
        <is>
          <t>JÄMTLANDS LÄN</t>
        </is>
      </c>
      <c r="E591" t="inlineStr">
        <is>
          <t>ÅRE</t>
        </is>
      </c>
      <c r="G591" t="n">
        <v>1.1</v>
      </c>
      <c r="H591" t="n">
        <v>0</v>
      </c>
      <c r="I591" t="n">
        <v>0</v>
      </c>
      <c r="J591" t="n">
        <v>0</v>
      </c>
      <c r="K591" t="n">
        <v>0</v>
      </c>
      <c r="L591" t="n">
        <v>0</v>
      </c>
      <c r="M591" t="n">
        <v>0</v>
      </c>
      <c r="N591" t="n">
        <v>0</v>
      </c>
      <c r="O591" t="n">
        <v>0</v>
      </c>
      <c r="P591" t="n">
        <v>0</v>
      </c>
      <c r="Q591" t="n">
        <v>0</v>
      </c>
      <c r="R591" s="2" t="inlineStr"/>
    </row>
    <row r="592" ht="15" customHeight="1">
      <c r="A592" t="inlineStr">
        <is>
          <t>A 20160-2025</t>
        </is>
      </c>
      <c r="B592" s="1" t="n">
        <v>45772.56753472222</v>
      </c>
      <c r="C592" s="1" t="n">
        <v>46049</v>
      </c>
      <c r="D592" t="inlineStr">
        <is>
          <t>JÄMTLANDS LÄN</t>
        </is>
      </c>
      <c r="E592" t="inlineStr">
        <is>
          <t>ÅRE</t>
        </is>
      </c>
      <c r="G592" t="n">
        <v>0.8</v>
      </c>
      <c r="H592" t="n">
        <v>0</v>
      </c>
      <c r="I592" t="n">
        <v>0</v>
      </c>
      <c r="J592" t="n">
        <v>0</v>
      </c>
      <c r="K592" t="n">
        <v>0</v>
      </c>
      <c r="L592" t="n">
        <v>0</v>
      </c>
      <c r="M592" t="n">
        <v>0</v>
      </c>
      <c r="N592" t="n">
        <v>0</v>
      </c>
      <c r="O592" t="n">
        <v>0</v>
      </c>
      <c r="P592" t="n">
        <v>0</v>
      </c>
      <c r="Q592" t="n">
        <v>0</v>
      </c>
      <c r="R592" s="2" t="inlineStr"/>
    </row>
    <row r="593" ht="15" customHeight="1">
      <c r="A593" t="inlineStr">
        <is>
          <t>A 59215-2024</t>
        </is>
      </c>
      <c r="B593" s="1" t="n">
        <v>45636</v>
      </c>
      <c r="C593" s="1" t="n">
        <v>46049</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58940-2021</t>
        </is>
      </c>
      <c r="B594" s="1" t="n">
        <v>44489</v>
      </c>
      <c r="C594" s="1" t="n">
        <v>46049</v>
      </c>
      <c r="D594" t="inlineStr">
        <is>
          <t>JÄMTLANDS LÄN</t>
        </is>
      </c>
      <c r="E594" t="inlineStr">
        <is>
          <t>ÅRE</t>
        </is>
      </c>
      <c r="G594" t="n">
        <v>5.8</v>
      </c>
      <c r="H594" t="n">
        <v>0</v>
      </c>
      <c r="I594" t="n">
        <v>0</v>
      </c>
      <c r="J594" t="n">
        <v>0</v>
      </c>
      <c r="K594" t="n">
        <v>0</v>
      </c>
      <c r="L594" t="n">
        <v>0</v>
      </c>
      <c r="M594" t="n">
        <v>0</v>
      </c>
      <c r="N594" t="n">
        <v>0</v>
      </c>
      <c r="O594" t="n">
        <v>0</v>
      </c>
      <c r="P594" t="n">
        <v>0</v>
      </c>
      <c r="Q594" t="n">
        <v>0</v>
      </c>
      <c r="R594" s="2" t="inlineStr"/>
    </row>
    <row r="595" ht="15" customHeight="1">
      <c r="A595" t="inlineStr">
        <is>
          <t>A 15305-2021</t>
        </is>
      </c>
      <c r="B595" s="1" t="n">
        <v>44284</v>
      </c>
      <c r="C595" s="1" t="n">
        <v>46049</v>
      </c>
      <c r="D595" t="inlineStr">
        <is>
          <t>JÄMTLANDS LÄN</t>
        </is>
      </c>
      <c r="E595" t="inlineStr">
        <is>
          <t>ÅRE</t>
        </is>
      </c>
      <c r="G595" t="n">
        <v>1.2</v>
      </c>
      <c r="H595" t="n">
        <v>0</v>
      </c>
      <c r="I595" t="n">
        <v>0</v>
      </c>
      <c r="J595" t="n">
        <v>0</v>
      </c>
      <c r="K595" t="n">
        <v>0</v>
      </c>
      <c r="L595" t="n">
        <v>0</v>
      </c>
      <c r="M595" t="n">
        <v>0</v>
      </c>
      <c r="N595" t="n">
        <v>0</v>
      </c>
      <c r="O595" t="n">
        <v>0</v>
      </c>
      <c r="P595" t="n">
        <v>0</v>
      </c>
      <c r="Q595" t="n">
        <v>0</v>
      </c>
      <c r="R595" s="2" t="inlineStr"/>
    </row>
    <row r="596" ht="15" customHeight="1">
      <c r="A596" t="inlineStr">
        <is>
          <t>A 12179-2023</t>
        </is>
      </c>
      <c r="B596" s="1" t="n">
        <v>44998</v>
      </c>
      <c r="C596" s="1" t="n">
        <v>46049</v>
      </c>
      <c r="D596" t="inlineStr">
        <is>
          <t>JÄMTLANDS LÄN</t>
        </is>
      </c>
      <c r="E596" t="inlineStr">
        <is>
          <t>ÅRE</t>
        </is>
      </c>
      <c r="G596" t="n">
        <v>8.5</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46049</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61340-2022</t>
        </is>
      </c>
      <c r="B598" s="1" t="n">
        <v>44909</v>
      </c>
      <c r="C598" s="1" t="n">
        <v>46049</v>
      </c>
      <c r="D598" t="inlineStr">
        <is>
          <t>JÄMTLANDS LÄN</t>
        </is>
      </c>
      <c r="E598" t="inlineStr">
        <is>
          <t>ÅRE</t>
        </is>
      </c>
      <c r="G598" t="n">
        <v>4.4</v>
      </c>
      <c r="H598" t="n">
        <v>0</v>
      </c>
      <c r="I598" t="n">
        <v>0</v>
      </c>
      <c r="J598" t="n">
        <v>0</v>
      </c>
      <c r="K598" t="n">
        <v>0</v>
      </c>
      <c r="L598" t="n">
        <v>0</v>
      </c>
      <c r="M598" t="n">
        <v>0</v>
      </c>
      <c r="N598" t="n">
        <v>0</v>
      </c>
      <c r="O598" t="n">
        <v>0</v>
      </c>
      <c r="P598" t="n">
        <v>0</v>
      </c>
      <c r="Q598" t="n">
        <v>0</v>
      </c>
      <c r="R598" s="2" t="inlineStr"/>
    </row>
    <row r="599" ht="15" customHeight="1">
      <c r="A599" t="inlineStr">
        <is>
          <t>A 21897-2021</t>
        </is>
      </c>
      <c r="B599" s="1" t="n">
        <v>44322</v>
      </c>
      <c r="C599" s="1" t="n">
        <v>46049</v>
      </c>
      <c r="D599" t="inlineStr">
        <is>
          <t>JÄMTLANDS LÄN</t>
        </is>
      </c>
      <c r="E599" t="inlineStr">
        <is>
          <t>ÅRE</t>
        </is>
      </c>
      <c r="G599" t="n">
        <v>41.4</v>
      </c>
      <c r="H599" t="n">
        <v>0</v>
      </c>
      <c r="I599" t="n">
        <v>0</v>
      </c>
      <c r="J599" t="n">
        <v>0</v>
      </c>
      <c r="K599" t="n">
        <v>0</v>
      </c>
      <c r="L599" t="n">
        <v>0</v>
      </c>
      <c r="M599" t="n">
        <v>0</v>
      </c>
      <c r="N599" t="n">
        <v>0</v>
      </c>
      <c r="O599" t="n">
        <v>0</v>
      </c>
      <c r="P599" t="n">
        <v>0</v>
      </c>
      <c r="Q599" t="n">
        <v>0</v>
      </c>
      <c r="R599" s="2" t="inlineStr"/>
    </row>
    <row r="600" ht="15" customHeight="1">
      <c r="A600" t="inlineStr">
        <is>
          <t>A 5460-2023</t>
        </is>
      </c>
      <c r="B600" s="1" t="n">
        <v>44960</v>
      </c>
      <c r="C600" s="1" t="n">
        <v>46049</v>
      </c>
      <c r="D600" t="inlineStr">
        <is>
          <t>JÄMTLANDS LÄN</t>
        </is>
      </c>
      <c r="E600" t="inlineStr">
        <is>
          <t>ÅRE</t>
        </is>
      </c>
      <c r="G600" t="n">
        <v>9.4</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46049</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26722-2021</t>
        </is>
      </c>
      <c r="B602" s="1" t="n">
        <v>44349</v>
      </c>
      <c r="C602" s="1" t="n">
        <v>46049</v>
      </c>
      <c r="D602" t="inlineStr">
        <is>
          <t>JÄMTLANDS LÄN</t>
        </is>
      </c>
      <c r="E602" t="inlineStr">
        <is>
          <t>ÅRE</t>
        </is>
      </c>
      <c r="G602" t="n">
        <v>11.4</v>
      </c>
      <c r="H602" t="n">
        <v>0</v>
      </c>
      <c r="I602" t="n">
        <v>0</v>
      </c>
      <c r="J602" t="n">
        <v>0</v>
      </c>
      <c r="K602" t="n">
        <v>0</v>
      </c>
      <c r="L602" t="n">
        <v>0</v>
      </c>
      <c r="M602" t="n">
        <v>0</v>
      </c>
      <c r="N602" t="n">
        <v>0</v>
      </c>
      <c r="O602" t="n">
        <v>0</v>
      </c>
      <c r="P602" t="n">
        <v>0</v>
      </c>
      <c r="Q602" t="n">
        <v>0</v>
      </c>
      <c r="R602" s="2" t="inlineStr"/>
    </row>
    <row r="603" ht="15" customHeight="1">
      <c r="A603" t="inlineStr">
        <is>
          <t>A 45796-2024</t>
        </is>
      </c>
      <c r="B603" s="1" t="n">
        <v>45579.67354166666</v>
      </c>
      <c r="C603" s="1" t="n">
        <v>46049</v>
      </c>
      <c r="D603" t="inlineStr">
        <is>
          <t>JÄMTLANDS LÄN</t>
        </is>
      </c>
      <c r="E603" t="inlineStr">
        <is>
          <t>ÅRE</t>
        </is>
      </c>
      <c r="G603" t="n">
        <v>5</v>
      </c>
      <c r="H603" t="n">
        <v>0</v>
      </c>
      <c r="I603" t="n">
        <v>0</v>
      </c>
      <c r="J603" t="n">
        <v>0</v>
      </c>
      <c r="K603" t="n">
        <v>0</v>
      </c>
      <c r="L603" t="n">
        <v>0</v>
      </c>
      <c r="M603" t="n">
        <v>0</v>
      </c>
      <c r="N603" t="n">
        <v>0</v>
      </c>
      <c r="O603" t="n">
        <v>0</v>
      </c>
      <c r="P603" t="n">
        <v>0</v>
      </c>
      <c r="Q603" t="n">
        <v>0</v>
      </c>
      <c r="R603" s="2" t="inlineStr"/>
    </row>
    <row r="604" ht="15" customHeight="1">
      <c r="A604" t="inlineStr">
        <is>
          <t>A 54907-2023</t>
        </is>
      </c>
      <c r="B604" s="1" t="n">
        <v>45236.65784722222</v>
      </c>
      <c r="C604" s="1" t="n">
        <v>46049</v>
      </c>
      <c r="D604" t="inlineStr">
        <is>
          <t>JÄMTLANDS LÄN</t>
        </is>
      </c>
      <c r="E604" t="inlineStr">
        <is>
          <t>ÅRE</t>
        </is>
      </c>
      <c r="F604" t="inlineStr">
        <is>
          <t>Övriga Aktiebolag</t>
        </is>
      </c>
      <c r="G604" t="n">
        <v>2.6</v>
      </c>
      <c r="H604" t="n">
        <v>0</v>
      </c>
      <c r="I604" t="n">
        <v>0</v>
      </c>
      <c r="J604" t="n">
        <v>0</v>
      </c>
      <c r="K604" t="n">
        <v>0</v>
      </c>
      <c r="L604" t="n">
        <v>0</v>
      </c>
      <c r="M604" t="n">
        <v>0</v>
      </c>
      <c r="N604" t="n">
        <v>0</v>
      </c>
      <c r="O604" t="n">
        <v>0</v>
      </c>
      <c r="P604" t="n">
        <v>0</v>
      </c>
      <c r="Q604" t="n">
        <v>0</v>
      </c>
      <c r="R604" s="2" t="inlineStr"/>
    </row>
    <row r="605" ht="15" customHeight="1">
      <c r="A605" t="inlineStr">
        <is>
          <t>A 21905-2021</t>
        </is>
      </c>
      <c r="B605" s="1" t="n">
        <v>44322</v>
      </c>
      <c r="C605" s="1" t="n">
        <v>46049</v>
      </c>
      <c r="D605" t="inlineStr">
        <is>
          <t>JÄMTLANDS LÄN</t>
        </is>
      </c>
      <c r="E605" t="inlineStr">
        <is>
          <t>ÅRE</t>
        </is>
      </c>
      <c r="G605" t="n">
        <v>14.3</v>
      </c>
      <c r="H605" t="n">
        <v>0</v>
      </c>
      <c r="I605" t="n">
        <v>0</v>
      </c>
      <c r="J605" t="n">
        <v>0</v>
      </c>
      <c r="K605" t="n">
        <v>0</v>
      </c>
      <c r="L605" t="n">
        <v>0</v>
      </c>
      <c r="M605" t="n">
        <v>0</v>
      </c>
      <c r="N605" t="n">
        <v>0</v>
      </c>
      <c r="O605" t="n">
        <v>0</v>
      </c>
      <c r="P605" t="n">
        <v>0</v>
      </c>
      <c r="Q605" t="n">
        <v>0</v>
      </c>
      <c r="R605" s="2" t="inlineStr"/>
    </row>
    <row r="606" ht="15" customHeight="1">
      <c r="A606" t="inlineStr">
        <is>
          <t>A 3147-2023</t>
        </is>
      </c>
      <c r="B606" s="1" t="n">
        <v>44946</v>
      </c>
      <c r="C606" s="1" t="n">
        <v>46049</v>
      </c>
      <c r="D606" t="inlineStr">
        <is>
          <t>JÄMTLANDS LÄN</t>
        </is>
      </c>
      <c r="E606" t="inlineStr">
        <is>
          <t>ÅRE</t>
        </is>
      </c>
      <c r="G606" t="n">
        <v>0.6</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44948.98751157407</v>
      </c>
      <c r="C607" s="1" t="n">
        <v>46049</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26032-2023</t>
        </is>
      </c>
      <c r="B608" s="1" t="n">
        <v>45091.31304398148</v>
      </c>
      <c r="C608" s="1" t="n">
        <v>46049</v>
      </c>
      <c r="D608" t="inlineStr">
        <is>
          <t>JÄMTLANDS LÄN</t>
        </is>
      </c>
      <c r="E608" t="inlineStr">
        <is>
          <t>ÅRE</t>
        </is>
      </c>
      <c r="G608" t="n">
        <v>0.5</v>
      </c>
      <c r="H608" t="n">
        <v>0</v>
      </c>
      <c r="I608" t="n">
        <v>0</v>
      </c>
      <c r="J608" t="n">
        <v>0</v>
      </c>
      <c r="K608" t="n">
        <v>0</v>
      </c>
      <c r="L608" t="n">
        <v>0</v>
      </c>
      <c r="M608" t="n">
        <v>0</v>
      </c>
      <c r="N608" t="n">
        <v>0</v>
      </c>
      <c r="O608" t="n">
        <v>0</v>
      </c>
      <c r="P608" t="n">
        <v>0</v>
      </c>
      <c r="Q608" t="n">
        <v>0</v>
      </c>
      <c r="R608" s="2" t="inlineStr"/>
    </row>
    <row r="609" ht="15" customHeight="1">
      <c r="A609" t="inlineStr">
        <is>
          <t>A 26033-2023</t>
        </is>
      </c>
      <c r="B609" s="1" t="n">
        <v>45091.31530092593</v>
      </c>
      <c r="C609" s="1" t="n">
        <v>46049</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14202-2021</t>
        </is>
      </c>
      <c r="B610" s="1" t="n">
        <v>44278</v>
      </c>
      <c r="C610" s="1" t="n">
        <v>46049</v>
      </c>
      <c r="D610" t="inlineStr">
        <is>
          <t>JÄMTLANDS LÄN</t>
        </is>
      </c>
      <c r="E610" t="inlineStr">
        <is>
          <t>ÅRE</t>
        </is>
      </c>
      <c r="G610" t="n">
        <v>17.8</v>
      </c>
      <c r="H610" t="n">
        <v>0</v>
      </c>
      <c r="I610" t="n">
        <v>0</v>
      </c>
      <c r="J610" t="n">
        <v>0</v>
      </c>
      <c r="K610" t="n">
        <v>0</v>
      </c>
      <c r="L610" t="n">
        <v>0</v>
      </c>
      <c r="M610" t="n">
        <v>0</v>
      </c>
      <c r="N610" t="n">
        <v>0</v>
      </c>
      <c r="O610" t="n">
        <v>0</v>
      </c>
      <c r="P610" t="n">
        <v>0</v>
      </c>
      <c r="Q610" t="n">
        <v>0</v>
      </c>
      <c r="R610" s="2" t="inlineStr"/>
    </row>
    <row r="611" ht="15" customHeight="1">
      <c r="A611" t="inlineStr">
        <is>
          <t>A 19705-2023</t>
        </is>
      </c>
      <c r="B611" s="1" t="n">
        <v>45051</v>
      </c>
      <c r="C611" s="1" t="n">
        <v>46049</v>
      </c>
      <c r="D611" t="inlineStr">
        <is>
          <t>JÄMTLANDS LÄN</t>
        </is>
      </c>
      <c r="E611" t="inlineStr">
        <is>
          <t>ÅRE</t>
        </is>
      </c>
      <c r="G611" t="n">
        <v>4.7</v>
      </c>
      <c r="H611" t="n">
        <v>0</v>
      </c>
      <c r="I611" t="n">
        <v>0</v>
      </c>
      <c r="J611" t="n">
        <v>0</v>
      </c>
      <c r="K611" t="n">
        <v>0</v>
      </c>
      <c r="L611" t="n">
        <v>0</v>
      </c>
      <c r="M611" t="n">
        <v>0</v>
      </c>
      <c r="N611" t="n">
        <v>0</v>
      </c>
      <c r="O611" t="n">
        <v>0</v>
      </c>
      <c r="P611" t="n">
        <v>0</v>
      </c>
      <c r="Q611" t="n">
        <v>0</v>
      </c>
      <c r="R611" s="2" t="inlineStr"/>
    </row>
    <row r="612" ht="15" customHeight="1">
      <c r="A612" t="inlineStr">
        <is>
          <t>A 61524-2021</t>
        </is>
      </c>
      <c r="B612" s="1" t="n">
        <v>44496</v>
      </c>
      <c r="C612" s="1" t="n">
        <v>46049</v>
      </c>
      <c r="D612" t="inlineStr">
        <is>
          <t>JÄMTLANDS LÄN</t>
        </is>
      </c>
      <c r="E612" t="inlineStr">
        <is>
          <t>ÅRE</t>
        </is>
      </c>
      <c r="F612" t="inlineStr">
        <is>
          <t>Övriga statliga verk och myndigheter</t>
        </is>
      </c>
      <c r="G612" t="n">
        <v>15</v>
      </c>
      <c r="H612" t="n">
        <v>0</v>
      </c>
      <c r="I612" t="n">
        <v>0</v>
      </c>
      <c r="J612" t="n">
        <v>0</v>
      </c>
      <c r="K612" t="n">
        <v>0</v>
      </c>
      <c r="L612" t="n">
        <v>0</v>
      </c>
      <c r="M612" t="n">
        <v>0</v>
      </c>
      <c r="N612" t="n">
        <v>0</v>
      </c>
      <c r="O612" t="n">
        <v>0</v>
      </c>
      <c r="P612" t="n">
        <v>0</v>
      </c>
      <c r="Q612" t="n">
        <v>0</v>
      </c>
      <c r="R612" s="2" t="inlineStr"/>
    </row>
    <row r="613" ht="15" customHeight="1">
      <c r="A613" t="inlineStr">
        <is>
          <t>A 73086-2021</t>
        </is>
      </c>
      <c r="B613" s="1" t="n">
        <v>44550</v>
      </c>
      <c r="C613" s="1" t="n">
        <v>46049</v>
      </c>
      <c r="D613" t="inlineStr">
        <is>
          <t>JÄMTLANDS LÄN</t>
        </is>
      </c>
      <c r="E613" t="inlineStr">
        <is>
          <t>ÅRE</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61806-2021</t>
        </is>
      </c>
      <c r="B614" s="1" t="n">
        <v>44498</v>
      </c>
      <c r="C614" s="1" t="n">
        <v>46049</v>
      </c>
      <c r="D614" t="inlineStr">
        <is>
          <t>JÄMTLANDS LÄN</t>
        </is>
      </c>
      <c r="E614" t="inlineStr">
        <is>
          <t>ÅRE</t>
        </is>
      </c>
      <c r="G614" t="n">
        <v>0.7</v>
      </c>
      <c r="H614" t="n">
        <v>0</v>
      </c>
      <c r="I614" t="n">
        <v>0</v>
      </c>
      <c r="J614" t="n">
        <v>0</v>
      </c>
      <c r="K614" t="n">
        <v>0</v>
      </c>
      <c r="L614" t="n">
        <v>0</v>
      </c>
      <c r="M614" t="n">
        <v>0</v>
      </c>
      <c r="N614" t="n">
        <v>0</v>
      </c>
      <c r="O614" t="n">
        <v>0</v>
      </c>
      <c r="P614" t="n">
        <v>0</v>
      </c>
      <c r="Q614" t="n">
        <v>0</v>
      </c>
      <c r="R614" s="2" t="inlineStr"/>
    </row>
    <row r="615" ht="15" customHeight="1">
      <c r="A615" t="inlineStr">
        <is>
          <t>A 54324-2023</t>
        </is>
      </c>
      <c r="B615" s="1" t="n">
        <v>45225</v>
      </c>
      <c r="C615" s="1" t="n">
        <v>46049</v>
      </c>
      <c r="D615" t="inlineStr">
        <is>
          <t>JÄMTLANDS LÄN</t>
        </is>
      </c>
      <c r="E615" t="inlineStr">
        <is>
          <t>ÅRE</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10285-2021</t>
        </is>
      </c>
      <c r="B616" s="1" t="n">
        <v>44257</v>
      </c>
      <c r="C616" s="1" t="n">
        <v>46049</v>
      </c>
      <c r="D616" t="inlineStr">
        <is>
          <t>JÄMTLANDS LÄN</t>
        </is>
      </c>
      <c r="E616" t="inlineStr">
        <is>
          <t>ÅRE</t>
        </is>
      </c>
      <c r="G616" t="n">
        <v>2.9</v>
      </c>
      <c r="H616" t="n">
        <v>0</v>
      </c>
      <c r="I616" t="n">
        <v>0</v>
      </c>
      <c r="J616" t="n">
        <v>0</v>
      </c>
      <c r="K616" t="n">
        <v>0</v>
      </c>
      <c r="L616" t="n">
        <v>0</v>
      </c>
      <c r="M616" t="n">
        <v>0</v>
      </c>
      <c r="N616" t="n">
        <v>0</v>
      </c>
      <c r="O616" t="n">
        <v>0</v>
      </c>
      <c r="P616" t="n">
        <v>0</v>
      </c>
      <c r="Q616" t="n">
        <v>0</v>
      </c>
      <c r="R616" s="2" t="inlineStr"/>
    </row>
    <row r="617" ht="15" customHeight="1">
      <c r="A617" t="inlineStr">
        <is>
          <t>A 53500-2024</t>
        </is>
      </c>
      <c r="B617" s="1" t="n">
        <v>45614</v>
      </c>
      <c r="C617" s="1" t="n">
        <v>46049</v>
      </c>
      <c r="D617" t="inlineStr">
        <is>
          <t>JÄMTLANDS LÄN</t>
        </is>
      </c>
      <c r="E617" t="inlineStr">
        <is>
          <t>ÅRE</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60935-2022</t>
        </is>
      </c>
      <c r="B618" s="1" t="n">
        <v>44908</v>
      </c>
      <c r="C618" s="1" t="n">
        <v>46049</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14204-2021</t>
        </is>
      </c>
      <c r="B619" s="1" t="n">
        <v>44278</v>
      </c>
      <c r="C619" s="1" t="n">
        <v>46049</v>
      </c>
      <c r="D619" t="inlineStr">
        <is>
          <t>JÄMTLANDS LÄN</t>
        </is>
      </c>
      <c r="E619" t="inlineStr">
        <is>
          <t>ÅRE</t>
        </is>
      </c>
      <c r="G619" t="n">
        <v>24.6</v>
      </c>
      <c r="H619" t="n">
        <v>0</v>
      </c>
      <c r="I619" t="n">
        <v>0</v>
      </c>
      <c r="J619" t="n">
        <v>0</v>
      </c>
      <c r="K619" t="n">
        <v>0</v>
      </c>
      <c r="L619" t="n">
        <v>0</v>
      </c>
      <c r="M619" t="n">
        <v>0</v>
      </c>
      <c r="N619" t="n">
        <v>0</v>
      </c>
      <c r="O619" t="n">
        <v>0</v>
      </c>
      <c r="P619" t="n">
        <v>0</v>
      </c>
      <c r="Q619" t="n">
        <v>0</v>
      </c>
      <c r="R619" s="2" t="inlineStr"/>
    </row>
    <row r="620" ht="15" customHeight="1">
      <c r="A620" t="inlineStr">
        <is>
          <t>A 60899-2022</t>
        </is>
      </c>
      <c r="B620" s="1" t="n">
        <v>44908</v>
      </c>
      <c r="C620" s="1" t="n">
        <v>46049</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59784-2024</t>
        </is>
      </c>
      <c r="B621" s="1" t="n">
        <v>45639.57988425926</v>
      </c>
      <c r="C621" s="1" t="n">
        <v>46049</v>
      </c>
      <c r="D621" t="inlineStr">
        <is>
          <t>JÄMTLANDS LÄN</t>
        </is>
      </c>
      <c r="E621" t="inlineStr">
        <is>
          <t>ÅRE</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53611-2024</t>
        </is>
      </c>
      <c r="B622" s="1" t="n">
        <v>45614.70510416666</v>
      </c>
      <c r="C622" s="1" t="n">
        <v>46049</v>
      </c>
      <c r="D622" t="inlineStr">
        <is>
          <t>JÄMTLANDS LÄN</t>
        </is>
      </c>
      <c r="E622" t="inlineStr">
        <is>
          <t>ÅRE</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13841-2024</t>
        </is>
      </c>
      <c r="B623" s="1" t="n">
        <v>45391</v>
      </c>
      <c r="C623" s="1" t="n">
        <v>46049</v>
      </c>
      <c r="D623" t="inlineStr">
        <is>
          <t>JÄMTLANDS LÄN</t>
        </is>
      </c>
      <c r="E623" t="inlineStr">
        <is>
          <t>ÅRE</t>
        </is>
      </c>
      <c r="G623" t="n">
        <v>6.7</v>
      </c>
      <c r="H623" t="n">
        <v>0</v>
      </c>
      <c r="I623" t="n">
        <v>0</v>
      </c>
      <c r="J623" t="n">
        <v>0</v>
      </c>
      <c r="K623" t="n">
        <v>0</v>
      </c>
      <c r="L623" t="n">
        <v>0</v>
      </c>
      <c r="M623" t="n">
        <v>0</v>
      </c>
      <c r="N623" t="n">
        <v>0</v>
      </c>
      <c r="O623" t="n">
        <v>0</v>
      </c>
      <c r="P623" t="n">
        <v>0</v>
      </c>
      <c r="Q623" t="n">
        <v>0</v>
      </c>
      <c r="R623" s="2" t="inlineStr"/>
    </row>
    <row r="624" ht="15" customHeight="1">
      <c r="A624" t="inlineStr">
        <is>
          <t>A 17883-2021</t>
        </is>
      </c>
      <c r="B624" s="1" t="n">
        <v>44301</v>
      </c>
      <c r="C624" s="1" t="n">
        <v>46049</v>
      </c>
      <c r="D624" t="inlineStr">
        <is>
          <t>JÄMTLANDS LÄN</t>
        </is>
      </c>
      <c r="E624" t="inlineStr">
        <is>
          <t>ÅRE</t>
        </is>
      </c>
      <c r="F624" t="inlineStr">
        <is>
          <t>Övriga Aktiebolag</t>
        </is>
      </c>
      <c r="G624" t="n">
        <v>6.7</v>
      </c>
      <c r="H624" t="n">
        <v>0</v>
      </c>
      <c r="I624" t="n">
        <v>0</v>
      </c>
      <c r="J624" t="n">
        <v>0</v>
      </c>
      <c r="K624" t="n">
        <v>0</v>
      </c>
      <c r="L624" t="n">
        <v>0</v>
      </c>
      <c r="M624" t="n">
        <v>0</v>
      </c>
      <c r="N624" t="n">
        <v>0</v>
      </c>
      <c r="O624" t="n">
        <v>0</v>
      </c>
      <c r="P624" t="n">
        <v>0</v>
      </c>
      <c r="Q624" t="n">
        <v>0</v>
      </c>
      <c r="R624" s="2" t="inlineStr"/>
    </row>
    <row r="625" ht="15" customHeight="1">
      <c r="A625" t="inlineStr">
        <is>
          <t>A 51317-2023</t>
        </is>
      </c>
      <c r="B625" s="1" t="n">
        <v>45219.57061342592</v>
      </c>
      <c r="C625" s="1" t="n">
        <v>46049</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56609-2023</t>
        </is>
      </c>
      <c r="B626" s="1" t="n">
        <v>45243.66828703704</v>
      </c>
      <c r="C626" s="1" t="n">
        <v>46049</v>
      </c>
      <c r="D626" t="inlineStr">
        <is>
          <t>JÄMTLANDS LÄN</t>
        </is>
      </c>
      <c r="E626" t="inlineStr">
        <is>
          <t>ÅRE</t>
        </is>
      </c>
      <c r="G626" t="n">
        <v>17.9</v>
      </c>
      <c r="H626" t="n">
        <v>0</v>
      </c>
      <c r="I626" t="n">
        <v>0</v>
      </c>
      <c r="J626" t="n">
        <v>0</v>
      </c>
      <c r="K626" t="n">
        <v>0</v>
      </c>
      <c r="L626" t="n">
        <v>0</v>
      </c>
      <c r="M626" t="n">
        <v>0</v>
      </c>
      <c r="N626" t="n">
        <v>0</v>
      </c>
      <c r="O626" t="n">
        <v>0</v>
      </c>
      <c r="P626" t="n">
        <v>0</v>
      </c>
      <c r="Q626" t="n">
        <v>0</v>
      </c>
      <c r="R626" s="2" t="inlineStr"/>
    </row>
    <row r="627" ht="15" customHeight="1">
      <c r="A627" t="inlineStr">
        <is>
          <t>A 28817-2021</t>
        </is>
      </c>
      <c r="B627" s="1" t="n">
        <v>44357</v>
      </c>
      <c r="C627" s="1" t="n">
        <v>46049</v>
      </c>
      <c r="D627" t="inlineStr">
        <is>
          <t>JÄMTLANDS LÄN</t>
        </is>
      </c>
      <c r="E627" t="inlineStr">
        <is>
          <t>ÅRE</t>
        </is>
      </c>
      <c r="G627" t="n">
        <v>21.4</v>
      </c>
      <c r="H627" t="n">
        <v>0</v>
      </c>
      <c r="I627" t="n">
        <v>0</v>
      </c>
      <c r="J627" t="n">
        <v>0</v>
      </c>
      <c r="K627" t="n">
        <v>0</v>
      </c>
      <c r="L627" t="n">
        <v>0</v>
      </c>
      <c r="M627" t="n">
        <v>0</v>
      </c>
      <c r="N627" t="n">
        <v>0</v>
      </c>
      <c r="O627" t="n">
        <v>0</v>
      </c>
      <c r="P627" t="n">
        <v>0</v>
      </c>
      <c r="Q627" t="n">
        <v>0</v>
      </c>
      <c r="R627" s="2" t="inlineStr"/>
    </row>
    <row r="628" ht="15" customHeight="1">
      <c r="A628" t="inlineStr">
        <is>
          <t>A 13082-2025</t>
        </is>
      </c>
      <c r="B628" s="1" t="n">
        <v>45734.62666666666</v>
      </c>
      <c r="C628" s="1" t="n">
        <v>46049</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17576-2024</t>
        </is>
      </c>
      <c r="B629" s="1" t="n">
        <v>45415</v>
      </c>
      <c r="C629" s="1" t="n">
        <v>46049</v>
      </c>
      <c r="D629" t="inlineStr">
        <is>
          <t>JÄMTLANDS LÄN</t>
        </is>
      </c>
      <c r="E629" t="inlineStr">
        <is>
          <t>ÅRE</t>
        </is>
      </c>
      <c r="G629" t="n">
        <v>0.1</v>
      </c>
      <c r="H629" t="n">
        <v>0</v>
      </c>
      <c r="I629" t="n">
        <v>0</v>
      </c>
      <c r="J629" t="n">
        <v>0</v>
      </c>
      <c r="K629" t="n">
        <v>0</v>
      </c>
      <c r="L629" t="n">
        <v>0</v>
      </c>
      <c r="M629" t="n">
        <v>0</v>
      </c>
      <c r="N629" t="n">
        <v>0</v>
      </c>
      <c r="O629" t="n">
        <v>0</v>
      </c>
      <c r="P629" t="n">
        <v>0</v>
      </c>
      <c r="Q629" t="n">
        <v>0</v>
      </c>
      <c r="R629" s="2" t="inlineStr"/>
    </row>
    <row r="630" ht="15" customHeight="1">
      <c r="A630" t="inlineStr">
        <is>
          <t>A 8443-2023</t>
        </is>
      </c>
      <c r="B630" s="1" t="n">
        <v>44977</v>
      </c>
      <c r="C630" s="1" t="n">
        <v>46049</v>
      </c>
      <c r="D630" t="inlineStr">
        <is>
          <t>JÄMTLANDS LÄN</t>
        </is>
      </c>
      <c r="E630" t="inlineStr">
        <is>
          <t>ÅRE</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30379-2024</t>
        </is>
      </c>
      <c r="B631" s="1" t="n">
        <v>45491.43815972222</v>
      </c>
      <c r="C631" s="1" t="n">
        <v>46049</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11500-2022</t>
        </is>
      </c>
      <c r="B632" s="1" t="n">
        <v>44631</v>
      </c>
      <c r="C632" s="1" t="n">
        <v>46049</v>
      </c>
      <c r="D632" t="inlineStr">
        <is>
          <t>JÄMTLANDS LÄN</t>
        </is>
      </c>
      <c r="E632" t="inlineStr">
        <is>
          <t>ÅRE</t>
        </is>
      </c>
      <c r="G632" t="n">
        <v>0.5</v>
      </c>
      <c r="H632" t="n">
        <v>0</v>
      </c>
      <c r="I632" t="n">
        <v>0</v>
      </c>
      <c r="J632" t="n">
        <v>0</v>
      </c>
      <c r="K632" t="n">
        <v>0</v>
      </c>
      <c r="L632" t="n">
        <v>0</v>
      </c>
      <c r="M632" t="n">
        <v>0</v>
      </c>
      <c r="N632" t="n">
        <v>0</v>
      </c>
      <c r="O632" t="n">
        <v>0</v>
      </c>
      <c r="P632" t="n">
        <v>0</v>
      </c>
      <c r="Q632" t="n">
        <v>0</v>
      </c>
      <c r="R632" s="2" t="inlineStr"/>
    </row>
    <row r="633" ht="15" customHeight="1">
      <c r="A633" t="inlineStr">
        <is>
          <t>A 23117-2022</t>
        </is>
      </c>
      <c r="B633" s="1" t="n">
        <v>44719.56572916666</v>
      </c>
      <c r="C633" s="1" t="n">
        <v>46049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12182-2023</t>
        </is>
      </c>
      <c r="B634" s="1" t="n">
        <v>44998</v>
      </c>
      <c r="C634" s="1" t="n">
        <v>46049</v>
      </c>
      <c r="D634" t="inlineStr">
        <is>
          <t>JÄMTLANDS LÄN</t>
        </is>
      </c>
      <c r="E634" t="inlineStr">
        <is>
          <t>ÅRE</t>
        </is>
      </c>
      <c r="G634" t="n">
        <v>11.7</v>
      </c>
      <c r="H634" t="n">
        <v>0</v>
      </c>
      <c r="I634" t="n">
        <v>0</v>
      </c>
      <c r="J634" t="n">
        <v>0</v>
      </c>
      <c r="K634" t="n">
        <v>0</v>
      </c>
      <c r="L634" t="n">
        <v>0</v>
      </c>
      <c r="M634" t="n">
        <v>0</v>
      </c>
      <c r="N634" t="n">
        <v>0</v>
      </c>
      <c r="O634" t="n">
        <v>0</v>
      </c>
      <c r="P634" t="n">
        <v>0</v>
      </c>
      <c r="Q634" t="n">
        <v>0</v>
      </c>
      <c r="R634" s="2" t="inlineStr"/>
    </row>
    <row r="635" ht="15" customHeight="1">
      <c r="A635" t="inlineStr">
        <is>
          <t>A 25926-2023</t>
        </is>
      </c>
      <c r="B635" s="1" t="n">
        <v>45085</v>
      </c>
      <c r="C635" s="1" t="n">
        <v>46049</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56842-2022</t>
        </is>
      </c>
      <c r="B636" s="1" t="n">
        <v>44894.47856481482</v>
      </c>
      <c r="C636" s="1" t="n">
        <v>46049</v>
      </c>
      <c r="D636" t="inlineStr">
        <is>
          <t>JÄMTLANDS LÄN</t>
        </is>
      </c>
      <c r="E636" t="inlineStr">
        <is>
          <t>ÅRE</t>
        </is>
      </c>
      <c r="F636" t="inlineStr">
        <is>
          <t>Övriga Aktiebolag</t>
        </is>
      </c>
      <c r="G636" t="n">
        <v>7.9</v>
      </c>
      <c r="H636" t="n">
        <v>0</v>
      </c>
      <c r="I636" t="n">
        <v>0</v>
      </c>
      <c r="J636" t="n">
        <v>0</v>
      </c>
      <c r="K636" t="n">
        <v>0</v>
      </c>
      <c r="L636" t="n">
        <v>0</v>
      </c>
      <c r="M636" t="n">
        <v>0</v>
      </c>
      <c r="N636" t="n">
        <v>0</v>
      </c>
      <c r="O636" t="n">
        <v>0</v>
      </c>
      <c r="P636" t="n">
        <v>0</v>
      </c>
      <c r="Q636" t="n">
        <v>0</v>
      </c>
      <c r="R636" s="2" t="inlineStr"/>
    </row>
    <row r="637" ht="15" customHeight="1">
      <c r="A637" t="inlineStr">
        <is>
          <t>A 13039-2024</t>
        </is>
      </c>
      <c r="B637" s="1" t="n">
        <v>45385</v>
      </c>
      <c r="C637" s="1" t="n">
        <v>46049</v>
      </c>
      <c r="D637" t="inlineStr">
        <is>
          <t>JÄMTLANDS LÄN</t>
        </is>
      </c>
      <c r="E637" t="inlineStr">
        <is>
          <t>ÅRE</t>
        </is>
      </c>
      <c r="G637" t="n">
        <v>1.8</v>
      </c>
      <c r="H637" t="n">
        <v>0</v>
      </c>
      <c r="I637" t="n">
        <v>0</v>
      </c>
      <c r="J637" t="n">
        <v>0</v>
      </c>
      <c r="K637" t="n">
        <v>0</v>
      </c>
      <c r="L637" t="n">
        <v>0</v>
      </c>
      <c r="M637" t="n">
        <v>0</v>
      </c>
      <c r="N637" t="n">
        <v>0</v>
      </c>
      <c r="O637" t="n">
        <v>0</v>
      </c>
      <c r="P637" t="n">
        <v>0</v>
      </c>
      <c r="Q637" t="n">
        <v>0</v>
      </c>
      <c r="R637" s="2" t="inlineStr"/>
    </row>
    <row r="638" ht="15" customHeight="1">
      <c r="A638" t="inlineStr">
        <is>
          <t>A 1414-2023</t>
        </is>
      </c>
      <c r="B638" s="1" t="n">
        <v>44936</v>
      </c>
      <c r="C638" s="1" t="n">
        <v>46049</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55056-2024</t>
        </is>
      </c>
      <c r="B639" s="1" t="n">
        <v>45621.40034722222</v>
      </c>
      <c r="C639" s="1" t="n">
        <v>46049</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39069-2024</t>
        </is>
      </c>
      <c r="B640" s="1" t="n">
        <v>45548.53166666667</v>
      </c>
      <c r="C640" s="1" t="n">
        <v>46049</v>
      </c>
      <c r="D640" t="inlineStr">
        <is>
          <t>JÄMTLANDS LÄN</t>
        </is>
      </c>
      <c r="E640" t="inlineStr">
        <is>
          <t>ÅRE</t>
        </is>
      </c>
      <c r="G640" t="n">
        <v>0.5</v>
      </c>
      <c r="H640" t="n">
        <v>0</v>
      </c>
      <c r="I640" t="n">
        <v>0</v>
      </c>
      <c r="J640" t="n">
        <v>0</v>
      </c>
      <c r="K640" t="n">
        <v>0</v>
      </c>
      <c r="L640" t="n">
        <v>0</v>
      </c>
      <c r="M640" t="n">
        <v>0</v>
      </c>
      <c r="N640" t="n">
        <v>0</v>
      </c>
      <c r="O640" t="n">
        <v>0</v>
      </c>
      <c r="P640" t="n">
        <v>0</v>
      </c>
      <c r="Q640" t="n">
        <v>0</v>
      </c>
      <c r="R640" s="2" t="inlineStr"/>
    </row>
    <row r="641" ht="15" customHeight="1">
      <c r="A641" t="inlineStr">
        <is>
          <t>A 9312-2025</t>
        </is>
      </c>
      <c r="B641" s="1" t="n">
        <v>45714.68869212963</v>
      </c>
      <c r="C641" s="1" t="n">
        <v>46049</v>
      </c>
      <c r="D641" t="inlineStr">
        <is>
          <t>JÄMTLANDS LÄN</t>
        </is>
      </c>
      <c r="E641" t="inlineStr">
        <is>
          <t>ÅRE</t>
        </is>
      </c>
      <c r="G641" t="n">
        <v>1.2</v>
      </c>
      <c r="H641" t="n">
        <v>0</v>
      </c>
      <c r="I641" t="n">
        <v>0</v>
      </c>
      <c r="J641" t="n">
        <v>0</v>
      </c>
      <c r="K641" t="n">
        <v>0</v>
      </c>
      <c r="L641" t="n">
        <v>0</v>
      </c>
      <c r="M641" t="n">
        <v>0</v>
      </c>
      <c r="N641" t="n">
        <v>0</v>
      </c>
      <c r="O641" t="n">
        <v>0</v>
      </c>
      <c r="P641" t="n">
        <v>0</v>
      </c>
      <c r="Q641" t="n">
        <v>0</v>
      </c>
      <c r="R641" s="2" t="inlineStr"/>
    </row>
    <row r="642" ht="15" customHeight="1">
      <c r="A642" t="inlineStr">
        <is>
          <t>A 49267-2024</t>
        </is>
      </c>
      <c r="B642" s="1" t="n">
        <v>45595</v>
      </c>
      <c r="C642" s="1" t="n">
        <v>46049</v>
      </c>
      <c r="D642" t="inlineStr">
        <is>
          <t>JÄMTLANDS LÄN</t>
        </is>
      </c>
      <c r="E642" t="inlineStr">
        <is>
          <t>ÅRE</t>
        </is>
      </c>
      <c r="G642" t="n">
        <v>1</v>
      </c>
      <c r="H642" t="n">
        <v>0</v>
      </c>
      <c r="I642" t="n">
        <v>0</v>
      </c>
      <c r="J642" t="n">
        <v>0</v>
      </c>
      <c r="K642" t="n">
        <v>0</v>
      </c>
      <c r="L642" t="n">
        <v>0</v>
      </c>
      <c r="M642" t="n">
        <v>0</v>
      </c>
      <c r="N642" t="n">
        <v>0</v>
      </c>
      <c r="O642" t="n">
        <v>0</v>
      </c>
      <c r="P642" t="n">
        <v>0</v>
      </c>
      <c r="Q642" t="n">
        <v>0</v>
      </c>
      <c r="R642" s="2" t="inlineStr"/>
    </row>
    <row r="643" ht="15" customHeight="1">
      <c r="A643" t="inlineStr">
        <is>
          <t>A 29294-2023</t>
        </is>
      </c>
      <c r="B643" s="1" t="n">
        <v>45098</v>
      </c>
      <c r="C643" s="1" t="n">
        <v>46049</v>
      </c>
      <c r="D643" t="inlineStr">
        <is>
          <t>JÄMTLANDS LÄN</t>
        </is>
      </c>
      <c r="E643" t="inlineStr">
        <is>
          <t>ÅRE</t>
        </is>
      </c>
      <c r="G643" t="n">
        <v>0.7</v>
      </c>
      <c r="H643" t="n">
        <v>0</v>
      </c>
      <c r="I643" t="n">
        <v>0</v>
      </c>
      <c r="J643" t="n">
        <v>0</v>
      </c>
      <c r="K643" t="n">
        <v>0</v>
      </c>
      <c r="L643" t="n">
        <v>0</v>
      </c>
      <c r="M643" t="n">
        <v>0</v>
      </c>
      <c r="N643" t="n">
        <v>0</v>
      </c>
      <c r="O643" t="n">
        <v>0</v>
      </c>
      <c r="P643" t="n">
        <v>0</v>
      </c>
      <c r="Q643" t="n">
        <v>0</v>
      </c>
      <c r="R643" s="2" t="inlineStr"/>
    </row>
    <row r="644" ht="15" customHeight="1">
      <c r="A644" t="inlineStr">
        <is>
          <t>A 33015-2022</t>
        </is>
      </c>
      <c r="B644" s="1" t="n">
        <v>44784</v>
      </c>
      <c r="C644" s="1" t="n">
        <v>46049</v>
      </c>
      <c r="D644" t="inlineStr">
        <is>
          <t>JÄMTLANDS LÄN</t>
        </is>
      </c>
      <c r="E644" t="inlineStr">
        <is>
          <t>ÅRE</t>
        </is>
      </c>
      <c r="G644" t="n">
        <v>5.1</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44998.73143518518</v>
      </c>
      <c r="C645" s="1" t="n">
        <v>46049</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61978-2023</t>
        </is>
      </c>
      <c r="B646" s="1" t="n">
        <v>45266.59711805556</v>
      </c>
      <c r="C646" s="1" t="n">
        <v>46049</v>
      </c>
      <c r="D646" t="inlineStr">
        <is>
          <t>JÄMTLANDS LÄN</t>
        </is>
      </c>
      <c r="E646" t="inlineStr">
        <is>
          <t>ÅRE</t>
        </is>
      </c>
      <c r="G646" t="n">
        <v>5.5</v>
      </c>
      <c r="H646" t="n">
        <v>0</v>
      </c>
      <c r="I646" t="n">
        <v>0</v>
      </c>
      <c r="J646" t="n">
        <v>0</v>
      </c>
      <c r="K646" t="n">
        <v>0</v>
      </c>
      <c r="L646" t="n">
        <v>0</v>
      </c>
      <c r="M646" t="n">
        <v>0</v>
      </c>
      <c r="N646" t="n">
        <v>0</v>
      </c>
      <c r="O646" t="n">
        <v>0</v>
      </c>
      <c r="P646" t="n">
        <v>0</v>
      </c>
      <c r="Q646" t="n">
        <v>0</v>
      </c>
      <c r="R646" s="2" t="inlineStr"/>
    </row>
    <row r="647" ht="15" customHeight="1">
      <c r="A647" t="inlineStr">
        <is>
          <t>A 33117-2023</t>
        </is>
      </c>
      <c r="B647" s="1" t="n">
        <v>45126</v>
      </c>
      <c r="C647" s="1" t="n">
        <v>46049</v>
      </c>
      <c r="D647" t="inlineStr">
        <is>
          <t>JÄMTLANDS LÄN</t>
        </is>
      </c>
      <c r="E647" t="inlineStr">
        <is>
          <t>ÅRE</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376-2024</t>
        </is>
      </c>
      <c r="B648" s="1" t="n">
        <v>45296</v>
      </c>
      <c r="C648" s="1" t="n">
        <v>46049</v>
      </c>
      <c r="D648" t="inlineStr">
        <is>
          <t>JÄMTLANDS LÄN</t>
        </is>
      </c>
      <c r="E648" t="inlineStr">
        <is>
          <t>ÅRE</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69592-2021</t>
        </is>
      </c>
      <c r="B649" s="1" t="n">
        <v>44531</v>
      </c>
      <c r="C649" s="1" t="n">
        <v>46049</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54250-2024</t>
        </is>
      </c>
      <c r="B650" s="1" t="n">
        <v>45616</v>
      </c>
      <c r="C650" s="1" t="n">
        <v>46049</v>
      </c>
      <c r="D650" t="inlineStr">
        <is>
          <t>JÄMTLANDS LÄN</t>
        </is>
      </c>
      <c r="E650" t="inlineStr">
        <is>
          <t>ÅRE</t>
        </is>
      </c>
      <c r="G650" t="n">
        <v>2.8</v>
      </c>
      <c r="H650" t="n">
        <v>0</v>
      </c>
      <c r="I650" t="n">
        <v>0</v>
      </c>
      <c r="J650" t="n">
        <v>0</v>
      </c>
      <c r="K650" t="n">
        <v>0</v>
      </c>
      <c r="L650" t="n">
        <v>0</v>
      </c>
      <c r="M650" t="n">
        <v>0</v>
      </c>
      <c r="N650" t="n">
        <v>0</v>
      </c>
      <c r="O650" t="n">
        <v>0</v>
      </c>
      <c r="P650" t="n">
        <v>0</v>
      </c>
      <c r="Q650" t="n">
        <v>0</v>
      </c>
      <c r="R650" s="2" t="inlineStr"/>
    </row>
    <row r="651" ht="15" customHeight="1">
      <c r="A651" t="inlineStr">
        <is>
          <t>A 9126-2025</t>
        </is>
      </c>
      <c r="B651" s="1" t="n">
        <v>45713</v>
      </c>
      <c r="C651" s="1" t="n">
        <v>46049</v>
      </c>
      <c r="D651" t="inlineStr">
        <is>
          <t>JÄMTLANDS LÄN</t>
        </is>
      </c>
      <c r="E651" t="inlineStr">
        <is>
          <t>ÅRE</t>
        </is>
      </c>
      <c r="G651" t="n">
        <v>2</v>
      </c>
      <c r="H651" t="n">
        <v>0</v>
      </c>
      <c r="I651" t="n">
        <v>0</v>
      </c>
      <c r="J651" t="n">
        <v>0</v>
      </c>
      <c r="K651" t="n">
        <v>0</v>
      </c>
      <c r="L651" t="n">
        <v>0</v>
      </c>
      <c r="M651" t="n">
        <v>0</v>
      </c>
      <c r="N651" t="n">
        <v>0</v>
      </c>
      <c r="O651" t="n">
        <v>0</v>
      </c>
      <c r="P651" t="n">
        <v>0</v>
      </c>
      <c r="Q651" t="n">
        <v>0</v>
      </c>
      <c r="R651" s="2" t="inlineStr"/>
    </row>
    <row r="652" ht="15" customHeight="1">
      <c r="A652" t="inlineStr">
        <is>
          <t>A 2376-2023</t>
        </is>
      </c>
      <c r="B652" s="1" t="n">
        <v>44942</v>
      </c>
      <c r="C652" s="1" t="n">
        <v>46049</v>
      </c>
      <c r="D652" t="inlineStr">
        <is>
          <t>JÄMTLANDS LÄN</t>
        </is>
      </c>
      <c r="E652" t="inlineStr">
        <is>
          <t>ÅRE</t>
        </is>
      </c>
      <c r="G652" t="n">
        <v>0.1</v>
      </c>
      <c r="H652" t="n">
        <v>0</v>
      </c>
      <c r="I652" t="n">
        <v>0</v>
      </c>
      <c r="J652" t="n">
        <v>0</v>
      </c>
      <c r="K652" t="n">
        <v>0</v>
      </c>
      <c r="L652" t="n">
        <v>0</v>
      </c>
      <c r="M652" t="n">
        <v>0</v>
      </c>
      <c r="N652" t="n">
        <v>0</v>
      </c>
      <c r="O652" t="n">
        <v>0</v>
      </c>
      <c r="P652" t="n">
        <v>0</v>
      </c>
      <c r="Q652" t="n">
        <v>0</v>
      </c>
      <c r="R652" s="2" t="inlineStr"/>
    </row>
    <row r="653" ht="15" customHeight="1">
      <c r="A653" t="inlineStr">
        <is>
          <t>A 51452-2024</t>
        </is>
      </c>
      <c r="B653" s="1" t="n">
        <v>45604.49045138889</v>
      </c>
      <c r="C653" s="1" t="n">
        <v>46049</v>
      </c>
      <c r="D653" t="inlineStr">
        <is>
          <t>JÄMTLANDS LÄN</t>
        </is>
      </c>
      <c r="E653" t="inlineStr">
        <is>
          <t>ÅRE</t>
        </is>
      </c>
      <c r="G653" t="n">
        <v>8</v>
      </c>
      <c r="H653" t="n">
        <v>0</v>
      </c>
      <c r="I653" t="n">
        <v>0</v>
      </c>
      <c r="J653" t="n">
        <v>0</v>
      </c>
      <c r="K653" t="n">
        <v>0</v>
      </c>
      <c r="L653" t="n">
        <v>0</v>
      </c>
      <c r="M653" t="n">
        <v>0</v>
      </c>
      <c r="N653" t="n">
        <v>0</v>
      </c>
      <c r="O653" t="n">
        <v>0</v>
      </c>
      <c r="P653" t="n">
        <v>0</v>
      </c>
      <c r="Q653" t="n">
        <v>0</v>
      </c>
      <c r="R653" s="2" t="inlineStr"/>
    </row>
    <row r="654" ht="15" customHeight="1">
      <c r="A654" t="inlineStr">
        <is>
          <t>A 20999-2024</t>
        </is>
      </c>
      <c r="B654" s="1" t="n">
        <v>45439</v>
      </c>
      <c r="C654" s="1" t="n">
        <v>46049</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45113-2024</t>
        </is>
      </c>
      <c r="B655" s="1" t="n">
        <v>45575.59709490741</v>
      </c>
      <c r="C655" s="1" t="n">
        <v>46049</v>
      </c>
      <c r="D655" t="inlineStr">
        <is>
          <t>JÄMTLANDS LÄN</t>
        </is>
      </c>
      <c r="E655" t="inlineStr">
        <is>
          <t>ÅRE</t>
        </is>
      </c>
      <c r="G655" t="n">
        <v>3.7</v>
      </c>
      <c r="H655" t="n">
        <v>0</v>
      </c>
      <c r="I655" t="n">
        <v>0</v>
      </c>
      <c r="J655" t="n">
        <v>0</v>
      </c>
      <c r="K655" t="n">
        <v>0</v>
      </c>
      <c r="L655" t="n">
        <v>0</v>
      </c>
      <c r="M655" t="n">
        <v>0</v>
      </c>
      <c r="N655" t="n">
        <v>0</v>
      </c>
      <c r="O655" t="n">
        <v>0</v>
      </c>
      <c r="P655" t="n">
        <v>0</v>
      </c>
      <c r="Q655" t="n">
        <v>0</v>
      </c>
      <c r="R655" s="2" t="inlineStr"/>
    </row>
    <row r="656" ht="15" customHeight="1">
      <c r="A656" t="inlineStr">
        <is>
          <t>A 58917-2022</t>
        </is>
      </c>
      <c r="B656" s="1" t="n">
        <v>44903</v>
      </c>
      <c r="C656" s="1" t="n">
        <v>46049</v>
      </c>
      <c r="D656" t="inlineStr">
        <is>
          <t>JÄMTLANDS LÄN</t>
        </is>
      </c>
      <c r="E656" t="inlineStr">
        <is>
          <t>ÅRE</t>
        </is>
      </c>
      <c r="F656" t="inlineStr">
        <is>
          <t>Övriga Aktiebolag</t>
        </is>
      </c>
      <c r="G656" t="n">
        <v>3.3</v>
      </c>
      <c r="H656" t="n">
        <v>0</v>
      </c>
      <c r="I656" t="n">
        <v>0</v>
      </c>
      <c r="J656" t="n">
        <v>0</v>
      </c>
      <c r="K656" t="n">
        <v>0</v>
      </c>
      <c r="L656" t="n">
        <v>0</v>
      </c>
      <c r="M656" t="n">
        <v>0</v>
      </c>
      <c r="N656" t="n">
        <v>0</v>
      </c>
      <c r="O656" t="n">
        <v>0</v>
      </c>
      <c r="P656" t="n">
        <v>0</v>
      </c>
      <c r="Q656" t="n">
        <v>0</v>
      </c>
      <c r="R656" s="2" t="inlineStr"/>
    </row>
    <row r="657" ht="15" customHeight="1">
      <c r="A657" t="inlineStr">
        <is>
          <t>A 37734-2023</t>
        </is>
      </c>
      <c r="B657" s="1" t="n">
        <v>45159.61971064815</v>
      </c>
      <c r="C657" s="1" t="n">
        <v>46049</v>
      </c>
      <c r="D657" t="inlineStr">
        <is>
          <t>JÄMTLANDS LÄN</t>
        </is>
      </c>
      <c r="E657" t="inlineStr">
        <is>
          <t>ÅRE</t>
        </is>
      </c>
      <c r="G657" t="n">
        <v>3.4</v>
      </c>
      <c r="H657" t="n">
        <v>0</v>
      </c>
      <c r="I657" t="n">
        <v>0</v>
      </c>
      <c r="J657" t="n">
        <v>0</v>
      </c>
      <c r="K657" t="n">
        <v>0</v>
      </c>
      <c r="L657" t="n">
        <v>0</v>
      </c>
      <c r="M657" t="n">
        <v>0</v>
      </c>
      <c r="N657" t="n">
        <v>0</v>
      </c>
      <c r="O657" t="n">
        <v>0</v>
      </c>
      <c r="P657" t="n">
        <v>0</v>
      </c>
      <c r="Q657" t="n">
        <v>0</v>
      </c>
      <c r="R657" s="2" t="inlineStr"/>
    </row>
    <row r="658" ht="15" customHeight="1">
      <c r="A658" t="inlineStr">
        <is>
          <t>A 57770-2023</t>
        </is>
      </c>
      <c r="B658" s="1" t="n">
        <v>45246.92542824074</v>
      </c>
      <c r="C658" s="1" t="n">
        <v>46049</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556-2023</t>
        </is>
      </c>
      <c r="B659" s="1" t="n">
        <v>44930</v>
      </c>
      <c r="C659" s="1" t="n">
        <v>46049</v>
      </c>
      <c r="D659" t="inlineStr">
        <is>
          <t>JÄMTLANDS LÄN</t>
        </is>
      </c>
      <c r="E659" t="inlineStr">
        <is>
          <t>ÅRE</t>
        </is>
      </c>
      <c r="G659" t="n">
        <v>14.9</v>
      </c>
      <c r="H659" t="n">
        <v>0</v>
      </c>
      <c r="I659" t="n">
        <v>0</v>
      </c>
      <c r="J659" t="n">
        <v>0</v>
      </c>
      <c r="K659" t="n">
        <v>0</v>
      </c>
      <c r="L659" t="n">
        <v>0</v>
      </c>
      <c r="M659" t="n">
        <v>0</v>
      </c>
      <c r="N659" t="n">
        <v>0</v>
      </c>
      <c r="O659" t="n">
        <v>0</v>
      </c>
      <c r="P659" t="n">
        <v>0</v>
      </c>
      <c r="Q659" t="n">
        <v>0</v>
      </c>
      <c r="R659" s="2" t="inlineStr"/>
    </row>
    <row r="660" ht="15" customHeight="1">
      <c r="A660" t="inlineStr">
        <is>
          <t>A 393-2024</t>
        </is>
      </c>
      <c r="B660" s="1" t="n">
        <v>45296.43614583334</v>
      </c>
      <c r="C660" s="1" t="n">
        <v>46049</v>
      </c>
      <c r="D660" t="inlineStr">
        <is>
          <t>JÄMTLANDS LÄN</t>
        </is>
      </c>
      <c r="E660" t="inlineStr">
        <is>
          <t>ÅRE</t>
        </is>
      </c>
      <c r="G660" t="n">
        <v>6.5</v>
      </c>
      <c r="H660" t="n">
        <v>0</v>
      </c>
      <c r="I660" t="n">
        <v>0</v>
      </c>
      <c r="J660" t="n">
        <v>0</v>
      </c>
      <c r="K660" t="n">
        <v>0</v>
      </c>
      <c r="L660" t="n">
        <v>0</v>
      </c>
      <c r="M660" t="n">
        <v>0</v>
      </c>
      <c r="N660" t="n">
        <v>0</v>
      </c>
      <c r="O660" t="n">
        <v>0</v>
      </c>
      <c r="P660" t="n">
        <v>0</v>
      </c>
      <c r="Q660" t="n">
        <v>0</v>
      </c>
      <c r="R660" s="2" t="inlineStr"/>
    </row>
    <row r="661" ht="15" customHeight="1">
      <c r="A661" t="inlineStr">
        <is>
          <t>A 13033-2024</t>
        </is>
      </c>
      <c r="B661" s="1" t="n">
        <v>45385</v>
      </c>
      <c r="C661" s="1" t="n">
        <v>46049</v>
      </c>
      <c r="D661" t="inlineStr">
        <is>
          <t>JÄMTLANDS LÄN</t>
        </is>
      </c>
      <c r="E661" t="inlineStr">
        <is>
          <t>ÅRE</t>
        </is>
      </c>
      <c r="G661" t="n">
        <v>7.3</v>
      </c>
      <c r="H661" t="n">
        <v>0</v>
      </c>
      <c r="I661" t="n">
        <v>0</v>
      </c>
      <c r="J661" t="n">
        <v>0</v>
      </c>
      <c r="K661" t="n">
        <v>0</v>
      </c>
      <c r="L661" t="n">
        <v>0</v>
      </c>
      <c r="M661" t="n">
        <v>0</v>
      </c>
      <c r="N661" t="n">
        <v>0</v>
      </c>
      <c r="O661" t="n">
        <v>0</v>
      </c>
      <c r="P661" t="n">
        <v>0</v>
      </c>
      <c r="Q661" t="n">
        <v>0</v>
      </c>
      <c r="R661" s="2" t="inlineStr"/>
    </row>
    <row r="662" ht="15" customHeight="1">
      <c r="A662" t="inlineStr">
        <is>
          <t>A 12227-2023</t>
        </is>
      </c>
      <c r="B662" s="1" t="n">
        <v>44998.60261574074</v>
      </c>
      <c r="C662" s="1" t="n">
        <v>46049</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7573-2023</t>
        </is>
      </c>
      <c r="B663" s="1" t="n">
        <v>44967</v>
      </c>
      <c r="C663" s="1" t="n">
        <v>46049</v>
      </c>
      <c r="D663" t="inlineStr">
        <is>
          <t>JÄMTLANDS LÄN</t>
        </is>
      </c>
      <c r="E663" t="inlineStr">
        <is>
          <t>ÅRE</t>
        </is>
      </c>
      <c r="G663" t="n">
        <v>7</v>
      </c>
      <c r="H663" t="n">
        <v>0</v>
      </c>
      <c r="I663" t="n">
        <v>0</v>
      </c>
      <c r="J663" t="n">
        <v>0</v>
      </c>
      <c r="K663" t="n">
        <v>0</v>
      </c>
      <c r="L663" t="n">
        <v>0</v>
      </c>
      <c r="M663" t="n">
        <v>0</v>
      </c>
      <c r="N663" t="n">
        <v>0</v>
      </c>
      <c r="O663" t="n">
        <v>0</v>
      </c>
      <c r="P663" t="n">
        <v>0</v>
      </c>
      <c r="Q663" t="n">
        <v>0</v>
      </c>
      <c r="R663" s="2" t="inlineStr"/>
    </row>
    <row r="664" ht="15" customHeight="1">
      <c r="A664" t="inlineStr">
        <is>
          <t>A 45242-2023</t>
        </is>
      </c>
      <c r="B664" s="1" t="n">
        <v>45187</v>
      </c>
      <c r="C664" s="1" t="n">
        <v>46049</v>
      </c>
      <c r="D664" t="inlineStr">
        <is>
          <t>JÄMTLANDS LÄN</t>
        </is>
      </c>
      <c r="E664" t="inlineStr">
        <is>
          <t>ÅRE</t>
        </is>
      </c>
      <c r="G664" t="n">
        <v>2.9</v>
      </c>
      <c r="H664" t="n">
        <v>0</v>
      </c>
      <c r="I664" t="n">
        <v>0</v>
      </c>
      <c r="J664" t="n">
        <v>0</v>
      </c>
      <c r="K664" t="n">
        <v>0</v>
      </c>
      <c r="L664" t="n">
        <v>0</v>
      </c>
      <c r="M664" t="n">
        <v>0</v>
      </c>
      <c r="N664" t="n">
        <v>0</v>
      </c>
      <c r="O664" t="n">
        <v>0</v>
      </c>
      <c r="P664" t="n">
        <v>0</v>
      </c>
      <c r="Q664" t="n">
        <v>0</v>
      </c>
      <c r="R664" s="2" t="inlineStr"/>
    </row>
    <row r="665" ht="15" customHeight="1">
      <c r="A665" t="inlineStr">
        <is>
          <t>A 1491-2024</t>
        </is>
      </c>
      <c r="B665" s="1" t="n">
        <v>45305</v>
      </c>
      <c r="C665" s="1" t="n">
        <v>46049</v>
      </c>
      <c r="D665" t="inlineStr">
        <is>
          <t>JÄMTLANDS LÄN</t>
        </is>
      </c>
      <c r="E665" t="inlineStr">
        <is>
          <t>ÅRE</t>
        </is>
      </c>
      <c r="G665" t="n">
        <v>31.4</v>
      </c>
      <c r="H665" t="n">
        <v>0</v>
      </c>
      <c r="I665" t="n">
        <v>0</v>
      </c>
      <c r="J665" t="n">
        <v>0</v>
      </c>
      <c r="K665" t="n">
        <v>0</v>
      </c>
      <c r="L665" t="n">
        <v>0</v>
      </c>
      <c r="M665" t="n">
        <v>0</v>
      </c>
      <c r="N665" t="n">
        <v>0</v>
      </c>
      <c r="O665" t="n">
        <v>0</v>
      </c>
      <c r="P665" t="n">
        <v>0</v>
      </c>
      <c r="Q665" t="n">
        <v>0</v>
      </c>
      <c r="R665" s="2" t="inlineStr"/>
    </row>
    <row r="666" ht="15" customHeight="1">
      <c r="A666" t="inlineStr">
        <is>
          <t>A 12287-2023</t>
        </is>
      </c>
      <c r="B666" s="1" t="n">
        <v>44998.72736111111</v>
      </c>
      <c r="C666" s="1" t="n">
        <v>46049</v>
      </c>
      <c r="D666" t="inlineStr">
        <is>
          <t>JÄMTLANDS LÄN</t>
        </is>
      </c>
      <c r="E666" t="inlineStr">
        <is>
          <t>ÅRE</t>
        </is>
      </c>
      <c r="G666" t="n">
        <v>3.1</v>
      </c>
      <c r="H666" t="n">
        <v>0</v>
      </c>
      <c r="I666" t="n">
        <v>0</v>
      </c>
      <c r="J666" t="n">
        <v>0</v>
      </c>
      <c r="K666" t="n">
        <v>0</v>
      </c>
      <c r="L666" t="n">
        <v>0</v>
      </c>
      <c r="M666" t="n">
        <v>0</v>
      </c>
      <c r="N666" t="n">
        <v>0</v>
      </c>
      <c r="O666" t="n">
        <v>0</v>
      </c>
      <c r="P666" t="n">
        <v>0</v>
      </c>
      <c r="Q666" t="n">
        <v>0</v>
      </c>
      <c r="R666" s="2" t="inlineStr"/>
    </row>
    <row r="667" ht="15" customHeight="1">
      <c r="A667" t="inlineStr">
        <is>
          <t>A 12290-2023</t>
        </is>
      </c>
      <c r="B667" s="1" t="n">
        <v>44998.73545138889</v>
      </c>
      <c r="C667" s="1" t="n">
        <v>46049</v>
      </c>
      <c r="D667" t="inlineStr">
        <is>
          <t>JÄMTLANDS LÄN</t>
        </is>
      </c>
      <c r="E667" t="inlineStr">
        <is>
          <t>ÅRE</t>
        </is>
      </c>
      <c r="G667" t="n">
        <v>2.8</v>
      </c>
      <c r="H667" t="n">
        <v>0</v>
      </c>
      <c r="I667" t="n">
        <v>0</v>
      </c>
      <c r="J667" t="n">
        <v>0</v>
      </c>
      <c r="K667" t="n">
        <v>0</v>
      </c>
      <c r="L667" t="n">
        <v>0</v>
      </c>
      <c r="M667" t="n">
        <v>0</v>
      </c>
      <c r="N667" t="n">
        <v>0</v>
      </c>
      <c r="O667" t="n">
        <v>0</v>
      </c>
      <c r="P667" t="n">
        <v>0</v>
      </c>
      <c r="Q667" t="n">
        <v>0</v>
      </c>
      <c r="R667" s="2" t="inlineStr"/>
    </row>
    <row r="668" ht="15" customHeight="1">
      <c r="A668" t="inlineStr">
        <is>
          <t>A 12291-2023</t>
        </is>
      </c>
      <c r="B668" s="1" t="n">
        <v>44998.74140046296</v>
      </c>
      <c r="C668" s="1" t="n">
        <v>46049</v>
      </c>
      <c r="D668" t="inlineStr">
        <is>
          <t>JÄMTLANDS LÄN</t>
        </is>
      </c>
      <c r="E668" t="inlineStr">
        <is>
          <t>ÅRE</t>
        </is>
      </c>
      <c r="G668" t="n">
        <v>6</v>
      </c>
      <c r="H668" t="n">
        <v>0</v>
      </c>
      <c r="I668" t="n">
        <v>0</v>
      </c>
      <c r="J668" t="n">
        <v>0</v>
      </c>
      <c r="K668" t="n">
        <v>0</v>
      </c>
      <c r="L668" t="n">
        <v>0</v>
      </c>
      <c r="M668" t="n">
        <v>0</v>
      </c>
      <c r="N668" t="n">
        <v>0</v>
      </c>
      <c r="O668" t="n">
        <v>0</v>
      </c>
      <c r="P668" t="n">
        <v>0</v>
      </c>
      <c r="Q668" t="n">
        <v>0</v>
      </c>
      <c r="R668" s="2" t="inlineStr"/>
    </row>
    <row r="669" ht="15" customHeight="1">
      <c r="A669" t="inlineStr">
        <is>
          <t>A 44609-2024</t>
        </is>
      </c>
      <c r="B669" s="1" t="n">
        <v>45574.51212962963</v>
      </c>
      <c r="C669" s="1" t="n">
        <v>46049</v>
      </c>
      <c r="D669" t="inlineStr">
        <is>
          <t>JÄMTLANDS LÄN</t>
        </is>
      </c>
      <c r="E669" t="inlineStr">
        <is>
          <t>ÅRE</t>
        </is>
      </c>
      <c r="G669" t="n">
        <v>1.9</v>
      </c>
      <c r="H669" t="n">
        <v>0</v>
      </c>
      <c r="I669" t="n">
        <v>0</v>
      </c>
      <c r="J669" t="n">
        <v>0</v>
      </c>
      <c r="K669" t="n">
        <v>0</v>
      </c>
      <c r="L669" t="n">
        <v>0</v>
      </c>
      <c r="M669" t="n">
        <v>0</v>
      </c>
      <c r="N669" t="n">
        <v>0</v>
      </c>
      <c r="O669" t="n">
        <v>0</v>
      </c>
      <c r="P669" t="n">
        <v>0</v>
      </c>
      <c r="Q669" t="n">
        <v>0</v>
      </c>
      <c r="R669" s="2" t="inlineStr"/>
    </row>
    <row r="670" ht="15" customHeight="1">
      <c r="A670" t="inlineStr">
        <is>
          <t>A 41677-2024</t>
        </is>
      </c>
      <c r="B670" s="1" t="n">
        <v>45560.66037037037</v>
      </c>
      <c r="C670" s="1" t="n">
        <v>46049</v>
      </c>
      <c r="D670" t="inlineStr">
        <is>
          <t>JÄMTLANDS LÄN</t>
        </is>
      </c>
      <c r="E670" t="inlineStr">
        <is>
          <t>ÅRE</t>
        </is>
      </c>
      <c r="G670" t="n">
        <v>0.5</v>
      </c>
      <c r="H670" t="n">
        <v>0</v>
      </c>
      <c r="I670" t="n">
        <v>0</v>
      </c>
      <c r="J670" t="n">
        <v>0</v>
      </c>
      <c r="K670" t="n">
        <v>0</v>
      </c>
      <c r="L670" t="n">
        <v>0</v>
      </c>
      <c r="M670" t="n">
        <v>0</v>
      </c>
      <c r="N670" t="n">
        <v>0</v>
      </c>
      <c r="O670" t="n">
        <v>0</v>
      </c>
      <c r="P670" t="n">
        <v>0</v>
      </c>
      <c r="Q670" t="n">
        <v>0</v>
      </c>
      <c r="R670" s="2" t="inlineStr"/>
    </row>
    <row r="671" ht="15" customHeight="1">
      <c r="A671" t="inlineStr">
        <is>
          <t>A 41688-2024</t>
        </is>
      </c>
      <c r="B671" s="1" t="n">
        <v>45560.67542824074</v>
      </c>
      <c r="C671" s="1" t="n">
        <v>46049</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4218-2025</t>
        </is>
      </c>
      <c r="B672" s="1" t="n">
        <v>45685</v>
      </c>
      <c r="C672" s="1" t="n">
        <v>46049</v>
      </c>
      <c r="D672" t="inlineStr">
        <is>
          <t>JÄMTLANDS LÄN</t>
        </is>
      </c>
      <c r="E672" t="inlineStr">
        <is>
          <t>ÅRE</t>
        </is>
      </c>
      <c r="F672" t="inlineStr">
        <is>
          <t>Övriga Aktiebolag</t>
        </is>
      </c>
      <c r="G672" t="n">
        <v>10.1</v>
      </c>
      <c r="H672" t="n">
        <v>0</v>
      </c>
      <c r="I672" t="n">
        <v>0</v>
      </c>
      <c r="J672" t="n">
        <v>0</v>
      </c>
      <c r="K672" t="n">
        <v>0</v>
      </c>
      <c r="L672" t="n">
        <v>0</v>
      </c>
      <c r="M672" t="n">
        <v>0</v>
      </c>
      <c r="N672" t="n">
        <v>0</v>
      </c>
      <c r="O672" t="n">
        <v>0</v>
      </c>
      <c r="P672" t="n">
        <v>0</v>
      </c>
      <c r="Q672" t="n">
        <v>0</v>
      </c>
      <c r="R672" s="2" t="inlineStr"/>
    </row>
    <row r="673" ht="15" customHeight="1">
      <c r="A673" t="inlineStr">
        <is>
          <t>A 15692-2025</t>
        </is>
      </c>
      <c r="B673" s="1" t="n">
        <v>45748</v>
      </c>
      <c r="C673" s="1" t="n">
        <v>46049</v>
      </c>
      <c r="D673" t="inlineStr">
        <is>
          <t>JÄMTLANDS LÄN</t>
        </is>
      </c>
      <c r="E673" t="inlineStr">
        <is>
          <t>ÅRE</t>
        </is>
      </c>
      <c r="G673" t="n">
        <v>2.7</v>
      </c>
      <c r="H673" t="n">
        <v>0</v>
      </c>
      <c r="I673" t="n">
        <v>0</v>
      </c>
      <c r="J673" t="n">
        <v>0</v>
      </c>
      <c r="K673" t="n">
        <v>0</v>
      </c>
      <c r="L673" t="n">
        <v>0</v>
      </c>
      <c r="M673" t="n">
        <v>0</v>
      </c>
      <c r="N673" t="n">
        <v>0</v>
      </c>
      <c r="O673" t="n">
        <v>0</v>
      </c>
      <c r="P673" t="n">
        <v>0</v>
      </c>
      <c r="Q673" t="n">
        <v>0</v>
      </c>
      <c r="R673" s="2" t="inlineStr"/>
    </row>
    <row r="674" ht="15" customHeight="1">
      <c r="A674" t="inlineStr">
        <is>
          <t>A 12177-2025</t>
        </is>
      </c>
      <c r="B674" s="1" t="n">
        <v>45729.45119212963</v>
      </c>
      <c r="C674" s="1" t="n">
        <v>46049</v>
      </c>
      <c r="D674" t="inlineStr">
        <is>
          <t>JÄMTLANDS LÄN</t>
        </is>
      </c>
      <c r="E674" t="inlineStr">
        <is>
          <t>ÅRE</t>
        </is>
      </c>
      <c r="F674" t="inlineStr">
        <is>
          <t>Övriga Aktiebolag</t>
        </is>
      </c>
      <c r="G674" t="n">
        <v>13.2</v>
      </c>
      <c r="H674" t="n">
        <v>0</v>
      </c>
      <c r="I674" t="n">
        <v>0</v>
      </c>
      <c r="J674" t="n">
        <v>0</v>
      </c>
      <c r="K674" t="n">
        <v>0</v>
      </c>
      <c r="L674" t="n">
        <v>0</v>
      </c>
      <c r="M674" t="n">
        <v>0</v>
      </c>
      <c r="N674" t="n">
        <v>0</v>
      </c>
      <c r="O674" t="n">
        <v>0</v>
      </c>
      <c r="P674" t="n">
        <v>0</v>
      </c>
      <c r="Q674" t="n">
        <v>0</v>
      </c>
      <c r="R674" s="2" t="inlineStr"/>
    </row>
    <row r="675" ht="15" customHeight="1">
      <c r="A675" t="inlineStr">
        <is>
          <t>A 61295-2023</t>
        </is>
      </c>
      <c r="B675" s="1" t="n">
        <v>45264</v>
      </c>
      <c r="C675" s="1" t="n">
        <v>46049</v>
      </c>
      <c r="D675" t="inlineStr">
        <is>
          <t>JÄMTLANDS LÄN</t>
        </is>
      </c>
      <c r="E675" t="inlineStr">
        <is>
          <t>ÅRE</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8983-2021</t>
        </is>
      </c>
      <c r="B676" s="1" t="n">
        <v>44231</v>
      </c>
      <c r="C676" s="1" t="n">
        <v>46049</v>
      </c>
      <c r="D676" t="inlineStr">
        <is>
          <t>JÄMTLANDS LÄN</t>
        </is>
      </c>
      <c r="E676" t="inlineStr">
        <is>
          <t>ÅRE</t>
        </is>
      </c>
      <c r="G676" t="n">
        <v>4.1</v>
      </c>
      <c r="H676" t="n">
        <v>0</v>
      </c>
      <c r="I676" t="n">
        <v>0</v>
      </c>
      <c r="J676" t="n">
        <v>0</v>
      </c>
      <c r="K676" t="n">
        <v>0</v>
      </c>
      <c r="L676" t="n">
        <v>0</v>
      </c>
      <c r="M676" t="n">
        <v>0</v>
      </c>
      <c r="N676" t="n">
        <v>0</v>
      </c>
      <c r="O676" t="n">
        <v>0</v>
      </c>
      <c r="P676" t="n">
        <v>0</v>
      </c>
      <c r="Q676" t="n">
        <v>0</v>
      </c>
      <c r="R676" s="2" t="inlineStr"/>
    </row>
    <row r="677" ht="15" customHeight="1">
      <c r="A677" t="inlineStr">
        <is>
          <t>A 21181-2025</t>
        </is>
      </c>
      <c r="B677" s="1" t="n">
        <v>45779.43696759259</v>
      </c>
      <c r="C677" s="1" t="n">
        <v>46049</v>
      </c>
      <c r="D677" t="inlineStr">
        <is>
          <t>JÄMTLANDS LÄN</t>
        </is>
      </c>
      <c r="E677" t="inlineStr">
        <is>
          <t>ÅRE</t>
        </is>
      </c>
      <c r="G677" t="n">
        <v>2.9</v>
      </c>
      <c r="H677" t="n">
        <v>0</v>
      </c>
      <c r="I677" t="n">
        <v>0</v>
      </c>
      <c r="J677" t="n">
        <v>0</v>
      </c>
      <c r="K677" t="n">
        <v>0</v>
      </c>
      <c r="L677" t="n">
        <v>0</v>
      </c>
      <c r="M677" t="n">
        <v>0</v>
      </c>
      <c r="N677" t="n">
        <v>0</v>
      </c>
      <c r="O677" t="n">
        <v>0</v>
      </c>
      <c r="P677" t="n">
        <v>0</v>
      </c>
      <c r="Q677" t="n">
        <v>0</v>
      </c>
      <c r="R677" s="2" t="inlineStr"/>
    </row>
    <row r="678" ht="15" customHeight="1">
      <c r="A678" t="inlineStr">
        <is>
          <t>A 21167-2025</t>
        </is>
      </c>
      <c r="B678" s="1" t="n">
        <v>45779.41253472222</v>
      </c>
      <c r="C678" s="1" t="n">
        <v>46049</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46559-2024</t>
        </is>
      </c>
      <c r="B679" s="1" t="n">
        <v>45582</v>
      </c>
      <c r="C679" s="1" t="n">
        <v>46049</v>
      </c>
      <c r="D679" t="inlineStr">
        <is>
          <t>JÄMTLANDS LÄN</t>
        </is>
      </c>
      <c r="E679" t="inlineStr">
        <is>
          <t>ÅRE</t>
        </is>
      </c>
      <c r="G679" t="n">
        <v>6.2</v>
      </c>
      <c r="H679" t="n">
        <v>0</v>
      </c>
      <c r="I679" t="n">
        <v>0</v>
      </c>
      <c r="J679" t="n">
        <v>0</v>
      </c>
      <c r="K679" t="n">
        <v>0</v>
      </c>
      <c r="L679" t="n">
        <v>0</v>
      </c>
      <c r="M679" t="n">
        <v>0</v>
      </c>
      <c r="N679" t="n">
        <v>0</v>
      </c>
      <c r="O679" t="n">
        <v>0</v>
      </c>
      <c r="P679" t="n">
        <v>0</v>
      </c>
      <c r="Q679" t="n">
        <v>0</v>
      </c>
      <c r="R679" s="2" t="inlineStr"/>
    </row>
    <row r="680" ht="15" customHeight="1">
      <c r="A680" t="inlineStr">
        <is>
          <t>A 49296-2024</t>
        </is>
      </c>
      <c r="B680" s="1" t="n">
        <v>45595</v>
      </c>
      <c r="C680" s="1" t="n">
        <v>46049</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60122-2021</t>
        </is>
      </c>
      <c r="B681" s="1" t="n">
        <v>44495</v>
      </c>
      <c r="C681" s="1" t="n">
        <v>46049</v>
      </c>
      <c r="D681" t="inlineStr">
        <is>
          <t>JÄMTLANDS LÄN</t>
        </is>
      </c>
      <c r="E681" t="inlineStr">
        <is>
          <t>ÅRE</t>
        </is>
      </c>
      <c r="G681" t="n">
        <v>46.7</v>
      </c>
      <c r="H681" t="n">
        <v>0</v>
      </c>
      <c r="I681" t="n">
        <v>0</v>
      </c>
      <c r="J681" t="n">
        <v>0</v>
      </c>
      <c r="K681" t="n">
        <v>0</v>
      </c>
      <c r="L681" t="n">
        <v>0</v>
      </c>
      <c r="M681" t="n">
        <v>0</v>
      </c>
      <c r="N681" t="n">
        <v>0</v>
      </c>
      <c r="O681" t="n">
        <v>0</v>
      </c>
      <c r="P681" t="n">
        <v>0</v>
      </c>
      <c r="Q681" t="n">
        <v>0</v>
      </c>
      <c r="R681" s="2" t="inlineStr"/>
    </row>
    <row r="682" ht="15" customHeight="1">
      <c r="A682" t="inlineStr">
        <is>
          <t>A 25200-2025</t>
        </is>
      </c>
      <c r="B682" s="1" t="n">
        <v>45800.4615625</v>
      </c>
      <c r="C682" s="1" t="n">
        <v>46049</v>
      </c>
      <c r="D682" t="inlineStr">
        <is>
          <t>JÄMTLANDS LÄN</t>
        </is>
      </c>
      <c r="E682" t="inlineStr">
        <is>
          <t>ÅRE</t>
        </is>
      </c>
      <c r="G682" t="n">
        <v>3.3</v>
      </c>
      <c r="H682" t="n">
        <v>0</v>
      </c>
      <c r="I682" t="n">
        <v>0</v>
      </c>
      <c r="J682" t="n">
        <v>0</v>
      </c>
      <c r="K682" t="n">
        <v>0</v>
      </c>
      <c r="L682" t="n">
        <v>0</v>
      </c>
      <c r="M682" t="n">
        <v>0</v>
      </c>
      <c r="N682" t="n">
        <v>0</v>
      </c>
      <c r="O682" t="n">
        <v>0</v>
      </c>
      <c r="P682" t="n">
        <v>0</v>
      </c>
      <c r="Q682" t="n">
        <v>0</v>
      </c>
      <c r="R682" s="2" t="inlineStr"/>
    </row>
    <row r="683" ht="15" customHeight="1">
      <c r="A683" t="inlineStr">
        <is>
          <t>A 25208-2025</t>
        </is>
      </c>
      <c r="B683" s="1" t="n">
        <v>45800.46927083333</v>
      </c>
      <c r="C683" s="1" t="n">
        <v>46049</v>
      </c>
      <c r="D683" t="inlineStr">
        <is>
          <t>JÄMTLANDS LÄN</t>
        </is>
      </c>
      <c r="E683" t="inlineStr">
        <is>
          <t>ÅRE</t>
        </is>
      </c>
      <c r="G683" t="n">
        <v>1.5</v>
      </c>
      <c r="H683" t="n">
        <v>0</v>
      </c>
      <c r="I683" t="n">
        <v>0</v>
      </c>
      <c r="J683" t="n">
        <v>0</v>
      </c>
      <c r="K683" t="n">
        <v>0</v>
      </c>
      <c r="L683" t="n">
        <v>0</v>
      </c>
      <c r="M683" t="n">
        <v>0</v>
      </c>
      <c r="N683" t="n">
        <v>0</v>
      </c>
      <c r="O683" t="n">
        <v>0</v>
      </c>
      <c r="P683" t="n">
        <v>0</v>
      </c>
      <c r="Q683" t="n">
        <v>0</v>
      </c>
      <c r="R683" s="2" t="inlineStr"/>
    </row>
    <row r="684">
      <c r="A684" t="inlineStr">
        <is>
          <t>A 25224-2025</t>
        </is>
      </c>
      <c r="B684" s="1" t="n">
        <v>45800.48087962963</v>
      </c>
      <c r="C684" s="1" t="n">
        <v>46049</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2026-01-27T10:58:25Z</dcterms:created>
  <dcterms:modified xmlns:dcterms="http://purl.org/dc/terms/" xmlns:xsi="http://www.w3.org/2001/XMLSchema-instance" xsi:type="dcterms:W3CDTF">2026-01-27T10:58:26Z</dcterms:modified>
</cp:coreProperties>
</file>