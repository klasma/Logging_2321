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45361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45361</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45361</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45361</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45361</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45361</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45361</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45361</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45361</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45361</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45361</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45361</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45361</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45361</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45361</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45361</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45361</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45361</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45361</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45361</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45361</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45361</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45361</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45361</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45361</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45361</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45361</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45361</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45361</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45361</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45361</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45361</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45361</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45361</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45361</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45361</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45361</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45361</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45361</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45361</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45361</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45361</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45361</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45361</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45361</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45361</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45361</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45361</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45361</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45361</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45361</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45361</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45361</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45361</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45361</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45361</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45361</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45361</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45361</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45361</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45361</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45361</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45361</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45361</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45361</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45361</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45361</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45361</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45361</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45361</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45361</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45361</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45361</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45361</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45361</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45361</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45361</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45361</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45361</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45361</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45361</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45361</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45361</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45361</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45361</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45361</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45361</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45361</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45361</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45361</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45361</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45361</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8121-2024</t>
        </is>
      </c>
      <c r="B94" s="1" t="n">
        <v>45351</v>
      </c>
      <c r="C94" s="1" t="n">
        <v>45361</v>
      </c>
      <c r="D94" t="inlineStr">
        <is>
          <t>JÄMTLANDS LÄN</t>
        </is>
      </c>
      <c r="E94" t="inlineStr">
        <is>
          <t>ÅRE</t>
        </is>
      </c>
      <c r="F94" t="inlineStr">
        <is>
          <t>Övriga Aktiebolag</t>
        </is>
      </c>
      <c r="G94" t="n">
        <v>14.7</v>
      </c>
      <c r="H94" t="n">
        <v>0</v>
      </c>
      <c r="I94" t="n">
        <v>0</v>
      </c>
      <c r="J94" t="n">
        <v>3</v>
      </c>
      <c r="K94" t="n">
        <v>0</v>
      </c>
      <c r="L94" t="n">
        <v>0</v>
      </c>
      <c r="M94" t="n">
        <v>0</v>
      </c>
      <c r="N94" t="n">
        <v>0</v>
      </c>
      <c r="O94" t="n">
        <v>3</v>
      </c>
      <c r="P94" t="n">
        <v>0</v>
      </c>
      <c r="Q94" t="n">
        <v>3</v>
      </c>
      <c r="R94" s="2" t="inlineStr">
        <is>
          <t>Dvärgbägarlav
Nordtagging
Skrovellav</t>
        </is>
      </c>
      <c r="S94">
        <f>HYPERLINK("https://klasma.github.io/Logging_2321/artfynd/A 8121-2024 artfynd.xlsx", "A 8121-2024")</f>
        <v/>
      </c>
      <c r="T94">
        <f>HYPERLINK("https://klasma.github.io/Logging_2321/kartor/A 8121-2024 karta.png", "A 8121-2024")</f>
        <v/>
      </c>
      <c r="V94">
        <f>HYPERLINK("https://klasma.github.io/Logging_2321/klagomål/A 8121-2024 FSC-klagomål.docx", "A 8121-2024")</f>
        <v/>
      </c>
      <c r="W94">
        <f>HYPERLINK("https://klasma.github.io/Logging_2321/klagomålsmail/A 8121-2024 FSC-klagomål mail.docx", "A 8121-2024")</f>
        <v/>
      </c>
      <c r="X94">
        <f>HYPERLINK("https://klasma.github.io/Logging_2321/tillsyn/A 8121-2024 tillsynsbegäran.docx", "A 8121-2024")</f>
        <v/>
      </c>
      <c r="Y94">
        <f>HYPERLINK("https://klasma.github.io/Logging_2321/tillsynsmail/A 8121-2024 tillsynsbegäran mail.docx", "A 8121-2024")</f>
        <v/>
      </c>
    </row>
    <row r="95" ht="15" customHeight="1">
      <c r="A95" t="inlineStr">
        <is>
          <t>A 12120-2019</t>
        </is>
      </c>
      <c r="B95" s="1" t="n">
        <v>43522</v>
      </c>
      <c r="C95" s="1" t="n">
        <v>45361</v>
      </c>
      <c r="D95" t="inlineStr">
        <is>
          <t>JÄMTLANDS LÄN</t>
        </is>
      </c>
      <c r="E95" t="inlineStr">
        <is>
          <t>ÅRE</t>
        </is>
      </c>
      <c r="G95" t="n">
        <v>2.5</v>
      </c>
      <c r="H95" t="n">
        <v>1</v>
      </c>
      <c r="I95" t="n">
        <v>1</v>
      </c>
      <c r="J95" t="n">
        <v>1</v>
      </c>
      <c r="K95" t="n">
        <v>0</v>
      </c>
      <c r="L95" t="n">
        <v>0</v>
      </c>
      <c r="M95" t="n">
        <v>0</v>
      </c>
      <c r="N95" t="n">
        <v>0</v>
      </c>
      <c r="O95" t="n">
        <v>1</v>
      </c>
      <c r="P95" t="n">
        <v>0</v>
      </c>
      <c r="Q95" t="n">
        <v>2</v>
      </c>
      <c r="R95" s="2" t="inlineStr">
        <is>
          <t>Gränsticka
Spindelblomster</t>
        </is>
      </c>
      <c r="S95">
        <f>HYPERLINK("https://klasma.github.io/Logging_2321/artfynd/A 12120-2019 artfynd.xlsx", "A 12120-2019")</f>
        <v/>
      </c>
      <c r="T95">
        <f>HYPERLINK("https://klasma.github.io/Logging_2321/kartor/A 12120-2019 karta.png", "A 12120-2019")</f>
        <v/>
      </c>
      <c r="V95">
        <f>HYPERLINK("https://klasma.github.io/Logging_2321/klagomål/A 12120-2019 FSC-klagomål.docx", "A 12120-2019")</f>
        <v/>
      </c>
      <c r="W95">
        <f>HYPERLINK("https://klasma.github.io/Logging_2321/klagomålsmail/A 12120-2019 FSC-klagomål mail.docx", "A 12120-2019")</f>
        <v/>
      </c>
      <c r="X95">
        <f>HYPERLINK("https://klasma.github.io/Logging_2321/tillsyn/A 12120-2019 tillsynsbegäran.docx", "A 12120-2019")</f>
        <v/>
      </c>
      <c r="Y95">
        <f>HYPERLINK("https://klasma.github.io/Logging_2321/tillsynsmail/A 12120-2019 tillsynsbegäran mail.docx", "A 12120-2019")</f>
        <v/>
      </c>
    </row>
    <row r="96" ht="15" customHeight="1">
      <c r="A96" t="inlineStr">
        <is>
          <t>A 35409-2019</t>
        </is>
      </c>
      <c r="B96" s="1" t="n">
        <v>43661</v>
      </c>
      <c r="C96" s="1" t="n">
        <v>45361</v>
      </c>
      <c r="D96" t="inlineStr">
        <is>
          <t>JÄMTLANDS LÄN</t>
        </is>
      </c>
      <c r="E96" t="inlineStr">
        <is>
          <t>ÅRE</t>
        </is>
      </c>
      <c r="G96" t="n">
        <v>2.5</v>
      </c>
      <c r="H96" t="n">
        <v>0</v>
      </c>
      <c r="I96" t="n">
        <v>1</v>
      </c>
      <c r="J96" t="n">
        <v>1</v>
      </c>
      <c r="K96" t="n">
        <v>0</v>
      </c>
      <c r="L96" t="n">
        <v>0</v>
      </c>
      <c r="M96" t="n">
        <v>0</v>
      </c>
      <c r="N96" t="n">
        <v>0</v>
      </c>
      <c r="O96" t="n">
        <v>1</v>
      </c>
      <c r="P96" t="n">
        <v>0</v>
      </c>
      <c r="Q96" t="n">
        <v>2</v>
      </c>
      <c r="R96" s="2" t="inlineStr">
        <is>
          <t>Garnlav
Trådticka</t>
        </is>
      </c>
      <c r="S96">
        <f>HYPERLINK("https://klasma.github.io/Logging_2321/artfynd/A 35409-2019 artfynd.xlsx", "A 35409-2019")</f>
        <v/>
      </c>
      <c r="T96">
        <f>HYPERLINK("https://klasma.github.io/Logging_2321/kartor/A 35409-2019 karta.png", "A 35409-2019")</f>
        <v/>
      </c>
      <c r="V96">
        <f>HYPERLINK("https://klasma.github.io/Logging_2321/klagomål/A 35409-2019 FSC-klagomål.docx", "A 35409-2019")</f>
        <v/>
      </c>
      <c r="W96">
        <f>HYPERLINK("https://klasma.github.io/Logging_2321/klagomålsmail/A 35409-2019 FSC-klagomål mail.docx", "A 35409-2019")</f>
        <v/>
      </c>
      <c r="X96">
        <f>HYPERLINK("https://klasma.github.io/Logging_2321/tillsyn/A 35409-2019 tillsynsbegäran.docx", "A 35409-2019")</f>
        <v/>
      </c>
      <c r="Y96">
        <f>HYPERLINK("https://klasma.github.io/Logging_2321/tillsynsmail/A 35409-2019 tillsynsbegäran mail.docx", "A 35409-2019")</f>
        <v/>
      </c>
    </row>
    <row r="97" ht="15" customHeight="1">
      <c r="A97" t="inlineStr">
        <is>
          <t>A 46012-2019</t>
        </is>
      </c>
      <c r="B97" s="1" t="n">
        <v>43718</v>
      </c>
      <c r="C97" s="1" t="n">
        <v>45361</v>
      </c>
      <c r="D97" t="inlineStr">
        <is>
          <t>JÄMTLANDS LÄN</t>
        </is>
      </c>
      <c r="E97" t="inlineStr">
        <is>
          <t>ÅRE</t>
        </is>
      </c>
      <c r="F97" t="inlineStr">
        <is>
          <t>Kommuner</t>
        </is>
      </c>
      <c r="G97" t="n">
        <v>13.4</v>
      </c>
      <c r="H97" t="n">
        <v>1</v>
      </c>
      <c r="I97" t="n">
        <v>0</v>
      </c>
      <c r="J97" t="n">
        <v>1</v>
      </c>
      <c r="K97" t="n">
        <v>1</v>
      </c>
      <c r="L97" t="n">
        <v>0</v>
      </c>
      <c r="M97" t="n">
        <v>0</v>
      </c>
      <c r="N97" t="n">
        <v>0</v>
      </c>
      <c r="O97" t="n">
        <v>2</v>
      </c>
      <c r="P97" t="n">
        <v>1</v>
      </c>
      <c r="Q97" t="n">
        <v>2</v>
      </c>
      <c r="R97" s="2" t="inlineStr">
        <is>
          <t>Knärot
Ullticka</t>
        </is>
      </c>
      <c r="S97">
        <f>HYPERLINK("https://klasma.github.io/Logging_2321/artfynd/A 46012-2019 artfynd.xlsx", "A 46012-2019")</f>
        <v/>
      </c>
      <c r="T97">
        <f>HYPERLINK("https://klasma.github.io/Logging_2321/kartor/A 46012-2019 karta.png", "A 46012-2019")</f>
        <v/>
      </c>
      <c r="U97">
        <f>HYPERLINK("https://klasma.github.io/Logging_2321/knärot/A 46012-2019 karta knärot.png", "A 46012-2019")</f>
        <v/>
      </c>
      <c r="V97">
        <f>HYPERLINK("https://klasma.github.io/Logging_2321/klagomål/A 46012-2019 FSC-klagomål.docx", "A 46012-2019")</f>
        <v/>
      </c>
      <c r="W97">
        <f>HYPERLINK("https://klasma.github.io/Logging_2321/klagomålsmail/A 46012-2019 FSC-klagomål mail.docx", "A 46012-2019")</f>
        <v/>
      </c>
      <c r="X97">
        <f>HYPERLINK("https://klasma.github.io/Logging_2321/tillsyn/A 46012-2019 tillsynsbegäran.docx", "A 46012-2019")</f>
        <v/>
      </c>
      <c r="Y97">
        <f>HYPERLINK("https://klasma.github.io/Logging_2321/tillsynsmail/A 46012-2019 tillsynsbegäran mail.docx", "A 46012-2019")</f>
        <v/>
      </c>
    </row>
    <row r="98" ht="15" customHeight="1">
      <c r="A98" t="inlineStr">
        <is>
          <t>A 32661-2020</t>
        </is>
      </c>
      <c r="B98" s="1" t="n">
        <v>44018</v>
      </c>
      <c r="C98" s="1" t="n">
        <v>45361</v>
      </c>
      <c r="D98" t="inlineStr">
        <is>
          <t>JÄMTLANDS LÄN</t>
        </is>
      </c>
      <c r="E98" t="inlineStr">
        <is>
          <t>ÅRE</t>
        </is>
      </c>
      <c r="G98" t="n">
        <v>1.8</v>
      </c>
      <c r="H98" t="n">
        <v>0</v>
      </c>
      <c r="I98" t="n">
        <v>1</v>
      </c>
      <c r="J98" t="n">
        <v>1</v>
      </c>
      <c r="K98" t="n">
        <v>0</v>
      </c>
      <c r="L98" t="n">
        <v>0</v>
      </c>
      <c r="M98" t="n">
        <v>0</v>
      </c>
      <c r="N98" t="n">
        <v>0</v>
      </c>
      <c r="O98" t="n">
        <v>1</v>
      </c>
      <c r="P98" t="n">
        <v>0</v>
      </c>
      <c r="Q98" t="n">
        <v>2</v>
      </c>
      <c r="R98" s="2" t="inlineStr">
        <is>
          <t>Garnlav
Luddlav</t>
        </is>
      </c>
      <c r="S98">
        <f>HYPERLINK("https://klasma.github.io/Logging_2321/artfynd/A 32661-2020 artfynd.xlsx", "A 32661-2020")</f>
        <v/>
      </c>
      <c r="T98">
        <f>HYPERLINK("https://klasma.github.io/Logging_2321/kartor/A 32661-2020 karta.png", "A 32661-2020")</f>
        <v/>
      </c>
      <c r="V98">
        <f>HYPERLINK("https://klasma.github.io/Logging_2321/klagomål/A 32661-2020 FSC-klagomål.docx", "A 32661-2020")</f>
        <v/>
      </c>
      <c r="W98">
        <f>HYPERLINK("https://klasma.github.io/Logging_2321/klagomålsmail/A 32661-2020 FSC-klagomål mail.docx", "A 32661-2020")</f>
        <v/>
      </c>
      <c r="X98">
        <f>HYPERLINK("https://klasma.github.io/Logging_2321/tillsyn/A 32661-2020 tillsynsbegäran.docx", "A 32661-2020")</f>
        <v/>
      </c>
      <c r="Y98">
        <f>HYPERLINK("https://klasma.github.io/Logging_2321/tillsynsmail/A 32661-2020 tillsynsbegäran mail.docx", "A 32661-2020")</f>
        <v/>
      </c>
    </row>
    <row r="99" ht="15" customHeight="1">
      <c r="A99" t="inlineStr">
        <is>
          <t>A 35623-2020</t>
        </is>
      </c>
      <c r="B99" s="1" t="n">
        <v>44046</v>
      </c>
      <c r="C99" s="1" t="n">
        <v>45361</v>
      </c>
      <c r="D99" t="inlineStr">
        <is>
          <t>JÄMTLANDS LÄN</t>
        </is>
      </c>
      <c r="E99" t="inlineStr">
        <is>
          <t>ÅRE</t>
        </is>
      </c>
      <c r="G99" t="n">
        <v>15.8</v>
      </c>
      <c r="H99" t="n">
        <v>0</v>
      </c>
      <c r="I99" t="n">
        <v>0</v>
      </c>
      <c r="J99" t="n">
        <v>1</v>
      </c>
      <c r="K99" t="n">
        <v>1</v>
      </c>
      <c r="L99" t="n">
        <v>0</v>
      </c>
      <c r="M99" t="n">
        <v>0</v>
      </c>
      <c r="N99" t="n">
        <v>0</v>
      </c>
      <c r="O99" t="n">
        <v>2</v>
      </c>
      <c r="P99" t="n">
        <v>1</v>
      </c>
      <c r="Q99" t="n">
        <v>2</v>
      </c>
      <c r="R99" s="2" t="inlineStr">
        <is>
          <t>Norsk näverlav
Gammelgransskål</t>
        </is>
      </c>
      <c r="S99">
        <f>HYPERLINK("https://klasma.github.io/Logging_2321/artfynd/A 35623-2020 artfynd.xlsx", "A 35623-2020")</f>
        <v/>
      </c>
      <c r="T99">
        <f>HYPERLINK("https://klasma.github.io/Logging_2321/kartor/A 35623-2020 karta.png", "A 35623-2020")</f>
        <v/>
      </c>
      <c r="V99">
        <f>HYPERLINK("https://klasma.github.io/Logging_2321/klagomål/A 35623-2020 FSC-klagomål.docx", "A 35623-2020")</f>
        <v/>
      </c>
      <c r="W99">
        <f>HYPERLINK("https://klasma.github.io/Logging_2321/klagomålsmail/A 35623-2020 FSC-klagomål mail.docx", "A 35623-2020")</f>
        <v/>
      </c>
      <c r="X99">
        <f>HYPERLINK("https://klasma.github.io/Logging_2321/tillsyn/A 35623-2020 tillsynsbegäran.docx", "A 35623-2020")</f>
        <v/>
      </c>
      <c r="Y99">
        <f>HYPERLINK("https://klasma.github.io/Logging_2321/tillsynsmail/A 35623-2020 tillsynsbegäran mail.docx", "A 35623-2020")</f>
        <v/>
      </c>
    </row>
    <row r="100" ht="15" customHeight="1">
      <c r="A100" t="inlineStr">
        <is>
          <t>A 52778-2020</t>
        </is>
      </c>
      <c r="B100" s="1" t="n">
        <v>44119</v>
      </c>
      <c r="C100" s="1" t="n">
        <v>45361</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5388-2021</t>
        </is>
      </c>
      <c r="B101" s="1" t="n">
        <v>44229</v>
      </c>
      <c r="C101" s="1" t="n">
        <v>45361</v>
      </c>
      <c r="D101" t="inlineStr">
        <is>
          <t>JÄMTLANDS LÄN</t>
        </is>
      </c>
      <c r="E101" t="inlineStr">
        <is>
          <t>ÅRE</t>
        </is>
      </c>
      <c r="G101" t="n">
        <v>6.9</v>
      </c>
      <c r="H101" t="n">
        <v>1</v>
      </c>
      <c r="I101" t="n">
        <v>0</v>
      </c>
      <c r="J101" t="n">
        <v>2</v>
      </c>
      <c r="K101" t="n">
        <v>0</v>
      </c>
      <c r="L101" t="n">
        <v>0</v>
      </c>
      <c r="M101" t="n">
        <v>0</v>
      </c>
      <c r="N101" t="n">
        <v>0</v>
      </c>
      <c r="O101" t="n">
        <v>2</v>
      </c>
      <c r="P101" t="n">
        <v>0</v>
      </c>
      <c r="Q101" t="n">
        <v>2</v>
      </c>
      <c r="R101" s="2" t="inlineStr">
        <is>
          <t>Tretåig hackspett
Ullticka</t>
        </is>
      </c>
      <c r="S101">
        <f>HYPERLINK("https://klasma.github.io/Logging_2321/artfynd/A 5388-2021 artfynd.xlsx", "A 5388-2021")</f>
        <v/>
      </c>
      <c r="T101">
        <f>HYPERLINK("https://klasma.github.io/Logging_2321/kartor/A 5388-2021 karta.png", "A 5388-2021")</f>
        <v/>
      </c>
      <c r="V101">
        <f>HYPERLINK("https://klasma.github.io/Logging_2321/klagomål/A 5388-2021 FSC-klagomål.docx", "A 5388-2021")</f>
        <v/>
      </c>
      <c r="W101">
        <f>HYPERLINK("https://klasma.github.io/Logging_2321/klagomålsmail/A 5388-2021 FSC-klagomål mail.docx", "A 5388-2021")</f>
        <v/>
      </c>
      <c r="X101">
        <f>HYPERLINK("https://klasma.github.io/Logging_2321/tillsyn/A 5388-2021 tillsynsbegäran.docx", "A 5388-2021")</f>
        <v/>
      </c>
      <c r="Y101">
        <f>HYPERLINK("https://klasma.github.io/Logging_2321/tillsynsmail/A 5388-2021 tillsynsbegäran mail.docx", "A 5388-2021")</f>
        <v/>
      </c>
      <c r="Z101">
        <f>HYPERLINK("https://klasma.github.io/Logging_2321/fåglar/A 5388-2021 prioriterade fågelarter.docx", "A 5388-2021")</f>
        <v/>
      </c>
    </row>
    <row r="102" ht="15" customHeight="1">
      <c r="A102" t="inlineStr">
        <is>
          <t>A 23566-2021</t>
        </is>
      </c>
      <c r="B102" s="1" t="n">
        <v>44334</v>
      </c>
      <c r="C102" s="1" t="n">
        <v>45361</v>
      </c>
      <c r="D102" t="inlineStr">
        <is>
          <t>JÄMTLANDS LÄN</t>
        </is>
      </c>
      <c r="E102" t="inlineStr">
        <is>
          <t>ÅRE</t>
        </is>
      </c>
      <c r="G102" t="n">
        <v>20</v>
      </c>
      <c r="H102" t="n">
        <v>1</v>
      </c>
      <c r="I102" t="n">
        <v>1</v>
      </c>
      <c r="J102" t="n">
        <v>1</v>
      </c>
      <c r="K102" t="n">
        <v>0</v>
      </c>
      <c r="L102" t="n">
        <v>0</v>
      </c>
      <c r="M102" t="n">
        <v>0</v>
      </c>
      <c r="N102" t="n">
        <v>0</v>
      </c>
      <c r="O102" t="n">
        <v>1</v>
      </c>
      <c r="P102" t="n">
        <v>0</v>
      </c>
      <c r="Q102" t="n">
        <v>2</v>
      </c>
      <c r="R102" s="2" t="inlineStr">
        <is>
          <t>Skrovellav
Spindelblomster</t>
        </is>
      </c>
      <c r="S102">
        <f>HYPERLINK("https://klasma.github.io/Logging_2321/artfynd/A 23566-2021 artfynd.xlsx", "A 23566-2021")</f>
        <v/>
      </c>
      <c r="T102">
        <f>HYPERLINK("https://klasma.github.io/Logging_2321/kartor/A 23566-2021 karta.png", "A 23566-2021")</f>
        <v/>
      </c>
      <c r="V102">
        <f>HYPERLINK("https://klasma.github.io/Logging_2321/klagomål/A 23566-2021 FSC-klagomål.docx", "A 23566-2021")</f>
        <v/>
      </c>
      <c r="W102">
        <f>HYPERLINK("https://klasma.github.io/Logging_2321/klagomålsmail/A 23566-2021 FSC-klagomål mail.docx", "A 23566-2021")</f>
        <v/>
      </c>
      <c r="X102">
        <f>HYPERLINK("https://klasma.github.io/Logging_2321/tillsyn/A 23566-2021 tillsynsbegäran.docx", "A 23566-2021")</f>
        <v/>
      </c>
      <c r="Y102">
        <f>HYPERLINK("https://klasma.github.io/Logging_2321/tillsynsmail/A 23566-2021 tillsynsbegäran mail.docx", "A 23566-2021")</f>
        <v/>
      </c>
    </row>
    <row r="103" ht="15" customHeight="1">
      <c r="A103" t="inlineStr">
        <is>
          <t>A 46984-2021</t>
        </is>
      </c>
      <c r="B103" s="1" t="n">
        <v>44446</v>
      </c>
      <c r="C103" s="1" t="n">
        <v>45361</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64663-2021</t>
        </is>
      </c>
      <c r="B104" s="1" t="n">
        <v>44512</v>
      </c>
      <c r="C104" s="1" t="n">
        <v>45361</v>
      </c>
      <c r="D104" t="inlineStr">
        <is>
          <t>JÄMTLANDS LÄN</t>
        </is>
      </c>
      <c r="E104" t="inlineStr">
        <is>
          <t>ÅRE</t>
        </is>
      </c>
      <c r="G104" t="n">
        <v>14.5</v>
      </c>
      <c r="H104" t="n">
        <v>0</v>
      </c>
      <c r="I104" t="n">
        <v>0</v>
      </c>
      <c r="J104" t="n">
        <v>1</v>
      </c>
      <c r="K104" t="n">
        <v>1</v>
      </c>
      <c r="L104" t="n">
        <v>0</v>
      </c>
      <c r="M104" t="n">
        <v>0</v>
      </c>
      <c r="N104" t="n">
        <v>0</v>
      </c>
      <c r="O104" t="n">
        <v>2</v>
      </c>
      <c r="P104" t="n">
        <v>1</v>
      </c>
      <c r="Q104" t="n">
        <v>2</v>
      </c>
      <c r="R104" s="2" t="inlineStr">
        <is>
          <t>Sotbandad spindling
Vitterspindling</t>
        </is>
      </c>
      <c r="S104">
        <f>HYPERLINK("https://klasma.github.io/Logging_2321/artfynd/A 64663-2021 artfynd.xlsx", "A 64663-2021")</f>
        <v/>
      </c>
      <c r="T104">
        <f>HYPERLINK("https://klasma.github.io/Logging_2321/kartor/A 64663-2021 karta.png", "A 64663-2021")</f>
        <v/>
      </c>
      <c r="V104">
        <f>HYPERLINK("https://klasma.github.io/Logging_2321/klagomål/A 64663-2021 FSC-klagomål.docx", "A 64663-2021")</f>
        <v/>
      </c>
      <c r="W104">
        <f>HYPERLINK("https://klasma.github.io/Logging_2321/klagomålsmail/A 64663-2021 FSC-klagomål mail.docx", "A 64663-2021")</f>
        <v/>
      </c>
      <c r="X104">
        <f>HYPERLINK("https://klasma.github.io/Logging_2321/tillsyn/A 64663-2021 tillsynsbegäran.docx", "A 64663-2021")</f>
        <v/>
      </c>
      <c r="Y104">
        <f>HYPERLINK("https://klasma.github.io/Logging_2321/tillsynsmail/A 64663-2021 tillsynsbegäran mail.docx", "A 64663-2021")</f>
        <v/>
      </c>
    </row>
    <row r="105" ht="15" customHeight="1">
      <c r="A105" t="inlineStr">
        <is>
          <t>A 64668-2021</t>
        </is>
      </c>
      <c r="B105" s="1" t="n">
        <v>44512</v>
      </c>
      <c r="C105" s="1" t="n">
        <v>45361</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64668-2021 artfynd.xlsx", "A 64668-2021")</f>
        <v/>
      </c>
      <c r="T105">
        <f>HYPERLINK("https://klasma.github.io/Logging_2321/kartor/A 64668-2021 karta.png", "A 64668-2021")</f>
        <v/>
      </c>
      <c r="V105">
        <f>HYPERLINK("https://klasma.github.io/Logging_2321/klagomål/A 64668-2021 FSC-klagomål.docx", "A 64668-2021")</f>
        <v/>
      </c>
      <c r="W105">
        <f>HYPERLINK("https://klasma.github.io/Logging_2321/klagomålsmail/A 64668-2021 FSC-klagomål mail.docx", "A 64668-2021")</f>
        <v/>
      </c>
      <c r="X105">
        <f>HYPERLINK("https://klasma.github.io/Logging_2321/tillsyn/A 64668-2021 tillsynsbegäran.docx", "A 64668-2021")</f>
        <v/>
      </c>
      <c r="Y105">
        <f>HYPERLINK("https://klasma.github.io/Logging_2321/tillsynsmail/A 64668-2021 tillsynsbegäran mail.docx", "A 64668-2021")</f>
        <v/>
      </c>
      <c r="Z105">
        <f>HYPERLINK("https://klasma.github.io/Logging_2321/fåglar/A 64668-2021 prioriterade fågelarter.docx", "A 64668-2021")</f>
        <v/>
      </c>
    </row>
    <row r="106" ht="15" customHeight="1">
      <c r="A106" t="inlineStr">
        <is>
          <t>A 22231-2022</t>
        </is>
      </c>
      <c r="B106" s="1" t="n">
        <v>44712</v>
      </c>
      <c r="C106" s="1" t="n">
        <v>45361</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22974-2022</t>
        </is>
      </c>
      <c r="B107" s="1" t="n">
        <v>44716</v>
      </c>
      <c r="C107" s="1" t="n">
        <v>45361</v>
      </c>
      <c r="D107" t="inlineStr">
        <is>
          <t>JÄMTLANDS LÄN</t>
        </is>
      </c>
      <c r="E107" t="inlineStr">
        <is>
          <t>ÅRE</t>
        </is>
      </c>
      <c r="G107" t="n">
        <v>8.300000000000001</v>
      </c>
      <c r="H107" t="n">
        <v>1</v>
      </c>
      <c r="I107" t="n">
        <v>2</v>
      </c>
      <c r="J107" t="n">
        <v>0</v>
      </c>
      <c r="K107" t="n">
        <v>0</v>
      </c>
      <c r="L107" t="n">
        <v>0</v>
      </c>
      <c r="M107" t="n">
        <v>0</v>
      </c>
      <c r="N107" t="n">
        <v>0</v>
      </c>
      <c r="O107" t="n">
        <v>0</v>
      </c>
      <c r="P107" t="n">
        <v>0</v>
      </c>
      <c r="Q107" t="n">
        <v>2</v>
      </c>
      <c r="R107" s="2" t="inlineStr">
        <is>
          <t>Spindelblomster
Ögonpyrola</t>
        </is>
      </c>
      <c r="S107">
        <f>HYPERLINK("https://klasma.github.io/Logging_2321/artfynd/A 22974-2022 artfynd.xlsx", "A 22974-2022")</f>
        <v/>
      </c>
      <c r="T107">
        <f>HYPERLINK("https://klasma.github.io/Logging_2321/kartor/A 22974-2022 karta.png", "A 22974-2022")</f>
        <v/>
      </c>
      <c r="V107">
        <f>HYPERLINK("https://klasma.github.io/Logging_2321/klagomål/A 22974-2022 FSC-klagomål.docx", "A 22974-2022")</f>
        <v/>
      </c>
      <c r="W107">
        <f>HYPERLINK("https://klasma.github.io/Logging_2321/klagomålsmail/A 22974-2022 FSC-klagomål mail.docx", "A 22974-2022")</f>
        <v/>
      </c>
      <c r="X107">
        <f>HYPERLINK("https://klasma.github.io/Logging_2321/tillsyn/A 22974-2022 tillsynsbegäran.docx", "A 22974-2022")</f>
        <v/>
      </c>
      <c r="Y107">
        <f>HYPERLINK("https://klasma.github.io/Logging_2321/tillsynsmail/A 22974-2022 tillsynsbegäran mail.docx", "A 22974-2022")</f>
        <v/>
      </c>
    </row>
    <row r="108" ht="15" customHeight="1">
      <c r="A108" t="inlineStr">
        <is>
          <t>A 32207-2022</t>
        </is>
      </c>
      <c r="B108" s="1" t="n">
        <v>44781</v>
      </c>
      <c r="C108" s="1" t="n">
        <v>45361</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55739-2022</t>
        </is>
      </c>
      <c r="B109" s="1" t="n">
        <v>44888</v>
      </c>
      <c r="C109" s="1" t="n">
        <v>45361</v>
      </c>
      <c r="D109" t="inlineStr">
        <is>
          <t>JÄMTLANDS LÄN</t>
        </is>
      </c>
      <c r="E109" t="inlineStr">
        <is>
          <t>ÅRE</t>
        </is>
      </c>
      <c r="F109" t="inlineStr">
        <is>
          <t>Övriga Aktiebolag</t>
        </is>
      </c>
      <c r="G109" t="n">
        <v>10.2</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55739-2022 artfynd.xlsx", "A 55739-2022")</f>
        <v/>
      </c>
      <c r="T109">
        <f>HYPERLINK("https://klasma.github.io/Logging_2321/kartor/A 55739-2022 karta.png", "A 55739-2022")</f>
        <v/>
      </c>
      <c r="V109">
        <f>HYPERLINK("https://klasma.github.io/Logging_2321/klagomål/A 55739-2022 FSC-klagomål.docx", "A 55739-2022")</f>
        <v/>
      </c>
      <c r="W109">
        <f>HYPERLINK("https://klasma.github.io/Logging_2321/klagomålsmail/A 55739-2022 FSC-klagomål mail.docx", "A 55739-2022")</f>
        <v/>
      </c>
      <c r="X109">
        <f>HYPERLINK("https://klasma.github.io/Logging_2321/tillsyn/A 55739-2022 tillsynsbegäran.docx", "A 55739-2022")</f>
        <v/>
      </c>
      <c r="Y109">
        <f>HYPERLINK("https://klasma.github.io/Logging_2321/tillsynsmail/A 55739-2022 tillsynsbegäran mail.docx", "A 55739-2022")</f>
        <v/>
      </c>
      <c r="Z109">
        <f>HYPERLINK("https://klasma.github.io/Logging_2321/fåglar/A 55739-2022 prioriterade fågelarter.docx", "A 55739-2022")</f>
        <v/>
      </c>
    </row>
    <row r="110" ht="15" customHeight="1">
      <c r="A110" t="inlineStr">
        <is>
          <t>A 56472-2022</t>
        </is>
      </c>
      <c r="B110" s="1" t="n">
        <v>44893</v>
      </c>
      <c r="C110" s="1" t="n">
        <v>45361</v>
      </c>
      <c r="D110" t="inlineStr">
        <is>
          <t>JÄMTLANDS LÄN</t>
        </is>
      </c>
      <c r="E110" t="inlineStr">
        <is>
          <t>ÅRE</t>
        </is>
      </c>
      <c r="F110" t="inlineStr">
        <is>
          <t>Övriga Aktiebolag</t>
        </is>
      </c>
      <c r="G110" t="n">
        <v>22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56472-2022 artfynd.xlsx", "A 56472-2022")</f>
        <v/>
      </c>
      <c r="T110">
        <f>HYPERLINK("https://klasma.github.io/Logging_2321/kartor/A 56472-2022 karta.png", "A 56472-2022")</f>
        <v/>
      </c>
      <c r="V110">
        <f>HYPERLINK("https://klasma.github.io/Logging_2321/klagomål/A 56472-2022 FSC-klagomål.docx", "A 56472-2022")</f>
        <v/>
      </c>
      <c r="W110">
        <f>HYPERLINK("https://klasma.github.io/Logging_2321/klagomålsmail/A 56472-2022 FSC-klagomål mail.docx", "A 56472-2022")</f>
        <v/>
      </c>
      <c r="X110">
        <f>HYPERLINK("https://klasma.github.io/Logging_2321/tillsyn/A 56472-2022 tillsynsbegäran.docx", "A 56472-2022")</f>
        <v/>
      </c>
      <c r="Y110">
        <f>HYPERLINK("https://klasma.github.io/Logging_2321/tillsynsmail/A 56472-2022 tillsynsbegäran mail.docx", "A 56472-2022")</f>
        <v/>
      </c>
      <c r="Z110">
        <f>HYPERLINK("https://klasma.github.io/Logging_2321/fåglar/A 56472-2022 prioriterade fågelarter.docx", "A 56472-2022")</f>
        <v/>
      </c>
    </row>
    <row r="111" ht="15" customHeight="1">
      <c r="A111" t="inlineStr">
        <is>
          <t>A 60533-2022</t>
        </is>
      </c>
      <c r="B111" s="1" t="n">
        <v>44904</v>
      </c>
      <c r="C111" s="1" t="n">
        <v>45361</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45361</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5531-2023</t>
        </is>
      </c>
      <c r="B113" s="1" t="n">
        <v>44957</v>
      </c>
      <c r="C113" s="1" t="n">
        <v>45361</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5418-2023</t>
        </is>
      </c>
      <c r="B114" s="1" t="n">
        <v>44957</v>
      </c>
      <c r="C114" s="1" t="n">
        <v>45361</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6107-2023</t>
        </is>
      </c>
      <c r="B115" s="1" t="n">
        <v>44964</v>
      </c>
      <c r="C115" s="1" t="n">
        <v>45361</v>
      </c>
      <c r="D115" t="inlineStr">
        <is>
          <t>JÄMTLANDS LÄN</t>
        </is>
      </c>
      <c r="E115" t="inlineStr">
        <is>
          <t>ÅRE</t>
        </is>
      </c>
      <c r="G115" t="n">
        <v>1.9</v>
      </c>
      <c r="H115" t="n">
        <v>0</v>
      </c>
      <c r="I115" t="n">
        <v>1</v>
      </c>
      <c r="J115" t="n">
        <v>1</v>
      </c>
      <c r="K115" t="n">
        <v>0</v>
      </c>
      <c r="L115" t="n">
        <v>0</v>
      </c>
      <c r="M115" t="n">
        <v>0</v>
      </c>
      <c r="N115" t="n">
        <v>0</v>
      </c>
      <c r="O115" t="n">
        <v>1</v>
      </c>
      <c r="P115" t="n">
        <v>0</v>
      </c>
      <c r="Q115" t="n">
        <v>2</v>
      </c>
      <c r="R115" s="2" t="inlineStr">
        <is>
          <t>Skrovellav
Stuplav</t>
        </is>
      </c>
      <c r="S115">
        <f>HYPERLINK("https://klasma.github.io/Logging_2321/artfynd/A 6107-2023 artfynd.xlsx", "A 6107-2023")</f>
        <v/>
      </c>
      <c r="T115">
        <f>HYPERLINK("https://klasma.github.io/Logging_2321/kartor/A 6107-2023 karta.png", "A 6107-2023")</f>
        <v/>
      </c>
      <c r="V115">
        <f>HYPERLINK("https://klasma.github.io/Logging_2321/klagomål/A 6107-2023 FSC-klagomål.docx", "A 6107-2023")</f>
        <v/>
      </c>
      <c r="W115">
        <f>HYPERLINK("https://klasma.github.io/Logging_2321/klagomålsmail/A 6107-2023 FSC-klagomål mail.docx", "A 6107-2023")</f>
        <v/>
      </c>
      <c r="X115">
        <f>HYPERLINK("https://klasma.github.io/Logging_2321/tillsyn/A 6107-2023 tillsynsbegäran.docx", "A 6107-2023")</f>
        <v/>
      </c>
      <c r="Y115">
        <f>HYPERLINK("https://klasma.github.io/Logging_2321/tillsynsmail/A 6107-2023 tillsynsbegäran mail.docx", "A 6107-2023")</f>
        <v/>
      </c>
    </row>
    <row r="116" ht="15" customHeight="1">
      <c r="A116" t="inlineStr">
        <is>
          <t>A 6108-2023</t>
        </is>
      </c>
      <c r="B116" s="1" t="n">
        <v>44964</v>
      </c>
      <c r="C116" s="1" t="n">
        <v>45361</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7401-2023</t>
        </is>
      </c>
      <c r="B117" s="1" t="n">
        <v>44966</v>
      </c>
      <c r="C117" s="1" t="n">
        <v>45361</v>
      </c>
      <c r="D117" t="inlineStr">
        <is>
          <t>JÄMTLANDS LÄN</t>
        </is>
      </c>
      <c r="E117" t="inlineStr">
        <is>
          <t>ÅRE</t>
        </is>
      </c>
      <c r="G117" t="n">
        <v>3.5</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7401-2023 artfynd.xlsx", "A 7401-2023")</f>
        <v/>
      </c>
      <c r="T117">
        <f>HYPERLINK("https://klasma.github.io/Logging_2321/kartor/A 7401-2023 karta.png", "A 7401-2023")</f>
        <v/>
      </c>
      <c r="V117">
        <f>HYPERLINK("https://klasma.github.io/Logging_2321/klagomål/A 7401-2023 FSC-klagomål.docx", "A 7401-2023")</f>
        <v/>
      </c>
      <c r="W117">
        <f>HYPERLINK("https://klasma.github.io/Logging_2321/klagomålsmail/A 7401-2023 FSC-klagomål mail.docx", "A 7401-2023")</f>
        <v/>
      </c>
      <c r="X117">
        <f>HYPERLINK("https://klasma.github.io/Logging_2321/tillsyn/A 7401-2023 tillsynsbegäran.docx", "A 7401-2023")</f>
        <v/>
      </c>
      <c r="Y117">
        <f>HYPERLINK("https://klasma.github.io/Logging_2321/tillsynsmail/A 7401-2023 tillsynsbegäran mail.docx", "A 7401-2023")</f>
        <v/>
      </c>
    </row>
    <row r="118" ht="15" customHeight="1">
      <c r="A118" t="inlineStr">
        <is>
          <t>A 13625-2023</t>
        </is>
      </c>
      <c r="B118" s="1" t="n">
        <v>45006</v>
      </c>
      <c r="C118" s="1" t="n">
        <v>45361</v>
      </c>
      <c r="D118" t="inlineStr">
        <is>
          <t>JÄMTLANDS LÄN</t>
        </is>
      </c>
      <c r="E118" t="inlineStr">
        <is>
          <t>ÅRE</t>
        </is>
      </c>
      <c r="G118" t="n">
        <v>22.9</v>
      </c>
      <c r="H118" t="n">
        <v>1</v>
      </c>
      <c r="I118" t="n">
        <v>0</v>
      </c>
      <c r="J118" t="n">
        <v>2</v>
      </c>
      <c r="K118" t="n">
        <v>0</v>
      </c>
      <c r="L118" t="n">
        <v>0</v>
      </c>
      <c r="M118" t="n">
        <v>0</v>
      </c>
      <c r="N118" t="n">
        <v>0</v>
      </c>
      <c r="O118" t="n">
        <v>2</v>
      </c>
      <c r="P118" t="n">
        <v>0</v>
      </c>
      <c r="Q118" t="n">
        <v>2</v>
      </c>
      <c r="R118" s="2" t="inlineStr">
        <is>
          <t>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19699-2023</t>
        </is>
      </c>
      <c r="B119" s="1" t="n">
        <v>45051</v>
      </c>
      <c r="C119" s="1" t="n">
        <v>45361</v>
      </c>
      <c r="D119" t="inlineStr">
        <is>
          <t>JÄMTLANDS LÄN</t>
        </is>
      </c>
      <c r="E119" t="inlineStr">
        <is>
          <t>ÅRE</t>
        </is>
      </c>
      <c r="G119" t="n">
        <v>0.7</v>
      </c>
      <c r="H119" t="n">
        <v>2</v>
      </c>
      <c r="I119" t="n">
        <v>1</v>
      </c>
      <c r="J119" t="n">
        <v>0</v>
      </c>
      <c r="K119" t="n">
        <v>0</v>
      </c>
      <c r="L119" t="n">
        <v>0</v>
      </c>
      <c r="M119" t="n">
        <v>0</v>
      </c>
      <c r="N119" t="n">
        <v>0</v>
      </c>
      <c r="O119" t="n">
        <v>0</v>
      </c>
      <c r="P119" t="n">
        <v>0</v>
      </c>
      <c r="Q119" t="n">
        <v>2</v>
      </c>
      <c r="R119" s="2" t="inlineStr">
        <is>
          <t>Tvåblad
Revlummer</t>
        </is>
      </c>
      <c r="S119">
        <f>HYPERLINK("https://klasma.github.io/Logging_2321/artfynd/A 19699-2023 artfynd.xlsx", "A 19699-2023")</f>
        <v/>
      </c>
      <c r="T119">
        <f>HYPERLINK("https://klasma.github.io/Logging_2321/kartor/A 19699-2023 karta.png", "A 19699-2023")</f>
        <v/>
      </c>
      <c r="V119">
        <f>HYPERLINK("https://klasma.github.io/Logging_2321/klagomål/A 19699-2023 FSC-klagomål.docx", "A 19699-2023")</f>
        <v/>
      </c>
      <c r="W119">
        <f>HYPERLINK("https://klasma.github.io/Logging_2321/klagomålsmail/A 19699-2023 FSC-klagomål mail.docx", "A 19699-2023")</f>
        <v/>
      </c>
      <c r="X119">
        <f>HYPERLINK("https://klasma.github.io/Logging_2321/tillsyn/A 19699-2023 tillsynsbegäran.docx", "A 19699-2023")</f>
        <v/>
      </c>
      <c r="Y119">
        <f>HYPERLINK("https://klasma.github.io/Logging_2321/tillsynsmail/A 19699-2023 tillsynsbegäran mail.docx", "A 19699-2023")</f>
        <v/>
      </c>
    </row>
    <row r="120" ht="15" customHeight="1">
      <c r="A120" t="inlineStr">
        <is>
          <t>A 23706-2023</t>
        </is>
      </c>
      <c r="B120" s="1" t="n">
        <v>45072</v>
      </c>
      <c r="C120" s="1" t="n">
        <v>45361</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26098-2023</t>
        </is>
      </c>
      <c r="B121" s="1" t="n">
        <v>45091</v>
      </c>
      <c r="C121" s="1" t="n">
        <v>45361</v>
      </c>
      <c r="D121" t="inlineStr">
        <is>
          <t>JÄMTLANDS LÄN</t>
        </is>
      </c>
      <c r="E121" t="inlineStr">
        <is>
          <t>ÅRE</t>
        </is>
      </c>
      <c r="G121" t="n">
        <v>15.7</v>
      </c>
      <c r="H121" t="n">
        <v>0</v>
      </c>
      <c r="I121" t="n">
        <v>0</v>
      </c>
      <c r="J121" t="n">
        <v>2</v>
      </c>
      <c r="K121" t="n">
        <v>0</v>
      </c>
      <c r="L121" t="n">
        <v>0</v>
      </c>
      <c r="M121" t="n">
        <v>0</v>
      </c>
      <c r="N121" t="n">
        <v>0</v>
      </c>
      <c r="O121" t="n">
        <v>2</v>
      </c>
      <c r="P121" t="n">
        <v>0</v>
      </c>
      <c r="Q121" t="n">
        <v>2</v>
      </c>
      <c r="R121" s="2" t="inlineStr">
        <is>
          <t>Lunglav
Skrovellav</t>
        </is>
      </c>
      <c r="S121">
        <f>HYPERLINK("https://klasma.github.io/Logging_2321/artfynd/A 26098-2023 artfynd.xlsx", "A 26098-2023")</f>
        <v/>
      </c>
      <c r="T121">
        <f>HYPERLINK("https://klasma.github.io/Logging_2321/kartor/A 26098-2023 karta.png", "A 26098-2023")</f>
        <v/>
      </c>
      <c r="V121">
        <f>HYPERLINK("https://klasma.github.io/Logging_2321/klagomål/A 26098-2023 FSC-klagomål.docx", "A 26098-2023")</f>
        <v/>
      </c>
      <c r="W121">
        <f>HYPERLINK("https://klasma.github.io/Logging_2321/klagomålsmail/A 26098-2023 FSC-klagomål mail.docx", "A 26098-2023")</f>
        <v/>
      </c>
      <c r="X121">
        <f>HYPERLINK("https://klasma.github.io/Logging_2321/tillsyn/A 26098-2023 tillsynsbegäran.docx", "A 26098-2023")</f>
        <v/>
      </c>
      <c r="Y121">
        <f>HYPERLINK("https://klasma.github.io/Logging_2321/tillsynsmail/A 26098-2023 tillsynsbegäran mail.docx", "A 26098-2023")</f>
        <v/>
      </c>
    </row>
    <row r="122" ht="15" customHeight="1">
      <c r="A122" t="inlineStr">
        <is>
          <t>A 53014-2023</t>
        </is>
      </c>
      <c r="B122" s="1" t="n">
        <v>45226</v>
      </c>
      <c r="C122" s="1" t="n">
        <v>45361</v>
      </c>
      <c r="D122" t="inlineStr">
        <is>
          <t>JÄMTLANDS LÄN</t>
        </is>
      </c>
      <c r="E122" t="inlineStr">
        <is>
          <t>ÅRE</t>
        </is>
      </c>
      <c r="F122" t="inlineStr">
        <is>
          <t>Övriga Aktiebolag</t>
        </is>
      </c>
      <c r="G122" t="n">
        <v>9.4</v>
      </c>
      <c r="H122" t="n">
        <v>1</v>
      </c>
      <c r="I122" t="n">
        <v>1</v>
      </c>
      <c r="J122" t="n">
        <v>1</v>
      </c>
      <c r="K122" t="n">
        <v>0</v>
      </c>
      <c r="L122" t="n">
        <v>0</v>
      </c>
      <c r="M122" t="n">
        <v>0</v>
      </c>
      <c r="N122" t="n">
        <v>0</v>
      </c>
      <c r="O122" t="n">
        <v>1</v>
      </c>
      <c r="P122" t="n">
        <v>0</v>
      </c>
      <c r="Q122" t="n">
        <v>2</v>
      </c>
      <c r="R122" s="2" t="inlineStr">
        <is>
          <t>Vedflikmossa
Spindelblomster</t>
        </is>
      </c>
      <c r="S122">
        <f>HYPERLINK("https://klasma.github.io/Logging_2321/artfynd/A 53014-2023 artfynd.xlsx", "A 53014-2023")</f>
        <v/>
      </c>
      <c r="T122">
        <f>HYPERLINK("https://klasma.github.io/Logging_2321/kartor/A 53014-2023 karta.png", "A 53014-2023")</f>
        <v/>
      </c>
      <c r="V122">
        <f>HYPERLINK("https://klasma.github.io/Logging_2321/klagomål/A 53014-2023 FSC-klagomål.docx", "A 53014-2023")</f>
        <v/>
      </c>
      <c r="W122">
        <f>HYPERLINK("https://klasma.github.io/Logging_2321/klagomålsmail/A 53014-2023 FSC-klagomål mail.docx", "A 53014-2023")</f>
        <v/>
      </c>
      <c r="X122">
        <f>HYPERLINK("https://klasma.github.io/Logging_2321/tillsyn/A 53014-2023 tillsynsbegäran.docx", "A 53014-2023")</f>
        <v/>
      </c>
      <c r="Y122">
        <f>HYPERLINK("https://klasma.github.io/Logging_2321/tillsynsmail/A 53014-2023 tillsynsbegäran mail.docx", "A 53014-2023")</f>
        <v/>
      </c>
    </row>
    <row r="123" ht="15" customHeight="1">
      <c r="A123" t="inlineStr">
        <is>
          <t>A 54055-2023</t>
        </is>
      </c>
      <c r="B123" s="1" t="n">
        <v>45231</v>
      </c>
      <c r="C123" s="1" t="n">
        <v>45361</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57771-2023</t>
        </is>
      </c>
      <c r="B124" s="1" t="n">
        <v>45246</v>
      </c>
      <c r="C124" s="1" t="n">
        <v>45361</v>
      </c>
      <c r="D124" t="inlineStr">
        <is>
          <t>JÄMTLANDS LÄN</t>
        </is>
      </c>
      <c r="E124" t="inlineStr">
        <is>
          <t>ÅRE</t>
        </is>
      </c>
      <c r="G124" t="n">
        <v>2.1</v>
      </c>
      <c r="H124" t="n">
        <v>0</v>
      </c>
      <c r="I124" t="n">
        <v>0</v>
      </c>
      <c r="J124" t="n">
        <v>2</v>
      </c>
      <c r="K124" t="n">
        <v>0</v>
      </c>
      <c r="L124" t="n">
        <v>0</v>
      </c>
      <c r="M124" t="n">
        <v>0</v>
      </c>
      <c r="N124" t="n">
        <v>0</v>
      </c>
      <c r="O124" t="n">
        <v>2</v>
      </c>
      <c r="P124" t="n">
        <v>0</v>
      </c>
      <c r="Q124" t="n">
        <v>2</v>
      </c>
      <c r="R124" s="2" t="inlineStr">
        <is>
          <t>Granticka
Harticka</t>
        </is>
      </c>
      <c r="S124">
        <f>HYPERLINK("https://klasma.github.io/Logging_2321/artfynd/A 57771-2023 artfynd.xlsx", "A 57771-2023")</f>
        <v/>
      </c>
      <c r="T124">
        <f>HYPERLINK("https://klasma.github.io/Logging_2321/kartor/A 57771-2023 karta.png", "A 57771-2023")</f>
        <v/>
      </c>
      <c r="V124">
        <f>HYPERLINK("https://klasma.github.io/Logging_2321/klagomål/A 57771-2023 FSC-klagomål.docx", "A 57771-2023")</f>
        <v/>
      </c>
      <c r="W124">
        <f>HYPERLINK("https://klasma.github.io/Logging_2321/klagomålsmail/A 57771-2023 FSC-klagomål mail.docx", "A 57771-2023")</f>
        <v/>
      </c>
      <c r="X124">
        <f>HYPERLINK("https://klasma.github.io/Logging_2321/tillsyn/A 57771-2023 tillsynsbegäran.docx", "A 57771-2023")</f>
        <v/>
      </c>
      <c r="Y124">
        <f>HYPERLINK("https://klasma.github.io/Logging_2321/tillsynsmail/A 57771-2023 tillsynsbegäran mail.docx", "A 57771-2023")</f>
        <v/>
      </c>
    </row>
    <row r="125" ht="15" customHeight="1">
      <c r="A125" t="inlineStr">
        <is>
          <t>A 33947-2018</t>
        </is>
      </c>
      <c r="B125" s="1" t="n">
        <v>43314</v>
      </c>
      <c r="C125" s="1" t="n">
        <v>45361</v>
      </c>
      <c r="D125" t="inlineStr">
        <is>
          <t>JÄMTLANDS LÄN</t>
        </is>
      </c>
      <c r="E125" t="inlineStr">
        <is>
          <t>ÅRE</t>
        </is>
      </c>
      <c r="F125" t="inlineStr">
        <is>
          <t>Övriga Aktiebolag</t>
        </is>
      </c>
      <c r="G125" t="n">
        <v>8.5</v>
      </c>
      <c r="H125" t="n">
        <v>0</v>
      </c>
      <c r="I125" t="n">
        <v>0</v>
      </c>
      <c r="J125" t="n">
        <v>0</v>
      </c>
      <c r="K125" t="n">
        <v>1</v>
      </c>
      <c r="L125" t="n">
        <v>0</v>
      </c>
      <c r="M125" t="n">
        <v>0</v>
      </c>
      <c r="N125" t="n">
        <v>0</v>
      </c>
      <c r="O125" t="n">
        <v>1</v>
      </c>
      <c r="P125" t="n">
        <v>1</v>
      </c>
      <c r="Q125" t="n">
        <v>1</v>
      </c>
      <c r="R125" s="2" t="inlineStr">
        <is>
          <t>Norsk näverlav</t>
        </is>
      </c>
      <c r="S125">
        <f>HYPERLINK("https://klasma.github.io/Logging_2321/artfynd/A 33947-2018 artfynd.xlsx", "A 33947-2018")</f>
        <v/>
      </c>
      <c r="T125">
        <f>HYPERLINK("https://klasma.github.io/Logging_2321/kartor/A 33947-2018 karta.png", "A 33947-2018")</f>
        <v/>
      </c>
      <c r="V125">
        <f>HYPERLINK("https://klasma.github.io/Logging_2321/klagomål/A 33947-2018 FSC-klagomål.docx", "A 33947-2018")</f>
        <v/>
      </c>
      <c r="W125">
        <f>HYPERLINK("https://klasma.github.io/Logging_2321/klagomålsmail/A 33947-2018 FSC-klagomål mail.docx", "A 33947-2018")</f>
        <v/>
      </c>
      <c r="X125">
        <f>HYPERLINK("https://klasma.github.io/Logging_2321/tillsyn/A 33947-2018 tillsynsbegäran.docx", "A 33947-2018")</f>
        <v/>
      </c>
      <c r="Y125">
        <f>HYPERLINK("https://klasma.github.io/Logging_2321/tillsynsmail/A 33947-2018 tillsynsbegäran mail.docx", "A 33947-2018")</f>
        <v/>
      </c>
    </row>
    <row r="126" ht="15" customHeight="1">
      <c r="A126" t="inlineStr">
        <is>
          <t>A 64479-2018</t>
        </is>
      </c>
      <c r="B126" s="1" t="n">
        <v>43431</v>
      </c>
      <c r="C126" s="1" t="n">
        <v>45361</v>
      </c>
      <c r="D126" t="inlineStr">
        <is>
          <t>JÄMTLANDS LÄN</t>
        </is>
      </c>
      <c r="E126" t="inlineStr">
        <is>
          <t>ÅRE</t>
        </is>
      </c>
      <c r="G126" t="n">
        <v>10.1</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64479-2018 artfynd.xlsx", "A 64479-2018")</f>
        <v/>
      </c>
      <c r="T126">
        <f>HYPERLINK("https://klasma.github.io/Logging_2321/kartor/A 64479-2018 karta.png", "A 64479-2018")</f>
        <v/>
      </c>
      <c r="V126">
        <f>HYPERLINK("https://klasma.github.io/Logging_2321/klagomål/A 64479-2018 FSC-klagomål.docx", "A 64479-2018")</f>
        <v/>
      </c>
      <c r="W126">
        <f>HYPERLINK("https://klasma.github.io/Logging_2321/klagomålsmail/A 64479-2018 FSC-klagomål mail.docx", "A 64479-2018")</f>
        <v/>
      </c>
      <c r="X126">
        <f>HYPERLINK("https://klasma.github.io/Logging_2321/tillsyn/A 64479-2018 tillsynsbegäran.docx", "A 64479-2018")</f>
        <v/>
      </c>
      <c r="Y126">
        <f>HYPERLINK("https://klasma.github.io/Logging_2321/tillsynsmail/A 64479-2018 tillsynsbegäran mail.docx", "A 64479-2018")</f>
        <v/>
      </c>
      <c r="Z126">
        <f>HYPERLINK("https://klasma.github.io/Logging_2321/fåglar/A 64479-2018 prioriterade fågelarter.docx", "A 64479-2018")</f>
        <v/>
      </c>
    </row>
    <row r="127" ht="15" customHeight="1">
      <c r="A127" t="inlineStr">
        <is>
          <t>A 59825-2019</t>
        </is>
      </c>
      <c r="B127" s="1" t="n">
        <v>43774</v>
      </c>
      <c r="C127" s="1" t="n">
        <v>45361</v>
      </c>
      <c r="D127" t="inlineStr">
        <is>
          <t>JÄMTLANDS LÄN</t>
        </is>
      </c>
      <c r="E127" t="inlineStr">
        <is>
          <t>ÅRE</t>
        </is>
      </c>
      <c r="G127" t="n">
        <v>6.8</v>
      </c>
      <c r="H127" t="n">
        <v>0</v>
      </c>
      <c r="I127" t="n">
        <v>0</v>
      </c>
      <c r="J127" t="n">
        <v>1</v>
      </c>
      <c r="K127" t="n">
        <v>0</v>
      </c>
      <c r="L127" t="n">
        <v>0</v>
      </c>
      <c r="M127" t="n">
        <v>0</v>
      </c>
      <c r="N127" t="n">
        <v>0</v>
      </c>
      <c r="O127" t="n">
        <v>1</v>
      </c>
      <c r="P127" t="n">
        <v>0</v>
      </c>
      <c r="Q127" t="n">
        <v>1</v>
      </c>
      <c r="R127" s="2" t="inlineStr">
        <is>
          <t>Lunglav</t>
        </is>
      </c>
      <c r="S127">
        <f>HYPERLINK("https://klasma.github.io/Logging_2321/artfynd/A 59825-2019 artfynd.xlsx", "A 59825-2019")</f>
        <v/>
      </c>
      <c r="T127">
        <f>HYPERLINK("https://klasma.github.io/Logging_2321/kartor/A 59825-2019 karta.png", "A 59825-2019")</f>
        <v/>
      </c>
      <c r="V127">
        <f>HYPERLINK("https://klasma.github.io/Logging_2321/klagomål/A 59825-2019 FSC-klagomål.docx", "A 59825-2019")</f>
        <v/>
      </c>
      <c r="W127">
        <f>HYPERLINK("https://klasma.github.io/Logging_2321/klagomålsmail/A 59825-2019 FSC-klagomål mail.docx", "A 59825-2019")</f>
        <v/>
      </c>
      <c r="X127">
        <f>HYPERLINK("https://klasma.github.io/Logging_2321/tillsyn/A 59825-2019 tillsynsbegäran.docx", "A 59825-2019")</f>
        <v/>
      </c>
      <c r="Y127">
        <f>HYPERLINK("https://klasma.github.io/Logging_2321/tillsynsmail/A 59825-2019 tillsynsbegäran mail.docx", "A 59825-2019")</f>
        <v/>
      </c>
    </row>
    <row r="128" ht="15" customHeight="1">
      <c r="A128" t="inlineStr">
        <is>
          <t>A 20979-2020</t>
        </is>
      </c>
      <c r="B128" s="1" t="n">
        <v>43950</v>
      </c>
      <c r="C128" s="1" t="n">
        <v>45361</v>
      </c>
      <c r="D128" t="inlineStr">
        <is>
          <t>JÄMTLANDS LÄN</t>
        </is>
      </c>
      <c r="E128" t="inlineStr">
        <is>
          <t>ÅRE</t>
        </is>
      </c>
      <c r="G128" t="n">
        <v>16.5</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20979-2020 artfynd.xlsx", "A 20979-2020")</f>
        <v/>
      </c>
      <c r="T128">
        <f>HYPERLINK("https://klasma.github.io/Logging_2321/kartor/A 20979-2020 karta.png", "A 20979-2020")</f>
        <v/>
      </c>
      <c r="V128">
        <f>HYPERLINK("https://klasma.github.io/Logging_2321/klagomål/A 20979-2020 FSC-klagomål.docx", "A 20979-2020")</f>
        <v/>
      </c>
      <c r="W128">
        <f>HYPERLINK("https://klasma.github.io/Logging_2321/klagomålsmail/A 20979-2020 FSC-klagomål mail.docx", "A 20979-2020")</f>
        <v/>
      </c>
      <c r="X128">
        <f>HYPERLINK("https://klasma.github.io/Logging_2321/tillsyn/A 20979-2020 tillsynsbegäran.docx", "A 20979-2020")</f>
        <v/>
      </c>
      <c r="Y128">
        <f>HYPERLINK("https://klasma.github.io/Logging_2321/tillsynsmail/A 20979-2020 tillsynsbegäran mail.docx", "A 20979-2020")</f>
        <v/>
      </c>
      <c r="Z128">
        <f>HYPERLINK("https://klasma.github.io/Logging_2321/fåglar/A 20979-2020 prioriterade fågelarter.docx", "A 20979-2020")</f>
        <v/>
      </c>
    </row>
    <row r="129" ht="15" customHeight="1">
      <c r="A129" t="inlineStr">
        <is>
          <t>A 29084-2020</t>
        </is>
      </c>
      <c r="B129" s="1" t="n">
        <v>44002</v>
      </c>
      <c r="C129" s="1" t="n">
        <v>45361</v>
      </c>
      <c r="D129" t="inlineStr">
        <is>
          <t>JÄMTLANDS LÄN</t>
        </is>
      </c>
      <c r="E129" t="inlineStr">
        <is>
          <t>ÅRE</t>
        </is>
      </c>
      <c r="G129" t="n">
        <v>15.5</v>
      </c>
      <c r="H129" t="n">
        <v>0</v>
      </c>
      <c r="I129" t="n">
        <v>0</v>
      </c>
      <c r="J129" t="n">
        <v>1</v>
      </c>
      <c r="K129" t="n">
        <v>0</v>
      </c>
      <c r="L129" t="n">
        <v>0</v>
      </c>
      <c r="M129" t="n">
        <v>0</v>
      </c>
      <c r="N129" t="n">
        <v>0</v>
      </c>
      <c r="O129" t="n">
        <v>1</v>
      </c>
      <c r="P129" t="n">
        <v>0</v>
      </c>
      <c r="Q129" t="n">
        <v>1</v>
      </c>
      <c r="R129" s="2" t="inlineStr">
        <is>
          <t>Gränsticka</t>
        </is>
      </c>
      <c r="S129">
        <f>HYPERLINK("https://klasma.github.io/Logging_2321/artfynd/A 29084-2020 artfynd.xlsx", "A 29084-2020")</f>
        <v/>
      </c>
      <c r="T129">
        <f>HYPERLINK("https://klasma.github.io/Logging_2321/kartor/A 29084-2020 karta.png", "A 29084-2020")</f>
        <v/>
      </c>
      <c r="V129">
        <f>HYPERLINK("https://klasma.github.io/Logging_2321/klagomål/A 29084-2020 FSC-klagomål.docx", "A 29084-2020")</f>
        <v/>
      </c>
      <c r="W129">
        <f>HYPERLINK("https://klasma.github.io/Logging_2321/klagomålsmail/A 29084-2020 FSC-klagomål mail.docx", "A 29084-2020")</f>
        <v/>
      </c>
      <c r="X129">
        <f>HYPERLINK("https://klasma.github.io/Logging_2321/tillsyn/A 29084-2020 tillsynsbegäran.docx", "A 29084-2020")</f>
        <v/>
      </c>
      <c r="Y129">
        <f>HYPERLINK("https://klasma.github.io/Logging_2321/tillsynsmail/A 29084-2020 tillsynsbegäran mail.docx", "A 29084-2020")</f>
        <v/>
      </c>
    </row>
    <row r="130" ht="15" customHeight="1">
      <c r="A130" t="inlineStr">
        <is>
          <t>A 46966-2020</t>
        </is>
      </c>
      <c r="B130" s="1" t="n">
        <v>44090</v>
      </c>
      <c r="C130" s="1" t="n">
        <v>45361</v>
      </c>
      <c r="D130" t="inlineStr">
        <is>
          <t>JÄMTLANDS LÄN</t>
        </is>
      </c>
      <c r="E130" t="inlineStr">
        <is>
          <t>ÅRE</t>
        </is>
      </c>
      <c r="G130" t="n">
        <v>13.7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46966-2020 artfynd.xlsx", "A 46966-2020")</f>
        <v/>
      </c>
      <c r="T130">
        <f>HYPERLINK("https://klasma.github.io/Logging_2321/kartor/A 46966-2020 karta.png", "A 46966-2020")</f>
        <v/>
      </c>
      <c r="V130">
        <f>HYPERLINK("https://klasma.github.io/Logging_2321/klagomål/A 46966-2020 FSC-klagomål.docx", "A 46966-2020")</f>
        <v/>
      </c>
      <c r="W130">
        <f>HYPERLINK("https://klasma.github.io/Logging_2321/klagomålsmail/A 46966-2020 FSC-klagomål mail.docx", "A 46966-2020")</f>
        <v/>
      </c>
      <c r="X130">
        <f>HYPERLINK("https://klasma.github.io/Logging_2321/tillsyn/A 46966-2020 tillsynsbegäran.docx", "A 46966-2020")</f>
        <v/>
      </c>
      <c r="Y130">
        <f>HYPERLINK("https://klasma.github.io/Logging_2321/tillsynsmail/A 46966-2020 tillsynsbegäran mail.docx", "A 46966-2020")</f>
        <v/>
      </c>
      <c r="Z130">
        <f>HYPERLINK("https://klasma.github.io/Logging_2321/fåglar/A 46966-2020 prioriterade fågelarter.docx", "A 46966-2020")</f>
        <v/>
      </c>
    </row>
    <row r="131" ht="15" customHeight="1">
      <c r="A131" t="inlineStr">
        <is>
          <t>A 46959-2020</t>
        </is>
      </c>
      <c r="B131" s="1" t="n">
        <v>44090</v>
      </c>
      <c r="C131" s="1" t="n">
        <v>45361</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52542-2020</t>
        </is>
      </c>
      <c r="B132" s="1" t="n">
        <v>44116</v>
      </c>
      <c r="C132" s="1" t="n">
        <v>45361</v>
      </c>
      <c r="D132" t="inlineStr">
        <is>
          <t>JÄMTLANDS LÄN</t>
        </is>
      </c>
      <c r="E132" t="inlineStr">
        <is>
          <t>ÅRE</t>
        </is>
      </c>
      <c r="G132" t="n">
        <v>5.5</v>
      </c>
      <c r="H132" t="n">
        <v>0</v>
      </c>
      <c r="I132" t="n">
        <v>0</v>
      </c>
      <c r="J132" t="n">
        <v>1</v>
      </c>
      <c r="K132" t="n">
        <v>0</v>
      </c>
      <c r="L132" t="n">
        <v>0</v>
      </c>
      <c r="M132" t="n">
        <v>0</v>
      </c>
      <c r="N132" t="n">
        <v>0</v>
      </c>
      <c r="O132" t="n">
        <v>1</v>
      </c>
      <c r="P132" t="n">
        <v>0</v>
      </c>
      <c r="Q132" t="n">
        <v>1</v>
      </c>
      <c r="R132" s="2" t="inlineStr">
        <is>
          <t>Skrovellav</t>
        </is>
      </c>
      <c r="S132">
        <f>HYPERLINK("https://klasma.github.io/Logging_2321/artfynd/A 52542-2020 artfynd.xlsx", "A 52542-2020")</f>
        <v/>
      </c>
      <c r="T132">
        <f>HYPERLINK("https://klasma.github.io/Logging_2321/kartor/A 52542-2020 karta.png", "A 52542-2020")</f>
        <v/>
      </c>
      <c r="V132">
        <f>HYPERLINK("https://klasma.github.io/Logging_2321/klagomål/A 52542-2020 FSC-klagomål.docx", "A 52542-2020")</f>
        <v/>
      </c>
      <c r="W132">
        <f>HYPERLINK("https://klasma.github.io/Logging_2321/klagomålsmail/A 52542-2020 FSC-klagomål mail.docx", "A 52542-2020")</f>
        <v/>
      </c>
      <c r="X132">
        <f>HYPERLINK("https://klasma.github.io/Logging_2321/tillsyn/A 52542-2020 tillsynsbegäran.docx", "A 52542-2020")</f>
        <v/>
      </c>
      <c r="Y132">
        <f>HYPERLINK("https://klasma.github.io/Logging_2321/tillsynsmail/A 52542-2020 tillsynsbegäran mail.docx", "A 52542-2020")</f>
        <v/>
      </c>
    </row>
    <row r="133" ht="15" customHeight="1">
      <c r="A133" t="inlineStr">
        <is>
          <t>A 53598-2020</t>
        </is>
      </c>
      <c r="B133" s="1" t="n">
        <v>44124</v>
      </c>
      <c r="C133" s="1" t="n">
        <v>45361</v>
      </c>
      <c r="D133" t="inlineStr">
        <is>
          <t>JÄMTLANDS LÄN</t>
        </is>
      </c>
      <c r="E133" t="inlineStr">
        <is>
          <t>ÅRE</t>
        </is>
      </c>
      <c r="G133" t="n">
        <v>11.7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53598-2020 artfynd.xlsx", "A 53598-2020")</f>
        <v/>
      </c>
      <c r="T133">
        <f>HYPERLINK("https://klasma.github.io/Logging_2321/kartor/A 53598-2020 karta.png", "A 53598-2020")</f>
        <v/>
      </c>
      <c r="V133">
        <f>HYPERLINK("https://klasma.github.io/Logging_2321/klagomål/A 53598-2020 FSC-klagomål.docx", "A 53598-2020")</f>
        <v/>
      </c>
      <c r="W133">
        <f>HYPERLINK("https://klasma.github.io/Logging_2321/klagomålsmail/A 53598-2020 FSC-klagomål mail.docx", "A 53598-2020")</f>
        <v/>
      </c>
      <c r="X133">
        <f>HYPERLINK("https://klasma.github.io/Logging_2321/tillsyn/A 53598-2020 tillsynsbegäran.docx", "A 53598-2020")</f>
        <v/>
      </c>
      <c r="Y133">
        <f>HYPERLINK("https://klasma.github.io/Logging_2321/tillsynsmail/A 53598-2020 tillsynsbegäran mail.docx", "A 53598-2020")</f>
        <v/>
      </c>
      <c r="Z133">
        <f>HYPERLINK("https://klasma.github.io/Logging_2321/fåglar/A 53598-2020 prioriterade fågelarter.docx", "A 53598-2020")</f>
        <v/>
      </c>
    </row>
    <row r="134" ht="15" customHeight="1">
      <c r="A134" t="inlineStr">
        <is>
          <t>A 65517-2020</t>
        </is>
      </c>
      <c r="B134" s="1" t="n">
        <v>44173</v>
      </c>
      <c r="C134" s="1" t="n">
        <v>45361</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65446-2020</t>
        </is>
      </c>
      <c r="B135" s="1" t="n">
        <v>44173</v>
      </c>
      <c r="C135" s="1" t="n">
        <v>45361</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2422-2021</t>
        </is>
      </c>
      <c r="B136" s="1" t="n">
        <v>44214</v>
      </c>
      <c r="C136" s="1" t="n">
        <v>45361</v>
      </c>
      <c r="D136" t="inlineStr">
        <is>
          <t>JÄMTLANDS LÄN</t>
        </is>
      </c>
      <c r="E136" t="inlineStr">
        <is>
          <t>ÅRE</t>
        </is>
      </c>
      <c r="G136" t="n">
        <v>3.3</v>
      </c>
      <c r="H136" t="n">
        <v>1</v>
      </c>
      <c r="I136" t="n">
        <v>0</v>
      </c>
      <c r="J136" t="n">
        <v>0</v>
      </c>
      <c r="K136" t="n">
        <v>0</v>
      </c>
      <c r="L136" t="n">
        <v>0</v>
      </c>
      <c r="M136" t="n">
        <v>0</v>
      </c>
      <c r="N136" t="n">
        <v>0</v>
      </c>
      <c r="O136" t="n">
        <v>0</v>
      </c>
      <c r="P136" t="n">
        <v>0</v>
      </c>
      <c r="Q136" t="n">
        <v>1</v>
      </c>
      <c r="R136" s="2" t="inlineStr">
        <is>
          <t>Fläcknycklar</t>
        </is>
      </c>
      <c r="S136">
        <f>HYPERLINK("https://klasma.github.io/Logging_2321/artfynd/A 2422-2021 artfynd.xlsx", "A 2422-2021")</f>
        <v/>
      </c>
      <c r="T136">
        <f>HYPERLINK("https://klasma.github.io/Logging_2321/kartor/A 2422-2021 karta.png", "A 2422-2021")</f>
        <v/>
      </c>
      <c r="V136">
        <f>HYPERLINK("https://klasma.github.io/Logging_2321/klagomål/A 2422-2021 FSC-klagomål.docx", "A 2422-2021")</f>
        <v/>
      </c>
      <c r="W136">
        <f>HYPERLINK("https://klasma.github.io/Logging_2321/klagomålsmail/A 2422-2021 FSC-klagomål mail.docx", "A 2422-2021")</f>
        <v/>
      </c>
      <c r="X136">
        <f>HYPERLINK("https://klasma.github.io/Logging_2321/tillsyn/A 2422-2021 tillsynsbegäran.docx", "A 2422-2021")</f>
        <v/>
      </c>
      <c r="Y136">
        <f>HYPERLINK("https://klasma.github.io/Logging_2321/tillsynsmail/A 2422-2021 tillsynsbegäran mail.docx", "A 2422-2021")</f>
        <v/>
      </c>
    </row>
    <row r="137" ht="15" customHeight="1">
      <c r="A137" t="inlineStr">
        <is>
          <t>A 11781-2021</t>
        </is>
      </c>
      <c r="B137" s="1" t="n">
        <v>44265</v>
      </c>
      <c r="C137" s="1" t="n">
        <v>45361</v>
      </c>
      <c r="D137" t="inlineStr">
        <is>
          <t>JÄMTLANDS LÄN</t>
        </is>
      </c>
      <c r="E137" t="inlineStr">
        <is>
          <t>ÅRE</t>
        </is>
      </c>
      <c r="G137" t="n">
        <v>4.1</v>
      </c>
      <c r="H137" t="n">
        <v>0</v>
      </c>
      <c r="I137" t="n">
        <v>1</v>
      </c>
      <c r="J137" t="n">
        <v>0</v>
      </c>
      <c r="K137" t="n">
        <v>0</v>
      </c>
      <c r="L137" t="n">
        <v>0</v>
      </c>
      <c r="M137" t="n">
        <v>0</v>
      </c>
      <c r="N137" t="n">
        <v>0</v>
      </c>
      <c r="O137" t="n">
        <v>0</v>
      </c>
      <c r="P137" t="n">
        <v>0</v>
      </c>
      <c r="Q137" t="n">
        <v>1</v>
      </c>
      <c r="R137" s="2" t="inlineStr">
        <is>
          <t>Finbräken</t>
        </is>
      </c>
      <c r="S137">
        <f>HYPERLINK("https://klasma.github.io/Logging_2321/artfynd/A 11781-2021 artfynd.xlsx", "A 11781-2021")</f>
        <v/>
      </c>
      <c r="T137">
        <f>HYPERLINK("https://klasma.github.io/Logging_2321/kartor/A 11781-2021 karta.png", "A 11781-2021")</f>
        <v/>
      </c>
      <c r="V137">
        <f>HYPERLINK("https://klasma.github.io/Logging_2321/klagomål/A 11781-2021 FSC-klagomål.docx", "A 11781-2021")</f>
        <v/>
      </c>
      <c r="W137">
        <f>HYPERLINK("https://klasma.github.io/Logging_2321/klagomålsmail/A 11781-2021 FSC-klagomål mail.docx", "A 11781-2021")</f>
        <v/>
      </c>
      <c r="X137">
        <f>HYPERLINK("https://klasma.github.io/Logging_2321/tillsyn/A 11781-2021 tillsynsbegäran.docx", "A 11781-2021")</f>
        <v/>
      </c>
      <c r="Y137">
        <f>HYPERLINK("https://klasma.github.io/Logging_2321/tillsynsmail/A 11781-2021 tillsynsbegäran mail.docx", "A 11781-2021")</f>
        <v/>
      </c>
    </row>
    <row r="138" ht="15" customHeight="1">
      <c r="A138" t="inlineStr">
        <is>
          <t>A 11767-2021</t>
        </is>
      </c>
      <c r="B138" s="1" t="n">
        <v>44265</v>
      </c>
      <c r="C138" s="1" t="n">
        <v>45361</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11767-2021 artfynd.xlsx", "A 11767-2021")</f>
        <v/>
      </c>
      <c r="T138">
        <f>HYPERLINK("https://klasma.github.io/Logging_2321/kartor/A 11767-2021 karta.png", "A 11767-2021")</f>
        <v/>
      </c>
      <c r="V138">
        <f>HYPERLINK("https://klasma.github.io/Logging_2321/klagomål/A 11767-2021 FSC-klagomål.docx", "A 11767-2021")</f>
        <v/>
      </c>
      <c r="W138">
        <f>HYPERLINK("https://klasma.github.io/Logging_2321/klagomålsmail/A 11767-2021 FSC-klagomål mail.docx", "A 11767-2021")</f>
        <v/>
      </c>
      <c r="X138">
        <f>HYPERLINK("https://klasma.github.io/Logging_2321/tillsyn/A 11767-2021 tillsynsbegäran.docx", "A 11767-2021")</f>
        <v/>
      </c>
      <c r="Y138">
        <f>HYPERLINK("https://klasma.github.io/Logging_2321/tillsynsmail/A 11767-2021 tillsynsbegäran mail.docx", "A 11767-2021")</f>
        <v/>
      </c>
      <c r="Z138">
        <f>HYPERLINK("https://klasma.github.io/Logging_2321/fåglar/A 11767-2021 prioriterade fågelarter.docx", "A 11767-2021")</f>
        <v/>
      </c>
    </row>
    <row r="139" ht="15" customHeight="1">
      <c r="A139" t="inlineStr">
        <is>
          <t>A 12970-2021</t>
        </is>
      </c>
      <c r="B139" s="1" t="n">
        <v>44271</v>
      </c>
      <c r="C139" s="1" t="n">
        <v>45361</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18543-2021</t>
        </is>
      </c>
      <c r="B140" s="1" t="n">
        <v>44306</v>
      </c>
      <c r="C140" s="1" t="n">
        <v>45361</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20500-2021</t>
        </is>
      </c>
      <c r="B141" s="1" t="n">
        <v>44315</v>
      </c>
      <c r="C141" s="1" t="n">
        <v>45361</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23556-2021</t>
        </is>
      </c>
      <c r="B142" s="1" t="n">
        <v>44334</v>
      </c>
      <c r="C142" s="1" t="n">
        <v>45361</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37082-2021</t>
        </is>
      </c>
      <c r="B143" s="1" t="n">
        <v>44395</v>
      </c>
      <c r="C143" s="1" t="n">
        <v>45361</v>
      </c>
      <c r="D143" t="inlineStr">
        <is>
          <t>JÄMTLANDS LÄN</t>
        </is>
      </c>
      <c r="E143" t="inlineStr">
        <is>
          <t>ÅRE</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37082-2021 artfynd.xlsx", "A 37082-2021")</f>
        <v/>
      </c>
      <c r="T143">
        <f>HYPERLINK("https://klasma.github.io/Logging_2321/kartor/A 37082-2021 karta.png", "A 37082-2021")</f>
        <v/>
      </c>
      <c r="V143">
        <f>HYPERLINK("https://klasma.github.io/Logging_2321/klagomål/A 37082-2021 FSC-klagomål.docx", "A 37082-2021")</f>
        <v/>
      </c>
      <c r="W143">
        <f>HYPERLINK("https://klasma.github.io/Logging_2321/klagomålsmail/A 37082-2021 FSC-klagomål mail.docx", "A 37082-2021")</f>
        <v/>
      </c>
      <c r="X143">
        <f>HYPERLINK("https://klasma.github.io/Logging_2321/tillsyn/A 37082-2021 tillsynsbegäran.docx", "A 37082-2021")</f>
        <v/>
      </c>
      <c r="Y143">
        <f>HYPERLINK("https://klasma.github.io/Logging_2321/tillsynsmail/A 37082-2021 tillsynsbegäran mail.docx", "A 37082-2021")</f>
        <v/>
      </c>
      <c r="Z143">
        <f>HYPERLINK("https://klasma.github.io/Logging_2321/fåglar/A 37082-2021 prioriterade fågelarter.docx", "A 37082-2021")</f>
        <v/>
      </c>
    </row>
    <row r="144" ht="15" customHeight="1">
      <c r="A144" t="inlineStr">
        <is>
          <t>A 56193-2021</t>
        </is>
      </c>
      <c r="B144" s="1" t="n">
        <v>44477</v>
      </c>
      <c r="C144" s="1" t="n">
        <v>45361</v>
      </c>
      <c r="D144" t="inlineStr">
        <is>
          <t>JÄMTLANDS LÄN</t>
        </is>
      </c>
      <c r="E144" t="inlineStr">
        <is>
          <t>ÅRE</t>
        </is>
      </c>
      <c r="F144" t="inlineStr">
        <is>
          <t>Övriga Aktiebolag</t>
        </is>
      </c>
      <c r="G144" t="n">
        <v>15.5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56193-2021 artfynd.xlsx", "A 56193-2021")</f>
        <v/>
      </c>
      <c r="T144">
        <f>HYPERLINK("https://klasma.github.io/Logging_2321/kartor/A 56193-2021 karta.png", "A 56193-2021")</f>
        <v/>
      </c>
      <c r="V144">
        <f>HYPERLINK("https://klasma.github.io/Logging_2321/klagomål/A 56193-2021 FSC-klagomål.docx", "A 56193-2021")</f>
        <v/>
      </c>
      <c r="W144">
        <f>HYPERLINK("https://klasma.github.io/Logging_2321/klagomålsmail/A 56193-2021 FSC-klagomål mail.docx", "A 56193-2021")</f>
        <v/>
      </c>
      <c r="X144">
        <f>HYPERLINK("https://klasma.github.io/Logging_2321/tillsyn/A 56193-2021 tillsynsbegäran.docx", "A 56193-2021")</f>
        <v/>
      </c>
      <c r="Y144">
        <f>HYPERLINK("https://klasma.github.io/Logging_2321/tillsynsmail/A 56193-2021 tillsynsbegäran mail.docx", "A 56193-2021")</f>
        <v/>
      </c>
      <c r="Z144">
        <f>HYPERLINK("https://klasma.github.io/Logging_2321/fåglar/A 56193-2021 prioriterade fågelarter.docx", "A 56193-2021")</f>
        <v/>
      </c>
    </row>
    <row r="145" ht="15" customHeight="1">
      <c r="A145" t="inlineStr">
        <is>
          <t>A 58117-2021</t>
        </is>
      </c>
      <c r="B145" s="1" t="n">
        <v>44487</v>
      </c>
      <c r="C145" s="1" t="n">
        <v>45361</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45361</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58226-2021</t>
        </is>
      </c>
      <c r="B147" s="1" t="n">
        <v>44487</v>
      </c>
      <c r="C147" s="1" t="n">
        <v>45361</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62188-2021</t>
        </is>
      </c>
      <c r="B148" s="1" t="n">
        <v>44502</v>
      </c>
      <c r="C148" s="1" t="n">
        <v>45361</v>
      </c>
      <c r="D148" t="inlineStr">
        <is>
          <t>JÄMTLANDS LÄN</t>
        </is>
      </c>
      <c r="E148" t="inlineStr">
        <is>
          <t>ÅRE</t>
        </is>
      </c>
      <c r="G148" t="n">
        <v>2.5</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62188-2021 artfynd.xlsx", "A 62188-2021")</f>
        <v/>
      </c>
      <c r="T148">
        <f>HYPERLINK("https://klasma.github.io/Logging_2321/kartor/A 62188-2021 karta.png", "A 62188-2021")</f>
        <v/>
      </c>
      <c r="V148">
        <f>HYPERLINK("https://klasma.github.io/Logging_2321/klagomål/A 62188-2021 FSC-klagomål.docx", "A 62188-2021")</f>
        <v/>
      </c>
      <c r="W148">
        <f>HYPERLINK("https://klasma.github.io/Logging_2321/klagomålsmail/A 62188-2021 FSC-klagomål mail.docx", "A 62188-2021")</f>
        <v/>
      </c>
      <c r="X148">
        <f>HYPERLINK("https://klasma.github.io/Logging_2321/tillsyn/A 62188-2021 tillsynsbegäran.docx", "A 62188-2021")</f>
        <v/>
      </c>
      <c r="Y148">
        <f>HYPERLINK("https://klasma.github.io/Logging_2321/tillsynsmail/A 62188-2021 tillsynsbegäran mail.docx", "A 62188-2021")</f>
        <v/>
      </c>
    </row>
    <row r="149" ht="15" customHeight="1">
      <c r="A149" t="inlineStr">
        <is>
          <t>A 63975-2021</t>
        </is>
      </c>
      <c r="B149" s="1" t="n">
        <v>44509</v>
      </c>
      <c r="C149" s="1" t="n">
        <v>45361</v>
      </c>
      <c r="D149" t="inlineStr">
        <is>
          <t>JÄMTLANDS LÄN</t>
        </is>
      </c>
      <c r="E149" t="inlineStr">
        <is>
          <t>ÅRE</t>
        </is>
      </c>
      <c r="G149" t="n">
        <v>2.4</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63975-2021 artfynd.xlsx", "A 63975-2021")</f>
        <v/>
      </c>
      <c r="T149">
        <f>HYPERLINK("https://klasma.github.io/Logging_2321/kartor/A 63975-2021 karta.png", "A 63975-2021")</f>
        <v/>
      </c>
      <c r="V149">
        <f>HYPERLINK("https://klasma.github.io/Logging_2321/klagomål/A 63975-2021 FSC-klagomål.docx", "A 63975-2021")</f>
        <v/>
      </c>
      <c r="W149">
        <f>HYPERLINK("https://klasma.github.io/Logging_2321/klagomålsmail/A 63975-2021 FSC-klagomål mail.docx", "A 63975-2021")</f>
        <v/>
      </c>
      <c r="X149">
        <f>HYPERLINK("https://klasma.github.io/Logging_2321/tillsyn/A 63975-2021 tillsynsbegäran.docx", "A 63975-2021")</f>
        <v/>
      </c>
      <c r="Y149">
        <f>HYPERLINK("https://klasma.github.io/Logging_2321/tillsynsmail/A 63975-2021 tillsynsbegäran mail.docx", "A 63975-2021")</f>
        <v/>
      </c>
    </row>
    <row r="150" ht="15" customHeight="1">
      <c r="A150" t="inlineStr">
        <is>
          <t>A 74392-2021</t>
        </is>
      </c>
      <c r="B150" s="1" t="n">
        <v>44559</v>
      </c>
      <c r="C150" s="1" t="n">
        <v>45361</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12242-2022</t>
        </is>
      </c>
      <c r="B151" s="1" t="n">
        <v>44637</v>
      </c>
      <c r="C151" s="1" t="n">
        <v>45361</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17692-2022</t>
        </is>
      </c>
      <c r="B152" s="1" t="n">
        <v>44680</v>
      </c>
      <c r="C152" s="1" t="n">
        <v>45361</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18851-2022</t>
        </is>
      </c>
      <c r="B153" s="1" t="n">
        <v>44690</v>
      </c>
      <c r="C153" s="1" t="n">
        <v>45361</v>
      </c>
      <c r="D153" t="inlineStr">
        <is>
          <t>JÄMTLANDS LÄN</t>
        </is>
      </c>
      <c r="E153" t="inlineStr">
        <is>
          <t>ÅRE</t>
        </is>
      </c>
      <c r="G153" t="n">
        <v>10.4</v>
      </c>
      <c r="H153" t="n">
        <v>0</v>
      </c>
      <c r="I153" t="n">
        <v>0</v>
      </c>
      <c r="J153" t="n">
        <v>1</v>
      </c>
      <c r="K153" t="n">
        <v>0</v>
      </c>
      <c r="L153" t="n">
        <v>0</v>
      </c>
      <c r="M153" t="n">
        <v>0</v>
      </c>
      <c r="N153" t="n">
        <v>0</v>
      </c>
      <c r="O153" t="n">
        <v>1</v>
      </c>
      <c r="P153" t="n">
        <v>0</v>
      </c>
      <c r="Q153" t="n">
        <v>1</v>
      </c>
      <c r="R153" s="2" t="inlineStr">
        <is>
          <t>Garnlav</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row>
    <row r="154" ht="15" customHeight="1">
      <c r="A154" t="inlineStr">
        <is>
          <t>A 32216-2022</t>
        </is>
      </c>
      <c r="B154" s="1" t="n">
        <v>44781</v>
      </c>
      <c r="C154" s="1" t="n">
        <v>45361</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40614-2022</t>
        </is>
      </c>
      <c r="B155" s="1" t="n">
        <v>44824</v>
      </c>
      <c r="C155" s="1" t="n">
        <v>45361</v>
      </c>
      <c r="D155" t="inlineStr">
        <is>
          <t>JÄMTLANDS LÄN</t>
        </is>
      </c>
      <c r="E155" t="inlineStr">
        <is>
          <t>ÅRE</t>
        </is>
      </c>
      <c r="F155" t="inlineStr">
        <is>
          <t>Övriga Aktiebolag</t>
        </is>
      </c>
      <c r="G155" t="n">
        <v>23.2</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40614-2022 artfynd.xlsx", "A 40614-2022")</f>
        <v/>
      </c>
      <c r="T155">
        <f>HYPERLINK("https://klasma.github.io/Logging_2321/kartor/A 40614-2022 karta.png", "A 40614-2022")</f>
        <v/>
      </c>
      <c r="V155">
        <f>HYPERLINK("https://klasma.github.io/Logging_2321/klagomål/A 40614-2022 FSC-klagomål.docx", "A 40614-2022")</f>
        <v/>
      </c>
      <c r="W155">
        <f>HYPERLINK("https://klasma.github.io/Logging_2321/klagomålsmail/A 40614-2022 FSC-klagomål mail.docx", "A 40614-2022")</f>
        <v/>
      </c>
      <c r="X155">
        <f>HYPERLINK("https://klasma.github.io/Logging_2321/tillsyn/A 40614-2022 tillsynsbegäran.docx", "A 40614-2022")</f>
        <v/>
      </c>
      <c r="Y155">
        <f>HYPERLINK("https://klasma.github.io/Logging_2321/tillsynsmail/A 40614-2022 tillsynsbegäran mail.docx", "A 40614-2022")</f>
        <v/>
      </c>
      <c r="Z155">
        <f>HYPERLINK("https://klasma.github.io/Logging_2321/fåglar/A 40614-2022 prioriterade fågelarter.docx", "A 40614-2022")</f>
        <v/>
      </c>
    </row>
    <row r="156" ht="15" customHeight="1">
      <c r="A156" t="inlineStr">
        <is>
          <t>A 55805-2022</t>
        </is>
      </c>
      <c r="B156" s="1" t="n">
        <v>44888</v>
      </c>
      <c r="C156" s="1" t="n">
        <v>45361</v>
      </c>
      <c r="D156" t="inlineStr">
        <is>
          <t>JÄMTLANDS LÄN</t>
        </is>
      </c>
      <c r="E156" t="inlineStr">
        <is>
          <t>ÅRE</t>
        </is>
      </c>
      <c r="F156" t="inlineStr">
        <is>
          <t>Övriga Aktiebolag</t>
        </is>
      </c>
      <c r="G156" t="n">
        <v>17.7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55805-2022 artfynd.xlsx", "A 55805-2022")</f>
        <v/>
      </c>
      <c r="T156">
        <f>HYPERLINK("https://klasma.github.io/Logging_2321/kartor/A 55805-2022 karta.png", "A 55805-2022")</f>
        <v/>
      </c>
      <c r="V156">
        <f>HYPERLINK("https://klasma.github.io/Logging_2321/klagomål/A 55805-2022 FSC-klagomål.docx", "A 55805-2022")</f>
        <v/>
      </c>
      <c r="W156">
        <f>HYPERLINK("https://klasma.github.io/Logging_2321/klagomålsmail/A 55805-2022 FSC-klagomål mail.docx", "A 55805-2022")</f>
        <v/>
      </c>
      <c r="X156">
        <f>HYPERLINK("https://klasma.github.io/Logging_2321/tillsyn/A 55805-2022 tillsynsbegäran.docx", "A 55805-2022")</f>
        <v/>
      </c>
      <c r="Y156">
        <f>HYPERLINK("https://klasma.github.io/Logging_2321/tillsynsmail/A 55805-2022 tillsynsbegäran mail.docx", "A 55805-2022")</f>
        <v/>
      </c>
      <c r="Z156">
        <f>HYPERLINK("https://klasma.github.io/Logging_2321/fåglar/A 55805-2022 prioriterade fågelarter.docx", "A 55805-2022")</f>
        <v/>
      </c>
    </row>
    <row r="157" ht="15" customHeight="1">
      <c r="A157" t="inlineStr">
        <is>
          <t>A 56493-2022</t>
        </is>
      </c>
      <c r="B157" s="1" t="n">
        <v>44893</v>
      </c>
      <c r="C157" s="1" t="n">
        <v>45361</v>
      </c>
      <c r="D157" t="inlineStr">
        <is>
          <t>JÄMTLANDS LÄN</t>
        </is>
      </c>
      <c r="E157" t="inlineStr">
        <is>
          <t>ÅRE</t>
        </is>
      </c>
      <c r="F157" t="inlineStr">
        <is>
          <t>Övriga Aktiebolag</t>
        </is>
      </c>
      <c r="G157" t="n">
        <v>3</v>
      </c>
      <c r="H157" t="n">
        <v>0</v>
      </c>
      <c r="I157" t="n">
        <v>0</v>
      </c>
      <c r="J157" t="n">
        <v>1</v>
      </c>
      <c r="K157" t="n">
        <v>0</v>
      </c>
      <c r="L157" t="n">
        <v>0</v>
      </c>
      <c r="M157" t="n">
        <v>0</v>
      </c>
      <c r="N157" t="n">
        <v>0</v>
      </c>
      <c r="O157" t="n">
        <v>1</v>
      </c>
      <c r="P157" t="n">
        <v>0</v>
      </c>
      <c r="Q157" t="n">
        <v>1</v>
      </c>
      <c r="R157" s="2" t="inlineStr">
        <is>
          <t>Garnlav</t>
        </is>
      </c>
      <c r="S157">
        <f>HYPERLINK("https://klasma.github.io/Logging_2321/artfynd/A 56493-2022 artfynd.xlsx", "A 56493-2022")</f>
        <v/>
      </c>
      <c r="T157">
        <f>HYPERLINK("https://klasma.github.io/Logging_2321/kartor/A 56493-2022 karta.png", "A 56493-2022")</f>
        <v/>
      </c>
      <c r="V157">
        <f>HYPERLINK("https://klasma.github.io/Logging_2321/klagomål/A 56493-2022 FSC-klagomål.docx", "A 56493-2022")</f>
        <v/>
      </c>
      <c r="W157">
        <f>HYPERLINK("https://klasma.github.io/Logging_2321/klagomålsmail/A 56493-2022 FSC-klagomål mail.docx", "A 56493-2022")</f>
        <v/>
      </c>
      <c r="X157">
        <f>HYPERLINK("https://klasma.github.io/Logging_2321/tillsyn/A 56493-2022 tillsynsbegäran.docx", "A 56493-2022")</f>
        <v/>
      </c>
      <c r="Y157">
        <f>HYPERLINK("https://klasma.github.io/Logging_2321/tillsynsmail/A 56493-2022 tillsynsbegäran mail.docx", "A 56493-2022")</f>
        <v/>
      </c>
    </row>
    <row r="158" ht="15" customHeight="1">
      <c r="A158" t="inlineStr">
        <is>
          <t>A 56603-2022</t>
        </is>
      </c>
      <c r="B158" s="1" t="n">
        <v>44893</v>
      </c>
      <c r="C158" s="1" t="n">
        <v>45361</v>
      </c>
      <c r="D158" t="inlineStr">
        <is>
          <t>JÄMTLANDS LÄN</t>
        </is>
      </c>
      <c r="E158" t="inlineStr">
        <is>
          <t>ÅRE</t>
        </is>
      </c>
      <c r="F158" t="inlineStr">
        <is>
          <t>Övriga Aktiebolag</t>
        </is>
      </c>
      <c r="G158" t="n">
        <v>14.3</v>
      </c>
      <c r="H158" t="n">
        <v>1</v>
      </c>
      <c r="I158" t="n">
        <v>0</v>
      </c>
      <c r="J158" t="n">
        <v>1</v>
      </c>
      <c r="K158" t="n">
        <v>0</v>
      </c>
      <c r="L158" t="n">
        <v>0</v>
      </c>
      <c r="M158" t="n">
        <v>0</v>
      </c>
      <c r="N158" t="n">
        <v>0</v>
      </c>
      <c r="O158" t="n">
        <v>1</v>
      </c>
      <c r="P158" t="n">
        <v>0</v>
      </c>
      <c r="Q158" t="n">
        <v>1</v>
      </c>
      <c r="R158" s="2" t="inlineStr">
        <is>
          <t>Talltita</t>
        </is>
      </c>
      <c r="S158">
        <f>HYPERLINK("https://klasma.github.io/Logging_2321/artfynd/A 56603-2022 artfynd.xlsx", "A 56603-2022")</f>
        <v/>
      </c>
      <c r="T158">
        <f>HYPERLINK("https://klasma.github.io/Logging_2321/kartor/A 56603-2022 karta.png", "A 56603-2022")</f>
        <v/>
      </c>
      <c r="V158">
        <f>HYPERLINK("https://klasma.github.io/Logging_2321/klagomål/A 56603-2022 FSC-klagomål.docx", "A 56603-2022")</f>
        <v/>
      </c>
      <c r="W158">
        <f>HYPERLINK("https://klasma.github.io/Logging_2321/klagomålsmail/A 56603-2022 FSC-klagomål mail.docx", "A 56603-2022")</f>
        <v/>
      </c>
      <c r="X158">
        <f>HYPERLINK("https://klasma.github.io/Logging_2321/tillsyn/A 56603-2022 tillsynsbegäran.docx", "A 56603-2022")</f>
        <v/>
      </c>
      <c r="Y158">
        <f>HYPERLINK("https://klasma.github.io/Logging_2321/tillsynsmail/A 56603-2022 tillsynsbegäran mail.docx", "A 56603-2022")</f>
        <v/>
      </c>
      <c r="Z158">
        <f>HYPERLINK("https://klasma.github.io/Logging_2321/fåglar/A 56603-2022 prioriterade fågelarter.docx", "A 56603-2022")</f>
        <v/>
      </c>
    </row>
    <row r="159" ht="15" customHeight="1">
      <c r="A159" t="inlineStr">
        <is>
          <t>A 57396-2022</t>
        </is>
      </c>
      <c r="B159" s="1" t="n">
        <v>44896</v>
      </c>
      <c r="C159" s="1" t="n">
        <v>45361</v>
      </c>
      <c r="D159" t="inlineStr">
        <is>
          <t>JÄMTLANDS LÄN</t>
        </is>
      </c>
      <c r="E159" t="inlineStr">
        <is>
          <t>ÅRE</t>
        </is>
      </c>
      <c r="G159" t="n">
        <v>3.1</v>
      </c>
      <c r="H159" t="n">
        <v>0</v>
      </c>
      <c r="I159" t="n">
        <v>0</v>
      </c>
      <c r="J159" t="n">
        <v>1</v>
      </c>
      <c r="K159" t="n">
        <v>0</v>
      </c>
      <c r="L159" t="n">
        <v>0</v>
      </c>
      <c r="M159" t="n">
        <v>0</v>
      </c>
      <c r="N159" t="n">
        <v>0</v>
      </c>
      <c r="O159" t="n">
        <v>1</v>
      </c>
      <c r="P159" t="n">
        <v>0</v>
      </c>
      <c r="Q159" t="n">
        <v>1</v>
      </c>
      <c r="R159" s="2" t="inlineStr">
        <is>
          <t>Granticka</t>
        </is>
      </c>
      <c r="S159">
        <f>HYPERLINK("https://klasma.github.io/Logging_2321/artfynd/A 57396-2022 artfynd.xlsx", "A 57396-2022")</f>
        <v/>
      </c>
      <c r="T159">
        <f>HYPERLINK("https://klasma.github.io/Logging_2321/kartor/A 57396-2022 karta.png", "A 57396-2022")</f>
        <v/>
      </c>
      <c r="V159">
        <f>HYPERLINK("https://klasma.github.io/Logging_2321/klagomål/A 57396-2022 FSC-klagomål.docx", "A 57396-2022")</f>
        <v/>
      </c>
      <c r="W159">
        <f>HYPERLINK("https://klasma.github.io/Logging_2321/klagomålsmail/A 57396-2022 FSC-klagomål mail.docx", "A 57396-2022")</f>
        <v/>
      </c>
      <c r="X159">
        <f>HYPERLINK("https://klasma.github.io/Logging_2321/tillsyn/A 57396-2022 tillsynsbegäran.docx", "A 57396-2022")</f>
        <v/>
      </c>
      <c r="Y159">
        <f>HYPERLINK("https://klasma.github.io/Logging_2321/tillsynsmail/A 57396-2022 tillsynsbegäran mail.docx", "A 57396-2022")</f>
        <v/>
      </c>
    </row>
    <row r="160" ht="15" customHeight="1">
      <c r="A160" t="inlineStr">
        <is>
          <t>A 60544-2022</t>
        </is>
      </c>
      <c r="B160" s="1" t="n">
        <v>44904</v>
      </c>
      <c r="C160" s="1" t="n">
        <v>45361</v>
      </c>
      <c r="D160" t="inlineStr">
        <is>
          <t>JÄMTLANDS LÄN</t>
        </is>
      </c>
      <c r="E160" t="inlineStr">
        <is>
          <t>ÅRE</t>
        </is>
      </c>
      <c r="G160" t="n">
        <v>1.2</v>
      </c>
      <c r="H160" t="n">
        <v>1</v>
      </c>
      <c r="I160" t="n">
        <v>0</v>
      </c>
      <c r="J160" t="n">
        <v>1</v>
      </c>
      <c r="K160" t="n">
        <v>0</v>
      </c>
      <c r="L160" t="n">
        <v>0</v>
      </c>
      <c r="M160" t="n">
        <v>0</v>
      </c>
      <c r="N160" t="n">
        <v>0</v>
      </c>
      <c r="O160" t="n">
        <v>1</v>
      </c>
      <c r="P160" t="n">
        <v>0</v>
      </c>
      <c r="Q160" t="n">
        <v>1</v>
      </c>
      <c r="R160" s="2" t="inlineStr">
        <is>
          <t>Järpe</t>
        </is>
      </c>
      <c r="S160">
        <f>HYPERLINK("https://klasma.github.io/Logging_2321/artfynd/A 60544-2022 artfynd.xlsx", "A 60544-2022")</f>
        <v/>
      </c>
      <c r="T160">
        <f>HYPERLINK("https://klasma.github.io/Logging_2321/kartor/A 60544-2022 karta.png", "A 60544-2022")</f>
        <v/>
      </c>
      <c r="V160">
        <f>HYPERLINK("https://klasma.github.io/Logging_2321/klagomål/A 60544-2022 FSC-klagomål.docx", "A 60544-2022")</f>
        <v/>
      </c>
      <c r="W160">
        <f>HYPERLINK("https://klasma.github.io/Logging_2321/klagomålsmail/A 60544-2022 FSC-klagomål mail.docx", "A 60544-2022")</f>
        <v/>
      </c>
      <c r="X160">
        <f>HYPERLINK("https://klasma.github.io/Logging_2321/tillsyn/A 60544-2022 tillsynsbegäran.docx", "A 60544-2022")</f>
        <v/>
      </c>
      <c r="Y160">
        <f>HYPERLINK("https://klasma.github.io/Logging_2321/tillsynsmail/A 60544-2022 tillsynsbegäran mail.docx", "A 60544-2022")</f>
        <v/>
      </c>
      <c r="Z160">
        <f>HYPERLINK("https://klasma.github.io/Logging_2321/fåglar/A 60544-2022 prioriterade fågelarter.docx", "A 60544-2022")</f>
        <v/>
      </c>
    </row>
    <row r="161" ht="15" customHeight="1">
      <c r="A161" t="inlineStr">
        <is>
          <t>A 60435-2022</t>
        </is>
      </c>
      <c r="B161" s="1" t="n">
        <v>44911</v>
      </c>
      <c r="C161" s="1" t="n">
        <v>45361</v>
      </c>
      <c r="D161" t="inlineStr">
        <is>
          <t>JÄMTLANDS LÄN</t>
        </is>
      </c>
      <c r="E161" t="inlineStr">
        <is>
          <t>ÅRE</t>
        </is>
      </c>
      <c r="F161" t="inlineStr">
        <is>
          <t>Övriga Aktiebolag</t>
        </is>
      </c>
      <c r="G161" t="n">
        <v>7.9</v>
      </c>
      <c r="H161" t="n">
        <v>0</v>
      </c>
      <c r="I161" t="n">
        <v>1</v>
      </c>
      <c r="J161" t="n">
        <v>0</v>
      </c>
      <c r="K161" t="n">
        <v>0</v>
      </c>
      <c r="L161" t="n">
        <v>0</v>
      </c>
      <c r="M161" t="n">
        <v>0</v>
      </c>
      <c r="N161" t="n">
        <v>0</v>
      </c>
      <c r="O161" t="n">
        <v>0</v>
      </c>
      <c r="P161" t="n">
        <v>0</v>
      </c>
      <c r="Q161" t="n">
        <v>1</v>
      </c>
      <c r="R161" s="2" t="inlineStr">
        <is>
          <t>Kransrams</t>
        </is>
      </c>
      <c r="S161">
        <f>HYPERLINK("https://klasma.github.io/Logging_2321/artfynd/A 60435-2022 artfynd.xlsx", "A 60435-2022")</f>
        <v/>
      </c>
      <c r="T161">
        <f>HYPERLINK("https://klasma.github.io/Logging_2321/kartor/A 60435-2022 karta.png", "A 60435-2022")</f>
        <v/>
      </c>
      <c r="V161">
        <f>HYPERLINK("https://klasma.github.io/Logging_2321/klagomål/A 60435-2022 FSC-klagomål.docx", "A 60435-2022")</f>
        <v/>
      </c>
      <c r="W161">
        <f>HYPERLINK("https://klasma.github.io/Logging_2321/klagomålsmail/A 60435-2022 FSC-klagomål mail.docx", "A 60435-2022")</f>
        <v/>
      </c>
      <c r="X161">
        <f>HYPERLINK("https://klasma.github.io/Logging_2321/tillsyn/A 60435-2022 tillsynsbegäran.docx", "A 60435-2022")</f>
        <v/>
      </c>
      <c r="Y161">
        <f>HYPERLINK("https://klasma.github.io/Logging_2321/tillsynsmail/A 60435-2022 tillsynsbegäran mail.docx", "A 60435-2022")</f>
        <v/>
      </c>
    </row>
    <row r="162" ht="15" customHeight="1">
      <c r="A162" t="inlineStr">
        <is>
          <t>A 5480-2023</t>
        </is>
      </c>
      <c r="B162" s="1" t="n">
        <v>44957</v>
      </c>
      <c r="C162" s="1" t="n">
        <v>45361</v>
      </c>
      <c r="D162" t="inlineStr">
        <is>
          <t>JÄMTLANDS LÄN</t>
        </is>
      </c>
      <c r="E162" t="inlineStr">
        <is>
          <t>ÅRE</t>
        </is>
      </c>
      <c r="G162" t="n">
        <v>3.3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5480-2023 artfynd.xlsx", "A 5480-2023")</f>
        <v/>
      </c>
      <c r="T162">
        <f>HYPERLINK("https://klasma.github.io/Logging_2321/kartor/A 5480-2023 karta.png", "A 5480-2023")</f>
        <v/>
      </c>
      <c r="V162">
        <f>HYPERLINK("https://klasma.github.io/Logging_2321/klagomål/A 5480-2023 FSC-klagomål.docx", "A 5480-2023")</f>
        <v/>
      </c>
      <c r="W162">
        <f>HYPERLINK("https://klasma.github.io/Logging_2321/klagomålsmail/A 5480-2023 FSC-klagomål mail.docx", "A 5480-2023")</f>
        <v/>
      </c>
      <c r="X162">
        <f>HYPERLINK("https://klasma.github.io/Logging_2321/tillsyn/A 5480-2023 tillsynsbegäran.docx", "A 5480-2023")</f>
        <v/>
      </c>
      <c r="Y162">
        <f>HYPERLINK("https://klasma.github.io/Logging_2321/tillsynsmail/A 5480-2023 tillsynsbegäran mail.docx", "A 5480-2023")</f>
        <v/>
      </c>
      <c r="Z162">
        <f>HYPERLINK("https://klasma.github.io/Logging_2321/fåglar/A 5480-2023 prioriterade fågelarter.docx", "A 5480-2023")</f>
        <v/>
      </c>
    </row>
    <row r="163" ht="15" customHeight="1">
      <c r="A163" t="inlineStr">
        <is>
          <t>A 10632-2023</t>
        </is>
      </c>
      <c r="B163" s="1" t="n">
        <v>44984</v>
      </c>
      <c r="C163" s="1" t="n">
        <v>45361</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41405-2023</t>
        </is>
      </c>
      <c r="B164" s="1" t="n">
        <v>45174</v>
      </c>
      <c r="C164" s="1" t="n">
        <v>45361</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Ögonpyrola</t>
        </is>
      </c>
      <c r="S164">
        <f>HYPERLINK("https://klasma.github.io/Logging_2321/artfynd/A 41405-2023 artfynd.xlsx", "A 41405-2023")</f>
        <v/>
      </c>
      <c r="T164">
        <f>HYPERLINK("https://klasma.github.io/Logging_2321/kartor/A 41405-2023 karta.png", "A 41405-2023")</f>
        <v/>
      </c>
      <c r="V164">
        <f>HYPERLINK("https://klasma.github.io/Logging_2321/klagomål/A 41405-2023 FSC-klagomål.docx", "A 41405-2023")</f>
        <v/>
      </c>
      <c r="W164">
        <f>HYPERLINK("https://klasma.github.io/Logging_2321/klagomålsmail/A 41405-2023 FSC-klagomål mail.docx", "A 41405-2023")</f>
        <v/>
      </c>
      <c r="X164">
        <f>HYPERLINK("https://klasma.github.io/Logging_2321/tillsyn/A 41405-2023 tillsynsbegäran.docx", "A 41405-2023")</f>
        <v/>
      </c>
      <c r="Y164">
        <f>HYPERLINK("https://klasma.github.io/Logging_2321/tillsynsmail/A 41405-2023 tillsynsbegäran mail.docx", "A 41405-2023")</f>
        <v/>
      </c>
    </row>
    <row r="165" ht="15" customHeight="1">
      <c r="A165" t="inlineStr">
        <is>
          <t>A 55105-2023</t>
        </is>
      </c>
      <c r="B165" s="1" t="n">
        <v>45237</v>
      </c>
      <c r="C165" s="1" t="n">
        <v>45361</v>
      </c>
      <c r="D165" t="inlineStr">
        <is>
          <t>JÄMTLANDS LÄN</t>
        </is>
      </c>
      <c r="E165" t="inlineStr">
        <is>
          <t>ÅRE</t>
        </is>
      </c>
      <c r="G165" t="n">
        <v>15.8</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55105-2023 artfynd.xlsx", "A 55105-2023")</f>
        <v/>
      </c>
      <c r="T165">
        <f>HYPERLINK("https://klasma.github.io/Logging_2321/kartor/A 55105-2023 karta.png", "A 55105-2023")</f>
        <v/>
      </c>
      <c r="V165">
        <f>HYPERLINK("https://klasma.github.io/Logging_2321/klagomål/A 55105-2023 FSC-klagomål.docx", "A 55105-2023")</f>
        <v/>
      </c>
      <c r="W165">
        <f>HYPERLINK("https://klasma.github.io/Logging_2321/klagomålsmail/A 55105-2023 FSC-klagomål mail.docx", "A 55105-2023")</f>
        <v/>
      </c>
      <c r="X165">
        <f>HYPERLINK("https://klasma.github.io/Logging_2321/tillsyn/A 55105-2023 tillsynsbegäran.docx", "A 55105-2023")</f>
        <v/>
      </c>
      <c r="Y165">
        <f>HYPERLINK("https://klasma.github.io/Logging_2321/tillsynsmail/A 55105-2023 tillsynsbegäran mail.docx", "A 55105-2023")</f>
        <v/>
      </c>
      <c r="Z165">
        <f>HYPERLINK("https://klasma.github.io/Logging_2321/fåglar/A 55105-2023 prioriterade fågelarter.docx", "A 55105-2023")</f>
        <v/>
      </c>
    </row>
    <row r="166" ht="15" customHeight="1">
      <c r="A166" t="inlineStr">
        <is>
          <t>A 59402-2023</t>
        </is>
      </c>
      <c r="B166" s="1" t="n">
        <v>45253</v>
      </c>
      <c r="C166" s="1" t="n">
        <v>45361</v>
      </c>
      <c r="D166" t="inlineStr">
        <is>
          <t>JÄMTLANDS LÄN</t>
        </is>
      </c>
      <c r="E166" t="inlineStr">
        <is>
          <t>ÅRE</t>
        </is>
      </c>
      <c r="G166" t="n">
        <v>2.3</v>
      </c>
      <c r="H166" t="n">
        <v>0</v>
      </c>
      <c r="I166" t="n">
        <v>0</v>
      </c>
      <c r="J166" t="n">
        <v>1</v>
      </c>
      <c r="K166" t="n">
        <v>0</v>
      </c>
      <c r="L166" t="n">
        <v>0</v>
      </c>
      <c r="M166" t="n">
        <v>0</v>
      </c>
      <c r="N166" t="n">
        <v>0</v>
      </c>
      <c r="O166" t="n">
        <v>1</v>
      </c>
      <c r="P166" t="n">
        <v>0</v>
      </c>
      <c r="Q166" t="n">
        <v>1</v>
      </c>
      <c r="R166" s="2" t="inlineStr">
        <is>
          <t>Garnlav</t>
        </is>
      </c>
      <c r="S166">
        <f>HYPERLINK("https://klasma.github.io/Logging_2321/artfynd/A 59402-2023 artfynd.xlsx", "A 59402-2023")</f>
        <v/>
      </c>
      <c r="T166">
        <f>HYPERLINK("https://klasma.github.io/Logging_2321/kartor/A 59402-2023 karta.png", "A 59402-2023")</f>
        <v/>
      </c>
      <c r="V166">
        <f>HYPERLINK("https://klasma.github.io/Logging_2321/klagomål/A 59402-2023 FSC-klagomål.docx", "A 59402-2023")</f>
        <v/>
      </c>
      <c r="W166">
        <f>HYPERLINK("https://klasma.github.io/Logging_2321/klagomålsmail/A 59402-2023 FSC-klagomål mail.docx", "A 59402-2023")</f>
        <v/>
      </c>
      <c r="X166">
        <f>HYPERLINK("https://klasma.github.io/Logging_2321/tillsyn/A 59402-2023 tillsynsbegäran.docx", "A 59402-2023")</f>
        <v/>
      </c>
      <c r="Y166">
        <f>HYPERLINK("https://klasma.github.io/Logging_2321/tillsynsmail/A 59402-2023 tillsynsbegäran mail.docx", "A 59402-2023")</f>
        <v/>
      </c>
    </row>
    <row r="167" ht="15" customHeight="1">
      <c r="A167" t="inlineStr">
        <is>
          <t>A 61471-2023</t>
        </is>
      </c>
      <c r="B167" s="1" t="n">
        <v>45264</v>
      </c>
      <c r="C167" s="1" t="n">
        <v>45361</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64026-2023</t>
        </is>
      </c>
      <c r="B168" s="1" t="n">
        <v>45278</v>
      </c>
      <c r="C168" s="1" t="n">
        <v>45361</v>
      </c>
      <c r="D168" t="inlineStr">
        <is>
          <t>JÄMTLANDS LÄN</t>
        </is>
      </c>
      <c r="E168" t="inlineStr">
        <is>
          <t>ÅRE</t>
        </is>
      </c>
      <c r="F168" t="inlineStr">
        <is>
          <t>Övriga Aktiebolag</t>
        </is>
      </c>
      <c r="G168" t="n">
        <v>9.800000000000001</v>
      </c>
      <c r="H168" t="n">
        <v>0</v>
      </c>
      <c r="I168" t="n">
        <v>1</v>
      </c>
      <c r="J168" t="n">
        <v>0</v>
      </c>
      <c r="K168" t="n">
        <v>0</v>
      </c>
      <c r="L168" t="n">
        <v>0</v>
      </c>
      <c r="M168" t="n">
        <v>0</v>
      </c>
      <c r="N168" t="n">
        <v>0</v>
      </c>
      <c r="O168" t="n">
        <v>0</v>
      </c>
      <c r="P168" t="n">
        <v>0</v>
      </c>
      <c r="Q168" t="n">
        <v>1</v>
      </c>
      <c r="R168" s="2" t="inlineStr">
        <is>
          <t>Svavelriska</t>
        </is>
      </c>
      <c r="S168">
        <f>HYPERLINK("https://klasma.github.io/Logging_2321/artfynd/A 64026-2023 artfynd.xlsx", "A 64026-2023")</f>
        <v/>
      </c>
      <c r="T168">
        <f>HYPERLINK("https://klasma.github.io/Logging_2321/kartor/A 64026-2023 karta.png", "A 64026-2023")</f>
        <v/>
      </c>
      <c r="V168">
        <f>HYPERLINK("https://klasma.github.io/Logging_2321/klagomål/A 64026-2023 FSC-klagomål.docx", "A 64026-2023")</f>
        <v/>
      </c>
      <c r="W168">
        <f>HYPERLINK("https://klasma.github.io/Logging_2321/klagomålsmail/A 64026-2023 FSC-klagomål mail.docx", "A 64026-2023")</f>
        <v/>
      </c>
      <c r="X168">
        <f>HYPERLINK("https://klasma.github.io/Logging_2321/tillsyn/A 64026-2023 tillsynsbegäran.docx", "A 64026-2023")</f>
        <v/>
      </c>
      <c r="Y168">
        <f>HYPERLINK("https://klasma.github.io/Logging_2321/tillsynsmail/A 64026-2023 tillsynsbegäran mail.docx", "A 64026-2023")</f>
        <v/>
      </c>
    </row>
    <row r="169" ht="15" customHeight="1">
      <c r="A169" t="inlineStr">
        <is>
          <t>A 36231-2018</t>
        </is>
      </c>
      <c r="B169" s="1" t="n">
        <v>43328</v>
      </c>
      <c r="C169" s="1" t="n">
        <v>45361</v>
      </c>
      <c r="D169" t="inlineStr">
        <is>
          <t>JÄMTLANDS LÄN</t>
        </is>
      </c>
      <c r="E169" t="inlineStr">
        <is>
          <t>ÅRE</t>
        </is>
      </c>
      <c r="G169" t="n">
        <v>7.1</v>
      </c>
      <c r="H169" t="n">
        <v>0</v>
      </c>
      <c r="I169" t="n">
        <v>0</v>
      </c>
      <c r="J169" t="n">
        <v>0</v>
      </c>
      <c r="K169" t="n">
        <v>0</v>
      </c>
      <c r="L169" t="n">
        <v>0</v>
      </c>
      <c r="M169" t="n">
        <v>0</v>
      </c>
      <c r="N169" t="n">
        <v>0</v>
      </c>
      <c r="O169" t="n">
        <v>0</v>
      </c>
      <c r="P169" t="n">
        <v>0</v>
      </c>
      <c r="Q169" t="n">
        <v>0</v>
      </c>
      <c r="R169" s="2" t="inlineStr"/>
    </row>
    <row r="170" ht="15" customHeight="1">
      <c r="A170" t="inlineStr">
        <is>
          <t>A 43244-2018</t>
        </is>
      </c>
      <c r="B170" s="1" t="n">
        <v>43353</v>
      </c>
      <c r="C170" s="1" t="n">
        <v>45361</v>
      </c>
      <c r="D170" t="inlineStr">
        <is>
          <t>JÄMTLANDS LÄN</t>
        </is>
      </c>
      <c r="E170" t="inlineStr">
        <is>
          <t>ÅRE</t>
        </is>
      </c>
      <c r="F170" t="inlineStr">
        <is>
          <t>Övriga statliga verk och myndigheter</t>
        </is>
      </c>
      <c r="G170" t="n">
        <v>12.9</v>
      </c>
      <c r="H170" t="n">
        <v>0</v>
      </c>
      <c r="I170" t="n">
        <v>0</v>
      </c>
      <c r="J170" t="n">
        <v>0</v>
      </c>
      <c r="K170" t="n">
        <v>0</v>
      </c>
      <c r="L170" t="n">
        <v>0</v>
      </c>
      <c r="M170" t="n">
        <v>0</v>
      </c>
      <c r="N170" t="n">
        <v>0</v>
      </c>
      <c r="O170" t="n">
        <v>0</v>
      </c>
      <c r="P170" t="n">
        <v>0</v>
      </c>
      <c r="Q170" t="n">
        <v>0</v>
      </c>
      <c r="R170" s="2" t="inlineStr"/>
    </row>
    <row r="171" ht="15" customHeight="1">
      <c r="A171" t="inlineStr">
        <is>
          <t>A 44507-2018</t>
        </is>
      </c>
      <c r="B171" s="1" t="n">
        <v>43355</v>
      </c>
      <c r="C171" s="1" t="n">
        <v>45361</v>
      </c>
      <c r="D171" t="inlineStr">
        <is>
          <t>JÄMTLANDS LÄN</t>
        </is>
      </c>
      <c r="E171" t="inlineStr">
        <is>
          <t>ÅRE</t>
        </is>
      </c>
      <c r="G171" t="n">
        <v>7.2</v>
      </c>
      <c r="H171" t="n">
        <v>0</v>
      </c>
      <c r="I171" t="n">
        <v>0</v>
      </c>
      <c r="J171" t="n">
        <v>0</v>
      </c>
      <c r="K171" t="n">
        <v>0</v>
      </c>
      <c r="L171" t="n">
        <v>0</v>
      </c>
      <c r="M171" t="n">
        <v>0</v>
      </c>
      <c r="N171" t="n">
        <v>0</v>
      </c>
      <c r="O171" t="n">
        <v>0</v>
      </c>
      <c r="P171" t="n">
        <v>0</v>
      </c>
      <c r="Q171" t="n">
        <v>0</v>
      </c>
      <c r="R171" s="2" t="inlineStr"/>
    </row>
    <row r="172" ht="15" customHeight="1">
      <c r="A172" t="inlineStr">
        <is>
          <t>A 44558-2018</t>
        </is>
      </c>
      <c r="B172" s="1" t="n">
        <v>43355</v>
      </c>
      <c r="C172" s="1" t="n">
        <v>45361</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43661-2018</t>
        </is>
      </c>
      <c r="B173" s="1" t="n">
        <v>43357</v>
      </c>
      <c r="C173" s="1" t="n">
        <v>45361</v>
      </c>
      <c r="D173" t="inlineStr">
        <is>
          <t>JÄMTLANDS LÄN</t>
        </is>
      </c>
      <c r="E173" t="inlineStr">
        <is>
          <t>ÅRE</t>
        </is>
      </c>
      <c r="F173" t="inlineStr">
        <is>
          <t>Övriga Aktiebolag</t>
        </is>
      </c>
      <c r="G173" t="n">
        <v>21.3</v>
      </c>
      <c r="H173" t="n">
        <v>0</v>
      </c>
      <c r="I173" t="n">
        <v>0</v>
      </c>
      <c r="J173" t="n">
        <v>0</v>
      </c>
      <c r="K173" t="n">
        <v>0</v>
      </c>
      <c r="L173" t="n">
        <v>0</v>
      </c>
      <c r="M173" t="n">
        <v>0</v>
      </c>
      <c r="N173" t="n">
        <v>0</v>
      </c>
      <c r="O173" t="n">
        <v>0</v>
      </c>
      <c r="P173" t="n">
        <v>0</v>
      </c>
      <c r="Q173" t="n">
        <v>0</v>
      </c>
      <c r="R173" s="2" t="inlineStr"/>
    </row>
    <row r="174" ht="15" customHeight="1">
      <c r="A174" t="inlineStr">
        <is>
          <t>A 46640-2018</t>
        </is>
      </c>
      <c r="B174" s="1" t="n">
        <v>43368</v>
      </c>
      <c r="C174" s="1" t="n">
        <v>45361</v>
      </c>
      <c r="D174" t="inlineStr">
        <is>
          <t>JÄMTLANDS LÄN</t>
        </is>
      </c>
      <c r="E174" t="inlineStr">
        <is>
          <t>ÅRE</t>
        </is>
      </c>
      <c r="G174" t="n">
        <v>1.8</v>
      </c>
      <c r="H174" t="n">
        <v>0</v>
      </c>
      <c r="I174" t="n">
        <v>0</v>
      </c>
      <c r="J174" t="n">
        <v>0</v>
      </c>
      <c r="K174" t="n">
        <v>0</v>
      </c>
      <c r="L174" t="n">
        <v>0</v>
      </c>
      <c r="M174" t="n">
        <v>0</v>
      </c>
      <c r="N174" t="n">
        <v>0</v>
      </c>
      <c r="O174" t="n">
        <v>0</v>
      </c>
      <c r="P174" t="n">
        <v>0</v>
      </c>
      <c r="Q174" t="n">
        <v>0</v>
      </c>
      <c r="R174" s="2" t="inlineStr"/>
    </row>
    <row r="175" ht="15" customHeight="1">
      <c r="A175" t="inlineStr">
        <is>
          <t>A 47303-2018</t>
        </is>
      </c>
      <c r="B175" s="1" t="n">
        <v>43369</v>
      </c>
      <c r="C175" s="1" t="n">
        <v>45361</v>
      </c>
      <c r="D175" t="inlineStr">
        <is>
          <t>JÄMTLANDS LÄN</t>
        </is>
      </c>
      <c r="E175" t="inlineStr">
        <is>
          <t>ÅRE</t>
        </is>
      </c>
      <c r="G175" t="n">
        <v>14.5</v>
      </c>
      <c r="H175" t="n">
        <v>0</v>
      </c>
      <c r="I175" t="n">
        <v>0</v>
      </c>
      <c r="J175" t="n">
        <v>0</v>
      </c>
      <c r="K175" t="n">
        <v>0</v>
      </c>
      <c r="L175" t="n">
        <v>0</v>
      </c>
      <c r="M175" t="n">
        <v>0</v>
      </c>
      <c r="N175" t="n">
        <v>0</v>
      </c>
      <c r="O175" t="n">
        <v>0</v>
      </c>
      <c r="P175" t="n">
        <v>0</v>
      </c>
      <c r="Q175" t="n">
        <v>0</v>
      </c>
      <c r="R175" s="2" t="inlineStr"/>
    </row>
    <row r="176" ht="15" customHeight="1">
      <c r="A176" t="inlineStr">
        <is>
          <t>A 50928-2018</t>
        </is>
      </c>
      <c r="B176" s="1" t="n">
        <v>43375</v>
      </c>
      <c r="C176" s="1" t="n">
        <v>45361</v>
      </c>
      <c r="D176" t="inlineStr">
        <is>
          <t>JÄMTLANDS LÄN</t>
        </is>
      </c>
      <c r="E176" t="inlineStr">
        <is>
          <t>ÅRE</t>
        </is>
      </c>
      <c r="G176" t="n">
        <v>8.6</v>
      </c>
      <c r="H176" t="n">
        <v>0</v>
      </c>
      <c r="I176" t="n">
        <v>0</v>
      </c>
      <c r="J176" t="n">
        <v>0</v>
      </c>
      <c r="K176" t="n">
        <v>0</v>
      </c>
      <c r="L176" t="n">
        <v>0</v>
      </c>
      <c r="M176" t="n">
        <v>0</v>
      </c>
      <c r="N176" t="n">
        <v>0</v>
      </c>
      <c r="O176" t="n">
        <v>0</v>
      </c>
      <c r="P176" t="n">
        <v>0</v>
      </c>
      <c r="Q176" t="n">
        <v>0</v>
      </c>
      <c r="R176" s="2" t="inlineStr"/>
    </row>
    <row r="177" ht="15" customHeight="1">
      <c r="A177" t="inlineStr">
        <is>
          <t>A 51383-2018</t>
        </is>
      </c>
      <c r="B177" s="1" t="n">
        <v>43383</v>
      </c>
      <c r="C177" s="1" t="n">
        <v>45361</v>
      </c>
      <c r="D177" t="inlineStr">
        <is>
          <t>JÄMTLANDS LÄN</t>
        </is>
      </c>
      <c r="E177" t="inlineStr">
        <is>
          <t>ÅRE</t>
        </is>
      </c>
      <c r="G177" t="n">
        <v>1.9</v>
      </c>
      <c r="H177" t="n">
        <v>0</v>
      </c>
      <c r="I177" t="n">
        <v>0</v>
      </c>
      <c r="J177" t="n">
        <v>0</v>
      </c>
      <c r="K177" t="n">
        <v>0</v>
      </c>
      <c r="L177" t="n">
        <v>0</v>
      </c>
      <c r="M177" t="n">
        <v>0</v>
      </c>
      <c r="N177" t="n">
        <v>0</v>
      </c>
      <c r="O177" t="n">
        <v>0</v>
      </c>
      <c r="P177" t="n">
        <v>0</v>
      </c>
      <c r="Q177" t="n">
        <v>0</v>
      </c>
      <c r="R177" s="2" t="inlineStr"/>
    </row>
    <row r="178" ht="15" customHeight="1">
      <c r="A178" t="inlineStr">
        <is>
          <t>A 52842-2018</t>
        </is>
      </c>
      <c r="B178" s="1" t="n">
        <v>43384</v>
      </c>
      <c r="C178" s="1" t="n">
        <v>45361</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52573-2018</t>
        </is>
      </c>
      <c r="B179" s="1" t="n">
        <v>43388</v>
      </c>
      <c r="C179" s="1" t="n">
        <v>45361</v>
      </c>
      <c r="D179" t="inlineStr">
        <is>
          <t>JÄMTLANDS LÄN</t>
        </is>
      </c>
      <c r="E179" t="inlineStr">
        <is>
          <t>ÅRE</t>
        </is>
      </c>
      <c r="G179" t="n">
        <v>4.4</v>
      </c>
      <c r="H179" t="n">
        <v>0</v>
      </c>
      <c r="I179" t="n">
        <v>0</v>
      </c>
      <c r="J179" t="n">
        <v>0</v>
      </c>
      <c r="K179" t="n">
        <v>0</v>
      </c>
      <c r="L179" t="n">
        <v>0</v>
      </c>
      <c r="M179" t="n">
        <v>0</v>
      </c>
      <c r="N179" t="n">
        <v>0</v>
      </c>
      <c r="O179" t="n">
        <v>0</v>
      </c>
      <c r="P179" t="n">
        <v>0</v>
      </c>
      <c r="Q179" t="n">
        <v>0</v>
      </c>
      <c r="R179" s="2" t="inlineStr"/>
    </row>
    <row r="180" ht="15" customHeight="1">
      <c r="A180" t="inlineStr">
        <is>
          <t>A 52615-2018</t>
        </is>
      </c>
      <c r="B180" s="1" t="n">
        <v>43389</v>
      </c>
      <c r="C180" s="1" t="n">
        <v>45361</v>
      </c>
      <c r="D180" t="inlineStr">
        <is>
          <t>JÄMTLANDS LÄN</t>
        </is>
      </c>
      <c r="E180" t="inlineStr">
        <is>
          <t>ÅRE</t>
        </is>
      </c>
      <c r="F180" t="inlineStr">
        <is>
          <t>Övriga Aktiebolag</t>
        </is>
      </c>
      <c r="G180" t="n">
        <v>65.90000000000001</v>
      </c>
      <c r="H180" t="n">
        <v>0</v>
      </c>
      <c r="I180" t="n">
        <v>0</v>
      </c>
      <c r="J180" t="n">
        <v>0</v>
      </c>
      <c r="K180" t="n">
        <v>0</v>
      </c>
      <c r="L180" t="n">
        <v>0</v>
      </c>
      <c r="M180" t="n">
        <v>0</v>
      </c>
      <c r="N180" t="n">
        <v>0</v>
      </c>
      <c r="O180" t="n">
        <v>0</v>
      </c>
      <c r="P180" t="n">
        <v>0</v>
      </c>
      <c r="Q180" t="n">
        <v>0</v>
      </c>
      <c r="R180" s="2" t="inlineStr"/>
    </row>
    <row r="181" ht="15" customHeight="1">
      <c r="A181" t="inlineStr">
        <is>
          <t>A 53430-2018</t>
        </is>
      </c>
      <c r="B181" s="1" t="n">
        <v>43391</v>
      </c>
      <c r="C181" s="1" t="n">
        <v>45361</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54859-2018</t>
        </is>
      </c>
      <c r="B182" s="1" t="n">
        <v>43396</v>
      </c>
      <c r="C182" s="1" t="n">
        <v>45361</v>
      </c>
      <c r="D182" t="inlineStr">
        <is>
          <t>JÄMTLANDS LÄN</t>
        </is>
      </c>
      <c r="E182" t="inlineStr">
        <is>
          <t>ÅRE</t>
        </is>
      </c>
      <c r="G182" t="n">
        <v>2.1</v>
      </c>
      <c r="H182" t="n">
        <v>0</v>
      </c>
      <c r="I182" t="n">
        <v>0</v>
      </c>
      <c r="J182" t="n">
        <v>0</v>
      </c>
      <c r="K182" t="n">
        <v>0</v>
      </c>
      <c r="L182" t="n">
        <v>0</v>
      </c>
      <c r="M182" t="n">
        <v>0</v>
      </c>
      <c r="N182" t="n">
        <v>0</v>
      </c>
      <c r="O182" t="n">
        <v>0</v>
      </c>
      <c r="P182" t="n">
        <v>0</v>
      </c>
      <c r="Q182" t="n">
        <v>0</v>
      </c>
      <c r="R182" s="2" t="inlineStr"/>
    </row>
    <row r="183" ht="15" customHeight="1">
      <c r="A183" t="inlineStr">
        <is>
          <t>A 57752-2018</t>
        </is>
      </c>
      <c r="B183" s="1" t="n">
        <v>43397</v>
      </c>
      <c r="C183" s="1" t="n">
        <v>45361</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56780-2018</t>
        </is>
      </c>
      <c r="B184" s="1" t="n">
        <v>43402</v>
      </c>
      <c r="C184" s="1" t="n">
        <v>45361</v>
      </c>
      <c r="D184" t="inlineStr">
        <is>
          <t>JÄMTLANDS LÄN</t>
        </is>
      </c>
      <c r="E184" t="inlineStr">
        <is>
          <t>ÅRE</t>
        </is>
      </c>
      <c r="G184" t="n">
        <v>45.1</v>
      </c>
      <c r="H184" t="n">
        <v>0</v>
      </c>
      <c r="I184" t="n">
        <v>0</v>
      </c>
      <c r="J184" t="n">
        <v>0</v>
      </c>
      <c r="K184" t="n">
        <v>0</v>
      </c>
      <c r="L184" t="n">
        <v>0</v>
      </c>
      <c r="M184" t="n">
        <v>0</v>
      </c>
      <c r="N184" t="n">
        <v>0</v>
      </c>
      <c r="O184" t="n">
        <v>0</v>
      </c>
      <c r="P184" t="n">
        <v>0</v>
      </c>
      <c r="Q184" t="n">
        <v>0</v>
      </c>
      <c r="R184" s="2" t="inlineStr"/>
    </row>
    <row r="185" ht="15" customHeight="1">
      <c r="A185" t="inlineStr">
        <is>
          <t>A 61015-2018</t>
        </is>
      </c>
      <c r="B185" s="1" t="n">
        <v>43423</v>
      </c>
      <c r="C185" s="1" t="n">
        <v>45361</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61054-2018</t>
        </is>
      </c>
      <c r="B186" s="1" t="n">
        <v>43423</v>
      </c>
      <c r="C186" s="1" t="n">
        <v>45361</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61002-2018</t>
        </is>
      </c>
      <c r="B187" s="1" t="n">
        <v>43423</v>
      </c>
      <c r="C187" s="1" t="n">
        <v>45361</v>
      </c>
      <c r="D187" t="inlineStr">
        <is>
          <t>JÄMTLANDS LÄN</t>
        </is>
      </c>
      <c r="E187" t="inlineStr">
        <is>
          <t>ÅRE</t>
        </is>
      </c>
      <c r="G187" t="n">
        <v>3.5</v>
      </c>
      <c r="H187" t="n">
        <v>0</v>
      </c>
      <c r="I187" t="n">
        <v>0</v>
      </c>
      <c r="J187" t="n">
        <v>0</v>
      </c>
      <c r="K187" t="n">
        <v>0</v>
      </c>
      <c r="L187" t="n">
        <v>0</v>
      </c>
      <c r="M187" t="n">
        <v>0</v>
      </c>
      <c r="N187" t="n">
        <v>0</v>
      </c>
      <c r="O187" t="n">
        <v>0</v>
      </c>
      <c r="P187" t="n">
        <v>0</v>
      </c>
      <c r="Q187" t="n">
        <v>0</v>
      </c>
      <c r="R187" s="2" t="inlineStr"/>
    </row>
    <row r="188" ht="15" customHeight="1">
      <c r="A188" t="inlineStr">
        <is>
          <t>A 61032-2018</t>
        </is>
      </c>
      <c r="B188" s="1" t="n">
        <v>43423</v>
      </c>
      <c r="C188" s="1" t="n">
        <v>45361</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61198-2018</t>
        </is>
      </c>
      <c r="B189" s="1" t="n">
        <v>43423</v>
      </c>
      <c r="C189" s="1" t="n">
        <v>45361</v>
      </c>
      <c r="D189" t="inlineStr">
        <is>
          <t>JÄMTLANDS LÄN</t>
        </is>
      </c>
      <c r="E189" t="inlineStr">
        <is>
          <t>ÅRE</t>
        </is>
      </c>
      <c r="G189" t="n">
        <v>4.2</v>
      </c>
      <c r="H189" t="n">
        <v>0</v>
      </c>
      <c r="I189" t="n">
        <v>0</v>
      </c>
      <c r="J189" t="n">
        <v>0</v>
      </c>
      <c r="K189" t="n">
        <v>0</v>
      </c>
      <c r="L189" t="n">
        <v>0</v>
      </c>
      <c r="M189" t="n">
        <v>0</v>
      </c>
      <c r="N189" t="n">
        <v>0</v>
      </c>
      <c r="O189" t="n">
        <v>0</v>
      </c>
      <c r="P189" t="n">
        <v>0</v>
      </c>
      <c r="Q189" t="n">
        <v>0</v>
      </c>
      <c r="R189" s="2" t="inlineStr"/>
    </row>
    <row r="190" ht="15" customHeight="1">
      <c r="A190" t="inlineStr">
        <is>
          <t>A 61062-2018</t>
        </is>
      </c>
      <c r="B190" s="1" t="n">
        <v>43423</v>
      </c>
      <c r="C190" s="1" t="n">
        <v>45361</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61508-2018</t>
        </is>
      </c>
      <c r="B191" s="1" t="n">
        <v>43424</v>
      </c>
      <c r="C191" s="1" t="n">
        <v>45361</v>
      </c>
      <c r="D191" t="inlineStr">
        <is>
          <t>JÄMTLANDS LÄN</t>
        </is>
      </c>
      <c r="E191" t="inlineStr">
        <is>
          <t>ÅRE</t>
        </is>
      </c>
      <c r="G191" t="n">
        <v>1.9</v>
      </c>
      <c r="H191" t="n">
        <v>0</v>
      </c>
      <c r="I191" t="n">
        <v>0</v>
      </c>
      <c r="J191" t="n">
        <v>0</v>
      </c>
      <c r="K191" t="n">
        <v>0</v>
      </c>
      <c r="L191" t="n">
        <v>0</v>
      </c>
      <c r="M191" t="n">
        <v>0</v>
      </c>
      <c r="N191" t="n">
        <v>0</v>
      </c>
      <c r="O191" t="n">
        <v>0</v>
      </c>
      <c r="P191" t="n">
        <v>0</v>
      </c>
      <c r="Q191" t="n">
        <v>0</v>
      </c>
      <c r="R191" s="2" t="inlineStr"/>
    </row>
    <row r="192" ht="15" customHeight="1">
      <c r="A192" t="inlineStr">
        <is>
          <t>A 61499-2018</t>
        </is>
      </c>
      <c r="B192" s="1" t="n">
        <v>43424</v>
      </c>
      <c r="C192" s="1" t="n">
        <v>45361</v>
      </c>
      <c r="D192" t="inlineStr">
        <is>
          <t>JÄMTLANDS LÄN</t>
        </is>
      </c>
      <c r="E192" t="inlineStr">
        <is>
          <t>ÅRE</t>
        </is>
      </c>
      <c r="G192" t="n">
        <v>20.6</v>
      </c>
      <c r="H192" t="n">
        <v>0</v>
      </c>
      <c r="I192" t="n">
        <v>0</v>
      </c>
      <c r="J192" t="n">
        <v>0</v>
      </c>
      <c r="K192" t="n">
        <v>0</v>
      </c>
      <c r="L192" t="n">
        <v>0</v>
      </c>
      <c r="M192" t="n">
        <v>0</v>
      </c>
      <c r="N192" t="n">
        <v>0</v>
      </c>
      <c r="O192" t="n">
        <v>0</v>
      </c>
      <c r="P192" t="n">
        <v>0</v>
      </c>
      <c r="Q192" t="n">
        <v>0</v>
      </c>
      <c r="R192" s="2" t="inlineStr"/>
    </row>
    <row r="193" ht="15" customHeight="1">
      <c r="A193" t="inlineStr">
        <is>
          <t>A 62167-2018</t>
        </is>
      </c>
      <c r="B193" s="1" t="n">
        <v>43425</v>
      </c>
      <c r="C193" s="1" t="n">
        <v>45361</v>
      </c>
      <c r="D193" t="inlineStr">
        <is>
          <t>JÄMTLANDS LÄN</t>
        </is>
      </c>
      <c r="E193" t="inlineStr">
        <is>
          <t>ÅRE</t>
        </is>
      </c>
      <c r="G193" t="n">
        <v>9</v>
      </c>
      <c r="H193" t="n">
        <v>0</v>
      </c>
      <c r="I193" t="n">
        <v>0</v>
      </c>
      <c r="J193" t="n">
        <v>0</v>
      </c>
      <c r="K193" t="n">
        <v>0</v>
      </c>
      <c r="L193" t="n">
        <v>0</v>
      </c>
      <c r="M193" t="n">
        <v>0</v>
      </c>
      <c r="N193" t="n">
        <v>0</v>
      </c>
      <c r="O193" t="n">
        <v>0</v>
      </c>
      <c r="P193" t="n">
        <v>0</v>
      </c>
      <c r="Q193" t="n">
        <v>0</v>
      </c>
      <c r="R193" s="2" t="inlineStr"/>
    </row>
    <row r="194" ht="15" customHeight="1">
      <c r="A194" t="inlineStr">
        <is>
          <t>A 61897-2018</t>
        </is>
      </c>
      <c r="B194" s="1" t="n">
        <v>43425</v>
      </c>
      <c r="C194" s="1" t="n">
        <v>45361</v>
      </c>
      <c r="D194" t="inlineStr">
        <is>
          <t>JÄMTLANDS LÄN</t>
        </is>
      </c>
      <c r="E194" t="inlineStr">
        <is>
          <t>ÅRE</t>
        </is>
      </c>
      <c r="G194" t="n">
        <v>2.5</v>
      </c>
      <c r="H194" t="n">
        <v>0</v>
      </c>
      <c r="I194" t="n">
        <v>0</v>
      </c>
      <c r="J194" t="n">
        <v>0</v>
      </c>
      <c r="K194" t="n">
        <v>0</v>
      </c>
      <c r="L194" t="n">
        <v>0</v>
      </c>
      <c r="M194" t="n">
        <v>0</v>
      </c>
      <c r="N194" t="n">
        <v>0</v>
      </c>
      <c r="O194" t="n">
        <v>0</v>
      </c>
      <c r="P194" t="n">
        <v>0</v>
      </c>
      <c r="Q194" t="n">
        <v>0</v>
      </c>
      <c r="R194" s="2" t="inlineStr"/>
    </row>
    <row r="195" ht="15" customHeight="1">
      <c r="A195" t="inlineStr">
        <is>
          <t>A 63724-2018</t>
        </is>
      </c>
      <c r="B195" s="1" t="n">
        <v>43428</v>
      </c>
      <c r="C195" s="1" t="n">
        <v>45361</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63720-2018</t>
        </is>
      </c>
      <c r="B196" s="1" t="n">
        <v>43428</v>
      </c>
      <c r="C196" s="1" t="n">
        <v>45361</v>
      </c>
      <c r="D196" t="inlineStr">
        <is>
          <t>JÄMTLANDS LÄN</t>
        </is>
      </c>
      <c r="E196" t="inlineStr">
        <is>
          <t>ÅRE</t>
        </is>
      </c>
      <c r="G196" t="n">
        <v>1.5</v>
      </c>
      <c r="H196" t="n">
        <v>0</v>
      </c>
      <c r="I196" t="n">
        <v>0</v>
      </c>
      <c r="J196" t="n">
        <v>0</v>
      </c>
      <c r="K196" t="n">
        <v>0</v>
      </c>
      <c r="L196" t="n">
        <v>0</v>
      </c>
      <c r="M196" t="n">
        <v>0</v>
      </c>
      <c r="N196" t="n">
        <v>0</v>
      </c>
      <c r="O196" t="n">
        <v>0</v>
      </c>
      <c r="P196" t="n">
        <v>0</v>
      </c>
      <c r="Q196" t="n">
        <v>0</v>
      </c>
      <c r="R196" s="2" t="inlineStr"/>
    </row>
    <row r="197" ht="15" customHeight="1">
      <c r="A197" t="inlineStr">
        <is>
          <t>A 63726-2018</t>
        </is>
      </c>
      <c r="B197" s="1" t="n">
        <v>43428</v>
      </c>
      <c r="C197" s="1" t="n">
        <v>45361</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63721-2018</t>
        </is>
      </c>
      <c r="B198" s="1" t="n">
        <v>43428</v>
      </c>
      <c r="C198" s="1" t="n">
        <v>45361</v>
      </c>
      <c r="D198" t="inlineStr">
        <is>
          <t>JÄMTLANDS LÄN</t>
        </is>
      </c>
      <c r="E198" t="inlineStr">
        <is>
          <t>ÅRE</t>
        </is>
      </c>
      <c r="G198" t="n">
        <v>1.3</v>
      </c>
      <c r="H198" t="n">
        <v>0</v>
      </c>
      <c r="I198" t="n">
        <v>0</v>
      </c>
      <c r="J198" t="n">
        <v>0</v>
      </c>
      <c r="K198" t="n">
        <v>0</v>
      </c>
      <c r="L198" t="n">
        <v>0</v>
      </c>
      <c r="M198" t="n">
        <v>0</v>
      </c>
      <c r="N198" t="n">
        <v>0</v>
      </c>
      <c r="O198" t="n">
        <v>0</v>
      </c>
      <c r="P198" t="n">
        <v>0</v>
      </c>
      <c r="Q198" t="n">
        <v>0</v>
      </c>
      <c r="R198" s="2" t="inlineStr"/>
    </row>
    <row r="199" ht="15" customHeight="1">
      <c r="A199" t="inlineStr">
        <is>
          <t>A 63725-2018</t>
        </is>
      </c>
      <c r="B199" s="1" t="n">
        <v>43428</v>
      </c>
      <c r="C199" s="1" t="n">
        <v>45361</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64630-2018</t>
        </is>
      </c>
      <c r="B200" s="1" t="n">
        <v>43431</v>
      </c>
      <c r="C200" s="1" t="n">
        <v>45361</v>
      </c>
      <c r="D200" t="inlineStr">
        <is>
          <t>JÄMTLANDS LÄN</t>
        </is>
      </c>
      <c r="E200" t="inlineStr">
        <is>
          <t>ÅRE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65264-2018</t>
        </is>
      </c>
      <c r="B201" s="1" t="n">
        <v>43432</v>
      </c>
      <c r="C201" s="1" t="n">
        <v>45361</v>
      </c>
      <c r="D201" t="inlineStr">
        <is>
          <t>JÄMTLANDS LÄN</t>
        </is>
      </c>
      <c r="E201" t="inlineStr">
        <is>
          <t>ÅRE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65243-2018</t>
        </is>
      </c>
      <c r="B202" s="1" t="n">
        <v>43432</v>
      </c>
      <c r="C202" s="1" t="n">
        <v>45361</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67305-2018</t>
        </is>
      </c>
      <c r="B203" s="1" t="n">
        <v>43439</v>
      </c>
      <c r="C203" s="1" t="n">
        <v>45361</v>
      </c>
      <c r="D203" t="inlineStr">
        <is>
          <t>JÄMTLANDS LÄN</t>
        </is>
      </c>
      <c r="E203" t="inlineStr">
        <is>
          <t>ÅRE</t>
        </is>
      </c>
      <c r="G203" t="n">
        <v>15.8</v>
      </c>
      <c r="H203" t="n">
        <v>0</v>
      </c>
      <c r="I203" t="n">
        <v>0</v>
      </c>
      <c r="J203" t="n">
        <v>0</v>
      </c>
      <c r="K203" t="n">
        <v>0</v>
      </c>
      <c r="L203" t="n">
        <v>0</v>
      </c>
      <c r="M203" t="n">
        <v>0</v>
      </c>
      <c r="N203" t="n">
        <v>0</v>
      </c>
      <c r="O203" t="n">
        <v>0</v>
      </c>
      <c r="P203" t="n">
        <v>0</v>
      </c>
      <c r="Q203" t="n">
        <v>0</v>
      </c>
      <c r="R203" s="2" t="inlineStr"/>
    </row>
    <row r="204" ht="15" customHeight="1">
      <c r="A204" t="inlineStr">
        <is>
          <t>A 68616-2018</t>
        </is>
      </c>
      <c r="B204" s="1" t="n">
        <v>43444</v>
      </c>
      <c r="C204" s="1" t="n">
        <v>45361</v>
      </c>
      <c r="D204" t="inlineStr">
        <is>
          <t>JÄMTLANDS LÄN</t>
        </is>
      </c>
      <c r="E204" t="inlineStr">
        <is>
          <t>ÅRE</t>
        </is>
      </c>
      <c r="G204" t="n">
        <v>4.2</v>
      </c>
      <c r="H204" t="n">
        <v>0</v>
      </c>
      <c r="I204" t="n">
        <v>0</v>
      </c>
      <c r="J204" t="n">
        <v>0</v>
      </c>
      <c r="K204" t="n">
        <v>0</v>
      </c>
      <c r="L204" t="n">
        <v>0</v>
      </c>
      <c r="M204" t="n">
        <v>0</v>
      </c>
      <c r="N204" t="n">
        <v>0</v>
      </c>
      <c r="O204" t="n">
        <v>0</v>
      </c>
      <c r="P204" t="n">
        <v>0</v>
      </c>
      <c r="Q204" t="n">
        <v>0</v>
      </c>
      <c r="R204" s="2" t="inlineStr"/>
    </row>
    <row r="205" ht="15" customHeight="1">
      <c r="A205" t="inlineStr">
        <is>
          <t>A 68659-2018</t>
        </is>
      </c>
      <c r="B205" s="1" t="n">
        <v>43444</v>
      </c>
      <c r="C205" s="1" t="n">
        <v>45361</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68655-2018</t>
        </is>
      </c>
      <c r="B206" s="1" t="n">
        <v>43444</v>
      </c>
      <c r="C206" s="1" t="n">
        <v>45361</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69427-2018</t>
        </is>
      </c>
      <c r="B207" s="1" t="n">
        <v>43446</v>
      </c>
      <c r="C207" s="1" t="n">
        <v>45361</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80-2019</t>
        </is>
      </c>
      <c r="B208" s="1" t="n">
        <v>43467</v>
      </c>
      <c r="C208" s="1" t="n">
        <v>45361</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250-2019</t>
        </is>
      </c>
      <c r="B209" s="1" t="n">
        <v>43468</v>
      </c>
      <c r="C209" s="1" t="n">
        <v>45361</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685-2019</t>
        </is>
      </c>
      <c r="B210" s="1" t="n">
        <v>43469</v>
      </c>
      <c r="C210" s="1" t="n">
        <v>45361</v>
      </c>
      <c r="D210" t="inlineStr">
        <is>
          <t>JÄMTLANDS LÄN</t>
        </is>
      </c>
      <c r="E210" t="inlineStr">
        <is>
          <t>ÅRE</t>
        </is>
      </c>
      <c r="G210" t="n">
        <v>4.5</v>
      </c>
      <c r="H210" t="n">
        <v>0</v>
      </c>
      <c r="I210" t="n">
        <v>0</v>
      </c>
      <c r="J210" t="n">
        <v>0</v>
      </c>
      <c r="K210" t="n">
        <v>0</v>
      </c>
      <c r="L210" t="n">
        <v>0</v>
      </c>
      <c r="M210" t="n">
        <v>0</v>
      </c>
      <c r="N210" t="n">
        <v>0</v>
      </c>
      <c r="O210" t="n">
        <v>0</v>
      </c>
      <c r="P210" t="n">
        <v>0</v>
      </c>
      <c r="Q210" t="n">
        <v>0</v>
      </c>
      <c r="R210" s="2" t="inlineStr"/>
    </row>
    <row r="211" ht="15" customHeight="1">
      <c r="A211" t="inlineStr">
        <is>
          <t>A 2126-2019</t>
        </is>
      </c>
      <c r="B211" s="1" t="n">
        <v>43475</v>
      </c>
      <c r="C211" s="1" t="n">
        <v>45361</v>
      </c>
      <c r="D211" t="inlineStr">
        <is>
          <t>JÄMTLANDS LÄN</t>
        </is>
      </c>
      <c r="E211" t="inlineStr">
        <is>
          <t>ÅRE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5930-2019</t>
        </is>
      </c>
      <c r="B212" s="1" t="n">
        <v>43490</v>
      </c>
      <c r="C212" s="1" t="n">
        <v>45361</v>
      </c>
      <c r="D212" t="inlineStr">
        <is>
          <t>JÄMTLANDS LÄN</t>
        </is>
      </c>
      <c r="E212" t="inlineStr">
        <is>
          <t>ÅRE</t>
        </is>
      </c>
      <c r="G212" t="n">
        <v>0.9</v>
      </c>
      <c r="H212" t="n">
        <v>0</v>
      </c>
      <c r="I212" t="n">
        <v>0</v>
      </c>
      <c r="J212" t="n">
        <v>0</v>
      </c>
      <c r="K212" t="n">
        <v>0</v>
      </c>
      <c r="L212" t="n">
        <v>0</v>
      </c>
      <c r="M212" t="n">
        <v>0</v>
      </c>
      <c r="N212" t="n">
        <v>0</v>
      </c>
      <c r="O212" t="n">
        <v>0</v>
      </c>
      <c r="P212" t="n">
        <v>0</v>
      </c>
      <c r="Q212" t="n">
        <v>0</v>
      </c>
      <c r="R212" s="2" t="inlineStr"/>
    </row>
    <row r="213" ht="15" customHeight="1">
      <c r="A213" t="inlineStr">
        <is>
          <t>A 5929-2019</t>
        </is>
      </c>
      <c r="B213" s="1" t="n">
        <v>43490</v>
      </c>
      <c r="C213" s="1" t="n">
        <v>45361</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5914-2019</t>
        </is>
      </c>
      <c r="B214" s="1" t="n">
        <v>43490</v>
      </c>
      <c r="C214" s="1" t="n">
        <v>45361</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8001-2019</t>
        </is>
      </c>
      <c r="B215" s="1" t="n">
        <v>43501</v>
      </c>
      <c r="C215" s="1" t="n">
        <v>45361</v>
      </c>
      <c r="D215" t="inlineStr">
        <is>
          <t>JÄMTLANDS LÄN</t>
        </is>
      </c>
      <c r="E215" t="inlineStr">
        <is>
          <t>ÅRE</t>
        </is>
      </c>
      <c r="G215" t="n">
        <v>20.3</v>
      </c>
      <c r="H215" t="n">
        <v>0</v>
      </c>
      <c r="I215" t="n">
        <v>0</v>
      </c>
      <c r="J215" t="n">
        <v>0</v>
      </c>
      <c r="K215" t="n">
        <v>0</v>
      </c>
      <c r="L215" t="n">
        <v>0</v>
      </c>
      <c r="M215" t="n">
        <v>0</v>
      </c>
      <c r="N215" t="n">
        <v>0</v>
      </c>
      <c r="O215" t="n">
        <v>0</v>
      </c>
      <c r="P215" t="n">
        <v>0</v>
      </c>
      <c r="Q215" t="n">
        <v>0</v>
      </c>
      <c r="R215" s="2" t="inlineStr"/>
    </row>
    <row r="216" ht="15" customHeight="1">
      <c r="A216" t="inlineStr">
        <is>
          <t>A 8006-2019</t>
        </is>
      </c>
      <c r="B216" s="1" t="n">
        <v>43501</v>
      </c>
      <c r="C216" s="1" t="n">
        <v>45361</v>
      </c>
      <c r="D216" t="inlineStr">
        <is>
          <t>JÄMTLANDS LÄN</t>
        </is>
      </c>
      <c r="E216" t="inlineStr">
        <is>
          <t>ÅRE</t>
        </is>
      </c>
      <c r="G216" t="n">
        <v>23.8</v>
      </c>
      <c r="H216" t="n">
        <v>0</v>
      </c>
      <c r="I216" t="n">
        <v>0</v>
      </c>
      <c r="J216" t="n">
        <v>0</v>
      </c>
      <c r="K216" t="n">
        <v>0</v>
      </c>
      <c r="L216" t="n">
        <v>0</v>
      </c>
      <c r="M216" t="n">
        <v>0</v>
      </c>
      <c r="N216" t="n">
        <v>0</v>
      </c>
      <c r="O216" t="n">
        <v>0</v>
      </c>
      <c r="P216" t="n">
        <v>0</v>
      </c>
      <c r="Q216" t="n">
        <v>0</v>
      </c>
      <c r="R216" s="2" t="inlineStr"/>
    </row>
    <row r="217" ht="15" customHeight="1">
      <c r="A217" t="inlineStr">
        <is>
          <t>A 8931-2019</t>
        </is>
      </c>
      <c r="B217" s="1" t="n">
        <v>43503</v>
      </c>
      <c r="C217" s="1" t="n">
        <v>45361</v>
      </c>
      <c r="D217" t="inlineStr">
        <is>
          <t>JÄMTLANDS LÄN</t>
        </is>
      </c>
      <c r="E217" t="inlineStr">
        <is>
          <t>ÅRE</t>
        </is>
      </c>
      <c r="G217" t="n">
        <v>7.7</v>
      </c>
      <c r="H217" t="n">
        <v>0</v>
      </c>
      <c r="I217" t="n">
        <v>0</v>
      </c>
      <c r="J217" t="n">
        <v>0</v>
      </c>
      <c r="K217" t="n">
        <v>0</v>
      </c>
      <c r="L217" t="n">
        <v>0</v>
      </c>
      <c r="M217" t="n">
        <v>0</v>
      </c>
      <c r="N217" t="n">
        <v>0</v>
      </c>
      <c r="O217" t="n">
        <v>0</v>
      </c>
      <c r="P217" t="n">
        <v>0</v>
      </c>
      <c r="Q217" t="n">
        <v>0</v>
      </c>
      <c r="R217" s="2" t="inlineStr"/>
    </row>
    <row r="218" ht="15" customHeight="1">
      <c r="A218" t="inlineStr">
        <is>
          <t>A 8930-2019</t>
        </is>
      </c>
      <c r="B218" s="1" t="n">
        <v>43503</v>
      </c>
      <c r="C218" s="1" t="n">
        <v>45361</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10106-2019</t>
        </is>
      </c>
      <c r="B219" s="1" t="n">
        <v>43510</v>
      </c>
      <c r="C219" s="1" t="n">
        <v>45361</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10111-2019</t>
        </is>
      </c>
      <c r="B220" s="1" t="n">
        <v>43510</v>
      </c>
      <c r="C220" s="1" t="n">
        <v>45361</v>
      </c>
      <c r="D220" t="inlineStr">
        <is>
          <t>JÄMTLANDS LÄN</t>
        </is>
      </c>
      <c r="E220" t="inlineStr">
        <is>
          <t>ÅRE</t>
        </is>
      </c>
      <c r="G220" t="n">
        <v>2.8</v>
      </c>
      <c r="H220" t="n">
        <v>0</v>
      </c>
      <c r="I220" t="n">
        <v>0</v>
      </c>
      <c r="J220" t="n">
        <v>0</v>
      </c>
      <c r="K220" t="n">
        <v>0</v>
      </c>
      <c r="L220" t="n">
        <v>0</v>
      </c>
      <c r="M220" t="n">
        <v>0</v>
      </c>
      <c r="N220" t="n">
        <v>0</v>
      </c>
      <c r="O220" t="n">
        <v>0</v>
      </c>
      <c r="P220" t="n">
        <v>0</v>
      </c>
      <c r="Q220" t="n">
        <v>0</v>
      </c>
      <c r="R220" s="2" t="inlineStr"/>
    </row>
    <row r="221" ht="15" customHeight="1">
      <c r="A221" t="inlineStr">
        <is>
          <t>A 11983-2019</t>
        </is>
      </c>
      <c r="B221" s="1" t="n">
        <v>43521</v>
      </c>
      <c r="C221" s="1" t="n">
        <v>45361</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14394-2019</t>
        </is>
      </c>
      <c r="B222" s="1" t="n">
        <v>43536</v>
      </c>
      <c r="C222" s="1" t="n">
        <v>45361</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17404-2019</t>
        </is>
      </c>
      <c r="B223" s="1" t="n">
        <v>43552</v>
      </c>
      <c r="C223" s="1" t="n">
        <v>45361</v>
      </c>
      <c r="D223" t="inlineStr">
        <is>
          <t>JÄMTLANDS LÄN</t>
        </is>
      </c>
      <c r="E223" t="inlineStr">
        <is>
          <t>ÅRE</t>
        </is>
      </c>
      <c r="G223" t="n">
        <v>2.2</v>
      </c>
      <c r="H223" t="n">
        <v>0</v>
      </c>
      <c r="I223" t="n">
        <v>0</v>
      </c>
      <c r="J223" t="n">
        <v>0</v>
      </c>
      <c r="K223" t="n">
        <v>0</v>
      </c>
      <c r="L223" t="n">
        <v>0</v>
      </c>
      <c r="M223" t="n">
        <v>0</v>
      </c>
      <c r="N223" t="n">
        <v>0</v>
      </c>
      <c r="O223" t="n">
        <v>0</v>
      </c>
      <c r="P223" t="n">
        <v>0</v>
      </c>
      <c r="Q223" t="n">
        <v>0</v>
      </c>
      <c r="R223" s="2" t="inlineStr"/>
    </row>
    <row r="224" ht="15" customHeight="1">
      <c r="A224" t="inlineStr">
        <is>
          <t>A 21532-2019</t>
        </is>
      </c>
      <c r="B224" s="1" t="n">
        <v>43580</v>
      </c>
      <c r="C224" s="1" t="n">
        <v>45361</v>
      </c>
      <c r="D224" t="inlineStr">
        <is>
          <t>JÄMTLANDS LÄN</t>
        </is>
      </c>
      <c r="E224" t="inlineStr">
        <is>
          <t>ÅRE</t>
        </is>
      </c>
      <c r="G224" t="n">
        <v>20.1</v>
      </c>
      <c r="H224" t="n">
        <v>0</v>
      </c>
      <c r="I224" t="n">
        <v>0</v>
      </c>
      <c r="J224" t="n">
        <v>0</v>
      </c>
      <c r="K224" t="n">
        <v>0</v>
      </c>
      <c r="L224" t="n">
        <v>0</v>
      </c>
      <c r="M224" t="n">
        <v>0</v>
      </c>
      <c r="N224" t="n">
        <v>0</v>
      </c>
      <c r="O224" t="n">
        <v>0</v>
      </c>
      <c r="P224" t="n">
        <v>0</v>
      </c>
      <c r="Q224" t="n">
        <v>0</v>
      </c>
      <c r="R224" s="2" t="inlineStr"/>
    </row>
    <row r="225" ht="15" customHeight="1">
      <c r="A225" t="inlineStr">
        <is>
          <t>A 21883-2019</t>
        </is>
      </c>
      <c r="B225" s="1" t="n">
        <v>43584</v>
      </c>
      <c r="C225" s="1" t="n">
        <v>45361</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22558-2019</t>
        </is>
      </c>
      <c r="B226" s="1" t="n">
        <v>43587</v>
      </c>
      <c r="C226" s="1" t="n">
        <v>45361</v>
      </c>
      <c r="D226" t="inlineStr">
        <is>
          <t>JÄMTLANDS LÄN</t>
        </is>
      </c>
      <c r="E226" t="inlineStr">
        <is>
          <t>ÅRE</t>
        </is>
      </c>
      <c r="G226" t="n">
        <v>79.09999999999999</v>
      </c>
      <c r="H226" t="n">
        <v>0</v>
      </c>
      <c r="I226" t="n">
        <v>0</v>
      </c>
      <c r="J226" t="n">
        <v>0</v>
      </c>
      <c r="K226" t="n">
        <v>0</v>
      </c>
      <c r="L226" t="n">
        <v>0</v>
      </c>
      <c r="M226" t="n">
        <v>0</v>
      </c>
      <c r="N226" t="n">
        <v>0</v>
      </c>
      <c r="O226" t="n">
        <v>0</v>
      </c>
      <c r="P226" t="n">
        <v>0</v>
      </c>
      <c r="Q226" t="n">
        <v>0</v>
      </c>
      <c r="R226" s="2" t="inlineStr"/>
    </row>
    <row r="227" ht="15" customHeight="1">
      <c r="A227" t="inlineStr">
        <is>
          <t>A 25099-2019</t>
        </is>
      </c>
      <c r="B227" s="1" t="n">
        <v>43605</v>
      </c>
      <c r="C227" s="1" t="n">
        <v>45361</v>
      </c>
      <c r="D227" t="inlineStr">
        <is>
          <t>JÄMTLANDS LÄN</t>
        </is>
      </c>
      <c r="E227" t="inlineStr">
        <is>
          <t>ÅRE</t>
        </is>
      </c>
      <c r="G227" t="n">
        <v>8.9</v>
      </c>
      <c r="H227" t="n">
        <v>0</v>
      </c>
      <c r="I227" t="n">
        <v>0</v>
      </c>
      <c r="J227" t="n">
        <v>0</v>
      </c>
      <c r="K227" t="n">
        <v>0</v>
      </c>
      <c r="L227" t="n">
        <v>0</v>
      </c>
      <c r="M227" t="n">
        <v>0</v>
      </c>
      <c r="N227" t="n">
        <v>0</v>
      </c>
      <c r="O227" t="n">
        <v>0</v>
      </c>
      <c r="P227" t="n">
        <v>0</v>
      </c>
      <c r="Q227" t="n">
        <v>0</v>
      </c>
      <c r="R227" s="2" t="inlineStr"/>
    </row>
    <row r="228" ht="15" customHeight="1">
      <c r="A228" t="inlineStr">
        <is>
          <t>A 26624-2019</t>
        </is>
      </c>
      <c r="B228" s="1" t="n">
        <v>43612</v>
      </c>
      <c r="C228" s="1" t="n">
        <v>45361</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26626-2019</t>
        </is>
      </c>
      <c r="B229" s="1" t="n">
        <v>43612</v>
      </c>
      <c r="C229" s="1" t="n">
        <v>45361</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28793-2019</t>
        </is>
      </c>
      <c r="B230" s="1" t="n">
        <v>43627</v>
      </c>
      <c r="C230" s="1" t="n">
        <v>45361</v>
      </c>
      <c r="D230" t="inlineStr">
        <is>
          <t>JÄMTLANDS LÄN</t>
        </is>
      </c>
      <c r="E230" t="inlineStr">
        <is>
          <t>ÅRE</t>
        </is>
      </c>
      <c r="G230" t="n">
        <v>7.8</v>
      </c>
      <c r="H230" t="n">
        <v>0</v>
      </c>
      <c r="I230" t="n">
        <v>0</v>
      </c>
      <c r="J230" t="n">
        <v>0</v>
      </c>
      <c r="K230" t="n">
        <v>0</v>
      </c>
      <c r="L230" t="n">
        <v>0</v>
      </c>
      <c r="M230" t="n">
        <v>0</v>
      </c>
      <c r="N230" t="n">
        <v>0</v>
      </c>
      <c r="O230" t="n">
        <v>0</v>
      </c>
      <c r="P230" t="n">
        <v>0</v>
      </c>
      <c r="Q230" t="n">
        <v>0</v>
      </c>
      <c r="R230" s="2" t="inlineStr"/>
    </row>
    <row r="231" ht="15" customHeight="1">
      <c r="A231" t="inlineStr">
        <is>
          <t>A 29272-2019</t>
        </is>
      </c>
      <c r="B231" s="1" t="n">
        <v>43629</v>
      </c>
      <c r="C231" s="1" t="n">
        <v>45361</v>
      </c>
      <c r="D231" t="inlineStr">
        <is>
          <t>JÄMTLANDS LÄN</t>
        </is>
      </c>
      <c r="E231" t="inlineStr">
        <is>
          <t>ÅRE</t>
        </is>
      </c>
      <c r="G231" t="n">
        <v>10.9</v>
      </c>
      <c r="H231" t="n">
        <v>0</v>
      </c>
      <c r="I231" t="n">
        <v>0</v>
      </c>
      <c r="J231" t="n">
        <v>0</v>
      </c>
      <c r="K231" t="n">
        <v>0</v>
      </c>
      <c r="L231" t="n">
        <v>0</v>
      </c>
      <c r="M231" t="n">
        <v>0</v>
      </c>
      <c r="N231" t="n">
        <v>0</v>
      </c>
      <c r="O231" t="n">
        <v>0</v>
      </c>
      <c r="P231" t="n">
        <v>0</v>
      </c>
      <c r="Q231" t="n">
        <v>0</v>
      </c>
      <c r="R231" s="2" t="inlineStr"/>
    </row>
    <row r="232" ht="15" customHeight="1">
      <c r="A232" t="inlineStr">
        <is>
          <t>A 29769-2019</t>
        </is>
      </c>
      <c r="B232" s="1" t="n">
        <v>43632</v>
      </c>
      <c r="C232" s="1" t="n">
        <v>45361</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29916-2019</t>
        </is>
      </c>
      <c r="B233" s="1" t="n">
        <v>43633</v>
      </c>
      <c r="C233" s="1" t="n">
        <v>45361</v>
      </c>
      <c r="D233" t="inlineStr">
        <is>
          <t>JÄMTLANDS LÄN</t>
        </is>
      </c>
      <c r="E233" t="inlineStr">
        <is>
          <t>ÅRE</t>
        </is>
      </c>
      <c r="G233" t="n">
        <v>2.5</v>
      </c>
      <c r="H233" t="n">
        <v>0</v>
      </c>
      <c r="I233" t="n">
        <v>0</v>
      </c>
      <c r="J233" t="n">
        <v>0</v>
      </c>
      <c r="K233" t="n">
        <v>0</v>
      </c>
      <c r="L233" t="n">
        <v>0</v>
      </c>
      <c r="M233" t="n">
        <v>0</v>
      </c>
      <c r="N233" t="n">
        <v>0</v>
      </c>
      <c r="O233" t="n">
        <v>0</v>
      </c>
      <c r="P233" t="n">
        <v>0</v>
      </c>
      <c r="Q233" t="n">
        <v>0</v>
      </c>
      <c r="R233" s="2" t="inlineStr"/>
    </row>
    <row r="234" ht="15" customHeight="1">
      <c r="A234" t="inlineStr">
        <is>
          <t>A 30384-2019</t>
        </is>
      </c>
      <c r="B234" s="1" t="n">
        <v>43634</v>
      </c>
      <c r="C234" s="1" t="n">
        <v>45361</v>
      </c>
      <c r="D234" t="inlineStr">
        <is>
          <t>JÄMTLANDS LÄN</t>
        </is>
      </c>
      <c r="E234" t="inlineStr">
        <is>
          <t>ÅRE</t>
        </is>
      </c>
      <c r="G234" t="n">
        <v>19</v>
      </c>
      <c r="H234" t="n">
        <v>0</v>
      </c>
      <c r="I234" t="n">
        <v>0</v>
      </c>
      <c r="J234" t="n">
        <v>0</v>
      </c>
      <c r="K234" t="n">
        <v>0</v>
      </c>
      <c r="L234" t="n">
        <v>0</v>
      </c>
      <c r="M234" t="n">
        <v>0</v>
      </c>
      <c r="N234" t="n">
        <v>0</v>
      </c>
      <c r="O234" t="n">
        <v>0</v>
      </c>
      <c r="P234" t="n">
        <v>0</v>
      </c>
      <c r="Q234" t="n">
        <v>0</v>
      </c>
      <c r="R234" s="2" t="inlineStr"/>
    </row>
    <row r="235" ht="15" customHeight="1">
      <c r="A235" t="inlineStr">
        <is>
          <t>A 33856-2019</t>
        </is>
      </c>
      <c r="B235" s="1" t="n">
        <v>43652</v>
      </c>
      <c r="C235" s="1" t="n">
        <v>45361</v>
      </c>
      <c r="D235" t="inlineStr">
        <is>
          <t>JÄMTLANDS LÄN</t>
        </is>
      </c>
      <c r="E235" t="inlineStr">
        <is>
          <t>ÅRE</t>
        </is>
      </c>
      <c r="G235" t="n">
        <v>9.6</v>
      </c>
      <c r="H235" t="n">
        <v>0</v>
      </c>
      <c r="I235" t="n">
        <v>0</v>
      </c>
      <c r="J235" t="n">
        <v>0</v>
      </c>
      <c r="K235" t="n">
        <v>0</v>
      </c>
      <c r="L235" t="n">
        <v>0</v>
      </c>
      <c r="M235" t="n">
        <v>0</v>
      </c>
      <c r="N235" t="n">
        <v>0</v>
      </c>
      <c r="O235" t="n">
        <v>0</v>
      </c>
      <c r="P235" t="n">
        <v>0</v>
      </c>
      <c r="Q235" t="n">
        <v>0</v>
      </c>
      <c r="R235" s="2" t="inlineStr"/>
    </row>
    <row r="236" ht="15" customHeight="1">
      <c r="A236" t="inlineStr">
        <is>
          <t>A 35391-2019</t>
        </is>
      </c>
      <c r="B236" s="1" t="n">
        <v>43661</v>
      </c>
      <c r="C236" s="1" t="n">
        <v>45361</v>
      </c>
      <c r="D236" t="inlineStr">
        <is>
          <t>JÄMTLANDS LÄN</t>
        </is>
      </c>
      <c r="E236" t="inlineStr">
        <is>
          <t>ÅRE</t>
        </is>
      </c>
      <c r="G236" t="n">
        <v>19.7</v>
      </c>
      <c r="H236" t="n">
        <v>0</v>
      </c>
      <c r="I236" t="n">
        <v>0</v>
      </c>
      <c r="J236" t="n">
        <v>0</v>
      </c>
      <c r="K236" t="n">
        <v>0</v>
      </c>
      <c r="L236" t="n">
        <v>0</v>
      </c>
      <c r="M236" t="n">
        <v>0</v>
      </c>
      <c r="N236" t="n">
        <v>0</v>
      </c>
      <c r="O236" t="n">
        <v>0</v>
      </c>
      <c r="P236" t="n">
        <v>0</v>
      </c>
      <c r="Q236" t="n">
        <v>0</v>
      </c>
      <c r="R236" s="2" t="inlineStr"/>
    </row>
    <row r="237" ht="15" customHeight="1">
      <c r="A237" t="inlineStr">
        <is>
          <t>A 35485-2019</t>
        </is>
      </c>
      <c r="B237" s="1" t="n">
        <v>43661</v>
      </c>
      <c r="C237" s="1" t="n">
        <v>45361</v>
      </c>
      <c r="D237" t="inlineStr">
        <is>
          <t>JÄMTLANDS LÄN</t>
        </is>
      </c>
      <c r="E237" t="inlineStr">
        <is>
          <t>ÅRE</t>
        </is>
      </c>
      <c r="G237" t="n">
        <v>5.5</v>
      </c>
      <c r="H237" t="n">
        <v>0</v>
      </c>
      <c r="I237" t="n">
        <v>0</v>
      </c>
      <c r="J237" t="n">
        <v>0</v>
      </c>
      <c r="K237" t="n">
        <v>0</v>
      </c>
      <c r="L237" t="n">
        <v>0</v>
      </c>
      <c r="M237" t="n">
        <v>0</v>
      </c>
      <c r="N237" t="n">
        <v>0</v>
      </c>
      <c r="O237" t="n">
        <v>0</v>
      </c>
      <c r="P237" t="n">
        <v>0</v>
      </c>
      <c r="Q237" t="n">
        <v>0</v>
      </c>
      <c r="R237" s="2" t="inlineStr"/>
    </row>
    <row r="238" ht="15" customHeight="1">
      <c r="A238" t="inlineStr">
        <is>
          <t>A 36975-2019</t>
        </is>
      </c>
      <c r="B238" s="1" t="n">
        <v>43676</v>
      </c>
      <c r="C238" s="1" t="n">
        <v>45361</v>
      </c>
      <c r="D238" t="inlineStr">
        <is>
          <t>JÄMTLANDS LÄN</t>
        </is>
      </c>
      <c r="E238" t="inlineStr">
        <is>
          <t>ÅRE</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41107-2019</t>
        </is>
      </c>
      <c r="B239" s="1" t="n">
        <v>43698</v>
      </c>
      <c r="C239" s="1" t="n">
        <v>45361</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42311-2019</t>
        </is>
      </c>
      <c r="B240" s="1" t="n">
        <v>43699</v>
      </c>
      <c r="C240" s="1" t="n">
        <v>45361</v>
      </c>
      <c r="D240" t="inlineStr">
        <is>
          <t>JÄMTLANDS LÄN</t>
        </is>
      </c>
      <c r="E240" t="inlineStr">
        <is>
          <t>ÅRE</t>
        </is>
      </c>
      <c r="G240" t="n">
        <v>13.7</v>
      </c>
      <c r="H240" t="n">
        <v>0</v>
      </c>
      <c r="I240" t="n">
        <v>0</v>
      </c>
      <c r="J240" t="n">
        <v>0</v>
      </c>
      <c r="K240" t="n">
        <v>0</v>
      </c>
      <c r="L240" t="n">
        <v>0</v>
      </c>
      <c r="M240" t="n">
        <v>0</v>
      </c>
      <c r="N240" t="n">
        <v>0</v>
      </c>
      <c r="O240" t="n">
        <v>0</v>
      </c>
      <c r="P240" t="n">
        <v>0</v>
      </c>
      <c r="Q240" t="n">
        <v>0</v>
      </c>
      <c r="R240" s="2" t="inlineStr"/>
    </row>
    <row r="241" ht="15" customHeight="1">
      <c r="A241" t="inlineStr">
        <is>
          <t>A 43678-2019</t>
        </is>
      </c>
      <c r="B241" s="1" t="n">
        <v>43707</v>
      </c>
      <c r="C241" s="1" t="n">
        <v>45361</v>
      </c>
      <c r="D241" t="inlineStr">
        <is>
          <t>JÄMTLANDS LÄN</t>
        </is>
      </c>
      <c r="E241" t="inlineStr">
        <is>
          <t>ÅRE</t>
        </is>
      </c>
      <c r="G241" t="n">
        <v>7.9</v>
      </c>
      <c r="H241" t="n">
        <v>0</v>
      </c>
      <c r="I241" t="n">
        <v>0</v>
      </c>
      <c r="J241" t="n">
        <v>0</v>
      </c>
      <c r="K241" t="n">
        <v>0</v>
      </c>
      <c r="L241" t="n">
        <v>0</v>
      </c>
      <c r="M241" t="n">
        <v>0</v>
      </c>
      <c r="N241" t="n">
        <v>0</v>
      </c>
      <c r="O241" t="n">
        <v>0</v>
      </c>
      <c r="P241" t="n">
        <v>0</v>
      </c>
      <c r="Q241" t="n">
        <v>0</v>
      </c>
      <c r="R241" s="2" t="inlineStr"/>
    </row>
    <row r="242" ht="15" customHeight="1">
      <c r="A242" t="inlineStr">
        <is>
          <t>A 43683-2019</t>
        </is>
      </c>
      <c r="B242" s="1" t="n">
        <v>43707</v>
      </c>
      <c r="C242" s="1" t="n">
        <v>45361</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44329-2019</t>
        </is>
      </c>
      <c r="B243" s="1" t="n">
        <v>43710</v>
      </c>
      <c r="C243" s="1" t="n">
        <v>45361</v>
      </c>
      <c r="D243" t="inlineStr">
        <is>
          <t>JÄMTLANDS LÄN</t>
        </is>
      </c>
      <c r="E243" t="inlineStr">
        <is>
          <t>ÅRE</t>
        </is>
      </c>
      <c r="G243" t="n">
        <v>2.1</v>
      </c>
      <c r="H243" t="n">
        <v>0</v>
      </c>
      <c r="I243" t="n">
        <v>0</v>
      </c>
      <c r="J243" t="n">
        <v>0</v>
      </c>
      <c r="K243" t="n">
        <v>0</v>
      </c>
      <c r="L243" t="n">
        <v>0</v>
      </c>
      <c r="M243" t="n">
        <v>0</v>
      </c>
      <c r="N243" t="n">
        <v>0</v>
      </c>
      <c r="O243" t="n">
        <v>0</v>
      </c>
      <c r="P243" t="n">
        <v>0</v>
      </c>
      <c r="Q243" t="n">
        <v>0</v>
      </c>
      <c r="R243" s="2" t="inlineStr"/>
    </row>
    <row r="244" ht="15" customHeight="1">
      <c r="A244" t="inlineStr">
        <is>
          <t>A 45794-2019</t>
        </is>
      </c>
      <c r="B244" s="1" t="n">
        <v>43717</v>
      </c>
      <c r="C244" s="1" t="n">
        <v>45361</v>
      </c>
      <c r="D244" t="inlineStr">
        <is>
          <t>JÄMTLANDS LÄN</t>
        </is>
      </c>
      <c r="E244" t="inlineStr">
        <is>
          <t>ÅRE</t>
        </is>
      </c>
      <c r="G244" t="n">
        <v>37.7</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45361</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45361</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45361</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45361</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45361</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45361</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45361</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45361</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45361</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45361</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45361</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45361</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45361</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45361</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45361</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45361</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45361</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45361</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45361</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45361</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45361</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45361</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45361</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45361</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45361</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45361</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45361</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45361</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45361</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45361</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45361</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45361</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45361</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45361</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45361</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45361</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45361</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45361</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45361</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45361</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45361</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45361</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45361</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45361</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45361</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45361</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45361</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45361</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45361</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34207-2020</t>
        </is>
      </c>
      <c r="B294" s="1" t="n">
        <v>44029</v>
      </c>
      <c r="C294" s="1" t="n">
        <v>45361</v>
      </c>
      <c r="D294" t="inlineStr">
        <is>
          <t>JÄMTLANDS LÄN</t>
        </is>
      </c>
      <c r="E294" t="inlineStr">
        <is>
          <t>ÅRE</t>
        </is>
      </c>
      <c r="G294" t="n">
        <v>10.2</v>
      </c>
      <c r="H294" t="n">
        <v>0</v>
      </c>
      <c r="I294" t="n">
        <v>0</v>
      </c>
      <c r="J294" t="n">
        <v>0</v>
      </c>
      <c r="K294" t="n">
        <v>0</v>
      </c>
      <c r="L294" t="n">
        <v>0</v>
      </c>
      <c r="M294" t="n">
        <v>0</v>
      </c>
      <c r="N294" t="n">
        <v>0</v>
      </c>
      <c r="O294" t="n">
        <v>0</v>
      </c>
      <c r="P294" t="n">
        <v>0</v>
      </c>
      <c r="Q294" t="n">
        <v>0</v>
      </c>
      <c r="R294" s="2" t="inlineStr"/>
    </row>
    <row r="295" ht="15" customHeight="1">
      <c r="A295" t="inlineStr">
        <is>
          <t>A 34529-2020</t>
        </is>
      </c>
      <c r="B295" s="1" t="n">
        <v>44033</v>
      </c>
      <c r="C295" s="1" t="n">
        <v>45361</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34678-2020</t>
        </is>
      </c>
      <c r="B296" s="1" t="n">
        <v>44033</v>
      </c>
      <c r="C296" s="1" t="n">
        <v>45361</v>
      </c>
      <c r="D296" t="inlineStr">
        <is>
          <t>JÄMTLANDS LÄN</t>
        </is>
      </c>
      <c r="E296" t="inlineStr">
        <is>
          <t>ÅRE</t>
        </is>
      </c>
      <c r="G296" t="n">
        <v>2.8</v>
      </c>
      <c r="H296" t="n">
        <v>0</v>
      </c>
      <c r="I296" t="n">
        <v>0</v>
      </c>
      <c r="J296" t="n">
        <v>0</v>
      </c>
      <c r="K296" t="n">
        <v>0</v>
      </c>
      <c r="L296" t="n">
        <v>0</v>
      </c>
      <c r="M296" t="n">
        <v>0</v>
      </c>
      <c r="N296" t="n">
        <v>0</v>
      </c>
      <c r="O296" t="n">
        <v>0</v>
      </c>
      <c r="P296" t="n">
        <v>0</v>
      </c>
      <c r="Q296" t="n">
        <v>0</v>
      </c>
      <c r="R296" s="2" t="inlineStr"/>
    </row>
    <row r="297" ht="15" customHeight="1">
      <c r="A297" t="inlineStr">
        <is>
          <t>A 34640-2020</t>
        </is>
      </c>
      <c r="B297" s="1" t="n">
        <v>44034</v>
      </c>
      <c r="C297" s="1" t="n">
        <v>45361</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35849-2020</t>
        </is>
      </c>
      <c r="B298" s="1" t="n">
        <v>44047</v>
      </c>
      <c r="C298" s="1" t="n">
        <v>45361</v>
      </c>
      <c r="D298" t="inlineStr">
        <is>
          <t>JÄMTLANDS LÄN</t>
        </is>
      </c>
      <c r="E298" t="inlineStr">
        <is>
          <t>ÅRE</t>
        </is>
      </c>
      <c r="G298" t="n">
        <v>21.3</v>
      </c>
      <c r="H298" t="n">
        <v>0</v>
      </c>
      <c r="I298" t="n">
        <v>0</v>
      </c>
      <c r="J298" t="n">
        <v>0</v>
      </c>
      <c r="K298" t="n">
        <v>0</v>
      </c>
      <c r="L298" t="n">
        <v>0</v>
      </c>
      <c r="M298" t="n">
        <v>0</v>
      </c>
      <c r="N298" t="n">
        <v>0</v>
      </c>
      <c r="O298" t="n">
        <v>0</v>
      </c>
      <c r="P298" t="n">
        <v>0</v>
      </c>
      <c r="Q298" t="n">
        <v>0</v>
      </c>
      <c r="R298" s="2" t="inlineStr"/>
    </row>
    <row r="299" ht="15" customHeight="1">
      <c r="A299" t="inlineStr">
        <is>
          <t>A 36506-2020</t>
        </is>
      </c>
      <c r="B299" s="1" t="n">
        <v>44050</v>
      </c>
      <c r="C299" s="1" t="n">
        <v>45361</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36501-2020</t>
        </is>
      </c>
      <c r="B300" s="1" t="n">
        <v>44050</v>
      </c>
      <c r="C300" s="1" t="n">
        <v>45361</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38454-2020</t>
        </is>
      </c>
      <c r="B301" s="1" t="n">
        <v>44060</v>
      </c>
      <c r="C301" s="1" t="n">
        <v>45361</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38455-2020</t>
        </is>
      </c>
      <c r="B302" s="1" t="n">
        <v>44060</v>
      </c>
      <c r="C302" s="1" t="n">
        <v>45361</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40148-2020</t>
        </is>
      </c>
      <c r="B303" s="1" t="n">
        <v>44068</v>
      </c>
      <c r="C303" s="1" t="n">
        <v>45361</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42337-2020</t>
        </is>
      </c>
      <c r="B304" s="1" t="n">
        <v>44076</v>
      </c>
      <c r="C304" s="1" t="n">
        <v>45361</v>
      </c>
      <c r="D304" t="inlineStr">
        <is>
          <t>JÄMTLANDS LÄN</t>
        </is>
      </c>
      <c r="E304" t="inlineStr">
        <is>
          <t>ÅRE</t>
        </is>
      </c>
      <c r="G304" t="n">
        <v>3.6</v>
      </c>
      <c r="H304" t="n">
        <v>0</v>
      </c>
      <c r="I304" t="n">
        <v>0</v>
      </c>
      <c r="J304" t="n">
        <v>0</v>
      </c>
      <c r="K304" t="n">
        <v>0</v>
      </c>
      <c r="L304" t="n">
        <v>0</v>
      </c>
      <c r="M304" t="n">
        <v>0</v>
      </c>
      <c r="N304" t="n">
        <v>0</v>
      </c>
      <c r="O304" t="n">
        <v>0</v>
      </c>
      <c r="P304" t="n">
        <v>0</v>
      </c>
      <c r="Q304" t="n">
        <v>0</v>
      </c>
      <c r="R304" s="2" t="inlineStr"/>
    </row>
    <row r="305" ht="15" customHeight="1">
      <c r="A305" t="inlineStr">
        <is>
          <t>A 42643-2020</t>
        </is>
      </c>
      <c r="B305" s="1" t="n">
        <v>44077</v>
      </c>
      <c r="C305" s="1" t="n">
        <v>45361</v>
      </c>
      <c r="D305" t="inlineStr">
        <is>
          <t>JÄMTLANDS LÄN</t>
        </is>
      </c>
      <c r="E305" t="inlineStr">
        <is>
          <t>ÅRE</t>
        </is>
      </c>
      <c r="G305" t="n">
        <v>7.5</v>
      </c>
      <c r="H305" t="n">
        <v>0</v>
      </c>
      <c r="I305" t="n">
        <v>0</v>
      </c>
      <c r="J305" t="n">
        <v>0</v>
      </c>
      <c r="K305" t="n">
        <v>0</v>
      </c>
      <c r="L305" t="n">
        <v>0</v>
      </c>
      <c r="M305" t="n">
        <v>0</v>
      </c>
      <c r="N305" t="n">
        <v>0</v>
      </c>
      <c r="O305" t="n">
        <v>0</v>
      </c>
      <c r="P305" t="n">
        <v>0</v>
      </c>
      <c r="Q305" t="n">
        <v>0</v>
      </c>
      <c r="R305" s="2" t="inlineStr"/>
    </row>
    <row r="306" ht="15" customHeight="1">
      <c r="A306" t="inlineStr">
        <is>
          <t>A 42634-2020</t>
        </is>
      </c>
      <c r="B306" s="1" t="n">
        <v>44077</v>
      </c>
      <c r="C306" s="1" t="n">
        <v>45361</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43167-2020</t>
        </is>
      </c>
      <c r="B307" s="1" t="n">
        <v>44077</v>
      </c>
      <c r="C307" s="1" t="n">
        <v>45361</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42650-2020</t>
        </is>
      </c>
      <c r="B308" s="1" t="n">
        <v>44077</v>
      </c>
      <c r="C308" s="1" t="n">
        <v>45361</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46982-2020</t>
        </is>
      </c>
      <c r="B309" s="1" t="n">
        <v>44096</v>
      </c>
      <c r="C309" s="1" t="n">
        <v>45361</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48177-2020</t>
        </is>
      </c>
      <c r="B310" s="1" t="n">
        <v>44102</v>
      </c>
      <c r="C310" s="1" t="n">
        <v>45361</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49661-2020</t>
        </is>
      </c>
      <c r="B311" s="1" t="n">
        <v>44105</v>
      </c>
      <c r="C311" s="1" t="n">
        <v>45361</v>
      </c>
      <c r="D311" t="inlineStr">
        <is>
          <t>JÄMTLANDS LÄN</t>
        </is>
      </c>
      <c r="E311" t="inlineStr">
        <is>
          <t>ÅRE</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49744-2020</t>
        </is>
      </c>
      <c r="B312" s="1" t="n">
        <v>44106</v>
      </c>
      <c r="C312" s="1" t="n">
        <v>45361</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49748-2020</t>
        </is>
      </c>
      <c r="B313" s="1" t="n">
        <v>44106</v>
      </c>
      <c r="C313" s="1" t="n">
        <v>45361</v>
      </c>
      <c r="D313" t="inlineStr">
        <is>
          <t>JÄMTLANDS LÄN</t>
        </is>
      </c>
      <c r="E313" t="inlineStr">
        <is>
          <t>ÅRE</t>
        </is>
      </c>
      <c r="G313" t="n">
        <v>13.4</v>
      </c>
      <c r="H313" t="n">
        <v>0</v>
      </c>
      <c r="I313" t="n">
        <v>0</v>
      </c>
      <c r="J313" t="n">
        <v>0</v>
      </c>
      <c r="K313" t="n">
        <v>0</v>
      </c>
      <c r="L313" t="n">
        <v>0</v>
      </c>
      <c r="M313" t="n">
        <v>0</v>
      </c>
      <c r="N313" t="n">
        <v>0</v>
      </c>
      <c r="O313" t="n">
        <v>0</v>
      </c>
      <c r="P313" t="n">
        <v>0</v>
      </c>
      <c r="Q313" t="n">
        <v>0</v>
      </c>
      <c r="R313" s="2" t="inlineStr"/>
    </row>
    <row r="314" ht="15" customHeight="1">
      <c r="A314" t="inlineStr">
        <is>
          <t>A 49747-2020</t>
        </is>
      </c>
      <c r="B314" s="1" t="n">
        <v>44106</v>
      </c>
      <c r="C314" s="1" t="n">
        <v>45361</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52548-2020</t>
        </is>
      </c>
      <c r="B315" s="1" t="n">
        <v>44116</v>
      </c>
      <c r="C315" s="1" t="n">
        <v>45361</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53042-2020</t>
        </is>
      </c>
      <c r="B316" s="1" t="n">
        <v>44120</v>
      </c>
      <c r="C316" s="1" t="n">
        <v>45361</v>
      </c>
      <c r="D316" t="inlineStr">
        <is>
          <t>JÄMTLANDS LÄN</t>
        </is>
      </c>
      <c r="E316" t="inlineStr">
        <is>
          <t>ÅRE</t>
        </is>
      </c>
      <c r="G316" t="n">
        <v>17.1</v>
      </c>
      <c r="H316" t="n">
        <v>0</v>
      </c>
      <c r="I316" t="n">
        <v>0</v>
      </c>
      <c r="J316" t="n">
        <v>0</v>
      </c>
      <c r="K316" t="n">
        <v>0</v>
      </c>
      <c r="L316" t="n">
        <v>0</v>
      </c>
      <c r="M316" t="n">
        <v>0</v>
      </c>
      <c r="N316" t="n">
        <v>0</v>
      </c>
      <c r="O316" t="n">
        <v>0</v>
      </c>
      <c r="P316" t="n">
        <v>0</v>
      </c>
      <c r="Q316" t="n">
        <v>0</v>
      </c>
      <c r="R316" s="2" t="inlineStr"/>
    </row>
    <row r="317" ht="15" customHeight="1">
      <c r="A317" t="inlineStr">
        <is>
          <t>A 54015-2020</t>
        </is>
      </c>
      <c r="B317" s="1" t="n">
        <v>44125</v>
      </c>
      <c r="C317" s="1" t="n">
        <v>45361</v>
      </c>
      <c r="D317" t="inlineStr">
        <is>
          <t>JÄMTLANDS LÄN</t>
        </is>
      </c>
      <c r="E317" t="inlineStr">
        <is>
          <t>ÅRE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54945-2020</t>
        </is>
      </c>
      <c r="B318" s="1" t="n">
        <v>44129</v>
      </c>
      <c r="C318" s="1" t="n">
        <v>45361</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54944-2020</t>
        </is>
      </c>
      <c r="B319" s="1" t="n">
        <v>44129</v>
      </c>
      <c r="C319" s="1" t="n">
        <v>45361</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45361</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57578-2020</t>
        </is>
      </c>
      <c r="B321" s="1" t="n">
        <v>44140</v>
      </c>
      <c r="C321" s="1" t="n">
        <v>45361</v>
      </c>
      <c r="D321" t="inlineStr">
        <is>
          <t>JÄMTLANDS LÄN</t>
        </is>
      </c>
      <c r="E321" t="inlineStr">
        <is>
          <t>ÅRE</t>
        </is>
      </c>
      <c r="G321" t="n">
        <v>94.40000000000001</v>
      </c>
      <c r="H321" t="n">
        <v>0</v>
      </c>
      <c r="I321" t="n">
        <v>0</v>
      </c>
      <c r="J321" t="n">
        <v>0</v>
      </c>
      <c r="K321" t="n">
        <v>0</v>
      </c>
      <c r="L321" t="n">
        <v>0</v>
      </c>
      <c r="M321" t="n">
        <v>0</v>
      </c>
      <c r="N321" t="n">
        <v>0</v>
      </c>
      <c r="O321" t="n">
        <v>0</v>
      </c>
      <c r="P321" t="n">
        <v>0</v>
      </c>
      <c r="Q321" t="n">
        <v>0</v>
      </c>
      <c r="R321" s="2" t="inlineStr"/>
    </row>
    <row r="322" ht="15" customHeight="1">
      <c r="A322" t="inlineStr">
        <is>
          <t>A 57594-2020</t>
        </is>
      </c>
      <c r="B322" s="1" t="n">
        <v>44140</v>
      </c>
      <c r="C322" s="1" t="n">
        <v>45361</v>
      </c>
      <c r="D322" t="inlineStr">
        <is>
          <t>JÄMTLANDS LÄN</t>
        </is>
      </c>
      <c r="E322" t="inlineStr">
        <is>
          <t>ÅRE</t>
        </is>
      </c>
      <c r="G322" t="n">
        <v>14.9</v>
      </c>
      <c r="H322" t="n">
        <v>0</v>
      </c>
      <c r="I322" t="n">
        <v>0</v>
      </c>
      <c r="J322" t="n">
        <v>0</v>
      </c>
      <c r="K322" t="n">
        <v>0</v>
      </c>
      <c r="L322" t="n">
        <v>0</v>
      </c>
      <c r="M322" t="n">
        <v>0</v>
      </c>
      <c r="N322" t="n">
        <v>0</v>
      </c>
      <c r="O322" t="n">
        <v>0</v>
      </c>
      <c r="P322" t="n">
        <v>0</v>
      </c>
      <c r="Q322" t="n">
        <v>0</v>
      </c>
      <c r="R322" s="2" t="inlineStr"/>
    </row>
    <row r="323" ht="15" customHeight="1">
      <c r="A323" t="inlineStr">
        <is>
          <t>A 57586-2020</t>
        </is>
      </c>
      <c r="B323" s="1" t="n">
        <v>44140</v>
      </c>
      <c r="C323" s="1" t="n">
        <v>45361</v>
      </c>
      <c r="D323" t="inlineStr">
        <is>
          <t>JÄMTLANDS LÄN</t>
        </is>
      </c>
      <c r="E323" t="inlineStr">
        <is>
          <t>ÅRE</t>
        </is>
      </c>
      <c r="G323" t="n">
        <v>9.5</v>
      </c>
      <c r="H323" t="n">
        <v>0</v>
      </c>
      <c r="I323" t="n">
        <v>0</v>
      </c>
      <c r="J323" t="n">
        <v>0</v>
      </c>
      <c r="K323" t="n">
        <v>0</v>
      </c>
      <c r="L323" t="n">
        <v>0</v>
      </c>
      <c r="M323" t="n">
        <v>0</v>
      </c>
      <c r="N323" t="n">
        <v>0</v>
      </c>
      <c r="O323" t="n">
        <v>0</v>
      </c>
      <c r="P323" t="n">
        <v>0</v>
      </c>
      <c r="Q323" t="n">
        <v>0</v>
      </c>
      <c r="R323" s="2" t="inlineStr"/>
    </row>
    <row r="324" ht="15" customHeight="1">
      <c r="A324" t="inlineStr">
        <is>
          <t>A 58960-2020</t>
        </is>
      </c>
      <c r="B324" s="1" t="n">
        <v>44146</v>
      </c>
      <c r="C324" s="1" t="n">
        <v>45361</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60016-2020</t>
        </is>
      </c>
      <c r="B325" s="1" t="n">
        <v>44151</v>
      </c>
      <c r="C325" s="1" t="n">
        <v>45361</v>
      </c>
      <c r="D325" t="inlineStr">
        <is>
          <t>JÄMTLANDS LÄN</t>
        </is>
      </c>
      <c r="E325" t="inlineStr">
        <is>
          <t>ÅRE</t>
        </is>
      </c>
      <c r="G325" t="n">
        <v>14.7</v>
      </c>
      <c r="H325" t="n">
        <v>0</v>
      </c>
      <c r="I325" t="n">
        <v>0</v>
      </c>
      <c r="J325" t="n">
        <v>0</v>
      </c>
      <c r="K325" t="n">
        <v>0</v>
      </c>
      <c r="L325" t="n">
        <v>0</v>
      </c>
      <c r="M325" t="n">
        <v>0</v>
      </c>
      <c r="N325" t="n">
        <v>0</v>
      </c>
      <c r="O325" t="n">
        <v>0</v>
      </c>
      <c r="P325" t="n">
        <v>0</v>
      </c>
      <c r="Q325" t="n">
        <v>0</v>
      </c>
      <c r="R325" s="2" t="inlineStr"/>
    </row>
    <row r="326" ht="15" customHeight="1">
      <c r="A326" t="inlineStr">
        <is>
          <t>A 61347-2020</t>
        </is>
      </c>
      <c r="B326" s="1" t="n">
        <v>44155</v>
      </c>
      <c r="C326" s="1" t="n">
        <v>45361</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61595-2020</t>
        </is>
      </c>
      <c r="B327" s="1" t="n">
        <v>44158</v>
      </c>
      <c r="C327" s="1" t="n">
        <v>45361</v>
      </c>
      <c r="D327" t="inlineStr">
        <is>
          <t>JÄMTLANDS LÄN</t>
        </is>
      </c>
      <c r="E327" t="inlineStr">
        <is>
          <t>ÅRE</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61510-2020</t>
        </is>
      </c>
      <c r="B328" s="1" t="n">
        <v>44158</v>
      </c>
      <c r="C328" s="1" t="n">
        <v>45361</v>
      </c>
      <c r="D328" t="inlineStr">
        <is>
          <t>JÄMTLANDS LÄN</t>
        </is>
      </c>
      <c r="E328" t="inlineStr">
        <is>
          <t>ÅRE</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45361</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45361</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45361</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45361</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45361</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45361</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45361</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45361</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45361</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45361</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45361</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45361</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45361</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45361</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45361</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45361</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45361</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45361</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45361</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45361</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45361</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45361</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45361</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45361</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45361</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45361</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45361</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45361</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45361</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45361</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45361</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45361</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45361</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45361</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45361</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45361</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45361</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45361</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45361</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45361</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18792-2021</t>
        </is>
      </c>
      <c r="B369" s="1" t="n">
        <v>44307</v>
      </c>
      <c r="C369" s="1" t="n">
        <v>45361</v>
      </c>
      <c r="D369" t="inlineStr">
        <is>
          <t>JÄMTLANDS LÄN</t>
        </is>
      </c>
      <c r="E369" t="inlineStr">
        <is>
          <t>ÅRE</t>
        </is>
      </c>
      <c r="G369" t="n">
        <v>16.6</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45361</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20501-2021</t>
        </is>
      </c>
      <c r="B371" s="1" t="n">
        <v>44315</v>
      </c>
      <c r="C371" s="1" t="n">
        <v>45361</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21897-2021</t>
        </is>
      </c>
      <c r="B372" s="1" t="n">
        <v>44322</v>
      </c>
      <c r="C372" s="1" t="n">
        <v>45361</v>
      </c>
      <c r="D372" t="inlineStr">
        <is>
          <t>JÄMTLANDS LÄN</t>
        </is>
      </c>
      <c r="E372" t="inlineStr">
        <is>
          <t>ÅRE</t>
        </is>
      </c>
      <c r="G372" t="n">
        <v>41.4</v>
      </c>
      <c r="H372" t="n">
        <v>0</v>
      </c>
      <c r="I372" t="n">
        <v>0</v>
      </c>
      <c r="J372" t="n">
        <v>0</v>
      </c>
      <c r="K372" t="n">
        <v>0</v>
      </c>
      <c r="L372" t="n">
        <v>0</v>
      </c>
      <c r="M372" t="n">
        <v>0</v>
      </c>
      <c r="N372" t="n">
        <v>0</v>
      </c>
      <c r="O372" t="n">
        <v>0</v>
      </c>
      <c r="P372" t="n">
        <v>0</v>
      </c>
      <c r="Q372" t="n">
        <v>0</v>
      </c>
      <c r="R372" s="2" t="inlineStr"/>
    </row>
    <row r="373" ht="15" customHeight="1">
      <c r="A373" t="inlineStr">
        <is>
          <t>A 21905-2021</t>
        </is>
      </c>
      <c r="B373" s="1" t="n">
        <v>44322</v>
      </c>
      <c r="C373" s="1" t="n">
        <v>45361</v>
      </c>
      <c r="D373" t="inlineStr">
        <is>
          <t>JÄMTLANDS LÄN</t>
        </is>
      </c>
      <c r="E373" t="inlineStr">
        <is>
          <t>ÅRE</t>
        </is>
      </c>
      <c r="G373" t="n">
        <v>14.3</v>
      </c>
      <c r="H373" t="n">
        <v>0</v>
      </c>
      <c r="I373" t="n">
        <v>0</v>
      </c>
      <c r="J373" t="n">
        <v>0</v>
      </c>
      <c r="K373" t="n">
        <v>0</v>
      </c>
      <c r="L373" t="n">
        <v>0</v>
      </c>
      <c r="M373" t="n">
        <v>0</v>
      </c>
      <c r="N373" t="n">
        <v>0</v>
      </c>
      <c r="O373" t="n">
        <v>0</v>
      </c>
      <c r="P373" t="n">
        <v>0</v>
      </c>
      <c r="Q373" t="n">
        <v>0</v>
      </c>
      <c r="R373" s="2" t="inlineStr"/>
    </row>
    <row r="374" ht="15" customHeight="1">
      <c r="A374" t="inlineStr">
        <is>
          <t>A 22707-2021</t>
        </is>
      </c>
      <c r="B374" s="1" t="n">
        <v>44323</v>
      </c>
      <c r="C374" s="1" t="n">
        <v>45361</v>
      </c>
      <c r="D374" t="inlineStr">
        <is>
          <t>JÄMTLANDS LÄN</t>
        </is>
      </c>
      <c r="E374" t="inlineStr">
        <is>
          <t>ÅRE</t>
        </is>
      </c>
      <c r="G374" t="n">
        <v>6.3</v>
      </c>
      <c r="H374" t="n">
        <v>0</v>
      </c>
      <c r="I374" t="n">
        <v>0</v>
      </c>
      <c r="J374" t="n">
        <v>0</v>
      </c>
      <c r="K374" t="n">
        <v>0</v>
      </c>
      <c r="L374" t="n">
        <v>0</v>
      </c>
      <c r="M374" t="n">
        <v>0</v>
      </c>
      <c r="N374" t="n">
        <v>0</v>
      </c>
      <c r="O374" t="n">
        <v>0</v>
      </c>
      <c r="P374" t="n">
        <v>0</v>
      </c>
      <c r="Q374" t="n">
        <v>0</v>
      </c>
      <c r="R374" s="2" t="inlineStr"/>
    </row>
    <row r="375" ht="15" customHeight="1">
      <c r="A375" t="inlineStr">
        <is>
          <t>A 22505-2021</t>
        </is>
      </c>
      <c r="B375" s="1" t="n">
        <v>44326</v>
      </c>
      <c r="C375" s="1" t="n">
        <v>45361</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45361</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24201-2021</t>
        </is>
      </c>
      <c r="B377" s="1" t="n">
        <v>44336</v>
      </c>
      <c r="C377" s="1" t="n">
        <v>45361</v>
      </c>
      <c r="D377" t="inlineStr">
        <is>
          <t>JÄMTLANDS LÄN</t>
        </is>
      </c>
      <c r="E377" t="inlineStr">
        <is>
          <t>ÅRE</t>
        </is>
      </c>
      <c r="G377" t="n">
        <v>23.1</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45361</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45361</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45361</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45361</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45361</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45361</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45361</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45361</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45361</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45361</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45361</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45361</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45361</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45361</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45361</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45361</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45361</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45361</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45361</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45361</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45361</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45361</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45361</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45361</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45361</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45361</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45361</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45361</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45361</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45361</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45361</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45361</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45361</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45361</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45361</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45361</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45361</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45361</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45361</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45361</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45361</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45361</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45361</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45361</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45361</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45361</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45361</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45361</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45361</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45361</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45361</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45361</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45361</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45361</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45361</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45361</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45361</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45361</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45361</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45361</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45361</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45361</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45361</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45361</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45361</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45361</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45361</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45361</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45361</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45361</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45361</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45361</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45361</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45361</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45361</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45361</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45361</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45361</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5160-2022</t>
        </is>
      </c>
      <c r="B456" s="1" t="n">
        <v>44593</v>
      </c>
      <c r="C456" s="1" t="n">
        <v>45361</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45361</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45361</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45361</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45361</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45361</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45361</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45361</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45361</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45361</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45361</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45361</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45361</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45361</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45361</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45361</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45361</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45361</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45361</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45361</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45361</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27805-2022</t>
        </is>
      </c>
      <c r="B477" s="1" t="n">
        <v>44743</v>
      </c>
      <c r="C477" s="1" t="n">
        <v>45361</v>
      </c>
      <c r="D477" t="inlineStr">
        <is>
          <t>JÄMTLANDS LÄN</t>
        </is>
      </c>
      <c r="E477" t="inlineStr">
        <is>
          <t>ÅRE</t>
        </is>
      </c>
      <c r="G477" t="n">
        <v>106.2</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45361</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45361</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45361</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45361</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45361</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45361</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45361</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45361</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45361</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45361</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45361</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45361</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45361</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45361</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45361</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45361</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45361</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45361</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45361</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45361</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45361</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45361</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45361</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45361</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45361</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45361</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45361</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45361</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45361</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45361</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45361</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45361</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45361</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45361</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45361</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45361</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45361</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45361</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45361</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45361</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45361</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45361</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45361</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45361</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45361</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45361</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45361</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45361</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45361</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45361</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45361</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45361</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55194-2022</t>
        </is>
      </c>
      <c r="B530" s="1" t="n">
        <v>44886</v>
      </c>
      <c r="C530" s="1" t="n">
        <v>45361</v>
      </c>
      <c r="D530" t="inlineStr">
        <is>
          <t>JÄMTLANDS LÄN</t>
        </is>
      </c>
      <c r="E530" t="inlineStr">
        <is>
          <t>ÅRE</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45361</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45361</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45361</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45361</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45361</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45361</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45361</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45361</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45361</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45361</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45361</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45361</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45361</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45361</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45361</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45361</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45361</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45361</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45361</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45361</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45361</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45361</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45361</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45361</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45361</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45361</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45361</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45361</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45361</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45361</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45361</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45361</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45361</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45361</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45361</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45361</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45361</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45361</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45361</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45361</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45361</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45361</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45361</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45361</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45361</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45361</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45361</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45361</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45361</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45361</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45361</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45361</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45361</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45361</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45361</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45361</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45361</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45361</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45361</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45361</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45361</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45361</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45361</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45361</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45361</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45361</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45361</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45361</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45361</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45361</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45361</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45361</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45361</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45361</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45361</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45361</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45361</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45361</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5611-2023</t>
        </is>
      </c>
      <c r="B609" s="1" t="n">
        <v>44958</v>
      </c>
      <c r="C609" s="1" t="n">
        <v>45361</v>
      </c>
      <c r="D609" t="inlineStr">
        <is>
          <t>JÄMTLANDS LÄN</t>
        </is>
      </c>
      <c r="E609" t="inlineStr">
        <is>
          <t>ÅRE</t>
        </is>
      </c>
      <c r="G609" t="n">
        <v>10.5</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45361</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45361</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45361</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45361</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45361</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45361</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45361</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45361</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45361</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45361</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45361</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45361</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45361</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45361</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45361</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45361</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45361</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45361</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45361</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45361</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45361</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45361</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45361</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45361</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45361</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45361</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45361</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45361</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45361</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45361</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45361</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45361</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45361</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45361</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45361</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45361</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45361</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45361</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45361</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45361</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45361</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45361</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45361</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45361</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45361</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45361</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45361</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45361</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45361</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45361</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45361</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45361</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45361</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45361</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45361</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45361</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45361</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45361</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45361</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45361</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45361</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45361</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45361</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45361</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45361</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45361</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45361</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45361</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45361</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45361</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45361</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45361</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45361</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45361</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45361</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45361</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45361</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45361</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45361</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45361</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45361</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45361</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45361</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45361</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45361</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45361</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45361</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45361</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45361</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45361</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45361</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45361</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45361</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45361</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45361</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45361</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45361</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45361</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45361</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45361</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45361</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45361</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45361</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45361</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54128-2023</t>
        </is>
      </c>
      <c r="B714" s="1" t="n">
        <v>45232</v>
      </c>
      <c r="C714" s="1" t="n">
        <v>45361</v>
      </c>
      <c r="D714" t="inlineStr">
        <is>
          <t>JÄMTLANDS LÄN</t>
        </is>
      </c>
      <c r="E714" t="inlineStr">
        <is>
          <t>ÅRE</t>
        </is>
      </c>
      <c r="G714" t="n">
        <v>3.9</v>
      </c>
      <c r="H714" t="n">
        <v>0</v>
      </c>
      <c r="I714" t="n">
        <v>0</v>
      </c>
      <c r="J714" t="n">
        <v>0</v>
      </c>
      <c r="K714" t="n">
        <v>0</v>
      </c>
      <c r="L714" t="n">
        <v>0</v>
      </c>
      <c r="M714" t="n">
        <v>0</v>
      </c>
      <c r="N714" t="n">
        <v>0</v>
      </c>
      <c r="O714" t="n">
        <v>0</v>
      </c>
      <c r="P714" t="n">
        <v>0</v>
      </c>
      <c r="Q714" t="n">
        <v>0</v>
      </c>
      <c r="R714" s="2" t="inlineStr"/>
    </row>
    <row r="715" ht="15" customHeight="1">
      <c r="A715" t="inlineStr">
        <is>
          <t>A 54175-2023</t>
        </is>
      </c>
      <c r="B715" s="1" t="n">
        <v>45232</v>
      </c>
      <c r="C715" s="1" t="n">
        <v>45361</v>
      </c>
      <c r="D715" t="inlineStr">
        <is>
          <t>JÄMTLANDS LÄN</t>
        </is>
      </c>
      <c r="E715" t="inlineStr">
        <is>
          <t>ÅRE</t>
        </is>
      </c>
      <c r="G715" t="n">
        <v>0.1</v>
      </c>
      <c r="H715" t="n">
        <v>0</v>
      </c>
      <c r="I715" t="n">
        <v>0</v>
      </c>
      <c r="J715" t="n">
        <v>0</v>
      </c>
      <c r="K715" t="n">
        <v>0</v>
      </c>
      <c r="L715" t="n">
        <v>0</v>
      </c>
      <c r="M715" t="n">
        <v>0</v>
      </c>
      <c r="N715" t="n">
        <v>0</v>
      </c>
      <c r="O715" t="n">
        <v>0</v>
      </c>
      <c r="P715" t="n">
        <v>0</v>
      </c>
      <c r="Q715" t="n">
        <v>0</v>
      </c>
      <c r="R715" s="2" t="inlineStr"/>
    </row>
    <row r="716" ht="15" customHeight="1">
      <c r="A716" t="inlineStr">
        <is>
          <t>A 56044-2023</t>
        </is>
      </c>
      <c r="B716" s="1" t="n">
        <v>45233</v>
      </c>
      <c r="C716" s="1" t="n">
        <v>45361</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54385-2023</t>
        </is>
      </c>
      <c r="B717" s="1" t="n">
        <v>45233</v>
      </c>
      <c r="C717" s="1" t="n">
        <v>45361</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54377-2023</t>
        </is>
      </c>
      <c r="B718" s="1" t="n">
        <v>45233</v>
      </c>
      <c r="C718" s="1" t="n">
        <v>45361</v>
      </c>
      <c r="D718" t="inlineStr">
        <is>
          <t>JÄMTLANDS LÄN</t>
        </is>
      </c>
      <c r="E718" t="inlineStr">
        <is>
          <t>ÅRE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54373-2023</t>
        </is>
      </c>
      <c r="B719" s="1" t="n">
        <v>45233</v>
      </c>
      <c r="C719" s="1" t="n">
        <v>45361</v>
      </c>
      <c r="D719" t="inlineStr">
        <is>
          <t>JÄMTLANDS LÄN</t>
        </is>
      </c>
      <c r="E719" t="inlineStr">
        <is>
          <t>ÅRE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54781-2023</t>
        </is>
      </c>
      <c r="B720" s="1" t="n">
        <v>45236</v>
      </c>
      <c r="C720" s="1" t="n">
        <v>45361</v>
      </c>
      <c r="D720" t="inlineStr">
        <is>
          <t>JÄMTLANDS LÄN</t>
        </is>
      </c>
      <c r="E720" t="inlineStr">
        <is>
          <t>ÅRE</t>
        </is>
      </c>
      <c r="G720" t="n">
        <v>3.5</v>
      </c>
      <c r="H720" t="n">
        <v>0</v>
      </c>
      <c r="I720" t="n">
        <v>0</v>
      </c>
      <c r="J720" t="n">
        <v>0</v>
      </c>
      <c r="K720" t="n">
        <v>0</v>
      </c>
      <c r="L720" t="n">
        <v>0</v>
      </c>
      <c r="M720" t="n">
        <v>0</v>
      </c>
      <c r="N720" t="n">
        <v>0</v>
      </c>
      <c r="O720" t="n">
        <v>0</v>
      </c>
      <c r="P720" t="n">
        <v>0</v>
      </c>
      <c r="Q720" t="n">
        <v>0</v>
      </c>
      <c r="R720" s="2" t="inlineStr"/>
    </row>
    <row r="721" ht="15" customHeight="1">
      <c r="A721" t="inlineStr">
        <is>
          <t>A 54796-2023</t>
        </is>
      </c>
      <c r="B721" s="1" t="n">
        <v>45236</v>
      </c>
      <c r="C721" s="1" t="n">
        <v>45361</v>
      </c>
      <c r="D721" t="inlineStr">
        <is>
          <t>JÄMTLANDS LÄN</t>
        </is>
      </c>
      <c r="E721" t="inlineStr">
        <is>
          <t>ÅRE</t>
        </is>
      </c>
      <c r="G721" t="n">
        <v>9.1</v>
      </c>
      <c r="H721" t="n">
        <v>0</v>
      </c>
      <c r="I721" t="n">
        <v>0</v>
      </c>
      <c r="J721" t="n">
        <v>0</v>
      </c>
      <c r="K721" t="n">
        <v>0</v>
      </c>
      <c r="L721" t="n">
        <v>0</v>
      </c>
      <c r="M721" t="n">
        <v>0</v>
      </c>
      <c r="N721" t="n">
        <v>0</v>
      </c>
      <c r="O721" t="n">
        <v>0</v>
      </c>
      <c r="P721" t="n">
        <v>0</v>
      </c>
      <c r="Q721" t="n">
        <v>0</v>
      </c>
      <c r="R721" s="2" t="inlineStr"/>
    </row>
    <row r="722" ht="15" customHeight="1">
      <c r="A722" t="inlineStr">
        <is>
          <t>A 54898-2023</t>
        </is>
      </c>
      <c r="B722" s="1" t="n">
        <v>45236</v>
      </c>
      <c r="C722" s="1" t="n">
        <v>45361</v>
      </c>
      <c r="D722" t="inlineStr">
        <is>
          <t>JÄMTLANDS LÄN</t>
        </is>
      </c>
      <c r="E722" t="inlineStr">
        <is>
          <t>ÅRE</t>
        </is>
      </c>
      <c r="G722" t="n">
        <v>2.7</v>
      </c>
      <c r="H722" t="n">
        <v>0</v>
      </c>
      <c r="I722" t="n">
        <v>0</v>
      </c>
      <c r="J722" t="n">
        <v>0</v>
      </c>
      <c r="K722" t="n">
        <v>0</v>
      </c>
      <c r="L722" t="n">
        <v>0</v>
      </c>
      <c r="M722" t="n">
        <v>0</v>
      </c>
      <c r="N722" t="n">
        <v>0</v>
      </c>
      <c r="O722" t="n">
        <v>0</v>
      </c>
      <c r="P722" t="n">
        <v>0</v>
      </c>
      <c r="Q722" t="n">
        <v>0</v>
      </c>
      <c r="R722" s="2" t="inlineStr"/>
    </row>
    <row r="723" ht="15" customHeight="1">
      <c r="A723" t="inlineStr">
        <is>
          <t>A 54907-2023</t>
        </is>
      </c>
      <c r="B723" s="1" t="n">
        <v>45236</v>
      </c>
      <c r="C723" s="1" t="n">
        <v>45361</v>
      </c>
      <c r="D723" t="inlineStr">
        <is>
          <t>JÄMTLANDS LÄN</t>
        </is>
      </c>
      <c r="E723" t="inlineStr">
        <is>
          <t>ÅRE</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55860-2023</t>
        </is>
      </c>
      <c r="B724" s="1" t="n">
        <v>45239</v>
      </c>
      <c r="C724" s="1" t="n">
        <v>45361</v>
      </c>
      <c r="D724" t="inlineStr">
        <is>
          <t>JÄMTLANDS LÄN</t>
        </is>
      </c>
      <c r="E724" t="inlineStr">
        <is>
          <t>ÅRE</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56609-2023</t>
        </is>
      </c>
      <c r="B725" s="1" t="n">
        <v>45243</v>
      </c>
      <c r="C725" s="1" t="n">
        <v>45361</v>
      </c>
      <c r="D725" t="inlineStr">
        <is>
          <t>JÄMTLANDS LÄN</t>
        </is>
      </c>
      <c r="E725" t="inlineStr">
        <is>
          <t>ÅRE</t>
        </is>
      </c>
      <c r="G725" t="n">
        <v>17.9</v>
      </c>
      <c r="H725" t="n">
        <v>0</v>
      </c>
      <c r="I725" t="n">
        <v>0</v>
      </c>
      <c r="J725" t="n">
        <v>0</v>
      </c>
      <c r="K725" t="n">
        <v>0</v>
      </c>
      <c r="L725" t="n">
        <v>0</v>
      </c>
      <c r="M725" t="n">
        <v>0</v>
      </c>
      <c r="N725" t="n">
        <v>0</v>
      </c>
      <c r="O725" t="n">
        <v>0</v>
      </c>
      <c r="P725" t="n">
        <v>0</v>
      </c>
      <c r="Q725" t="n">
        <v>0</v>
      </c>
      <c r="R725" s="2" t="inlineStr"/>
    </row>
    <row r="726" ht="15" customHeight="1">
      <c r="A726" t="inlineStr">
        <is>
          <t>A 56679-2023</t>
        </is>
      </c>
      <c r="B726" s="1" t="n">
        <v>45243</v>
      </c>
      <c r="C726" s="1" t="n">
        <v>45361</v>
      </c>
      <c r="D726" t="inlineStr">
        <is>
          <t>JÄMTLANDS LÄN</t>
        </is>
      </c>
      <c r="E726" t="inlineStr">
        <is>
          <t>ÅRE</t>
        </is>
      </c>
      <c r="G726" t="n">
        <v>4.3</v>
      </c>
      <c r="H726" t="n">
        <v>0</v>
      </c>
      <c r="I726" t="n">
        <v>0</v>
      </c>
      <c r="J726" t="n">
        <v>0</v>
      </c>
      <c r="K726" t="n">
        <v>0</v>
      </c>
      <c r="L726" t="n">
        <v>0</v>
      </c>
      <c r="M726" t="n">
        <v>0</v>
      </c>
      <c r="N726" t="n">
        <v>0</v>
      </c>
      <c r="O726" t="n">
        <v>0</v>
      </c>
      <c r="P726" t="n">
        <v>0</v>
      </c>
      <c r="Q726" t="n">
        <v>0</v>
      </c>
      <c r="R726" s="2" t="inlineStr"/>
    </row>
    <row r="727" ht="15" customHeight="1">
      <c r="A727" t="inlineStr">
        <is>
          <t>A 56736-2023</t>
        </is>
      </c>
      <c r="B727" s="1" t="n">
        <v>45244</v>
      </c>
      <c r="C727" s="1" t="n">
        <v>45361</v>
      </c>
      <c r="D727" t="inlineStr">
        <is>
          <t>JÄMTLANDS LÄN</t>
        </is>
      </c>
      <c r="E727" t="inlineStr">
        <is>
          <t>ÅRE</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56976-2023</t>
        </is>
      </c>
      <c r="B728" s="1" t="n">
        <v>45244</v>
      </c>
      <c r="C728" s="1" t="n">
        <v>45361</v>
      </c>
      <c r="D728" t="inlineStr">
        <is>
          <t>JÄMTLANDS LÄN</t>
        </is>
      </c>
      <c r="E728" t="inlineStr">
        <is>
          <t>ÅRE</t>
        </is>
      </c>
      <c r="F728" t="inlineStr">
        <is>
          <t>Övriga Aktiebolag</t>
        </is>
      </c>
      <c r="G728" t="n">
        <v>4.9</v>
      </c>
      <c r="H728" t="n">
        <v>0</v>
      </c>
      <c r="I728" t="n">
        <v>0</v>
      </c>
      <c r="J728" t="n">
        <v>0</v>
      </c>
      <c r="K728" t="n">
        <v>0</v>
      </c>
      <c r="L728" t="n">
        <v>0</v>
      </c>
      <c r="M728" t="n">
        <v>0</v>
      </c>
      <c r="N728" t="n">
        <v>0</v>
      </c>
      <c r="O728" t="n">
        <v>0</v>
      </c>
      <c r="P728" t="n">
        <v>0</v>
      </c>
      <c r="Q728" t="n">
        <v>0</v>
      </c>
      <c r="R728" s="2" t="inlineStr"/>
    </row>
    <row r="729" ht="15" customHeight="1">
      <c r="A729" t="inlineStr">
        <is>
          <t>A 57448-2023</t>
        </is>
      </c>
      <c r="B729" s="1" t="n">
        <v>45246</v>
      </c>
      <c r="C729" s="1" t="n">
        <v>45361</v>
      </c>
      <c r="D729" t="inlineStr">
        <is>
          <t>JÄMTLANDS LÄN</t>
        </is>
      </c>
      <c r="E729" t="inlineStr">
        <is>
          <t>ÅRE</t>
        </is>
      </c>
      <c r="G729" t="n">
        <v>11.9</v>
      </c>
      <c r="H729" t="n">
        <v>0</v>
      </c>
      <c r="I729" t="n">
        <v>0</v>
      </c>
      <c r="J729" t="n">
        <v>0</v>
      </c>
      <c r="K729" t="n">
        <v>0</v>
      </c>
      <c r="L729" t="n">
        <v>0</v>
      </c>
      <c r="M729" t="n">
        <v>0</v>
      </c>
      <c r="N729" t="n">
        <v>0</v>
      </c>
      <c r="O729" t="n">
        <v>0</v>
      </c>
      <c r="P729" t="n">
        <v>0</v>
      </c>
      <c r="Q729" t="n">
        <v>0</v>
      </c>
      <c r="R729" s="2" t="inlineStr"/>
    </row>
    <row r="730" ht="15" customHeight="1">
      <c r="A730" t="inlineStr">
        <is>
          <t>A 57772-2023</t>
        </is>
      </c>
      <c r="B730" s="1" t="n">
        <v>45246</v>
      </c>
      <c r="C730" s="1" t="n">
        <v>45361</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57770-2023</t>
        </is>
      </c>
      <c r="B731" s="1" t="n">
        <v>45246</v>
      </c>
      <c r="C731" s="1" t="n">
        <v>45361</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58508-2023</t>
        </is>
      </c>
      <c r="B732" s="1" t="n">
        <v>45246</v>
      </c>
      <c r="C732" s="1" t="n">
        <v>45361</v>
      </c>
      <c r="D732" t="inlineStr">
        <is>
          <t>JÄMTLANDS LÄN</t>
        </is>
      </c>
      <c r="E732" t="inlineStr">
        <is>
          <t>ÅRE</t>
        </is>
      </c>
      <c r="G732" t="n">
        <v>21.8</v>
      </c>
      <c r="H732" t="n">
        <v>0</v>
      </c>
      <c r="I732" t="n">
        <v>0</v>
      </c>
      <c r="J732" t="n">
        <v>0</v>
      </c>
      <c r="K732" t="n">
        <v>0</v>
      </c>
      <c r="L732" t="n">
        <v>0</v>
      </c>
      <c r="M732" t="n">
        <v>0</v>
      </c>
      <c r="N732" t="n">
        <v>0</v>
      </c>
      <c r="O732" t="n">
        <v>0</v>
      </c>
      <c r="P732" t="n">
        <v>0</v>
      </c>
      <c r="Q732" t="n">
        <v>0</v>
      </c>
      <c r="R732" s="2" t="inlineStr"/>
    </row>
    <row r="733" ht="15" customHeight="1">
      <c r="A733" t="inlineStr">
        <is>
          <t>A 58178-2023</t>
        </is>
      </c>
      <c r="B733" s="1" t="n">
        <v>45250</v>
      </c>
      <c r="C733" s="1" t="n">
        <v>45361</v>
      </c>
      <c r="D733" t="inlineStr">
        <is>
          <t>JÄMTLANDS LÄN</t>
        </is>
      </c>
      <c r="E733" t="inlineStr">
        <is>
          <t>ÅRE</t>
        </is>
      </c>
      <c r="G733" t="n">
        <v>2.9</v>
      </c>
      <c r="H733" t="n">
        <v>0</v>
      </c>
      <c r="I733" t="n">
        <v>0</v>
      </c>
      <c r="J733" t="n">
        <v>0</v>
      </c>
      <c r="K733" t="n">
        <v>0</v>
      </c>
      <c r="L733" t="n">
        <v>0</v>
      </c>
      <c r="M733" t="n">
        <v>0</v>
      </c>
      <c r="N733" t="n">
        <v>0</v>
      </c>
      <c r="O733" t="n">
        <v>0</v>
      </c>
      <c r="P733" t="n">
        <v>0</v>
      </c>
      <c r="Q733" t="n">
        <v>0</v>
      </c>
      <c r="R733" s="2" t="inlineStr"/>
    </row>
    <row r="734" ht="15" customHeight="1">
      <c r="A734" t="inlineStr">
        <is>
          <t>A 58196-2023</t>
        </is>
      </c>
      <c r="B734" s="1" t="n">
        <v>45250</v>
      </c>
      <c r="C734" s="1" t="n">
        <v>45361</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58302-2023</t>
        </is>
      </c>
      <c r="B735" s="1" t="n">
        <v>45250</v>
      </c>
      <c r="C735" s="1" t="n">
        <v>45361</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58296-2023</t>
        </is>
      </c>
      <c r="B736" s="1" t="n">
        <v>45250</v>
      </c>
      <c r="C736" s="1" t="n">
        <v>45361</v>
      </c>
      <c r="D736" t="inlineStr">
        <is>
          <t>JÄMTLANDS LÄN</t>
        </is>
      </c>
      <c r="E736" t="inlineStr">
        <is>
          <t>ÅRE</t>
        </is>
      </c>
      <c r="G736" t="n">
        <v>6.3</v>
      </c>
      <c r="H736" t="n">
        <v>0</v>
      </c>
      <c r="I736" t="n">
        <v>0</v>
      </c>
      <c r="J736" t="n">
        <v>0</v>
      </c>
      <c r="K736" t="n">
        <v>0</v>
      </c>
      <c r="L736" t="n">
        <v>0</v>
      </c>
      <c r="M736" t="n">
        <v>0</v>
      </c>
      <c r="N736" t="n">
        <v>0</v>
      </c>
      <c r="O736" t="n">
        <v>0</v>
      </c>
      <c r="P736" t="n">
        <v>0</v>
      </c>
      <c r="Q736" t="n">
        <v>0</v>
      </c>
      <c r="R736" s="2" t="inlineStr"/>
    </row>
    <row r="737" ht="15" customHeight="1">
      <c r="A737" t="inlineStr">
        <is>
          <t>A 58299-2023</t>
        </is>
      </c>
      <c r="B737" s="1" t="n">
        <v>45250</v>
      </c>
      <c r="C737" s="1" t="n">
        <v>45361</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58907-2023</t>
        </is>
      </c>
      <c r="B738" s="1" t="n">
        <v>45252</v>
      </c>
      <c r="C738" s="1" t="n">
        <v>45361</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59267-2023</t>
        </is>
      </c>
      <c r="B739" s="1" t="n">
        <v>45253</v>
      </c>
      <c r="C739" s="1" t="n">
        <v>45361</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59274-2023</t>
        </is>
      </c>
      <c r="B740" s="1" t="n">
        <v>45253</v>
      </c>
      <c r="C740" s="1" t="n">
        <v>45361</v>
      </c>
      <c r="D740" t="inlineStr">
        <is>
          <t>JÄMTLANDS LÄN</t>
        </is>
      </c>
      <c r="E740" t="inlineStr">
        <is>
          <t>ÅRE</t>
        </is>
      </c>
      <c r="G740" t="n">
        <v>1.5</v>
      </c>
      <c r="H740" t="n">
        <v>0</v>
      </c>
      <c r="I740" t="n">
        <v>0</v>
      </c>
      <c r="J740" t="n">
        <v>0</v>
      </c>
      <c r="K740" t="n">
        <v>0</v>
      </c>
      <c r="L740" t="n">
        <v>0</v>
      </c>
      <c r="M740" t="n">
        <v>0</v>
      </c>
      <c r="N740" t="n">
        <v>0</v>
      </c>
      <c r="O740" t="n">
        <v>0</v>
      </c>
      <c r="P740" t="n">
        <v>0</v>
      </c>
      <c r="Q740" t="n">
        <v>0</v>
      </c>
      <c r="R740" s="2" t="inlineStr"/>
    </row>
    <row r="741" ht="15" customHeight="1">
      <c r="A741" t="inlineStr">
        <is>
          <t>A 59400-2023</t>
        </is>
      </c>
      <c r="B741" s="1" t="n">
        <v>45253</v>
      </c>
      <c r="C741" s="1" t="n">
        <v>45361</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59398-2023</t>
        </is>
      </c>
      <c r="B742" s="1" t="n">
        <v>45253</v>
      </c>
      <c r="C742" s="1" t="n">
        <v>45361</v>
      </c>
      <c r="D742" t="inlineStr">
        <is>
          <t>JÄMTLANDS LÄN</t>
        </is>
      </c>
      <c r="E742" t="inlineStr">
        <is>
          <t>ÅRE</t>
        </is>
      </c>
      <c r="G742" t="n">
        <v>2.3</v>
      </c>
      <c r="H742" t="n">
        <v>0</v>
      </c>
      <c r="I742" t="n">
        <v>0</v>
      </c>
      <c r="J742" t="n">
        <v>0</v>
      </c>
      <c r="K742" t="n">
        <v>0</v>
      </c>
      <c r="L742" t="n">
        <v>0</v>
      </c>
      <c r="M742" t="n">
        <v>0</v>
      </c>
      <c r="N742" t="n">
        <v>0</v>
      </c>
      <c r="O742" t="n">
        <v>0</v>
      </c>
      <c r="P742" t="n">
        <v>0</v>
      </c>
      <c r="Q742" t="n">
        <v>0</v>
      </c>
      <c r="R742" s="2" t="inlineStr"/>
    </row>
    <row r="743" ht="15" customHeight="1">
      <c r="A743" t="inlineStr">
        <is>
          <t>A 59414-2023</t>
        </is>
      </c>
      <c r="B743" s="1" t="n">
        <v>45254</v>
      </c>
      <c r="C743" s="1" t="n">
        <v>45361</v>
      </c>
      <c r="D743" t="inlineStr">
        <is>
          <t>JÄMTLANDS LÄN</t>
        </is>
      </c>
      <c r="E743" t="inlineStr">
        <is>
          <t>ÅRE</t>
        </is>
      </c>
      <c r="G743" t="n">
        <v>3.6</v>
      </c>
      <c r="H743" t="n">
        <v>0</v>
      </c>
      <c r="I743" t="n">
        <v>0</v>
      </c>
      <c r="J743" t="n">
        <v>0</v>
      </c>
      <c r="K743" t="n">
        <v>0</v>
      </c>
      <c r="L743" t="n">
        <v>0</v>
      </c>
      <c r="M743" t="n">
        <v>0</v>
      </c>
      <c r="N743" t="n">
        <v>0</v>
      </c>
      <c r="O743" t="n">
        <v>0</v>
      </c>
      <c r="P743" t="n">
        <v>0</v>
      </c>
      <c r="Q743" t="n">
        <v>0</v>
      </c>
      <c r="R743" s="2" t="inlineStr"/>
    </row>
    <row r="744" ht="15" customHeight="1">
      <c r="A744" t="inlineStr">
        <is>
          <t>A 59413-2023</t>
        </is>
      </c>
      <c r="B744" s="1" t="n">
        <v>45254</v>
      </c>
      <c r="C744" s="1" t="n">
        <v>45361</v>
      </c>
      <c r="D744" t="inlineStr">
        <is>
          <t>JÄMTLANDS LÄN</t>
        </is>
      </c>
      <c r="E744" t="inlineStr">
        <is>
          <t>ÅRE</t>
        </is>
      </c>
      <c r="G744" t="n">
        <v>4</v>
      </c>
      <c r="H744" t="n">
        <v>0</v>
      </c>
      <c r="I744" t="n">
        <v>0</v>
      </c>
      <c r="J744" t="n">
        <v>0</v>
      </c>
      <c r="K744" t="n">
        <v>0</v>
      </c>
      <c r="L744" t="n">
        <v>0</v>
      </c>
      <c r="M744" t="n">
        <v>0</v>
      </c>
      <c r="N744" t="n">
        <v>0</v>
      </c>
      <c r="O744" t="n">
        <v>0</v>
      </c>
      <c r="P744" t="n">
        <v>0</v>
      </c>
      <c r="Q744" t="n">
        <v>0</v>
      </c>
      <c r="R744" s="2" t="inlineStr"/>
    </row>
    <row r="745" ht="15" customHeight="1">
      <c r="A745" t="inlineStr">
        <is>
          <t>A 59666-2023</t>
        </is>
      </c>
      <c r="B745" s="1" t="n">
        <v>45255</v>
      </c>
      <c r="C745" s="1" t="n">
        <v>45361</v>
      </c>
      <c r="D745" t="inlineStr">
        <is>
          <t>JÄMTLANDS LÄN</t>
        </is>
      </c>
      <c r="E745" t="inlineStr">
        <is>
          <t>ÅRE</t>
        </is>
      </c>
      <c r="G745" t="n">
        <v>6.6</v>
      </c>
      <c r="H745" t="n">
        <v>0</v>
      </c>
      <c r="I745" t="n">
        <v>0</v>
      </c>
      <c r="J745" t="n">
        <v>0</v>
      </c>
      <c r="K745" t="n">
        <v>0</v>
      </c>
      <c r="L745" t="n">
        <v>0</v>
      </c>
      <c r="M745" t="n">
        <v>0</v>
      </c>
      <c r="N745" t="n">
        <v>0</v>
      </c>
      <c r="O745" t="n">
        <v>0</v>
      </c>
      <c r="P745" t="n">
        <v>0</v>
      </c>
      <c r="Q745" t="n">
        <v>0</v>
      </c>
      <c r="R745" s="2" t="inlineStr"/>
    </row>
    <row r="746" ht="15" customHeight="1">
      <c r="A746" t="inlineStr">
        <is>
          <t>A 59753-2023</t>
        </is>
      </c>
      <c r="B746" s="1" t="n">
        <v>45254</v>
      </c>
      <c r="C746" s="1" t="n">
        <v>45361</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59968-2023</t>
        </is>
      </c>
      <c r="B747" s="1" t="n">
        <v>45254</v>
      </c>
      <c r="C747" s="1" t="n">
        <v>45361</v>
      </c>
      <c r="D747" t="inlineStr">
        <is>
          <t>JÄMTLANDS LÄN</t>
        </is>
      </c>
      <c r="E747" t="inlineStr">
        <is>
          <t>ÅRE</t>
        </is>
      </c>
      <c r="G747" t="n">
        <v>1.7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45361</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45361</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45361</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45361</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60332-2023</t>
        </is>
      </c>
      <c r="B752" s="1" t="n">
        <v>45258</v>
      </c>
      <c r="C752" s="1" t="n">
        <v>45361</v>
      </c>
      <c r="D752" t="inlineStr">
        <is>
          <t>JÄMTLANDS LÄN</t>
        </is>
      </c>
      <c r="E752" t="inlineStr">
        <is>
          <t>ÅRE</t>
        </is>
      </c>
      <c r="G752" t="n">
        <v>12.5</v>
      </c>
      <c r="H752" t="n">
        <v>0</v>
      </c>
      <c r="I752" t="n">
        <v>0</v>
      </c>
      <c r="J752" t="n">
        <v>0</v>
      </c>
      <c r="K752" t="n">
        <v>0</v>
      </c>
      <c r="L752" t="n">
        <v>0</v>
      </c>
      <c r="M752" t="n">
        <v>0</v>
      </c>
      <c r="N752" t="n">
        <v>0</v>
      </c>
      <c r="O752" t="n">
        <v>0</v>
      </c>
      <c r="P752" t="n">
        <v>0</v>
      </c>
      <c r="Q752" t="n">
        <v>0</v>
      </c>
      <c r="R752" s="2" t="inlineStr"/>
    </row>
    <row r="753" ht="15" customHeight="1">
      <c r="A753" t="inlineStr">
        <is>
          <t>A 60808-2023</t>
        </is>
      </c>
      <c r="B753" s="1" t="n">
        <v>45260</v>
      </c>
      <c r="C753" s="1" t="n">
        <v>45361</v>
      </c>
      <c r="D753" t="inlineStr">
        <is>
          <t>JÄMTLANDS LÄN</t>
        </is>
      </c>
      <c r="E753" t="inlineStr">
        <is>
          <t>ÅRE</t>
        </is>
      </c>
      <c r="G753" t="n">
        <v>10.4</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45361</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45361</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61622-2023</t>
        </is>
      </c>
      <c r="B756" s="1" t="n">
        <v>45261</v>
      </c>
      <c r="C756" s="1" t="n">
        <v>45361</v>
      </c>
      <c r="D756" t="inlineStr">
        <is>
          <t>JÄMTLANDS LÄN</t>
        </is>
      </c>
      <c r="E756" t="inlineStr">
        <is>
          <t>ÅRE</t>
        </is>
      </c>
      <c r="G756" t="n">
        <v>1.6</v>
      </c>
      <c r="H756" t="n">
        <v>0</v>
      </c>
      <c r="I756" t="n">
        <v>0</v>
      </c>
      <c r="J756" t="n">
        <v>0</v>
      </c>
      <c r="K756" t="n">
        <v>0</v>
      </c>
      <c r="L756" t="n">
        <v>0</v>
      </c>
      <c r="M756" t="n">
        <v>0</v>
      </c>
      <c r="N756" t="n">
        <v>0</v>
      </c>
      <c r="O756" t="n">
        <v>0</v>
      </c>
      <c r="P756" t="n">
        <v>0</v>
      </c>
      <c r="Q756" t="n">
        <v>0</v>
      </c>
      <c r="R756" s="2" t="inlineStr"/>
    </row>
    <row r="757" ht="15" customHeight="1">
      <c r="A757" t="inlineStr">
        <is>
          <t>A 61183-2023</t>
        </is>
      </c>
      <c r="B757" s="1" t="n">
        <v>45263</v>
      </c>
      <c r="C757" s="1" t="n">
        <v>45361</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45361</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45361</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45361</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61828-2023</t>
        </is>
      </c>
      <c r="B761" s="1" t="n">
        <v>45264</v>
      </c>
      <c r="C761" s="1" t="n">
        <v>45361</v>
      </c>
      <c r="D761" t="inlineStr">
        <is>
          <t>JÄMTLANDS LÄN</t>
        </is>
      </c>
      <c r="E761" t="inlineStr">
        <is>
          <t>ÅRE</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45361</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61978-2023</t>
        </is>
      </c>
      <c r="B763" s="1" t="n">
        <v>45266</v>
      </c>
      <c r="C763" s="1" t="n">
        <v>45361</v>
      </c>
      <c r="D763" t="inlineStr">
        <is>
          <t>JÄMTLANDS LÄN</t>
        </is>
      </c>
      <c r="E763" t="inlineStr">
        <is>
          <t>ÅRE</t>
        </is>
      </c>
      <c r="G763" t="n">
        <v>5.5</v>
      </c>
      <c r="H763" t="n">
        <v>0</v>
      </c>
      <c r="I763" t="n">
        <v>0</v>
      </c>
      <c r="J763" t="n">
        <v>0</v>
      </c>
      <c r="K763" t="n">
        <v>0</v>
      </c>
      <c r="L763" t="n">
        <v>0</v>
      </c>
      <c r="M763" t="n">
        <v>0</v>
      </c>
      <c r="N763" t="n">
        <v>0</v>
      </c>
      <c r="O763" t="n">
        <v>0</v>
      </c>
      <c r="P763" t="n">
        <v>0</v>
      </c>
      <c r="Q763" t="n">
        <v>0</v>
      </c>
      <c r="R763" s="2" t="inlineStr"/>
    </row>
    <row r="764" ht="15" customHeight="1">
      <c r="A764" t="inlineStr">
        <is>
          <t>A 63906-2023</t>
        </is>
      </c>
      <c r="B764" s="1" t="n">
        <v>45278</v>
      </c>
      <c r="C764" s="1" t="n">
        <v>45361</v>
      </c>
      <c r="D764" t="inlineStr">
        <is>
          <t>JÄMTLANDS LÄN</t>
        </is>
      </c>
      <c r="E764" t="inlineStr">
        <is>
          <t>ÅRE</t>
        </is>
      </c>
      <c r="G764" t="n">
        <v>12</v>
      </c>
      <c r="H764" t="n">
        <v>0</v>
      </c>
      <c r="I764" t="n">
        <v>0</v>
      </c>
      <c r="J764" t="n">
        <v>0</v>
      </c>
      <c r="K764" t="n">
        <v>0</v>
      </c>
      <c r="L764" t="n">
        <v>0</v>
      </c>
      <c r="M764" t="n">
        <v>0</v>
      </c>
      <c r="N764" t="n">
        <v>0</v>
      </c>
      <c r="O764" t="n">
        <v>0</v>
      </c>
      <c r="P764" t="n">
        <v>0</v>
      </c>
      <c r="Q764" t="n">
        <v>0</v>
      </c>
      <c r="R764" s="2" t="inlineStr"/>
    </row>
    <row r="765" ht="15" customHeight="1">
      <c r="A765" t="inlineStr">
        <is>
          <t>A 64312-2023</t>
        </is>
      </c>
      <c r="B765" s="1" t="n">
        <v>45279</v>
      </c>
      <c r="C765" s="1" t="n">
        <v>45361</v>
      </c>
      <c r="D765" t="inlineStr">
        <is>
          <t>JÄMTLANDS LÄN</t>
        </is>
      </c>
      <c r="E765" t="inlineStr">
        <is>
          <t>ÅRE</t>
        </is>
      </c>
      <c r="G765" t="n">
        <v>13.4</v>
      </c>
      <c r="H765" t="n">
        <v>0</v>
      </c>
      <c r="I765" t="n">
        <v>0</v>
      </c>
      <c r="J765" t="n">
        <v>0</v>
      </c>
      <c r="K765" t="n">
        <v>0</v>
      </c>
      <c r="L765" t="n">
        <v>0</v>
      </c>
      <c r="M765" t="n">
        <v>0</v>
      </c>
      <c r="N765" t="n">
        <v>0</v>
      </c>
      <c r="O765" t="n">
        <v>0</v>
      </c>
      <c r="P765" t="n">
        <v>0</v>
      </c>
      <c r="Q765" t="n">
        <v>0</v>
      </c>
      <c r="R765" s="2" t="inlineStr"/>
    </row>
    <row r="766" ht="15" customHeight="1">
      <c r="A766" t="inlineStr">
        <is>
          <t>A 64758-2023</t>
        </is>
      </c>
      <c r="B766" s="1" t="n">
        <v>45281</v>
      </c>
      <c r="C766" s="1" t="n">
        <v>45361</v>
      </c>
      <c r="D766" t="inlineStr">
        <is>
          <t>JÄMTLANDS LÄN</t>
        </is>
      </c>
      <c r="E766" t="inlineStr">
        <is>
          <t>ÅRE</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45361</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45361</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45361</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45361</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45361</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45361</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747-2024</t>
        </is>
      </c>
      <c r="B773" s="1" t="n">
        <v>45300</v>
      </c>
      <c r="C773" s="1" t="n">
        <v>45361</v>
      </c>
      <c r="D773" t="inlineStr">
        <is>
          <t>JÄMTLANDS LÄN</t>
        </is>
      </c>
      <c r="E773" t="inlineStr">
        <is>
          <t>ÅRE</t>
        </is>
      </c>
      <c r="G773" t="n">
        <v>4.8</v>
      </c>
      <c r="H773" t="n">
        <v>0</v>
      </c>
      <c r="I773" t="n">
        <v>0</v>
      </c>
      <c r="J773" t="n">
        <v>0</v>
      </c>
      <c r="K773" t="n">
        <v>0</v>
      </c>
      <c r="L773" t="n">
        <v>0</v>
      </c>
      <c r="M773" t="n">
        <v>0</v>
      </c>
      <c r="N773" t="n">
        <v>0</v>
      </c>
      <c r="O773" t="n">
        <v>0</v>
      </c>
      <c r="P773" t="n">
        <v>0</v>
      </c>
      <c r="Q773" t="n">
        <v>0</v>
      </c>
      <c r="R773" s="2" t="inlineStr"/>
    </row>
    <row r="774" ht="15" customHeight="1">
      <c r="A774" t="inlineStr">
        <is>
          <t>A 1050-2024</t>
        </is>
      </c>
      <c r="B774" s="1" t="n">
        <v>45301</v>
      </c>
      <c r="C774" s="1" t="n">
        <v>45361</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1378-2024</t>
        </is>
      </c>
      <c r="B775" s="1" t="n">
        <v>45303</v>
      </c>
      <c r="C775" s="1" t="n">
        <v>45361</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1460-2024</t>
        </is>
      </c>
      <c r="B776" s="1" t="n">
        <v>45303</v>
      </c>
      <c r="C776" s="1" t="n">
        <v>45361</v>
      </c>
      <c r="D776" t="inlineStr">
        <is>
          <t>JÄMTLANDS LÄN</t>
        </is>
      </c>
      <c r="E776" t="inlineStr">
        <is>
          <t>ÅRE</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1491-2024</t>
        </is>
      </c>
      <c r="B777" s="1" t="n">
        <v>45305</v>
      </c>
      <c r="C777" s="1" t="n">
        <v>45361</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6825-2024</t>
        </is>
      </c>
      <c r="B778" s="1" t="n">
        <v>45342</v>
      </c>
      <c r="C778" s="1" t="n">
        <v>45361</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45361</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45361</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8131-2024</t>
        </is>
      </c>
      <c r="B781" s="1" t="n">
        <v>45351</v>
      </c>
      <c r="C781" s="1" t="n">
        <v>45361</v>
      </c>
      <c r="D781" t="inlineStr">
        <is>
          <t>JÄMTLANDS LÄN</t>
        </is>
      </c>
      <c r="E781" t="inlineStr">
        <is>
          <t>ÅRE</t>
        </is>
      </c>
      <c r="F781" t="inlineStr">
        <is>
          <t>Övriga Aktiebolag</t>
        </is>
      </c>
      <c r="G781" t="n">
        <v>3.1</v>
      </c>
      <c r="H781" t="n">
        <v>0</v>
      </c>
      <c r="I781" t="n">
        <v>0</v>
      </c>
      <c r="J781" t="n">
        <v>0</v>
      </c>
      <c r="K781" t="n">
        <v>0</v>
      </c>
      <c r="L781" t="n">
        <v>0</v>
      </c>
      <c r="M781" t="n">
        <v>0</v>
      </c>
      <c r="N781" t="n">
        <v>0</v>
      </c>
      <c r="O781" t="n">
        <v>0</v>
      </c>
      <c r="P781" t="n">
        <v>0</v>
      </c>
      <c r="Q781" t="n">
        <v>0</v>
      </c>
      <c r="R781" s="2" t="inlineStr"/>
    </row>
    <row r="782" ht="15" customHeight="1">
      <c r="A782" t="inlineStr">
        <is>
          <t>A 8379-2024</t>
        </is>
      </c>
      <c r="B782" s="1" t="n">
        <v>45352</v>
      </c>
      <c r="C782" s="1" t="n">
        <v>45361</v>
      </c>
      <c r="D782" t="inlineStr">
        <is>
          <t>JÄMTLANDS LÄN</t>
        </is>
      </c>
      <c r="E782" t="inlineStr">
        <is>
          <t>ÅRE</t>
        </is>
      </c>
      <c r="G782" t="n">
        <v>14.9</v>
      </c>
      <c r="H782" t="n">
        <v>0</v>
      </c>
      <c r="I782" t="n">
        <v>0</v>
      </c>
      <c r="J782" t="n">
        <v>0</v>
      </c>
      <c r="K782" t="n">
        <v>0</v>
      </c>
      <c r="L782" t="n">
        <v>0</v>
      </c>
      <c r="M782" t="n">
        <v>0</v>
      </c>
      <c r="N782" t="n">
        <v>0</v>
      </c>
      <c r="O782" t="n">
        <v>0</v>
      </c>
      <c r="P782" t="n">
        <v>0</v>
      </c>
      <c r="Q782" t="n">
        <v>0</v>
      </c>
      <c r="R782" s="2" t="inlineStr"/>
    </row>
    <row r="783">
      <c r="A783" t="inlineStr">
        <is>
          <t>A 8576-2024</t>
        </is>
      </c>
      <c r="B783" s="1" t="n">
        <v>45355</v>
      </c>
      <c r="C783" s="1" t="n">
        <v>45361</v>
      </c>
      <c r="D783" t="inlineStr">
        <is>
          <t>JÄMTLANDS LÄN</t>
        </is>
      </c>
      <c r="E783" t="inlineStr">
        <is>
          <t>ÅRE</t>
        </is>
      </c>
      <c r="G783" t="n">
        <v>21.7</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2024-03-10T17:25:24Z</dcterms:created>
  <dcterms:modified xmlns:dcterms="http://purl.org/dc/terms/" xmlns:xsi="http://www.w3.org/2001/XMLSchema-instance" xsi:type="dcterms:W3CDTF">2024-03-10T17:25:24Z</dcterms:modified>
</cp:coreProperties>
</file>