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46222</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46222</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46222</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46222</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46222</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46222</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Y7">
        <f>HYPERLINK("https://klasma.github.io/Logging_2321/klagomål/A 45855-2024 FSC-klagomål.docx", "A 45855-2024")</f>
        <v/>
      </c>
      <c r="Z7">
        <f>HYPERLINK("https://klasma.github.io/Logging_2321/klagomålsmail/A 45855-2024 FSC-klagomål mail.docx", "A 45855-2024")</f>
        <v/>
      </c>
      <c r="AA7">
        <f>HYPERLINK("https://klasma.github.io/Logging_2321/tillsyn/A 45855-2024 tillsynsbegäran.docx", "A 45855-2024")</f>
        <v/>
      </c>
      <c r="AB7">
        <f>HYPERLINK("https://klasma.github.io/Logging_2321/tillsynsmail/A 45855-2024 tillsynsbegäran mail.docx", "A 45855-2024")</f>
        <v/>
      </c>
      <c r="AC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46222</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HYPERLINK("https://klasma.github.io/Logging_2321/knärot/A 17481-2026 karta knärot.png", "A 17481-2026")</f>
        <v/>
      </c>
      <c r="Y8">
        <f>HYPERLINK("https://klasma.github.io/Logging_2321/klagomål/A 17481-2026 FSC-klagomål.docx", "A 17481-2026")</f>
        <v/>
      </c>
      <c r="Z8">
        <f>HYPERLINK("https://klasma.github.io/Logging_2321/klagomålsmail/A 17481-2026 FSC-klagomål mail.docx", "A 17481-2026")</f>
        <v/>
      </c>
      <c r="AA8">
        <f>HYPERLINK("https://klasma.github.io/Logging_2321/tillsyn/A 17481-2026 tillsynsbegäran.docx", "A 17481-2026")</f>
        <v/>
      </c>
      <c r="AB8">
        <f>HYPERLINK("https://klasma.github.io/Logging_2321/tillsynsmail/A 17481-2026 tillsynsbegäran mail.docx", "A 17481-2026")</f>
        <v/>
      </c>
      <c r="AC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46222</v>
      </c>
      <c r="F9" t="inlineStr">
        <is>
          <t>JÄMTLANDS LÄN</t>
        </is>
      </c>
      <c r="G9" t="inlineStr">
        <is>
          <t>ÅRE</t>
        </is>
      </c>
      <c r="I9" t="n">
        <v>5.9</v>
      </c>
      <c r="J9" t="n">
        <v>2</v>
      </c>
      <c r="K9" t="n">
        <v>7</v>
      </c>
      <c r="L9" t="n">
        <v>7</v>
      </c>
      <c r="M9" t="n">
        <v>6</v>
      </c>
      <c r="N9" t="n">
        <v>1</v>
      </c>
      <c r="O9" t="n">
        <v>0</v>
      </c>
      <c r="P9" t="n">
        <v>0</v>
      </c>
      <c r="Q9" t="n">
        <v>14</v>
      </c>
      <c r="R9" t="n">
        <v>7</v>
      </c>
      <c r="S9" t="n">
        <v>22</v>
      </c>
      <c r="T9" t="n">
        <v>57</v>
      </c>
      <c r="U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
        <f>HYPERLINK("https://klasma.github.io/Logging_2321/artfynd/A 40318-2025 artfynd.xlsx", "A 40318-2025")</f>
        <v/>
      </c>
      <c r="W9">
        <f>HYPERLINK("https://klasma.github.io/Logging_2321/kartor/A 40318-2025 karta.png", "A 40318-2025")</f>
        <v/>
      </c>
      <c r="X9">
        <f>HYPERLINK("https://klasma.github.io/Logging_2321/knärot/A 40318-2025 karta knärot.png", "A 40318-2025")</f>
        <v/>
      </c>
      <c r="Y9">
        <f>HYPERLINK("https://klasma.github.io/Logging_2321/klagomål/A 40318-2025 FSC-klagomål.docx", "A 40318-2025")</f>
        <v/>
      </c>
      <c r="Z9">
        <f>HYPERLINK("https://klasma.github.io/Logging_2321/klagomålsmail/A 40318-2025 FSC-klagomål mail.docx", "A 40318-2025")</f>
        <v/>
      </c>
      <c r="AA9">
        <f>HYPERLINK("https://klasma.github.io/Logging_2321/tillsyn/A 40318-2025 tillsynsbegäran.docx", "A 40318-2025")</f>
        <v/>
      </c>
      <c r="AB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10">
        <f>HYPERLINK("https://klasma.github.io/Logging_2321/artfynd/A 10605-2026 artfynd.xlsx", "A 10605-2026")</f>
        <v/>
      </c>
      <c r="W10">
        <f>HYPERLINK("https://klasma.github.io/Logging_2321/kartor/A 10605-2026 karta.png", "A 10605-2026")</f>
        <v/>
      </c>
      <c r="Y10">
        <f>HYPERLINK("https://klasma.github.io/Logging_2321/klagomål/A 10605-2026 FSC-klagomål.docx", "A 10605-2026")</f>
        <v/>
      </c>
      <c r="Z10">
        <f>HYPERLINK("https://klasma.github.io/Logging_2321/klagomålsmail/A 10605-2026 FSC-klagomål mail.docx", "A 10605-2026")</f>
        <v/>
      </c>
      <c r="AA10">
        <f>HYPERLINK("https://klasma.github.io/Logging_2321/tillsyn/A 10605-2026 tillsynsbegäran.docx", "A 10605-2026")</f>
        <v/>
      </c>
      <c r="AB10">
        <f>HYPERLINK("https://klasma.github.io/Logging_2321/tillsynsmail/A 10605-2026 tillsynsbegäran mail.docx", "A 10605-2026")</f>
        <v/>
      </c>
      <c r="AC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46222</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46222</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46222</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4">
        <f>HYPERLINK("https://klasma.github.io/Logging_2321/artfynd/A 49534-2024 artfynd.xlsx", "A 49534-2024")</f>
        <v/>
      </c>
      <c r="W14">
        <f>HYPERLINK("https://klasma.github.io/Logging_2321/kartor/A 49534-2024 karta.png", "A 49534-2024")</f>
        <v/>
      </c>
      <c r="Y14">
        <f>HYPERLINK("https://klasma.github.io/Logging_2321/klagomål/A 49534-2024 FSC-klagomål.docx", "A 49534-2024")</f>
        <v/>
      </c>
      <c r="Z14">
        <f>HYPERLINK("https://klasma.github.io/Logging_2321/klagomålsmail/A 49534-2024 FSC-klagomål mail.docx", "A 49534-2024")</f>
        <v/>
      </c>
      <c r="AA14">
        <f>HYPERLINK("https://klasma.github.io/Logging_2321/tillsyn/A 49534-2024 tillsynsbegäran.docx", "A 49534-2024")</f>
        <v/>
      </c>
      <c r="AB14">
        <f>HYPERLINK("https://klasma.github.io/Logging_2321/tillsynsmail/A 49534-2024 tillsynsbegäran mail.docx", "A 49534-2024")</f>
        <v/>
      </c>
      <c r="AC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46222</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s="2" t="inlineStr">
        <is>
          <t>Skrovellavsknapp
Garnlav
Norsk näverlav
Cheiromycina petri
Kavernularia
Lunglav
Nordlig nållav
Skrovellav
Tretåig hackspett
Barkkornlav
Bårdlav
Granriska
Gulnål
Korallblylav
Kransrams
Luddlav
Tibast
Tvåblad
Ögonpyrola</t>
        </is>
      </c>
      <c r="V15">
        <f>HYPERLINK("https://klasma.github.io/Logging_2321/artfynd/A 49977-2024 artfynd.xlsx", "A 49977-2024")</f>
        <v/>
      </c>
      <c r="W15">
        <f>HYPERLINK("https://klasma.github.io/Logging_2321/kartor/A 49977-2024 karta.png", "A 49977-2024")</f>
        <v/>
      </c>
      <c r="Y15">
        <f>HYPERLINK("https://klasma.github.io/Logging_2321/klagomål/A 49977-2024 FSC-klagomål.docx", "A 49977-2024")</f>
        <v/>
      </c>
      <c r="Z15">
        <f>HYPERLINK("https://klasma.github.io/Logging_2321/klagomålsmail/A 49977-2024 FSC-klagomål mail.docx", "A 49977-2024")</f>
        <v/>
      </c>
      <c r="AA15">
        <f>HYPERLINK("https://klasma.github.io/Logging_2321/tillsyn/A 49977-2024 tillsynsbegäran.docx", "A 49977-2024")</f>
        <v/>
      </c>
      <c r="AB15">
        <f>HYPERLINK("https://klasma.github.io/Logging_2321/tillsynsmail/A 49977-2024 tillsynsbegäran mail.docx", "A 49977-2024")</f>
        <v/>
      </c>
      <c r="AC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46222</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6">
        <f>HYPERLINK("https://klasma.github.io/Logging_2321/artfynd/A 34768-2025 artfynd.xlsx", "A 34768-2025")</f>
        <v/>
      </c>
      <c r="W16">
        <f>HYPERLINK("https://klasma.github.io/Logging_2321/kartor/A 34768-2025 karta.png", "A 34768-2025")</f>
        <v/>
      </c>
      <c r="Y16">
        <f>HYPERLINK("https://klasma.github.io/Logging_2321/klagomål/A 34768-2025 FSC-klagomål.docx", "A 34768-2025")</f>
        <v/>
      </c>
      <c r="Z16">
        <f>HYPERLINK("https://klasma.github.io/Logging_2321/klagomålsmail/A 34768-2025 FSC-klagomål mail.docx", "A 34768-2025")</f>
        <v/>
      </c>
      <c r="AA16">
        <f>HYPERLINK("https://klasma.github.io/Logging_2321/tillsyn/A 34768-2025 tillsynsbegäran.docx", "A 34768-2025")</f>
        <v/>
      </c>
      <c r="AB16">
        <f>HYPERLINK("https://klasma.github.io/Logging_2321/tillsynsmail/A 34768-2025 tillsynsbegäran mail.docx", "A 34768-2025")</f>
        <v/>
      </c>
      <c r="AC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46222</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7">
        <f>HYPERLINK("https://klasma.github.io/Logging_2321/artfynd/A 15924-2025 artfynd.xlsx", "A 15924-2025")</f>
        <v/>
      </c>
      <c r="W17">
        <f>HYPERLINK("https://klasma.github.io/Logging_2321/kartor/A 15924-2025 karta.png", "A 15924-2025")</f>
        <v/>
      </c>
      <c r="Y17">
        <f>HYPERLINK("https://klasma.github.io/Logging_2321/klagomål/A 15924-2025 FSC-klagomål.docx", "A 15924-2025")</f>
        <v/>
      </c>
      <c r="Z17">
        <f>HYPERLINK("https://klasma.github.io/Logging_2321/klagomålsmail/A 15924-2025 FSC-klagomål mail.docx", "A 15924-2025")</f>
        <v/>
      </c>
      <c r="AA17">
        <f>HYPERLINK("https://klasma.github.io/Logging_2321/tillsyn/A 15924-2025 tillsynsbegäran.docx", "A 15924-2025")</f>
        <v/>
      </c>
      <c r="AB17">
        <f>HYPERLINK("https://klasma.github.io/Logging_2321/tillsynsmail/A 15924-2025 tillsynsbegäran mail.docx", "A 15924-2025")</f>
        <v/>
      </c>
      <c r="AC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46222</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46222</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46222</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s="2" t="inlineStr">
        <is>
          <t>Mörk blåslav
Ulltickeporing
Gammelgransskål
Knottrig blåslav
Rosenticka
Rödbrun blekspik
Skrovellav
Ullticka
Norrlandslav
Stuplav
Trådticka
Ögonpyrola
Tallbit
Tjäder
Revlummer</t>
        </is>
      </c>
      <c r="V20">
        <f>HYPERLINK("https://klasma.github.io/Logging_2321/artfynd/A 13097-2024 artfynd.xlsx", "A 13097-2024")</f>
        <v/>
      </c>
      <c r="W20">
        <f>HYPERLINK("https://klasma.github.io/Logging_2321/kartor/A 13097-2024 karta.png", "A 13097-2024")</f>
        <v/>
      </c>
      <c r="Y20">
        <f>HYPERLINK("https://klasma.github.io/Logging_2321/klagomål/A 13097-2024 FSC-klagomål.docx", "A 13097-2024")</f>
        <v/>
      </c>
      <c r="Z20">
        <f>HYPERLINK("https://klasma.github.io/Logging_2321/klagomålsmail/A 13097-2024 FSC-klagomål mail.docx", "A 13097-2024")</f>
        <v/>
      </c>
      <c r="AA20">
        <f>HYPERLINK("https://klasma.github.io/Logging_2321/tillsyn/A 13097-2024 tillsynsbegäran.docx", "A 13097-2024")</f>
        <v/>
      </c>
      <c r="AB20">
        <f>HYPERLINK("https://klasma.github.io/Logging_2321/tillsynsmail/A 13097-2024 tillsynsbegäran mail.docx", "A 13097-2024")</f>
        <v/>
      </c>
      <c r="AC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46222</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s="2" t="inlineStr">
        <is>
          <t>Garnlav
Gropig skägglav
Gammelgransskål
Rödbrun blekspik
Vedflamlav
Vedflikmossa
Vedskivlav
Vitgrynig nållav
Källpraktmossa
Mörk husmossa
Purpurmylia
Spindelblomster
Stor revmossa
Stuplav
Västlig hakmossa</t>
        </is>
      </c>
      <c r="V21">
        <f>HYPERLINK("https://klasma.github.io/Logging_2321/artfynd/A 43967-2024 artfynd.xlsx", "A 43967-2024")</f>
        <v/>
      </c>
      <c r="W21">
        <f>HYPERLINK("https://klasma.github.io/Logging_2321/kartor/A 43967-2024 karta.png", "A 43967-2024")</f>
        <v/>
      </c>
      <c r="Y21">
        <f>HYPERLINK("https://klasma.github.io/Logging_2321/klagomål/A 43967-2024 FSC-klagomål.docx", "A 43967-2024")</f>
        <v/>
      </c>
      <c r="Z21">
        <f>HYPERLINK("https://klasma.github.io/Logging_2321/klagomålsmail/A 43967-2024 FSC-klagomål mail.docx", "A 43967-2024")</f>
        <v/>
      </c>
      <c r="AA21">
        <f>HYPERLINK("https://klasma.github.io/Logging_2321/tillsyn/A 43967-2024 tillsynsbegäran.docx", "A 43967-2024")</f>
        <v/>
      </c>
      <c r="AB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46222</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s="2" t="inlineStr">
        <is>
          <t>Blackticka
Garnlav
Fjällig taggsvamp s.str.
Harticka
Lunglav
Rynkskinn
Skrovellav
Tretåig hackspett
Ullticka
Korallrot
Spindelblomster
Stuplav
Trådticka
Liljekonvalj
Torta</t>
        </is>
      </c>
      <c r="V22">
        <f>HYPERLINK("https://klasma.github.io/Logging_2321/artfynd/A 24660-2026 artfynd.xlsx", "A 24660-2026")</f>
        <v/>
      </c>
      <c r="W22">
        <f>HYPERLINK("https://klasma.github.io/Logging_2321/kartor/A 24660-2026 karta.png", "A 24660-2026")</f>
        <v/>
      </c>
      <c r="Y22">
        <f>HYPERLINK("https://klasma.github.io/Logging_2321/klagomål/A 24660-2026 FSC-klagomål.docx", "A 24660-2026")</f>
        <v/>
      </c>
      <c r="Z22">
        <f>HYPERLINK("https://klasma.github.io/Logging_2321/klagomålsmail/A 24660-2026 FSC-klagomål mail.docx", "A 24660-2026")</f>
        <v/>
      </c>
      <c r="AA22">
        <f>HYPERLINK("https://klasma.github.io/Logging_2321/tillsyn/A 24660-2026 tillsynsbegäran.docx", "A 24660-2026")</f>
        <v/>
      </c>
      <c r="AB22">
        <f>HYPERLINK("https://klasma.github.io/Logging_2321/tillsynsmail/A 24660-2026 tillsynsbegäran mail.docx", "A 24660-2026")</f>
        <v/>
      </c>
      <c r="AC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46222</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s="2" t="inlineStr">
        <is>
          <t>Garnlav
Grantickeporing
Norsk näverlav
Brunpudrad nållav
Doftskinn
Lunglav
Skrovellav
Stjärntagging
Tretåig hackspett
Ullticka
Vitgrynig nållav
Spindelblomster
Trådticka
Vedticka
Kungsfågel</t>
        </is>
      </c>
      <c r="V23">
        <f>HYPERLINK("https://klasma.github.io/Logging_2321/artfynd/A 26003-2025 artfynd.xlsx", "A 26003-2025")</f>
        <v/>
      </c>
      <c r="W23">
        <f>HYPERLINK("https://klasma.github.io/Logging_2321/kartor/A 26003-2025 karta.png", "A 26003-2025")</f>
        <v/>
      </c>
      <c r="Y23">
        <f>HYPERLINK("https://klasma.github.io/Logging_2321/klagomål/A 26003-2025 FSC-klagomål.docx", "A 26003-2025")</f>
        <v/>
      </c>
      <c r="Z23">
        <f>HYPERLINK("https://klasma.github.io/Logging_2321/klagomålsmail/A 26003-2025 FSC-klagomål mail.docx", "A 26003-2025")</f>
        <v/>
      </c>
      <c r="AA23">
        <f>HYPERLINK("https://klasma.github.io/Logging_2321/tillsyn/A 26003-2025 tillsynsbegäran.docx", "A 26003-2025")</f>
        <v/>
      </c>
      <c r="AB23">
        <f>HYPERLINK("https://klasma.github.io/Logging_2321/tillsynsmail/A 26003-2025 tillsynsbegäran mail.docx", "A 26003-2025")</f>
        <v/>
      </c>
      <c r="AC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46222</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s="2" t="inlineStr">
        <is>
          <t>Garnlav
Liten hornflikmossa
Doftskinn
Gammelgransskål
Harticka
Lavskrika
Skrovellav
Tretåig hackspett
Ullticka
Vedtrappmossa
Gytterlav
Stuplav
Vedticka
Spillkråka</t>
        </is>
      </c>
      <c r="V24">
        <f>HYPERLINK("https://klasma.github.io/Logging_2321/artfynd/A 65292-2021 artfynd.xlsx", "A 65292-2021")</f>
        <v/>
      </c>
      <c r="W24">
        <f>HYPERLINK("https://klasma.github.io/Logging_2321/kartor/A 65292-2021 karta.png", "A 65292-2021")</f>
        <v/>
      </c>
      <c r="Y24">
        <f>HYPERLINK("https://klasma.github.io/Logging_2321/klagomål/A 65292-2021 FSC-klagomål.docx", "A 65292-2021")</f>
        <v/>
      </c>
      <c r="Z24">
        <f>HYPERLINK("https://klasma.github.io/Logging_2321/klagomålsmail/A 65292-2021 FSC-klagomål mail.docx", "A 65292-2021")</f>
        <v/>
      </c>
      <c r="AA24">
        <f>HYPERLINK("https://klasma.github.io/Logging_2321/tillsyn/A 65292-2021 tillsynsbegäran.docx", "A 65292-2021")</f>
        <v/>
      </c>
      <c r="AB24">
        <f>HYPERLINK("https://klasma.github.io/Logging_2321/tillsynsmail/A 65292-2021 tillsynsbegäran mail.docx", "A 65292-2021")</f>
        <v/>
      </c>
      <c r="AC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46222</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s="2" t="inlineStr">
        <is>
          <t>Garnlav
Kejsarskivling
Norsk näverlav
Doftskinn
Liten svartspik
Lunglav
Skrovellav
Tretåig hackspett
Vitgrynig nållav
Diskvaxskivling
Mörk husmossa
Strimspindling
Svavelriska
Trådticka</t>
        </is>
      </c>
      <c r="V25">
        <f>HYPERLINK("https://klasma.github.io/Logging_2321/artfynd/A 32865-2024 artfynd.xlsx", "A 32865-2024")</f>
        <v/>
      </c>
      <c r="W25">
        <f>HYPERLINK("https://klasma.github.io/Logging_2321/kartor/A 32865-2024 karta.png", "A 32865-2024")</f>
        <v/>
      </c>
      <c r="Y25">
        <f>HYPERLINK("https://klasma.github.io/Logging_2321/klagomål/A 32865-2024 FSC-klagomål.docx", "A 32865-2024")</f>
        <v/>
      </c>
      <c r="Z25">
        <f>HYPERLINK("https://klasma.github.io/Logging_2321/klagomålsmail/A 32865-2024 FSC-klagomål mail.docx", "A 32865-2024")</f>
        <v/>
      </c>
      <c r="AA25">
        <f>HYPERLINK("https://klasma.github.io/Logging_2321/tillsyn/A 32865-2024 tillsynsbegäran.docx", "A 32865-2024")</f>
        <v/>
      </c>
      <c r="AB25">
        <f>HYPERLINK("https://klasma.github.io/Logging_2321/tillsynsmail/A 32865-2024 tillsynsbegäran mail.docx", "A 32865-2024")</f>
        <v/>
      </c>
      <c r="AC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46222</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s="2" t="inlineStr">
        <is>
          <t>Garnlav
Gränsticka
Brunpudrad nållav
Gammelgransskål
Kavernularia
Kötticka
Liten svartspik
Rostania effusa
Rödbrun blekspik
Skrovellav
Vitgrynig nållav
Gytterlav
Korallblylav
Stuplav</t>
        </is>
      </c>
      <c r="V26">
        <f>HYPERLINK("https://klasma.github.io/Logging_2321/artfynd/A 6089-2025 artfynd.xlsx", "A 6089-2025")</f>
        <v/>
      </c>
      <c r="W26">
        <f>HYPERLINK("https://klasma.github.io/Logging_2321/kartor/A 6089-2025 karta.png", "A 6089-2025")</f>
        <v/>
      </c>
      <c r="Y26">
        <f>HYPERLINK("https://klasma.github.io/Logging_2321/klagomål/A 6089-2025 FSC-klagomål.docx", "A 6089-2025")</f>
        <v/>
      </c>
      <c r="Z26">
        <f>HYPERLINK("https://klasma.github.io/Logging_2321/klagomålsmail/A 6089-2025 FSC-klagomål mail.docx", "A 6089-2025")</f>
        <v/>
      </c>
      <c r="AA26">
        <f>HYPERLINK("https://klasma.github.io/Logging_2321/tillsyn/A 6089-2025 tillsynsbegäran.docx", "A 6089-2025")</f>
        <v/>
      </c>
      <c r="AB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46222</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s="2" t="inlineStr">
        <is>
          <t>Amerikansk sönderfallslav
Norsk näverlav
Skuggnål
Brunpudrad nållav
Kavernularia
Liten svartspik
Rödbrun blekspik
Tretåig hackspett
Vitgrynig nållav
Barkkornlav
Kornig nållav
Rostfläck
Vedticka</t>
        </is>
      </c>
      <c r="V27">
        <f>HYPERLINK("https://klasma.github.io/Logging_2321/artfynd/A 54693-2022 artfynd.xlsx", "A 54693-2022")</f>
        <v/>
      </c>
      <c r="W27">
        <f>HYPERLINK("https://klasma.github.io/Logging_2321/kartor/A 54693-2022 karta.png", "A 54693-2022")</f>
        <v/>
      </c>
      <c r="Y27">
        <f>HYPERLINK("https://klasma.github.io/Logging_2321/klagomål/A 54693-2022 FSC-klagomål.docx", "A 54693-2022")</f>
        <v/>
      </c>
      <c r="Z27">
        <f>HYPERLINK("https://klasma.github.io/Logging_2321/klagomålsmail/A 54693-2022 FSC-klagomål mail.docx", "A 54693-2022")</f>
        <v/>
      </c>
      <c r="AA27">
        <f>HYPERLINK("https://klasma.github.io/Logging_2321/tillsyn/A 54693-2022 tillsynsbegäran.docx", "A 54693-2022")</f>
        <v/>
      </c>
      <c r="AB27">
        <f>HYPERLINK("https://klasma.github.io/Logging_2321/tillsynsmail/A 54693-2022 tillsynsbegäran mail.docx", "A 54693-2022")</f>
        <v/>
      </c>
      <c r="AC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46222</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s="2" t="inlineStr">
        <is>
          <t>Garnlav
Norsk näverlav
Flattoppad klubbsvamp
Lunglav
Rynkskinn
Skrovellav
Tretåig hackspett
Ullticka
Granriska
Kambräken
Norrlandslav
Järpe
Spillkråka</t>
        </is>
      </c>
      <c r="V28">
        <f>HYPERLINK("https://klasma.github.io/Logging_2321/artfynd/A 4945-2025 artfynd.xlsx", "A 4945-2025")</f>
        <v/>
      </c>
      <c r="W28">
        <f>HYPERLINK("https://klasma.github.io/Logging_2321/kartor/A 4945-2025 karta.png", "A 4945-2025")</f>
        <v/>
      </c>
      <c r="Y28">
        <f>HYPERLINK("https://klasma.github.io/Logging_2321/klagomål/A 4945-2025 FSC-klagomål.docx", "A 4945-2025")</f>
        <v/>
      </c>
      <c r="Z28">
        <f>HYPERLINK("https://klasma.github.io/Logging_2321/klagomålsmail/A 4945-2025 FSC-klagomål mail.docx", "A 4945-2025")</f>
        <v/>
      </c>
      <c r="AA28">
        <f>HYPERLINK("https://klasma.github.io/Logging_2321/tillsyn/A 4945-2025 tillsynsbegäran.docx", "A 4945-2025")</f>
        <v/>
      </c>
      <c r="AB28">
        <f>HYPERLINK("https://klasma.github.io/Logging_2321/tillsynsmail/A 4945-2025 tillsynsbegäran mail.docx", "A 4945-2025")</f>
        <v/>
      </c>
      <c r="AC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46222</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s="2" t="inlineStr">
        <is>
          <t>Garnlav
Harticka
Lunglav
Rödbrun blekspik
Skrovellav
Vitgrynig nållav
Gytterlav
Kransrams
Källpraktmossa
Skogshakmossa
Spindelblomster
Stuplav
Västlig hakmossa</t>
        </is>
      </c>
      <c r="V29">
        <f>HYPERLINK("https://klasma.github.io/Logging_2321/artfynd/A 43927-2024 artfynd.xlsx", "A 43927-2024")</f>
        <v/>
      </c>
      <c r="W29">
        <f>HYPERLINK("https://klasma.github.io/Logging_2321/kartor/A 43927-2024 karta.png", "A 43927-2024")</f>
        <v/>
      </c>
      <c r="Y29">
        <f>HYPERLINK("https://klasma.github.io/Logging_2321/klagomål/A 43927-2024 FSC-klagomål.docx", "A 43927-2024")</f>
        <v/>
      </c>
      <c r="Z29">
        <f>HYPERLINK("https://klasma.github.io/Logging_2321/klagomålsmail/A 43927-2024 FSC-klagomål mail.docx", "A 43927-2024")</f>
        <v/>
      </c>
      <c r="AA29">
        <f>HYPERLINK("https://klasma.github.io/Logging_2321/tillsyn/A 43927-2024 tillsynsbegäran.docx", "A 43927-2024")</f>
        <v/>
      </c>
      <c r="AB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46222</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s="2" t="inlineStr">
        <is>
          <t>Blackticka
Garnlav
Gränsticka
Knärot
Harticka
Lunglav
Rosenticka
Skrovellav
Tretåig hackspett
Ullticka
Älg
Järpe
Spillkråka</t>
        </is>
      </c>
      <c r="V30">
        <f>HYPERLINK("https://klasma.github.io/Logging_2321/artfynd/A 10604-2026 artfynd.xlsx", "A 10604-2026")</f>
        <v/>
      </c>
      <c r="W30">
        <f>HYPERLINK("https://klasma.github.io/Logging_2321/kartor/A 10604-2026 karta.png", "A 10604-2026")</f>
        <v/>
      </c>
      <c r="X30">
        <f>HYPERLINK("https://klasma.github.io/Logging_2321/knärot/A 10604-2026 karta knärot.png", "A 10604-2026")</f>
        <v/>
      </c>
      <c r="Y30">
        <f>HYPERLINK("https://klasma.github.io/Logging_2321/klagomål/A 10604-2026 FSC-klagomål.docx", "A 10604-2026")</f>
        <v/>
      </c>
      <c r="Z30">
        <f>HYPERLINK("https://klasma.github.io/Logging_2321/klagomålsmail/A 10604-2026 FSC-klagomål mail.docx", "A 10604-2026")</f>
        <v/>
      </c>
      <c r="AA30">
        <f>HYPERLINK("https://klasma.github.io/Logging_2321/tillsyn/A 10604-2026 tillsynsbegäran.docx", "A 10604-2026")</f>
        <v/>
      </c>
      <c r="AB30">
        <f>HYPERLINK("https://klasma.github.io/Logging_2321/tillsynsmail/A 10604-2026 tillsynsbegäran mail.docx", "A 10604-2026")</f>
        <v/>
      </c>
      <c r="AC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46222</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s="2" t="inlineStr">
        <is>
          <t>Garnlav
Gränsticka
Skuggkraterlav
Brunpudrad nållav
Rödbrun blekspik
Tretåig hackspett
Vitgrynig nållav
Gytterlav
Kambräken
Kransrams
Spindelblomster
Vedticka
Västlig hakmossa</t>
        </is>
      </c>
      <c r="V31">
        <f>HYPERLINK("https://klasma.github.io/Logging_2321/artfynd/A 56368-2022 artfynd.xlsx", "A 56368-2022")</f>
        <v/>
      </c>
      <c r="W31">
        <f>HYPERLINK("https://klasma.github.io/Logging_2321/kartor/A 56368-2022 karta.png", "A 56368-2022")</f>
        <v/>
      </c>
      <c r="Y31">
        <f>HYPERLINK("https://klasma.github.io/Logging_2321/klagomål/A 56368-2022 FSC-klagomål.docx", "A 56368-2022")</f>
        <v/>
      </c>
      <c r="Z31">
        <f>HYPERLINK("https://klasma.github.io/Logging_2321/klagomålsmail/A 56368-2022 FSC-klagomål mail.docx", "A 56368-2022")</f>
        <v/>
      </c>
      <c r="AA31">
        <f>HYPERLINK("https://klasma.github.io/Logging_2321/tillsyn/A 56368-2022 tillsynsbegäran.docx", "A 56368-2022")</f>
        <v/>
      </c>
      <c r="AB31">
        <f>HYPERLINK("https://klasma.github.io/Logging_2321/tillsynsmail/A 56368-2022 tillsynsbegäran mail.docx", "A 56368-2022")</f>
        <v/>
      </c>
      <c r="AC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46222</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s="2" t="inlineStr">
        <is>
          <t>Garnlav
Gränsticka
Norsk näverlav
Brunpudrad nållav
Gammelgransskål
Rödbrun blekspik
Vitgrynig nållav
Kransrams
Spindelblomster
Tvåblad
Brudsporre
Fläcknycklar</t>
        </is>
      </c>
      <c r="V32">
        <f>HYPERLINK("https://klasma.github.io/Logging_2321/artfynd/A 1541-2025 artfynd.xlsx", "A 1541-2025")</f>
        <v/>
      </c>
      <c r="W32">
        <f>HYPERLINK("https://klasma.github.io/Logging_2321/kartor/A 1541-2025 karta.png", "A 1541-2025")</f>
        <v/>
      </c>
      <c r="Y32">
        <f>HYPERLINK("https://klasma.github.io/Logging_2321/klagomål/A 1541-2025 FSC-klagomål.docx", "A 1541-2025")</f>
        <v/>
      </c>
      <c r="Z32">
        <f>HYPERLINK("https://klasma.github.io/Logging_2321/klagomålsmail/A 1541-2025 FSC-klagomål mail.docx", "A 1541-2025")</f>
        <v/>
      </c>
      <c r="AA32">
        <f>HYPERLINK("https://klasma.github.io/Logging_2321/tillsyn/A 1541-2025 tillsynsbegäran.docx", "A 1541-2025")</f>
        <v/>
      </c>
      <c r="AB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46222</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s="2" t="inlineStr">
        <is>
          <t>Garnlav
Gränsticka
Vitskaftad svartspik
Gammelgransskål
Rosenticka
Rödbrun blekspik
Ullticka
Vedtrappmossa
Vitgrynig nållav
Gulnål
Stuplav
Trådticka</t>
        </is>
      </c>
      <c r="V33">
        <f>HYPERLINK("https://klasma.github.io/Logging_2321/artfynd/A 15905-2025 artfynd.xlsx", "A 15905-2025")</f>
        <v/>
      </c>
      <c r="W33">
        <f>HYPERLINK("https://klasma.github.io/Logging_2321/kartor/A 15905-2025 karta.png", "A 15905-2025")</f>
        <v/>
      </c>
      <c r="Y33">
        <f>HYPERLINK("https://klasma.github.io/Logging_2321/klagomål/A 15905-2025 FSC-klagomål.docx", "A 15905-2025")</f>
        <v/>
      </c>
      <c r="Z33">
        <f>HYPERLINK("https://klasma.github.io/Logging_2321/klagomålsmail/A 15905-2025 FSC-klagomål mail.docx", "A 15905-2025")</f>
        <v/>
      </c>
      <c r="AA33">
        <f>HYPERLINK("https://klasma.github.io/Logging_2321/tillsyn/A 15905-2025 tillsynsbegäran.docx", "A 15905-2025")</f>
        <v/>
      </c>
      <c r="AB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46222</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s="2" t="inlineStr">
        <is>
          <t>Garnlav
Gränsticka
Doftskinn
Gammelgransskål
Knottrig blåslav
Lunglav
Tretåig hackspett
Ullticka
Violmussling
Korallrot
Spindelblomster
Trådticka</t>
        </is>
      </c>
      <c r="V34">
        <f>HYPERLINK("https://klasma.github.io/Logging_2321/artfynd/A 21326-2026 artfynd.xlsx", "A 21326-2026")</f>
        <v/>
      </c>
      <c r="W34">
        <f>HYPERLINK("https://klasma.github.io/Logging_2321/kartor/A 21326-2026 karta.png", "A 21326-2026")</f>
        <v/>
      </c>
      <c r="Y34">
        <f>HYPERLINK("https://klasma.github.io/Logging_2321/klagomål/A 21326-2026 FSC-klagomål.docx", "A 21326-2026")</f>
        <v/>
      </c>
      <c r="Z34">
        <f>HYPERLINK("https://klasma.github.io/Logging_2321/klagomålsmail/A 21326-2026 FSC-klagomål mail.docx", "A 21326-2026")</f>
        <v/>
      </c>
      <c r="AA34">
        <f>HYPERLINK("https://klasma.github.io/Logging_2321/tillsyn/A 21326-2026 tillsynsbegäran.docx", "A 21326-2026")</f>
        <v/>
      </c>
      <c r="AB34">
        <f>HYPERLINK("https://klasma.github.io/Logging_2321/tillsynsmail/A 21326-2026 tillsynsbegäran mail.docx", "A 21326-2026")</f>
        <v/>
      </c>
      <c r="AC34">
        <f>HYPERLINK("https://klasma.github.io/Logging_2321/fåglar/A 21326-2026 prioriterade fågelarter.docx", "A 21326-2026")</f>
        <v/>
      </c>
    </row>
    <row r="35" ht="15" customHeight="1">
      <c r="A35" t="inlineStr">
        <is>
          <t>A 63179-2025</t>
        </is>
      </c>
      <c r="B35" t="inlineStr">
        <is>
          <t>avverkningsanmälan</t>
        </is>
      </c>
      <c r="C35" t="inlineStr">
        <is>
          <t>Föryngringsavverkning</t>
        </is>
      </c>
      <c r="D35" s="1" t="n">
        <v>46010</v>
      </c>
      <c r="E35" s="1" t="n">
        <v>46222</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s="2" t="inlineStr">
        <is>
          <t>Garnlav
Norsk näverlav
Gammelgransskål
Kavernularia
Liten svartspik
Skrovellav
Tretåig hackspett
Vitgrynig nållav
Norrlandslav
Stuplav
Brudsporre</t>
        </is>
      </c>
      <c r="V35">
        <f>HYPERLINK("https://klasma.github.io/Logging_2321/artfynd/A 63179-2025 artfynd.xlsx", "A 63179-2025")</f>
        <v/>
      </c>
      <c r="W35">
        <f>HYPERLINK("https://klasma.github.io/Logging_2321/kartor/A 63179-2025 karta.png", "A 63179-2025")</f>
        <v/>
      </c>
      <c r="Y35">
        <f>HYPERLINK("https://klasma.github.io/Logging_2321/klagomål/A 63179-2025 FSC-klagomål.docx", "A 63179-2025")</f>
        <v/>
      </c>
      <c r="Z35">
        <f>HYPERLINK("https://klasma.github.io/Logging_2321/klagomålsmail/A 63179-2025 FSC-klagomål mail.docx", "A 63179-2025")</f>
        <v/>
      </c>
      <c r="AA35">
        <f>HYPERLINK("https://klasma.github.io/Logging_2321/tillsyn/A 63179-2025 tillsynsbegäran.docx", "A 63179-2025")</f>
        <v/>
      </c>
      <c r="AB35">
        <f>HYPERLINK("https://klasma.github.io/Logging_2321/tillsynsmail/A 63179-2025 tillsynsbegäran mail.docx", "A 63179-2025")</f>
        <v/>
      </c>
      <c r="AC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46222</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s="2" t="inlineStr">
        <is>
          <t>Garnlav
Gränsticka
Rödbrun blekspik
Skrovellav
Tretåig hackspett
Ullticka
Bårdlav
Kransrams
Spindelblomster
Stuplav
Trådticka</t>
        </is>
      </c>
      <c r="V36">
        <f>HYPERLINK("https://klasma.github.io/Logging_2321/artfynd/A 56865-2025 artfynd.xlsx", "A 56865-2025")</f>
        <v/>
      </c>
      <c r="W36">
        <f>HYPERLINK("https://klasma.github.io/Logging_2321/kartor/A 56865-2025 karta.png", "A 56865-2025")</f>
        <v/>
      </c>
      <c r="Y36">
        <f>HYPERLINK("https://klasma.github.io/Logging_2321/klagomål/A 56865-2025 FSC-klagomål.docx", "A 56865-2025")</f>
        <v/>
      </c>
      <c r="Z36">
        <f>HYPERLINK("https://klasma.github.io/Logging_2321/klagomålsmail/A 56865-2025 FSC-klagomål mail.docx", "A 56865-2025")</f>
        <v/>
      </c>
      <c r="AA36">
        <f>HYPERLINK("https://klasma.github.io/Logging_2321/tillsyn/A 56865-2025 tillsynsbegäran.docx", "A 56865-2025")</f>
        <v/>
      </c>
      <c r="AB36">
        <f>HYPERLINK("https://klasma.github.io/Logging_2321/tillsynsmail/A 56865-2025 tillsynsbegäran mail.docx", "A 56865-2025")</f>
        <v/>
      </c>
      <c r="AC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46222</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s="2" t="inlineStr">
        <is>
          <t>Garnlav
Gränsticka
Liten sotlav
Norsk näverlav
Doftskinn
Harticka
Rosenticka
Stjärntagging
Tretåig hackspett
Ullticka
Trådticka</t>
        </is>
      </c>
      <c r="V37">
        <f>HYPERLINK("https://klasma.github.io/Logging_2321/artfynd/A 36974-2025 artfynd.xlsx", "A 36974-2025")</f>
        <v/>
      </c>
      <c r="W37">
        <f>HYPERLINK("https://klasma.github.io/Logging_2321/kartor/A 36974-2025 karta.png", "A 36974-2025")</f>
        <v/>
      </c>
      <c r="Y37">
        <f>HYPERLINK("https://klasma.github.io/Logging_2321/klagomål/A 36974-2025 FSC-klagomål.docx", "A 36974-2025")</f>
        <v/>
      </c>
      <c r="Z37">
        <f>HYPERLINK("https://klasma.github.io/Logging_2321/klagomålsmail/A 36974-2025 FSC-klagomål mail.docx", "A 36974-2025")</f>
        <v/>
      </c>
      <c r="AA37">
        <f>HYPERLINK("https://klasma.github.io/Logging_2321/tillsyn/A 36974-2025 tillsynsbegäran.docx", "A 36974-2025")</f>
        <v/>
      </c>
      <c r="AB37">
        <f>HYPERLINK("https://klasma.github.io/Logging_2321/tillsynsmail/A 36974-2025 tillsynsbegäran mail.docx", "A 36974-2025")</f>
        <v/>
      </c>
      <c r="AC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46222</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s="2" t="inlineStr">
        <is>
          <t>Garnlav
Knärot
Lunglav
Skrovellav
Korallrot
Spindelblomster
Stuplav
Tvåblad
Fläcknycklar
Revlummer</t>
        </is>
      </c>
      <c r="V38">
        <f>HYPERLINK("https://klasma.github.io/Logging_2321/artfynd/A 45111-2022 artfynd.xlsx", "A 45111-2022")</f>
        <v/>
      </c>
      <c r="W38">
        <f>HYPERLINK("https://klasma.github.io/Logging_2321/kartor/A 45111-2022 karta.png", "A 45111-2022")</f>
        <v/>
      </c>
      <c r="X38">
        <f>HYPERLINK("https://klasma.github.io/Logging_2321/knärot/A 45111-2022 karta knärot.png", "A 45111-2022")</f>
        <v/>
      </c>
      <c r="Y38">
        <f>HYPERLINK("https://klasma.github.io/Logging_2321/klagomål/A 45111-2022 FSC-klagomål.docx", "A 45111-2022")</f>
        <v/>
      </c>
      <c r="Z38">
        <f>HYPERLINK("https://klasma.github.io/Logging_2321/klagomålsmail/A 45111-2022 FSC-klagomål mail.docx", "A 45111-2022")</f>
        <v/>
      </c>
      <c r="AA38">
        <f>HYPERLINK("https://klasma.github.io/Logging_2321/tillsyn/A 45111-2022 tillsynsbegäran.docx", "A 45111-2022")</f>
        <v/>
      </c>
      <c r="AB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46222</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s="2" t="inlineStr">
        <is>
          <t>Cliostomum piceicola
Garnlav
Liten sotlav
Norsk näverlav
Brunpudrad nållav
Doftskinn
Kavernularia
Rödbrun blekspik
Skorpgelélav
Stuplav</t>
        </is>
      </c>
      <c r="V39">
        <f>HYPERLINK("https://klasma.github.io/Logging_2321/artfynd/A 58223-2021 artfynd.xlsx", "A 58223-2021")</f>
        <v/>
      </c>
      <c r="W39">
        <f>HYPERLINK("https://klasma.github.io/Logging_2321/kartor/A 58223-2021 karta.png", "A 58223-2021")</f>
        <v/>
      </c>
      <c r="Y39">
        <f>HYPERLINK("https://klasma.github.io/Logging_2321/klagomål/A 58223-2021 FSC-klagomål.docx", "A 58223-2021")</f>
        <v/>
      </c>
      <c r="Z39">
        <f>HYPERLINK("https://klasma.github.io/Logging_2321/klagomålsmail/A 58223-2021 FSC-klagomål mail.docx", "A 58223-2021")</f>
        <v/>
      </c>
      <c r="AA39">
        <f>HYPERLINK("https://klasma.github.io/Logging_2321/tillsyn/A 58223-2021 tillsynsbegäran.docx", "A 58223-2021")</f>
        <v/>
      </c>
      <c r="AB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46222</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s="2" t="inlineStr">
        <is>
          <t>Borgsjömusseron
Garnlav
Doftskinn
Lavskrika
Diskvaxskivling
Grönkulla
Kärrkammossa
Mönjevaxing
Svavelriska
Trådticka</t>
        </is>
      </c>
      <c r="V40">
        <f>HYPERLINK("https://klasma.github.io/Logging_2321/artfynd/A 17107-2025 artfynd.xlsx", "A 17107-2025")</f>
        <v/>
      </c>
      <c r="W40">
        <f>HYPERLINK("https://klasma.github.io/Logging_2321/kartor/A 17107-2025 karta.png", "A 17107-2025")</f>
        <v/>
      </c>
      <c r="Y40">
        <f>HYPERLINK("https://klasma.github.io/Logging_2321/klagomål/A 17107-2025 FSC-klagomål.docx", "A 17107-2025")</f>
        <v/>
      </c>
      <c r="Z40">
        <f>HYPERLINK("https://klasma.github.io/Logging_2321/klagomålsmail/A 17107-2025 FSC-klagomål mail.docx", "A 17107-2025")</f>
        <v/>
      </c>
      <c r="AA40">
        <f>HYPERLINK("https://klasma.github.io/Logging_2321/tillsyn/A 17107-2025 tillsynsbegäran.docx", "A 17107-2025")</f>
        <v/>
      </c>
      <c r="AB40">
        <f>HYPERLINK("https://klasma.github.io/Logging_2321/tillsynsmail/A 17107-2025 tillsynsbegäran mail.docx", "A 17107-2025")</f>
        <v/>
      </c>
      <c r="AC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46222</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s="2" t="inlineStr">
        <is>
          <t>Garnlav
Gränsticka
Norsk näverlav
Gullpudra
Skrovellav
Tretåig hackspett
Ullticka
Stuplav
Järpe</t>
        </is>
      </c>
      <c r="V41">
        <f>HYPERLINK("https://klasma.github.io/Logging_2321/artfynd/A 64239-2021 artfynd.xlsx", "A 64239-2021")</f>
        <v/>
      </c>
      <c r="W41">
        <f>HYPERLINK("https://klasma.github.io/Logging_2321/kartor/A 64239-2021 karta.png", "A 64239-2021")</f>
        <v/>
      </c>
      <c r="Y41">
        <f>HYPERLINK("https://klasma.github.io/Logging_2321/klagomål/A 64239-2021 FSC-klagomål.docx", "A 64239-2021")</f>
        <v/>
      </c>
      <c r="Z41">
        <f>HYPERLINK("https://klasma.github.io/Logging_2321/klagomålsmail/A 64239-2021 FSC-klagomål mail.docx", "A 64239-2021")</f>
        <v/>
      </c>
      <c r="AA41">
        <f>HYPERLINK("https://klasma.github.io/Logging_2321/tillsyn/A 64239-2021 tillsynsbegäran.docx", "A 64239-2021")</f>
        <v/>
      </c>
      <c r="AB41">
        <f>HYPERLINK("https://klasma.github.io/Logging_2321/tillsynsmail/A 64239-2021 tillsynsbegäran mail.docx", "A 64239-2021")</f>
        <v/>
      </c>
      <c r="AC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46222</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s="2" t="inlineStr">
        <is>
          <t>Garnlav
Doftskinn
Skrovellav
Vitgrynig nållav
Diskvaxskivling
Granriska
Honungsvaxing
Kambräken
Svavelriska</t>
        </is>
      </c>
      <c r="V42">
        <f>HYPERLINK("https://klasma.github.io/Logging_2321/artfynd/A 17095-2025 artfynd.xlsx", "A 17095-2025")</f>
        <v/>
      </c>
      <c r="W42">
        <f>HYPERLINK("https://klasma.github.io/Logging_2321/kartor/A 17095-2025 karta.png", "A 17095-2025")</f>
        <v/>
      </c>
      <c r="Y42">
        <f>HYPERLINK("https://klasma.github.io/Logging_2321/klagomål/A 17095-2025 FSC-klagomål.docx", "A 17095-2025")</f>
        <v/>
      </c>
      <c r="Z42">
        <f>HYPERLINK("https://klasma.github.io/Logging_2321/klagomålsmail/A 17095-2025 FSC-klagomål mail.docx", "A 17095-2025")</f>
        <v/>
      </c>
      <c r="AA42">
        <f>HYPERLINK("https://klasma.github.io/Logging_2321/tillsyn/A 17095-2025 tillsynsbegäran.docx", "A 17095-2025")</f>
        <v/>
      </c>
      <c r="AB42">
        <f>HYPERLINK("https://klasma.github.io/Logging_2321/tillsynsmail/A 17095-2025 tillsynsbegäran mail.docx", "A 17095-2025")</f>
        <v/>
      </c>
    </row>
    <row r="43" ht="15" customHeight="1">
      <c r="A43" t="inlineStr">
        <is>
          <t>A 42592-2024</t>
        </is>
      </c>
      <c r="B43" t="inlineStr">
        <is>
          <t>avverkningsanmälan</t>
        </is>
      </c>
      <c r="C43" t="inlineStr">
        <is>
          <t>Föryngringsavverkning</t>
        </is>
      </c>
      <c r="D43" s="1" t="n">
        <v>45565</v>
      </c>
      <c r="E43" s="1" t="n">
        <v>46222</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s="2" t="inlineStr">
        <is>
          <t>Garnlav
Gränsticka
Norsk näverlav
Lavskrika
Skrovellav
Tretåig hackspett
Ullticka
Kambräken
Trådticka</t>
        </is>
      </c>
      <c r="V43">
        <f>HYPERLINK("https://klasma.github.io/Logging_2321/artfynd/A 42592-2024 artfynd.xlsx", "A 42592-2024")</f>
        <v/>
      </c>
      <c r="W43">
        <f>HYPERLINK("https://klasma.github.io/Logging_2321/kartor/A 42592-2024 karta.png", "A 42592-2024")</f>
        <v/>
      </c>
      <c r="Y43">
        <f>HYPERLINK("https://klasma.github.io/Logging_2321/klagomål/A 42592-2024 FSC-klagomål.docx", "A 42592-2024")</f>
        <v/>
      </c>
      <c r="Z43">
        <f>HYPERLINK("https://klasma.github.io/Logging_2321/klagomålsmail/A 42592-2024 FSC-klagomål mail.docx", "A 42592-2024")</f>
        <v/>
      </c>
      <c r="AA43">
        <f>HYPERLINK("https://klasma.github.io/Logging_2321/tillsyn/A 42592-2024 tillsynsbegäran.docx", "A 42592-2024")</f>
        <v/>
      </c>
      <c r="AB43">
        <f>HYPERLINK("https://klasma.github.io/Logging_2321/tillsynsmail/A 42592-2024 tillsynsbegäran mail.docx", "A 42592-2024")</f>
        <v/>
      </c>
      <c r="AC43">
        <f>HYPERLINK("https://klasma.github.io/Logging_2321/fåglar/A 42592-2024 prioriterade fågelarter.docx", "A 42592-2024")</f>
        <v/>
      </c>
    </row>
    <row r="44" ht="15" customHeight="1">
      <c r="A44" t="inlineStr">
        <is>
          <t>A 40788-2023</t>
        </is>
      </c>
      <c r="B44" t="inlineStr">
        <is>
          <t>avverkningsanmälan</t>
        </is>
      </c>
      <c r="C44" t="inlineStr">
        <is>
          <t>Föryngringsavverkning</t>
        </is>
      </c>
      <c r="D44" s="1" t="n">
        <v>45170</v>
      </c>
      <c r="E44" s="1" t="n">
        <v>46222</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s="2" t="inlineStr">
        <is>
          <t>Garnlav
Liten sotlav
Dofttaggsvamp
Harticka
Lavskrika
Tretåig hackspett
Ullticka
Kamjordstjärna
Trådticka</t>
        </is>
      </c>
      <c r="V44">
        <f>HYPERLINK("https://klasma.github.io/Logging_2321/artfynd/A 40788-2023 artfynd.xlsx", "A 40788-2023")</f>
        <v/>
      </c>
      <c r="W44">
        <f>HYPERLINK("https://klasma.github.io/Logging_2321/kartor/A 40788-2023 karta.png", "A 40788-2023")</f>
        <v/>
      </c>
      <c r="Y44">
        <f>HYPERLINK("https://klasma.github.io/Logging_2321/klagomål/A 40788-2023 FSC-klagomål.docx", "A 40788-2023")</f>
        <v/>
      </c>
      <c r="Z44">
        <f>HYPERLINK("https://klasma.github.io/Logging_2321/klagomålsmail/A 40788-2023 FSC-klagomål mail.docx", "A 40788-2023")</f>
        <v/>
      </c>
      <c r="AA44">
        <f>HYPERLINK("https://klasma.github.io/Logging_2321/tillsyn/A 40788-2023 tillsynsbegäran.docx", "A 40788-2023")</f>
        <v/>
      </c>
      <c r="AB44">
        <f>HYPERLINK("https://klasma.github.io/Logging_2321/tillsynsmail/A 40788-2023 tillsynsbegäran mail.docx", "A 40788-2023")</f>
        <v/>
      </c>
      <c r="AC44">
        <f>HYPERLINK("https://klasma.github.io/Logging_2321/fåglar/A 40788-2023 prioriterade fågelarter.docx", "A 40788-2023")</f>
        <v/>
      </c>
    </row>
    <row r="45" ht="15" customHeight="1">
      <c r="A45" t="inlineStr">
        <is>
          <t>A 23162-2026</t>
        </is>
      </c>
      <c r="B45" t="inlineStr">
        <is>
          <t>avverkningsanmälan</t>
        </is>
      </c>
      <c r="C45" t="inlineStr">
        <is>
          <t>Föryngringsavverkning</t>
        </is>
      </c>
      <c r="D45" s="1" t="n">
        <v>46161</v>
      </c>
      <c r="E45" s="1" t="n">
        <v>46222</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s="2" t="inlineStr">
        <is>
          <t>Blackticka
Garnlav
Harticka
Rosenticka
Rynkskinn
Tretåig hackspett
Ullticka
Spindelblomster
Spillkråka</t>
        </is>
      </c>
      <c r="V45">
        <f>HYPERLINK("https://klasma.github.io/Logging_2321/artfynd/A 23162-2026 artfynd.xlsx", "A 23162-2026")</f>
        <v/>
      </c>
      <c r="W45">
        <f>HYPERLINK("https://klasma.github.io/Logging_2321/kartor/A 23162-2026 karta.png", "A 23162-2026")</f>
        <v/>
      </c>
      <c r="Y45">
        <f>HYPERLINK("https://klasma.github.io/Logging_2321/klagomål/A 23162-2026 FSC-klagomål.docx", "A 23162-2026")</f>
        <v/>
      </c>
      <c r="Z45">
        <f>HYPERLINK("https://klasma.github.io/Logging_2321/klagomålsmail/A 23162-2026 FSC-klagomål mail.docx", "A 23162-2026")</f>
        <v/>
      </c>
      <c r="AA45">
        <f>HYPERLINK("https://klasma.github.io/Logging_2321/tillsyn/A 23162-2026 tillsynsbegäran.docx", "A 23162-2026")</f>
        <v/>
      </c>
      <c r="AB45">
        <f>HYPERLINK("https://klasma.github.io/Logging_2321/tillsynsmail/A 23162-2026 tillsynsbegäran mail.docx", "A 23162-2026")</f>
        <v/>
      </c>
      <c r="AC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46222</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s="2" t="inlineStr">
        <is>
          <t>Gränsticka
Brunpudrad nållav
Dofttaggsvamp
Gammelgransskål
Knottrig blåslav
Rödbrun blekspik
Tretåig hackspett
Vitgrynig nållav</t>
        </is>
      </c>
      <c r="V46">
        <f>HYPERLINK("https://klasma.github.io/Logging_2321/artfynd/A 12269-2022 artfynd.xlsx", "A 12269-2022")</f>
        <v/>
      </c>
      <c r="W46">
        <f>HYPERLINK("https://klasma.github.io/Logging_2321/kartor/A 12269-2022 karta.png", "A 12269-2022")</f>
        <v/>
      </c>
      <c r="Y46">
        <f>HYPERLINK("https://klasma.github.io/Logging_2321/klagomål/A 12269-2022 FSC-klagomål.docx", "A 12269-2022")</f>
        <v/>
      </c>
      <c r="Z46">
        <f>HYPERLINK("https://klasma.github.io/Logging_2321/klagomålsmail/A 12269-2022 FSC-klagomål mail.docx", "A 12269-2022")</f>
        <v/>
      </c>
      <c r="AA46">
        <f>HYPERLINK("https://klasma.github.io/Logging_2321/tillsyn/A 12269-2022 tillsynsbegäran.docx", "A 12269-2022")</f>
        <v/>
      </c>
      <c r="AB46">
        <f>HYPERLINK("https://klasma.github.io/Logging_2321/tillsynsmail/A 12269-2022 tillsynsbegäran mail.docx", "A 12269-2022")</f>
        <v/>
      </c>
      <c r="AC46">
        <f>HYPERLINK("https://klasma.github.io/Logging_2321/fåglar/A 12269-2022 prioriterade fågelarter.docx", "A 12269-2022")</f>
        <v/>
      </c>
    </row>
    <row r="47" ht="15" customHeight="1">
      <c r="A47" t="inlineStr">
        <is>
          <t>A 10619-2023</t>
        </is>
      </c>
      <c r="B47" t="inlineStr">
        <is>
          <t>avverkningsanmälan</t>
        </is>
      </c>
      <c r="C47" t="inlineStr">
        <is>
          <t>Föryngringsavverkning</t>
        </is>
      </c>
      <c r="D47" s="1" t="n">
        <v>44984</v>
      </c>
      <c r="E47" s="1" t="n">
        <v>46222</v>
      </c>
      <c r="F47" t="inlineStr">
        <is>
          <t>JÄMTLANDS LÄN</t>
        </is>
      </c>
      <c r="G47" t="inlineStr">
        <is>
          <t>ÅRE</t>
        </is>
      </c>
      <c r="I47" t="n">
        <v>15.5</v>
      </c>
      <c r="J47" t="n">
        <v>2</v>
      </c>
      <c r="K47" t="n">
        <v>3</v>
      </c>
      <c r="L47" t="n">
        <v>4</v>
      </c>
      <c r="M47" t="n">
        <v>1</v>
      </c>
      <c r="N47" t="n">
        <v>0</v>
      </c>
      <c r="O47" t="n">
        <v>0</v>
      </c>
      <c r="P47" t="n">
        <v>0</v>
      </c>
      <c r="Q47" t="n">
        <v>5</v>
      </c>
      <c r="R47" t="n">
        <v>1</v>
      </c>
      <c r="S47" t="n">
        <v>8</v>
      </c>
      <c r="T47" t="n">
        <v>37</v>
      </c>
      <c r="U47" s="2" t="inlineStr">
        <is>
          <t>Skuggnål
Kavernularia
Rödbrun blekspik
Tretåig hackspett
Vitgrynig nållav
Luddlav
Rostfläck
Spindelblomster</t>
        </is>
      </c>
      <c r="V47">
        <f>HYPERLINK("https://klasma.github.io/Logging_2321/artfynd/A 10619-2023 artfynd.xlsx", "A 10619-2023")</f>
        <v/>
      </c>
      <c r="W47">
        <f>HYPERLINK("https://klasma.github.io/Logging_2321/kartor/A 10619-2023 karta.png", "A 10619-2023")</f>
        <v/>
      </c>
      <c r="Y47">
        <f>HYPERLINK("https://klasma.github.io/Logging_2321/klagomål/A 10619-2023 FSC-klagomål.docx", "A 10619-2023")</f>
        <v/>
      </c>
      <c r="Z47">
        <f>HYPERLINK("https://klasma.github.io/Logging_2321/klagomålsmail/A 10619-2023 FSC-klagomål mail.docx", "A 10619-2023")</f>
        <v/>
      </c>
      <c r="AA47">
        <f>HYPERLINK("https://klasma.github.io/Logging_2321/tillsyn/A 10619-2023 tillsynsbegäran.docx", "A 10619-2023")</f>
        <v/>
      </c>
      <c r="AB47">
        <f>HYPERLINK("https://klasma.github.io/Logging_2321/tillsynsmail/A 10619-2023 tillsynsbegäran mail.docx", "A 10619-2023")</f>
        <v/>
      </c>
      <c r="AC47">
        <f>HYPERLINK("https://klasma.github.io/Logging_2321/fåglar/A 10619-2023 prioriterade fågelarter.docx", "A 10619-2023")</f>
        <v/>
      </c>
    </row>
    <row r="48" ht="15" customHeight="1">
      <c r="A48" t="inlineStr">
        <is>
          <t>A 4775-2025</t>
        </is>
      </c>
      <c r="B48" t="inlineStr">
        <is>
          <t>avverkningsanmälan</t>
        </is>
      </c>
      <c r="C48" t="inlineStr">
        <is>
          <t>Föryngringsavverkning</t>
        </is>
      </c>
      <c r="D48" s="1" t="n">
        <v>45688</v>
      </c>
      <c r="E48" s="1" t="n">
        <v>46222</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s="2" t="inlineStr">
        <is>
          <t>Garnlav
Gammelgransskål
Tretåig hackspett
Vitgrynig nållav
Diskvaxskivling
Kambräken
Luddlav
Trådticka</t>
        </is>
      </c>
      <c r="V48">
        <f>HYPERLINK("https://klasma.github.io/Logging_2321/artfynd/A 4775-2025 artfynd.xlsx", "A 4775-2025")</f>
        <v/>
      </c>
      <c r="W48">
        <f>HYPERLINK("https://klasma.github.io/Logging_2321/kartor/A 4775-2025 karta.png", "A 4775-2025")</f>
        <v/>
      </c>
      <c r="Y48">
        <f>HYPERLINK("https://klasma.github.io/Logging_2321/klagomål/A 4775-2025 FSC-klagomål.docx", "A 4775-2025")</f>
        <v/>
      </c>
      <c r="Z48">
        <f>HYPERLINK("https://klasma.github.io/Logging_2321/klagomålsmail/A 4775-2025 FSC-klagomål mail.docx", "A 4775-2025")</f>
        <v/>
      </c>
      <c r="AA48">
        <f>HYPERLINK("https://klasma.github.io/Logging_2321/tillsyn/A 4775-2025 tillsynsbegäran.docx", "A 4775-2025")</f>
        <v/>
      </c>
      <c r="AB48">
        <f>HYPERLINK("https://klasma.github.io/Logging_2321/tillsynsmail/A 4775-2025 tillsynsbegäran mail.docx", "A 4775-2025")</f>
        <v/>
      </c>
      <c r="AC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46222</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s="2" t="inlineStr">
        <is>
          <t>Garnlav
Liten sotlav
Gammelgransskål
Liten svartspik
Ullticka
Vitgrynig nållav
Barkkornlav
Trådticka</t>
        </is>
      </c>
      <c r="V49">
        <f>HYPERLINK("https://klasma.github.io/Logging_2321/artfynd/A 1529-2025 artfynd.xlsx", "A 1529-2025")</f>
        <v/>
      </c>
      <c r="W49">
        <f>HYPERLINK("https://klasma.github.io/Logging_2321/kartor/A 1529-2025 karta.png", "A 1529-2025")</f>
        <v/>
      </c>
      <c r="Y49">
        <f>HYPERLINK("https://klasma.github.io/Logging_2321/klagomål/A 1529-2025 FSC-klagomål.docx", "A 1529-2025")</f>
        <v/>
      </c>
      <c r="Z49">
        <f>HYPERLINK("https://klasma.github.io/Logging_2321/klagomålsmail/A 1529-2025 FSC-klagomål mail.docx", "A 1529-2025")</f>
        <v/>
      </c>
      <c r="AA49">
        <f>HYPERLINK("https://klasma.github.io/Logging_2321/tillsyn/A 1529-2025 tillsynsbegäran.docx", "A 1529-2025")</f>
        <v/>
      </c>
      <c r="AB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46222</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s="2" t="inlineStr">
        <is>
          <t>Gränsticka
Harticka
Skrovellav
Tretåig hackspett
Vitgrynig nållav
Gytterlav
Trådticka
Vedticka</t>
        </is>
      </c>
      <c r="V50">
        <f>HYPERLINK("https://klasma.github.io/Logging_2321/artfynd/A 43910-2024 artfynd.xlsx", "A 43910-2024")</f>
        <v/>
      </c>
      <c r="W50">
        <f>HYPERLINK("https://klasma.github.io/Logging_2321/kartor/A 43910-2024 karta.png", "A 43910-2024")</f>
        <v/>
      </c>
      <c r="Y50">
        <f>HYPERLINK("https://klasma.github.io/Logging_2321/klagomål/A 43910-2024 FSC-klagomål.docx", "A 43910-2024")</f>
        <v/>
      </c>
      <c r="Z50">
        <f>HYPERLINK("https://klasma.github.io/Logging_2321/klagomålsmail/A 43910-2024 FSC-klagomål mail.docx", "A 43910-2024")</f>
        <v/>
      </c>
      <c r="AA50">
        <f>HYPERLINK("https://klasma.github.io/Logging_2321/tillsyn/A 43910-2024 tillsynsbegäran.docx", "A 43910-2024")</f>
        <v/>
      </c>
      <c r="AB50">
        <f>HYPERLINK("https://klasma.github.io/Logging_2321/tillsynsmail/A 43910-2024 tillsynsbegäran mail.docx", "A 43910-2024")</f>
        <v/>
      </c>
      <c r="AC50">
        <f>HYPERLINK("https://klasma.github.io/Logging_2321/fåglar/A 43910-2024 prioriterade fågelarter.docx", "A 43910-2024")</f>
        <v/>
      </c>
    </row>
    <row r="51" ht="15" customHeight="1">
      <c r="A51" t="inlineStr">
        <is>
          <t>A 63463-2025</t>
        </is>
      </c>
      <c r="B51" t="inlineStr">
        <is>
          <t>avverkningsanmälan</t>
        </is>
      </c>
      <c r="C51" t="inlineStr">
        <is>
          <t>Föryngringsavverkning</t>
        </is>
      </c>
      <c r="D51" s="1" t="n">
        <v>46013</v>
      </c>
      <c r="E51" s="1" t="n">
        <v>46222</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s="2" t="inlineStr">
        <is>
          <t>Garnlav
Norsk näverlav
Lunglav
Skrovellav
Talltita
Tretåig hackspett
Ullticka
Trådticka</t>
        </is>
      </c>
      <c r="V51">
        <f>HYPERLINK("https://klasma.github.io/Logging_2321/artfynd/A 63463-2025 artfynd.xlsx", "A 63463-2025")</f>
        <v/>
      </c>
      <c r="W51">
        <f>HYPERLINK("https://klasma.github.io/Logging_2321/kartor/A 63463-2025 karta.png", "A 63463-2025")</f>
        <v/>
      </c>
      <c r="Y51">
        <f>HYPERLINK("https://klasma.github.io/Logging_2321/klagomål/A 63463-2025 FSC-klagomål.docx", "A 63463-2025")</f>
        <v/>
      </c>
      <c r="Z51">
        <f>HYPERLINK("https://klasma.github.io/Logging_2321/klagomålsmail/A 63463-2025 FSC-klagomål mail.docx", "A 63463-2025")</f>
        <v/>
      </c>
      <c r="AA51">
        <f>HYPERLINK("https://klasma.github.io/Logging_2321/tillsyn/A 63463-2025 tillsynsbegäran.docx", "A 63463-2025")</f>
        <v/>
      </c>
      <c r="AB51">
        <f>HYPERLINK("https://klasma.github.io/Logging_2321/tillsynsmail/A 63463-2025 tillsynsbegäran mail.docx", "A 63463-2025")</f>
        <v/>
      </c>
      <c r="AC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46222</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s="2" t="inlineStr">
        <is>
          <t>Lunglav
Skrovellav
Tretåig hackspett
Ullticka
Luddlav
Sotlav
Stuplav</t>
        </is>
      </c>
      <c r="V52">
        <f>HYPERLINK("https://klasma.github.io/Logging_2321/artfynd/A 32065-2022 artfynd.xlsx", "A 32065-2022")</f>
        <v/>
      </c>
      <c r="W52">
        <f>HYPERLINK("https://klasma.github.io/Logging_2321/kartor/A 32065-2022 karta.png", "A 32065-2022")</f>
        <v/>
      </c>
      <c r="Y52">
        <f>HYPERLINK("https://klasma.github.io/Logging_2321/klagomål/A 32065-2022 FSC-klagomål.docx", "A 32065-2022")</f>
        <v/>
      </c>
      <c r="Z52">
        <f>HYPERLINK("https://klasma.github.io/Logging_2321/klagomålsmail/A 32065-2022 FSC-klagomål mail.docx", "A 32065-2022")</f>
        <v/>
      </c>
      <c r="AA52">
        <f>HYPERLINK("https://klasma.github.io/Logging_2321/tillsyn/A 32065-2022 tillsynsbegäran.docx", "A 32065-2022")</f>
        <v/>
      </c>
      <c r="AB52">
        <f>HYPERLINK("https://klasma.github.io/Logging_2321/tillsynsmail/A 32065-2022 tillsynsbegäran mail.docx", "A 32065-2022")</f>
        <v/>
      </c>
      <c r="AC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46222</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s="2" t="inlineStr">
        <is>
          <t>Garnlav
Liten sotlav
Gammelgransskål
Skrovellav
Vitgrynig nållav
Diskvaxskivling
Svavelriska</t>
        </is>
      </c>
      <c r="V53">
        <f>HYPERLINK("https://klasma.github.io/Logging_2321/artfynd/A 16681-2025 artfynd.xlsx", "A 16681-2025")</f>
        <v/>
      </c>
      <c r="W53">
        <f>HYPERLINK("https://klasma.github.io/Logging_2321/kartor/A 16681-2025 karta.png", "A 16681-2025")</f>
        <v/>
      </c>
      <c r="Y53">
        <f>HYPERLINK("https://klasma.github.io/Logging_2321/klagomål/A 16681-2025 FSC-klagomål.docx", "A 16681-2025")</f>
        <v/>
      </c>
      <c r="Z53">
        <f>HYPERLINK("https://klasma.github.io/Logging_2321/klagomålsmail/A 16681-2025 FSC-klagomål mail.docx", "A 16681-2025")</f>
        <v/>
      </c>
      <c r="AA53">
        <f>HYPERLINK("https://klasma.github.io/Logging_2321/tillsyn/A 16681-2025 tillsynsbegäran.docx", "A 16681-2025")</f>
        <v/>
      </c>
      <c r="AB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46222</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s="2" t="inlineStr">
        <is>
          <t>Gränsticka
Norsk näverlav
Brunpudrad nållav
Kavernularia
Rödbrun blekspik
Gytterlav
Korallblylav</t>
        </is>
      </c>
      <c r="V54">
        <f>HYPERLINK("https://klasma.github.io/Logging_2321/artfynd/A 53436-2025 artfynd.xlsx", "A 53436-2025")</f>
        <v/>
      </c>
      <c r="W54">
        <f>HYPERLINK("https://klasma.github.io/Logging_2321/kartor/A 53436-2025 karta.png", "A 53436-2025")</f>
        <v/>
      </c>
      <c r="Y54">
        <f>HYPERLINK("https://klasma.github.io/Logging_2321/klagomål/A 53436-2025 FSC-klagomål.docx", "A 53436-2025")</f>
        <v/>
      </c>
      <c r="Z54">
        <f>HYPERLINK("https://klasma.github.io/Logging_2321/klagomålsmail/A 53436-2025 FSC-klagomål mail.docx", "A 53436-2025")</f>
        <v/>
      </c>
      <c r="AA54">
        <f>HYPERLINK("https://klasma.github.io/Logging_2321/tillsyn/A 53436-2025 tillsynsbegäran.docx", "A 53436-2025")</f>
        <v/>
      </c>
      <c r="AB54">
        <f>HYPERLINK("https://klasma.github.io/Logging_2321/tillsynsmail/A 53436-2025 tillsynsbegäran mail.docx", "A 53436-2025")</f>
        <v/>
      </c>
    </row>
    <row r="55" ht="15" customHeight="1">
      <c r="A55" t="inlineStr">
        <is>
          <t>A 47944-2025</t>
        </is>
      </c>
      <c r="B55" t="inlineStr">
        <is>
          <t>avverkningsanmälan</t>
        </is>
      </c>
      <c r="C55" t="inlineStr">
        <is>
          <t>Avverkning för att bevara och utveckla /försöksver</t>
        </is>
      </c>
      <c r="D55" s="1" t="n">
        <v>45931</v>
      </c>
      <c r="E55" s="1" t="n">
        <v>46222</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s="2" t="inlineStr">
        <is>
          <t>Ostticka
Fjällig taggsvamp s.str.
Ullticka
Vitgrynig nållav
Diskvaxskivling
Svavelriska
Västlig hakmossa</t>
        </is>
      </c>
      <c r="V55">
        <f>HYPERLINK("https://klasma.github.io/Logging_2321/artfynd/A 47944-2025 artfynd.xlsx", "A 47944-2025")</f>
        <v/>
      </c>
      <c r="W55">
        <f>HYPERLINK("https://klasma.github.io/Logging_2321/kartor/A 47944-2025 karta.png", "A 47944-2025")</f>
        <v/>
      </c>
      <c r="Y55">
        <f>HYPERLINK("https://klasma.github.io/Logging_2321/klagomål/A 47944-2025 FSC-klagomål.docx", "A 47944-2025")</f>
        <v/>
      </c>
      <c r="Z55">
        <f>HYPERLINK("https://klasma.github.io/Logging_2321/klagomålsmail/A 47944-2025 FSC-klagomål mail.docx", "A 47944-2025")</f>
        <v/>
      </c>
      <c r="AA55">
        <f>HYPERLINK("https://klasma.github.io/Logging_2321/tillsyn/A 47944-2025 tillsynsbegäran.docx", "A 47944-2025")</f>
        <v/>
      </c>
      <c r="AB55">
        <f>HYPERLINK("https://klasma.github.io/Logging_2321/tillsynsmail/A 47944-2025 tillsynsbegäran mail.docx", "A 47944-2025")</f>
        <v/>
      </c>
    </row>
    <row r="56" ht="15" customHeight="1">
      <c r="A56" t="inlineStr">
        <is>
          <t>A 3152-2023</t>
        </is>
      </c>
      <c r="B56" t="inlineStr">
        <is>
          <t>avverkningsanmälan</t>
        </is>
      </c>
      <c r="C56" t="inlineStr">
        <is>
          <t>Föryngringsavverkning</t>
        </is>
      </c>
      <c r="D56" s="1" t="n">
        <v>44946</v>
      </c>
      <c r="E56" s="1" t="n">
        <v>46222</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s="2" t="inlineStr">
        <is>
          <t>Harticka
Lunglav
Rosenticka
Tretåig hackspett
Bårdlav
Spindelblomster
Blåsippa</t>
        </is>
      </c>
      <c r="V56">
        <f>HYPERLINK("https://klasma.github.io/Logging_2321/artfynd/A 3152-2023 artfynd.xlsx", "A 3152-2023")</f>
        <v/>
      </c>
      <c r="W56">
        <f>HYPERLINK("https://klasma.github.io/Logging_2321/kartor/A 3152-2023 karta.png", "A 3152-2023")</f>
        <v/>
      </c>
      <c r="Y56">
        <f>HYPERLINK("https://klasma.github.io/Logging_2321/klagomål/A 3152-2023 FSC-klagomål.docx", "A 3152-2023")</f>
        <v/>
      </c>
      <c r="Z56">
        <f>HYPERLINK("https://klasma.github.io/Logging_2321/klagomålsmail/A 3152-2023 FSC-klagomål mail.docx", "A 3152-2023")</f>
        <v/>
      </c>
      <c r="AA56">
        <f>HYPERLINK("https://klasma.github.io/Logging_2321/tillsyn/A 3152-2023 tillsynsbegäran.docx", "A 3152-2023")</f>
        <v/>
      </c>
      <c r="AB56">
        <f>HYPERLINK("https://klasma.github.io/Logging_2321/tillsynsmail/A 3152-2023 tillsynsbegäran mail.docx", "A 3152-2023")</f>
        <v/>
      </c>
      <c r="AC56">
        <f>HYPERLINK("https://klasma.github.io/Logging_2321/fåglar/A 3152-2023 prioriterade fågelarter.docx", "A 3152-2023")</f>
        <v/>
      </c>
    </row>
    <row r="57" ht="15" customHeight="1">
      <c r="A57" t="inlineStr">
        <is>
          <t>A 53500-2024</t>
        </is>
      </c>
      <c r="B57" t="inlineStr">
        <is>
          <t>avverkningsanmälan</t>
        </is>
      </c>
      <c r="C57" t="inlineStr">
        <is>
          <t>Föryngringsavverkning</t>
        </is>
      </c>
      <c r="D57" s="1" t="n">
        <v>45614</v>
      </c>
      <c r="E57" s="1" t="n">
        <v>46222</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s="2" t="inlineStr">
        <is>
          <t>Pärluggla
Garnlav
Harticka
Lavskrika
Talltita
Tretåig hackspett
Tjäder</t>
        </is>
      </c>
      <c r="V57">
        <f>HYPERLINK("https://klasma.github.io/Logging_2321/artfynd/A 53500-2024 artfynd.xlsx", "A 53500-2024")</f>
        <v/>
      </c>
      <c r="W57">
        <f>HYPERLINK("https://klasma.github.io/Logging_2321/kartor/A 53500-2024 karta.png", "A 53500-2024")</f>
        <v/>
      </c>
      <c r="Y57">
        <f>HYPERLINK("https://klasma.github.io/Logging_2321/klagomål/A 53500-2024 FSC-klagomål.docx", "A 53500-2024")</f>
        <v/>
      </c>
      <c r="Z57">
        <f>HYPERLINK("https://klasma.github.io/Logging_2321/klagomålsmail/A 53500-2024 FSC-klagomål mail.docx", "A 53500-2024")</f>
        <v/>
      </c>
      <c r="AA57">
        <f>HYPERLINK("https://klasma.github.io/Logging_2321/tillsyn/A 53500-2024 tillsynsbegäran.docx", "A 53500-2024")</f>
        <v/>
      </c>
      <c r="AB57">
        <f>HYPERLINK("https://klasma.github.io/Logging_2321/tillsynsmail/A 53500-2024 tillsynsbegäran mail.docx", "A 53500-2024")</f>
        <v/>
      </c>
      <c r="AC57">
        <f>HYPERLINK("https://klasma.github.io/Logging_2321/fåglar/A 53500-2024 prioriterade fågelarter.docx", "A 53500-2024")</f>
        <v/>
      </c>
    </row>
    <row r="58" ht="15" customHeight="1">
      <c r="A58" t="inlineStr">
        <is>
          <t>A 7034-2026</t>
        </is>
      </c>
      <c r="B58" t="inlineStr">
        <is>
          <t>avverkningsanmälan</t>
        </is>
      </c>
      <c r="C58" t="inlineStr">
        <is>
          <t>Föryngringsavverkning</t>
        </is>
      </c>
      <c r="D58" s="1" t="n">
        <v>46057</v>
      </c>
      <c r="E58" s="1" t="n">
        <v>46222</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s="2" t="inlineStr">
        <is>
          <t>Borgsjömusseron
Garnlav
Liten svartspik
Vitgrynig nållav
Diskvaxskivling
Svavelriska
Trådticka</t>
        </is>
      </c>
      <c r="V58">
        <f>HYPERLINK("https://klasma.github.io/Logging_2321/artfynd/A 7034-2026 artfynd.xlsx", "A 7034-2026")</f>
        <v/>
      </c>
      <c r="W58">
        <f>HYPERLINK("https://klasma.github.io/Logging_2321/kartor/A 7034-2026 karta.png", "A 7034-2026")</f>
        <v/>
      </c>
      <c r="Y58">
        <f>HYPERLINK("https://klasma.github.io/Logging_2321/klagomål/A 7034-2026 FSC-klagomål.docx", "A 7034-2026")</f>
        <v/>
      </c>
      <c r="Z58">
        <f>HYPERLINK("https://klasma.github.io/Logging_2321/klagomålsmail/A 7034-2026 FSC-klagomål mail.docx", "A 7034-2026")</f>
        <v/>
      </c>
      <c r="AA58">
        <f>HYPERLINK("https://klasma.github.io/Logging_2321/tillsyn/A 7034-2026 tillsynsbegäran.docx", "A 7034-2026")</f>
        <v/>
      </c>
      <c r="AB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46222</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HYPERLINK("https://klasma.github.io/Logging_2321/artfynd/S 288-2026 artfynd.xlsx", "S 288-2026")</f>
        <v/>
      </c>
      <c r="W59">
        <f>HYPERLINK("https://klasma.github.io/Logging_2321/kartor/S 288-2026 karta.png", "S 288-2026")</f>
        <v/>
      </c>
      <c r="Y59">
        <f>HYPERLINK("https://klasma.github.io/Logging_2321/klagomål/S 288-2026 FSC-klagomål.docx", "S 288-2026")</f>
        <v/>
      </c>
      <c r="Z59">
        <f>HYPERLINK("https://klasma.github.io/Logging_2321/klagomålsmail/S 288-2026 FSC-klagomål mail.docx", "S 288-2026")</f>
        <v/>
      </c>
      <c r="AA59">
        <f>HYPERLINK("https://klasma.github.io/Logging_2321/tillsyn/S 288-2026 tillsynsbegäran.docx", "S 288-2026")</f>
        <v/>
      </c>
      <c r="AB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46222</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s="2" t="inlineStr">
        <is>
          <t>Lappticka
Harticka
Tretåig hackspett
Ullticka
Vitgrynig nållav
Tallbit</t>
        </is>
      </c>
      <c r="V60">
        <f>HYPERLINK("https://klasma.github.io/Logging_2321/artfynd/A 60246-2021 artfynd.xlsx", "A 60246-2021")</f>
        <v/>
      </c>
      <c r="W60">
        <f>HYPERLINK("https://klasma.github.io/Logging_2321/kartor/A 60246-2021 karta.png", "A 60246-2021")</f>
        <v/>
      </c>
      <c r="Y60">
        <f>HYPERLINK("https://klasma.github.io/Logging_2321/klagomål/A 60246-2021 FSC-klagomål.docx", "A 60246-2021")</f>
        <v/>
      </c>
      <c r="Z60">
        <f>HYPERLINK("https://klasma.github.io/Logging_2321/klagomålsmail/A 60246-2021 FSC-klagomål mail.docx", "A 60246-2021")</f>
        <v/>
      </c>
      <c r="AA60">
        <f>HYPERLINK("https://klasma.github.io/Logging_2321/tillsyn/A 60246-2021 tillsynsbegäran.docx", "A 60246-2021")</f>
        <v/>
      </c>
      <c r="AB60">
        <f>HYPERLINK("https://klasma.github.io/Logging_2321/tillsynsmail/A 60246-2021 tillsynsbegäran mail.docx", "A 60246-2021")</f>
        <v/>
      </c>
      <c r="AC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46222</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s="2" t="inlineStr">
        <is>
          <t>Garnlav
Liten hornflikmossa
Lavskrika
Tretåig hackspett
Korallblylav
Spillkråka</t>
        </is>
      </c>
      <c r="V61">
        <f>HYPERLINK("https://klasma.github.io/Logging_2321/artfynd/A 56888-2022 artfynd.xlsx", "A 56888-2022")</f>
        <v/>
      </c>
      <c r="W61">
        <f>HYPERLINK("https://klasma.github.io/Logging_2321/kartor/A 56888-2022 karta.png", "A 56888-2022")</f>
        <v/>
      </c>
      <c r="Y61">
        <f>HYPERLINK("https://klasma.github.io/Logging_2321/klagomål/A 56888-2022 FSC-klagomål.docx", "A 56888-2022")</f>
        <v/>
      </c>
      <c r="Z61">
        <f>HYPERLINK("https://klasma.github.io/Logging_2321/klagomålsmail/A 56888-2022 FSC-klagomål mail.docx", "A 56888-2022")</f>
        <v/>
      </c>
      <c r="AA61">
        <f>HYPERLINK("https://klasma.github.io/Logging_2321/tillsyn/A 56888-2022 tillsynsbegäran.docx", "A 56888-2022")</f>
        <v/>
      </c>
      <c r="AB61">
        <f>HYPERLINK("https://klasma.github.io/Logging_2321/tillsynsmail/A 56888-2022 tillsynsbegäran mail.docx", "A 56888-2022")</f>
        <v/>
      </c>
      <c r="AC61">
        <f>HYPERLINK("https://klasma.github.io/Logging_2321/fåglar/A 56888-2022 prioriterade fågelarter.docx", "A 56888-2022")</f>
        <v/>
      </c>
    </row>
    <row r="62" ht="15" customHeight="1">
      <c r="A62" t="inlineStr">
        <is>
          <t>A 4938-2025</t>
        </is>
      </c>
      <c r="B62" t="inlineStr">
        <is>
          <t>avverkningsanmälan</t>
        </is>
      </c>
      <c r="C62" t="inlineStr">
        <is>
          <t>Föryngringsavverkning</t>
        </is>
      </c>
      <c r="D62" s="1" t="n">
        <v>45688</v>
      </c>
      <c r="E62" s="1" t="n">
        <v>46222</v>
      </c>
      <c r="F62" t="inlineStr">
        <is>
          <t>JÄMTLANDS LÄN</t>
        </is>
      </c>
      <c r="G62" t="inlineStr">
        <is>
          <t>ÅRE</t>
        </is>
      </c>
      <c r="I62" t="n">
        <v>0.9</v>
      </c>
      <c r="J62" t="n">
        <v>0</v>
      </c>
      <c r="K62" t="n">
        <v>2</v>
      </c>
      <c r="L62" t="n">
        <v>1</v>
      </c>
      <c r="M62" t="n">
        <v>3</v>
      </c>
      <c r="N62" t="n">
        <v>0</v>
      </c>
      <c r="O62" t="n">
        <v>0</v>
      </c>
      <c r="P62" t="n">
        <v>0</v>
      </c>
      <c r="Q62" t="n">
        <v>4</v>
      </c>
      <c r="R62" t="n">
        <v>3</v>
      </c>
      <c r="S62" t="n">
        <v>6</v>
      </c>
      <c r="T62" t="n">
        <v>6</v>
      </c>
      <c r="U62" s="2" t="inlineStr">
        <is>
          <t>Borgsjömusseron
Garnlav
Kejsarskivling
Skrovellav
Papegojvaxing
Svavelriska</t>
        </is>
      </c>
      <c r="V62">
        <f>HYPERLINK("https://klasma.github.io/Logging_2321/artfynd/A 4938-2025 artfynd.xlsx", "A 4938-2025")</f>
        <v/>
      </c>
      <c r="W62">
        <f>HYPERLINK("https://klasma.github.io/Logging_2321/kartor/A 4938-2025 karta.png", "A 4938-2025")</f>
        <v/>
      </c>
      <c r="Y62">
        <f>HYPERLINK("https://klasma.github.io/Logging_2321/klagomål/A 4938-2025 FSC-klagomål.docx", "A 4938-2025")</f>
        <v/>
      </c>
      <c r="Z62">
        <f>HYPERLINK("https://klasma.github.io/Logging_2321/klagomålsmail/A 4938-2025 FSC-klagomål mail.docx", "A 4938-2025")</f>
        <v/>
      </c>
      <c r="AA62">
        <f>HYPERLINK("https://klasma.github.io/Logging_2321/tillsyn/A 4938-2025 tillsynsbegäran.docx", "A 4938-2025")</f>
        <v/>
      </c>
      <c r="AB62">
        <f>HYPERLINK("https://klasma.github.io/Logging_2321/tillsynsmail/A 4938-2025 tillsynsbegäran mail.docx", "A 4938-2025")</f>
        <v/>
      </c>
    </row>
    <row r="63" ht="15" customHeight="1">
      <c r="A63" t="inlineStr">
        <is>
          <t>A 16667-2025</t>
        </is>
      </c>
      <c r="B63" t="inlineStr">
        <is>
          <t>avverkningsanmälan</t>
        </is>
      </c>
      <c r="C63" t="inlineStr">
        <is>
          <t>Föryngringsavverkning</t>
        </is>
      </c>
      <c r="D63" s="1" t="n">
        <v>45754</v>
      </c>
      <c r="E63" s="1" t="n">
        <v>46222</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s="2" t="inlineStr">
        <is>
          <t>Garnlav
Gammelgransskål
Skrovellav
Vitgrynig nållav
Granriska
Svavelriska</t>
        </is>
      </c>
      <c r="V63">
        <f>HYPERLINK("https://klasma.github.io/Logging_2321/artfynd/A 16667-2025 artfynd.xlsx", "A 16667-2025")</f>
        <v/>
      </c>
      <c r="W63">
        <f>HYPERLINK("https://klasma.github.io/Logging_2321/kartor/A 16667-2025 karta.png", "A 16667-2025")</f>
        <v/>
      </c>
      <c r="Y63">
        <f>HYPERLINK("https://klasma.github.io/Logging_2321/klagomål/A 16667-2025 FSC-klagomål.docx", "A 16667-2025")</f>
        <v/>
      </c>
      <c r="Z63">
        <f>HYPERLINK("https://klasma.github.io/Logging_2321/klagomålsmail/A 16667-2025 FSC-klagomål mail.docx", "A 16667-2025")</f>
        <v/>
      </c>
      <c r="AA63">
        <f>HYPERLINK("https://klasma.github.io/Logging_2321/tillsyn/A 16667-2025 tillsynsbegäran.docx", "A 16667-2025")</f>
        <v/>
      </c>
      <c r="AB63">
        <f>HYPERLINK("https://klasma.github.io/Logging_2321/tillsynsmail/A 16667-2025 tillsynsbegäran mail.docx", "A 16667-2025")</f>
        <v/>
      </c>
    </row>
    <row r="64" ht="15" customHeight="1">
      <c r="A64" t="inlineStr">
        <is>
          <t>A 22601-2024</t>
        </is>
      </c>
      <c r="B64" t="inlineStr">
        <is>
          <t>avverkningsanmälan</t>
        </is>
      </c>
      <c r="C64" t="inlineStr">
        <is>
          <t>Föryngringsavverkning</t>
        </is>
      </c>
      <c r="D64" s="1" t="n">
        <v>45447</v>
      </c>
      <c r="E64" s="1" t="n">
        <v>46222</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s="2" t="inlineStr">
        <is>
          <t>Lavskrika
Finbräken
Kransrams
Nordlig tuffmossa
Svavelriska
Ögonpyrola</t>
        </is>
      </c>
      <c r="V64">
        <f>HYPERLINK("https://klasma.github.io/Logging_2321/artfynd/A 22601-2024 artfynd.xlsx", "A 22601-2024")</f>
        <v/>
      </c>
      <c r="W64">
        <f>HYPERLINK("https://klasma.github.io/Logging_2321/kartor/A 22601-2024 karta.png", "A 22601-2024")</f>
        <v/>
      </c>
      <c r="Y64">
        <f>HYPERLINK("https://klasma.github.io/Logging_2321/klagomål/A 22601-2024 FSC-klagomål.docx", "A 22601-2024")</f>
        <v/>
      </c>
      <c r="Z64">
        <f>HYPERLINK("https://klasma.github.io/Logging_2321/klagomålsmail/A 22601-2024 FSC-klagomål mail.docx", "A 22601-2024")</f>
        <v/>
      </c>
      <c r="AA64">
        <f>HYPERLINK("https://klasma.github.io/Logging_2321/tillsyn/A 22601-2024 tillsynsbegäran.docx", "A 22601-2024")</f>
        <v/>
      </c>
      <c r="AB64">
        <f>HYPERLINK("https://klasma.github.io/Logging_2321/tillsynsmail/A 22601-2024 tillsynsbegäran mail.docx", "A 22601-2024")</f>
        <v/>
      </c>
      <c r="AC64">
        <f>HYPERLINK("https://klasma.github.io/Logging_2321/fåglar/A 22601-2024 prioriterade fågelarter.docx", "A 22601-2024")</f>
        <v/>
      </c>
    </row>
    <row r="65" ht="15" customHeight="1">
      <c r="A65" t="inlineStr">
        <is>
          <t>A 30035-2024</t>
        </is>
      </c>
      <c r="B65" t="inlineStr">
        <is>
          <t>avverkningsanmälan</t>
        </is>
      </c>
      <c r="C65" t="inlineStr">
        <is>
          <t>Föryngringsavverkning</t>
        </is>
      </c>
      <c r="D65" s="1" t="n">
        <v>45485</v>
      </c>
      <c r="E65" s="1" t="n">
        <v>46222</v>
      </c>
      <c r="F65" t="inlineStr">
        <is>
          <t>JÄMTLANDS LÄN</t>
        </is>
      </c>
      <c r="G65" t="inlineStr">
        <is>
          <t>ÅRE</t>
        </is>
      </c>
      <c r="I65" t="n">
        <v>16.7</v>
      </c>
      <c r="J65" t="n">
        <v>1</v>
      </c>
      <c r="K65" t="n">
        <v>2</v>
      </c>
      <c r="L65" t="n">
        <v>4</v>
      </c>
      <c r="M65" t="n">
        <v>0</v>
      </c>
      <c r="N65" t="n">
        <v>0</v>
      </c>
      <c r="O65" t="n">
        <v>0</v>
      </c>
      <c r="P65" t="n">
        <v>0</v>
      </c>
      <c r="Q65" t="n">
        <v>4</v>
      </c>
      <c r="R65" t="n">
        <v>0</v>
      </c>
      <c r="S65" t="n">
        <v>6</v>
      </c>
      <c r="T65" t="n">
        <v>9</v>
      </c>
      <c r="U65" s="2" t="inlineStr">
        <is>
          <t>Kötticka
Skrovellav
Tretåig hackspett
Vitgrynig nållav
Blåmossa
Stuplav</t>
        </is>
      </c>
      <c r="V65">
        <f>HYPERLINK("https://klasma.github.io/Logging_2321/artfynd/A 30035-2024 artfynd.xlsx", "A 30035-2024")</f>
        <v/>
      </c>
      <c r="W65">
        <f>HYPERLINK("https://klasma.github.io/Logging_2321/kartor/A 30035-2024 karta.png", "A 30035-2024")</f>
        <v/>
      </c>
      <c r="Y65">
        <f>HYPERLINK("https://klasma.github.io/Logging_2321/klagomål/A 30035-2024 FSC-klagomål.docx", "A 30035-2024")</f>
        <v/>
      </c>
      <c r="Z65">
        <f>HYPERLINK("https://klasma.github.io/Logging_2321/klagomålsmail/A 30035-2024 FSC-klagomål mail.docx", "A 30035-2024")</f>
        <v/>
      </c>
      <c r="AA65">
        <f>HYPERLINK("https://klasma.github.io/Logging_2321/tillsyn/A 30035-2024 tillsynsbegäran.docx", "A 30035-2024")</f>
        <v/>
      </c>
      <c r="AB65">
        <f>HYPERLINK("https://klasma.github.io/Logging_2321/tillsynsmail/A 30035-2024 tillsynsbegäran mail.docx", "A 30035-2024")</f>
        <v/>
      </c>
      <c r="AC65">
        <f>HYPERLINK("https://klasma.github.io/Logging_2321/fåglar/A 30035-2024 prioriterade fågelarter.docx", "A 30035-2024")</f>
        <v/>
      </c>
    </row>
    <row r="66" ht="15" customHeight="1">
      <c r="A66" t="inlineStr">
        <is>
          <t>A 30034-2024</t>
        </is>
      </c>
      <c r="B66" t="inlineStr">
        <is>
          <t>avverkningsanmälan</t>
        </is>
      </c>
      <c r="C66" t="inlineStr">
        <is>
          <t>Föryngringsavverkning</t>
        </is>
      </c>
      <c r="D66" s="1" t="n">
        <v>45485</v>
      </c>
      <c r="E66" s="1" t="n">
        <v>46222</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s="2" t="inlineStr">
        <is>
          <t>Skrovellav
Ullticka
Spindelblomster
Stuplav
Tibast
Sälg</t>
        </is>
      </c>
      <c r="V66">
        <f>HYPERLINK("https://klasma.github.io/Logging_2321/artfynd/A 30034-2024 artfynd.xlsx", "A 30034-2024")</f>
        <v/>
      </c>
      <c r="W66">
        <f>HYPERLINK("https://klasma.github.io/Logging_2321/kartor/A 30034-2024 karta.png", "A 30034-2024")</f>
        <v/>
      </c>
      <c r="Y66">
        <f>HYPERLINK("https://klasma.github.io/Logging_2321/klagomål/A 30034-2024 FSC-klagomål.docx", "A 30034-2024")</f>
        <v/>
      </c>
      <c r="Z66">
        <f>HYPERLINK("https://klasma.github.io/Logging_2321/klagomålsmail/A 30034-2024 FSC-klagomål mail.docx", "A 30034-2024")</f>
        <v/>
      </c>
      <c r="AA66">
        <f>HYPERLINK("https://klasma.github.io/Logging_2321/tillsyn/A 30034-2024 tillsynsbegäran.docx", "A 30034-2024")</f>
        <v/>
      </c>
      <c r="AB66">
        <f>HYPERLINK("https://klasma.github.io/Logging_2321/tillsynsmail/A 30034-2024 tillsynsbegäran mail.docx", "A 30034-2024")</f>
        <v/>
      </c>
    </row>
    <row r="67" ht="15" customHeight="1">
      <c r="A67" t="inlineStr">
        <is>
          <t>A 57417-2025</t>
        </is>
      </c>
      <c r="B67" t="inlineStr">
        <is>
          <t>avverkningsanmälan</t>
        </is>
      </c>
      <c r="C67" t="inlineStr">
        <is>
          <t>Föryngringsavverkning</t>
        </is>
      </c>
      <c r="D67" s="1" t="n">
        <v>45980</v>
      </c>
      <c r="E67" s="1" t="n">
        <v>46222</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s="2" t="inlineStr">
        <is>
          <t>Garnlav
Gränsticka
Harticka
Rödbrun blekspik
Skrovellav
Stuplav</t>
        </is>
      </c>
      <c r="V67">
        <f>HYPERLINK("https://klasma.github.io/Logging_2321/artfynd/A 57417-2025 artfynd.xlsx", "A 57417-2025")</f>
        <v/>
      </c>
      <c r="W67">
        <f>HYPERLINK("https://klasma.github.io/Logging_2321/kartor/A 57417-2025 karta.png", "A 57417-2025")</f>
        <v/>
      </c>
      <c r="Y67">
        <f>HYPERLINK("https://klasma.github.io/Logging_2321/klagomål/A 57417-2025 FSC-klagomål.docx", "A 57417-2025")</f>
        <v/>
      </c>
      <c r="Z67">
        <f>HYPERLINK("https://klasma.github.io/Logging_2321/klagomålsmail/A 57417-2025 FSC-klagomål mail.docx", "A 57417-2025")</f>
        <v/>
      </c>
      <c r="AA67">
        <f>HYPERLINK("https://klasma.github.io/Logging_2321/tillsyn/A 57417-2025 tillsynsbegäran.docx", "A 57417-2025")</f>
        <v/>
      </c>
      <c r="AB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46222</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s="2" t="inlineStr">
        <is>
          <t>Garnlav
Gammelgransskål
Knottrig blåslav
Lavskrika
Skrovellav
Stuplav</t>
        </is>
      </c>
      <c r="V68">
        <f>HYPERLINK("https://klasma.github.io/Logging_2321/artfynd/A 59163-2025 artfynd.xlsx", "A 59163-2025")</f>
        <v/>
      </c>
      <c r="W68">
        <f>HYPERLINK("https://klasma.github.io/Logging_2321/kartor/A 59163-2025 karta.png", "A 59163-2025")</f>
        <v/>
      </c>
      <c r="Y68">
        <f>HYPERLINK("https://klasma.github.io/Logging_2321/klagomål/A 59163-2025 FSC-klagomål.docx", "A 59163-2025")</f>
        <v/>
      </c>
      <c r="Z68">
        <f>HYPERLINK("https://klasma.github.io/Logging_2321/klagomålsmail/A 59163-2025 FSC-klagomål mail.docx", "A 59163-2025")</f>
        <v/>
      </c>
      <c r="AA68">
        <f>HYPERLINK("https://klasma.github.io/Logging_2321/tillsyn/A 59163-2025 tillsynsbegäran.docx", "A 59163-2025")</f>
        <v/>
      </c>
      <c r="AB68">
        <f>HYPERLINK("https://klasma.github.io/Logging_2321/tillsynsmail/A 59163-2025 tillsynsbegäran mail.docx", "A 59163-2025")</f>
        <v/>
      </c>
      <c r="AC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46222</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s="2" t="inlineStr">
        <is>
          <t>Doftskinn
Vedflikmossa
Kambräken
Kransrams
Mörk husmossa
Vedticka</t>
        </is>
      </c>
      <c r="V69">
        <f>HYPERLINK("https://klasma.github.io/Logging_2321/artfynd/A 43942-2024 artfynd.xlsx", "A 43942-2024")</f>
        <v/>
      </c>
      <c r="W69">
        <f>HYPERLINK("https://klasma.github.io/Logging_2321/kartor/A 43942-2024 karta.png", "A 43942-2024")</f>
        <v/>
      </c>
      <c r="Y69">
        <f>HYPERLINK("https://klasma.github.io/Logging_2321/klagomål/A 43942-2024 FSC-klagomål.docx", "A 43942-2024")</f>
        <v/>
      </c>
      <c r="Z69">
        <f>HYPERLINK("https://klasma.github.io/Logging_2321/klagomålsmail/A 43942-2024 FSC-klagomål mail.docx", "A 43942-2024")</f>
        <v/>
      </c>
      <c r="AA69">
        <f>HYPERLINK("https://klasma.github.io/Logging_2321/tillsyn/A 43942-2024 tillsynsbegäran.docx", "A 43942-2024")</f>
        <v/>
      </c>
      <c r="AB69">
        <f>HYPERLINK("https://klasma.github.io/Logging_2321/tillsynsmail/A 43942-2024 tillsynsbegäran mail.docx", "A 43942-2024")</f>
        <v/>
      </c>
    </row>
    <row r="70" ht="15" customHeight="1">
      <c r="A70" t="inlineStr">
        <is>
          <t>A 16160-2026</t>
        </is>
      </c>
      <c r="B70" t="inlineStr">
        <is>
          <t>avverkningsanmälan</t>
        </is>
      </c>
      <c r="C70" t="inlineStr">
        <is>
          <t>Föryngringsavverkning</t>
        </is>
      </c>
      <c r="D70" s="1" t="n">
        <v>46109</v>
      </c>
      <c r="E70" s="1" t="n">
        <v>46222</v>
      </c>
      <c r="F70" t="inlineStr">
        <is>
          <t>JÄMTLANDS LÄN</t>
        </is>
      </c>
      <c r="G70" t="inlineStr">
        <is>
          <t>ÅRE</t>
        </is>
      </c>
      <c r="I70" t="n">
        <v>7.6</v>
      </c>
      <c r="J70" t="n">
        <v>1</v>
      </c>
      <c r="K70" t="n">
        <v>0</v>
      </c>
      <c r="L70" t="n">
        <v>4</v>
      </c>
      <c r="M70" t="n">
        <v>2</v>
      </c>
      <c r="N70" t="n">
        <v>0</v>
      </c>
      <c r="O70" t="n">
        <v>0</v>
      </c>
      <c r="P70" t="n">
        <v>0</v>
      </c>
      <c r="Q70" t="n">
        <v>6</v>
      </c>
      <c r="R70" t="n">
        <v>2</v>
      </c>
      <c r="S70" t="n">
        <v>6</v>
      </c>
      <c r="T70" t="n">
        <v>10</v>
      </c>
      <c r="U70" s="2" t="inlineStr">
        <is>
          <t>Garnlav
Vitskaftad svartspik
Brunpudrad nållav
Rödbrun blekspik
Tretåig hackspett
Vitgrynig nållav</t>
        </is>
      </c>
      <c r="V70">
        <f>HYPERLINK("https://klasma.github.io/Logging_2321/artfynd/A 16160-2026 artfynd.xlsx", "A 16160-2026")</f>
        <v/>
      </c>
      <c r="W70">
        <f>HYPERLINK("https://klasma.github.io/Logging_2321/kartor/A 16160-2026 karta.png", "A 16160-2026")</f>
        <v/>
      </c>
      <c r="Y70">
        <f>HYPERLINK("https://klasma.github.io/Logging_2321/klagomål/A 16160-2026 FSC-klagomål.docx", "A 16160-2026")</f>
        <v/>
      </c>
      <c r="Z70">
        <f>HYPERLINK("https://klasma.github.io/Logging_2321/klagomålsmail/A 16160-2026 FSC-klagomål mail.docx", "A 16160-2026")</f>
        <v/>
      </c>
      <c r="AA70">
        <f>HYPERLINK("https://klasma.github.io/Logging_2321/tillsyn/A 16160-2026 tillsynsbegäran.docx", "A 16160-2026")</f>
        <v/>
      </c>
      <c r="AB70">
        <f>HYPERLINK("https://klasma.github.io/Logging_2321/tillsynsmail/A 16160-2026 tillsynsbegäran mail.docx", "A 16160-2026")</f>
        <v/>
      </c>
      <c r="AC70">
        <f>HYPERLINK("https://klasma.github.io/Logging_2321/fåglar/A 16160-2026 prioriterade fågelarter.docx", "A 16160-2026")</f>
        <v/>
      </c>
    </row>
    <row r="71" ht="15" customHeight="1">
      <c r="A71" t="inlineStr">
        <is>
          <t>A 54988-2025</t>
        </is>
      </c>
      <c r="B71" t="inlineStr">
        <is>
          <t>avverkningsanmälan</t>
        </is>
      </c>
      <c r="C71" t="inlineStr">
        <is>
          <t>Föryngringsavverkning</t>
        </is>
      </c>
      <c r="D71" s="1" t="n">
        <v>45967</v>
      </c>
      <c r="E71" s="1" t="n">
        <v>46222</v>
      </c>
      <c r="F71" t="inlineStr">
        <is>
          <t>JÄMTLANDS LÄN</t>
        </is>
      </c>
      <c r="G71" t="inlineStr">
        <is>
          <t>ÅRE</t>
        </is>
      </c>
      <c r="I71" t="n">
        <v>22.3</v>
      </c>
      <c r="J71" t="n">
        <v>2</v>
      </c>
      <c r="K71" t="n">
        <v>0</v>
      </c>
      <c r="L71" t="n">
        <v>5</v>
      </c>
      <c r="M71" t="n">
        <v>1</v>
      </c>
      <c r="N71" t="n">
        <v>0</v>
      </c>
      <c r="O71" t="n">
        <v>0</v>
      </c>
      <c r="P71" t="n">
        <v>0</v>
      </c>
      <c r="Q71" t="n">
        <v>6</v>
      </c>
      <c r="R71" t="n">
        <v>1</v>
      </c>
      <c r="S71" t="n">
        <v>6</v>
      </c>
      <c r="T71" t="n">
        <v>25</v>
      </c>
      <c r="U71" s="2" t="inlineStr">
        <is>
          <t>Garnlav
Harticka
Rynkskinn
Talltita
Tretåig hackspett
Ullticka</t>
        </is>
      </c>
      <c r="V71">
        <f>HYPERLINK("https://klasma.github.io/Logging_2321/artfynd/A 54988-2025 artfynd.xlsx", "A 54988-2025")</f>
        <v/>
      </c>
      <c r="W71">
        <f>HYPERLINK("https://klasma.github.io/Logging_2321/kartor/A 54988-2025 karta.png", "A 54988-2025")</f>
        <v/>
      </c>
      <c r="Y71">
        <f>HYPERLINK("https://klasma.github.io/Logging_2321/klagomål/A 54988-2025 FSC-klagomål.docx", "A 54988-2025")</f>
        <v/>
      </c>
      <c r="Z71">
        <f>HYPERLINK("https://klasma.github.io/Logging_2321/klagomålsmail/A 54988-2025 FSC-klagomål mail.docx", "A 54988-2025")</f>
        <v/>
      </c>
      <c r="AA71">
        <f>HYPERLINK("https://klasma.github.io/Logging_2321/tillsyn/A 54988-2025 tillsynsbegäran.docx", "A 54988-2025")</f>
        <v/>
      </c>
      <c r="AB71">
        <f>HYPERLINK("https://klasma.github.io/Logging_2321/tillsynsmail/A 54988-2025 tillsynsbegäran mail.docx", "A 54988-2025")</f>
        <v/>
      </c>
      <c r="AC71">
        <f>HYPERLINK("https://klasma.github.io/Logging_2321/fåglar/A 54988-2025 prioriterade fågelarter.docx", "A 54988-2025")</f>
        <v/>
      </c>
    </row>
    <row r="72" ht="15" customHeight="1">
      <c r="A72" t="inlineStr">
        <is>
          <t>A 54374-2025</t>
        </is>
      </c>
      <c r="B72" t="inlineStr">
        <is>
          <t>avverkningsanmälan</t>
        </is>
      </c>
      <c r="C72" t="inlineStr">
        <is>
          <t>Föryngringsavverkning</t>
        </is>
      </c>
      <c r="D72" s="1" t="n">
        <v>45965</v>
      </c>
      <c r="E72" s="1" t="n">
        <v>46222</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s="2" t="inlineStr">
        <is>
          <t>Knottrig blåslav
Lunglav
Skrovellav
Tretåig hackspett
Spindelblomster
Järpe</t>
        </is>
      </c>
      <c r="V72">
        <f>HYPERLINK("https://klasma.github.io/Logging_2321/artfynd/A 54374-2025 artfynd.xlsx", "A 54374-2025")</f>
        <v/>
      </c>
      <c r="W72">
        <f>HYPERLINK("https://klasma.github.io/Logging_2321/kartor/A 54374-2025 karta.png", "A 54374-2025")</f>
        <v/>
      </c>
      <c r="Y72">
        <f>HYPERLINK("https://klasma.github.io/Logging_2321/klagomål/A 54374-2025 FSC-klagomål.docx", "A 54374-2025")</f>
        <v/>
      </c>
      <c r="Z72">
        <f>HYPERLINK("https://klasma.github.io/Logging_2321/klagomålsmail/A 54374-2025 FSC-klagomål mail.docx", "A 54374-2025")</f>
        <v/>
      </c>
      <c r="AA72">
        <f>HYPERLINK("https://klasma.github.io/Logging_2321/tillsyn/A 54374-2025 tillsynsbegäran.docx", "A 54374-2025")</f>
        <v/>
      </c>
      <c r="AB72">
        <f>HYPERLINK("https://klasma.github.io/Logging_2321/tillsynsmail/A 54374-2025 tillsynsbegäran mail.docx", "A 54374-2025")</f>
        <v/>
      </c>
      <c r="AC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46222</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s="2" t="inlineStr">
        <is>
          <t>Blågrå svartspik
Ladlav
Lavskrika
Tretåig hackspett
Tjäder
Fläcknycklar</t>
        </is>
      </c>
      <c r="V73">
        <f>HYPERLINK("https://klasma.github.io/Logging_2321/artfynd/A 40386-2025 artfynd.xlsx", "A 40386-2025")</f>
        <v/>
      </c>
      <c r="W73">
        <f>HYPERLINK("https://klasma.github.io/Logging_2321/kartor/A 40386-2025 karta.png", "A 40386-2025")</f>
        <v/>
      </c>
      <c r="Y73">
        <f>HYPERLINK("https://klasma.github.io/Logging_2321/klagomål/A 40386-2025 FSC-klagomål.docx", "A 40386-2025")</f>
        <v/>
      </c>
      <c r="Z73">
        <f>HYPERLINK("https://klasma.github.io/Logging_2321/klagomålsmail/A 40386-2025 FSC-klagomål mail.docx", "A 40386-2025")</f>
        <v/>
      </c>
      <c r="AA73">
        <f>HYPERLINK("https://klasma.github.io/Logging_2321/tillsyn/A 40386-2025 tillsynsbegäran.docx", "A 40386-2025")</f>
        <v/>
      </c>
      <c r="AB73">
        <f>HYPERLINK("https://klasma.github.io/Logging_2321/tillsynsmail/A 40386-2025 tillsynsbegäran mail.docx", "A 40386-2025")</f>
        <v/>
      </c>
      <c r="AC73">
        <f>HYPERLINK("https://klasma.github.io/Logging_2321/fåglar/A 40386-2025 prioriterade fågelarter.docx", "A 40386-2025")</f>
        <v/>
      </c>
    </row>
    <row r="74" ht="15" customHeight="1">
      <c r="A74" t="inlineStr">
        <is>
          <t>S 1339-2025</t>
        </is>
      </c>
      <c r="B74" t="inlineStr">
        <is>
          <t>samrådsanmälan</t>
        </is>
      </c>
      <c r="C74" t="inlineStr">
        <is>
          <t>Annan skogsbruksåtgärd</t>
        </is>
      </c>
      <c r="D74" s="1" t="n">
        <v>45771</v>
      </c>
      <c r="E74" s="1" t="n">
        <v>46222</v>
      </c>
      <c r="F74" t="inlineStr">
        <is>
          <t>JÄMTLANDS LÄN</t>
        </is>
      </c>
      <c r="G74" t="inlineStr">
        <is>
          <t>ÅRE</t>
        </is>
      </c>
      <c r="H74" t="inlineStr">
        <is>
          <t>Sveaskog</t>
        </is>
      </c>
      <c r="I74" t="n">
        <v>46.1</v>
      </c>
      <c r="J74" t="n">
        <v>0</v>
      </c>
      <c r="K74" t="n">
        <v>1</v>
      </c>
      <c r="L74" t="n">
        <v>3</v>
      </c>
      <c r="M74" t="n">
        <v>1</v>
      </c>
      <c r="N74" t="n">
        <v>0</v>
      </c>
      <c r="O74" t="n">
        <v>0</v>
      </c>
      <c r="P74" t="n">
        <v>0</v>
      </c>
      <c r="Q74" t="n">
        <v>4</v>
      </c>
      <c r="R74" t="n">
        <v>1</v>
      </c>
      <c r="S74" t="n">
        <v>6</v>
      </c>
      <c r="T74" t="n">
        <v>6</v>
      </c>
      <c r="U74" s="2" t="inlineStr">
        <is>
          <t>Garnlav
Talltagel
Vedflamlav
Vedskivlav
Tibast
Liljekonvalj</t>
        </is>
      </c>
      <c r="V74">
        <f>HYPERLINK("https://klasma.github.io/Logging_2321/artfynd/S 1339-2025 artfynd.xlsx", "S 1339-2025")</f>
        <v/>
      </c>
      <c r="W74">
        <f>HYPERLINK("https://klasma.github.io/Logging_2321/kartor/S 1339-2025 karta.png", "S 1339-2025")</f>
        <v/>
      </c>
      <c r="Y74">
        <f>HYPERLINK("https://klasma.github.io/Logging_2321/klagomål/S 1339-2025 FSC-klagomål.docx", "S 1339-2025")</f>
        <v/>
      </c>
      <c r="Z74">
        <f>HYPERLINK("https://klasma.github.io/Logging_2321/klagomålsmail/S 1339-2025 FSC-klagomål mail.docx", "S 1339-2025")</f>
        <v/>
      </c>
      <c r="AA74">
        <f>HYPERLINK("https://klasma.github.io/Logging_2321/tillsyn/S 1339-2025 tillsynsbegäran.docx", "S 1339-2025")</f>
        <v/>
      </c>
      <c r="AB74">
        <f>HYPERLINK("https://klasma.github.io/Logging_2321/tillsynsmail/S 1339-2025 tillsynsbegäran mail.docx", "S 1339-2025")</f>
        <v/>
      </c>
    </row>
    <row r="75" ht="15" customHeight="1">
      <c r="A75" t="inlineStr">
        <is>
          <t>S 1337-2025</t>
        </is>
      </c>
      <c r="B75" t="inlineStr">
        <is>
          <t>samrådsanmälan</t>
        </is>
      </c>
      <c r="C75" t="inlineStr">
        <is>
          <t>Annan skogsbruksåtgärd</t>
        </is>
      </c>
      <c r="D75" s="1" t="n">
        <v>45771</v>
      </c>
      <c r="E75" s="1" t="n">
        <v>46222</v>
      </c>
      <c r="F75" t="inlineStr">
        <is>
          <t>JÄMTLANDS LÄN</t>
        </is>
      </c>
      <c r="G75" t="inlineStr">
        <is>
          <t>ÅRE</t>
        </is>
      </c>
      <c r="H75" t="inlineStr">
        <is>
          <t>Sveaskog</t>
        </is>
      </c>
      <c r="I75" t="n">
        <v>12.5</v>
      </c>
      <c r="J75" t="n">
        <v>0</v>
      </c>
      <c r="K75" t="n">
        <v>0</v>
      </c>
      <c r="L75" t="n">
        <v>5</v>
      </c>
      <c r="M75" t="n">
        <v>1</v>
      </c>
      <c r="N75" t="n">
        <v>0</v>
      </c>
      <c r="O75" t="n">
        <v>0</v>
      </c>
      <c r="P75" t="n">
        <v>0</v>
      </c>
      <c r="Q75" t="n">
        <v>6</v>
      </c>
      <c r="R75" t="n">
        <v>1</v>
      </c>
      <c r="S75" t="n">
        <v>6</v>
      </c>
      <c r="T75" t="n">
        <v>13</v>
      </c>
      <c r="U75" s="2" t="inlineStr">
        <is>
          <t>Garnlav
Blanksvart spiklav
Dvärgbägarlav
Gammelgransskål
Mörk kolflarnlav
Vedtrappmossa</t>
        </is>
      </c>
      <c r="V75">
        <f>HYPERLINK("https://klasma.github.io/Logging_2321/artfynd/S 1337-2025 artfynd.xlsx", "S 1337-2025")</f>
        <v/>
      </c>
      <c r="W75">
        <f>HYPERLINK("https://klasma.github.io/Logging_2321/kartor/S 1337-2025 karta.png", "S 1337-2025")</f>
        <v/>
      </c>
      <c r="Y75">
        <f>HYPERLINK("https://klasma.github.io/Logging_2321/klagomål/S 1337-2025 FSC-klagomål.docx", "S 1337-2025")</f>
        <v/>
      </c>
      <c r="Z75">
        <f>HYPERLINK("https://klasma.github.io/Logging_2321/klagomålsmail/S 1337-2025 FSC-klagomål mail.docx", "S 1337-2025")</f>
        <v/>
      </c>
      <c r="AA75">
        <f>HYPERLINK("https://klasma.github.io/Logging_2321/tillsyn/S 1337-2025 tillsynsbegäran.docx", "S 1337-2025")</f>
        <v/>
      </c>
      <c r="AB75">
        <f>HYPERLINK("https://klasma.github.io/Logging_2321/tillsynsmail/S 1337-2025 tillsynsbegäran mail.docx", "S 1337-2025")</f>
        <v/>
      </c>
    </row>
    <row r="76" ht="15" customHeight="1">
      <c r="A76" t="inlineStr">
        <is>
          <t>A 58238-2021</t>
        </is>
      </c>
      <c r="B76" t="inlineStr">
        <is>
          <t>avverkningsanmälan</t>
        </is>
      </c>
      <c r="C76" t="inlineStr">
        <is>
          <t>Föryngringsavverkning</t>
        </is>
      </c>
      <c r="D76" s="1" t="n">
        <v>44487</v>
      </c>
      <c r="E76" s="1" t="n">
        <v>46222</v>
      </c>
      <c r="F76" t="inlineStr">
        <is>
          <t>JÄMTLANDS LÄN</t>
        </is>
      </c>
      <c r="G76" t="inlineStr">
        <is>
          <t>ÅRE</t>
        </is>
      </c>
      <c r="I76" t="n">
        <v>42.2</v>
      </c>
      <c r="J76" t="n">
        <v>0</v>
      </c>
      <c r="K76" t="n">
        <v>0</v>
      </c>
      <c r="L76" t="n">
        <v>2</v>
      </c>
      <c r="M76" t="n">
        <v>3</v>
      </c>
      <c r="N76" t="n">
        <v>0</v>
      </c>
      <c r="O76" t="n">
        <v>0</v>
      </c>
      <c r="P76" t="n">
        <v>0</v>
      </c>
      <c r="Q76" t="n">
        <v>5</v>
      </c>
      <c r="R76" t="n">
        <v>3</v>
      </c>
      <c r="S76" t="n">
        <v>5</v>
      </c>
      <c r="T76" t="n">
        <v>7</v>
      </c>
      <c r="U76" s="2" t="inlineStr">
        <is>
          <t>Gränsticka
Lappticka
Norsk näverlav
Gammelgransskål
Rödbrun blekspik</t>
        </is>
      </c>
      <c r="V76">
        <f>HYPERLINK("https://klasma.github.io/Logging_2321/artfynd/A 58238-2021 artfynd.xlsx", "A 58238-2021")</f>
        <v/>
      </c>
      <c r="W76">
        <f>HYPERLINK("https://klasma.github.io/Logging_2321/kartor/A 58238-2021 karta.png", "A 58238-2021")</f>
        <v/>
      </c>
      <c r="Y76">
        <f>HYPERLINK("https://klasma.github.io/Logging_2321/klagomål/A 58238-2021 FSC-klagomål.docx", "A 58238-2021")</f>
        <v/>
      </c>
      <c r="Z76">
        <f>HYPERLINK("https://klasma.github.io/Logging_2321/klagomålsmail/A 58238-2021 FSC-klagomål mail.docx", "A 58238-2021")</f>
        <v/>
      </c>
      <c r="AA76">
        <f>HYPERLINK("https://klasma.github.io/Logging_2321/tillsyn/A 58238-2021 tillsynsbegäran.docx", "A 58238-2021")</f>
        <v/>
      </c>
      <c r="AB76">
        <f>HYPERLINK("https://klasma.github.io/Logging_2321/tillsynsmail/A 58238-2021 tillsynsbegäran mail.docx", "A 58238-2021")</f>
        <v/>
      </c>
    </row>
    <row r="77" ht="15" customHeight="1">
      <c r="A77" t="inlineStr">
        <is>
          <t>A 46259-2024</t>
        </is>
      </c>
      <c r="B77" t="inlineStr">
        <is>
          <t>avverkningsanmälan</t>
        </is>
      </c>
      <c r="C77" t="inlineStr">
        <is>
          <t>Föryngringsavverkning</t>
        </is>
      </c>
      <c r="D77" s="1" t="n">
        <v>45581</v>
      </c>
      <c r="E77" s="1" t="n">
        <v>46222</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s="2" t="inlineStr">
        <is>
          <t>Garnlav
Vitgrynig nållav
Diskvaxskivling
Svavelriska
Trådticka</t>
        </is>
      </c>
      <c r="V77">
        <f>HYPERLINK("https://klasma.github.io/Logging_2321/artfynd/A 46259-2024 artfynd.xlsx", "A 46259-2024")</f>
        <v/>
      </c>
      <c r="W77">
        <f>HYPERLINK("https://klasma.github.io/Logging_2321/kartor/A 46259-2024 karta.png", "A 46259-2024")</f>
        <v/>
      </c>
      <c r="Y77">
        <f>HYPERLINK("https://klasma.github.io/Logging_2321/klagomål/A 46259-2024 FSC-klagomål.docx", "A 46259-2024")</f>
        <v/>
      </c>
      <c r="Z77">
        <f>HYPERLINK("https://klasma.github.io/Logging_2321/klagomålsmail/A 46259-2024 FSC-klagomål mail.docx", "A 46259-2024")</f>
        <v/>
      </c>
      <c r="AA77">
        <f>HYPERLINK("https://klasma.github.io/Logging_2321/tillsyn/A 46259-2024 tillsynsbegäran.docx", "A 46259-2024")</f>
        <v/>
      </c>
      <c r="AB77">
        <f>HYPERLINK("https://klasma.github.io/Logging_2321/tillsynsmail/A 46259-2024 tillsynsbegäran mail.docx", "A 46259-2024")</f>
        <v/>
      </c>
    </row>
    <row r="78" ht="15" customHeight="1">
      <c r="A78" t="inlineStr">
        <is>
          <t>A 10491-2024</t>
        </is>
      </c>
      <c r="B78" t="inlineStr">
        <is>
          <t>avverkningsanmälan</t>
        </is>
      </c>
      <c r="C78" t="inlineStr">
        <is>
          <t>Föryngringsavverkning</t>
        </is>
      </c>
      <c r="D78" s="1" t="n">
        <v>45366</v>
      </c>
      <c r="E78" s="1" t="n">
        <v>46222</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s="2" t="inlineStr">
        <is>
          <t>Ulltickeporing
Brunpudrad nållav
Harticka
Rödbrun blekspik
Ullticka</t>
        </is>
      </c>
      <c r="V78">
        <f>HYPERLINK("https://klasma.github.io/Logging_2321/artfynd/A 10491-2024 artfynd.xlsx", "A 10491-2024")</f>
        <v/>
      </c>
      <c r="W78">
        <f>HYPERLINK("https://klasma.github.io/Logging_2321/kartor/A 10491-2024 karta.png", "A 10491-2024")</f>
        <v/>
      </c>
      <c r="Y78">
        <f>HYPERLINK("https://klasma.github.io/Logging_2321/klagomål/A 10491-2024 FSC-klagomål.docx", "A 10491-2024")</f>
        <v/>
      </c>
      <c r="Z78">
        <f>HYPERLINK("https://klasma.github.io/Logging_2321/klagomålsmail/A 10491-2024 FSC-klagomål mail.docx", "A 10491-2024")</f>
        <v/>
      </c>
      <c r="AA78">
        <f>HYPERLINK("https://klasma.github.io/Logging_2321/tillsyn/A 10491-2024 tillsynsbegäran.docx", "A 10491-2024")</f>
        <v/>
      </c>
      <c r="AB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46222</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s="2" t="inlineStr">
        <is>
          <t>Garnlav
Gränsticka
Norsk näverlav
Gammelgransskål
Skrovellav</t>
        </is>
      </c>
      <c r="V79">
        <f>HYPERLINK("https://klasma.github.io/Logging_2321/artfynd/A 42565-2024 artfynd.xlsx", "A 42565-2024")</f>
        <v/>
      </c>
      <c r="W79">
        <f>HYPERLINK("https://klasma.github.io/Logging_2321/kartor/A 42565-2024 karta.png", "A 42565-2024")</f>
        <v/>
      </c>
      <c r="Y79">
        <f>HYPERLINK("https://klasma.github.io/Logging_2321/klagomål/A 42565-2024 FSC-klagomål.docx", "A 42565-2024")</f>
        <v/>
      </c>
      <c r="Z79">
        <f>HYPERLINK("https://klasma.github.io/Logging_2321/klagomålsmail/A 42565-2024 FSC-klagomål mail.docx", "A 42565-2024")</f>
        <v/>
      </c>
      <c r="AA79">
        <f>HYPERLINK("https://klasma.github.io/Logging_2321/tillsyn/A 42565-2024 tillsynsbegäran.docx", "A 42565-2024")</f>
        <v/>
      </c>
      <c r="AB79">
        <f>HYPERLINK("https://klasma.github.io/Logging_2321/tillsynsmail/A 42565-2024 tillsynsbegäran mail.docx", "A 42565-2024")</f>
        <v/>
      </c>
    </row>
    <row r="80" ht="15" customHeight="1">
      <c r="A80" t="inlineStr">
        <is>
          <t>A 63363-2025</t>
        </is>
      </c>
      <c r="B80" t="inlineStr">
        <is>
          <t>avverkningsanmälan</t>
        </is>
      </c>
      <c r="C80" t="inlineStr">
        <is>
          <t>Föryngringsavverkning</t>
        </is>
      </c>
      <c r="D80" s="1" t="n">
        <v>46010</v>
      </c>
      <c r="E80" s="1" t="n">
        <v>46222</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s="2" t="inlineStr">
        <is>
          <t>Garnlav
Mjölig dropplav
Lunglav
Spillkråka
Tallbit</t>
        </is>
      </c>
      <c r="V80">
        <f>HYPERLINK("https://klasma.github.io/Logging_2321/artfynd/A 63363-2025 artfynd.xlsx", "A 63363-2025")</f>
        <v/>
      </c>
      <c r="W80">
        <f>HYPERLINK("https://klasma.github.io/Logging_2321/kartor/A 63363-2025 karta.png", "A 63363-2025")</f>
        <v/>
      </c>
      <c r="Y80">
        <f>HYPERLINK("https://klasma.github.io/Logging_2321/klagomål/A 63363-2025 FSC-klagomål.docx", "A 63363-2025")</f>
        <v/>
      </c>
      <c r="Z80">
        <f>HYPERLINK("https://klasma.github.io/Logging_2321/klagomålsmail/A 63363-2025 FSC-klagomål mail.docx", "A 63363-2025")</f>
        <v/>
      </c>
      <c r="AA80">
        <f>HYPERLINK("https://klasma.github.io/Logging_2321/tillsyn/A 63363-2025 tillsynsbegäran.docx", "A 63363-2025")</f>
        <v/>
      </c>
      <c r="AB80">
        <f>HYPERLINK("https://klasma.github.io/Logging_2321/tillsynsmail/A 63363-2025 tillsynsbegäran mail.docx", "A 63363-2025")</f>
        <v/>
      </c>
      <c r="AC80">
        <f>HYPERLINK("https://klasma.github.io/Logging_2321/fåglar/A 63363-2025 prioriterade fågelarter.docx", "A 63363-2025")</f>
        <v/>
      </c>
    </row>
    <row r="81" ht="15" customHeight="1">
      <c r="A81" t="inlineStr">
        <is>
          <t>A 20124-2023</t>
        </is>
      </c>
      <c r="B81" t="inlineStr">
        <is>
          <t>avverkningsanmälan</t>
        </is>
      </c>
      <c r="C81" t="inlineStr">
        <is>
          <t>Föryngringsavverkning</t>
        </is>
      </c>
      <c r="D81" s="1" t="n">
        <v>45055</v>
      </c>
      <c r="E81" s="1" t="n">
        <v>46222</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s="2" t="inlineStr">
        <is>
          <t>Finbräken
Kransrams
Svart trolldruva
Underviol
Vågig rutlungmossa</t>
        </is>
      </c>
      <c r="V81">
        <f>HYPERLINK("https://klasma.github.io/Logging_2321/artfynd/A 20124-2023 artfynd.xlsx", "A 20124-2023")</f>
        <v/>
      </c>
      <c r="W81">
        <f>HYPERLINK("https://klasma.github.io/Logging_2321/kartor/A 20124-2023 karta.png", "A 20124-2023")</f>
        <v/>
      </c>
      <c r="Y81">
        <f>HYPERLINK("https://klasma.github.io/Logging_2321/klagomål/A 20124-2023 FSC-klagomål.docx", "A 20124-2023")</f>
        <v/>
      </c>
      <c r="Z81">
        <f>HYPERLINK("https://klasma.github.io/Logging_2321/klagomålsmail/A 20124-2023 FSC-klagomål mail.docx", "A 20124-2023")</f>
        <v/>
      </c>
      <c r="AA81">
        <f>HYPERLINK("https://klasma.github.io/Logging_2321/tillsyn/A 20124-2023 tillsynsbegäran.docx", "A 20124-2023")</f>
        <v/>
      </c>
      <c r="AB81">
        <f>HYPERLINK("https://klasma.github.io/Logging_2321/tillsynsmail/A 20124-2023 tillsynsbegäran mail.docx", "A 20124-2023")</f>
        <v/>
      </c>
    </row>
    <row r="82" ht="15" customHeight="1">
      <c r="A82" t="inlineStr">
        <is>
          <t>A 25122-2022</t>
        </is>
      </c>
      <c r="B82" t="inlineStr">
        <is>
          <t>avverkningsanmälan</t>
        </is>
      </c>
      <c r="C82" t="inlineStr">
        <is>
          <t>Avverkning för annat ändamål</t>
        </is>
      </c>
      <c r="D82" s="1" t="n">
        <v>44729</v>
      </c>
      <c r="E82" s="1" t="n">
        <v>46222</v>
      </c>
      <c r="F82" t="inlineStr">
        <is>
          <t>JÄMTLANDS LÄN</t>
        </is>
      </c>
      <c r="G82" t="inlineStr">
        <is>
          <t>ÅRE</t>
        </is>
      </c>
      <c r="I82" t="n">
        <v>0.3</v>
      </c>
      <c r="J82" t="n">
        <v>2</v>
      </c>
      <c r="K82" t="n">
        <v>2</v>
      </c>
      <c r="L82" t="n">
        <v>1</v>
      </c>
      <c r="M82" t="n">
        <v>0</v>
      </c>
      <c r="N82" t="n">
        <v>0</v>
      </c>
      <c r="O82" t="n">
        <v>0</v>
      </c>
      <c r="P82" t="n">
        <v>0</v>
      </c>
      <c r="Q82" t="n">
        <v>1</v>
      </c>
      <c r="R82" t="n">
        <v>0</v>
      </c>
      <c r="S82" t="n">
        <v>4</v>
      </c>
      <c r="T82" t="n">
        <v>5</v>
      </c>
      <c r="U82" s="2" t="inlineStr">
        <is>
          <t>Lunglav
Guckusko
Tibast
Blåsippa</t>
        </is>
      </c>
      <c r="V82">
        <f>HYPERLINK("https://klasma.github.io/Logging_2321/artfynd/A 25122-2022 artfynd.xlsx", "A 25122-2022")</f>
        <v/>
      </c>
      <c r="W82">
        <f>HYPERLINK("https://klasma.github.io/Logging_2321/kartor/A 25122-2022 karta.png", "A 25122-2022")</f>
        <v/>
      </c>
      <c r="Y82">
        <f>HYPERLINK("https://klasma.github.io/Logging_2321/klagomål/A 25122-2022 FSC-klagomål.docx", "A 25122-2022")</f>
        <v/>
      </c>
      <c r="Z82">
        <f>HYPERLINK("https://klasma.github.io/Logging_2321/klagomålsmail/A 25122-2022 FSC-klagomål mail.docx", "A 25122-2022")</f>
        <v/>
      </c>
      <c r="AA82">
        <f>HYPERLINK("https://klasma.github.io/Logging_2321/tillsyn/A 25122-2022 tillsynsbegäran.docx", "A 25122-2022")</f>
        <v/>
      </c>
      <c r="AB82">
        <f>HYPERLINK("https://klasma.github.io/Logging_2321/tillsynsmail/A 25122-2022 tillsynsbegäran mail.docx", "A 25122-2022")</f>
        <v/>
      </c>
    </row>
    <row r="83" ht="15" customHeight="1">
      <c r="A83" t="inlineStr">
        <is>
          <t>A 46984-2021</t>
        </is>
      </c>
      <c r="B83" t="inlineStr">
        <is>
          <t>avverkningsanmälan</t>
        </is>
      </c>
      <c r="C83" t="inlineStr">
        <is>
          <t>Avverkning för annat ändamål</t>
        </is>
      </c>
      <c r="D83" s="1" t="n">
        <v>44446</v>
      </c>
      <c r="E83" s="1" t="n">
        <v>46222</v>
      </c>
      <c r="F83" t="inlineStr">
        <is>
          <t>JÄMTLANDS LÄN</t>
        </is>
      </c>
      <c r="G83" t="inlineStr">
        <is>
          <t>ÅRE</t>
        </is>
      </c>
      <c r="I83" t="n">
        <v>0.2</v>
      </c>
      <c r="J83" t="n">
        <v>2</v>
      </c>
      <c r="K83" t="n">
        <v>1</v>
      </c>
      <c r="L83" t="n">
        <v>1</v>
      </c>
      <c r="M83" t="n">
        <v>1</v>
      </c>
      <c r="N83" t="n">
        <v>0</v>
      </c>
      <c r="O83" t="n">
        <v>0</v>
      </c>
      <c r="P83" t="n">
        <v>0</v>
      </c>
      <c r="Q83" t="n">
        <v>2</v>
      </c>
      <c r="R83" t="n">
        <v>1</v>
      </c>
      <c r="S83" t="n">
        <v>4</v>
      </c>
      <c r="T83" t="n">
        <v>9</v>
      </c>
      <c r="U83" s="2" t="inlineStr">
        <is>
          <t>Garnlav
Tretåig hackspett
Bronshjon
Revlummer</t>
        </is>
      </c>
      <c r="V83">
        <f>HYPERLINK("https://klasma.github.io/Logging_2321/artfynd/A 46984-2021 artfynd.xlsx", "A 46984-2021")</f>
        <v/>
      </c>
      <c r="W83">
        <f>HYPERLINK("https://klasma.github.io/Logging_2321/kartor/A 46984-2021 karta.png", "A 46984-2021")</f>
        <v/>
      </c>
      <c r="Y83">
        <f>HYPERLINK("https://klasma.github.io/Logging_2321/klagomål/A 46984-2021 FSC-klagomål.docx", "A 46984-2021")</f>
        <v/>
      </c>
      <c r="Z83">
        <f>HYPERLINK("https://klasma.github.io/Logging_2321/klagomålsmail/A 46984-2021 FSC-klagomål mail.docx", "A 46984-2021")</f>
        <v/>
      </c>
      <c r="AA83">
        <f>HYPERLINK("https://klasma.github.io/Logging_2321/tillsyn/A 46984-2021 tillsynsbegäran.docx", "A 46984-2021")</f>
        <v/>
      </c>
      <c r="AB83">
        <f>HYPERLINK("https://klasma.github.io/Logging_2321/tillsynsmail/A 46984-2021 tillsynsbegäran mail.docx", "A 46984-2021")</f>
        <v/>
      </c>
      <c r="AC83">
        <f>HYPERLINK("https://klasma.github.io/Logging_2321/fåglar/A 46984-2021 prioriterade fågelarter.docx", "A 46984-2021")</f>
        <v/>
      </c>
    </row>
    <row r="84" ht="15" customHeight="1">
      <c r="A84" t="inlineStr">
        <is>
          <t>A 12271-2022</t>
        </is>
      </c>
      <c r="B84" t="inlineStr">
        <is>
          <t>avverkningsanmälan</t>
        </is>
      </c>
      <c r="C84" t="inlineStr">
        <is>
          <t>Föryngringsavverkning</t>
        </is>
      </c>
      <c r="D84" s="1" t="n">
        <v>44637</v>
      </c>
      <c r="E84" s="1" t="n">
        <v>46222</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s="2" t="inlineStr">
        <is>
          <t>Gränsticka
Harticka
Skrovellav
Stuplav</t>
        </is>
      </c>
      <c r="V84">
        <f>HYPERLINK("https://klasma.github.io/Logging_2321/artfynd/A 12271-2022 artfynd.xlsx", "A 12271-2022")</f>
        <v/>
      </c>
      <c r="W84">
        <f>HYPERLINK("https://klasma.github.io/Logging_2321/kartor/A 12271-2022 karta.png", "A 12271-2022")</f>
        <v/>
      </c>
      <c r="Y84">
        <f>HYPERLINK("https://klasma.github.io/Logging_2321/klagomål/A 12271-2022 FSC-klagomål.docx", "A 12271-2022")</f>
        <v/>
      </c>
      <c r="Z84">
        <f>HYPERLINK("https://klasma.github.io/Logging_2321/klagomålsmail/A 12271-2022 FSC-klagomål mail.docx", "A 12271-2022")</f>
        <v/>
      </c>
      <c r="AA84">
        <f>HYPERLINK("https://klasma.github.io/Logging_2321/tillsyn/A 12271-2022 tillsynsbegäran.docx", "A 12271-2022")</f>
        <v/>
      </c>
      <c r="AB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46222</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s="2" t="inlineStr">
        <is>
          <t>Lunglav
Spindelblomster
Stuplav
Tvåblad</t>
        </is>
      </c>
      <c r="V85">
        <f>HYPERLINK("https://klasma.github.io/Logging_2321/artfynd/A 32097-2025 artfynd.xlsx", "A 32097-2025")</f>
        <v/>
      </c>
      <c r="W85">
        <f>HYPERLINK("https://klasma.github.io/Logging_2321/kartor/A 32097-2025 karta.png", "A 32097-2025")</f>
        <v/>
      </c>
      <c r="Y85">
        <f>HYPERLINK("https://klasma.github.io/Logging_2321/klagomål/A 32097-2025 FSC-klagomål.docx", "A 32097-2025")</f>
        <v/>
      </c>
      <c r="Z85">
        <f>HYPERLINK("https://klasma.github.io/Logging_2321/klagomålsmail/A 32097-2025 FSC-klagomål mail.docx", "A 32097-2025")</f>
        <v/>
      </c>
      <c r="AA85">
        <f>HYPERLINK("https://klasma.github.io/Logging_2321/tillsyn/A 32097-2025 tillsynsbegäran.docx", "A 32097-2025")</f>
        <v/>
      </c>
      <c r="AB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46222</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s="2" t="inlineStr">
        <is>
          <t>Gammelgransskål
Lavskrika
Tretåig hackspett
Älg</t>
        </is>
      </c>
      <c r="V86">
        <f>HYPERLINK("https://klasma.github.io/Logging_2321/artfynd/A 21006-2022 artfynd.xlsx", "A 21006-2022")</f>
        <v/>
      </c>
      <c r="W86">
        <f>HYPERLINK("https://klasma.github.io/Logging_2321/kartor/A 21006-2022 karta.png", "A 21006-2022")</f>
        <v/>
      </c>
      <c r="Y86">
        <f>HYPERLINK("https://klasma.github.io/Logging_2321/klagomål/A 21006-2022 FSC-klagomål.docx", "A 21006-2022")</f>
        <v/>
      </c>
      <c r="Z86">
        <f>HYPERLINK("https://klasma.github.io/Logging_2321/klagomålsmail/A 21006-2022 FSC-klagomål mail.docx", "A 21006-2022")</f>
        <v/>
      </c>
      <c r="AA86">
        <f>HYPERLINK("https://klasma.github.io/Logging_2321/tillsyn/A 21006-2022 tillsynsbegäran.docx", "A 21006-2022")</f>
        <v/>
      </c>
      <c r="AB86">
        <f>HYPERLINK("https://klasma.github.io/Logging_2321/tillsynsmail/A 21006-2022 tillsynsbegäran mail.docx", "A 21006-2022")</f>
        <v/>
      </c>
      <c r="AC86">
        <f>HYPERLINK("https://klasma.github.io/Logging_2321/fåglar/A 21006-2022 prioriterade fågelarter.docx", "A 21006-2022")</f>
        <v/>
      </c>
    </row>
    <row r="87" ht="15" customHeight="1">
      <c r="A87" t="inlineStr">
        <is>
          <t>A 61014-2024</t>
        </is>
      </c>
      <c r="B87" t="inlineStr">
        <is>
          <t>avverkningsanmälan</t>
        </is>
      </c>
      <c r="C87" t="inlineStr">
        <is>
          <t>Föryngringsavverkning</t>
        </is>
      </c>
      <c r="D87" s="1" t="n">
        <v>45645</v>
      </c>
      <c r="E87" s="1" t="n">
        <v>46222</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s="2" t="inlineStr">
        <is>
          <t>Spinnfingersvamp
Gulnål
Skogstimmia
Ögonpyrola</t>
        </is>
      </c>
      <c r="V87">
        <f>HYPERLINK("https://klasma.github.io/Logging_2321/artfynd/A 61014-2024 artfynd.xlsx", "A 61014-2024")</f>
        <v/>
      </c>
      <c r="W87">
        <f>HYPERLINK("https://klasma.github.io/Logging_2321/kartor/A 61014-2024 karta.png", "A 61014-2024")</f>
        <v/>
      </c>
      <c r="Y87">
        <f>HYPERLINK("https://klasma.github.io/Logging_2321/klagomål/A 61014-2024 FSC-klagomål.docx", "A 61014-2024")</f>
        <v/>
      </c>
      <c r="Z87">
        <f>HYPERLINK("https://klasma.github.io/Logging_2321/klagomålsmail/A 61014-2024 FSC-klagomål mail.docx", "A 61014-2024")</f>
        <v/>
      </c>
      <c r="AA87">
        <f>HYPERLINK("https://klasma.github.io/Logging_2321/tillsyn/A 61014-2024 tillsynsbegäran.docx", "A 61014-2024")</f>
        <v/>
      </c>
      <c r="AB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46222</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s="2" t="inlineStr">
        <is>
          <t>Garnlav
Gränsticka
Ullticka
Orre</t>
        </is>
      </c>
      <c r="V88">
        <f>HYPERLINK("https://klasma.github.io/Logging_2321/artfynd/A 48189-2025 artfynd.xlsx", "A 48189-2025")</f>
        <v/>
      </c>
      <c r="W88">
        <f>HYPERLINK("https://klasma.github.io/Logging_2321/kartor/A 48189-2025 karta.png", "A 48189-2025")</f>
        <v/>
      </c>
      <c r="Y88">
        <f>HYPERLINK("https://klasma.github.io/Logging_2321/klagomål/A 48189-2025 FSC-klagomål.docx", "A 48189-2025")</f>
        <v/>
      </c>
      <c r="Z88">
        <f>HYPERLINK("https://klasma.github.io/Logging_2321/klagomålsmail/A 48189-2025 FSC-klagomål mail.docx", "A 48189-2025")</f>
        <v/>
      </c>
      <c r="AA88">
        <f>HYPERLINK("https://klasma.github.io/Logging_2321/tillsyn/A 48189-2025 tillsynsbegäran.docx", "A 48189-2025")</f>
        <v/>
      </c>
      <c r="AB88">
        <f>HYPERLINK("https://klasma.github.io/Logging_2321/tillsynsmail/A 48189-2025 tillsynsbegäran mail.docx", "A 48189-2025")</f>
        <v/>
      </c>
      <c r="AC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46222</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s="2" t="inlineStr">
        <is>
          <t>Tretåig hackspett
Ullticka
Spillkråka
Tallbit</t>
        </is>
      </c>
      <c r="V89">
        <f>HYPERLINK("https://klasma.github.io/Logging_2321/artfynd/A 62545-2025 artfynd.xlsx", "A 62545-2025")</f>
        <v/>
      </c>
      <c r="W89">
        <f>HYPERLINK("https://klasma.github.io/Logging_2321/kartor/A 62545-2025 karta.png", "A 62545-2025")</f>
        <v/>
      </c>
      <c r="Y89">
        <f>HYPERLINK("https://klasma.github.io/Logging_2321/klagomål/A 62545-2025 FSC-klagomål.docx", "A 62545-2025")</f>
        <v/>
      </c>
      <c r="Z89">
        <f>HYPERLINK("https://klasma.github.io/Logging_2321/klagomålsmail/A 62545-2025 FSC-klagomål mail.docx", "A 62545-2025")</f>
        <v/>
      </c>
      <c r="AA89">
        <f>HYPERLINK("https://klasma.github.io/Logging_2321/tillsyn/A 62545-2025 tillsynsbegäran.docx", "A 62545-2025")</f>
        <v/>
      </c>
      <c r="AB89">
        <f>HYPERLINK("https://klasma.github.io/Logging_2321/tillsynsmail/A 62545-2025 tillsynsbegäran mail.docx", "A 62545-2025")</f>
        <v/>
      </c>
      <c r="AC89">
        <f>HYPERLINK("https://klasma.github.io/Logging_2321/fåglar/A 62545-2025 prioriterade fågelarter.docx", "A 62545-2025")</f>
        <v/>
      </c>
    </row>
    <row r="90" ht="15" customHeight="1">
      <c r="A90" t="inlineStr">
        <is>
          <t>A 15371-2026</t>
        </is>
      </c>
      <c r="B90" t="inlineStr">
        <is>
          <t>avverkningsanmälan</t>
        </is>
      </c>
      <c r="C90" t="inlineStr">
        <is>
          <t>Föryngringsavverkning</t>
        </is>
      </c>
      <c r="D90" s="1" t="n">
        <v>46105</v>
      </c>
      <c r="E90" s="1" t="n">
        <v>46222</v>
      </c>
      <c r="F90" t="inlineStr">
        <is>
          <t>JÄMTLANDS LÄN</t>
        </is>
      </c>
      <c r="G90" t="inlineStr">
        <is>
          <t>ÅRE</t>
        </is>
      </c>
      <c r="I90" t="n">
        <v>2.3</v>
      </c>
      <c r="J90" t="n">
        <v>2</v>
      </c>
      <c r="K90" t="n">
        <v>0</v>
      </c>
      <c r="L90" t="n">
        <v>3</v>
      </c>
      <c r="M90" t="n">
        <v>0</v>
      </c>
      <c r="N90" t="n">
        <v>0</v>
      </c>
      <c r="O90" t="n">
        <v>0</v>
      </c>
      <c r="P90" t="n">
        <v>0</v>
      </c>
      <c r="Q90" t="n">
        <v>3</v>
      </c>
      <c r="R90" t="n">
        <v>0</v>
      </c>
      <c r="S90" t="n">
        <v>4</v>
      </c>
      <c r="T90" t="n">
        <v>11</v>
      </c>
      <c r="U90" s="2" t="inlineStr">
        <is>
          <t>Lunglav
Skrovellav
Tretåig hackspett
Spillkråka</t>
        </is>
      </c>
      <c r="V90">
        <f>HYPERLINK("https://klasma.github.io/Logging_2321/artfynd/A 15371-2026 artfynd.xlsx", "A 15371-2026")</f>
        <v/>
      </c>
      <c r="W90">
        <f>HYPERLINK("https://klasma.github.io/Logging_2321/kartor/A 15371-2026 karta.png", "A 15371-2026")</f>
        <v/>
      </c>
      <c r="Y90">
        <f>HYPERLINK("https://klasma.github.io/Logging_2321/klagomål/A 15371-2026 FSC-klagomål.docx", "A 15371-2026")</f>
        <v/>
      </c>
      <c r="Z90">
        <f>HYPERLINK("https://klasma.github.io/Logging_2321/klagomålsmail/A 15371-2026 FSC-klagomål mail.docx", "A 15371-2026")</f>
        <v/>
      </c>
      <c r="AA90">
        <f>HYPERLINK("https://klasma.github.io/Logging_2321/tillsyn/A 15371-2026 tillsynsbegäran.docx", "A 15371-2026")</f>
        <v/>
      </c>
      <c r="AB90">
        <f>HYPERLINK("https://klasma.github.io/Logging_2321/tillsynsmail/A 15371-2026 tillsynsbegäran mail.docx", "A 15371-2026")</f>
        <v/>
      </c>
      <c r="AC90">
        <f>HYPERLINK("https://klasma.github.io/Logging_2321/fåglar/A 15371-2026 prioriterade fågelarter.docx", "A 15371-2026")</f>
        <v/>
      </c>
    </row>
    <row r="91" ht="15" customHeight="1">
      <c r="A91" t="inlineStr">
        <is>
          <t>A 56873-2025</t>
        </is>
      </c>
      <c r="B91" t="inlineStr">
        <is>
          <t>avverkningsanmälan</t>
        </is>
      </c>
      <c r="C91" t="inlineStr">
        <is>
          <t>Föryngringsavverkning</t>
        </is>
      </c>
      <c r="D91" s="1" t="n">
        <v>45978</v>
      </c>
      <c r="E91" s="1" t="n">
        <v>46222</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s="2" t="inlineStr">
        <is>
          <t>Garnlav
Harticka
Tretåig hackspett
Ullticka</t>
        </is>
      </c>
      <c r="V91">
        <f>HYPERLINK("https://klasma.github.io/Logging_2321/artfynd/A 56873-2025 artfynd.xlsx", "A 56873-2025")</f>
        <v/>
      </c>
      <c r="W91">
        <f>HYPERLINK("https://klasma.github.io/Logging_2321/kartor/A 56873-2025 karta.png", "A 56873-2025")</f>
        <v/>
      </c>
      <c r="Y91">
        <f>HYPERLINK("https://klasma.github.io/Logging_2321/klagomål/A 56873-2025 FSC-klagomål.docx", "A 56873-2025")</f>
        <v/>
      </c>
      <c r="Z91">
        <f>HYPERLINK("https://klasma.github.io/Logging_2321/klagomålsmail/A 56873-2025 FSC-klagomål mail.docx", "A 56873-2025")</f>
        <v/>
      </c>
      <c r="AA91">
        <f>HYPERLINK("https://klasma.github.io/Logging_2321/tillsyn/A 56873-2025 tillsynsbegäran.docx", "A 56873-2025")</f>
        <v/>
      </c>
      <c r="AB91">
        <f>HYPERLINK("https://klasma.github.io/Logging_2321/tillsynsmail/A 56873-2025 tillsynsbegäran mail.docx", "A 56873-2025")</f>
        <v/>
      </c>
      <c r="AC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46222</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s="2" t="inlineStr">
        <is>
          <t>Lunglav
Skrovellav
Tretåig hackspett
Järpe</t>
        </is>
      </c>
      <c r="V92">
        <f>HYPERLINK("https://klasma.github.io/Logging_2321/artfynd/A 40245-2023 artfynd.xlsx", "A 40245-2023")</f>
        <v/>
      </c>
      <c r="W92">
        <f>HYPERLINK("https://klasma.github.io/Logging_2321/kartor/A 40245-2023 karta.png", "A 40245-2023")</f>
        <v/>
      </c>
      <c r="Y92">
        <f>HYPERLINK("https://klasma.github.io/Logging_2321/klagomål/A 40245-2023 FSC-klagomål.docx", "A 40245-2023")</f>
        <v/>
      </c>
      <c r="Z92">
        <f>HYPERLINK("https://klasma.github.io/Logging_2321/klagomålsmail/A 40245-2023 FSC-klagomål mail.docx", "A 40245-2023")</f>
        <v/>
      </c>
      <c r="AA92">
        <f>HYPERLINK("https://klasma.github.io/Logging_2321/tillsyn/A 40245-2023 tillsynsbegäran.docx", "A 40245-2023")</f>
        <v/>
      </c>
      <c r="AB92">
        <f>HYPERLINK("https://klasma.github.io/Logging_2321/tillsynsmail/A 40245-2023 tillsynsbegäran mail.docx", "A 40245-2023")</f>
        <v/>
      </c>
      <c r="AC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46222</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s="2" t="inlineStr">
        <is>
          <t>Lavskrika
Skrovellav
Tretåig hackspett
Stuplav</t>
        </is>
      </c>
      <c r="V93">
        <f>HYPERLINK("https://klasma.github.io/Logging_2321/artfynd/A 6108-2023 artfynd.xlsx", "A 6108-2023")</f>
        <v/>
      </c>
      <c r="W93">
        <f>HYPERLINK("https://klasma.github.io/Logging_2321/kartor/A 6108-2023 karta.png", "A 6108-2023")</f>
        <v/>
      </c>
      <c r="Y93">
        <f>HYPERLINK("https://klasma.github.io/Logging_2321/klagomål/A 6108-2023 FSC-klagomål.docx", "A 6108-2023")</f>
        <v/>
      </c>
      <c r="Z93">
        <f>HYPERLINK("https://klasma.github.io/Logging_2321/klagomålsmail/A 6108-2023 FSC-klagomål mail.docx", "A 6108-2023")</f>
        <v/>
      </c>
      <c r="AA93">
        <f>HYPERLINK("https://klasma.github.io/Logging_2321/tillsyn/A 6108-2023 tillsynsbegäran.docx", "A 6108-2023")</f>
        <v/>
      </c>
      <c r="AB93">
        <f>HYPERLINK("https://klasma.github.io/Logging_2321/tillsynsmail/A 6108-2023 tillsynsbegäran mail.docx", "A 6108-2023")</f>
        <v/>
      </c>
      <c r="AC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46222</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s="2" t="inlineStr">
        <is>
          <t>Svavelriska
Trådticka
Underviol
Vedticka</t>
        </is>
      </c>
      <c r="V94">
        <f>HYPERLINK("https://klasma.github.io/Logging_2321/artfynd/A 36260-2023 artfynd.xlsx", "A 36260-2023")</f>
        <v/>
      </c>
      <c r="W94">
        <f>HYPERLINK("https://klasma.github.io/Logging_2321/kartor/A 36260-2023 karta.png", "A 36260-2023")</f>
        <v/>
      </c>
      <c r="Y94">
        <f>HYPERLINK("https://klasma.github.io/Logging_2321/klagomål/A 36260-2023 FSC-klagomål.docx", "A 36260-2023")</f>
        <v/>
      </c>
      <c r="Z94">
        <f>HYPERLINK("https://klasma.github.io/Logging_2321/klagomålsmail/A 36260-2023 FSC-klagomål mail.docx", "A 36260-2023")</f>
        <v/>
      </c>
      <c r="AA94">
        <f>HYPERLINK("https://klasma.github.io/Logging_2321/tillsyn/A 36260-2023 tillsynsbegäran.docx", "A 36260-2023")</f>
        <v/>
      </c>
      <c r="AB94">
        <f>HYPERLINK("https://klasma.github.io/Logging_2321/tillsynsmail/A 36260-2023 tillsynsbegäran mail.docx", "A 36260-2023")</f>
        <v/>
      </c>
    </row>
    <row r="95" ht="15" customHeight="1">
      <c r="A95" t="inlineStr">
        <is>
          <t>A 17482-2026</t>
        </is>
      </c>
      <c r="B95" t="inlineStr">
        <is>
          <t>avverkningsanmälan</t>
        </is>
      </c>
      <c r="C95" t="inlineStr">
        <is>
          <t>Föryngringsavverkning</t>
        </is>
      </c>
      <c r="D95" s="1" t="n">
        <v>46120</v>
      </c>
      <c r="E95" s="1" t="n">
        <v>46222</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s="2" t="inlineStr">
        <is>
          <t>Tretåig hackspett
Ullticka
Vedticka
Fjällskråp</t>
        </is>
      </c>
      <c r="V95">
        <f>HYPERLINK("https://klasma.github.io/Logging_2321/artfynd/A 17482-2026 artfynd.xlsx", "A 17482-2026")</f>
        <v/>
      </c>
      <c r="W95">
        <f>HYPERLINK("https://klasma.github.io/Logging_2321/kartor/A 17482-2026 karta.png", "A 17482-2026")</f>
        <v/>
      </c>
      <c r="Y95">
        <f>HYPERLINK("https://klasma.github.io/Logging_2321/klagomål/A 17482-2026 FSC-klagomål.docx", "A 17482-2026")</f>
        <v/>
      </c>
      <c r="Z95">
        <f>HYPERLINK("https://klasma.github.io/Logging_2321/klagomålsmail/A 17482-2026 FSC-klagomål mail.docx", "A 17482-2026")</f>
        <v/>
      </c>
      <c r="AA95">
        <f>HYPERLINK("https://klasma.github.io/Logging_2321/tillsyn/A 17482-2026 tillsynsbegäran.docx", "A 17482-2026")</f>
        <v/>
      </c>
      <c r="AB95">
        <f>HYPERLINK("https://klasma.github.io/Logging_2321/tillsynsmail/A 17482-2026 tillsynsbegäran mail.docx", "A 17482-2026")</f>
        <v/>
      </c>
      <c r="AC95">
        <f>HYPERLINK("https://klasma.github.io/Logging_2321/fåglar/A 17482-2026 prioriterade fågelarter.docx", "A 17482-2026")</f>
        <v/>
      </c>
    </row>
    <row r="96" ht="15" customHeight="1">
      <c r="A96" t="inlineStr">
        <is>
          <t>A 22974-2022</t>
        </is>
      </c>
      <c r="B96" t="inlineStr">
        <is>
          <t>avverkningsanmälan</t>
        </is>
      </c>
      <c r="C96" t="inlineStr">
        <is>
          <t>Föryngringsavverkning</t>
        </is>
      </c>
      <c r="D96" s="1" t="n">
        <v>44716</v>
      </c>
      <c r="E96" s="1" t="n">
        <v>46222</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s="2" t="inlineStr">
        <is>
          <t>Gullpudra
Spindelblomster
Ögonpyrola
Kungsfågel</t>
        </is>
      </c>
      <c r="V96">
        <f>HYPERLINK("https://klasma.github.io/Logging_2321/artfynd/A 22974-2022 artfynd.xlsx", "A 22974-2022")</f>
        <v/>
      </c>
      <c r="W96">
        <f>HYPERLINK("https://klasma.github.io/Logging_2321/kartor/A 22974-2022 karta.png", "A 22974-2022")</f>
        <v/>
      </c>
      <c r="Y96">
        <f>HYPERLINK("https://klasma.github.io/Logging_2321/klagomål/A 22974-2022 FSC-klagomål.docx", "A 22974-2022")</f>
        <v/>
      </c>
      <c r="Z96">
        <f>HYPERLINK("https://klasma.github.io/Logging_2321/klagomålsmail/A 22974-2022 FSC-klagomål mail.docx", "A 22974-2022")</f>
        <v/>
      </c>
      <c r="AA96">
        <f>HYPERLINK("https://klasma.github.io/Logging_2321/tillsyn/A 22974-2022 tillsynsbegäran.docx", "A 22974-2022")</f>
        <v/>
      </c>
      <c r="AB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46222</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s="2" t="inlineStr">
        <is>
          <t>Gammelgransskål
Lavskrika
Skrovellav
Tretåig hackspett</t>
        </is>
      </c>
      <c r="V97">
        <f>HYPERLINK("https://klasma.github.io/Logging_2321/artfynd/A 56183-2022 artfynd.xlsx", "A 56183-2022")</f>
        <v/>
      </c>
      <c r="W97">
        <f>HYPERLINK("https://klasma.github.io/Logging_2321/kartor/A 56183-2022 karta.png", "A 56183-2022")</f>
        <v/>
      </c>
      <c r="Y97">
        <f>HYPERLINK("https://klasma.github.io/Logging_2321/klagomål/A 56183-2022 FSC-klagomål.docx", "A 56183-2022")</f>
        <v/>
      </c>
      <c r="Z97">
        <f>HYPERLINK("https://klasma.github.io/Logging_2321/klagomålsmail/A 56183-2022 FSC-klagomål mail.docx", "A 56183-2022")</f>
        <v/>
      </c>
      <c r="AA97">
        <f>HYPERLINK("https://klasma.github.io/Logging_2321/tillsyn/A 56183-2022 tillsynsbegäran.docx", "A 56183-2022")</f>
        <v/>
      </c>
      <c r="AB97">
        <f>HYPERLINK("https://klasma.github.io/Logging_2321/tillsynsmail/A 56183-2022 tillsynsbegäran mail.docx", "A 56183-2022")</f>
        <v/>
      </c>
      <c r="AC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46222</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s="2" t="inlineStr">
        <is>
          <t>Skuggnål
Rödbrun blekspik
Vitgrynig nållav
Luddlav</t>
        </is>
      </c>
      <c r="V98">
        <f>HYPERLINK("https://klasma.github.io/Logging_2321/artfynd/S 414-2025 artfynd.xlsx", "S 414-2025")</f>
        <v/>
      </c>
      <c r="W98">
        <f>HYPERLINK("https://klasma.github.io/Logging_2321/kartor/S 414-2025 karta.png", "S 414-2025")</f>
        <v/>
      </c>
      <c r="Y98">
        <f>HYPERLINK("https://klasma.github.io/Logging_2321/klagomål/S 414-2025 FSC-klagomål.docx", "S 414-2025")</f>
        <v/>
      </c>
      <c r="Z98">
        <f>HYPERLINK("https://klasma.github.io/Logging_2321/klagomålsmail/S 414-2025 FSC-klagomål mail.docx", "S 414-2025")</f>
        <v/>
      </c>
      <c r="AA98">
        <f>HYPERLINK("https://klasma.github.io/Logging_2321/tillsyn/S 414-2025 tillsynsbegäran.docx", "S 414-2025")</f>
        <v/>
      </c>
      <c r="AB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46222</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s="2" t="inlineStr">
        <is>
          <t>Gränsticka
Skrovellav
Stjärntagging</t>
        </is>
      </c>
      <c r="V99">
        <f>HYPERLINK("https://klasma.github.io/Logging_2321/artfynd/A 72934-2021 artfynd.xlsx", "A 72934-2021")</f>
        <v/>
      </c>
      <c r="W99">
        <f>HYPERLINK("https://klasma.github.io/Logging_2321/kartor/A 72934-2021 karta.png", "A 72934-2021")</f>
        <v/>
      </c>
      <c r="Y99">
        <f>HYPERLINK("https://klasma.github.io/Logging_2321/klagomål/A 72934-2021 FSC-klagomål.docx", "A 72934-2021")</f>
        <v/>
      </c>
      <c r="Z99">
        <f>HYPERLINK("https://klasma.github.io/Logging_2321/klagomålsmail/A 72934-2021 FSC-klagomål mail.docx", "A 72934-2021")</f>
        <v/>
      </c>
      <c r="AA99">
        <f>HYPERLINK("https://klasma.github.io/Logging_2321/tillsyn/A 72934-2021 tillsynsbegäran.docx", "A 72934-2021")</f>
        <v/>
      </c>
      <c r="AB99">
        <f>HYPERLINK("https://klasma.github.io/Logging_2321/tillsynsmail/A 72934-2021 tillsynsbegäran mail.docx", "A 72934-2021")</f>
        <v/>
      </c>
    </row>
    <row r="100" ht="15" customHeight="1">
      <c r="A100" t="inlineStr">
        <is>
          <t>A 61875-2024</t>
        </is>
      </c>
      <c r="B100" t="inlineStr">
        <is>
          <t>avverkningsanmälan</t>
        </is>
      </c>
      <c r="C100" t="inlineStr">
        <is>
          <t>Föryngringsavverkning</t>
        </is>
      </c>
      <c r="D100" s="1" t="n">
        <v>45651</v>
      </c>
      <c r="E100" s="1" t="n">
        <v>46222</v>
      </c>
      <c r="F100" t="inlineStr">
        <is>
          <t>JÄMTLANDS LÄN</t>
        </is>
      </c>
      <c r="G100" t="inlineStr">
        <is>
          <t>ÅRE</t>
        </is>
      </c>
      <c r="I100" t="n">
        <v>35.5</v>
      </c>
      <c r="J100" t="n">
        <v>1</v>
      </c>
      <c r="K100" t="n">
        <v>0</v>
      </c>
      <c r="L100" t="n">
        <v>3</v>
      </c>
      <c r="M100" t="n">
        <v>0</v>
      </c>
      <c r="N100" t="n">
        <v>0</v>
      </c>
      <c r="O100" t="n">
        <v>0</v>
      </c>
      <c r="P100" t="n">
        <v>0</v>
      </c>
      <c r="Q100" t="n">
        <v>3</v>
      </c>
      <c r="R100" t="n">
        <v>0</v>
      </c>
      <c r="S100" t="n">
        <v>3</v>
      </c>
      <c r="T100" t="n">
        <v>5</v>
      </c>
      <c r="U100" s="2" t="inlineStr">
        <is>
          <t>Rosenticka
Tretåig hackspett
Ullticka</t>
        </is>
      </c>
      <c r="V100">
        <f>HYPERLINK("https://klasma.github.io/Logging_2321/artfynd/A 61875-2024 artfynd.xlsx", "A 61875-2024")</f>
        <v/>
      </c>
      <c r="W100">
        <f>HYPERLINK("https://klasma.github.io/Logging_2321/kartor/A 61875-2024 karta.png", "A 61875-2024")</f>
        <v/>
      </c>
      <c r="Y100">
        <f>HYPERLINK("https://klasma.github.io/Logging_2321/klagomål/A 61875-2024 FSC-klagomål.docx", "A 61875-2024")</f>
        <v/>
      </c>
      <c r="Z100">
        <f>HYPERLINK("https://klasma.github.io/Logging_2321/klagomålsmail/A 61875-2024 FSC-klagomål mail.docx", "A 61875-2024")</f>
        <v/>
      </c>
      <c r="AA100">
        <f>HYPERLINK("https://klasma.github.io/Logging_2321/tillsyn/A 61875-2024 tillsynsbegäran.docx", "A 61875-2024")</f>
        <v/>
      </c>
      <c r="AB100">
        <f>HYPERLINK("https://klasma.github.io/Logging_2321/tillsynsmail/A 61875-2024 tillsynsbegäran mail.docx", "A 61875-2024")</f>
        <v/>
      </c>
      <c r="AC100">
        <f>HYPERLINK("https://klasma.github.io/Logging_2321/fåglar/A 61875-2024 prioriterade fågelarter.docx", "A 61875-2024")</f>
        <v/>
      </c>
    </row>
    <row r="101" ht="15" customHeight="1">
      <c r="A101" t="inlineStr">
        <is>
          <t>A 58387-2023</t>
        </is>
      </c>
      <c r="B101" t="inlineStr">
        <is>
          <t>avverkningsanmälan</t>
        </is>
      </c>
      <c r="C101" t="inlineStr">
        <is>
          <t>Föryngringsavverkning</t>
        </is>
      </c>
      <c r="D101" s="1" t="n">
        <v>45250</v>
      </c>
      <c r="E101" s="1" t="n">
        <v>46222</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s="2" t="inlineStr">
        <is>
          <t>Lavskrika
Tretåig hackspett
Spillkråka</t>
        </is>
      </c>
      <c r="V101">
        <f>HYPERLINK("https://klasma.github.io/Logging_2321/artfynd/A 58387-2023 artfynd.xlsx", "A 58387-2023")</f>
        <v/>
      </c>
      <c r="W101">
        <f>HYPERLINK("https://klasma.github.io/Logging_2321/kartor/A 58387-2023 karta.png", "A 58387-2023")</f>
        <v/>
      </c>
      <c r="Y101">
        <f>HYPERLINK("https://klasma.github.io/Logging_2321/klagomål/A 58387-2023 FSC-klagomål.docx", "A 58387-2023")</f>
        <v/>
      </c>
      <c r="Z101">
        <f>HYPERLINK("https://klasma.github.io/Logging_2321/klagomålsmail/A 58387-2023 FSC-klagomål mail.docx", "A 58387-2023")</f>
        <v/>
      </c>
      <c r="AA101">
        <f>HYPERLINK("https://klasma.github.io/Logging_2321/tillsyn/A 58387-2023 tillsynsbegäran.docx", "A 58387-2023")</f>
        <v/>
      </c>
      <c r="AB101">
        <f>HYPERLINK("https://klasma.github.io/Logging_2321/tillsynsmail/A 58387-2023 tillsynsbegäran mail.docx", "A 58387-2023")</f>
        <v/>
      </c>
      <c r="AC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46222</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s="2" t="inlineStr">
        <is>
          <t>Skrovellav
Ullticka
Stuplav</t>
        </is>
      </c>
      <c r="V102">
        <f>HYPERLINK("https://klasma.github.io/Logging_2321/artfynd/A 56549-2025 artfynd.xlsx", "A 56549-2025")</f>
        <v/>
      </c>
      <c r="W102">
        <f>HYPERLINK("https://klasma.github.io/Logging_2321/kartor/A 56549-2025 karta.png", "A 56549-2025")</f>
        <v/>
      </c>
      <c r="Y102">
        <f>HYPERLINK("https://klasma.github.io/Logging_2321/klagomål/A 56549-2025 FSC-klagomål.docx", "A 56549-2025")</f>
        <v/>
      </c>
      <c r="Z102">
        <f>HYPERLINK("https://klasma.github.io/Logging_2321/klagomålsmail/A 56549-2025 FSC-klagomål mail.docx", "A 56549-2025")</f>
        <v/>
      </c>
      <c r="AA102">
        <f>HYPERLINK("https://klasma.github.io/Logging_2321/tillsyn/A 56549-2025 tillsynsbegäran.docx", "A 56549-2025")</f>
        <v/>
      </c>
      <c r="AB102">
        <f>HYPERLINK("https://klasma.github.io/Logging_2321/tillsynsmail/A 56549-2025 tillsynsbegäran mail.docx", "A 56549-2025")</f>
        <v/>
      </c>
    </row>
    <row r="103" ht="15" customHeight="1">
      <c r="A103" t="inlineStr">
        <is>
          <t>A 52707-2022</t>
        </is>
      </c>
      <c r="B103" t="inlineStr">
        <is>
          <t>avverkningsanmälan</t>
        </is>
      </c>
      <c r="C103" t="inlineStr">
        <is>
          <t>Avverkning för annat ändamål</t>
        </is>
      </c>
      <c r="D103" s="1" t="n">
        <v>44874</v>
      </c>
      <c r="E103" s="1" t="n">
        <v>46222</v>
      </c>
      <c r="F103" t="inlineStr">
        <is>
          <t>JÄMTLANDS LÄN</t>
        </is>
      </c>
      <c r="G103" t="inlineStr">
        <is>
          <t>ÅRE</t>
        </is>
      </c>
      <c r="H103" t="inlineStr">
        <is>
          <t>Övriga Aktiebolag</t>
        </is>
      </c>
      <c r="I103" t="n">
        <v>2.3</v>
      </c>
      <c r="J103" t="n">
        <v>0</v>
      </c>
      <c r="K103" t="n">
        <v>1</v>
      </c>
      <c r="L103" t="n">
        <v>2</v>
      </c>
      <c r="M103" t="n">
        <v>0</v>
      </c>
      <c r="N103" t="n">
        <v>0</v>
      </c>
      <c r="O103" t="n">
        <v>0</v>
      </c>
      <c r="P103" t="n">
        <v>0</v>
      </c>
      <c r="Q103" t="n">
        <v>2</v>
      </c>
      <c r="R103" t="n">
        <v>0</v>
      </c>
      <c r="S103" t="n">
        <v>3</v>
      </c>
      <c r="T103" t="n">
        <v>3</v>
      </c>
      <c r="U103" s="2" t="inlineStr">
        <is>
          <t>Rosenticka
Ullticka
Luddlav</t>
        </is>
      </c>
      <c r="V103">
        <f>HYPERLINK("https://klasma.github.io/Logging_2321/artfynd/A 52707-2022 artfynd.xlsx", "A 52707-2022")</f>
        <v/>
      </c>
      <c r="W103">
        <f>HYPERLINK("https://klasma.github.io/Logging_2321/kartor/A 52707-2022 karta.png", "A 52707-2022")</f>
        <v/>
      </c>
      <c r="Y103">
        <f>HYPERLINK("https://klasma.github.io/Logging_2321/klagomål/A 52707-2022 FSC-klagomål.docx", "A 52707-2022")</f>
        <v/>
      </c>
      <c r="Z103">
        <f>HYPERLINK("https://klasma.github.io/Logging_2321/klagomålsmail/A 52707-2022 FSC-klagomål mail.docx", "A 52707-2022")</f>
        <v/>
      </c>
      <c r="AA103">
        <f>HYPERLINK("https://klasma.github.io/Logging_2321/tillsyn/A 52707-2022 tillsynsbegäran.docx", "A 52707-2022")</f>
        <v/>
      </c>
      <c r="AB103">
        <f>HYPERLINK("https://klasma.github.io/Logging_2321/tillsynsmail/A 52707-2022 tillsynsbegäran mail.docx", "A 52707-2022")</f>
        <v/>
      </c>
    </row>
    <row r="104" ht="15" customHeight="1">
      <c r="A104" t="inlineStr">
        <is>
          <t>A 52427-2021</t>
        </is>
      </c>
      <c r="B104" t="inlineStr">
        <is>
          <t>avverkningsanmälan</t>
        </is>
      </c>
      <c r="C104" t="inlineStr">
        <is>
          <t>Föryngringsavverkning</t>
        </is>
      </c>
      <c r="D104" s="1" t="n">
        <v>44466</v>
      </c>
      <c r="E104" s="1" t="n">
        <v>46222</v>
      </c>
      <c r="F104" t="inlineStr">
        <is>
          <t>JÄMTLANDS LÄN</t>
        </is>
      </c>
      <c r="G104" t="inlineStr">
        <is>
          <t>ÅRE</t>
        </is>
      </c>
      <c r="I104" t="n">
        <v>4</v>
      </c>
      <c r="J104" t="n">
        <v>1</v>
      </c>
      <c r="K104" t="n">
        <v>0</v>
      </c>
      <c r="L104" t="n">
        <v>2</v>
      </c>
      <c r="M104" t="n">
        <v>1</v>
      </c>
      <c r="N104" t="n">
        <v>0</v>
      </c>
      <c r="O104" t="n">
        <v>0</v>
      </c>
      <c r="P104" t="n">
        <v>0</v>
      </c>
      <c r="Q104" t="n">
        <v>3</v>
      </c>
      <c r="R104" t="n">
        <v>1</v>
      </c>
      <c r="S104" t="n">
        <v>3</v>
      </c>
      <c r="T104" t="n">
        <v>5</v>
      </c>
      <c r="U104" s="2" t="inlineStr">
        <is>
          <t>Garnlav
Harticka
Tretåig hackspett</t>
        </is>
      </c>
      <c r="V104">
        <f>HYPERLINK("https://klasma.github.io/Logging_2321/artfynd/A 52427-2021 artfynd.xlsx", "A 52427-2021")</f>
        <v/>
      </c>
      <c r="W104">
        <f>HYPERLINK("https://klasma.github.io/Logging_2321/kartor/A 52427-2021 karta.png", "A 52427-2021")</f>
        <v/>
      </c>
      <c r="Y104">
        <f>HYPERLINK("https://klasma.github.io/Logging_2321/klagomål/A 52427-2021 FSC-klagomål.docx", "A 52427-2021")</f>
        <v/>
      </c>
      <c r="Z104">
        <f>HYPERLINK("https://klasma.github.io/Logging_2321/klagomålsmail/A 52427-2021 FSC-klagomål mail.docx", "A 52427-2021")</f>
        <v/>
      </c>
      <c r="AA104">
        <f>HYPERLINK("https://klasma.github.io/Logging_2321/tillsyn/A 52427-2021 tillsynsbegäran.docx", "A 52427-2021")</f>
        <v/>
      </c>
      <c r="AB104">
        <f>HYPERLINK("https://klasma.github.io/Logging_2321/tillsynsmail/A 52427-2021 tillsynsbegäran mail.docx", "A 52427-2021")</f>
        <v/>
      </c>
      <c r="AC104">
        <f>HYPERLINK("https://klasma.github.io/Logging_2321/fåglar/A 52427-2021 prioriterade fågelarter.docx", "A 52427-2021")</f>
        <v/>
      </c>
    </row>
    <row r="105" ht="15" customHeight="1">
      <c r="A105" t="inlineStr">
        <is>
          <t>A 47988-2025</t>
        </is>
      </c>
      <c r="B105" t="inlineStr">
        <is>
          <t>avverkningsanmälan</t>
        </is>
      </c>
      <c r="C105" t="inlineStr">
        <is>
          <t>Avverkning för att bevara och utveckla /försöksver</t>
        </is>
      </c>
      <c r="D105" s="1" t="n">
        <v>45931</v>
      </c>
      <c r="E105" s="1" t="n">
        <v>46222</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s="2" t="inlineStr">
        <is>
          <t>Vitgrynig nållav
Diskvaxskivling
Västlig hakmossa</t>
        </is>
      </c>
      <c r="V105">
        <f>HYPERLINK("https://klasma.github.io/Logging_2321/artfynd/A 47988-2025 artfynd.xlsx", "A 47988-2025")</f>
        <v/>
      </c>
      <c r="W105">
        <f>HYPERLINK("https://klasma.github.io/Logging_2321/kartor/A 47988-2025 karta.png", "A 47988-2025")</f>
        <v/>
      </c>
      <c r="Y105">
        <f>HYPERLINK("https://klasma.github.io/Logging_2321/klagomål/A 47988-2025 FSC-klagomål.docx", "A 47988-2025")</f>
        <v/>
      </c>
      <c r="Z105">
        <f>HYPERLINK("https://klasma.github.io/Logging_2321/klagomålsmail/A 47988-2025 FSC-klagomål mail.docx", "A 47988-2025")</f>
        <v/>
      </c>
      <c r="AA105">
        <f>HYPERLINK("https://klasma.github.io/Logging_2321/tillsyn/A 47988-2025 tillsynsbegäran.docx", "A 47988-2025")</f>
        <v/>
      </c>
      <c r="AB105">
        <f>HYPERLINK("https://klasma.github.io/Logging_2321/tillsynsmail/A 47988-2025 tillsynsbegäran mail.docx", "A 47988-2025")</f>
        <v/>
      </c>
    </row>
    <row r="106" ht="15" customHeight="1">
      <c r="A106" t="inlineStr">
        <is>
          <t>A 62273-2025</t>
        </is>
      </c>
      <c r="B106" t="inlineStr">
        <is>
          <t>avverkningsanmälan</t>
        </is>
      </c>
      <c r="C106" t="inlineStr">
        <is>
          <t>Föryngringsavverkning</t>
        </is>
      </c>
      <c r="D106" s="1" t="n">
        <v>46006</v>
      </c>
      <c r="E106" s="1" t="n">
        <v>46222</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s="2" t="inlineStr">
        <is>
          <t>Garnlav
Harticka
Tretåig hackspett</t>
        </is>
      </c>
      <c r="V106">
        <f>HYPERLINK("https://klasma.github.io/Logging_2321/artfynd/A 62273-2025 artfynd.xlsx", "A 62273-2025")</f>
        <v/>
      </c>
      <c r="W106">
        <f>HYPERLINK("https://klasma.github.io/Logging_2321/kartor/A 62273-2025 karta.png", "A 62273-2025")</f>
        <v/>
      </c>
      <c r="Y106">
        <f>HYPERLINK("https://klasma.github.io/Logging_2321/klagomål/A 62273-2025 FSC-klagomål.docx", "A 62273-2025")</f>
        <v/>
      </c>
      <c r="Z106">
        <f>HYPERLINK("https://klasma.github.io/Logging_2321/klagomålsmail/A 62273-2025 FSC-klagomål mail.docx", "A 62273-2025")</f>
        <v/>
      </c>
      <c r="AA106">
        <f>HYPERLINK("https://klasma.github.io/Logging_2321/tillsyn/A 62273-2025 tillsynsbegäran.docx", "A 62273-2025")</f>
        <v/>
      </c>
      <c r="AB106">
        <f>HYPERLINK("https://klasma.github.io/Logging_2321/tillsynsmail/A 62273-2025 tillsynsbegäran mail.docx", "A 62273-2025")</f>
        <v/>
      </c>
      <c r="AC106">
        <f>HYPERLINK("https://klasma.github.io/Logging_2321/fåglar/A 62273-2025 prioriterade fågelarter.docx", "A 62273-2025")</f>
        <v/>
      </c>
    </row>
    <row r="107" ht="15" customHeight="1">
      <c r="A107" t="inlineStr">
        <is>
          <t>A 62522-2025</t>
        </is>
      </c>
      <c r="B107" t="inlineStr">
        <is>
          <t>avverkningsanmälan</t>
        </is>
      </c>
      <c r="C107" t="inlineStr">
        <is>
          <t>Föryngringsavverkning</t>
        </is>
      </c>
      <c r="D107" s="1" t="n">
        <v>46007</v>
      </c>
      <c r="E107" s="1" t="n">
        <v>46222</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s="2" t="inlineStr">
        <is>
          <t>Garnlav
Tretåig hackspett
Blodticka</t>
        </is>
      </c>
      <c r="V107">
        <f>HYPERLINK("https://klasma.github.io/Logging_2321/artfynd/A 62522-2025 artfynd.xlsx", "A 62522-2025")</f>
        <v/>
      </c>
      <c r="W107">
        <f>HYPERLINK("https://klasma.github.io/Logging_2321/kartor/A 62522-2025 karta.png", "A 62522-2025")</f>
        <v/>
      </c>
      <c r="Y107">
        <f>HYPERLINK("https://klasma.github.io/Logging_2321/klagomål/A 62522-2025 FSC-klagomål.docx", "A 62522-2025")</f>
        <v/>
      </c>
      <c r="Z107">
        <f>HYPERLINK("https://klasma.github.io/Logging_2321/klagomålsmail/A 62522-2025 FSC-klagomål mail.docx", "A 62522-2025")</f>
        <v/>
      </c>
      <c r="AA107">
        <f>HYPERLINK("https://klasma.github.io/Logging_2321/tillsyn/A 62522-2025 tillsynsbegäran.docx", "A 62522-2025")</f>
        <v/>
      </c>
      <c r="AB107">
        <f>HYPERLINK("https://klasma.github.io/Logging_2321/tillsynsmail/A 62522-2025 tillsynsbegäran mail.docx", "A 62522-2025")</f>
        <v/>
      </c>
      <c r="AC107">
        <f>HYPERLINK("https://klasma.github.io/Logging_2321/fåglar/A 62522-2025 prioriterade fågelarter.docx", "A 62522-2025")</f>
        <v/>
      </c>
    </row>
    <row r="108" ht="15" customHeight="1">
      <c r="A108" t="inlineStr">
        <is>
          <t>A 54376-2025</t>
        </is>
      </c>
      <c r="B108" t="inlineStr">
        <is>
          <t>avverkningsanmälan</t>
        </is>
      </c>
      <c r="C108" t="inlineStr">
        <is>
          <t>Föryngringsavverkning</t>
        </is>
      </c>
      <c r="D108" s="1" t="n">
        <v>45965</v>
      </c>
      <c r="E108" s="1" t="n">
        <v>46222</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s="2" t="inlineStr">
        <is>
          <t>Garnlav
Skrovellav
Stuplav</t>
        </is>
      </c>
      <c r="V108">
        <f>HYPERLINK("https://klasma.github.io/Logging_2321/artfynd/A 54376-2025 artfynd.xlsx", "A 54376-2025")</f>
        <v/>
      </c>
      <c r="W108">
        <f>HYPERLINK("https://klasma.github.io/Logging_2321/kartor/A 54376-2025 karta.png", "A 54376-2025")</f>
        <v/>
      </c>
      <c r="Y108">
        <f>HYPERLINK("https://klasma.github.io/Logging_2321/klagomål/A 54376-2025 FSC-klagomål.docx", "A 54376-2025")</f>
        <v/>
      </c>
      <c r="Z108">
        <f>HYPERLINK("https://klasma.github.io/Logging_2321/klagomålsmail/A 54376-2025 FSC-klagomål mail.docx", "A 54376-2025")</f>
        <v/>
      </c>
      <c r="AA108">
        <f>HYPERLINK("https://klasma.github.io/Logging_2321/tillsyn/A 54376-2025 tillsynsbegäran.docx", "A 54376-2025")</f>
        <v/>
      </c>
      <c r="AB108">
        <f>HYPERLINK("https://klasma.github.io/Logging_2321/tillsynsmail/A 54376-2025 tillsynsbegäran mail.docx", "A 54376-2025")</f>
        <v/>
      </c>
    </row>
    <row r="109" ht="15" customHeight="1">
      <c r="A109" t="inlineStr">
        <is>
          <t>A 11377-2025</t>
        </is>
      </c>
      <c r="B109" t="inlineStr">
        <is>
          <t>avverkningsanmälan</t>
        </is>
      </c>
      <c r="C109" t="inlineStr">
        <is>
          <t>Avverkning för annat ändamål</t>
        </is>
      </c>
      <c r="D109" s="1" t="n">
        <v>45726</v>
      </c>
      <c r="E109" s="1" t="n">
        <v>46222</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s="2" t="inlineStr">
        <is>
          <t>Gammelgransskål
Liten svartspik
Vitgrynig nållav</t>
        </is>
      </c>
      <c r="V109">
        <f>HYPERLINK("https://klasma.github.io/Logging_2321/artfynd/A 11377-2025 artfynd.xlsx", "A 11377-2025")</f>
        <v/>
      </c>
      <c r="W109">
        <f>HYPERLINK("https://klasma.github.io/Logging_2321/kartor/A 11377-2025 karta.png", "A 11377-2025")</f>
        <v/>
      </c>
      <c r="Y109">
        <f>HYPERLINK("https://klasma.github.io/Logging_2321/klagomål/A 11377-2025 FSC-klagomål.docx", "A 11377-2025")</f>
        <v/>
      </c>
      <c r="Z109">
        <f>HYPERLINK("https://klasma.github.io/Logging_2321/klagomålsmail/A 11377-2025 FSC-klagomål mail.docx", "A 11377-2025")</f>
        <v/>
      </c>
      <c r="AA109">
        <f>HYPERLINK("https://klasma.github.io/Logging_2321/tillsyn/A 11377-2025 tillsynsbegäran.docx", "A 11377-2025")</f>
        <v/>
      </c>
      <c r="AB109">
        <f>HYPERLINK("https://klasma.github.io/Logging_2321/tillsynsmail/A 11377-2025 tillsynsbegäran mail.docx", "A 11377-2025")</f>
        <v/>
      </c>
    </row>
    <row r="110" ht="15" customHeight="1">
      <c r="A110" t="inlineStr">
        <is>
          <t>A 52588-2024</t>
        </is>
      </c>
      <c r="B110" t="inlineStr">
        <is>
          <t>avverkningsanmälan</t>
        </is>
      </c>
      <c r="C110" t="inlineStr">
        <is>
          <t>Föryngringsavverkning</t>
        </is>
      </c>
      <c r="D110" s="1" t="n">
        <v>45609</v>
      </c>
      <c r="E110" s="1" t="n">
        <v>46222</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s="2" t="inlineStr">
        <is>
          <t>Garnlav
Liten svartspik
Vedticka</t>
        </is>
      </c>
      <c r="V110">
        <f>HYPERLINK("https://klasma.github.io/Logging_2321/artfynd/A 52588-2024 artfynd.xlsx", "A 52588-2024")</f>
        <v/>
      </c>
      <c r="W110">
        <f>HYPERLINK("https://klasma.github.io/Logging_2321/kartor/A 52588-2024 karta.png", "A 52588-2024")</f>
        <v/>
      </c>
      <c r="Y110">
        <f>HYPERLINK("https://klasma.github.io/Logging_2321/klagomål/A 52588-2024 FSC-klagomål.docx", "A 52588-2024")</f>
        <v/>
      </c>
      <c r="Z110">
        <f>HYPERLINK("https://klasma.github.io/Logging_2321/klagomålsmail/A 52588-2024 FSC-klagomål mail.docx", "A 52588-2024")</f>
        <v/>
      </c>
      <c r="AA110">
        <f>HYPERLINK("https://klasma.github.io/Logging_2321/tillsyn/A 52588-2024 tillsynsbegäran.docx", "A 52588-2024")</f>
        <v/>
      </c>
      <c r="AB110">
        <f>HYPERLINK("https://klasma.github.io/Logging_2321/tillsynsmail/A 52588-2024 tillsynsbegäran mail.docx", "A 52588-2024")</f>
        <v/>
      </c>
    </row>
    <row r="111" ht="15" customHeight="1">
      <c r="A111" t="inlineStr">
        <is>
          <t>A 62621-2025</t>
        </is>
      </c>
      <c r="B111" t="inlineStr">
        <is>
          <t>avverkningsanmälan</t>
        </is>
      </c>
      <c r="C111" t="inlineStr">
        <is>
          <t>Föryngringsavverkning</t>
        </is>
      </c>
      <c r="D111" s="1" t="n">
        <v>46008</v>
      </c>
      <c r="E111" s="1" t="n">
        <v>46222</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s="2" t="inlineStr">
        <is>
          <t>Garnlav
Lavskrika
Tretåig hackspett</t>
        </is>
      </c>
      <c r="V111">
        <f>HYPERLINK("https://klasma.github.io/Logging_2321/artfynd/A 62621-2025 artfynd.xlsx", "A 62621-2025")</f>
        <v/>
      </c>
      <c r="W111">
        <f>HYPERLINK("https://klasma.github.io/Logging_2321/kartor/A 62621-2025 karta.png", "A 62621-2025")</f>
        <v/>
      </c>
      <c r="Y111">
        <f>HYPERLINK("https://klasma.github.io/Logging_2321/klagomål/A 62621-2025 FSC-klagomål.docx", "A 62621-2025")</f>
        <v/>
      </c>
      <c r="Z111">
        <f>HYPERLINK("https://klasma.github.io/Logging_2321/klagomålsmail/A 62621-2025 FSC-klagomål mail.docx", "A 62621-2025")</f>
        <v/>
      </c>
      <c r="AA111">
        <f>HYPERLINK("https://klasma.github.io/Logging_2321/tillsyn/A 62621-2025 tillsynsbegäran.docx", "A 62621-2025")</f>
        <v/>
      </c>
      <c r="AB111">
        <f>HYPERLINK("https://klasma.github.io/Logging_2321/tillsynsmail/A 62621-2025 tillsynsbegäran mail.docx", "A 62621-2025")</f>
        <v/>
      </c>
      <c r="AC111">
        <f>HYPERLINK("https://klasma.github.io/Logging_2321/fåglar/A 62621-2025 prioriterade fågelarter.docx", "A 62621-2025")</f>
        <v/>
      </c>
    </row>
    <row r="112" ht="15" customHeight="1">
      <c r="A112" t="inlineStr">
        <is>
          <t>A 10627-2023</t>
        </is>
      </c>
      <c r="B112" t="inlineStr">
        <is>
          <t>avverkningsanmälan</t>
        </is>
      </c>
      <c r="C112" t="inlineStr">
        <is>
          <t>Föryngringsavverkning</t>
        </is>
      </c>
      <c r="D112" s="1" t="n">
        <v>44984</v>
      </c>
      <c r="E112" s="1" t="n">
        <v>46222</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s="2" t="inlineStr">
        <is>
          <t>Harticka
Tretåig hackspett
Vitgrynig nållav</t>
        </is>
      </c>
      <c r="V112">
        <f>HYPERLINK("https://klasma.github.io/Logging_2321/artfynd/A 10627-2023 artfynd.xlsx", "A 10627-2023")</f>
        <v/>
      </c>
      <c r="W112">
        <f>HYPERLINK("https://klasma.github.io/Logging_2321/kartor/A 10627-2023 karta.png", "A 10627-2023")</f>
        <v/>
      </c>
      <c r="Y112">
        <f>HYPERLINK("https://klasma.github.io/Logging_2321/klagomål/A 10627-2023 FSC-klagomål.docx", "A 10627-2023")</f>
        <v/>
      </c>
      <c r="Z112">
        <f>HYPERLINK("https://klasma.github.io/Logging_2321/klagomålsmail/A 10627-2023 FSC-klagomål mail.docx", "A 10627-2023")</f>
        <v/>
      </c>
      <c r="AA112">
        <f>HYPERLINK("https://klasma.github.io/Logging_2321/tillsyn/A 10627-2023 tillsynsbegäran.docx", "A 10627-2023")</f>
        <v/>
      </c>
      <c r="AB112">
        <f>HYPERLINK("https://klasma.github.io/Logging_2321/tillsynsmail/A 10627-2023 tillsynsbegäran mail.docx", "A 10627-2023")</f>
        <v/>
      </c>
      <c r="AC112">
        <f>HYPERLINK("https://klasma.github.io/Logging_2321/fåglar/A 10627-2023 prioriterade fågelarter.docx", "A 10627-2023")</f>
        <v/>
      </c>
    </row>
    <row r="113" ht="15" customHeight="1">
      <c r="A113" t="inlineStr">
        <is>
          <t>A 58082-2022</t>
        </is>
      </c>
      <c r="B113" t="inlineStr">
        <is>
          <t>avverkningsanmälan</t>
        </is>
      </c>
      <c r="C113" t="inlineStr">
        <is>
          <t>Föryngringsavverkning</t>
        </is>
      </c>
      <c r="D113" s="1" t="n">
        <v>44900</v>
      </c>
      <c r="E113" s="1" t="n">
        <v>46222</v>
      </c>
      <c r="F113" t="inlineStr">
        <is>
          <t>JÄMTLANDS LÄN</t>
        </is>
      </c>
      <c r="G113" t="inlineStr">
        <is>
          <t>ÅRE</t>
        </is>
      </c>
      <c r="I113" t="n">
        <v>28.2</v>
      </c>
      <c r="J113" t="n">
        <v>2</v>
      </c>
      <c r="K113" t="n">
        <v>1</v>
      </c>
      <c r="L113" t="n">
        <v>1</v>
      </c>
      <c r="M113" t="n">
        <v>0</v>
      </c>
      <c r="N113" t="n">
        <v>0</v>
      </c>
      <c r="O113" t="n">
        <v>0</v>
      </c>
      <c r="P113" t="n">
        <v>0</v>
      </c>
      <c r="Q113" t="n">
        <v>1</v>
      </c>
      <c r="R113" t="n">
        <v>0</v>
      </c>
      <c r="S113" t="n">
        <v>3</v>
      </c>
      <c r="T113" t="n">
        <v>7</v>
      </c>
      <c r="U113" s="2" t="inlineStr">
        <is>
          <t>Tretåig hackspett
Kambräken
Spillkråka</t>
        </is>
      </c>
      <c r="V113">
        <f>HYPERLINK("https://klasma.github.io/Logging_2321/artfynd/A 58082-2022 artfynd.xlsx", "A 58082-2022")</f>
        <v/>
      </c>
      <c r="W113">
        <f>HYPERLINK("https://klasma.github.io/Logging_2321/kartor/A 58082-2022 karta.png", "A 58082-2022")</f>
        <v/>
      </c>
      <c r="Y113">
        <f>HYPERLINK("https://klasma.github.io/Logging_2321/klagomål/A 58082-2022 FSC-klagomål.docx", "A 58082-2022")</f>
        <v/>
      </c>
      <c r="Z113">
        <f>HYPERLINK("https://klasma.github.io/Logging_2321/klagomålsmail/A 58082-2022 FSC-klagomål mail.docx", "A 58082-2022")</f>
        <v/>
      </c>
      <c r="AA113">
        <f>HYPERLINK("https://klasma.github.io/Logging_2321/tillsyn/A 58082-2022 tillsynsbegäran.docx", "A 58082-2022")</f>
        <v/>
      </c>
      <c r="AB113">
        <f>HYPERLINK("https://klasma.github.io/Logging_2321/tillsynsmail/A 58082-2022 tillsynsbegäran mail.docx", "A 58082-2022")</f>
        <v/>
      </c>
      <c r="AC113">
        <f>HYPERLINK("https://klasma.github.io/Logging_2321/fåglar/A 58082-2022 prioriterade fågelarter.docx", "A 58082-2022")</f>
        <v/>
      </c>
    </row>
    <row r="114" ht="15" customHeight="1">
      <c r="A114" t="inlineStr">
        <is>
          <t>A 57537-2024</t>
        </is>
      </c>
      <c r="B114" t="inlineStr">
        <is>
          <t>avverkningsanmälan</t>
        </is>
      </c>
      <c r="C114" t="inlineStr">
        <is>
          <t>Föryngringsavverkning</t>
        </is>
      </c>
      <c r="D114" s="1" t="n">
        <v>45630</v>
      </c>
      <c r="E114" s="1" t="n">
        <v>46222</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s="2" t="inlineStr">
        <is>
          <t>Garnlav
Tretåig hackspett
Ullticka</t>
        </is>
      </c>
      <c r="V114">
        <f>HYPERLINK("https://klasma.github.io/Logging_2321/artfynd/A 57537-2024 artfynd.xlsx", "A 57537-2024")</f>
        <v/>
      </c>
      <c r="W114">
        <f>HYPERLINK("https://klasma.github.io/Logging_2321/kartor/A 57537-2024 karta.png", "A 57537-2024")</f>
        <v/>
      </c>
      <c r="Y114">
        <f>HYPERLINK("https://klasma.github.io/Logging_2321/klagomål/A 57537-2024 FSC-klagomål.docx", "A 57537-2024")</f>
        <v/>
      </c>
      <c r="Z114">
        <f>HYPERLINK("https://klasma.github.io/Logging_2321/klagomålsmail/A 57537-2024 FSC-klagomål mail.docx", "A 57537-2024")</f>
        <v/>
      </c>
      <c r="AA114">
        <f>HYPERLINK("https://klasma.github.io/Logging_2321/tillsyn/A 57537-2024 tillsynsbegäran.docx", "A 57537-2024")</f>
        <v/>
      </c>
      <c r="AB114">
        <f>HYPERLINK("https://klasma.github.io/Logging_2321/tillsynsmail/A 57537-2024 tillsynsbegäran mail.docx", "A 57537-2024")</f>
        <v/>
      </c>
      <c r="AC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46222</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s="2" t="inlineStr">
        <is>
          <t>Vitskaftad svartspik
Lunglav
Tretåig hackspett</t>
        </is>
      </c>
      <c r="V115">
        <f>HYPERLINK("https://klasma.github.io/Logging_2321/artfynd/A 13625-2023 artfynd.xlsx", "A 13625-2023")</f>
        <v/>
      </c>
      <c r="W115">
        <f>HYPERLINK("https://klasma.github.io/Logging_2321/kartor/A 13625-2023 karta.png", "A 13625-2023")</f>
        <v/>
      </c>
      <c r="Y115">
        <f>HYPERLINK("https://klasma.github.io/Logging_2321/klagomål/A 13625-2023 FSC-klagomål.docx", "A 13625-2023")</f>
        <v/>
      </c>
      <c r="Z115">
        <f>HYPERLINK("https://klasma.github.io/Logging_2321/klagomålsmail/A 13625-2023 FSC-klagomål mail.docx", "A 13625-2023")</f>
        <v/>
      </c>
      <c r="AA115">
        <f>HYPERLINK("https://klasma.github.io/Logging_2321/tillsyn/A 13625-2023 tillsynsbegäran.docx", "A 13625-2023")</f>
        <v/>
      </c>
      <c r="AB115">
        <f>HYPERLINK("https://klasma.github.io/Logging_2321/tillsynsmail/A 13625-2023 tillsynsbegäran mail.docx", "A 13625-2023")</f>
        <v/>
      </c>
      <c r="AC115">
        <f>HYPERLINK("https://klasma.github.io/Logging_2321/fåglar/A 13625-2023 prioriterade fågelarter.docx", "A 13625-2023")</f>
        <v/>
      </c>
    </row>
    <row r="116" ht="15" customHeight="1">
      <c r="A116" t="inlineStr">
        <is>
          <t>S 39-2025</t>
        </is>
      </c>
      <c r="B116" t="inlineStr">
        <is>
          <t>samrådsanmälan</t>
        </is>
      </c>
      <c r="C116" t="inlineStr">
        <is>
          <t>Annan skogsbruksåtgärd</t>
        </is>
      </c>
      <c r="D116" s="1" t="n">
        <v>45666</v>
      </c>
      <c r="E116" s="1" t="n">
        <v>46222</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s="2" t="inlineStr">
        <is>
          <t>Gammelgransskål
Liten svartspik
Vitgrynig nållav</t>
        </is>
      </c>
      <c r="V116">
        <f>HYPERLINK("https://klasma.github.io/Logging_2321/artfynd/S 39-2025 artfynd.xlsx", "S 39-2025")</f>
        <v/>
      </c>
      <c r="W116">
        <f>HYPERLINK("https://klasma.github.io/Logging_2321/kartor/S 39-2025 karta.png", "S 39-2025")</f>
        <v/>
      </c>
      <c r="Y116">
        <f>HYPERLINK("https://klasma.github.io/Logging_2321/klagomål/S 39-2025 FSC-klagomål.docx", "S 39-2025")</f>
        <v/>
      </c>
      <c r="Z116">
        <f>HYPERLINK("https://klasma.github.io/Logging_2321/klagomålsmail/S 39-2025 FSC-klagomål mail.docx", "S 39-2025")</f>
        <v/>
      </c>
      <c r="AA116">
        <f>HYPERLINK("https://klasma.github.io/Logging_2321/tillsyn/S 39-2025 tillsynsbegäran.docx", "S 39-2025")</f>
        <v/>
      </c>
      <c r="AB116">
        <f>HYPERLINK("https://klasma.github.io/Logging_2321/tillsynsmail/S 39-2025 tillsynsbegäran mail.docx", "S 39-2025")</f>
        <v/>
      </c>
    </row>
    <row r="117" ht="15" customHeight="1">
      <c r="A117" t="inlineStr">
        <is>
          <t>A 54128-2023</t>
        </is>
      </c>
      <c r="B117" t="inlineStr">
        <is>
          <t>avverkningsanmälan</t>
        </is>
      </c>
      <c r="C117" t="inlineStr">
        <is>
          <t>Föryngringsavverkning</t>
        </is>
      </c>
      <c r="D117" s="1" t="n">
        <v>45232</v>
      </c>
      <c r="E117" s="1" t="n">
        <v>46222</v>
      </c>
      <c r="F117" t="inlineStr">
        <is>
          <t>JÄMTLANDS LÄN</t>
        </is>
      </c>
      <c r="G117" t="inlineStr">
        <is>
          <t>ÅRE</t>
        </is>
      </c>
      <c r="I117" t="n">
        <v>3.9</v>
      </c>
      <c r="J117" t="n">
        <v>1</v>
      </c>
      <c r="K117" t="n">
        <v>0</v>
      </c>
      <c r="L117" t="n">
        <v>1</v>
      </c>
      <c r="M117" t="n">
        <v>1</v>
      </c>
      <c r="N117" t="n">
        <v>0</v>
      </c>
      <c r="O117" t="n">
        <v>0</v>
      </c>
      <c r="P117" t="n">
        <v>0</v>
      </c>
      <c r="Q117" t="n">
        <v>2</v>
      </c>
      <c r="R117" t="n">
        <v>1</v>
      </c>
      <c r="S117" t="n">
        <v>2</v>
      </c>
      <c r="T117" t="n">
        <v>2</v>
      </c>
      <c r="U117" s="2" t="inlineStr">
        <is>
          <t>Garnlav
Tretåig hackspett</t>
        </is>
      </c>
      <c r="V117">
        <f>HYPERLINK("https://klasma.github.io/Logging_2321/artfynd/A 54128-2023 artfynd.xlsx", "A 54128-2023")</f>
        <v/>
      </c>
      <c r="W117">
        <f>HYPERLINK("https://klasma.github.io/Logging_2321/kartor/A 54128-2023 karta.png", "A 54128-2023")</f>
        <v/>
      </c>
      <c r="Y117">
        <f>HYPERLINK("https://klasma.github.io/Logging_2321/klagomål/A 54128-2023 FSC-klagomål.docx", "A 54128-2023")</f>
        <v/>
      </c>
      <c r="Z117">
        <f>HYPERLINK("https://klasma.github.io/Logging_2321/klagomålsmail/A 54128-2023 FSC-klagomål mail.docx", "A 54128-2023")</f>
        <v/>
      </c>
      <c r="AA117">
        <f>HYPERLINK("https://klasma.github.io/Logging_2321/tillsyn/A 54128-2023 tillsynsbegäran.docx", "A 54128-2023")</f>
        <v/>
      </c>
      <c r="AB117">
        <f>HYPERLINK("https://klasma.github.io/Logging_2321/tillsynsmail/A 54128-2023 tillsynsbegäran mail.docx", "A 54128-2023")</f>
        <v/>
      </c>
      <c r="AC117">
        <f>HYPERLINK("https://klasma.github.io/Logging_2321/fåglar/A 54128-2023 prioriterade fågelarter.docx", "A 54128-2023")</f>
        <v/>
      </c>
    </row>
    <row r="118" ht="15" customHeight="1">
      <c r="A118" t="inlineStr">
        <is>
          <t>A 58232-2021</t>
        </is>
      </c>
      <c r="B118" t="inlineStr">
        <is>
          <t>avverkningsanmälan</t>
        </is>
      </c>
      <c r="C118" t="inlineStr">
        <is>
          <t>Föryngringsavverkning</t>
        </is>
      </c>
      <c r="D118" s="1" t="n">
        <v>44487</v>
      </c>
      <c r="E118" s="1" t="n">
        <v>46222</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s="2" t="inlineStr">
        <is>
          <t>Liten sotlav
Vitgrynig nållav</t>
        </is>
      </c>
      <c r="V118">
        <f>HYPERLINK("https://klasma.github.io/Logging_2321/artfynd/A 58232-2021 artfynd.xlsx", "A 58232-2021")</f>
        <v/>
      </c>
      <c r="W118">
        <f>HYPERLINK("https://klasma.github.io/Logging_2321/kartor/A 58232-2021 karta.png", "A 58232-2021")</f>
        <v/>
      </c>
      <c r="Y118">
        <f>HYPERLINK("https://klasma.github.io/Logging_2321/klagomål/A 58232-2021 FSC-klagomål.docx", "A 58232-2021")</f>
        <v/>
      </c>
      <c r="Z118">
        <f>HYPERLINK("https://klasma.github.io/Logging_2321/klagomålsmail/A 58232-2021 FSC-klagomål mail.docx", "A 58232-2021")</f>
        <v/>
      </c>
      <c r="AA118">
        <f>HYPERLINK("https://klasma.github.io/Logging_2321/tillsyn/A 58232-2021 tillsynsbegäran.docx", "A 58232-2021")</f>
        <v/>
      </c>
      <c r="AB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46222</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s="2" t="inlineStr">
        <is>
          <t>Vitskaftad svartspik
Skrovellav</t>
        </is>
      </c>
      <c r="V119">
        <f>HYPERLINK("https://klasma.github.io/Logging_2321/artfynd/A 55194-2022 artfynd.xlsx", "A 55194-2022")</f>
        <v/>
      </c>
      <c r="W119">
        <f>HYPERLINK("https://klasma.github.io/Logging_2321/kartor/A 55194-2022 karta.png", "A 55194-2022")</f>
        <v/>
      </c>
      <c r="Y119">
        <f>HYPERLINK("https://klasma.github.io/Logging_2321/klagomål/A 55194-2022 FSC-klagomål.docx", "A 55194-2022")</f>
        <v/>
      </c>
      <c r="Z119">
        <f>HYPERLINK("https://klasma.github.io/Logging_2321/klagomålsmail/A 55194-2022 FSC-klagomål mail.docx", "A 55194-2022")</f>
        <v/>
      </c>
      <c r="AA119">
        <f>HYPERLINK("https://klasma.github.io/Logging_2321/tillsyn/A 55194-2022 tillsynsbegäran.docx", "A 55194-2022")</f>
        <v/>
      </c>
      <c r="AB119">
        <f>HYPERLINK("https://klasma.github.io/Logging_2321/tillsynsmail/A 55194-2022 tillsynsbegäran mail.docx", "A 55194-2022")</f>
        <v/>
      </c>
    </row>
    <row r="120" ht="15" customHeight="1">
      <c r="A120" t="inlineStr">
        <is>
          <t>A 54055-2023</t>
        </is>
      </c>
      <c r="B120" t="inlineStr">
        <is>
          <t>avverkningsanmälan</t>
        </is>
      </c>
      <c r="C120" t="inlineStr">
        <is>
          <t>Föryngringsavverkning</t>
        </is>
      </c>
      <c r="D120" s="1" t="n">
        <v>45231</v>
      </c>
      <c r="E120" s="1" t="n">
        <v>46222</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s="2" t="inlineStr">
        <is>
          <t>Tretåig hackspett
Ullticka</t>
        </is>
      </c>
      <c r="V120">
        <f>HYPERLINK("https://klasma.github.io/Logging_2321/artfynd/A 54055-2023 artfynd.xlsx", "A 54055-2023")</f>
        <v/>
      </c>
      <c r="W120">
        <f>HYPERLINK("https://klasma.github.io/Logging_2321/kartor/A 54055-2023 karta.png", "A 54055-2023")</f>
        <v/>
      </c>
      <c r="Y120">
        <f>HYPERLINK("https://klasma.github.io/Logging_2321/klagomål/A 54055-2023 FSC-klagomål.docx", "A 54055-2023")</f>
        <v/>
      </c>
      <c r="Z120">
        <f>HYPERLINK("https://klasma.github.io/Logging_2321/klagomålsmail/A 54055-2023 FSC-klagomål mail.docx", "A 54055-2023")</f>
        <v/>
      </c>
      <c r="AA120">
        <f>HYPERLINK("https://klasma.github.io/Logging_2321/tillsyn/A 54055-2023 tillsynsbegäran.docx", "A 54055-2023")</f>
        <v/>
      </c>
      <c r="AB120">
        <f>HYPERLINK("https://klasma.github.io/Logging_2321/tillsynsmail/A 54055-2023 tillsynsbegäran mail.docx", "A 54055-2023")</f>
        <v/>
      </c>
      <c r="AC120">
        <f>HYPERLINK("https://klasma.github.io/Logging_2321/fåglar/A 54055-2023 prioriterade fågelarter.docx", "A 54055-2023")</f>
        <v/>
      </c>
    </row>
    <row r="121" ht="15" customHeight="1">
      <c r="A121" t="inlineStr">
        <is>
          <t>A 32207-2022</t>
        </is>
      </c>
      <c r="B121" t="inlineStr">
        <is>
          <t>avverkningsanmälan</t>
        </is>
      </c>
      <c r="C121" t="inlineStr">
        <is>
          <t>Föryngringsavverkning</t>
        </is>
      </c>
      <c r="D121" s="1" t="n">
        <v>44781</v>
      </c>
      <c r="E121" s="1" t="n">
        <v>46222</v>
      </c>
      <c r="F121" t="inlineStr">
        <is>
          <t>JÄMTLANDS LÄN</t>
        </is>
      </c>
      <c r="G121" t="inlineStr">
        <is>
          <t>ÅRE</t>
        </is>
      </c>
      <c r="I121" t="n">
        <v>5.5</v>
      </c>
      <c r="J121" t="n">
        <v>1</v>
      </c>
      <c r="K121" t="n">
        <v>2</v>
      </c>
      <c r="L121" t="n">
        <v>0</v>
      </c>
      <c r="M121" t="n">
        <v>0</v>
      </c>
      <c r="N121" t="n">
        <v>0</v>
      </c>
      <c r="O121" t="n">
        <v>0</v>
      </c>
      <c r="P121" t="n">
        <v>0</v>
      </c>
      <c r="Q121" t="n">
        <v>0</v>
      </c>
      <c r="R121" t="n">
        <v>0</v>
      </c>
      <c r="S121" t="n">
        <v>2</v>
      </c>
      <c r="T121" t="n">
        <v>4</v>
      </c>
      <c r="U121" s="2" t="inlineStr">
        <is>
          <t>Korallrot
Ögonpyrola</t>
        </is>
      </c>
      <c r="V121">
        <f>HYPERLINK("https://klasma.github.io/Logging_2321/artfynd/A 32207-2022 artfynd.xlsx", "A 32207-2022")</f>
        <v/>
      </c>
      <c r="W121">
        <f>HYPERLINK("https://klasma.github.io/Logging_2321/kartor/A 32207-2022 karta.png", "A 32207-2022")</f>
        <v/>
      </c>
      <c r="Y121">
        <f>HYPERLINK("https://klasma.github.io/Logging_2321/klagomål/A 32207-2022 FSC-klagomål.docx", "A 32207-2022")</f>
        <v/>
      </c>
      <c r="Z121">
        <f>HYPERLINK("https://klasma.github.io/Logging_2321/klagomålsmail/A 32207-2022 FSC-klagomål mail.docx", "A 32207-2022")</f>
        <v/>
      </c>
      <c r="AA121">
        <f>HYPERLINK("https://klasma.github.io/Logging_2321/tillsyn/A 32207-2022 tillsynsbegäran.docx", "A 32207-2022")</f>
        <v/>
      </c>
      <c r="AB121">
        <f>HYPERLINK("https://klasma.github.io/Logging_2321/tillsynsmail/A 32207-2022 tillsynsbegäran mail.docx", "A 32207-2022")</f>
        <v/>
      </c>
    </row>
    <row r="122" ht="15" customHeight="1">
      <c r="A122" t="inlineStr">
        <is>
          <t>A 32114-2025</t>
        </is>
      </c>
      <c r="B122" t="inlineStr">
        <is>
          <t>avverkningsanmälan</t>
        </is>
      </c>
      <c r="C122" t="inlineStr">
        <is>
          <t>Föryngringsavverkning</t>
        </is>
      </c>
      <c r="D122" s="1" t="n">
        <v>45835</v>
      </c>
      <c r="E122" s="1" t="n">
        <v>46222</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s="2" t="inlineStr">
        <is>
          <t>Kolflarnlav
Rosenticka</t>
        </is>
      </c>
      <c r="V122">
        <f>HYPERLINK("https://klasma.github.io/Logging_2321/artfynd/A 32114-2025 artfynd.xlsx", "A 32114-2025")</f>
        <v/>
      </c>
      <c r="W122">
        <f>HYPERLINK("https://klasma.github.io/Logging_2321/kartor/A 32114-2025 karta.png", "A 32114-2025")</f>
        <v/>
      </c>
      <c r="Y122">
        <f>HYPERLINK("https://klasma.github.io/Logging_2321/klagomål/A 32114-2025 FSC-klagomål.docx", "A 32114-2025")</f>
        <v/>
      </c>
      <c r="Z122">
        <f>HYPERLINK("https://klasma.github.io/Logging_2321/klagomålsmail/A 32114-2025 FSC-klagomål mail.docx", "A 32114-2025")</f>
        <v/>
      </c>
      <c r="AA122">
        <f>HYPERLINK("https://klasma.github.io/Logging_2321/tillsyn/A 32114-2025 tillsynsbegäran.docx", "A 32114-2025")</f>
        <v/>
      </c>
      <c r="AB122">
        <f>HYPERLINK("https://klasma.github.io/Logging_2321/tillsynsmail/A 32114-2025 tillsynsbegäran mail.docx", "A 32114-2025")</f>
        <v/>
      </c>
    </row>
    <row r="123" ht="15" customHeight="1">
      <c r="A123" t="inlineStr">
        <is>
          <t>A 17692-2022</t>
        </is>
      </c>
      <c r="B123" t="inlineStr">
        <is>
          <t>avverkningsanmälan</t>
        </is>
      </c>
      <c r="C123" t="inlineStr">
        <is>
          <t>Avverkning för annat ändamål</t>
        </is>
      </c>
      <c r="D123" s="1" t="n">
        <v>44680</v>
      </c>
      <c r="E123" s="1" t="n">
        <v>46222</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s="2" t="inlineStr">
        <is>
          <t>Skrovellav
Tretåig hackspett</t>
        </is>
      </c>
      <c r="V123">
        <f>HYPERLINK("https://klasma.github.io/Logging_2321/artfynd/A 17692-2022 artfynd.xlsx", "A 17692-2022")</f>
        <v/>
      </c>
      <c r="W123">
        <f>HYPERLINK("https://klasma.github.io/Logging_2321/kartor/A 17692-2022 karta.png", "A 17692-2022")</f>
        <v/>
      </c>
      <c r="Y123">
        <f>HYPERLINK("https://klasma.github.io/Logging_2321/klagomål/A 17692-2022 FSC-klagomål.docx", "A 17692-2022")</f>
        <v/>
      </c>
      <c r="Z123">
        <f>HYPERLINK("https://klasma.github.io/Logging_2321/klagomålsmail/A 17692-2022 FSC-klagomål mail.docx", "A 17692-2022")</f>
        <v/>
      </c>
      <c r="AA123">
        <f>HYPERLINK("https://klasma.github.io/Logging_2321/tillsyn/A 17692-2022 tillsynsbegäran.docx", "A 17692-2022")</f>
        <v/>
      </c>
      <c r="AB123">
        <f>HYPERLINK("https://klasma.github.io/Logging_2321/tillsynsmail/A 17692-2022 tillsynsbegäran mail.docx", "A 17692-2022")</f>
        <v/>
      </c>
      <c r="AC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46222</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s="2" t="inlineStr">
        <is>
          <t>Lunglav
Tretåig hackspett</t>
        </is>
      </c>
      <c r="V124">
        <f>HYPERLINK("https://klasma.github.io/Logging_2321/artfynd/A 23729-2023 artfynd.xlsx", "A 23729-2023")</f>
        <v/>
      </c>
      <c r="W124">
        <f>HYPERLINK("https://klasma.github.io/Logging_2321/kartor/A 23729-2023 karta.png", "A 23729-2023")</f>
        <v/>
      </c>
      <c r="Y124">
        <f>HYPERLINK("https://klasma.github.io/Logging_2321/klagomål/A 23729-2023 FSC-klagomål.docx", "A 23729-2023")</f>
        <v/>
      </c>
      <c r="Z124">
        <f>HYPERLINK("https://klasma.github.io/Logging_2321/klagomålsmail/A 23729-2023 FSC-klagomål mail.docx", "A 23729-2023")</f>
        <v/>
      </c>
      <c r="AA124">
        <f>HYPERLINK("https://klasma.github.io/Logging_2321/tillsyn/A 23729-2023 tillsynsbegäran.docx", "A 23729-2023")</f>
        <v/>
      </c>
      <c r="AB124">
        <f>HYPERLINK("https://klasma.github.io/Logging_2321/tillsynsmail/A 23729-2023 tillsynsbegäran mail.docx", "A 23729-2023")</f>
        <v/>
      </c>
      <c r="AC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46222</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s="2" t="inlineStr">
        <is>
          <t>Doftskinn
Harticka</t>
        </is>
      </c>
      <c r="V125">
        <f>HYPERLINK("https://klasma.github.io/Logging_2321/artfynd/A 10501-2024 artfynd.xlsx", "A 10501-2024")</f>
        <v/>
      </c>
      <c r="W125">
        <f>HYPERLINK("https://klasma.github.io/Logging_2321/kartor/A 10501-2024 karta.png", "A 10501-2024")</f>
        <v/>
      </c>
      <c r="Y125">
        <f>HYPERLINK("https://klasma.github.io/Logging_2321/klagomål/A 10501-2024 FSC-klagomål.docx", "A 10501-2024")</f>
        <v/>
      </c>
      <c r="Z125">
        <f>HYPERLINK("https://klasma.github.io/Logging_2321/klagomålsmail/A 10501-2024 FSC-klagomål mail.docx", "A 10501-2024")</f>
        <v/>
      </c>
      <c r="AA125">
        <f>HYPERLINK("https://klasma.github.io/Logging_2321/tillsyn/A 10501-2024 tillsynsbegäran.docx", "A 10501-2024")</f>
        <v/>
      </c>
      <c r="AB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46222</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s="2" t="inlineStr">
        <is>
          <t>Sparvuggla
Tretåig hackspett</t>
        </is>
      </c>
      <c r="V126">
        <f>HYPERLINK("https://klasma.github.io/Logging_2321/artfynd/A 55718-2025 artfynd.xlsx", "A 55718-2025")</f>
        <v/>
      </c>
      <c r="W126">
        <f>HYPERLINK("https://klasma.github.io/Logging_2321/kartor/A 55718-2025 karta.png", "A 55718-2025")</f>
        <v/>
      </c>
      <c r="Y126">
        <f>HYPERLINK("https://klasma.github.io/Logging_2321/klagomål/A 55718-2025 FSC-klagomål.docx", "A 55718-2025")</f>
        <v/>
      </c>
      <c r="Z126">
        <f>HYPERLINK("https://klasma.github.io/Logging_2321/klagomålsmail/A 55718-2025 FSC-klagomål mail.docx", "A 55718-2025")</f>
        <v/>
      </c>
      <c r="AA126">
        <f>HYPERLINK("https://klasma.github.io/Logging_2321/tillsyn/A 55718-2025 tillsynsbegäran.docx", "A 55718-2025")</f>
        <v/>
      </c>
      <c r="AB126">
        <f>HYPERLINK("https://klasma.github.io/Logging_2321/tillsynsmail/A 55718-2025 tillsynsbegäran mail.docx", "A 55718-2025")</f>
        <v/>
      </c>
      <c r="AC126">
        <f>HYPERLINK("https://klasma.github.io/Logging_2321/fåglar/A 55718-2025 prioriterade fågelarter.docx", "A 55718-2025")</f>
        <v/>
      </c>
    </row>
    <row r="127" ht="15" customHeight="1">
      <c r="A127" t="inlineStr">
        <is>
          <t>A 37082-2021</t>
        </is>
      </c>
      <c r="B127" t="inlineStr">
        <is>
          <t>avverkningsanmälan</t>
        </is>
      </c>
      <c r="C127" t="inlineStr">
        <is>
          <t>Föryngringsavverkning</t>
        </is>
      </c>
      <c r="D127" s="1" t="n">
        <v>44395</v>
      </c>
      <c r="E127" s="1" t="n">
        <v>46222</v>
      </c>
      <c r="F127" t="inlineStr">
        <is>
          <t>JÄMTLANDS LÄN</t>
        </is>
      </c>
      <c r="G127" t="inlineStr">
        <is>
          <t>ÅRE</t>
        </is>
      </c>
      <c r="I127" t="n">
        <v>14.6</v>
      </c>
      <c r="J127" t="n">
        <v>1</v>
      </c>
      <c r="K127" t="n">
        <v>1</v>
      </c>
      <c r="L127" t="n">
        <v>1</v>
      </c>
      <c r="M127" t="n">
        <v>0</v>
      </c>
      <c r="N127" t="n">
        <v>0</v>
      </c>
      <c r="O127" t="n">
        <v>0</v>
      </c>
      <c r="P127" t="n">
        <v>0</v>
      </c>
      <c r="Q127" t="n">
        <v>1</v>
      </c>
      <c r="R127" t="n">
        <v>0</v>
      </c>
      <c r="S127" t="n">
        <v>2</v>
      </c>
      <c r="T127" t="n">
        <v>2</v>
      </c>
      <c r="U127" s="2" t="inlineStr">
        <is>
          <t>Tretåig hackspett
Stuplav</t>
        </is>
      </c>
      <c r="V127">
        <f>HYPERLINK("https://klasma.github.io/Logging_2321/artfynd/A 37082-2021 artfynd.xlsx", "A 37082-2021")</f>
        <v/>
      </c>
      <c r="W127">
        <f>HYPERLINK("https://klasma.github.io/Logging_2321/kartor/A 37082-2021 karta.png", "A 37082-2021")</f>
        <v/>
      </c>
      <c r="Y127">
        <f>HYPERLINK("https://klasma.github.io/Logging_2321/klagomål/A 37082-2021 FSC-klagomål.docx", "A 37082-2021")</f>
        <v/>
      </c>
      <c r="Z127">
        <f>HYPERLINK("https://klasma.github.io/Logging_2321/klagomålsmail/A 37082-2021 FSC-klagomål mail.docx", "A 37082-2021")</f>
        <v/>
      </c>
      <c r="AA127">
        <f>HYPERLINK("https://klasma.github.io/Logging_2321/tillsyn/A 37082-2021 tillsynsbegäran.docx", "A 37082-2021")</f>
        <v/>
      </c>
      <c r="AB127">
        <f>HYPERLINK("https://klasma.github.io/Logging_2321/tillsynsmail/A 37082-2021 tillsynsbegäran mail.docx", "A 37082-2021")</f>
        <v/>
      </c>
      <c r="AC127">
        <f>HYPERLINK("https://klasma.github.io/Logging_2321/fåglar/A 37082-2021 prioriterade fågelarter.docx", "A 37082-2021")</f>
        <v/>
      </c>
    </row>
    <row r="128" ht="15" customHeight="1">
      <c r="A128" t="inlineStr">
        <is>
          <t>A 47993-2025</t>
        </is>
      </c>
      <c r="B128" t="inlineStr">
        <is>
          <t>avverkningsanmälan</t>
        </is>
      </c>
      <c r="C128" t="inlineStr">
        <is>
          <t>Avverkning för att bevara och utveckla /försöksver</t>
        </is>
      </c>
      <c r="D128" s="1" t="n">
        <v>45931</v>
      </c>
      <c r="E128" s="1" t="n">
        <v>46222</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s="2" t="inlineStr">
        <is>
          <t>Ullticka
Svart trolldruva</t>
        </is>
      </c>
      <c r="V128">
        <f>HYPERLINK("https://klasma.github.io/Logging_2321/artfynd/A 47993-2025 artfynd.xlsx", "A 47993-2025")</f>
        <v/>
      </c>
      <c r="W128">
        <f>HYPERLINK("https://klasma.github.io/Logging_2321/kartor/A 47993-2025 karta.png", "A 47993-2025")</f>
        <v/>
      </c>
      <c r="Y128">
        <f>HYPERLINK("https://klasma.github.io/Logging_2321/klagomål/A 47993-2025 FSC-klagomål.docx", "A 47993-2025")</f>
        <v/>
      </c>
      <c r="Z128">
        <f>HYPERLINK("https://klasma.github.io/Logging_2321/klagomålsmail/A 47993-2025 FSC-klagomål mail.docx", "A 47993-2025")</f>
        <v/>
      </c>
      <c r="AA128">
        <f>HYPERLINK("https://klasma.github.io/Logging_2321/tillsyn/A 47993-2025 tillsynsbegäran.docx", "A 47993-2025")</f>
        <v/>
      </c>
      <c r="AB128">
        <f>HYPERLINK("https://klasma.github.io/Logging_2321/tillsynsmail/A 47993-2025 tillsynsbegäran mail.docx", "A 47993-2025")</f>
        <v/>
      </c>
    </row>
    <row r="129" ht="15" customHeight="1">
      <c r="A129" t="inlineStr">
        <is>
          <t>A 59237-2022</t>
        </is>
      </c>
      <c r="B129" t="inlineStr">
        <is>
          <t>avverkningsanmälan</t>
        </is>
      </c>
      <c r="C129" t="inlineStr">
        <is>
          <t>Föryngringsavverkning</t>
        </is>
      </c>
      <c r="D129" s="1" t="n">
        <v>44904</v>
      </c>
      <c r="E129" s="1" t="n">
        <v>46222</v>
      </c>
      <c r="F129" t="inlineStr">
        <is>
          <t>JÄMTLANDS LÄN</t>
        </is>
      </c>
      <c r="G129" t="inlineStr">
        <is>
          <t>ÅRE</t>
        </is>
      </c>
      <c r="I129" t="n">
        <v>33.7</v>
      </c>
      <c r="J129" t="n">
        <v>1</v>
      </c>
      <c r="K129" t="n">
        <v>0</v>
      </c>
      <c r="L129" t="n">
        <v>2</v>
      </c>
      <c r="M129" t="n">
        <v>0</v>
      </c>
      <c r="N129" t="n">
        <v>0</v>
      </c>
      <c r="O129" t="n">
        <v>0</v>
      </c>
      <c r="P129" t="n">
        <v>0</v>
      </c>
      <c r="Q129" t="n">
        <v>2</v>
      </c>
      <c r="R129" t="n">
        <v>0</v>
      </c>
      <c r="S129" t="n">
        <v>2</v>
      </c>
      <c r="T129" t="n">
        <v>17</v>
      </c>
      <c r="U129" s="2" t="inlineStr">
        <is>
          <t>Tretåig hackspett
Vitgrynig nållav</t>
        </is>
      </c>
      <c r="V129">
        <f>HYPERLINK("https://klasma.github.io/Logging_2321/artfynd/A 59237-2022 artfynd.xlsx", "A 59237-2022")</f>
        <v/>
      </c>
      <c r="W129">
        <f>HYPERLINK("https://klasma.github.io/Logging_2321/kartor/A 59237-2022 karta.png", "A 59237-2022")</f>
        <v/>
      </c>
      <c r="Y129">
        <f>HYPERLINK("https://klasma.github.io/Logging_2321/klagomål/A 59237-2022 FSC-klagomål.docx", "A 59237-2022")</f>
        <v/>
      </c>
      <c r="Z129">
        <f>HYPERLINK("https://klasma.github.io/Logging_2321/klagomålsmail/A 59237-2022 FSC-klagomål mail.docx", "A 59237-2022")</f>
        <v/>
      </c>
      <c r="AA129">
        <f>HYPERLINK("https://klasma.github.io/Logging_2321/tillsyn/A 59237-2022 tillsynsbegäran.docx", "A 59237-2022")</f>
        <v/>
      </c>
      <c r="AB129">
        <f>HYPERLINK("https://klasma.github.io/Logging_2321/tillsynsmail/A 59237-2022 tillsynsbegäran mail.docx", "A 59237-2022")</f>
        <v/>
      </c>
      <c r="AC129">
        <f>HYPERLINK("https://klasma.github.io/Logging_2321/fåglar/A 59237-2022 prioriterade fågelarter.docx", "A 59237-2022")</f>
        <v/>
      </c>
    </row>
    <row r="130" ht="15" customHeight="1">
      <c r="A130" t="inlineStr">
        <is>
          <t>A 60533-2022</t>
        </is>
      </c>
      <c r="B130" t="inlineStr">
        <is>
          <t>avverkningsanmälan</t>
        </is>
      </c>
      <c r="C130" t="inlineStr">
        <is>
          <t>Föryngringsavverkning</t>
        </is>
      </c>
      <c r="D130" s="1" t="n">
        <v>44904</v>
      </c>
      <c r="E130" s="1" t="n">
        <v>46222</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s="2" t="inlineStr">
        <is>
          <t>Talltita
Tretåig hackspett</t>
        </is>
      </c>
      <c r="V130">
        <f>HYPERLINK("https://klasma.github.io/Logging_2321/artfynd/A 60533-2022 artfynd.xlsx", "A 60533-2022")</f>
        <v/>
      </c>
      <c r="W130">
        <f>HYPERLINK("https://klasma.github.io/Logging_2321/kartor/A 60533-2022 karta.png", "A 60533-2022")</f>
        <v/>
      </c>
      <c r="Y130">
        <f>HYPERLINK("https://klasma.github.io/Logging_2321/klagomål/A 60533-2022 FSC-klagomål.docx", "A 60533-2022")</f>
        <v/>
      </c>
      <c r="Z130">
        <f>HYPERLINK("https://klasma.github.io/Logging_2321/klagomålsmail/A 60533-2022 FSC-klagomål mail.docx", "A 60533-2022")</f>
        <v/>
      </c>
      <c r="AA130">
        <f>HYPERLINK("https://klasma.github.io/Logging_2321/tillsyn/A 60533-2022 tillsynsbegäran.docx", "A 60533-2022")</f>
        <v/>
      </c>
      <c r="AB130">
        <f>HYPERLINK("https://klasma.github.io/Logging_2321/tillsynsmail/A 60533-2022 tillsynsbegäran mail.docx", "A 60533-2022")</f>
        <v/>
      </c>
      <c r="AC130">
        <f>HYPERLINK("https://klasma.github.io/Logging_2321/fåglar/A 60533-2022 prioriterade fågelarter.docx", "A 60533-2022")</f>
        <v/>
      </c>
    </row>
    <row r="131" ht="15" customHeight="1">
      <c r="A131" t="inlineStr">
        <is>
          <t>A 33625-2022</t>
        </is>
      </c>
      <c r="B131" t="inlineStr">
        <is>
          <t>avverkningsanmälan</t>
        </is>
      </c>
      <c r="C131" t="inlineStr">
        <is>
          <t>Föryngringsavverkning</t>
        </is>
      </c>
      <c r="D131" s="1" t="n">
        <v>44789</v>
      </c>
      <c r="E131" s="1" t="n">
        <v>46222</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s="2" t="inlineStr">
        <is>
          <t>Tvåblad
Brudsporre</t>
        </is>
      </c>
      <c r="V131">
        <f>HYPERLINK("https://klasma.github.io/Logging_2321/artfynd/A 33625-2022 artfynd.xlsx", "A 33625-2022")</f>
        <v/>
      </c>
      <c r="W131">
        <f>HYPERLINK("https://klasma.github.io/Logging_2321/kartor/A 33625-2022 karta.png", "A 33625-2022")</f>
        <v/>
      </c>
      <c r="Y131">
        <f>HYPERLINK("https://klasma.github.io/Logging_2321/klagomål/A 33625-2022 FSC-klagomål.docx", "A 33625-2022")</f>
        <v/>
      </c>
      <c r="Z131">
        <f>HYPERLINK("https://klasma.github.io/Logging_2321/klagomålsmail/A 33625-2022 FSC-klagomål mail.docx", "A 33625-2022")</f>
        <v/>
      </c>
      <c r="AA131">
        <f>HYPERLINK("https://klasma.github.io/Logging_2321/tillsyn/A 33625-2022 tillsynsbegäran.docx", "A 33625-2022")</f>
        <v/>
      </c>
      <c r="AB131">
        <f>HYPERLINK("https://klasma.github.io/Logging_2321/tillsynsmail/A 33625-2022 tillsynsbegäran mail.docx", "A 33625-2022")</f>
        <v/>
      </c>
    </row>
    <row r="132" ht="15" customHeight="1">
      <c r="A132" t="inlineStr">
        <is>
          <t>A 18851-2022</t>
        </is>
      </c>
      <c r="B132" t="inlineStr">
        <is>
          <t>avverkningsanmälan</t>
        </is>
      </c>
      <c r="C132" t="inlineStr">
        <is>
          <t>Föryngringsavverkning</t>
        </is>
      </c>
      <c r="D132" s="1" t="n">
        <v>44690</v>
      </c>
      <c r="E132" s="1" t="n">
        <v>46222</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s="2" t="inlineStr">
        <is>
          <t>Garnlav
Orre</t>
        </is>
      </c>
      <c r="V132">
        <f>HYPERLINK("https://klasma.github.io/Logging_2321/artfynd/A 18851-2022 artfynd.xlsx", "A 18851-2022")</f>
        <v/>
      </c>
      <c r="W132">
        <f>HYPERLINK("https://klasma.github.io/Logging_2321/kartor/A 18851-2022 karta.png", "A 18851-2022")</f>
        <v/>
      </c>
      <c r="Y132">
        <f>HYPERLINK("https://klasma.github.io/Logging_2321/klagomål/A 18851-2022 FSC-klagomål.docx", "A 18851-2022")</f>
        <v/>
      </c>
      <c r="Z132">
        <f>HYPERLINK("https://klasma.github.io/Logging_2321/klagomålsmail/A 18851-2022 FSC-klagomål mail.docx", "A 18851-2022")</f>
        <v/>
      </c>
      <c r="AA132">
        <f>HYPERLINK("https://klasma.github.io/Logging_2321/tillsyn/A 18851-2022 tillsynsbegäran.docx", "A 18851-2022")</f>
        <v/>
      </c>
      <c r="AB132">
        <f>HYPERLINK("https://klasma.github.io/Logging_2321/tillsynsmail/A 18851-2022 tillsynsbegäran mail.docx", "A 18851-2022")</f>
        <v/>
      </c>
      <c r="AC132">
        <f>HYPERLINK("https://klasma.github.io/Logging_2321/fåglar/A 18851-2022 prioriterade fågelarter.docx", "A 18851-2022")</f>
        <v/>
      </c>
    </row>
    <row r="133" ht="15" customHeight="1">
      <c r="A133" t="inlineStr">
        <is>
          <t>A 3147-2023</t>
        </is>
      </c>
      <c r="B133" t="inlineStr">
        <is>
          <t>avverkningsanmälan</t>
        </is>
      </c>
      <c r="C133" t="inlineStr">
        <is>
          <t>Föryngringsavverkning</t>
        </is>
      </c>
      <c r="D133" s="1" t="n">
        <v>44946</v>
      </c>
      <c r="E133" s="1" t="n">
        <v>46222</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s="2" t="inlineStr">
        <is>
          <t>Mjölig dropplav
Knottrig blåslav</t>
        </is>
      </c>
      <c r="V133">
        <f>HYPERLINK("https://klasma.github.io/Logging_2321/artfynd/A 3147-2023 artfynd.xlsx", "A 3147-2023")</f>
        <v/>
      </c>
      <c r="W133">
        <f>HYPERLINK("https://klasma.github.io/Logging_2321/kartor/A 3147-2023 karta.png", "A 3147-2023")</f>
        <v/>
      </c>
      <c r="Y133">
        <f>HYPERLINK("https://klasma.github.io/Logging_2321/klagomål/A 3147-2023 FSC-klagomål.docx", "A 3147-2023")</f>
        <v/>
      </c>
      <c r="Z133">
        <f>HYPERLINK("https://klasma.github.io/Logging_2321/klagomålsmail/A 3147-2023 FSC-klagomål mail.docx", "A 3147-2023")</f>
        <v/>
      </c>
      <c r="AA133">
        <f>HYPERLINK("https://klasma.github.io/Logging_2321/tillsyn/A 3147-2023 tillsynsbegäran.docx", "A 3147-2023")</f>
        <v/>
      </c>
      <c r="AB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46222</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s="2" t="inlineStr">
        <is>
          <t>Garnlav
Tretåig hackspett</t>
        </is>
      </c>
      <c r="V134">
        <f>HYPERLINK("https://klasma.github.io/Logging_2321/artfynd/A 23638-2023 artfynd.xlsx", "A 23638-2023")</f>
        <v/>
      </c>
      <c r="W134">
        <f>HYPERLINK("https://klasma.github.io/Logging_2321/kartor/A 23638-2023 karta.png", "A 23638-2023")</f>
        <v/>
      </c>
      <c r="Y134">
        <f>HYPERLINK("https://klasma.github.io/Logging_2321/klagomål/A 23638-2023 FSC-klagomål.docx", "A 23638-2023")</f>
        <v/>
      </c>
      <c r="Z134">
        <f>HYPERLINK("https://klasma.github.io/Logging_2321/klagomålsmail/A 23638-2023 FSC-klagomål mail.docx", "A 23638-2023")</f>
        <v/>
      </c>
      <c r="AA134">
        <f>HYPERLINK("https://klasma.github.io/Logging_2321/tillsyn/A 23638-2023 tillsynsbegäran.docx", "A 23638-2023")</f>
        <v/>
      </c>
      <c r="AB134">
        <f>HYPERLINK("https://klasma.github.io/Logging_2321/tillsynsmail/A 23638-2023 tillsynsbegäran mail.docx", "A 23638-2023")</f>
        <v/>
      </c>
      <c r="AC134">
        <f>HYPERLINK("https://klasma.github.io/Logging_2321/fåglar/A 23638-2023 prioriterade fågelarter.docx", "A 23638-2023")</f>
        <v/>
      </c>
    </row>
    <row r="135" ht="15" customHeight="1">
      <c r="A135" t="inlineStr">
        <is>
          <t>A 11380-2026</t>
        </is>
      </c>
      <c r="B135" t="inlineStr">
        <is>
          <t>avverkningsanmälan</t>
        </is>
      </c>
      <c r="C135" t="inlineStr">
        <is>
          <t>Föryngringsavverkning</t>
        </is>
      </c>
      <c r="D135" s="1" t="n">
        <v>46083</v>
      </c>
      <c r="E135" s="1" t="n">
        <v>46222</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s="2" t="inlineStr">
        <is>
          <t>Harticka
Tretåig hackspett</t>
        </is>
      </c>
      <c r="V135">
        <f>HYPERLINK("https://klasma.github.io/Logging_2321/artfynd/A 11380-2026 artfynd.xlsx", "A 11380-2026")</f>
        <v/>
      </c>
      <c r="W135">
        <f>HYPERLINK("https://klasma.github.io/Logging_2321/kartor/A 11380-2026 karta.png", "A 11380-2026")</f>
        <v/>
      </c>
      <c r="Y135">
        <f>HYPERLINK("https://klasma.github.io/Logging_2321/klagomål/A 11380-2026 FSC-klagomål.docx", "A 11380-2026")</f>
        <v/>
      </c>
      <c r="Z135">
        <f>HYPERLINK("https://klasma.github.io/Logging_2321/klagomålsmail/A 11380-2026 FSC-klagomål mail.docx", "A 11380-2026")</f>
        <v/>
      </c>
      <c r="AA135">
        <f>HYPERLINK("https://klasma.github.io/Logging_2321/tillsyn/A 11380-2026 tillsynsbegäran.docx", "A 11380-2026")</f>
        <v/>
      </c>
      <c r="AB135">
        <f>HYPERLINK("https://klasma.github.io/Logging_2321/tillsynsmail/A 11380-2026 tillsynsbegäran mail.docx", "A 11380-2026")</f>
        <v/>
      </c>
      <c r="AC135">
        <f>HYPERLINK("https://klasma.github.io/Logging_2321/fåglar/A 11380-2026 prioriterade fågelarter.docx", "A 11380-2026")</f>
        <v/>
      </c>
    </row>
    <row r="136" ht="15" customHeight="1">
      <c r="A136" t="inlineStr">
        <is>
          <t>A 24576-2026</t>
        </is>
      </c>
      <c r="B136" t="inlineStr">
        <is>
          <t>avverkningsanmälan</t>
        </is>
      </c>
      <c r="C136" t="inlineStr">
        <is>
          <t>Föryngringsavverkning</t>
        </is>
      </c>
      <c r="D136" s="1" t="n">
        <v>46170</v>
      </c>
      <c r="E136" s="1" t="n">
        <v>46222</v>
      </c>
      <c r="F136" t="inlineStr">
        <is>
          <t>JÄMTLANDS LÄN</t>
        </is>
      </c>
      <c r="G136" t="inlineStr">
        <is>
          <t>ÅRE</t>
        </is>
      </c>
      <c r="I136" t="n">
        <v>20.8</v>
      </c>
      <c r="J136" t="n">
        <v>0</v>
      </c>
      <c r="K136" t="n">
        <v>0</v>
      </c>
      <c r="L136" t="n">
        <v>2</v>
      </c>
      <c r="M136" t="n">
        <v>0</v>
      </c>
      <c r="N136" t="n">
        <v>0</v>
      </c>
      <c r="O136" t="n">
        <v>0</v>
      </c>
      <c r="P136" t="n">
        <v>0</v>
      </c>
      <c r="Q136" t="n">
        <v>2</v>
      </c>
      <c r="R136" t="n">
        <v>0</v>
      </c>
      <c r="S136" t="n">
        <v>2</v>
      </c>
      <c r="T136" t="n">
        <v>2</v>
      </c>
      <c r="U136" s="2" t="inlineStr">
        <is>
          <t>Knottrig blåslav
Skarp dropptaggsvamp</t>
        </is>
      </c>
      <c r="V136">
        <f>HYPERLINK("https://klasma.github.io/Logging_2321/artfynd/A 24576-2026 artfynd.xlsx", "A 24576-2026")</f>
        <v/>
      </c>
      <c r="W136">
        <f>HYPERLINK("https://klasma.github.io/Logging_2321/kartor/A 24576-2026 karta.png", "A 24576-2026")</f>
        <v/>
      </c>
      <c r="Y136">
        <f>HYPERLINK("https://klasma.github.io/Logging_2321/klagomål/A 24576-2026 FSC-klagomål.docx", "A 24576-2026")</f>
        <v/>
      </c>
      <c r="Z136">
        <f>HYPERLINK("https://klasma.github.io/Logging_2321/klagomålsmail/A 24576-2026 FSC-klagomål mail.docx", "A 24576-2026")</f>
        <v/>
      </c>
      <c r="AA136">
        <f>HYPERLINK("https://klasma.github.io/Logging_2321/tillsyn/A 24576-2026 tillsynsbegäran.docx", "A 24576-2026")</f>
        <v/>
      </c>
      <c r="AB136">
        <f>HYPERLINK("https://klasma.github.io/Logging_2321/tillsynsmail/A 24576-2026 tillsynsbegäran mail.docx", "A 24576-2026")</f>
        <v/>
      </c>
    </row>
    <row r="137" ht="15" customHeight="1">
      <c r="A137" t="inlineStr">
        <is>
          <t>A 41280-2025</t>
        </is>
      </c>
      <c r="B137" t="inlineStr">
        <is>
          <t>avverkningsanmälan</t>
        </is>
      </c>
      <c r="C137" t="inlineStr">
        <is>
          <t>Föryngringsavverkning</t>
        </is>
      </c>
      <c r="D137" s="1" t="n">
        <v>45898</v>
      </c>
      <c r="E137" s="1" t="n">
        <v>46222</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s="2" t="inlineStr">
        <is>
          <t>Garnlav
Järpe</t>
        </is>
      </c>
      <c r="V137">
        <f>HYPERLINK("https://klasma.github.io/Logging_2321/artfynd/A 41280-2025 artfynd.xlsx", "A 41280-2025")</f>
        <v/>
      </c>
      <c r="W137">
        <f>HYPERLINK("https://klasma.github.io/Logging_2321/kartor/A 41280-2025 karta.png", "A 41280-2025")</f>
        <v/>
      </c>
      <c r="Y137">
        <f>HYPERLINK("https://klasma.github.io/Logging_2321/klagomål/A 41280-2025 FSC-klagomål.docx", "A 41280-2025")</f>
        <v/>
      </c>
      <c r="Z137">
        <f>HYPERLINK("https://klasma.github.io/Logging_2321/klagomålsmail/A 41280-2025 FSC-klagomål mail.docx", "A 41280-2025")</f>
        <v/>
      </c>
      <c r="AA137">
        <f>HYPERLINK("https://klasma.github.io/Logging_2321/tillsyn/A 41280-2025 tillsynsbegäran.docx", "A 41280-2025")</f>
        <v/>
      </c>
      <c r="AB137">
        <f>HYPERLINK("https://klasma.github.io/Logging_2321/tillsynsmail/A 41280-2025 tillsynsbegäran mail.docx", "A 41280-2025")</f>
        <v/>
      </c>
      <c r="AC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46222</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s="2" t="inlineStr">
        <is>
          <t>Rynkskinn</t>
        </is>
      </c>
      <c r="V138">
        <f>HYPERLINK("https://klasma.github.io/Logging_2321/artfynd/A 58239-2021 artfynd.xlsx", "A 58239-2021")</f>
        <v/>
      </c>
      <c r="W138">
        <f>HYPERLINK("https://klasma.github.io/Logging_2321/kartor/A 58239-2021 karta.png", "A 58239-2021")</f>
        <v/>
      </c>
      <c r="Y138">
        <f>HYPERLINK("https://klasma.github.io/Logging_2321/klagomål/A 58239-2021 FSC-klagomål.docx", "A 58239-2021")</f>
        <v/>
      </c>
      <c r="Z138">
        <f>HYPERLINK("https://klasma.github.io/Logging_2321/klagomålsmail/A 58239-2021 FSC-klagomål mail.docx", "A 58239-2021")</f>
        <v/>
      </c>
      <c r="AA138">
        <f>HYPERLINK("https://klasma.github.io/Logging_2321/tillsyn/A 58239-2021 tillsynsbegäran.docx", "A 58239-2021")</f>
        <v/>
      </c>
      <c r="AB138">
        <f>HYPERLINK("https://klasma.github.io/Logging_2321/tillsynsmail/A 58239-2021 tillsynsbegäran mail.docx", "A 58239-2021")</f>
        <v/>
      </c>
    </row>
    <row r="139" ht="15" customHeight="1">
      <c r="A139" t="inlineStr">
        <is>
          <t>A 58117-2021</t>
        </is>
      </c>
      <c r="B139" t="inlineStr">
        <is>
          <t>avverkningsanmälan</t>
        </is>
      </c>
      <c r="C139" t="inlineStr">
        <is>
          <t>Föryngringsavverkning</t>
        </is>
      </c>
      <c r="D139" s="1" t="n">
        <v>44487</v>
      </c>
      <c r="E139" s="1" t="n">
        <v>46222</v>
      </c>
      <c r="F139" t="inlineStr">
        <is>
          <t>JÄMTLANDS LÄN</t>
        </is>
      </c>
      <c r="G139" t="inlineStr">
        <is>
          <t>ÅRE</t>
        </is>
      </c>
      <c r="I139" t="n">
        <v>40.9</v>
      </c>
      <c r="J139" t="n">
        <v>0</v>
      </c>
      <c r="K139" t="n">
        <v>1</v>
      </c>
      <c r="L139" t="n">
        <v>0</v>
      </c>
      <c r="M139" t="n">
        <v>0</v>
      </c>
      <c r="N139" t="n">
        <v>0</v>
      </c>
      <c r="O139" t="n">
        <v>0</v>
      </c>
      <c r="P139" t="n">
        <v>0</v>
      </c>
      <c r="Q139" t="n">
        <v>0</v>
      </c>
      <c r="R139" t="n">
        <v>0</v>
      </c>
      <c r="S139" t="n">
        <v>1</v>
      </c>
      <c r="T139" t="n">
        <v>1</v>
      </c>
      <c r="U139" s="2" t="inlineStr">
        <is>
          <t>Stuplav</t>
        </is>
      </c>
      <c r="V139">
        <f>HYPERLINK("https://klasma.github.io/Logging_2321/artfynd/A 58117-2021 artfynd.xlsx", "A 58117-2021")</f>
        <v/>
      </c>
      <c r="W139">
        <f>HYPERLINK("https://klasma.github.io/Logging_2321/kartor/A 58117-2021 karta.png", "A 58117-2021")</f>
        <v/>
      </c>
      <c r="Y139">
        <f>HYPERLINK("https://klasma.github.io/Logging_2321/klagomål/A 58117-2021 FSC-klagomål.docx", "A 58117-2021")</f>
        <v/>
      </c>
      <c r="Z139">
        <f>HYPERLINK("https://klasma.github.io/Logging_2321/klagomålsmail/A 58117-2021 FSC-klagomål mail.docx", "A 58117-2021")</f>
        <v/>
      </c>
      <c r="AA139">
        <f>HYPERLINK("https://klasma.github.io/Logging_2321/tillsyn/A 58117-2021 tillsynsbegäran.docx", "A 58117-2021")</f>
        <v/>
      </c>
      <c r="AB139">
        <f>HYPERLINK("https://klasma.github.io/Logging_2321/tillsynsmail/A 58117-2021 tillsynsbegäran mail.docx", "A 58117-2021")</f>
        <v/>
      </c>
    </row>
    <row r="140" ht="15" customHeight="1">
      <c r="A140" t="inlineStr">
        <is>
          <t>A 57158-2021</t>
        </is>
      </c>
      <c r="B140" t="inlineStr">
        <is>
          <t>avverkningsanmälan</t>
        </is>
      </c>
      <c r="C140" t="inlineStr">
        <is>
          <t>Föryngringsavverkning</t>
        </is>
      </c>
      <c r="D140" s="1" t="n">
        <v>44482</v>
      </c>
      <c r="E140" s="1" t="n">
        <v>46222</v>
      </c>
      <c r="F140" t="inlineStr">
        <is>
          <t>JÄMTLANDS LÄN</t>
        </is>
      </c>
      <c r="G140" t="inlineStr">
        <is>
          <t>ÅRE</t>
        </is>
      </c>
      <c r="I140" t="n">
        <v>0.4</v>
      </c>
      <c r="J140" t="n">
        <v>1</v>
      </c>
      <c r="K140" t="n">
        <v>0</v>
      </c>
      <c r="L140" t="n">
        <v>1</v>
      </c>
      <c r="M140" t="n">
        <v>0</v>
      </c>
      <c r="N140" t="n">
        <v>0</v>
      </c>
      <c r="O140" t="n">
        <v>0</v>
      </c>
      <c r="P140" t="n">
        <v>0</v>
      </c>
      <c r="Q140" t="n">
        <v>1</v>
      </c>
      <c r="R140" t="n">
        <v>0</v>
      </c>
      <c r="S140" t="n">
        <v>1</v>
      </c>
      <c r="T140" t="n">
        <v>1</v>
      </c>
      <c r="U140" s="2" t="inlineStr">
        <is>
          <t>Tretåig hackspett</t>
        </is>
      </c>
      <c r="V140">
        <f>HYPERLINK("https://klasma.github.io/Logging_2321/artfynd/A 57158-2021 artfynd.xlsx", "A 57158-2021")</f>
        <v/>
      </c>
      <c r="W140">
        <f>HYPERLINK("https://klasma.github.io/Logging_2321/kartor/A 57158-2021 karta.png", "A 57158-2021")</f>
        <v/>
      </c>
      <c r="Y140">
        <f>HYPERLINK("https://klasma.github.io/Logging_2321/klagomål/A 57158-2021 FSC-klagomål.docx", "A 57158-2021")</f>
        <v/>
      </c>
      <c r="Z140">
        <f>HYPERLINK("https://klasma.github.io/Logging_2321/klagomålsmail/A 57158-2021 FSC-klagomål mail.docx", "A 57158-2021")</f>
        <v/>
      </c>
      <c r="AA140">
        <f>HYPERLINK("https://klasma.github.io/Logging_2321/tillsyn/A 57158-2021 tillsynsbegäran.docx", "A 57158-2021")</f>
        <v/>
      </c>
      <c r="AB140">
        <f>HYPERLINK("https://klasma.github.io/Logging_2321/tillsynsmail/A 57158-2021 tillsynsbegäran mail.docx", "A 57158-2021")</f>
        <v/>
      </c>
      <c r="AC140">
        <f>HYPERLINK("https://klasma.github.io/Logging_2321/fåglar/A 57158-2021 prioriterade fågelarter.docx", "A 57158-2021")</f>
        <v/>
      </c>
    </row>
    <row r="141" ht="15" customHeight="1">
      <c r="A141" t="inlineStr">
        <is>
          <t>A 58226-2021</t>
        </is>
      </c>
      <c r="B141" t="inlineStr">
        <is>
          <t>avverkningsanmälan</t>
        </is>
      </c>
      <c r="C141" t="inlineStr">
        <is>
          <t>Föryngringsavverkning</t>
        </is>
      </c>
      <c r="D141" s="1" t="n">
        <v>44487</v>
      </c>
      <c r="E141" s="1" t="n">
        <v>46222</v>
      </c>
      <c r="F141" t="inlineStr">
        <is>
          <t>JÄMTLANDS LÄN</t>
        </is>
      </c>
      <c r="G141" t="inlineStr">
        <is>
          <t>ÅRE</t>
        </is>
      </c>
      <c r="I141" t="n">
        <v>62.3</v>
      </c>
      <c r="J141" t="n">
        <v>0</v>
      </c>
      <c r="K141" t="n">
        <v>1</v>
      </c>
      <c r="L141" t="n">
        <v>0</v>
      </c>
      <c r="M141" t="n">
        <v>0</v>
      </c>
      <c r="N141" t="n">
        <v>0</v>
      </c>
      <c r="O141" t="n">
        <v>0</v>
      </c>
      <c r="P141" t="n">
        <v>0</v>
      </c>
      <c r="Q141" t="n">
        <v>0</v>
      </c>
      <c r="R141" t="n">
        <v>0</v>
      </c>
      <c r="S141" t="n">
        <v>1</v>
      </c>
      <c r="T141" t="n">
        <v>1</v>
      </c>
      <c r="U141" s="2" t="inlineStr">
        <is>
          <t>Kambräken</t>
        </is>
      </c>
      <c r="V141">
        <f>HYPERLINK("https://klasma.github.io/Logging_2321/artfynd/A 58226-2021 artfynd.xlsx", "A 58226-2021")</f>
        <v/>
      </c>
      <c r="W141">
        <f>HYPERLINK("https://klasma.github.io/Logging_2321/kartor/A 58226-2021 karta.png", "A 58226-2021")</f>
        <v/>
      </c>
      <c r="Y141">
        <f>HYPERLINK("https://klasma.github.io/Logging_2321/klagomål/A 58226-2021 FSC-klagomål.docx", "A 58226-2021")</f>
        <v/>
      </c>
      <c r="Z141">
        <f>HYPERLINK("https://klasma.github.io/Logging_2321/klagomålsmail/A 58226-2021 FSC-klagomål mail.docx", "A 58226-2021")</f>
        <v/>
      </c>
      <c r="AA141">
        <f>HYPERLINK("https://klasma.github.io/Logging_2321/tillsyn/A 58226-2021 tillsynsbegäran.docx", "A 58226-2021")</f>
        <v/>
      </c>
      <c r="AB141">
        <f>HYPERLINK("https://klasma.github.io/Logging_2321/tillsynsmail/A 58226-2021 tillsynsbegäran mail.docx", "A 58226-2021")</f>
        <v/>
      </c>
    </row>
    <row r="142" ht="15" customHeight="1">
      <c r="A142" t="inlineStr">
        <is>
          <t>A 10632-2023</t>
        </is>
      </c>
      <c r="B142" t="inlineStr">
        <is>
          <t>avverkningsanmälan</t>
        </is>
      </c>
      <c r="C142" t="inlineStr">
        <is>
          <t>Föryngringsavverkning</t>
        </is>
      </c>
      <c r="D142" s="1" t="n">
        <v>44984</v>
      </c>
      <c r="E142" s="1" t="n">
        <v>46222</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s="2" t="inlineStr">
        <is>
          <t>Tretåig hackspett</t>
        </is>
      </c>
      <c r="V142">
        <f>HYPERLINK("https://klasma.github.io/Logging_2321/artfynd/A 10632-2023 artfynd.xlsx", "A 10632-2023")</f>
        <v/>
      </c>
      <c r="W142">
        <f>HYPERLINK("https://klasma.github.io/Logging_2321/kartor/A 10632-2023 karta.png", "A 10632-2023")</f>
        <v/>
      </c>
      <c r="Y142">
        <f>HYPERLINK("https://klasma.github.io/Logging_2321/klagomål/A 10632-2023 FSC-klagomål.docx", "A 10632-2023")</f>
        <v/>
      </c>
      <c r="Z142">
        <f>HYPERLINK("https://klasma.github.io/Logging_2321/klagomålsmail/A 10632-2023 FSC-klagomål mail.docx", "A 10632-2023")</f>
        <v/>
      </c>
      <c r="AA142">
        <f>HYPERLINK("https://klasma.github.io/Logging_2321/tillsyn/A 10632-2023 tillsynsbegäran.docx", "A 10632-2023")</f>
        <v/>
      </c>
      <c r="AB142">
        <f>HYPERLINK("https://klasma.github.io/Logging_2321/tillsynsmail/A 10632-2023 tillsynsbegäran mail.docx", "A 10632-2023")</f>
        <v/>
      </c>
      <c r="AC142">
        <f>HYPERLINK("https://klasma.github.io/Logging_2321/fåglar/A 10632-2023 prioriterade fågelarter.docx", "A 10632-2023")</f>
        <v/>
      </c>
    </row>
    <row r="143" ht="15" customHeight="1">
      <c r="A143" t="inlineStr">
        <is>
          <t>A 4754-2026</t>
        </is>
      </c>
      <c r="B143" t="inlineStr">
        <is>
          <t>avverkningsanmälan</t>
        </is>
      </c>
      <c r="C143" t="inlineStr">
        <is>
          <t>Föryngringsavverkning</t>
        </is>
      </c>
      <c r="D143" s="1" t="n">
        <v>46048</v>
      </c>
      <c r="E143" s="1" t="n">
        <v>46222</v>
      </c>
      <c r="F143" t="inlineStr">
        <is>
          <t>JÄMTLANDS LÄN</t>
        </is>
      </c>
      <c r="G143" t="inlineStr">
        <is>
          <t>ÅRE</t>
        </is>
      </c>
      <c r="I143" t="n">
        <v>8.9</v>
      </c>
      <c r="J143" t="n">
        <v>1</v>
      </c>
      <c r="K143" t="n">
        <v>0</v>
      </c>
      <c r="L143" t="n">
        <v>1</v>
      </c>
      <c r="M143" t="n">
        <v>0</v>
      </c>
      <c r="N143" t="n">
        <v>0</v>
      </c>
      <c r="O143" t="n">
        <v>0</v>
      </c>
      <c r="P143" t="n">
        <v>0</v>
      </c>
      <c r="Q143" t="n">
        <v>1</v>
      </c>
      <c r="R143" t="n">
        <v>0</v>
      </c>
      <c r="S143" t="n">
        <v>1</v>
      </c>
      <c r="T143" t="n">
        <v>1</v>
      </c>
      <c r="U143" s="2" t="inlineStr">
        <is>
          <t>Lavskrika</t>
        </is>
      </c>
      <c r="V143">
        <f>HYPERLINK("https://klasma.github.io/Logging_2321/artfynd/A 4754-2026 artfynd.xlsx", "A 4754-2026")</f>
        <v/>
      </c>
      <c r="W143">
        <f>HYPERLINK("https://klasma.github.io/Logging_2321/kartor/A 4754-2026 karta.png", "A 4754-2026")</f>
        <v/>
      </c>
      <c r="Y143">
        <f>HYPERLINK("https://klasma.github.io/Logging_2321/klagomål/A 4754-2026 FSC-klagomål.docx", "A 4754-2026")</f>
        <v/>
      </c>
      <c r="Z143">
        <f>HYPERLINK("https://klasma.github.io/Logging_2321/klagomålsmail/A 4754-2026 FSC-klagomål mail.docx", "A 4754-2026")</f>
        <v/>
      </c>
      <c r="AA143">
        <f>HYPERLINK("https://klasma.github.io/Logging_2321/tillsyn/A 4754-2026 tillsynsbegäran.docx", "A 4754-2026")</f>
        <v/>
      </c>
      <c r="AB143">
        <f>HYPERLINK("https://klasma.github.io/Logging_2321/tillsynsmail/A 4754-2026 tillsynsbegäran mail.docx", "A 4754-2026")</f>
        <v/>
      </c>
      <c r="AC143">
        <f>HYPERLINK("https://klasma.github.io/Logging_2321/fåglar/A 4754-2026 prioriterade fågelarter.docx", "A 4754-2026")</f>
        <v/>
      </c>
    </row>
    <row r="144" ht="15" customHeight="1">
      <c r="A144" t="inlineStr">
        <is>
          <t>A 14245-2025</t>
        </is>
      </c>
      <c r="B144" t="inlineStr">
        <is>
          <t>avverkningsanmälan</t>
        </is>
      </c>
      <c r="C144" t="inlineStr">
        <is>
          <t>Föryngringsavverkning</t>
        </is>
      </c>
      <c r="D144" s="1" t="n">
        <v>45740</v>
      </c>
      <c r="E144" s="1" t="n">
        <v>46222</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s="2" t="inlineStr">
        <is>
          <t>Tretåig hackspett</t>
        </is>
      </c>
      <c r="V144">
        <f>HYPERLINK("https://klasma.github.io/Logging_2321/artfynd/A 14245-2025 artfynd.xlsx", "A 14245-2025")</f>
        <v/>
      </c>
      <c r="W144">
        <f>HYPERLINK("https://klasma.github.io/Logging_2321/kartor/A 14245-2025 karta.png", "A 14245-2025")</f>
        <v/>
      </c>
      <c r="Y144">
        <f>HYPERLINK("https://klasma.github.io/Logging_2321/klagomål/A 14245-2025 FSC-klagomål.docx", "A 14245-2025")</f>
        <v/>
      </c>
      <c r="Z144">
        <f>HYPERLINK("https://klasma.github.io/Logging_2321/klagomålsmail/A 14245-2025 FSC-klagomål mail.docx", "A 14245-2025")</f>
        <v/>
      </c>
      <c r="AA144">
        <f>HYPERLINK("https://klasma.github.io/Logging_2321/tillsyn/A 14245-2025 tillsynsbegäran.docx", "A 14245-2025")</f>
        <v/>
      </c>
      <c r="AB144">
        <f>HYPERLINK("https://klasma.github.io/Logging_2321/tillsynsmail/A 14245-2025 tillsynsbegäran mail.docx", "A 14245-2025")</f>
        <v/>
      </c>
      <c r="AC144">
        <f>HYPERLINK("https://klasma.github.io/Logging_2321/fåglar/A 14245-2025 prioriterade fågelarter.docx", "A 14245-2025")</f>
        <v/>
      </c>
    </row>
    <row r="145" ht="15" customHeight="1">
      <c r="A145" t="inlineStr">
        <is>
          <t>A 5888-2026</t>
        </is>
      </c>
      <c r="B145" t="inlineStr">
        <is>
          <t>avverkningsanmälan</t>
        </is>
      </c>
      <c r="C145" t="inlineStr">
        <is>
          <t>Föryngringsavverkning</t>
        </is>
      </c>
      <c r="D145" s="1" t="n">
        <v>46052</v>
      </c>
      <c r="E145" s="1" t="n">
        <v>46222</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s="2" t="inlineStr">
        <is>
          <t>Harticka</t>
        </is>
      </c>
      <c r="V145">
        <f>HYPERLINK("https://klasma.github.io/Logging_2321/artfynd/A 5888-2026 artfynd.xlsx", "A 5888-2026")</f>
        <v/>
      </c>
      <c r="W145">
        <f>HYPERLINK("https://klasma.github.io/Logging_2321/kartor/A 5888-2026 karta.png", "A 5888-2026")</f>
        <v/>
      </c>
      <c r="Y145">
        <f>HYPERLINK("https://klasma.github.io/Logging_2321/klagomål/A 5888-2026 FSC-klagomål.docx", "A 5888-2026")</f>
        <v/>
      </c>
      <c r="Z145">
        <f>HYPERLINK("https://klasma.github.io/Logging_2321/klagomålsmail/A 5888-2026 FSC-klagomål mail.docx", "A 5888-2026")</f>
        <v/>
      </c>
      <c r="AA145">
        <f>HYPERLINK("https://klasma.github.io/Logging_2321/tillsyn/A 5888-2026 tillsynsbegäran.docx", "A 5888-2026")</f>
        <v/>
      </c>
      <c r="AB145">
        <f>HYPERLINK("https://klasma.github.io/Logging_2321/tillsynsmail/A 5888-2026 tillsynsbegäran mail.docx", "A 5888-2026")</f>
        <v/>
      </c>
    </row>
    <row r="146" ht="15" customHeight="1">
      <c r="A146" t="inlineStr">
        <is>
          <t>A 4777-2025</t>
        </is>
      </c>
      <c r="B146" t="inlineStr">
        <is>
          <t>avverkningsanmälan</t>
        </is>
      </c>
      <c r="C146" t="inlineStr">
        <is>
          <t>Föryngringsavverkning</t>
        </is>
      </c>
      <c r="D146" s="1" t="n">
        <v>45688</v>
      </c>
      <c r="E146" s="1" t="n">
        <v>46222</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s="2" t="inlineStr">
        <is>
          <t>Dofttaggsvamp</t>
        </is>
      </c>
      <c r="V146">
        <f>HYPERLINK("https://klasma.github.io/Logging_2321/artfynd/A 4777-2025 artfynd.xlsx", "A 4777-2025")</f>
        <v/>
      </c>
      <c r="W146">
        <f>HYPERLINK("https://klasma.github.io/Logging_2321/kartor/A 4777-2025 karta.png", "A 4777-2025")</f>
        <v/>
      </c>
      <c r="Y146">
        <f>HYPERLINK("https://klasma.github.io/Logging_2321/klagomål/A 4777-2025 FSC-klagomål.docx", "A 4777-2025")</f>
        <v/>
      </c>
      <c r="Z146">
        <f>HYPERLINK("https://klasma.github.io/Logging_2321/klagomålsmail/A 4777-2025 FSC-klagomål mail.docx", "A 4777-2025")</f>
        <v/>
      </c>
      <c r="AA146">
        <f>HYPERLINK("https://klasma.github.io/Logging_2321/tillsyn/A 4777-2025 tillsynsbegäran.docx", "A 4777-2025")</f>
        <v/>
      </c>
      <c r="AB146">
        <f>HYPERLINK("https://klasma.github.io/Logging_2321/tillsynsmail/A 4777-2025 tillsynsbegäran mail.docx", "A 4777-2025")</f>
        <v/>
      </c>
    </row>
    <row r="147" ht="15" customHeight="1">
      <c r="A147" t="inlineStr">
        <is>
          <t>A 45144-2024</t>
        </is>
      </c>
      <c r="B147" t="inlineStr">
        <is>
          <t>avverkningsanmälan</t>
        </is>
      </c>
      <c r="C147" t="inlineStr">
        <is>
          <t>Föryngringsavverkning</t>
        </is>
      </c>
      <c r="D147" s="1" t="n">
        <v>45575</v>
      </c>
      <c r="E147" s="1" t="n">
        <v>46222</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s="2" t="inlineStr">
        <is>
          <t>Garnlav</t>
        </is>
      </c>
      <c r="V147">
        <f>HYPERLINK("https://klasma.github.io/Logging_2321/artfynd/A 45144-2024 artfynd.xlsx", "A 45144-2024")</f>
        <v/>
      </c>
      <c r="W147">
        <f>HYPERLINK("https://klasma.github.io/Logging_2321/kartor/A 45144-2024 karta.png", "A 45144-2024")</f>
        <v/>
      </c>
      <c r="Y147">
        <f>HYPERLINK("https://klasma.github.io/Logging_2321/klagomål/A 45144-2024 FSC-klagomål.docx", "A 45144-2024")</f>
        <v/>
      </c>
      <c r="Z147">
        <f>HYPERLINK("https://klasma.github.io/Logging_2321/klagomålsmail/A 45144-2024 FSC-klagomål mail.docx", "A 45144-2024")</f>
        <v/>
      </c>
      <c r="AA147">
        <f>HYPERLINK("https://klasma.github.io/Logging_2321/tillsyn/A 45144-2024 tillsynsbegäran.docx", "A 45144-2024")</f>
        <v/>
      </c>
      <c r="AB147">
        <f>HYPERLINK("https://klasma.github.io/Logging_2321/tillsynsmail/A 45144-2024 tillsynsbegäran mail.docx", "A 45144-2024")</f>
        <v/>
      </c>
    </row>
    <row r="148" ht="15" customHeight="1">
      <c r="A148" t="inlineStr">
        <is>
          <t>A 44889-2023</t>
        </is>
      </c>
      <c r="B148" t="inlineStr">
        <is>
          <t>avverkningsanmälan</t>
        </is>
      </c>
      <c r="C148" t="inlineStr">
        <is>
          <t>Avverkning för annat ändamål</t>
        </is>
      </c>
      <c r="D148" s="1" t="n">
        <v>45190</v>
      </c>
      <c r="E148" s="1" t="n">
        <v>46222</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s="2" t="inlineStr">
        <is>
          <t>Tretåig hackspett</t>
        </is>
      </c>
      <c r="V148">
        <f>HYPERLINK("https://klasma.github.io/Logging_2321/artfynd/A 44889-2023 artfynd.xlsx", "A 44889-2023")</f>
        <v/>
      </c>
      <c r="W148">
        <f>HYPERLINK("https://klasma.github.io/Logging_2321/kartor/A 44889-2023 karta.png", "A 44889-2023")</f>
        <v/>
      </c>
      <c r="Y148">
        <f>HYPERLINK("https://klasma.github.io/Logging_2321/klagomål/A 44889-2023 FSC-klagomål.docx", "A 44889-2023")</f>
        <v/>
      </c>
      <c r="Z148">
        <f>HYPERLINK("https://klasma.github.io/Logging_2321/klagomålsmail/A 44889-2023 FSC-klagomål mail.docx", "A 44889-2023")</f>
        <v/>
      </c>
      <c r="AA148">
        <f>HYPERLINK("https://klasma.github.io/Logging_2321/tillsyn/A 44889-2023 tillsynsbegäran.docx", "A 44889-2023")</f>
        <v/>
      </c>
      <c r="AB148">
        <f>HYPERLINK("https://klasma.github.io/Logging_2321/tillsynsmail/A 44889-2023 tillsynsbegäran mail.docx", "A 44889-2023")</f>
        <v/>
      </c>
      <c r="AC148">
        <f>HYPERLINK("https://klasma.github.io/Logging_2321/fåglar/A 44889-2023 prioriterade fågelarter.docx", "A 44889-2023")</f>
        <v/>
      </c>
    </row>
    <row r="149" ht="15" customHeight="1">
      <c r="A149" t="inlineStr">
        <is>
          <t>A 23706-2023</t>
        </is>
      </c>
      <c r="B149" t="inlineStr">
        <is>
          <t>avverkningsanmälan</t>
        </is>
      </c>
      <c r="C149" t="inlineStr">
        <is>
          <t>Föryngringsavverkning</t>
        </is>
      </c>
      <c r="D149" s="1" t="n">
        <v>45072</v>
      </c>
      <c r="E149" s="1" t="n">
        <v>46222</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s="2" t="inlineStr">
        <is>
          <t>Tretåig hackspett</t>
        </is>
      </c>
      <c r="V149">
        <f>HYPERLINK("https://klasma.github.io/Logging_2321/artfynd/A 23706-2023 artfynd.xlsx", "A 23706-2023")</f>
        <v/>
      </c>
      <c r="W149">
        <f>HYPERLINK("https://klasma.github.io/Logging_2321/kartor/A 23706-2023 karta.png", "A 23706-2023")</f>
        <v/>
      </c>
      <c r="Y149">
        <f>HYPERLINK("https://klasma.github.io/Logging_2321/klagomål/A 23706-2023 FSC-klagomål.docx", "A 23706-2023")</f>
        <v/>
      </c>
      <c r="Z149">
        <f>HYPERLINK("https://klasma.github.io/Logging_2321/klagomålsmail/A 23706-2023 FSC-klagomål mail.docx", "A 23706-2023")</f>
        <v/>
      </c>
      <c r="AA149">
        <f>HYPERLINK("https://klasma.github.io/Logging_2321/tillsyn/A 23706-2023 tillsynsbegäran.docx", "A 23706-2023")</f>
        <v/>
      </c>
      <c r="AB149">
        <f>HYPERLINK("https://klasma.github.io/Logging_2321/tillsynsmail/A 23706-2023 tillsynsbegäran mail.docx", "A 23706-2023")</f>
        <v/>
      </c>
      <c r="AC149">
        <f>HYPERLINK("https://klasma.github.io/Logging_2321/fåglar/A 23706-2023 prioriterade fågelarter.docx", "A 23706-2023")</f>
        <v/>
      </c>
    </row>
    <row r="150" ht="15" customHeight="1">
      <c r="A150" t="inlineStr">
        <is>
          <t>A 7854-2026</t>
        </is>
      </c>
      <c r="B150" t="inlineStr">
        <is>
          <t>avverkningsanmälan</t>
        </is>
      </c>
      <c r="C150" t="inlineStr">
        <is>
          <t>Föryngringsavverkning</t>
        </is>
      </c>
      <c r="D150" s="1" t="n">
        <v>46062</v>
      </c>
      <c r="E150" s="1" t="n">
        <v>46222</v>
      </c>
      <c r="F150" t="inlineStr">
        <is>
          <t>JÄMTLANDS LÄN</t>
        </is>
      </c>
      <c r="G150" t="inlineStr">
        <is>
          <t>ÅRE</t>
        </is>
      </c>
      <c r="I150" t="n">
        <v>6.5</v>
      </c>
      <c r="J150" t="n">
        <v>1</v>
      </c>
      <c r="K150" t="n">
        <v>0</v>
      </c>
      <c r="L150" t="n">
        <v>1</v>
      </c>
      <c r="M150" t="n">
        <v>0</v>
      </c>
      <c r="N150" t="n">
        <v>0</v>
      </c>
      <c r="O150" t="n">
        <v>0</v>
      </c>
      <c r="P150" t="n">
        <v>0</v>
      </c>
      <c r="Q150" t="n">
        <v>1</v>
      </c>
      <c r="R150" t="n">
        <v>0</v>
      </c>
      <c r="S150" t="n">
        <v>1</v>
      </c>
      <c r="T150" t="n">
        <v>3</v>
      </c>
      <c r="U150" s="2" t="inlineStr">
        <is>
          <t>Tretåig hackspett</t>
        </is>
      </c>
      <c r="V150">
        <f>HYPERLINK("https://klasma.github.io/Logging_2321/artfynd/A 7854-2026 artfynd.xlsx", "A 7854-2026")</f>
        <v/>
      </c>
      <c r="W150">
        <f>HYPERLINK("https://klasma.github.io/Logging_2321/kartor/A 7854-2026 karta.png", "A 7854-2026")</f>
        <v/>
      </c>
      <c r="Y150">
        <f>HYPERLINK("https://klasma.github.io/Logging_2321/klagomål/A 7854-2026 FSC-klagomål.docx", "A 7854-2026")</f>
        <v/>
      </c>
      <c r="Z150">
        <f>HYPERLINK("https://klasma.github.io/Logging_2321/klagomålsmail/A 7854-2026 FSC-klagomål mail.docx", "A 7854-2026")</f>
        <v/>
      </c>
      <c r="AA150">
        <f>HYPERLINK("https://klasma.github.io/Logging_2321/tillsyn/A 7854-2026 tillsynsbegäran.docx", "A 7854-2026")</f>
        <v/>
      </c>
      <c r="AB150">
        <f>HYPERLINK("https://klasma.github.io/Logging_2321/tillsynsmail/A 7854-2026 tillsynsbegäran mail.docx", "A 7854-2026")</f>
        <v/>
      </c>
      <c r="AC150">
        <f>HYPERLINK("https://klasma.github.io/Logging_2321/fåglar/A 7854-2026 prioriterade fågelarter.docx", "A 7854-2026")</f>
        <v/>
      </c>
    </row>
    <row r="151" ht="15" customHeight="1">
      <c r="A151" t="inlineStr">
        <is>
          <t>A 46444-2024</t>
        </is>
      </c>
      <c r="B151" t="inlineStr">
        <is>
          <t>avverkningsanmälan</t>
        </is>
      </c>
      <c r="C151" t="inlineStr">
        <is>
          <t>Föryngringsavverkning</t>
        </is>
      </c>
      <c r="D151" s="1" t="n">
        <v>45582</v>
      </c>
      <c r="E151" s="1" t="n">
        <v>46222</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s="2" t="inlineStr">
        <is>
          <t>Doftskinn</t>
        </is>
      </c>
      <c r="V151">
        <f>HYPERLINK("https://klasma.github.io/Logging_2321/artfynd/A 46444-2024 artfynd.xlsx", "A 46444-2024")</f>
        <v/>
      </c>
      <c r="W151">
        <f>HYPERLINK("https://klasma.github.io/Logging_2321/kartor/A 46444-2024 karta.png", "A 46444-2024")</f>
        <v/>
      </c>
      <c r="Y151">
        <f>HYPERLINK("https://klasma.github.io/Logging_2321/klagomål/A 46444-2024 FSC-klagomål.docx", "A 46444-2024")</f>
        <v/>
      </c>
      <c r="Z151">
        <f>HYPERLINK("https://klasma.github.io/Logging_2321/klagomålsmail/A 46444-2024 FSC-klagomål mail.docx", "A 46444-2024")</f>
        <v/>
      </c>
      <c r="AA151">
        <f>HYPERLINK("https://klasma.github.io/Logging_2321/tillsyn/A 46444-2024 tillsynsbegäran.docx", "A 46444-2024")</f>
        <v/>
      </c>
      <c r="AB151">
        <f>HYPERLINK("https://klasma.github.io/Logging_2321/tillsynsmail/A 46444-2024 tillsynsbegäran mail.docx", "A 46444-2024")</f>
        <v/>
      </c>
    </row>
    <row r="152" ht="15" customHeight="1">
      <c r="A152" t="inlineStr">
        <is>
          <t>A 30032-2024</t>
        </is>
      </c>
      <c r="B152" t="inlineStr">
        <is>
          <t>avverkningsanmälan</t>
        </is>
      </c>
      <c r="C152" t="inlineStr">
        <is>
          <t>Föryngringsavverkning</t>
        </is>
      </c>
      <c r="D152" s="1" t="n">
        <v>45485</v>
      </c>
      <c r="E152" s="1" t="n">
        <v>46222</v>
      </c>
      <c r="F152" t="inlineStr">
        <is>
          <t>JÄMTLANDS LÄN</t>
        </is>
      </c>
      <c r="G152" t="inlineStr">
        <is>
          <t>ÅRE</t>
        </is>
      </c>
      <c r="I152" t="n">
        <v>20.5</v>
      </c>
      <c r="J152" t="n">
        <v>1</v>
      </c>
      <c r="K152" t="n">
        <v>1</v>
      </c>
      <c r="L152" t="n">
        <v>0</v>
      </c>
      <c r="M152" t="n">
        <v>0</v>
      </c>
      <c r="N152" t="n">
        <v>0</v>
      </c>
      <c r="O152" t="n">
        <v>0</v>
      </c>
      <c r="P152" t="n">
        <v>0</v>
      </c>
      <c r="Q152" t="n">
        <v>0</v>
      </c>
      <c r="R152" t="n">
        <v>0</v>
      </c>
      <c r="S152" t="n">
        <v>1</v>
      </c>
      <c r="T152" t="n">
        <v>1</v>
      </c>
      <c r="U152" s="2" t="inlineStr">
        <is>
          <t>Spindelblomster</t>
        </is>
      </c>
      <c r="V152">
        <f>HYPERLINK("https://klasma.github.io/Logging_2321/artfynd/A 30032-2024 artfynd.xlsx", "A 30032-2024")</f>
        <v/>
      </c>
      <c r="W152">
        <f>HYPERLINK("https://klasma.github.io/Logging_2321/kartor/A 30032-2024 karta.png", "A 30032-2024")</f>
        <v/>
      </c>
      <c r="Y152">
        <f>HYPERLINK("https://klasma.github.io/Logging_2321/klagomål/A 30032-2024 FSC-klagomål.docx", "A 30032-2024")</f>
        <v/>
      </c>
      <c r="Z152">
        <f>HYPERLINK("https://klasma.github.io/Logging_2321/klagomålsmail/A 30032-2024 FSC-klagomål mail.docx", "A 30032-2024")</f>
        <v/>
      </c>
      <c r="AA152">
        <f>HYPERLINK("https://klasma.github.io/Logging_2321/tillsyn/A 30032-2024 tillsynsbegäran.docx", "A 30032-2024")</f>
        <v/>
      </c>
      <c r="AB152">
        <f>HYPERLINK("https://klasma.github.io/Logging_2321/tillsynsmail/A 30032-2024 tillsynsbegäran mail.docx", "A 30032-2024")</f>
        <v/>
      </c>
    </row>
    <row r="153" ht="15" customHeight="1">
      <c r="A153" t="inlineStr">
        <is>
          <t>A 17260-2026</t>
        </is>
      </c>
      <c r="B153" t="inlineStr">
        <is>
          <t>avverkningsanmälan</t>
        </is>
      </c>
      <c r="C153" t="inlineStr">
        <is>
          <t>Föryngringsavverkning</t>
        </is>
      </c>
      <c r="D153" s="1" t="n">
        <v>46119</v>
      </c>
      <c r="E153" s="1" t="n">
        <v>46222</v>
      </c>
      <c r="F153" t="inlineStr">
        <is>
          <t>JÄMTLANDS LÄN</t>
        </is>
      </c>
      <c r="G153" t="inlineStr">
        <is>
          <t>ÅRE</t>
        </is>
      </c>
      <c r="H153" t="inlineStr">
        <is>
          <t>Övriga Aktiebolag</t>
        </is>
      </c>
      <c r="I153" t="n">
        <v>12.4</v>
      </c>
      <c r="J153" t="n">
        <v>1</v>
      </c>
      <c r="K153" t="n">
        <v>0</v>
      </c>
      <c r="L153" t="n">
        <v>1</v>
      </c>
      <c r="M153" t="n">
        <v>0</v>
      </c>
      <c r="N153" t="n">
        <v>0</v>
      </c>
      <c r="O153" t="n">
        <v>0</v>
      </c>
      <c r="P153" t="n">
        <v>0</v>
      </c>
      <c r="Q153" t="n">
        <v>1</v>
      </c>
      <c r="R153" t="n">
        <v>0</v>
      </c>
      <c r="S153" t="n">
        <v>1</v>
      </c>
      <c r="T153" t="n">
        <v>2</v>
      </c>
      <c r="U153" s="2" t="inlineStr">
        <is>
          <t>Tretåig hackspett</t>
        </is>
      </c>
      <c r="V153">
        <f>HYPERLINK("https://klasma.github.io/Logging_2321/artfynd/A 17260-2026 artfynd.xlsx", "A 17260-2026")</f>
        <v/>
      </c>
      <c r="W153">
        <f>HYPERLINK("https://klasma.github.io/Logging_2321/kartor/A 17260-2026 karta.png", "A 17260-2026")</f>
        <v/>
      </c>
      <c r="Y153">
        <f>HYPERLINK("https://klasma.github.io/Logging_2321/klagomål/A 17260-2026 FSC-klagomål.docx", "A 17260-2026")</f>
        <v/>
      </c>
      <c r="Z153">
        <f>HYPERLINK("https://klasma.github.io/Logging_2321/klagomålsmail/A 17260-2026 FSC-klagomål mail.docx", "A 17260-2026")</f>
        <v/>
      </c>
      <c r="AA153">
        <f>HYPERLINK("https://klasma.github.io/Logging_2321/tillsyn/A 17260-2026 tillsynsbegäran.docx", "A 17260-2026")</f>
        <v/>
      </c>
      <c r="AB153">
        <f>HYPERLINK("https://klasma.github.io/Logging_2321/tillsynsmail/A 17260-2026 tillsynsbegäran mail.docx", "A 17260-2026")</f>
        <v/>
      </c>
      <c r="AC153">
        <f>HYPERLINK("https://klasma.github.io/Logging_2321/fåglar/A 17260-2026 prioriterade fågelarter.docx", "A 17260-2026")</f>
        <v/>
      </c>
    </row>
    <row r="154" ht="15" customHeight="1">
      <c r="A154" t="inlineStr">
        <is>
          <t>A 911-2022</t>
        </is>
      </c>
      <c r="B154" t="inlineStr">
        <is>
          <t>avverkningsanmälan</t>
        </is>
      </c>
      <c r="C154" t="inlineStr">
        <is>
          <t>Avverkning för annat ändamål</t>
        </is>
      </c>
      <c r="D154" s="1" t="n">
        <v>44570</v>
      </c>
      <c r="E154" s="1" t="n">
        <v>46222</v>
      </c>
      <c r="F154" t="inlineStr">
        <is>
          <t>JÄMTLANDS LÄN</t>
        </is>
      </c>
      <c r="G154" t="inlineStr">
        <is>
          <t>ÅRE</t>
        </is>
      </c>
      <c r="I154" t="n">
        <v>1.2</v>
      </c>
      <c r="J154" t="n">
        <v>0</v>
      </c>
      <c r="K154" t="n">
        <v>0</v>
      </c>
      <c r="L154" t="n">
        <v>1</v>
      </c>
      <c r="M154" t="n">
        <v>0</v>
      </c>
      <c r="N154" t="n">
        <v>0</v>
      </c>
      <c r="O154" t="n">
        <v>0</v>
      </c>
      <c r="P154" t="n">
        <v>0</v>
      </c>
      <c r="Q154" t="n">
        <v>1</v>
      </c>
      <c r="R154" t="n">
        <v>0</v>
      </c>
      <c r="S154" t="n">
        <v>1</v>
      </c>
      <c r="T154" t="n">
        <v>1</v>
      </c>
      <c r="U154" s="2" t="inlineStr">
        <is>
          <t>Lunglav</t>
        </is>
      </c>
      <c r="V154">
        <f>HYPERLINK("https://klasma.github.io/Logging_2321/artfynd/A 911-2022 artfynd.xlsx", "A 911-2022")</f>
        <v/>
      </c>
      <c r="W154">
        <f>HYPERLINK("https://klasma.github.io/Logging_2321/kartor/A 911-2022 karta.png", "A 911-2022")</f>
        <v/>
      </c>
      <c r="Y154">
        <f>HYPERLINK("https://klasma.github.io/Logging_2321/klagomål/A 911-2022 FSC-klagomål.docx", "A 911-2022")</f>
        <v/>
      </c>
      <c r="Z154">
        <f>HYPERLINK("https://klasma.github.io/Logging_2321/klagomålsmail/A 911-2022 FSC-klagomål mail.docx", "A 911-2022")</f>
        <v/>
      </c>
      <c r="AA154">
        <f>HYPERLINK("https://klasma.github.io/Logging_2321/tillsyn/A 911-2022 tillsynsbegäran.docx", "A 911-2022")</f>
        <v/>
      </c>
      <c r="AB154">
        <f>HYPERLINK("https://klasma.github.io/Logging_2321/tillsynsmail/A 911-2022 tillsynsbegäran mail.docx", "A 911-2022")</f>
        <v/>
      </c>
    </row>
    <row r="155" ht="15" customHeight="1">
      <c r="A155" t="inlineStr">
        <is>
          <t>A 59014-2025</t>
        </is>
      </c>
      <c r="B155" t="inlineStr">
        <is>
          <t>avverkningsanmälan</t>
        </is>
      </c>
      <c r="C155" t="inlineStr">
        <is>
          <t>Avverkning för annat ändamål</t>
        </is>
      </c>
      <c r="D155" s="1" t="n">
        <v>45987</v>
      </c>
      <c r="E155" s="1" t="n">
        <v>46222</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s="2" t="inlineStr">
        <is>
          <t>Kransrams</t>
        </is>
      </c>
      <c r="V155">
        <f>HYPERLINK("https://klasma.github.io/Logging_2321/artfynd/A 59014-2025 artfynd.xlsx", "A 59014-2025")</f>
        <v/>
      </c>
      <c r="W155">
        <f>HYPERLINK("https://klasma.github.io/Logging_2321/kartor/A 59014-2025 karta.png", "A 59014-2025")</f>
        <v/>
      </c>
      <c r="Y155">
        <f>HYPERLINK("https://klasma.github.io/Logging_2321/klagomål/A 59014-2025 FSC-klagomål.docx", "A 59014-2025")</f>
        <v/>
      </c>
      <c r="Z155">
        <f>HYPERLINK("https://klasma.github.io/Logging_2321/klagomålsmail/A 59014-2025 FSC-klagomål mail.docx", "A 59014-2025")</f>
        <v/>
      </c>
      <c r="AA155">
        <f>HYPERLINK("https://klasma.github.io/Logging_2321/tillsyn/A 59014-2025 tillsynsbegäran.docx", "A 59014-2025")</f>
        <v/>
      </c>
      <c r="AB155">
        <f>HYPERLINK("https://klasma.github.io/Logging_2321/tillsynsmail/A 59014-2025 tillsynsbegäran mail.docx", "A 59014-2025")</f>
        <v/>
      </c>
    </row>
    <row r="156" ht="15" customHeight="1">
      <c r="A156" t="inlineStr">
        <is>
          <t>A 58872-2025</t>
        </is>
      </c>
      <c r="B156" t="inlineStr">
        <is>
          <t>avverkningsanmälan</t>
        </is>
      </c>
      <c r="C156" t="inlineStr">
        <is>
          <t>Föryngringsavverkning</t>
        </is>
      </c>
      <c r="D156" s="1" t="n">
        <v>45987</v>
      </c>
      <c r="E156" s="1" t="n">
        <v>46222</v>
      </c>
      <c r="F156" t="inlineStr">
        <is>
          <t>JÄMTLANDS LÄN</t>
        </is>
      </c>
      <c r="G156" t="inlineStr">
        <is>
          <t>ÅRE</t>
        </is>
      </c>
      <c r="I156" t="n">
        <v>8</v>
      </c>
      <c r="J156" t="n">
        <v>0</v>
      </c>
      <c r="K156" t="n">
        <v>1</v>
      </c>
      <c r="L156" t="n">
        <v>0</v>
      </c>
      <c r="M156" t="n">
        <v>0</v>
      </c>
      <c r="N156" t="n">
        <v>0</v>
      </c>
      <c r="O156" t="n">
        <v>0</v>
      </c>
      <c r="P156" t="n">
        <v>0</v>
      </c>
      <c r="Q156" t="n">
        <v>0</v>
      </c>
      <c r="R156" t="n">
        <v>0</v>
      </c>
      <c r="S156" t="n">
        <v>1</v>
      </c>
      <c r="T156" t="n">
        <v>1</v>
      </c>
      <c r="U156" s="2" t="inlineStr">
        <is>
          <t>Ögonpyrola</t>
        </is>
      </c>
      <c r="V156">
        <f>HYPERLINK("https://klasma.github.io/Logging_2321/artfynd/A 58872-2025 artfynd.xlsx", "A 58872-2025")</f>
        <v/>
      </c>
      <c r="W156">
        <f>HYPERLINK("https://klasma.github.io/Logging_2321/kartor/A 58872-2025 karta.png", "A 58872-2025")</f>
        <v/>
      </c>
      <c r="Y156">
        <f>HYPERLINK("https://klasma.github.io/Logging_2321/klagomål/A 58872-2025 FSC-klagomål.docx", "A 58872-2025")</f>
        <v/>
      </c>
      <c r="Z156">
        <f>HYPERLINK("https://klasma.github.io/Logging_2321/klagomålsmail/A 58872-2025 FSC-klagomål mail.docx", "A 58872-2025")</f>
        <v/>
      </c>
      <c r="AA156">
        <f>HYPERLINK("https://klasma.github.io/Logging_2321/tillsyn/A 58872-2025 tillsynsbegäran.docx", "A 58872-2025")</f>
        <v/>
      </c>
      <c r="AB156">
        <f>HYPERLINK("https://klasma.github.io/Logging_2321/tillsynsmail/A 58872-2025 tillsynsbegäran mail.docx", "A 58872-2025")</f>
        <v/>
      </c>
    </row>
    <row r="157" ht="15" customHeight="1">
      <c r="A157" t="inlineStr">
        <is>
          <t>A 20305-2026</t>
        </is>
      </c>
      <c r="B157" t="inlineStr">
        <is>
          <t>avverkningsanmälan</t>
        </is>
      </c>
      <c r="C157" t="inlineStr">
        <is>
          <t>Föryngringsavverkning</t>
        </is>
      </c>
      <c r="D157" s="1" t="n">
        <v>46136</v>
      </c>
      <c r="E157" s="1" t="n">
        <v>46222</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s="2" t="inlineStr">
        <is>
          <t>Lunglav</t>
        </is>
      </c>
      <c r="V157">
        <f>HYPERLINK("https://klasma.github.io/Logging_2321/artfynd/A 20305-2026 artfynd.xlsx", "A 20305-2026")</f>
        <v/>
      </c>
      <c r="W157">
        <f>HYPERLINK("https://klasma.github.io/Logging_2321/kartor/A 20305-2026 karta.png", "A 20305-2026")</f>
        <v/>
      </c>
      <c r="Y157">
        <f>HYPERLINK("https://klasma.github.io/Logging_2321/klagomål/A 20305-2026 FSC-klagomål.docx", "A 20305-2026")</f>
        <v/>
      </c>
      <c r="Z157">
        <f>HYPERLINK("https://klasma.github.io/Logging_2321/klagomålsmail/A 20305-2026 FSC-klagomål mail.docx", "A 20305-2026")</f>
        <v/>
      </c>
      <c r="AA157">
        <f>HYPERLINK("https://klasma.github.io/Logging_2321/tillsyn/A 20305-2026 tillsynsbegäran.docx", "A 20305-2026")</f>
        <v/>
      </c>
      <c r="AB157">
        <f>HYPERLINK("https://klasma.github.io/Logging_2321/tillsynsmail/A 20305-2026 tillsynsbegäran mail.docx", "A 20305-2026")</f>
        <v/>
      </c>
    </row>
    <row r="158" ht="15" customHeight="1">
      <c r="A158" t="inlineStr">
        <is>
          <t>A 48223-2025</t>
        </is>
      </c>
      <c r="B158" t="inlineStr">
        <is>
          <t>avverkningsanmälan</t>
        </is>
      </c>
      <c r="C158" t="inlineStr">
        <is>
          <t>Avverkning för att bevara och utveckla /försöksver</t>
        </is>
      </c>
      <c r="D158" s="1" t="n">
        <v>45931</v>
      </c>
      <c r="E158" s="1" t="n">
        <v>46222</v>
      </c>
      <c r="F158" t="inlineStr">
        <is>
          <t>JÄMTLANDS LÄN</t>
        </is>
      </c>
      <c r="G158" t="inlineStr">
        <is>
          <t>ÅRE</t>
        </is>
      </c>
      <c r="I158" t="n">
        <v>2.1</v>
      </c>
      <c r="J158" t="n">
        <v>1</v>
      </c>
      <c r="K158" t="n">
        <v>0</v>
      </c>
      <c r="L158" t="n">
        <v>0</v>
      </c>
      <c r="M158" t="n">
        <v>1</v>
      </c>
      <c r="N158" t="n">
        <v>0</v>
      </c>
      <c r="O158" t="n">
        <v>0</v>
      </c>
      <c r="P158" t="n">
        <v>0</v>
      </c>
      <c r="Q158" t="n">
        <v>1</v>
      </c>
      <c r="R158" t="n">
        <v>1</v>
      </c>
      <c r="S158" t="n">
        <v>1</v>
      </c>
      <c r="T158" t="n">
        <v>1</v>
      </c>
      <c r="U158" s="2" t="inlineStr">
        <is>
          <t>Knärot</t>
        </is>
      </c>
      <c r="V158">
        <f>HYPERLINK("https://klasma.github.io/Logging_2321/artfynd/A 48223-2025 artfynd.xlsx", "A 48223-2025")</f>
        <v/>
      </c>
      <c r="W158">
        <f>HYPERLINK("https://klasma.github.io/Logging_2321/kartor/A 48223-2025 karta.png", "A 48223-2025")</f>
        <v/>
      </c>
      <c r="X158">
        <f>HYPERLINK("https://klasma.github.io/Logging_2321/knärot/A 48223-2025 karta knärot.png", "A 48223-2025")</f>
        <v/>
      </c>
      <c r="Y158">
        <f>HYPERLINK("https://klasma.github.io/Logging_2321/klagomål/A 48223-2025 FSC-klagomål.docx", "A 48223-2025")</f>
        <v/>
      </c>
      <c r="Z158">
        <f>HYPERLINK("https://klasma.github.io/Logging_2321/klagomålsmail/A 48223-2025 FSC-klagomål mail.docx", "A 48223-2025")</f>
        <v/>
      </c>
      <c r="AA158">
        <f>HYPERLINK("https://klasma.github.io/Logging_2321/tillsyn/A 48223-2025 tillsynsbegäran.docx", "A 48223-2025")</f>
        <v/>
      </c>
      <c r="AB158">
        <f>HYPERLINK("https://klasma.github.io/Logging_2321/tillsynsmail/A 48223-2025 tillsynsbegäran mail.docx", "A 48223-2025")</f>
        <v/>
      </c>
    </row>
    <row r="159" ht="15" customHeight="1">
      <c r="A159" t="inlineStr">
        <is>
          <t>A 63225-2025</t>
        </is>
      </c>
      <c r="B159" t="inlineStr">
        <is>
          <t>avverkningsanmälan</t>
        </is>
      </c>
      <c r="C159" t="inlineStr">
        <is>
          <t>Föryngringsavverkning</t>
        </is>
      </c>
      <c r="D159" s="1" t="n">
        <v>46010</v>
      </c>
      <c r="E159" s="1" t="n">
        <v>46222</v>
      </c>
      <c r="F159" t="inlineStr">
        <is>
          <t>JÄMTLANDS LÄN</t>
        </is>
      </c>
      <c r="G159" t="inlineStr">
        <is>
          <t>ÅRE</t>
        </is>
      </c>
      <c r="H159" t="inlineStr">
        <is>
          <t>Övriga Aktiebolag</t>
        </is>
      </c>
      <c r="I159" t="n">
        <v>12.1</v>
      </c>
      <c r="J159" t="n">
        <v>0</v>
      </c>
      <c r="K159" t="n">
        <v>0</v>
      </c>
      <c r="L159" t="n">
        <v>0</v>
      </c>
      <c r="M159" t="n">
        <v>1</v>
      </c>
      <c r="N159" t="n">
        <v>0</v>
      </c>
      <c r="O159" t="n">
        <v>0</v>
      </c>
      <c r="P159" t="n">
        <v>0</v>
      </c>
      <c r="Q159" t="n">
        <v>1</v>
      </c>
      <c r="R159" t="n">
        <v>1</v>
      </c>
      <c r="S159" t="n">
        <v>1</v>
      </c>
      <c r="T159" t="n">
        <v>1</v>
      </c>
      <c r="U159" s="2" t="inlineStr">
        <is>
          <t>Garnlav</t>
        </is>
      </c>
      <c r="V159">
        <f>HYPERLINK("https://klasma.github.io/Logging_2321/artfynd/A 63225-2025 artfynd.xlsx", "A 63225-2025")</f>
        <v/>
      </c>
      <c r="W159">
        <f>HYPERLINK("https://klasma.github.io/Logging_2321/kartor/A 63225-2025 karta.png", "A 63225-2025")</f>
        <v/>
      </c>
      <c r="Y159">
        <f>HYPERLINK("https://klasma.github.io/Logging_2321/klagomål/A 63225-2025 FSC-klagomål.docx", "A 63225-2025")</f>
        <v/>
      </c>
      <c r="Z159">
        <f>HYPERLINK("https://klasma.github.io/Logging_2321/klagomålsmail/A 63225-2025 FSC-klagomål mail.docx", "A 63225-2025")</f>
        <v/>
      </c>
      <c r="AA159">
        <f>HYPERLINK("https://klasma.github.io/Logging_2321/tillsyn/A 63225-2025 tillsynsbegäran.docx", "A 63225-2025")</f>
        <v/>
      </c>
      <c r="AB159">
        <f>HYPERLINK("https://klasma.github.io/Logging_2321/tillsynsmail/A 63225-2025 tillsynsbegäran mail.docx", "A 63225-2025")</f>
        <v/>
      </c>
    </row>
    <row r="160" ht="15" customHeight="1">
      <c r="A160" t="inlineStr">
        <is>
          <t>A 6141-2026</t>
        </is>
      </c>
      <c r="B160" t="inlineStr">
        <is>
          <t>avverkningsanmälan</t>
        </is>
      </c>
      <c r="C160" t="inlineStr">
        <is>
          <t>Föryngringsavverkning</t>
        </is>
      </c>
      <c r="D160" s="1" t="n">
        <v>46054</v>
      </c>
      <c r="E160" s="1" t="n">
        <v>46222</v>
      </c>
      <c r="F160" t="inlineStr">
        <is>
          <t>JÄMTLANDS LÄN</t>
        </is>
      </c>
      <c r="G160" t="inlineStr">
        <is>
          <t>ÅRE</t>
        </is>
      </c>
      <c r="I160" t="n">
        <v>3</v>
      </c>
      <c r="J160" t="n">
        <v>1</v>
      </c>
      <c r="K160" t="n">
        <v>0</v>
      </c>
      <c r="L160" t="n">
        <v>1</v>
      </c>
      <c r="M160" t="n">
        <v>0</v>
      </c>
      <c r="N160" t="n">
        <v>0</v>
      </c>
      <c r="O160" t="n">
        <v>0</v>
      </c>
      <c r="P160" t="n">
        <v>0</v>
      </c>
      <c r="Q160" t="n">
        <v>1</v>
      </c>
      <c r="R160" t="n">
        <v>0</v>
      </c>
      <c r="S160" t="n">
        <v>1</v>
      </c>
      <c r="T160" t="n">
        <v>1</v>
      </c>
      <c r="U160" s="2" t="inlineStr">
        <is>
          <t>Tretåig hackspett</t>
        </is>
      </c>
      <c r="V160">
        <f>HYPERLINK("https://klasma.github.io/Logging_2321/artfynd/A 6141-2026 artfynd.xlsx", "A 6141-2026")</f>
        <v/>
      </c>
      <c r="W160">
        <f>HYPERLINK("https://klasma.github.io/Logging_2321/kartor/A 6141-2026 karta.png", "A 6141-2026")</f>
        <v/>
      </c>
      <c r="Y160">
        <f>HYPERLINK("https://klasma.github.io/Logging_2321/klagomål/A 6141-2026 FSC-klagomål.docx", "A 6141-2026")</f>
        <v/>
      </c>
      <c r="Z160">
        <f>HYPERLINK("https://klasma.github.io/Logging_2321/klagomålsmail/A 6141-2026 FSC-klagomål mail.docx", "A 6141-2026")</f>
        <v/>
      </c>
      <c r="AA160">
        <f>HYPERLINK("https://klasma.github.io/Logging_2321/tillsyn/A 6141-2026 tillsynsbegäran.docx", "A 6141-2026")</f>
        <v/>
      </c>
      <c r="AB160">
        <f>HYPERLINK("https://klasma.github.io/Logging_2321/tillsynsmail/A 6141-2026 tillsynsbegäran mail.docx", "A 6141-2026")</f>
        <v/>
      </c>
      <c r="AC160">
        <f>HYPERLINK("https://klasma.github.io/Logging_2321/fåglar/A 6141-2026 prioriterade fågelarter.docx", "A 6141-2026")</f>
        <v/>
      </c>
    </row>
    <row r="161" ht="15" customHeight="1">
      <c r="A161" t="inlineStr">
        <is>
          <t>A 64668-2021</t>
        </is>
      </c>
      <c r="B161" t="inlineStr">
        <is>
          <t>avverkningsanmälan</t>
        </is>
      </c>
      <c r="C161" t="inlineStr">
        <is>
          <t>Avverkning för annat ändamål</t>
        </is>
      </c>
      <c r="D161" s="1" t="n">
        <v>44512</v>
      </c>
      <c r="E161" s="1" t="n">
        <v>46222</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s="2" t="inlineStr">
        <is>
          <t>Tretåig hackspett</t>
        </is>
      </c>
      <c r="V161">
        <f>HYPERLINK("https://klasma.github.io/Logging_2321/artfynd/A 64668-2021 artfynd.xlsx", "A 64668-2021")</f>
        <v/>
      </c>
      <c r="W161">
        <f>HYPERLINK("https://klasma.github.io/Logging_2321/kartor/A 64668-2021 karta.png", "A 64668-2021")</f>
        <v/>
      </c>
      <c r="Y161">
        <f>HYPERLINK("https://klasma.github.io/Logging_2321/klagomål/A 64668-2021 FSC-klagomål.docx", "A 64668-2021")</f>
        <v/>
      </c>
      <c r="Z161">
        <f>HYPERLINK("https://klasma.github.io/Logging_2321/klagomålsmail/A 64668-2021 FSC-klagomål mail.docx", "A 64668-2021")</f>
        <v/>
      </c>
      <c r="AA161">
        <f>HYPERLINK("https://klasma.github.io/Logging_2321/tillsyn/A 64668-2021 tillsynsbegäran.docx", "A 64668-2021")</f>
        <v/>
      </c>
      <c r="AB161">
        <f>HYPERLINK("https://klasma.github.io/Logging_2321/tillsynsmail/A 64668-2021 tillsynsbegäran mail.docx", "A 64668-2021")</f>
        <v/>
      </c>
      <c r="AC161">
        <f>HYPERLINK("https://klasma.github.io/Logging_2321/fåglar/A 64668-2021 prioriterade fågelarter.docx", "A 64668-2021")</f>
        <v/>
      </c>
    </row>
    <row r="162" ht="15" customHeight="1">
      <c r="A162" t="inlineStr">
        <is>
          <t>A 6628-2026</t>
        </is>
      </c>
      <c r="B162" t="inlineStr">
        <is>
          <t>avverkningsanmälan</t>
        </is>
      </c>
      <c r="C162" t="inlineStr">
        <is>
          <t>Föryngringsavverkning</t>
        </is>
      </c>
      <c r="D162" s="1" t="n">
        <v>46056</v>
      </c>
      <c r="E162" s="1" t="n">
        <v>46222</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s="2" t="inlineStr">
        <is>
          <t>Kransrams</t>
        </is>
      </c>
      <c r="V162">
        <f>HYPERLINK("https://klasma.github.io/Logging_2321/artfynd/A 6628-2026 artfynd.xlsx", "A 6628-2026")</f>
        <v/>
      </c>
      <c r="W162">
        <f>HYPERLINK("https://klasma.github.io/Logging_2321/kartor/A 6628-2026 karta.png", "A 6628-2026")</f>
        <v/>
      </c>
      <c r="Y162">
        <f>HYPERLINK("https://klasma.github.io/Logging_2321/klagomål/A 6628-2026 FSC-klagomål.docx", "A 6628-2026")</f>
        <v/>
      </c>
      <c r="Z162">
        <f>HYPERLINK("https://klasma.github.io/Logging_2321/klagomålsmail/A 6628-2026 FSC-klagomål mail.docx", "A 6628-2026")</f>
        <v/>
      </c>
      <c r="AA162">
        <f>HYPERLINK("https://klasma.github.io/Logging_2321/tillsyn/A 6628-2026 tillsynsbegäran.docx", "A 6628-2026")</f>
        <v/>
      </c>
      <c r="AB162">
        <f>HYPERLINK("https://klasma.github.io/Logging_2321/tillsynsmail/A 6628-2026 tillsynsbegäran mail.docx", "A 6628-2026")</f>
        <v/>
      </c>
    </row>
    <row r="163" ht="15" customHeight="1">
      <c r="A163" t="inlineStr">
        <is>
          <t>A 74392-2021</t>
        </is>
      </c>
      <c r="B163" t="inlineStr">
        <is>
          <t>avverkningsanmälan</t>
        </is>
      </c>
      <c r="C163" t="inlineStr">
        <is>
          <t>Föryngringsavverkning</t>
        </is>
      </c>
      <c r="D163" s="1" t="n">
        <v>44559</v>
      </c>
      <c r="E163" s="1" t="n">
        <v>46222</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s="2" t="inlineStr">
        <is>
          <t>Skrovellav</t>
        </is>
      </c>
      <c r="V163">
        <f>HYPERLINK("https://klasma.github.io/Logging_2321/artfynd/A 74392-2021 artfynd.xlsx", "A 74392-2021")</f>
        <v/>
      </c>
      <c r="W163">
        <f>HYPERLINK("https://klasma.github.io/Logging_2321/kartor/A 74392-2021 karta.png", "A 74392-2021")</f>
        <v/>
      </c>
      <c r="Y163">
        <f>HYPERLINK("https://klasma.github.io/Logging_2321/klagomål/A 74392-2021 FSC-klagomål.docx", "A 74392-2021")</f>
        <v/>
      </c>
      <c r="Z163">
        <f>HYPERLINK("https://klasma.github.io/Logging_2321/klagomålsmail/A 74392-2021 FSC-klagomål mail.docx", "A 74392-2021")</f>
        <v/>
      </c>
      <c r="AA163">
        <f>HYPERLINK("https://klasma.github.io/Logging_2321/tillsyn/A 74392-2021 tillsynsbegäran.docx", "A 74392-2021")</f>
        <v/>
      </c>
      <c r="AB163">
        <f>HYPERLINK("https://klasma.github.io/Logging_2321/tillsynsmail/A 74392-2021 tillsynsbegäran mail.docx", "A 74392-2021")</f>
        <v/>
      </c>
    </row>
    <row r="164" ht="15" customHeight="1">
      <c r="A164" t="inlineStr">
        <is>
          <t>A 8131-2024</t>
        </is>
      </c>
      <c r="B164" t="inlineStr">
        <is>
          <t>avverkningsanmälan</t>
        </is>
      </c>
      <c r="C164" t="inlineStr">
        <is>
          <t>Föryngringsavverkning</t>
        </is>
      </c>
      <c r="D164" s="1" t="n">
        <v>45351</v>
      </c>
      <c r="E164" s="1" t="n">
        <v>46222</v>
      </c>
      <c r="F164" t="inlineStr">
        <is>
          <t>JÄMTLANDS LÄN</t>
        </is>
      </c>
      <c r="G164" t="inlineStr">
        <is>
          <t>ÅRE</t>
        </is>
      </c>
      <c r="H164" t="inlineStr">
        <is>
          <t>Övriga Aktiebolag</t>
        </is>
      </c>
      <c r="I164" t="n">
        <v>3.1</v>
      </c>
      <c r="J164" t="n">
        <v>0</v>
      </c>
      <c r="K164" t="n">
        <v>0</v>
      </c>
      <c r="L164" t="n">
        <v>0</v>
      </c>
      <c r="M164" t="n">
        <v>1</v>
      </c>
      <c r="N164" t="n">
        <v>0</v>
      </c>
      <c r="O164" t="n">
        <v>0</v>
      </c>
      <c r="P164" t="n">
        <v>0</v>
      </c>
      <c r="Q164" t="n">
        <v>1</v>
      </c>
      <c r="R164" t="n">
        <v>1</v>
      </c>
      <c r="S164" t="n">
        <v>1</v>
      </c>
      <c r="T164" t="n">
        <v>1</v>
      </c>
      <c r="U164" s="2" t="inlineStr">
        <is>
          <t>Gräddporing</t>
        </is>
      </c>
      <c r="V164">
        <f>HYPERLINK("https://klasma.github.io/Logging_2321/artfynd/A 8131-2024 artfynd.xlsx", "A 8131-2024")</f>
        <v/>
      </c>
      <c r="W164">
        <f>HYPERLINK("https://klasma.github.io/Logging_2321/kartor/A 8131-2024 karta.png", "A 8131-2024")</f>
        <v/>
      </c>
      <c r="Y164">
        <f>HYPERLINK("https://klasma.github.io/Logging_2321/klagomål/A 8131-2024 FSC-klagomål.docx", "A 8131-2024")</f>
        <v/>
      </c>
      <c r="Z164">
        <f>HYPERLINK("https://klasma.github.io/Logging_2321/klagomålsmail/A 8131-2024 FSC-klagomål mail.docx", "A 8131-2024")</f>
        <v/>
      </c>
      <c r="AA164">
        <f>HYPERLINK("https://klasma.github.io/Logging_2321/tillsyn/A 8131-2024 tillsynsbegäran.docx", "A 8131-2024")</f>
        <v/>
      </c>
      <c r="AB164">
        <f>HYPERLINK("https://klasma.github.io/Logging_2321/tillsynsmail/A 8131-2024 tillsynsbegäran mail.docx", "A 8131-2024")</f>
        <v/>
      </c>
    </row>
    <row r="165" ht="15" customHeight="1">
      <c r="A165" t="inlineStr">
        <is>
          <t>A 40653-2022</t>
        </is>
      </c>
      <c r="B165" t="inlineStr">
        <is>
          <t>avverkningsanmälan</t>
        </is>
      </c>
      <c r="C165" t="inlineStr">
        <is>
          <t>Avverkning för annat ändamål</t>
        </is>
      </c>
      <c r="D165" s="1" t="n">
        <v>44818</v>
      </c>
      <c r="E165" s="1" t="n">
        <v>46222</v>
      </c>
      <c r="F165" t="inlineStr">
        <is>
          <t>JÄMTLANDS LÄN</t>
        </is>
      </c>
      <c r="G165" t="inlineStr">
        <is>
          <t>ÅRE</t>
        </is>
      </c>
      <c r="I165" t="n">
        <v>1.4</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HYPERLINK("https://klasma.github.io/Logging_2321/artfynd/A 40653-2022 artfynd.xlsx", "A 40653-2022")</f>
        <v/>
      </c>
      <c r="W165">
        <f>HYPERLINK("https://klasma.github.io/Logging_2321/kartor/A 40653-2022 karta.png", "A 40653-2022")</f>
        <v/>
      </c>
      <c r="Y165">
        <f>HYPERLINK("https://klasma.github.io/Logging_2321/klagomål/A 40653-2022 FSC-klagomål.docx", "A 40653-2022")</f>
        <v/>
      </c>
      <c r="Z165">
        <f>HYPERLINK("https://klasma.github.io/Logging_2321/klagomålsmail/A 40653-2022 FSC-klagomål mail.docx", "A 40653-2022")</f>
        <v/>
      </c>
      <c r="AA165">
        <f>HYPERLINK("https://klasma.github.io/Logging_2321/tillsyn/A 40653-2022 tillsynsbegäran.docx", "A 40653-2022")</f>
        <v/>
      </c>
      <c r="AB165">
        <f>HYPERLINK("https://klasma.github.io/Logging_2321/tillsynsmail/A 40653-2022 tillsynsbegäran mail.docx", "A 40653-2022")</f>
        <v/>
      </c>
      <c r="AC165">
        <f>HYPERLINK("https://klasma.github.io/Logging_2321/fåglar/A 40653-2022 prioriterade fågelarter.docx", "A 40653-2022")</f>
        <v/>
      </c>
    </row>
    <row r="166" ht="15" customHeight="1">
      <c r="A166" t="inlineStr">
        <is>
          <t>A 27630-2025</t>
        </is>
      </c>
      <c r="B166" t="inlineStr">
        <is>
          <t>avverkningsanmälan</t>
        </is>
      </c>
      <c r="C166" t="inlineStr">
        <is>
          <t>Föryngringsavverkning</t>
        </is>
      </c>
      <c r="D166" s="1" t="n">
        <v>45813</v>
      </c>
      <c r="E166" s="1" t="n">
        <v>46222</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s="2" t="inlineStr">
        <is>
          <t>Gränsticka</t>
        </is>
      </c>
      <c r="V166">
        <f>HYPERLINK("https://klasma.github.io/Logging_2321/artfynd/A 27630-2025 artfynd.xlsx", "A 27630-2025")</f>
        <v/>
      </c>
      <c r="W166">
        <f>HYPERLINK("https://klasma.github.io/Logging_2321/kartor/A 27630-2025 karta.png", "A 27630-2025")</f>
        <v/>
      </c>
      <c r="Y166">
        <f>HYPERLINK("https://klasma.github.io/Logging_2321/klagomål/A 27630-2025 FSC-klagomål.docx", "A 27630-2025")</f>
        <v/>
      </c>
      <c r="Z166">
        <f>HYPERLINK("https://klasma.github.io/Logging_2321/klagomålsmail/A 27630-2025 FSC-klagomål mail.docx", "A 27630-2025")</f>
        <v/>
      </c>
      <c r="AA166">
        <f>HYPERLINK("https://klasma.github.io/Logging_2321/tillsyn/A 27630-2025 tillsynsbegäran.docx", "A 27630-2025")</f>
        <v/>
      </c>
      <c r="AB166">
        <f>HYPERLINK("https://klasma.github.io/Logging_2321/tillsynsmail/A 27630-2025 tillsynsbegäran mail.docx", "A 27630-2025")</f>
        <v/>
      </c>
    </row>
    <row r="167" ht="15" customHeight="1">
      <c r="A167" t="inlineStr">
        <is>
          <t>A 57493-2025</t>
        </is>
      </c>
      <c r="B167" t="inlineStr">
        <is>
          <t>avverkningsanmälan</t>
        </is>
      </c>
      <c r="C167" t="inlineStr">
        <is>
          <t>Föryngringsavverkning</t>
        </is>
      </c>
      <c r="D167" s="1" t="n">
        <v>45980</v>
      </c>
      <c r="E167" s="1" t="n">
        <v>46222</v>
      </c>
      <c r="F167" t="inlineStr">
        <is>
          <t>JÄMTLANDS LÄN</t>
        </is>
      </c>
      <c r="G167" t="inlineStr">
        <is>
          <t>ÅRE</t>
        </is>
      </c>
      <c r="I167" t="n">
        <v>164</v>
      </c>
      <c r="J167" t="n">
        <v>0</v>
      </c>
      <c r="K167" t="n">
        <v>0</v>
      </c>
      <c r="L167" t="n">
        <v>1</v>
      </c>
      <c r="M167" t="n">
        <v>0</v>
      </c>
      <c r="N167" t="n">
        <v>0</v>
      </c>
      <c r="O167" t="n">
        <v>0</v>
      </c>
      <c r="P167" t="n">
        <v>0</v>
      </c>
      <c r="Q167" t="n">
        <v>1</v>
      </c>
      <c r="R167" t="n">
        <v>0</v>
      </c>
      <c r="S167" t="n">
        <v>1</v>
      </c>
      <c r="T167" t="n">
        <v>1</v>
      </c>
      <c r="U167" s="2" t="inlineStr">
        <is>
          <t>Doftskinn</t>
        </is>
      </c>
      <c r="V167">
        <f>HYPERLINK("https://klasma.github.io/Logging_2321/artfynd/A 57493-2025 artfynd.xlsx", "A 57493-2025")</f>
        <v/>
      </c>
      <c r="W167">
        <f>HYPERLINK("https://klasma.github.io/Logging_2321/kartor/A 57493-2025 karta.png", "A 57493-2025")</f>
        <v/>
      </c>
      <c r="Y167">
        <f>HYPERLINK("https://klasma.github.io/Logging_2321/klagomål/A 57493-2025 FSC-klagomål.docx", "A 57493-2025")</f>
        <v/>
      </c>
      <c r="Z167">
        <f>HYPERLINK("https://klasma.github.io/Logging_2321/klagomålsmail/A 57493-2025 FSC-klagomål mail.docx", "A 57493-2025")</f>
        <v/>
      </c>
      <c r="AA167">
        <f>HYPERLINK("https://klasma.github.io/Logging_2321/tillsyn/A 57493-2025 tillsynsbegäran.docx", "A 57493-2025")</f>
        <v/>
      </c>
      <c r="AB167">
        <f>HYPERLINK("https://klasma.github.io/Logging_2321/tillsynsmail/A 57493-2025 tillsynsbegäran mail.docx", "A 57493-2025")</f>
        <v/>
      </c>
    </row>
    <row r="168" ht="15" customHeight="1">
      <c r="A168" t="inlineStr">
        <is>
          <t>A 32216-2022</t>
        </is>
      </c>
      <c r="B168" t="inlineStr">
        <is>
          <t>avverkningsanmälan</t>
        </is>
      </c>
      <c r="C168" t="inlineStr">
        <is>
          <t>Föryngringsavverkning</t>
        </is>
      </c>
      <c r="D168" s="1" t="n">
        <v>44781</v>
      </c>
      <c r="E168" s="1" t="n">
        <v>46222</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HYPERLINK("https://klasma.github.io/Logging_2321/artfynd/A 32216-2022 artfynd.xlsx", "A 32216-2022")</f>
        <v/>
      </c>
      <c r="W168">
        <f>HYPERLINK("https://klasma.github.io/Logging_2321/kartor/A 32216-2022 karta.png", "A 32216-2022")</f>
        <v/>
      </c>
      <c r="Y168">
        <f>HYPERLINK("https://klasma.github.io/Logging_2321/klagomål/A 32216-2022 FSC-klagomål.docx", "A 32216-2022")</f>
        <v/>
      </c>
      <c r="Z168">
        <f>HYPERLINK("https://klasma.github.io/Logging_2321/klagomålsmail/A 32216-2022 FSC-klagomål mail.docx", "A 32216-2022")</f>
        <v/>
      </c>
      <c r="AA168">
        <f>HYPERLINK("https://klasma.github.io/Logging_2321/tillsyn/A 32216-2022 tillsynsbegäran.docx", "A 32216-2022")</f>
        <v/>
      </c>
      <c r="AB168">
        <f>HYPERLINK("https://klasma.github.io/Logging_2321/tillsynsmail/A 32216-2022 tillsynsbegäran mail.docx", "A 32216-2022")</f>
        <v/>
      </c>
      <c r="AC168">
        <f>HYPERLINK("https://klasma.github.io/Logging_2321/fåglar/A 32216-2022 prioriterade fågelarter.docx", "A 32216-2022")</f>
        <v/>
      </c>
    </row>
    <row r="169" ht="15" customHeight="1">
      <c r="A169" t="inlineStr">
        <is>
          <t>A 53014-2023</t>
        </is>
      </c>
      <c r="B169" t="inlineStr">
        <is>
          <t>avverkningsanmälan</t>
        </is>
      </c>
      <c r="C169" t="inlineStr">
        <is>
          <t>Föryngringsavverkning</t>
        </is>
      </c>
      <c r="D169" s="1" t="n">
        <v>45226</v>
      </c>
      <c r="E169" s="1" t="n">
        <v>46222</v>
      </c>
      <c r="F169" t="inlineStr">
        <is>
          <t>JÄMTLANDS LÄN</t>
        </is>
      </c>
      <c r="G169" t="inlineStr">
        <is>
          <t>ÅRE</t>
        </is>
      </c>
      <c r="H169" t="inlineStr">
        <is>
          <t>Övriga Aktiebolag</t>
        </is>
      </c>
      <c r="I169" t="n">
        <v>7.5</v>
      </c>
      <c r="J169" t="n">
        <v>1</v>
      </c>
      <c r="K169" t="n">
        <v>1</v>
      </c>
      <c r="L169" t="n">
        <v>0</v>
      </c>
      <c r="M169" t="n">
        <v>0</v>
      </c>
      <c r="N169" t="n">
        <v>0</v>
      </c>
      <c r="O169" t="n">
        <v>0</v>
      </c>
      <c r="P169" t="n">
        <v>0</v>
      </c>
      <c r="Q169" t="n">
        <v>0</v>
      </c>
      <c r="R169" t="n">
        <v>0</v>
      </c>
      <c r="S169" t="n">
        <v>1</v>
      </c>
      <c r="T169" t="n">
        <v>1</v>
      </c>
      <c r="U169" s="2" t="inlineStr">
        <is>
          <t>Spindelblomster</t>
        </is>
      </c>
      <c r="V169">
        <f>HYPERLINK("https://klasma.github.io/Logging_2321/artfynd/A 53014-2023 artfynd.xlsx", "A 53014-2023")</f>
        <v/>
      </c>
      <c r="W169">
        <f>HYPERLINK("https://klasma.github.io/Logging_2321/kartor/A 53014-2023 karta.png", "A 53014-2023")</f>
        <v/>
      </c>
      <c r="Y169">
        <f>HYPERLINK("https://klasma.github.io/Logging_2321/klagomål/A 53014-2023 FSC-klagomål.docx", "A 53014-2023")</f>
        <v/>
      </c>
      <c r="Z169">
        <f>HYPERLINK("https://klasma.github.io/Logging_2321/klagomålsmail/A 53014-2023 FSC-klagomål mail.docx", "A 53014-2023")</f>
        <v/>
      </c>
      <c r="AA169">
        <f>HYPERLINK("https://klasma.github.io/Logging_2321/tillsyn/A 53014-2023 tillsynsbegäran.docx", "A 53014-2023")</f>
        <v/>
      </c>
      <c r="AB169">
        <f>HYPERLINK("https://klasma.github.io/Logging_2321/tillsynsmail/A 53014-2023 tillsynsbegäran mail.docx", "A 53014-2023")</f>
        <v/>
      </c>
    </row>
    <row r="170" ht="15" customHeight="1">
      <c r="A170" t="inlineStr">
        <is>
          <t>A 29239-2026</t>
        </is>
      </c>
      <c r="B170" t="inlineStr">
        <is>
          <t>avverkningsanmälan</t>
        </is>
      </c>
      <c r="C170" t="inlineStr">
        <is>
          <t>Avverkning för annat ändamål</t>
        </is>
      </c>
      <c r="D170" s="1" t="n">
        <v>46202</v>
      </c>
      <c r="E170" s="1" t="n">
        <v>46222</v>
      </c>
      <c r="F170" t="inlineStr">
        <is>
          <t>JÄMTLANDS LÄN</t>
        </is>
      </c>
      <c r="G170" t="inlineStr">
        <is>
          <t>ÅRE</t>
        </is>
      </c>
      <c r="H170" t="inlineStr">
        <is>
          <t>Kommuner</t>
        </is>
      </c>
      <c r="I170" t="n">
        <v>3.6</v>
      </c>
      <c r="J170" t="n">
        <v>1</v>
      </c>
      <c r="K170" t="n">
        <v>0</v>
      </c>
      <c r="L170" t="n">
        <v>0</v>
      </c>
      <c r="M170" t="n">
        <v>0</v>
      </c>
      <c r="N170" t="n">
        <v>0</v>
      </c>
      <c r="O170" t="n">
        <v>0</v>
      </c>
      <c r="P170" t="n">
        <v>0</v>
      </c>
      <c r="Q170" t="n">
        <v>0</v>
      </c>
      <c r="R170" t="n">
        <v>0</v>
      </c>
      <c r="S170" t="n">
        <v>1</v>
      </c>
      <c r="T170" t="n">
        <v>3</v>
      </c>
      <c r="U170" s="2" t="inlineStr">
        <is>
          <t>Revlummer</t>
        </is>
      </c>
      <c r="V170">
        <f>HYPERLINK("https://klasma.github.io/Logging_2321/artfynd/A 29239-2026 artfynd.xlsx", "A 29239-2026")</f>
        <v/>
      </c>
      <c r="W170">
        <f>HYPERLINK("https://klasma.github.io/Logging_2321/kartor/A 29239-2026 karta.png", "A 29239-2026")</f>
        <v/>
      </c>
      <c r="Y170">
        <f>HYPERLINK("https://klasma.github.io/Logging_2321/klagomål/A 29239-2026 FSC-klagomål.docx", "A 29239-2026")</f>
        <v/>
      </c>
      <c r="Z170">
        <f>HYPERLINK("https://klasma.github.io/Logging_2321/klagomålsmail/A 29239-2026 FSC-klagomål mail.docx", "A 29239-2026")</f>
        <v/>
      </c>
      <c r="AA170">
        <f>HYPERLINK("https://klasma.github.io/Logging_2321/tillsyn/A 29239-2026 tillsynsbegäran.docx", "A 29239-2026")</f>
        <v/>
      </c>
      <c r="AB170">
        <f>HYPERLINK("https://klasma.github.io/Logging_2321/tillsynsmail/A 29239-2026 tillsynsbegäran mail.docx", "A 29239-2026")</f>
        <v/>
      </c>
    </row>
    <row r="171" ht="15" customHeight="1">
      <c r="A171" t="inlineStr">
        <is>
          <t>A 1112-2025</t>
        </is>
      </c>
      <c r="B171" t="inlineStr">
        <is>
          <t>avverkningsanmälan</t>
        </is>
      </c>
      <c r="C171" t="inlineStr">
        <is>
          <t>Föryngringsavverkning</t>
        </is>
      </c>
      <c r="D171" s="1" t="n">
        <v>45666</v>
      </c>
      <c r="E171" s="1" t="n">
        <v>46222</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s="2" t="inlineStr">
        <is>
          <t>Doftskinn</t>
        </is>
      </c>
      <c r="V171">
        <f>HYPERLINK("https://klasma.github.io/Logging_2321/artfynd/A 1112-2025 artfynd.xlsx", "A 1112-2025")</f>
        <v/>
      </c>
      <c r="W171">
        <f>HYPERLINK("https://klasma.github.io/Logging_2321/kartor/A 1112-2025 karta.png", "A 1112-2025")</f>
        <v/>
      </c>
      <c r="Y171">
        <f>HYPERLINK("https://klasma.github.io/Logging_2321/klagomål/A 1112-2025 FSC-klagomål.docx", "A 1112-2025")</f>
        <v/>
      </c>
      <c r="Z171">
        <f>HYPERLINK("https://klasma.github.io/Logging_2321/klagomålsmail/A 1112-2025 FSC-klagomål mail.docx", "A 1112-2025")</f>
        <v/>
      </c>
      <c r="AA171">
        <f>HYPERLINK("https://klasma.github.io/Logging_2321/tillsyn/A 1112-2025 tillsynsbegäran.docx", "A 1112-2025")</f>
        <v/>
      </c>
      <c r="AB171">
        <f>HYPERLINK("https://klasma.github.io/Logging_2321/tillsynsmail/A 1112-2025 tillsynsbegäran mail.docx", "A 1112-2025")</f>
        <v/>
      </c>
    </row>
    <row r="172" ht="15" customHeight="1">
      <c r="A172" t="inlineStr">
        <is>
          <t>A 15909-2025</t>
        </is>
      </c>
      <c r="B172" t="inlineStr">
        <is>
          <t>avverkningsanmälan</t>
        </is>
      </c>
      <c r="C172" t="inlineStr">
        <is>
          <t>Föryngringsavverkning</t>
        </is>
      </c>
      <c r="D172" s="1" t="n">
        <v>45749</v>
      </c>
      <c r="E172" s="1" t="n">
        <v>46222</v>
      </c>
      <c r="F172" t="inlineStr">
        <is>
          <t>JÄMTLANDS LÄN</t>
        </is>
      </c>
      <c r="G172" t="inlineStr">
        <is>
          <t>ÅRE</t>
        </is>
      </c>
      <c r="I172" t="n">
        <v>23.8</v>
      </c>
      <c r="J172" t="n">
        <v>0</v>
      </c>
      <c r="K172" t="n">
        <v>0</v>
      </c>
      <c r="L172" t="n">
        <v>0</v>
      </c>
      <c r="M172" t="n">
        <v>1</v>
      </c>
      <c r="N172" t="n">
        <v>0</v>
      </c>
      <c r="O172" t="n">
        <v>0</v>
      </c>
      <c r="P172" t="n">
        <v>0</v>
      </c>
      <c r="Q172" t="n">
        <v>1</v>
      </c>
      <c r="R172" t="n">
        <v>1</v>
      </c>
      <c r="S172" t="n">
        <v>1</v>
      </c>
      <c r="T172" t="n">
        <v>1</v>
      </c>
      <c r="U172" s="2" t="inlineStr">
        <is>
          <t>Garnlav</t>
        </is>
      </c>
      <c r="V172">
        <f>HYPERLINK("https://klasma.github.io/Logging_2321/artfynd/A 15909-2025 artfynd.xlsx", "A 15909-2025")</f>
        <v/>
      </c>
      <c r="W172">
        <f>HYPERLINK("https://klasma.github.io/Logging_2321/kartor/A 15909-2025 karta.png", "A 15909-2025")</f>
        <v/>
      </c>
      <c r="Y172">
        <f>HYPERLINK("https://klasma.github.io/Logging_2321/klagomål/A 15909-2025 FSC-klagomål.docx", "A 15909-2025")</f>
        <v/>
      </c>
      <c r="Z172">
        <f>HYPERLINK("https://klasma.github.io/Logging_2321/klagomålsmail/A 15909-2025 FSC-klagomål mail.docx", "A 15909-2025")</f>
        <v/>
      </c>
      <c r="AA172">
        <f>HYPERLINK("https://klasma.github.io/Logging_2321/tillsyn/A 15909-2025 tillsynsbegäran.docx", "A 15909-2025")</f>
        <v/>
      </c>
      <c r="AB172">
        <f>HYPERLINK("https://klasma.github.io/Logging_2321/tillsynsmail/A 15909-2025 tillsynsbegäran mail.docx", "A 15909-2025")</f>
        <v/>
      </c>
    </row>
    <row r="173" ht="15" customHeight="1">
      <c r="A173" t="inlineStr">
        <is>
          <t>A 61471-2023</t>
        </is>
      </c>
      <c r="B173" t="inlineStr">
        <is>
          <t>avverkningsanmälan</t>
        </is>
      </c>
      <c r="C173" t="inlineStr">
        <is>
          <t>Föryngringsavverkning</t>
        </is>
      </c>
      <c r="D173" s="1" t="n">
        <v>45264</v>
      </c>
      <c r="E173" s="1" t="n">
        <v>46222</v>
      </c>
      <c r="F173" t="inlineStr">
        <is>
          <t>JÄMTLANDS LÄN</t>
        </is>
      </c>
      <c r="G173" t="inlineStr">
        <is>
          <t>ÅRE</t>
        </is>
      </c>
      <c r="I173" t="n">
        <v>1</v>
      </c>
      <c r="J173" t="n">
        <v>0</v>
      </c>
      <c r="K173" t="n">
        <v>0</v>
      </c>
      <c r="L173" t="n">
        <v>1</v>
      </c>
      <c r="M173" t="n">
        <v>0</v>
      </c>
      <c r="N173" t="n">
        <v>0</v>
      </c>
      <c r="O173" t="n">
        <v>0</v>
      </c>
      <c r="P173" t="n">
        <v>0</v>
      </c>
      <c r="Q173" t="n">
        <v>1</v>
      </c>
      <c r="R173" t="n">
        <v>0</v>
      </c>
      <c r="S173" t="n">
        <v>1</v>
      </c>
      <c r="T173" t="n">
        <v>2</v>
      </c>
      <c r="U173" s="2" t="inlineStr">
        <is>
          <t>Skrovellav</t>
        </is>
      </c>
      <c r="V173">
        <f>HYPERLINK("https://klasma.github.io/Logging_2321/artfynd/A 61471-2023 artfynd.xlsx", "A 61471-2023")</f>
        <v/>
      </c>
      <c r="W173">
        <f>HYPERLINK("https://klasma.github.io/Logging_2321/kartor/A 61471-2023 karta.png", "A 61471-2023")</f>
        <v/>
      </c>
      <c r="Y173">
        <f>HYPERLINK("https://klasma.github.io/Logging_2321/klagomål/A 61471-2023 FSC-klagomål.docx", "A 61471-2023")</f>
        <v/>
      </c>
      <c r="Z173">
        <f>HYPERLINK("https://klasma.github.io/Logging_2321/klagomålsmail/A 61471-2023 FSC-klagomål mail.docx", "A 61471-2023")</f>
        <v/>
      </c>
      <c r="AA173">
        <f>HYPERLINK("https://klasma.github.io/Logging_2321/tillsyn/A 61471-2023 tillsynsbegäran.docx", "A 61471-2023")</f>
        <v/>
      </c>
      <c r="AB173">
        <f>HYPERLINK("https://klasma.github.io/Logging_2321/tillsynsmail/A 61471-2023 tillsynsbegäran mail.docx", "A 61471-2023")</f>
        <v/>
      </c>
    </row>
    <row r="174" ht="15" customHeight="1">
      <c r="A174" t="inlineStr">
        <is>
          <t>A 65782-2021</t>
        </is>
      </c>
      <c r="B174" t="inlineStr">
        <is>
          <t>avverkningsanmälan</t>
        </is>
      </c>
      <c r="C174" t="inlineStr">
        <is>
          <t>Föryngringsavverkning</t>
        </is>
      </c>
      <c r="D174" s="1" t="n">
        <v>44516</v>
      </c>
      <c r="E174" s="1" t="n">
        <v>46222</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69801-2021</t>
        </is>
      </c>
      <c r="B175" t="inlineStr">
        <is>
          <t>avverkningsanmälan</t>
        </is>
      </c>
      <c r="C175" t="inlineStr">
        <is>
          <t>Föryngringsavverkning</t>
        </is>
      </c>
      <c r="D175" s="1" t="n">
        <v>44532</v>
      </c>
      <c r="E175" s="1" t="n">
        <v>46222</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s="2" t="inlineStr"/>
    </row>
    <row r="176" ht="15" customHeight="1">
      <c r="A176" t="inlineStr">
        <is>
          <t>A 37461-2021</t>
        </is>
      </c>
      <c r="B176" t="inlineStr">
        <is>
          <t>avverkningsanmälan</t>
        </is>
      </c>
      <c r="C176" t="inlineStr">
        <is>
          <t>Föryngringsavverkning</t>
        </is>
      </c>
      <c r="D176" s="1" t="n">
        <v>44398</v>
      </c>
      <c r="E176" s="1" t="n">
        <v>46222</v>
      </c>
      <c r="F176" t="inlineStr">
        <is>
          <t>JÄMTLANDS LÄN</t>
        </is>
      </c>
      <c r="G176" t="inlineStr">
        <is>
          <t>ÅRE</t>
        </is>
      </c>
      <c r="I176" t="n">
        <v>11.7</v>
      </c>
      <c r="J176" t="n">
        <v>0</v>
      </c>
      <c r="K176" t="n">
        <v>0</v>
      </c>
      <c r="L176" t="n">
        <v>0</v>
      </c>
      <c r="M176" t="n">
        <v>0</v>
      </c>
      <c r="N176" t="n">
        <v>0</v>
      </c>
      <c r="O176" t="n">
        <v>0</v>
      </c>
      <c r="P176" t="n">
        <v>0</v>
      </c>
      <c r="Q176" t="n">
        <v>0</v>
      </c>
      <c r="R176" t="n">
        <v>0</v>
      </c>
      <c r="S176" t="n">
        <v>0</v>
      </c>
      <c r="T176" t="n">
        <v>0</v>
      </c>
      <c r="U176" s="2" t="inlineStr"/>
    </row>
    <row r="177" ht="15" customHeight="1">
      <c r="A177" t="inlineStr">
        <is>
          <t>A 18443-2022</t>
        </is>
      </c>
      <c r="B177" t="inlineStr">
        <is>
          <t>avverkningsanmälan</t>
        </is>
      </c>
      <c r="C177" t="inlineStr">
        <is>
          <t>Föryngringsavverkning</t>
        </is>
      </c>
      <c r="D177" s="1" t="n">
        <v>44686</v>
      </c>
      <c r="E177" s="1" t="n">
        <v>46222</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s="2" t="inlineStr"/>
    </row>
    <row r="178" ht="15" customHeight="1">
      <c r="A178" t="inlineStr">
        <is>
          <t>A 60132-2021</t>
        </is>
      </c>
      <c r="B178" t="inlineStr">
        <is>
          <t>avverkningsanmälan</t>
        </is>
      </c>
      <c r="C178" t="inlineStr">
        <is>
          <t>Föryngringsavverkning</t>
        </is>
      </c>
      <c r="D178" s="1" t="n">
        <v>44495</v>
      </c>
      <c r="E178" s="1" t="n">
        <v>46222</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s="2" t="inlineStr"/>
    </row>
    <row r="179" ht="15" customHeight="1">
      <c r="A179" t="inlineStr">
        <is>
          <t>A 38265-2022</t>
        </is>
      </c>
      <c r="B179" t="inlineStr">
        <is>
          <t>avverkningsanmälan</t>
        </is>
      </c>
      <c r="C179" t="inlineStr">
        <is>
          <t>Avverkning för annat ändamål</t>
        </is>
      </c>
      <c r="D179" s="1" t="n">
        <v>44812</v>
      </c>
      <c r="E179" s="1" t="n">
        <v>46222</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51042-2021</t>
        </is>
      </c>
      <c r="B180" t="inlineStr">
        <is>
          <t>avverkningsanmälan</t>
        </is>
      </c>
      <c r="C180" t="inlineStr">
        <is>
          <t>Avverkning för annat ändamål</t>
        </is>
      </c>
      <c r="D180" s="1" t="n">
        <v>44461</v>
      </c>
      <c r="E180" s="1" t="n">
        <v>46222</v>
      </c>
      <c r="F180" t="inlineStr">
        <is>
          <t>JÄMTLANDS LÄN</t>
        </is>
      </c>
      <c r="G180" t="inlineStr">
        <is>
          <t>ÅRE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58230-2021</t>
        </is>
      </c>
      <c r="B181" t="inlineStr">
        <is>
          <t>avverkningsanmälan</t>
        </is>
      </c>
      <c r="C181" t="inlineStr">
        <is>
          <t>Föryngringsavverkning</t>
        </is>
      </c>
      <c r="D181" s="1" t="n">
        <v>44487</v>
      </c>
      <c r="E181" s="1" t="n">
        <v>46222</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s="2" t="inlineStr"/>
    </row>
    <row r="182" ht="15" customHeight="1">
      <c r="A182" t="inlineStr">
        <is>
          <t>A 45461-2022</t>
        </is>
      </c>
      <c r="B182" t="inlineStr">
        <is>
          <t>avverkningsanmälan</t>
        </is>
      </c>
      <c r="C182" t="inlineStr">
        <is>
          <t>Föryngringsavverkning</t>
        </is>
      </c>
      <c r="D182" s="1" t="n">
        <v>44841</v>
      </c>
      <c r="E182" s="1" t="n">
        <v>46222</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65415-2021</t>
        </is>
      </c>
      <c r="B183" t="inlineStr">
        <is>
          <t>avverkningsanmälan</t>
        </is>
      </c>
      <c r="C183" t="inlineStr">
        <is>
          <t>Avverkning för annat ändamål</t>
        </is>
      </c>
      <c r="D183" s="1" t="n">
        <v>44515</v>
      </c>
      <c r="E183" s="1" t="n">
        <v>46222</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67541-2021</t>
        </is>
      </c>
      <c r="B184" t="inlineStr">
        <is>
          <t>avverkningsanmälan</t>
        </is>
      </c>
      <c r="C184" t="inlineStr">
        <is>
          <t>Föryngringsavverkning</t>
        </is>
      </c>
      <c r="D184" s="1" t="n">
        <v>44524</v>
      </c>
      <c r="E184" s="1" t="n">
        <v>46222</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47873-2022</t>
        </is>
      </c>
      <c r="B185" t="inlineStr">
        <is>
          <t>avverkningsanmälan</t>
        </is>
      </c>
      <c r="C185" t="inlineStr">
        <is>
          <t>Föryngringsavverkning</t>
        </is>
      </c>
      <c r="D185" s="1" t="n">
        <v>44855</v>
      </c>
      <c r="E185" s="1" t="n">
        <v>46222</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62183-2021</t>
        </is>
      </c>
      <c r="B186" t="inlineStr">
        <is>
          <t>avverkningsanmälan</t>
        </is>
      </c>
      <c r="C186" t="inlineStr">
        <is>
          <t>Föryngringsavverkning</t>
        </is>
      </c>
      <c r="D186" s="1" t="n">
        <v>44502</v>
      </c>
      <c r="E186" s="1" t="n">
        <v>46222</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72214-2021</t>
        </is>
      </c>
      <c r="B187" t="inlineStr">
        <is>
          <t>avverkningsanmälan</t>
        </is>
      </c>
      <c r="C187" t="inlineStr">
        <is>
          <t>Föryngringsavverkning</t>
        </is>
      </c>
      <c r="D187" s="1" t="n">
        <v>44544</v>
      </c>
      <c r="E187" s="1" t="n">
        <v>46222</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s="2" t="inlineStr"/>
    </row>
    <row r="188" ht="15" customHeight="1">
      <c r="A188" t="inlineStr">
        <is>
          <t>A 72215-2021</t>
        </is>
      </c>
      <c r="B188" t="inlineStr">
        <is>
          <t>avverkningsanmälan</t>
        </is>
      </c>
      <c r="C188" t="inlineStr">
        <is>
          <t>Föryngringsavverkning</t>
        </is>
      </c>
      <c r="D188" s="1" t="n">
        <v>44544</v>
      </c>
      <c r="E188" s="1" t="n">
        <v>46222</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s="2" t="inlineStr"/>
    </row>
    <row r="189" ht="15" customHeight="1">
      <c r="A189" t="inlineStr">
        <is>
          <t>A 37086-2021</t>
        </is>
      </c>
      <c r="B189" t="inlineStr">
        <is>
          <t>avverkningsanmälan</t>
        </is>
      </c>
      <c r="C189" t="inlineStr">
        <is>
          <t>Föryngringsavverkning</t>
        </is>
      </c>
      <c r="D189" s="1" t="n">
        <v>44395</v>
      </c>
      <c r="E189" s="1" t="n">
        <v>46222</v>
      </c>
      <c r="F189" t="inlineStr">
        <is>
          <t>JÄMTLANDS LÄN</t>
        </is>
      </c>
      <c r="G189" t="inlineStr">
        <is>
          <t>ÅRE</t>
        </is>
      </c>
      <c r="I189" t="n">
        <v>34.1</v>
      </c>
      <c r="J189" t="n">
        <v>0</v>
      </c>
      <c r="K189" t="n">
        <v>0</v>
      </c>
      <c r="L189" t="n">
        <v>0</v>
      </c>
      <c r="M189" t="n">
        <v>0</v>
      </c>
      <c r="N189" t="n">
        <v>0</v>
      </c>
      <c r="O189" t="n">
        <v>0</v>
      </c>
      <c r="P189" t="n">
        <v>0</v>
      </c>
      <c r="Q189" t="n">
        <v>0</v>
      </c>
      <c r="R189" t="n">
        <v>0</v>
      </c>
      <c r="S189" t="n">
        <v>0</v>
      </c>
      <c r="T189" t="n">
        <v>0</v>
      </c>
      <c r="U189" s="2" t="inlineStr"/>
    </row>
    <row r="190" ht="15" customHeight="1">
      <c r="A190" t="inlineStr">
        <is>
          <t>A 2571-2022</t>
        </is>
      </c>
      <c r="B190" t="inlineStr">
        <is>
          <t>avverkningsanmälan</t>
        </is>
      </c>
      <c r="C190" t="inlineStr">
        <is>
          <t>Föryngringsavverkning</t>
        </is>
      </c>
      <c r="D190" s="1" t="n">
        <v>44580</v>
      </c>
      <c r="E190" s="1" t="n">
        <v>46222</v>
      </c>
      <c r="F190" t="inlineStr">
        <is>
          <t>JÄMTLANDS LÄN</t>
        </is>
      </c>
      <c r="G190" t="inlineStr">
        <is>
          <t>ÅRE</t>
        </is>
      </c>
      <c r="I190" t="n">
        <v>3.7</v>
      </c>
      <c r="J190" t="n">
        <v>0</v>
      </c>
      <c r="K190" t="n">
        <v>0</v>
      </c>
      <c r="L190" t="n">
        <v>0</v>
      </c>
      <c r="M190" t="n">
        <v>0</v>
      </c>
      <c r="N190" t="n">
        <v>0</v>
      </c>
      <c r="O190" t="n">
        <v>0</v>
      </c>
      <c r="P190" t="n">
        <v>0</v>
      </c>
      <c r="Q190" t="n">
        <v>0</v>
      </c>
      <c r="R190" t="n">
        <v>0</v>
      </c>
      <c r="S190" t="n">
        <v>0</v>
      </c>
      <c r="T190" t="n">
        <v>0</v>
      </c>
      <c r="U190" s="2" t="inlineStr"/>
    </row>
    <row r="191" ht="15" customHeight="1">
      <c r="A191" t="inlineStr">
        <is>
          <t>A 58228-2021</t>
        </is>
      </c>
      <c r="B191" t="inlineStr">
        <is>
          <t>avverkningsanmälan</t>
        </is>
      </c>
      <c r="C191" t="inlineStr">
        <is>
          <t>Föryngringsavverkning</t>
        </is>
      </c>
      <c r="D191" s="1" t="n">
        <v>44487</v>
      </c>
      <c r="E191" s="1" t="n">
        <v>46222</v>
      </c>
      <c r="F191" t="inlineStr">
        <is>
          <t>JÄMTLANDS LÄN</t>
        </is>
      </c>
      <c r="G191" t="inlineStr">
        <is>
          <t>ÅRE</t>
        </is>
      </c>
      <c r="I191" t="n">
        <v>46.2</v>
      </c>
      <c r="J191" t="n">
        <v>0</v>
      </c>
      <c r="K191" t="n">
        <v>0</v>
      </c>
      <c r="L191" t="n">
        <v>0</v>
      </c>
      <c r="M191" t="n">
        <v>0</v>
      </c>
      <c r="N191" t="n">
        <v>0</v>
      </c>
      <c r="O191" t="n">
        <v>0</v>
      </c>
      <c r="P191" t="n">
        <v>0</v>
      </c>
      <c r="Q191" t="n">
        <v>0</v>
      </c>
      <c r="R191" t="n">
        <v>0</v>
      </c>
      <c r="S191" t="n">
        <v>0</v>
      </c>
      <c r="T191" t="n">
        <v>0</v>
      </c>
      <c r="U191" s="2" t="inlineStr"/>
    </row>
    <row r="192" ht="15" customHeight="1">
      <c r="A192" t="inlineStr">
        <is>
          <t>A 33565-2022</t>
        </is>
      </c>
      <c r="B192" t="inlineStr">
        <is>
          <t>avverkningsanmälan</t>
        </is>
      </c>
      <c r="C192" t="inlineStr">
        <is>
          <t>Föryngringsavverkning</t>
        </is>
      </c>
      <c r="D192" s="1" t="n">
        <v>44789</v>
      </c>
      <c r="E192" s="1" t="n">
        <v>46222</v>
      </c>
      <c r="F192" t="inlineStr">
        <is>
          <t>JÄMTLANDS LÄN</t>
        </is>
      </c>
      <c r="G192" t="inlineStr">
        <is>
          <t>ÅRE</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2230-2022</t>
        </is>
      </c>
      <c r="B193" t="inlineStr">
        <is>
          <t>avverkningsanmälan</t>
        </is>
      </c>
      <c r="C193" t="inlineStr">
        <is>
          <t>Avverkning för annat ändamål</t>
        </is>
      </c>
      <c r="D193" s="1" t="n">
        <v>44578</v>
      </c>
      <c r="E193" s="1" t="n">
        <v>46222</v>
      </c>
      <c r="F193" t="inlineStr">
        <is>
          <t>JÄMTLANDS LÄN</t>
        </is>
      </c>
      <c r="G193" t="inlineStr">
        <is>
          <t>ÅRE</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20827-2022</t>
        </is>
      </c>
      <c r="B194" t="inlineStr">
        <is>
          <t>avverkningsanmälan</t>
        </is>
      </c>
      <c r="C194" t="inlineStr">
        <is>
          <t>Föryngringsavverkning</t>
        </is>
      </c>
      <c r="D194" s="1" t="n">
        <v>44700</v>
      </c>
      <c r="E194" s="1" t="n">
        <v>46222</v>
      </c>
      <c r="F194" t="inlineStr">
        <is>
          <t>JÄMTLANDS LÄN</t>
        </is>
      </c>
      <c r="G194" t="inlineStr">
        <is>
          <t>ÅRE</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20816-2022</t>
        </is>
      </c>
      <c r="B195" t="inlineStr">
        <is>
          <t>avverkningsanmälan</t>
        </is>
      </c>
      <c r="C195" t="inlineStr">
        <is>
          <t>Föryngringsavverkning</t>
        </is>
      </c>
      <c r="D195" s="1" t="n">
        <v>44700</v>
      </c>
      <c r="E195" s="1" t="n">
        <v>46222</v>
      </c>
      <c r="F195" t="inlineStr">
        <is>
          <t>JÄMTLANDS LÄN</t>
        </is>
      </c>
      <c r="G195" t="inlineStr">
        <is>
          <t>ÅRE</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62352-2021</t>
        </is>
      </c>
      <c r="B196" t="inlineStr">
        <is>
          <t>avverkningsanmälan</t>
        </is>
      </c>
      <c r="C196" t="inlineStr">
        <is>
          <t>Föryngringsavverkning</t>
        </is>
      </c>
      <c r="D196" s="1" t="n">
        <v>44502</v>
      </c>
      <c r="E196" s="1" t="n">
        <v>46222</v>
      </c>
      <c r="F196" t="inlineStr">
        <is>
          <t>JÄMTLANDS LÄN</t>
        </is>
      </c>
      <c r="G196" t="inlineStr">
        <is>
          <t>ÅRE</t>
        </is>
      </c>
      <c r="H196" t="inlineStr">
        <is>
          <t>Övriga statliga verk och myndigheter</t>
        </is>
      </c>
      <c r="I196" t="n">
        <v>64.90000000000001</v>
      </c>
      <c r="J196" t="n">
        <v>0</v>
      </c>
      <c r="K196" t="n">
        <v>0</v>
      </c>
      <c r="L196" t="n">
        <v>0</v>
      </c>
      <c r="M196" t="n">
        <v>0</v>
      </c>
      <c r="N196" t="n">
        <v>0</v>
      </c>
      <c r="O196" t="n">
        <v>0</v>
      </c>
      <c r="P196" t="n">
        <v>0</v>
      </c>
      <c r="Q196" t="n">
        <v>0</v>
      </c>
      <c r="R196" t="n">
        <v>0</v>
      </c>
      <c r="S196" t="n">
        <v>0</v>
      </c>
      <c r="T196" t="n">
        <v>0</v>
      </c>
      <c r="U196" s="2" t="inlineStr"/>
    </row>
    <row r="197" ht="15" customHeight="1">
      <c r="A197" t="inlineStr">
        <is>
          <t>A 33023-2022</t>
        </is>
      </c>
      <c r="B197" t="inlineStr">
        <is>
          <t>avverkningsanmälan</t>
        </is>
      </c>
      <c r="C197" t="inlineStr">
        <is>
          <t>Föryngringsavverkning</t>
        </is>
      </c>
      <c r="D197" s="1" t="n">
        <v>44784</v>
      </c>
      <c r="E197" s="1" t="n">
        <v>46222</v>
      </c>
      <c r="F197" t="inlineStr">
        <is>
          <t>JÄMTLANDS LÄN</t>
        </is>
      </c>
      <c r="G197" t="inlineStr">
        <is>
          <t>ÅRE</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71005-2021</t>
        </is>
      </c>
      <c r="B198" t="inlineStr">
        <is>
          <t>avverkningsanmälan</t>
        </is>
      </c>
      <c r="C198" t="inlineStr">
        <is>
          <t>Föryngringsavverkning</t>
        </is>
      </c>
      <c r="D198" s="1" t="n">
        <v>44538</v>
      </c>
      <c r="E198" s="1" t="n">
        <v>46222</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26533-2022</t>
        </is>
      </c>
      <c r="B199" t="inlineStr">
        <is>
          <t>avverkningsanmälan</t>
        </is>
      </c>
      <c r="C199" t="inlineStr">
        <is>
          <t>Föryngringsavverkning</t>
        </is>
      </c>
      <c r="D199" s="1" t="n">
        <v>44739</v>
      </c>
      <c r="E199" s="1" t="n">
        <v>46222</v>
      </c>
      <c r="F199" t="inlineStr">
        <is>
          <t>JÄMTLANDS LÄN</t>
        </is>
      </c>
      <c r="G199" t="inlineStr">
        <is>
          <t>ÅRE</t>
        </is>
      </c>
      <c r="H199" t="inlineStr">
        <is>
          <t>Övriga Aktiebolag</t>
        </is>
      </c>
      <c r="I199" t="n">
        <v>3.8</v>
      </c>
      <c r="J199" t="n">
        <v>0</v>
      </c>
      <c r="K199" t="n">
        <v>0</v>
      </c>
      <c r="L199" t="n">
        <v>0</v>
      </c>
      <c r="M199" t="n">
        <v>0</v>
      </c>
      <c r="N199" t="n">
        <v>0</v>
      </c>
      <c r="O199" t="n">
        <v>0</v>
      </c>
      <c r="P199" t="n">
        <v>0</v>
      </c>
      <c r="Q199" t="n">
        <v>0</v>
      </c>
      <c r="R199" t="n">
        <v>0</v>
      </c>
      <c r="S199" t="n">
        <v>0</v>
      </c>
      <c r="T199" t="n">
        <v>0</v>
      </c>
      <c r="U199" s="2" t="inlineStr"/>
    </row>
    <row r="200" ht="15" customHeight="1">
      <c r="A200" t="inlineStr">
        <is>
          <t>A 70522-2021</t>
        </is>
      </c>
      <c r="B200" t="inlineStr">
        <is>
          <t>avverkningsanmälan</t>
        </is>
      </c>
      <c r="C200" t="inlineStr">
        <is>
          <t>Föryngringsavverkning</t>
        </is>
      </c>
      <c r="D200" s="1" t="n">
        <v>44536</v>
      </c>
      <c r="E200" s="1" t="n">
        <v>46222</v>
      </c>
      <c r="F200" t="inlineStr">
        <is>
          <t>JÄMTLANDS LÄN</t>
        </is>
      </c>
      <c r="G200" t="inlineStr">
        <is>
          <t>ÅRE</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70523-2021</t>
        </is>
      </c>
      <c r="B201" t="inlineStr">
        <is>
          <t>avverkningsanmälan</t>
        </is>
      </c>
      <c r="C201" t="inlineStr">
        <is>
          <t>Föryngringsavverkning</t>
        </is>
      </c>
      <c r="D201" s="1" t="n">
        <v>44536</v>
      </c>
      <c r="E201" s="1" t="n">
        <v>46222</v>
      </c>
      <c r="F201" t="inlineStr">
        <is>
          <t>JÄMTLANDS LÄN</t>
        </is>
      </c>
      <c r="G201" t="inlineStr">
        <is>
          <t>ÅRE</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8576-2024</t>
        </is>
      </c>
      <c r="B202" t="inlineStr">
        <is>
          <t>avverkningsanmälan</t>
        </is>
      </c>
      <c r="C202" t="inlineStr">
        <is>
          <t>Föryngringsavverkning</t>
        </is>
      </c>
      <c r="D202" s="1" t="n">
        <v>45355</v>
      </c>
      <c r="E202" s="1" t="n">
        <v>46222</v>
      </c>
      <c r="F202" t="inlineStr">
        <is>
          <t>JÄMTLANDS LÄN</t>
        </is>
      </c>
      <c r="G202" t="inlineStr">
        <is>
          <t>ÅRE</t>
        </is>
      </c>
      <c r="I202" t="n">
        <v>21.7</v>
      </c>
      <c r="J202" t="n">
        <v>0</v>
      </c>
      <c r="K202" t="n">
        <v>0</v>
      </c>
      <c r="L202" t="n">
        <v>0</v>
      </c>
      <c r="M202" t="n">
        <v>0</v>
      </c>
      <c r="N202" t="n">
        <v>0</v>
      </c>
      <c r="O202" t="n">
        <v>0</v>
      </c>
      <c r="P202" t="n">
        <v>0</v>
      </c>
      <c r="Q202" t="n">
        <v>0</v>
      </c>
      <c r="R202" t="n">
        <v>0</v>
      </c>
      <c r="S202" t="n">
        <v>0</v>
      </c>
      <c r="T202" t="n">
        <v>0</v>
      </c>
      <c r="U202" s="2" t="inlineStr"/>
    </row>
    <row r="203" ht="15" customHeight="1">
      <c r="A203" t="inlineStr">
        <is>
          <t>A 54615-2022</t>
        </is>
      </c>
      <c r="B203" t="inlineStr">
        <is>
          <t>avverkningsanmälan</t>
        </is>
      </c>
      <c r="C203" t="inlineStr">
        <is>
          <t>Föryngringsavverkning</t>
        </is>
      </c>
      <c r="D203" s="1" t="n">
        <v>44883</v>
      </c>
      <c r="E203" s="1" t="n">
        <v>46222</v>
      </c>
      <c r="F203" t="inlineStr">
        <is>
          <t>JÄMTLANDS LÄN</t>
        </is>
      </c>
      <c r="G203" t="inlineStr">
        <is>
          <t>ÅRE</t>
        </is>
      </c>
      <c r="H203" t="inlineStr">
        <is>
          <t>Övriga Aktiebolag</t>
        </is>
      </c>
      <c r="I203" t="n">
        <v>5.1</v>
      </c>
      <c r="J203" t="n">
        <v>0</v>
      </c>
      <c r="K203" t="n">
        <v>0</v>
      </c>
      <c r="L203" t="n">
        <v>0</v>
      </c>
      <c r="M203" t="n">
        <v>0</v>
      </c>
      <c r="N203" t="n">
        <v>0</v>
      </c>
      <c r="O203" t="n">
        <v>0</v>
      </c>
      <c r="P203" t="n">
        <v>0</v>
      </c>
      <c r="Q203" t="n">
        <v>0</v>
      </c>
      <c r="R203" t="n">
        <v>0</v>
      </c>
      <c r="S203" t="n">
        <v>0</v>
      </c>
      <c r="T203" t="n">
        <v>0</v>
      </c>
      <c r="U203" s="2" t="inlineStr"/>
    </row>
    <row r="204" ht="15" customHeight="1">
      <c r="A204" t="inlineStr">
        <is>
          <t>A 54175-2023</t>
        </is>
      </c>
      <c r="B204" t="inlineStr">
        <is>
          <t>avverkningsanmälan</t>
        </is>
      </c>
      <c r="C204" t="inlineStr">
        <is>
          <t>Avverkning för annat ändamål</t>
        </is>
      </c>
      <c r="D204" s="1" t="n">
        <v>45232</v>
      </c>
      <c r="E204" s="1" t="n">
        <v>46222</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34231-2023</t>
        </is>
      </c>
      <c r="B205" t="inlineStr">
        <is>
          <t>avverkningsanmälan</t>
        </is>
      </c>
      <c r="C205" t="inlineStr">
        <is>
          <t>Föryngringsavverkning</t>
        </is>
      </c>
      <c r="D205" s="1" t="n">
        <v>45127</v>
      </c>
      <c r="E205" s="1" t="n">
        <v>46222</v>
      </c>
      <c r="F205" t="inlineStr">
        <is>
          <t>JÄMTLANDS LÄN</t>
        </is>
      </c>
      <c r="G205" t="inlineStr">
        <is>
          <t>ÅRE</t>
        </is>
      </c>
      <c r="I205" t="n">
        <v>18.3</v>
      </c>
      <c r="J205" t="n">
        <v>0</v>
      </c>
      <c r="K205" t="n">
        <v>0</v>
      </c>
      <c r="L205" t="n">
        <v>0</v>
      </c>
      <c r="M205" t="n">
        <v>0</v>
      </c>
      <c r="N205" t="n">
        <v>0</v>
      </c>
      <c r="O205" t="n">
        <v>0</v>
      </c>
      <c r="P205" t="n">
        <v>0</v>
      </c>
      <c r="Q205" t="n">
        <v>0</v>
      </c>
      <c r="R205" t="n">
        <v>0</v>
      </c>
      <c r="S205" t="n">
        <v>0</v>
      </c>
      <c r="T205" t="n">
        <v>0</v>
      </c>
      <c r="U205" s="2" t="inlineStr"/>
    </row>
    <row r="206" ht="15" customHeight="1">
      <c r="A206" t="inlineStr">
        <is>
          <t>A 49818-2022</t>
        </is>
      </c>
      <c r="B206" t="inlineStr">
        <is>
          <t>avverkningsanmälan</t>
        </is>
      </c>
      <c r="C206" t="inlineStr">
        <is>
          <t>Föryngringsavverkning</t>
        </is>
      </c>
      <c r="D206" s="1" t="n">
        <v>44859</v>
      </c>
      <c r="E206" s="1" t="n">
        <v>46222</v>
      </c>
      <c r="F206" t="inlineStr">
        <is>
          <t>JÄMTLANDS LÄN</t>
        </is>
      </c>
      <c r="G206" t="inlineStr">
        <is>
          <t>ÅRE</t>
        </is>
      </c>
      <c r="I206" t="n">
        <v>63</v>
      </c>
      <c r="J206" t="n">
        <v>0</v>
      </c>
      <c r="K206" t="n">
        <v>0</v>
      </c>
      <c r="L206" t="n">
        <v>0</v>
      </c>
      <c r="M206" t="n">
        <v>0</v>
      </c>
      <c r="N206" t="n">
        <v>0</v>
      </c>
      <c r="O206" t="n">
        <v>0</v>
      </c>
      <c r="P206" t="n">
        <v>0</v>
      </c>
      <c r="Q206" t="n">
        <v>0</v>
      </c>
      <c r="R206" t="n">
        <v>0</v>
      </c>
      <c r="S206" t="n">
        <v>0</v>
      </c>
      <c r="T206" t="n">
        <v>0</v>
      </c>
      <c r="U206" s="2" t="inlineStr"/>
    </row>
    <row r="207" ht="15" customHeight="1">
      <c r="A207" t="inlineStr">
        <is>
          <t>A 15482-2024</t>
        </is>
      </c>
      <c r="B207" t="inlineStr">
        <is>
          <t>avverkningsanmälan</t>
        </is>
      </c>
      <c r="C207" t="inlineStr">
        <is>
          <t>Föryngringsavverkning</t>
        </is>
      </c>
      <c r="D207" s="1" t="n">
        <v>45401</v>
      </c>
      <c r="E207" s="1" t="n">
        <v>46222</v>
      </c>
      <c r="F207" t="inlineStr">
        <is>
          <t>JÄMTLANDS LÄN</t>
        </is>
      </c>
      <c r="G207" t="inlineStr">
        <is>
          <t>ÅRE</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20170-2025</t>
        </is>
      </c>
      <c r="B208" t="inlineStr">
        <is>
          <t>avverkningsanmälan</t>
        </is>
      </c>
      <c r="C208" t="inlineStr">
        <is>
          <t>Avverkning för annat ändamål</t>
        </is>
      </c>
      <c r="D208" s="1" t="n">
        <v>45772</v>
      </c>
      <c r="E208" s="1" t="n">
        <v>46222</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56576-2022</t>
        </is>
      </c>
      <c r="B209" t="inlineStr">
        <is>
          <t>avverkningsanmälan</t>
        </is>
      </c>
      <c r="C209" t="inlineStr">
        <is>
          <t>Föryngringsavverkning</t>
        </is>
      </c>
      <c r="D209" s="1" t="n">
        <v>44893</v>
      </c>
      <c r="E209" s="1" t="n">
        <v>46222</v>
      </c>
      <c r="F209" t="inlineStr">
        <is>
          <t>JÄMTLANDS LÄN</t>
        </is>
      </c>
      <c r="G209" t="inlineStr">
        <is>
          <t>ÅRE</t>
        </is>
      </c>
      <c r="H209" t="inlineStr">
        <is>
          <t>Övriga Aktiebolag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69170-2021</t>
        </is>
      </c>
      <c r="B210" t="inlineStr">
        <is>
          <t>avverkningsanmälan</t>
        </is>
      </c>
      <c r="C210" t="inlineStr">
        <is>
          <t>Föryngringsavverkning</t>
        </is>
      </c>
      <c r="D210" s="1" t="n">
        <v>44529</v>
      </c>
      <c r="E210" s="1" t="n">
        <v>46222</v>
      </c>
      <c r="F210" t="inlineStr">
        <is>
          <t>JÄMTLANDS LÄN</t>
        </is>
      </c>
      <c r="G210" t="inlineStr">
        <is>
          <t>ÅRE</t>
        </is>
      </c>
      <c r="I210" t="n">
        <v>114.4</v>
      </c>
      <c r="J210" t="n">
        <v>0</v>
      </c>
      <c r="K210" t="n">
        <v>0</v>
      </c>
      <c r="L210" t="n">
        <v>0</v>
      </c>
      <c r="M210" t="n">
        <v>0</v>
      </c>
      <c r="N210" t="n">
        <v>0</v>
      </c>
      <c r="O210" t="n">
        <v>0</v>
      </c>
      <c r="P210" t="n">
        <v>0</v>
      </c>
      <c r="Q210" t="n">
        <v>0</v>
      </c>
      <c r="R210" t="n">
        <v>0</v>
      </c>
      <c r="S210" t="n">
        <v>0</v>
      </c>
      <c r="T210" t="n">
        <v>0</v>
      </c>
      <c r="U210" s="2" t="inlineStr"/>
    </row>
    <row r="211" ht="15" customHeight="1">
      <c r="A211" t="inlineStr">
        <is>
          <t>A 38456-2021</t>
        </is>
      </c>
      <c r="B211" t="inlineStr">
        <is>
          <t>avverkningsanmälan</t>
        </is>
      </c>
      <c r="C211" t="inlineStr">
        <is>
          <t>Föryngringsavverkning</t>
        </is>
      </c>
      <c r="D211" s="1" t="n">
        <v>44406</v>
      </c>
      <c r="E211" s="1" t="n">
        <v>46222</v>
      </c>
      <c r="F211" t="inlineStr">
        <is>
          <t>JÄMTLANDS LÄN</t>
        </is>
      </c>
      <c r="G211" t="inlineStr">
        <is>
          <t>ÅRE</t>
        </is>
      </c>
      <c r="I211" t="n">
        <v>19.8</v>
      </c>
      <c r="J211" t="n">
        <v>0</v>
      </c>
      <c r="K211" t="n">
        <v>0</v>
      </c>
      <c r="L211" t="n">
        <v>0</v>
      </c>
      <c r="M211" t="n">
        <v>0</v>
      </c>
      <c r="N211" t="n">
        <v>0</v>
      </c>
      <c r="O211" t="n">
        <v>0</v>
      </c>
      <c r="P211" t="n">
        <v>0</v>
      </c>
      <c r="Q211" t="n">
        <v>0</v>
      </c>
      <c r="R211" t="n">
        <v>0</v>
      </c>
      <c r="S211" t="n">
        <v>0</v>
      </c>
      <c r="T211" t="n">
        <v>0</v>
      </c>
      <c r="U211" s="2" t="inlineStr"/>
    </row>
    <row r="212" ht="15" customHeight="1">
      <c r="A212" t="inlineStr">
        <is>
          <t>A 59968-2023</t>
        </is>
      </c>
      <c r="B212" t="inlineStr">
        <is>
          <t>avverkningsanmälan</t>
        </is>
      </c>
      <c r="C212" t="inlineStr">
        <is>
          <t>Föryngringsavverkning</t>
        </is>
      </c>
      <c r="D212" s="1" t="n">
        <v>45254</v>
      </c>
      <c r="E212" s="1" t="n">
        <v>46222</v>
      </c>
      <c r="F212" t="inlineStr">
        <is>
          <t>JÄMTLANDS LÄN</t>
        </is>
      </c>
      <c r="G212" t="inlineStr">
        <is>
          <t>ÅRE</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64237-2021</t>
        </is>
      </c>
      <c r="B213" t="inlineStr">
        <is>
          <t>avverkningsanmälan</t>
        </is>
      </c>
      <c r="C213" t="inlineStr">
        <is>
          <t>Föryngringsavverkning</t>
        </is>
      </c>
      <c r="D213" s="1" t="n">
        <v>44510</v>
      </c>
      <c r="E213" s="1" t="n">
        <v>46222</v>
      </c>
      <c r="F213" t="inlineStr">
        <is>
          <t>JÄMTLANDS LÄN</t>
        </is>
      </c>
      <c r="G213" t="inlineStr">
        <is>
          <t>ÅRE</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64758-2023</t>
        </is>
      </c>
      <c r="B214" t="inlineStr">
        <is>
          <t>avverkningsanmälan</t>
        </is>
      </c>
      <c r="C214" t="inlineStr">
        <is>
          <t>Föryngringsavverkning</t>
        </is>
      </c>
      <c r="D214" s="1" t="n">
        <v>45281</v>
      </c>
      <c r="E214" s="1" t="n">
        <v>46222</v>
      </c>
      <c r="F214" t="inlineStr">
        <is>
          <t>JÄMTLANDS LÄN</t>
        </is>
      </c>
      <c r="G214" t="inlineStr">
        <is>
          <t>ÅRE</t>
        </is>
      </c>
      <c r="H214" t="inlineStr">
        <is>
          <t>Övriga Aktiebolag</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43324-2022</t>
        </is>
      </c>
      <c r="B215" t="inlineStr">
        <is>
          <t>avverkningsanmälan</t>
        </is>
      </c>
      <c r="C215" t="inlineStr">
        <is>
          <t>Föryngringsavverkning</t>
        </is>
      </c>
      <c r="D215" s="1" t="n">
        <v>44834</v>
      </c>
      <c r="E215" s="1" t="n">
        <v>46222</v>
      </c>
      <c r="F215" t="inlineStr">
        <is>
          <t>JÄMTLANDS LÄN</t>
        </is>
      </c>
      <c r="G215" t="inlineStr">
        <is>
          <t>ÅRE</t>
        </is>
      </c>
      <c r="H215" t="inlineStr">
        <is>
          <t>Bergvik skog öst AB</t>
        </is>
      </c>
      <c r="I215" t="n">
        <v>8.699999999999999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40336-2021</t>
        </is>
      </c>
      <c r="B216" t="inlineStr">
        <is>
          <t>avverkningsanmälan</t>
        </is>
      </c>
      <c r="C216" t="inlineStr">
        <is>
          <t>Föryngringsavverkning</t>
        </is>
      </c>
      <c r="D216" s="1" t="n">
        <v>44419</v>
      </c>
      <c r="E216" s="1" t="n">
        <v>46222</v>
      </c>
      <c r="F216" t="inlineStr">
        <is>
          <t>JÄMTLANDS LÄN</t>
        </is>
      </c>
      <c r="G216" t="inlineStr">
        <is>
          <t>ÅRE</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7970-2023</t>
        </is>
      </c>
      <c r="B217" t="inlineStr">
        <is>
          <t>avverkningsanmälan</t>
        </is>
      </c>
      <c r="C217" t="inlineStr">
        <is>
          <t>Föryngringsavverkning</t>
        </is>
      </c>
      <c r="D217" s="1" t="n">
        <v>44970</v>
      </c>
      <c r="E217" s="1" t="n">
        <v>46222</v>
      </c>
      <c r="F217" t="inlineStr">
        <is>
          <t>JÄMTLANDS LÄN</t>
        </is>
      </c>
      <c r="G217" t="inlineStr">
        <is>
          <t>ÅRE</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61622-2023</t>
        </is>
      </c>
      <c r="B218" t="inlineStr">
        <is>
          <t>avverkningsanmälan</t>
        </is>
      </c>
      <c r="C218" t="inlineStr">
        <is>
          <t>Avverkning för annat ändamål</t>
        </is>
      </c>
      <c r="D218" s="1" t="n">
        <v>45261</v>
      </c>
      <c r="E218" s="1" t="n">
        <v>46222</v>
      </c>
      <c r="F218" t="inlineStr">
        <is>
          <t>JÄMTLANDS LÄN</t>
        </is>
      </c>
      <c r="G218" t="inlineStr">
        <is>
          <t>ÅRE</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56736-2023</t>
        </is>
      </c>
      <c r="B219" t="inlineStr">
        <is>
          <t>avverkningsanmälan</t>
        </is>
      </c>
      <c r="C219" t="inlineStr">
        <is>
          <t>Föryngringsavverkning</t>
        </is>
      </c>
      <c r="D219" s="1" t="n">
        <v>45244</v>
      </c>
      <c r="E219" s="1" t="n">
        <v>46222</v>
      </c>
      <c r="F219" t="inlineStr">
        <is>
          <t>JÄMTLANDS LÄN</t>
        </is>
      </c>
      <c r="G219" t="inlineStr">
        <is>
          <t>ÅRE</t>
        </is>
      </c>
      <c r="H219" t="inlineStr">
        <is>
          <t>Övriga Aktiebolag</t>
        </is>
      </c>
      <c r="I219" t="n">
        <v>10.7</v>
      </c>
      <c r="J219" t="n">
        <v>0</v>
      </c>
      <c r="K219" t="n">
        <v>0</v>
      </c>
      <c r="L219" t="n">
        <v>0</v>
      </c>
      <c r="M219" t="n">
        <v>0</v>
      </c>
      <c r="N219" t="n">
        <v>0</v>
      </c>
      <c r="O219" t="n">
        <v>0</v>
      </c>
      <c r="P219" t="n">
        <v>0</v>
      </c>
      <c r="Q219" t="n">
        <v>0</v>
      </c>
      <c r="R219" t="n">
        <v>0</v>
      </c>
      <c r="S219" t="n">
        <v>0</v>
      </c>
      <c r="T219" t="n">
        <v>0</v>
      </c>
      <c r="U219" s="2" t="inlineStr"/>
    </row>
    <row r="220" ht="15" customHeight="1">
      <c r="A220" t="inlineStr">
        <is>
          <t>A 41266-2024</t>
        </is>
      </c>
      <c r="B220" t="inlineStr">
        <is>
          <t>avverkningsanmälan</t>
        </is>
      </c>
      <c r="C220" t="inlineStr">
        <is>
          <t>Föryngringsavverkning</t>
        </is>
      </c>
      <c r="D220" s="1" t="n">
        <v>45559</v>
      </c>
      <c r="E220" s="1" t="n">
        <v>46222</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9775-2023</t>
        </is>
      </c>
      <c r="B221" t="inlineStr">
        <is>
          <t>avverkningsanmälan</t>
        </is>
      </c>
      <c r="C221" t="inlineStr">
        <is>
          <t>Föryngringsavverkning</t>
        </is>
      </c>
      <c r="D221" s="1" t="n">
        <v>44984</v>
      </c>
      <c r="E221" s="1" t="n">
        <v>46222</v>
      </c>
      <c r="F221" t="inlineStr">
        <is>
          <t>JÄMTLANDS LÄN</t>
        </is>
      </c>
      <c r="G221" t="inlineStr">
        <is>
          <t>ÅRE</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1460-2024</t>
        </is>
      </c>
      <c r="B222" t="inlineStr">
        <is>
          <t>avverkningsanmälan</t>
        </is>
      </c>
      <c r="C222" t="inlineStr">
        <is>
          <t>Föryngringsavverkning</t>
        </is>
      </c>
      <c r="D222" s="1" t="n">
        <v>45303</v>
      </c>
      <c r="E222" s="1" t="n">
        <v>46222</v>
      </c>
      <c r="F222" t="inlineStr">
        <is>
          <t>JÄMTLANDS LÄN</t>
        </is>
      </c>
      <c r="G222" t="inlineStr">
        <is>
          <t>ÅRE</t>
        </is>
      </c>
      <c r="H222" t="inlineStr">
        <is>
          <t>Övriga Aktiebolag</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60426-2022</t>
        </is>
      </c>
      <c r="B223" t="inlineStr">
        <is>
          <t>avverkningsanmälan</t>
        </is>
      </c>
      <c r="C223" t="inlineStr">
        <is>
          <t>Föryngringsavverkning</t>
        </is>
      </c>
      <c r="D223" s="1" t="n">
        <v>44911</v>
      </c>
      <c r="E223" s="1" t="n">
        <v>46222</v>
      </c>
      <c r="F223" t="inlineStr">
        <is>
          <t>JÄMTLANDS LÄN</t>
        </is>
      </c>
      <c r="G223" t="inlineStr">
        <is>
          <t>ÅRE</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54904-2022</t>
        </is>
      </c>
      <c r="B224" t="inlineStr">
        <is>
          <t>avverkningsanmälan</t>
        </is>
      </c>
      <c r="C224" t="inlineStr">
        <is>
          <t>Föryngringsavverkning</t>
        </is>
      </c>
      <c r="D224" s="1" t="n">
        <v>44886</v>
      </c>
      <c r="E224" s="1" t="n">
        <v>46222</v>
      </c>
      <c r="F224" t="inlineStr">
        <is>
          <t>JÄMTLANDS LÄN</t>
        </is>
      </c>
      <c r="G224" t="inlineStr">
        <is>
          <t>ÅRE</t>
        </is>
      </c>
      <c r="H224" t="inlineStr">
        <is>
          <t>Övriga Aktiebolag</t>
        </is>
      </c>
      <c r="I224" t="n">
        <v>12.2</v>
      </c>
      <c r="J224" t="n">
        <v>0</v>
      </c>
      <c r="K224" t="n">
        <v>0</v>
      </c>
      <c r="L224" t="n">
        <v>0</v>
      </c>
      <c r="M224" t="n">
        <v>0</v>
      </c>
      <c r="N224" t="n">
        <v>0</v>
      </c>
      <c r="O224" t="n">
        <v>0</v>
      </c>
      <c r="P224" t="n">
        <v>0</v>
      </c>
      <c r="Q224" t="n">
        <v>0</v>
      </c>
      <c r="R224" t="n">
        <v>0</v>
      </c>
      <c r="S224" t="n">
        <v>0</v>
      </c>
      <c r="T224" t="n">
        <v>0</v>
      </c>
      <c r="U224" s="2" t="inlineStr"/>
    </row>
    <row r="225" ht="15" customHeight="1">
      <c r="A225" t="inlineStr">
        <is>
          <t>A 56556-2022</t>
        </is>
      </c>
      <c r="B225" t="inlineStr">
        <is>
          <t>avverkningsanmälan</t>
        </is>
      </c>
      <c r="C225" t="inlineStr">
        <is>
          <t>Föryngringsavverkning</t>
        </is>
      </c>
      <c r="D225" s="1" t="n">
        <v>44893</v>
      </c>
      <c r="E225" s="1" t="n">
        <v>46222</v>
      </c>
      <c r="F225" t="inlineStr">
        <is>
          <t>JÄMTLANDS LÄN</t>
        </is>
      </c>
      <c r="G225" t="inlineStr">
        <is>
          <t>ÅRE</t>
        </is>
      </c>
      <c r="H225" t="inlineStr">
        <is>
          <t>Övriga Aktiebolag</t>
        </is>
      </c>
      <c r="I225" t="n">
        <v>4.9</v>
      </c>
      <c r="J225" t="n">
        <v>0</v>
      </c>
      <c r="K225" t="n">
        <v>0</v>
      </c>
      <c r="L225" t="n">
        <v>0</v>
      </c>
      <c r="M225" t="n">
        <v>0</v>
      </c>
      <c r="N225" t="n">
        <v>0</v>
      </c>
      <c r="O225" t="n">
        <v>0</v>
      </c>
      <c r="P225" t="n">
        <v>0</v>
      </c>
      <c r="Q225" t="n">
        <v>0</v>
      </c>
      <c r="R225" t="n">
        <v>0</v>
      </c>
      <c r="S225" t="n">
        <v>0</v>
      </c>
      <c r="T225" t="n">
        <v>0</v>
      </c>
      <c r="U225" s="2" t="inlineStr"/>
    </row>
    <row r="226" ht="15" customHeight="1">
      <c r="A226" t="inlineStr">
        <is>
          <t>A 38268-2024</t>
        </is>
      </c>
      <c r="B226" t="inlineStr">
        <is>
          <t>avverkningsanmälan</t>
        </is>
      </c>
      <c r="C226" t="inlineStr">
        <is>
          <t>Föryngringsavverkning</t>
        </is>
      </c>
      <c r="D226" s="1" t="n">
        <v>45545</v>
      </c>
      <c r="E226" s="1" t="n">
        <v>46222</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12242-2022</t>
        </is>
      </c>
      <c r="B227" t="inlineStr">
        <is>
          <t>avverkningsanmälan</t>
        </is>
      </c>
      <c r="C227" t="inlineStr">
        <is>
          <t>Föryngringsavverkning</t>
        </is>
      </c>
      <c r="D227" s="1" t="n">
        <v>44637</v>
      </c>
      <c r="E227" s="1" t="n">
        <v>46222</v>
      </c>
      <c r="F227" t="inlineStr">
        <is>
          <t>JÄMTLANDS LÄN</t>
        </is>
      </c>
      <c r="G227" t="inlineStr">
        <is>
          <t>ÅRE</t>
        </is>
      </c>
      <c r="I227" t="n">
        <v>53.4</v>
      </c>
      <c r="J227" t="n">
        <v>0</v>
      </c>
      <c r="K227" t="n">
        <v>0</v>
      </c>
      <c r="L227" t="n">
        <v>0</v>
      </c>
      <c r="M227" t="n">
        <v>0</v>
      </c>
      <c r="N227" t="n">
        <v>0</v>
      </c>
      <c r="O227" t="n">
        <v>0</v>
      </c>
      <c r="P227" t="n">
        <v>0</v>
      </c>
      <c r="Q227" t="n">
        <v>0</v>
      </c>
      <c r="R227" t="n">
        <v>0</v>
      </c>
      <c r="S227" t="n">
        <v>0</v>
      </c>
      <c r="T227" t="n">
        <v>0</v>
      </c>
      <c r="U227" s="2" t="inlineStr"/>
    </row>
    <row r="228" ht="15" customHeight="1">
      <c r="A228" t="inlineStr">
        <is>
          <t>A 59352-2021</t>
        </is>
      </c>
      <c r="B228" t="inlineStr">
        <is>
          <t>avverkningsanmälan</t>
        </is>
      </c>
      <c r="C228" t="inlineStr">
        <is>
          <t>Avverkning för annat ändamål</t>
        </is>
      </c>
      <c r="D228" s="1" t="n">
        <v>44490</v>
      </c>
      <c r="E228" s="1" t="n">
        <v>46222</v>
      </c>
      <c r="F228" t="inlineStr">
        <is>
          <t>JÄMTLANDS LÄN</t>
        </is>
      </c>
      <c r="G228" t="inlineStr">
        <is>
          <t>ÅRE</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3394-2026</t>
        </is>
      </c>
      <c r="B229" t="inlineStr">
        <is>
          <t>avverkningsanmälan</t>
        </is>
      </c>
      <c r="C229" t="inlineStr">
        <is>
          <t>Föryngringsavverkning</t>
        </is>
      </c>
      <c r="D229" s="1" t="n">
        <v>46042</v>
      </c>
      <c r="E229" s="1" t="n">
        <v>46222</v>
      </c>
      <c r="F229" t="inlineStr">
        <is>
          <t>JÄMTLANDS LÄN</t>
        </is>
      </c>
      <c r="G229" t="inlineStr">
        <is>
          <t>ÅRE</t>
        </is>
      </c>
      <c r="H229" t="inlineStr">
        <is>
          <t>Övriga Aktiebolag</t>
        </is>
      </c>
      <c r="I229" t="n">
        <v>11.2</v>
      </c>
      <c r="J229" t="n">
        <v>0</v>
      </c>
      <c r="K229" t="n">
        <v>0</v>
      </c>
      <c r="L229" t="n">
        <v>0</v>
      </c>
      <c r="M229" t="n">
        <v>0</v>
      </c>
      <c r="N229" t="n">
        <v>0</v>
      </c>
      <c r="O229" t="n">
        <v>0</v>
      </c>
      <c r="P229" t="n">
        <v>0</v>
      </c>
      <c r="Q229" t="n">
        <v>0</v>
      </c>
      <c r="R229" t="n">
        <v>0</v>
      </c>
      <c r="S229" t="n">
        <v>0</v>
      </c>
      <c r="T229" t="n">
        <v>0</v>
      </c>
      <c r="U229" s="2" t="inlineStr"/>
    </row>
    <row r="230" ht="15" customHeight="1">
      <c r="A230" t="inlineStr">
        <is>
          <t>A 61331-2021</t>
        </is>
      </c>
      <c r="B230" t="inlineStr">
        <is>
          <t>avverkningsanmälan</t>
        </is>
      </c>
      <c r="C230" t="inlineStr">
        <is>
          <t>Föryngringsavverkning</t>
        </is>
      </c>
      <c r="D230" s="1" t="n">
        <v>44498</v>
      </c>
      <c r="E230" s="1" t="n">
        <v>46222</v>
      </c>
      <c r="F230" t="inlineStr">
        <is>
          <t>JÄMTLANDS LÄN</t>
        </is>
      </c>
      <c r="G230" t="inlineStr">
        <is>
          <t>ÅRE</t>
        </is>
      </c>
      <c r="I230" t="n">
        <v>8.4</v>
      </c>
      <c r="J230" t="n">
        <v>0</v>
      </c>
      <c r="K230" t="n">
        <v>0</v>
      </c>
      <c r="L230" t="n">
        <v>0</v>
      </c>
      <c r="M230" t="n">
        <v>0</v>
      </c>
      <c r="N230" t="n">
        <v>0</v>
      </c>
      <c r="O230" t="n">
        <v>0</v>
      </c>
      <c r="P230" t="n">
        <v>0</v>
      </c>
      <c r="Q230" t="n">
        <v>0</v>
      </c>
      <c r="R230" t="n">
        <v>0</v>
      </c>
      <c r="S230" t="n">
        <v>0</v>
      </c>
      <c r="T230" t="n">
        <v>0</v>
      </c>
      <c r="U230" s="2" t="inlineStr"/>
    </row>
    <row r="231" ht="15" customHeight="1">
      <c r="A231" t="inlineStr">
        <is>
          <t>A 45834-2024</t>
        </is>
      </c>
      <c r="B231" t="inlineStr">
        <is>
          <t>avverkningsanmälan</t>
        </is>
      </c>
      <c r="C231" t="inlineStr">
        <is>
          <t>Föryngringsavverkning</t>
        </is>
      </c>
      <c r="D231" s="1" t="n">
        <v>45579</v>
      </c>
      <c r="E231" s="1" t="n">
        <v>46222</v>
      </c>
      <c r="F231" t="inlineStr">
        <is>
          <t>JÄMTLANDS LÄN</t>
        </is>
      </c>
      <c r="G231" t="inlineStr">
        <is>
          <t>ÅRE</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40339-2021</t>
        </is>
      </c>
      <c r="B232" t="inlineStr">
        <is>
          <t>avverkningsanmälan</t>
        </is>
      </c>
      <c r="C232" t="inlineStr">
        <is>
          <t>Föryngringsavverkning</t>
        </is>
      </c>
      <c r="D232" s="1" t="n">
        <v>44419</v>
      </c>
      <c r="E232" s="1" t="n">
        <v>46222</v>
      </c>
      <c r="F232" t="inlineStr">
        <is>
          <t>JÄMTLANDS LÄN</t>
        </is>
      </c>
      <c r="G232" t="inlineStr">
        <is>
          <t>ÅRE</t>
        </is>
      </c>
      <c r="I232" t="n">
        <v>6.4</v>
      </c>
      <c r="J232" t="n">
        <v>0</v>
      </c>
      <c r="K232" t="n">
        <v>0</v>
      </c>
      <c r="L232" t="n">
        <v>0</v>
      </c>
      <c r="M232" t="n">
        <v>0</v>
      </c>
      <c r="N232" t="n">
        <v>0</v>
      </c>
      <c r="O232" t="n">
        <v>0</v>
      </c>
      <c r="P232" t="n">
        <v>0</v>
      </c>
      <c r="Q232" t="n">
        <v>0</v>
      </c>
      <c r="R232" t="n">
        <v>0</v>
      </c>
      <c r="S232" t="n">
        <v>0</v>
      </c>
      <c r="T232" t="n">
        <v>0</v>
      </c>
      <c r="U232" s="2" t="inlineStr"/>
    </row>
    <row r="233" ht="15" customHeight="1">
      <c r="A233" t="inlineStr">
        <is>
          <t>A 33230-2024</t>
        </is>
      </c>
      <c r="B233" t="inlineStr">
        <is>
          <t>avverkningsanmälan</t>
        </is>
      </c>
      <c r="C233" t="inlineStr">
        <is>
          <t>Avverkning för annat ändamål</t>
        </is>
      </c>
      <c r="D233" s="1" t="n">
        <v>45518</v>
      </c>
      <c r="E233" s="1" t="n">
        <v>46222</v>
      </c>
      <c r="F233" t="inlineStr">
        <is>
          <t>JÄMTLANDS LÄN</t>
        </is>
      </c>
      <c r="G233" t="inlineStr">
        <is>
          <t>ÅRE</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5651-2023</t>
        </is>
      </c>
      <c r="B234" t="inlineStr">
        <is>
          <t>avverkningsanmälan</t>
        </is>
      </c>
      <c r="C234" t="inlineStr">
        <is>
          <t>Föryngringsavverkning</t>
        </is>
      </c>
      <c r="D234" s="1" t="n">
        <v>44958</v>
      </c>
      <c r="E234" s="1" t="n">
        <v>46222</v>
      </c>
      <c r="F234" t="inlineStr">
        <is>
          <t>JÄMTLANDS LÄN</t>
        </is>
      </c>
      <c r="G234" t="inlineStr">
        <is>
          <t>ÅRE</t>
        </is>
      </c>
      <c r="I234" t="n">
        <v>5.7</v>
      </c>
      <c r="J234" t="n">
        <v>0</v>
      </c>
      <c r="K234" t="n">
        <v>0</v>
      </c>
      <c r="L234" t="n">
        <v>0</v>
      </c>
      <c r="M234" t="n">
        <v>0</v>
      </c>
      <c r="N234" t="n">
        <v>0</v>
      </c>
      <c r="O234" t="n">
        <v>0</v>
      </c>
      <c r="P234" t="n">
        <v>0</v>
      </c>
      <c r="Q234" t="n">
        <v>0</v>
      </c>
      <c r="R234" t="n">
        <v>0</v>
      </c>
      <c r="S234" t="n">
        <v>0</v>
      </c>
      <c r="T234" t="n">
        <v>0</v>
      </c>
      <c r="U234" s="2" t="inlineStr"/>
    </row>
    <row r="235" ht="15" customHeight="1">
      <c r="A235" t="inlineStr">
        <is>
          <t>A 42244-2024</t>
        </is>
      </c>
      <c r="B235" t="inlineStr">
        <is>
          <t>avverkningsanmälan</t>
        </is>
      </c>
      <c r="C235" t="inlineStr">
        <is>
          <t>Föryngringsavverkning</t>
        </is>
      </c>
      <c r="D235" s="1" t="n">
        <v>45562</v>
      </c>
      <c r="E235" s="1" t="n">
        <v>46222</v>
      </c>
      <c r="F235" t="inlineStr">
        <is>
          <t>JÄMTLANDS LÄN</t>
        </is>
      </c>
      <c r="G235" t="inlineStr">
        <is>
          <t>ÅRE</t>
        </is>
      </c>
      <c r="H235" t="inlineStr">
        <is>
          <t>Övriga Aktiebolag</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55944-2022</t>
        </is>
      </c>
      <c r="B236" t="inlineStr">
        <is>
          <t>avverkningsanmälan</t>
        </is>
      </c>
      <c r="C236" t="inlineStr">
        <is>
          <t>Föryngringsavverkning</t>
        </is>
      </c>
      <c r="D236" s="1" t="n">
        <v>44889</v>
      </c>
      <c r="E236" s="1" t="n">
        <v>46222</v>
      </c>
      <c r="F236" t="inlineStr">
        <is>
          <t>JÄMTLANDS LÄN</t>
        </is>
      </c>
      <c r="G236" t="inlineStr">
        <is>
          <t>ÅRE</t>
        </is>
      </c>
      <c r="I236" t="n">
        <v>11.1</v>
      </c>
      <c r="J236" t="n">
        <v>0</v>
      </c>
      <c r="K236" t="n">
        <v>0</v>
      </c>
      <c r="L236" t="n">
        <v>0</v>
      </c>
      <c r="M236" t="n">
        <v>0</v>
      </c>
      <c r="N236" t="n">
        <v>0</v>
      </c>
      <c r="O236" t="n">
        <v>0</v>
      </c>
      <c r="P236" t="n">
        <v>0</v>
      </c>
      <c r="Q236" t="n">
        <v>0</v>
      </c>
      <c r="R236" t="n">
        <v>0</v>
      </c>
      <c r="S236" t="n">
        <v>0</v>
      </c>
      <c r="T236" t="n">
        <v>0</v>
      </c>
      <c r="U236" s="2" t="inlineStr"/>
    </row>
    <row r="237" ht="15" customHeight="1">
      <c r="A237" t="inlineStr">
        <is>
          <t>A 14283-2025</t>
        </is>
      </c>
      <c r="B237" t="inlineStr">
        <is>
          <t>avverkningsanmälan</t>
        </is>
      </c>
      <c r="C237" t="inlineStr">
        <is>
          <t>Föryngringsavverkning</t>
        </is>
      </c>
      <c r="D237" s="1" t="n">
        <v>45740</v>
      </c>
      <c r="E237" s="1" t="n">
        <v>46222</v>
      </c>
      <c r="F237" t="inlineStr">
        <is>
          <t>JÄMTLANDS LÄN</t>
        </is>
      </c>
      <c r="G237" t="inlineStr">
        <is>
          <t>ÅRE</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45453-2024</t>
        </is>
      </c>
      <c r="B238" t="inlineStr">
        <is>
          <t>avverkningsanmälan</t>
        </is>
      </c>
      <c r="C238" t="inlineStr">
        <is>
          <t>Avverkning för annat ändamål</t>
        </is>
      </c>
      <c r="D238" s="1" t="n">
        <v>45576</v>
      </c>
      <c r="E238" s="1" t="n">
        <v>46222</v>
      </c>
      <c r="F238" t="inlineStr">
        <is>
          <t>JÄMTLANDS LÄN</t>
        </is>
      </c>
      <c r="G238" t="inlineStr">
        <is>
          <t>ÅRE</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54116-2023</t>
        </is>
      </c>
      <c r="B239" t="inlineStr">
        <is>
          <t>avverkningsanmälan</t>
        </is>
      </c>
      <c r="C239" t="inlineStr">
        <is>
          <t>Föryngringsavverkning</t>
        </is>
      </c>
      <c r="D239" s="1" t="n">
        <v>45232</v>
      </c>
      <c r="E239" s="1" t="n">
        <v>46222</v>
      </c>
      <c r="F239" t="inlineStr">
        <is>
          <t>JÄMTLANDS LÄN</t>
        </is>
      </c>
      <c r="G239" t="inlineStr">
        <is>
          <t>ÅRE</t>
        </is>
      </c>
      <c r="I239" t="n">
        <v>3.8</v>
      </c>
      <c r="J239" t="n">
        <v>0</v>
      </c>
      <c r="K239" t="n">
        <v>0</v>
      </c>
      <c r="L239" t="n">
        <v>0</v>
      </c>
      <c r="M239" t="n">
        <v>0</v>
      </c>
      <c r="N239" t="n">
        <v>0</v>
      </c>
      <c r="O239" t="n">
        <v>0</v>
      </c>
      <c r="P239" t="n">
        <v>0</v>
      </c>
      <c r="Q239" t="n">
        <v>0</v>
      </c>
      <c r="R239" t="n">
        <v>0</v>
      </c>
      <c r="S239" t="n">
        <v>0</v>
      </c>
      <c r="T239" t="n">
        <v>0</v>
      </c>
      <c r="U239" s="2" t="inlineStr"/>
    </row>
    <row r="240" ht="15" customHeight="1">
      <c r="A240" t="inlineStr">
        <is>
          <t>A 4905-2026</t>
        </is>
      </c>
      <c r="B240" t="inlineStr">
        <is>
          <t>avverkningsanmälan</t>
        </is>
      </c>
      <c r="C240" t="inlineStr">
        <is>
          <t>Avverkning för annat ändamål</t>
        </is>
      </c>
      <c r="D240" s="1" t="n">
        <v>46048</v>
      </c>
      <c r="E240" s="1" t="n">
        <v>46222</v>
      </c>
      <c r="F240" t="inlineStr">
        <is>
          <t>JÄMTLANDS LÄN</t>
        </is>
      </c>
      <c r="G240" t="inlineStr">
        <is>
          <t>ÅRE</t>
        </is>
      </c>
      <c r="H240" t="inlineStr">
        <is>
          <t>Övriga Aktiebolag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71043-2021</t>
        </is>
      </c>
      <c r="B241" t="inlineStr">
        <is>
          <t>avverkningsanmälan</t>
        </is>
      </c>
      <c r="C241" t="inlineStr">
        <is>
          <t>Avverkning för annat ändamål</t>
        </is>
      </c>
      <c r="D241" s="1" t="n">
        <v>44538</v>
      </c>
      <c r="E241" s="1" t="n">
        <v>46222</v>
      </c>
      <c r="F241" t="inlineStr">
        <is>
          <t>JÄMTLANDS LÄN</t>
        </is>
      </c>
      <c r="G241" t="inlineStr">
        <is>
          <t>ÅRE</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47075-2024</t>
        </is>
      </c>
      <c r="B242" t="inlineStr">
        <is>
          <t>avverkningsanmälan</t>
        </is>
      </c>
      <c r="C242" t="inlineStr">
        <is>
          <t>Föryngringsavverkning</t>
        </is>
      </c>
      <c r="D242" s="1" t="n">
        <v>45586</v>
      </c>
      <c r="E242" s="1" t="n">
        <v>46222</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45161-2024</t>
        </is>
      </c>
      <c r="B243" t="inlineStr">
        <is>
          <t>avverkningsanmälan</t>
        </is>
      </c>
      <c r="C243" t="inlineStr">
        <is>
          <t>Föryngringsavverkning</t>
        </is>
      </c>
      <c r="D243" s="1" t="n">
        <v>45575</v>
      </c>
      <c r="E243" s="1" t="n">
        <v>46222</v>
      </c>
      <c r="F243" t="inlineStr">
        <is>
          <t>JÄMTLANDS LÄN</t>
        </is>
      </c>
      <c r="G243" t="inlineStr">
        <is>
          <t>ÅRE</t>
        </is>
      </c>
      <c r="I243" t="n">
        <v>6.9</v>
      </c>
      <c r="J243" t="n">
        <v>0</v>
      </c>
      <c r="K243" t="n">
        <v>0</v>
      </c>
      <c r="L243" t="n">
        <v>0</v>
      </c>
      <c r="M243" t="n">
        <v>0</v>
      </c>
      <c r="N243" t="n">
        <v>0</v>
      </c>
      <c r="O243" t="n">
        <v>0</v>
      </c>
      <c r="P243" t="n">
        <v>0</v>
      </c>
      <c r="Q243" t="n">
        <v>0</v>
      </c>
      <c r="R243" t="n">
        <v>0</v>
      </c>
      <c r="S243" t="n">
        <v>0</v>
      </c>
      <c r="T243" t="n">
        <v>0</v>
      </c>
      <c r="U243" s="2" t="inlineStr"/>
    </row>
    <row r="244" ht="15" customHeight="1">
      <c r="A244" t="inlineStr">
        <is>
          <t>A 15480-2024</t>
        </is>
      </c>
      <c r="B244" t="inlineStr">
        <is>
          <t>avverkningsanmälan</t>
        </is>
      </c>
      <c r="C244" t="inlineStr">
        <is>
          <t>Föryngringsavverkning</t>
        </is>
      </c>
      <c r="D244" s="1" t="n">
        <v>45401</v>
      </c>
      <c r="E244" s="1" t="n">
        <v>46222</v>
      </c>
      <c r="F244" t="inlineStr">
        <is>
          <t>JÄMTLANDS LÄN</t>
        </is>
      </c>
      <c r="G244" t="inlineStr">
        <is>
          <t>ÅRE</t>
        </is>
      </c>
      <c r="I244" t="n">
        <v>11.8</v>
      </c>
      <c r="J244" t="n">
        <v>0</v>
      </c>
      <c r="K244" t="n">
        <v>0</v>
      </c>
      <c r="L244" t="n">
        <v>0</v>
      </c>
      <c r="M244" t="n">
        <v>0</v>
      </c>
      <c r="N244" t="n">
        <v>0</v>
      </c>
      <c r="O244" t="n">
        <v>0</v>
      </c>
      <c r="P244" t="n">
        <v>0</v>
      </c>
      <c r="Q244" t="n">
        <v>0</v>
      </c>
      <c r="R244" t="n">
        <v>0</v>
      </c>
      <c r="S244" t="n">
        <v>0</v>
      </c>
      <c r="T244" t="n">
        <v>0</v>
      </c>
      <c r="U244" s="2" t="inlineStr"/>
    </row>
    <row r="245" ht="15" customHeight="1">
      <c r="A245" t="inlineStr">
        <is>
          <t>A 43342-2024</t>
        </is>
      </c>
      <c r="B245" t="inlineStr">
        <is>
          <t>avverkningsanmälan</t>
        </is>
      </c>
      <c r="C245" t="inlineStr">
        <is>
          <t>Föryngringsavverkning</t>
        </is>
      </c>
      <c r="D245" s="1" t="n">
        <v>45568</v>
      </c>
      <c r="E245" s="1" t="n">
        <v>46222</v>
      </c>
      <c r="F245" t="inlineStr">
        <is>
          <t>JÄMTLANDS LÄN</t>
        </is>
      </c>
      <c r="G245" t="inlineStr">
        <is>
          <t>ÅRE</t>
        </is>
      </c>
      <c r="H245" t="inlineStr">
        <is>
          <t>Övriga Aktiebolag</t>
        </is>
      </c>
      <c r="I245" t="n">
        <v>4.8</v>
      </c>
      <c r="J245" t="n">
        <v>0</v>
      </c>
      <c r="K245" t="n">
        <v>0</v>
      </c>
      <c r="L245" t="n">
        <v>0</v>
      </c>
      <c r="M245" t="n">
        <v>0</v>
      </c>
      <c r="N245" t="n">
        <v>0</v>
      </c>
      <c r="O245" t="n">
        <v>0</v>
      </c>
      <c r="P245" t="n">
        <v>0</v>
      </c>
      <c r="Q245" t="n">
        <v>0</v>
      </c>
      <c r="R245" t="n">
        <v>0</v>
      </c>
      <c r="S245" t="n">
        <v>0</v>
      </c>
      <c r="T245" t="n">
        <v>0</v>
      </c>
      <c r="U245" s="2" t="inlineStr"/>
    </row>
    <row r="246" ht="15" customHeight="1">
      <c r="A246" t="inlineStr">
        <is>
          <t>A 61183-2023</t>
        </is>
      </c>
      <c r="B246" t="inlineStr">
        <is>
          <t>avverkningsanmälan</t>
        </is>
      </c>
      <c r="C246" t="inlineStr">
        <is>
          <t>Föryngringsavverkning</t>
        </is>
      </c>
      <c r="D246" s="1" t="n">
        <v>45263</v>
      </c>
      <c r="E246" s="1" t="n">
        <v>46222</v>
      </c>
      <c r="F246" t="inlineStr">
        <is>
          <t>JÄMTLANDS LÄN</t>
        </is>
      </c>
      <c r="G246" t="inlineStr">
        <is>
          <t>ÅRE</t>
        </is>
      </c>
      <c r="I246" t="n">
        <v>8.4</v>
      </c>
      <c r="J246" t="n">
        <v>0</v>
      </c>
      <c r="K246" t="n">
        <v>0</v>
      </c>
      <c r="L246" t="n">
        <v>0</v>
      </c>
      <c r="M246" t="n">
        <v>0</v>
      </c>
      <c r="N246" t="n">
        <v>0</v>
      </c>
      <c r="O246" t="n">
        <v>0</v>
      </c>
      <c r="P246" t="n">
        <v>0</v>
      </c>
      <c r="Q246" t="n">
        <v>0</v>
      </c>
      <c r="R246" t="n">
        <v>0</v>
      </c>
      <c r="S246" t="n">
        <v>0</v>
      </c>
      <c r="T246" t="n">
        <v>0</v>
      </c>
      <c r="U246" s="2" t="inlineStr"/>
    </row>
    <row r="247" ht="15" customHeight="1">
      <c r="A247" t="inlineStr">
        <is>
          <t>A 61481-2022</t>
        </is>
      </c>
      <c r="B247" t="inlineStr">
        <is>
          <t>avverkningsanmälan</t>
        </is>
      </c>
      <c r="C247" t="inlineStr">
        <is>
          <t>Föryngringsavverkning</t>
        </is>
      </c>
      <c r="D247" s="1" t="n">
        <v>44910</v>
      </c>
      <c r="E247" s="1" t="n">
        <v>46222</v>
      </c>
      <c r="F247" t="inlineStr">
        <is>
          <t>JÄMTLANDS LÄN</t>
        </is>
      </c>
      <c r="G247" t="inlineStr">
        <is>
          <t>ÅRE</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43307-2024</t>
        </is>
      </c>
      <c r="B248" t="inlineStr">
        <is>
          <t>avverkningsanmälan</t>
        </is>
      </c>
      <c r="C248" t="inlineStr">
        <is>
          <t>Föryngringsavverkning</t>
        </is>
      </c>
      <c r="D248" s="1" t="n">
        <v>45568</v>
      </c>
      <c r="E248" s="1" t="n">
        <v>46222</v>
      </c>
      <c r="F248" t="inlineStr">
        <is>
          <t>JÄMTLANDS LÄN</t>
        </is>
      </c>
      <c r="G248" t="inlineStr">
        <is>
          <t>ÅRE</t>
        </is>
      </c>
      <c r="H248" t="inlineStr">
        <is>
          <t>Övriga Aktiebolag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5410-2026</t>
        </is>
      </c>
      <c r="B249" t="inlineStr">
        <is>
          <t>avverkningsanmälan</t>
        </is>
      </c>
      <c r="C249" t="inlineStr">
        <is>
          <t>Avverkning för annat ändamål</t>
        </is>
      </c>
      <c r="D249" s="1" t="n">
        <v>46050</v>
      </c>
      <c r="E249" s="1" t="n">
        <v>46222</v>
      </c>
      <c r="F249" t="inlineStr">
        <is>
          <t>JÄMTLANDS LÄN</t>
        </is>
      </c>
      <c r="G249" t="inlineStr">
        <is>
          <t>ÅRE</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13383-2022</t>
        </is>
      </c>
      <c r="B250" t="inlineStr">
        <is>
          <t>avverkningsanmälan</t>
        </is>
      </c>
      <c r="C250" t="inlineStr">
        <is>
          <t>Föryngringsavverkning</t>
        </is>
      </c>
      <c r="D250" s="1" t="n">
        <v>44637</v>
      </c>
      <c r="E250" s="1" t="n">
        <v>46222</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49702-2024</t>
        </is>
      </c>
      <c r="B251" t="inlineStr">
        <is>
          <t>avverkningsanmälan</t>
        </is>
      </c>
      <c r="C251" t="inlineStr">
        <is>
          <t>Föryngringsavverkning</t>
        </is>
      </c>
      <c r="D251" s="1" t="n">
        <v>45596</v>
      </c>
      <c r="E251" s="1" t="n">
        <v>46222</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44251-2025</t>
        </is>
      </c>
      <c r="B252" t="inlineStr">
        <is>
          <t>avverkningsanmälan</t>
        </is>
      </c>
      <c r="C252" t="inlineStr">
        <is>
          <t>Avverkning för annat ändamål</t>
        </is>
      </c>
      <c r="D252" s="1" t="n">
        <v>45915</v>
      </c>
      <c r="E252" s="1" t="n">
        <v>46222</v>
      </c>
      <c r="F252" t="inlineStr">
        <is>
          <t>JÄMTLANDS LÄN</t>
        </is>
      </c>
      <c r="G252" t="inlineStr">
        <is>
          <t>ÅRE</t>
        </is>
      </c>
      <c r="I252" t="n">
        <v>0.2</v>
      </c>
      <c r="J252" t="n">
        <v>0</v>
      </c>
      <c r="K252" t="n">
        <v>0</v>
      </c>
      <c r="L252" t="n">
        <v>0</v>
      </c>
      <c r="M252" t="n">
        <v>0</v>
      </c>
      <c r="N252" t="n">
        <v>0</v>
      </c>
      <c r="O252" t="n">
        <v>0</v>
      </c>
      <c r="P252" t="n">
        <v>0</v>
      </c>
      <c r="Q252" t="n">
        <v>0</v>
      </c>
      <c r="R252" t="n">
        <v>0</v>
      </c>
      <c r="S252" t="n">
        <v>0</v>
      </c>
      <c r="T252" t="n">
        <v>0</v>
      </c>
      <c r="U252" s="2" t="inlineStr"/>
    </row>
    <row r="253" ht="15" customHeight="1">
      <c r="A253" t="inlineStr">
        <is>
          <t>A 4937-2025</t>
        </is>
      </c>
      <c r="B253" t="inlineStr">
        <is>
          <t>avverkningsanmälan</t>
        </is>
      </c>
      <c r="C253" t="inlineStr">
        <is>
          <t>Föryngringsavverkning</t>
        </is>
      </c>
      <c r="D253" s="1" t="n">
        <v>45688</v>
      </c>
      <c r="E253" s="1" t="n">
        <v>46222</v>
      </c>
      <c r="F253" t="inlineStr">
        <is>
          <t>JÄMTLANDS LÄN</t>
        </is>
      </c>
      <c r="G253" t="inlineStr">
        <is>
          <t>ÅRE</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44685-2025</t>
        </is>
      </c>
      <c r="B254" t="inlineStr">
        <is>
          <t>avverkningsanmälan</t>
        </is>
      </c>
      <c r="C254" t="inlineStr">
        <is>
          <t>Föryngringsavverkning</t>
        </is>
      </c>
      <c r="D254" s="1" t="n">
        <v>45917</v>
      </c>
      <c r="E254" s="1" t="n">
        <v>46222</v>
      </c>
      <c r="F254" t="inlineStr">
        <is>
          <t>JÄMTLANDS LÄN</t>
        </is>
      </c>
      <c r="G254" t="inlineStr">
        <is>
          <t>ÅRE</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2374-2023</t>
        </is>
      </c>
      <c r="B255" t="inlineStr">
        <is>
          <t>avverkningsanmälan</t>
        </is>
      </c>
      <c r="C255" t="inlineStr">
        <is>
          <t>Föryngringsavverkning</t>
        </is>
      </c>
      <c r="D255" s="1" t="n">
        <v>44942</v>
      </c>
      <c r="E255" s="1" t="n">
        <v>46222</v>
      </c>
      <c r="F255" t="inlineStr">
        <is>
          <t>JÄMTLANDS LÄN</t>
        </is>
      </c>
      <c r="G255" t="inlineStr">
        <is>
          <t>ÅRE</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34897-2025</t>
        </is>
      </c>
      <c r="B256" t="inlineStr">
        <is>
          <t>avverkningsanmälan</t>
        </is>
      </c>
      <c r="C256" t="inlineStr">
        <is>
          <t>Föryngringsavverkning</t>
        </is>
      </c>
      <c r="D256" s="1" t="n">
        <v>45849</v>
      </c>
      <c r="E256" s="1" t="n">
        <v>46222</v>
      </c>
      <c r="F256" t="inlineStr">
        <is>
          <t>JÄMTLANDS LÄN</t>
        </is>
      </c>
      <c r="G256" t="inlineStr">
        <is>
          <t>ÅRE</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35054-2025</t>
        </is>
      </c>
      <c r="B257" t="inlineStr">
        <is>
          <t>avverkningsanmälan</t>
        </is>
      </c>
      <c r="C257" t="inlineStr">
        <is>
          <t>Föryngringsavverkning</t>
        </is>
      </c>
      <c r="D257" s="1" t="n">
        <v>45849</v>
      </c>
      <c r="E257" s="1" t="n">
        <v>46222</v>
      </c>
      <c r="F257" t="inlineStr">
        <is>
          <t>JÄMTLANDS LÄN</t>
        </is>
      </c>
      <c r="G257" t="inlineStr">
        <is>
          <t>ÅRE</t>
        </is>
      </c>
      <c r="I257" t="n">
        <v>5.3</v>
      </c>
      <c r="J257" t="n">
        <v>0</v>
      </c>
      <c r="K257" t="n">
        <v>0</v>
      </c>
      <c r="L257" t="n">
        <v>0</v>
      </c>
      <c r="M257" t="n">
        <v>0</v>
      </c>
      <c r="N257" t="n">
        <v>0</v>
      </c>
      <c r="O257" t="n">
        <v>0</v>
      </c>
      <c r="P257" t="n">
        <v>0</v>
      </c>
      <c r="Q257" t="n">
        <v>0</v>
      </c>
      <c r="R257" t="n">
        <v>0</v>
      </c>
      <c r="S257" t="n">
        <v>0</v>
      </c>
      <c r="T257" t="n">
        <v>0</v>
      </c>
      <c r="U257" s="2" t="inlineStr"/>
    </row>
    <row r="258" ht="15" customHeight="1">
      <c r="A258" t="inlineStr">
        <is>
          <t>A 65239-2021</t>
        </is>
      </c>
      <c r="B258" t="inlineStr">
        <is>
          <t>avverkningsanmälan</t>
        </is>
      </c>
      <c r="C258" t="inlineStr">
        <is>
          <t>Avverkning för annat ändamål</t>
        </is>
      </c>
      <c r="D258" s="1" t="n">
        <v>44515</v>
      </c>
      <c r="E258" s="1" t="n">
        <v>46222</v>
      </c>
      <c r="F258" t="inlineStr">
        <is>
          <t>JÄMTLANDS LÄN</t>
        </is>
      </c>
      <c r="G258" t="inlineStr">
        <is>
          <t>ÅRE</t>
        </is>
      </c>
      <c r="I258" t="n">
        <v>0</v>
      </c>
      <c r="J258" t="n">
        <v>0</v>
      </c>
      <c r="K258" t="n">
        <v>0</v>
      </c>
      <c r="L258" t="n">
        <v>0</v>
      </c>
      <c r="M258" t="n">
        <v>0</v>
      </c>
      <c r="N258" t="n">
        <v>0</v>
      </c>
      <c r="O258" t="n">
        <v>0</v>
      </c>
      <c r="P258" t="n">
        <v>0</v>
      </c>
      <c r="Q258" t="n">
        <v>0</v>
      </c>
      <c r="R258" t="n">
        <v>0</v>
      </c>
      <c r="S258" t="n">
        <v>0</v>
      </c>
      <c r="T258" t="n">
        <v>0</v>
      </c>
      <c r="U258" s="2" t="inlineStr"/>
    </row>
    <row r="259" ht="15" customHeight="1">
      <c r="A259" t="inlineStr">
        <is>
          <t>A 6219-2026</t>
        </is>
      </c>
      <c r="B259" t="inlineStr">
        <is>
          <t>avverkningsanmälan</t>
        </is>
      </c>
      <c r="C259" t="inlineStr">
        <is>
          <t>Föryngringsavverkning</t>
        </is>
      </c>
      <c r="D259" s="1" t="n">
        <v>46055</v>
      </c>
      <c r="E259" s="1" t="n">
        <v>46222</v>
      </c>
      <c r="F259" t="inlineStr">
        <is>
          <t>JÄMTLANDS LÄN</t>
        </is>
      </c>
      <c r="G259" t="inlineStr">
        <is>
          <t>ÅRE</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46789-2024</t>
        </is>
      </c>
      <c r="B260" t="inlineStr">
        <is>
          <t>avverkningsanmälan</t>
        </is>
      </c>
      <c r="C260" t="inlineStr">
        <is>
          <t>Avverkning för annat ändamål</t>
        </is>
      </c>
      <c r="D260" s="1" t="n">
        <v>45583</v>
      </c>
      <c r="E260" s="1" t="n">
        <v>46222</v>
      </c>
      <c r="F260" t="inlineStr">
        <is>
          <t>JÄMTLANDS LÄN</t>
        </is>
      </c>
      <c r="G260" t="inlineStr">
        <is>
          <t>ÅRE</t>
        </is>
      </c>
      <c r="H260" t="inlineStr">
        <is>
          <t>Övriga Aktiebolag</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48211-2025</t>
        </is>
      </c>
      <c r="B261" t="inlineStr">
        <is>
          <t>avverkningsanmälan</t>
        </is>
      </c>
      <c r="C261" t="inlineStr">
        <is>
          <t>Avverkning för att bevara och utveckla /försöksver</t>
        </is>
      </c>
      <c r="D261" s="1" t="n">
        <v>45931</v>
      </c>
      <c r="E261" s="1" t="n">
        <v>46222</v>
      </c>
      <c r="F261" t="inlineStr">
        <is>
          <t>JÄMTLANDS LÄN</t>
        </is>
      </c>
      <c r="G261" t="inlineStr">
        <is>
          <t>ÅRE</t>
        </is>
      </c>
      <c r="I261" t="n">
        <v>6.6</v>
      </c>
      <c r="J261" t="n">
        <v>0</v>
      </c>
      <c r="K261" t="n">
        <v>0</v>
      </c>
      <c r="L261" t="n">
        <v>0</v>
      </c>
      <c r="M261" t="n">
        <v>0</v>
      </c>
      <c r="N261" t="n">
        <v>0</v>
      </c>
      <c r="O261" t="n">
        <v>0</v>
      </c>
      <c r="P261" t="n">
        <v>0</v>
      </c>
      <c r="Q261" t="n">
        <v>0</v>
      </c>
      <c r="R261" t="n">
        <v>0</v>
      </c>
      <c r="S261" t="n">
        <v>0</v>
      </c>
      <c r="T261" t="n">
        <v>0</v>
      </c>
      <c r="U261" s="2" t="inlineStr"/>
    </row>
    <row r="262" ht="15" customHeight="1">
      <c r="A262" t="inlineStr">
        <is>
          <t>A 25379-2024</t>
        </is>
      </c>
      <c r="B262" t="inlineStr">
        <is>
          <t>avverkningsanmälan</t>
        </is>
      </c>
      <c r="C262" t="inlineStr">
        <is>
          <t>Avverkning för att bevara och utveckla /försöksver</t>
        </is>
      </c>
      <c r="D262" s="1" t="n">
        <v>45462</v>
      </c>
      <c r="E262" s="1" t="n">
        <v>46222</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s="2" t="inlineStr"/>
    </row>
    <row r="263" ht="15" customHeight="1">
      <c r="A263" t="inlineStr">
        <is>
          <t>A 13221-2022</t>
        </is>
      </c>
      <c r="B263" t="inlineStr">
        <is>
          <t>avverkningsanmälan</t>
        </is>
      </c>
      <c r="C263" t="inlineStr">
        <is>
          <t>Föryngringsavverkning</t>
        </is>
      </c>
      <c r="D263" s="1" t="n">
        <v>44644</v>
      </c>
      <c r="E263" s="1" t="n">
        <v>46222</v>
      </c>
      <c r="F263" t="inlineStr">
        <is>
          <t>JÄMTLANDS LÄN</t>
        </is>
      </c>
      <c r="G263" t="inlineStr">
        <is>
          <t>ÅRE</t>
        </is>
      </c>
      <c r="H263" t="inlineStr">
        <is>
          <t>Övriga Aktiebolag</t>
        </is>
      </c>
      <c r="I263" t="n">
        <v>6.6</v>
      </c>
      <c r="J263" t="n">
        <v>0</v>
      </c>
      <c r="K263" t="n">
        <v>0</v>
      </c>
      <c r="L263" t="n">
        <v>0</v>
      </c>
      <c r="M263" t="n">
        <v>0</v>
      </c>
      <c r="N263" t="n">
        <v>0</v>
      </c>
      <c r="O263" t="n">
        <v>0</v>
      </c>
      <c r="P263" t="n">
        <v>0</v>
      </c>
      <c r="Q263" t="n">
        <v>0</v>
      </c>
      <c r="R263" t="n">
        <v>0</v>
      </c>
      <c r="S263" t="n">
        <v>0</v>
      </c>
      <c r="T263" t="n">
        <v>0</v>
      </c>
      <c r="U263" s="2" t="inlineStr"/>
    </row>
    <row r="264" ht="15" customHeight="1">
      <c r="A264" t="inlineStr">
        <is>
          <t>A 36015-2025</t>
        </is>
      </c>
      <c r="B264" t="inlineStr">
        <is>
          <t>avverkningsanmälan</t>
        </is>
      </c>
      <c r="C264" t="inlineStr">
        <is>
          <t>Avverkning för annat ändamål</t>
        </is>
      </c>
      <c r="D264" s="1" t="n">
        <v>45863</v>
      </c>
      <c r="E264" s="1" t="n">
        <v>46222</v>
      </c>
      <c r="F264" t="inlineStr">
        <is>
          <t>JÄMTLANDS LÄN</t>
        </is>
      </c>
      <c r="G264" t="inlineStr">
        <is>
          <t>ÅRE</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7089-2026</t>
        </is>
      </c>
      <c r="B265" t="inlineStr">
        <is>
          <t>avverkningsanmälan</t>
        </is>
      </c>
      <c r="C265" t="inlineStr">
        <is>
          <t>Föryngringsavverkning</t>
        </is>
      </c>
      <c r="D265" s="1" t="n">
        <v>46058</v>
      </c>
      <c r="E265" s="1" t="n">
        <v>46222</v>
      </c>
      <c r="F265" t="inlineStr">
        <is>
          <t>JÄMTLANDS LÄN</t>
        </is>
      </c>
      <c r="G265" t="inlineStr">
        <is>
          <t>ÅRE</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46457-2025</t>
        </is>
      </c>
      <c r="B266" t="inlineStr">
        <is>
          <t>avverkningsanmälan</t>
        </is>
      </c>
      <c r="C266" t="inlineStr">
        <is>
          <t>Föryngringsavverkning</t>
        </is>
      </c>
      <c r="D266" s="1" t="n">
        <v>45925</v>
      </c>
      <c r="E266" s="1" t="n">
        <v>46222</v>
      </c>
      <c r="F266" t="inlineStr">
        <is>
          <t>JÄMTLANDS LÄN</t>
        </is>
      </c>
      <c r="G266" t="inlineStr">
        <is>
          <t>ÅRE</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46452-2025</t>
        </is>
      </c>
      <c r="B267" t="inlineStr">
        <is>
          <t>avverkningsanmälan</t>
        </is>
      </c>
      <c r="C267" t="inlineStr">
        <is>
          <t>Föryngringsavverkning</t>
        </is>
      </c>
      <c r="D267" s="1" t="n">
        <v>45925</v>
      </c>
      <c r="E267" s="1" t="n">
        <v>46222</v>
      </c>
      <c r="F267" t="inlineStr">
        <is>
          <t>JÄMTLANDS LÄN</t>
        </is>
      </c>
      <c r="G267" t="inlineStr">
        <is>
          <t>ÅRE</t>
        </is>
      </c>
      <c r="I267" t="n">
        <v>7.2</v>
      </c>
      <c r="J267" t="n">
        <v>0</v>
      </c>
      <c r="K267" t="n">
        <v>0</v>
      </c>
      <c r="L267" t="n">
        <v>0</v>
      </c>
      <c r="M267" t="n">
        <v>0</v>
      </c>
      <c r="N267" t="n">
        <v>0</v>
      </c>
      <c r="O267" t="n">
        <v>0</v>
      </c>
      <c r="P267" t="n">
        <v>0</v>
      </c>
      <c r="Q267" t="n">
        <v>0</v>
      </c>
      <c r="R267" t="n">
        <v>0</v>
      </c>
      <c r="S267" t="n">
        <v>0</v>
      </c>
      <c r="T267" t="n">
        <v>0</v>
      </c>
      <c r="U267" s="2" t="inlineStr"/>
    </row>
    <row r="268" ht="15" customHeight="1">
      <c r="A268" t="inlineStr">
        <is>
          <t>A 53462-2024</t>
        </is>
      </c>
      <c r="B268" t="inlineStr">
        <is>
          <t>avverkningsanmälan</t>
        </is>
      </c>
      <c r="C268" t="inlineStr">
        <is>
          <t>Föryngringsavverkning</t>
        </is>
      </c>
      <c r="D268" s="1" t="n">
        <v>45614</v>
      </c>
      <c r="E268" s="1" t="n">
        <v>46222</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s="2" t="inlineStr"/>
    </row>
    <row r="269" ht="15" customHeight="1">
      <c r="A269" t="inlineStr">
        <is>
          <t>A 25710-2024</t>
        </is>
      </c>
      <c r="B269" t="inlineStr">
        <is>
          <t>avverkningsanmälan</t>
        </is>
      </c>
      <c r="C269" t="inlineStr">
        <is>
          <t>Avverkning för att bevara och utveckla /försöksver</t>
        </is>
      </c>
      <c r="D269" s="1" t="n">
        <v>45463</v>
      </c>
      <c r="E269" s="1" t="n">
        <v>46222</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12193-2023</t>
        </is>
      </c>
      <c r="B270" t="inlineStr">
        <is>
          <t>avverkningsanmälan</t>
        </is>
      </c>
      <c r="C270" t="inlineStr">
        <is>
          <t>Föryngringsavverkning</t>
        </is>
      </c>
      <c r="D270" s="1" t="n">
        <v>44998</v>
      </c>
      <c r="E270" s="1" t="n">
        <v>46222</v>
      </c>
      <c r="F270" t="inlineStr">
        <is>
          <t>JÄMTLANDS LÄN</t>
        </is>
      </c>
      <c r="G270" t="inlineStr">
        <is>
          <t>ÅRE</t>
        </is>
      </c>
      <c r="I270" t="n">
        <v>14.7</v>
      </c>
      <c r="J270" t="n">
        <v>0</v>
      </c>
      <c r="K270" t="n">
        <v>0</v>
      </c>
      <c r="L270" t="n">
        <v>0</v>
      </c>
      <c r="M270" t="n">
        <v>0</v>
      </c>
      <c r="N270" t="n">
        <v>0</v>
      </c>
      <c r="O270" t="n">
        <v>0</v>
      </c>
      <c r="P270" t="n">
        <v>0</v>
      </c>
      <c r="Q270" t="n">
        <v>0</v>
      </c>
      <c r="R270" t="n">
        <v>0</v>
      </c>
      <c r="S270" t="n">
        <v>0</v>
      </c>
      <c r="T270" t="n">
        <v>0</v>
      </c>
      <c r="U270" s="2" t="inlineStr"/>
    </row>
    <row r="271" ht="15" customHeight="1">
      <c r="A271" t="inlineStr">
        <is>
          <t>A 34931-2025</t>
        </is>
      </c>
      <c r="B271" t="inlineStr">
        <is>
          <t>avverkningsanmälan</t>
        </is>
      </c>
      <c r="C271" t="inlineStr">
        <is>
          <t>Föryngringsavverkning</t>
        </is>
      </c>
      <c r="D271" s="1" t="n">
        <v>45849</v>
      </c>
      <c r="E271" s="1" t="n">
        <v>46222</v>
      </c>
      <c r="F271" t="inlineStr">
        <is>
          <t>JÄMTLANDS LÄN</t>
        </is>
      </c>
      <c r="G271" t="inlineStr">
        <is>
          <t>ÅRE</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17566-2023</t>
        </is>
      </c>
      <c r="B272" t="inlineStr">
        <is>
          <t>avverkningsanmälan</t>
        </is>
      </c>
      <c r="C272" t="inlineStr">
        <is>
          <t>Föryngringsavverkning</t>
        </is>
      </c>
      <c r="D272" s="1" t="n">
        <v>45034</v>
      </c>
      <c r="E272" s="1" t="n">
        <v>46222</v>
      </c>
      <c r="F272" t="inlineStr">
        <is>
          <t>JÄMTLANDS LÄN</t>
        </is>
      </c>
      <c r="G272" t="inlineStr">
        <is>
          <t>ÅRE</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20485-2024</t>
        </is>
      </c>
      <c r="B273" t="inlineStr">
        <is>
          <t>avverkningsanmälan</t>
        </is>
      </c>
      <c r="C273" t="inlineStr">
        <is>
          <t>Föryngringsavverkning</t>
        </is>
      </c>
      <c r="D273" s="1" t="n">
        <v>45435</v>
      </c>
      <c r="E273" s="1" t="n">
        <v>46222</v>
      </c>
      <c r="F273" t="inlineStr">
        <is>
          <t>JÄMTLANDS LÄN</t>
        </is>
      </c>
      <c r="G273" t="inlineStr">
        <is>
          <t>ÅRE</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37178-2025</t>
        </is>
      </c>
      <c r="B274" t="inlineStr">
        <is>
          <t>avverkningsanmälan</t>
        </is>
      </c>
      <c r="C274" t="inlineStr">
        <is>
          <t>Föryngringsavverkning</t>
        </is>
      </c>
      <c r="D274" s="1" t="n">
        <v>45875</v>
      </c>
      <c r="E274" s="1" t="n">
        <v>46222</v>
      </c>
      <c r="F274" t="inlineStr">
        <is>
          <t>JÄMTLANDS LÄN</t>
        </is>
      </c>
      <c r="G274" t="inlineStr">
        <is>
          <t>ÅRE</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37158-2025</t>
        </is>
      </c>
      <c r="B275" t="inlineStr">
        <is>
          <t>avverkningsanmälan</t>
        </is>
      </c>
      <c r="C275" t="inlineStr">
        <is>
          <t>Föryngringsavverkning</t>
        </is>
      </c>
      <c r="D275" s="1" t="n">
        <v>45875</v>
      </c>
      <c r="E275" s="1" t="n">
        <v>46222</v>
      </c>
      <c r="F275" t="inlineStr">
        <is>
          <t>JÄMTLANDS LÄN</t>
        </is>
      </c>
      <c r="G275" t="inlineStr">
        <is>
          <t>ÅRE</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37118-2025</t>
        </is>
      </c>
      <c r="B276" t="inlineStr">
        <is>
          <t>avverkningsanmälan</t>
        </is>
      </c>
      <c r="C276" t="inlineStr">
        <is>
          <t>Avverkning för att bevara och utveckla /försöksver</t>
        </is>
      </c>
      <c r="D276" s="1" t="n">
        <v>45875</v>
      </c>
      <c r="E276" s="1" t="n">
        <v>46222</v>
      </c>
      <c r="F276" t="inlineStr">
        <is>
          <t>JÄMTLANDS LÄN</t>
        </is>
      </c>
      <c r="G276" t="inlineStr">
        <is>
          <t>ÅRE</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44512-2023</t>
        </is>
      </c>
      <c r="B277" t="inlineStr">
        <is>
          <t>avverkningsanmälan</t>
        </is>
      </c>
      <c r="C277" t="inlineStr">
        <is>
          <t>Föryngringsavverkning</t>
        </is>
      </c>
      <c r="D277" s="1" t="n">
        <v>45184</v>
      </c>
      <c r="E277" s="1" t="n">
        <v>46222</v>
      </c>
      <c r="F277" t="inlineStr">
        <is>
          <t>JÄMTLANDS LÄN</t>
        </is>
      </c>
      <c r="G277" t="inlineStr">
        <is>
          <t>ÅRE</t>
        </is>
      </c>
      <c r="I277" t="n">
        <v>12.5</v>
      </c>
      <c r="J277" t="n">
        <v>0</v>
      </c>
      <c r="K277" t="n">
        <v>0</v>
      </c>
      <c r="L277" t="n">
        <v>0</v>
      </c>
      <c r="M277" t="n">
        <v>0</v>
      </c>
      <c r="N277" t="n">
        <v>0</v>
      </c>
      <c r="O277" t="n">
        <v>0</v>
      </c>
      <c r="P277" t="n">
        <v>0</v>
      </c>
      <c r="Q277" t="n">
        <v>0</v>
      </c>
      <c r="R277" t="n">
        <v>0</v>
      </c>
      <c r="S277" t="n">
        <v>0</v>
      </c>
      <c r="T277" t="n">
        <v>0</v>
      </c>
      <c r="U277" s="2" t="inlineStr"/>
    </row>
    <row r="278" ht="15" customHeight="1">
      <c r="A278" t="inlineStr">
        <is>
          <t>A 37159-2025</t>
        </is>
      </c>
      <c r="B278" t="inlineStr">
        <is>
          <t>avverkningsanmälan</t>
        </is>
      </c>
      <c r="C278" t="inlineStr">
        <is>
          <t>Föryngringsavverkning</t>
        </is>
      </c>
      <c r="D278" s="1" t="n">
        <v>45875</v>
      </c>
      <c r="E278" s="1" t="n">
        <v>46222</v>
      </c>
      <c r="F278" t="inlineStr">
        <is>
          <t>JÄMTLANDS LÄN</t>
        </is>
      </c>
      <c r="G278" t="inlineStr">
        <is>
          <t>ÅRE</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37739-2023</t>
        </is>
      </c>
      <c r="B279" t="inlineStr">
        <is>
          <t>avverkningsanmälan</t>
        </is>
      </c>
      <c r="C279" t="inlineStr">
        <is>
          <t>Avverkning för annat ändamål</t>
        </is>
      </c>
      <c r="D279" s="1" t="n">
        <v>45159</v>
      </c>
      <c r="E279" s="1" t="n">
        <v>46222</v>
      </c>
      <c r="F279" t="inlineStr">
        <is>
          <t>JÄMTLANDS LÄN</t>
        </is>
      </c>
      <c r="G279" t="inlineStr">
        <is>
          <t>ÅRE</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37758-2023</t>
        </is>
      </c>
      <c r="B280" t="inlineStr">
        <is>
          <t>avverkningsanmälan</t>
        </is>
      </c>
      <c r="C280" t="inlineStr">
        <is>
          <t>Föryngringsavverkning</t>
        </is>
      </c>
      <c r="D280" s="1" t="n">
        <v>45159</v>
      </c>
      <c r="E280" s="1" t="n">
        <v>46222</v>
      </c>
      <c r="F280" t="inlineStr">
        <is>
          <t>JÄMTLANDS LÄN</t>
        </is>
      </c>
      <c r="G280" t="inlineStr">
        <is>
          <t>ÅRE</t>
        </is>
      </c>
      <c r="I280" t="n">
        <v>20.1</v>
      </c>
      <c r="J280" t="n">
        <v>0</v>
      </c>
      <c r="K280" t="n">
        <v>0</v>
      </c>
      <c r="L280" t="n">
        <v>0</v>
      </c>
      <c r="M280" t="n">
        <v>0</v>
      </c>
      <c r="N280" t="n">
        <v>0</v>
      </c>
      <c r="O280" t="n">
        <v>0</v>
      </c>
      <c r="P280" t="n">
        <v>0</v>
      </c>
      <c r="Q280" t="n">
        <v>0</v>
      </c>
      <c r="R280" t="n">
        <v>0</v>
      </c>
      <c r="S280" t="n">
        <v>0</v>
      </c>
      <c r="T280" t="n">
        <v>0</v>
      </c>
      <c r="U280" s="2" t="inlineStr"/>
    </row>
    <row r="281" ht="15" customHeight="1">
      <c r="A281" t="inlineStr">
        <is>
          <t>A 12168-2023</t>
        </is>
      </c>
      <c r="B281" t="inlineStr">
        <is>
          <t>avverkningsanmälan</t>
        </is>
      </c>
      <c r="C281" t="inlineStr">
        <is>
          <t>Föryngringsavverkning</t>
        </is>
      </c>
      <c r="D281" s="1" t="n">
        <v>44998</v>
      </c>
      <c r="E281" s="1" t="n">
        <v>46222</v>
      </c>
      <c r="F281" t="inlineStr">
        <is>
          <t>JÄMTLANDS LÄN</t>
        </is>
      </c>
      <c r="G281" t="inlineStr">
        <is>
          <t>ÅRE</t>
        </is>
      </c>
      <c r="I281" t="n">
        <v>8.699999999999999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12173-2023</t>
        </is>
      </c>
      <c r="B282" t="inlineStr">
        <is>
          <t>avverkningsanmälan</t>
        </is>
      </c>
      <c r="C282" t="inlineStr">
        <is>
          <t>Föryngringsavverkning</t>
        </is>
      </c>
      <c r="D282" s="1" t="n">
        <v>44998</v>
      </c>
      <c r="E282" s="1" t="n">
        <v>46222</v>
      </c>
      <c r="F282" t="inlineStr">
        <is>
          <t>JÄMTLANDS LÄN</t>
        </is>
      </c>
      <c r="G282" t="inlineStr">
        <is>
          <t>ÅRE</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33379-2024</t>
        </is>
      </c>
      <c r="B283" t="inlineStr">
        <is>
          <t>avverkningsanmälan</t>
        </is>
      </c>
      <c r="C283" t="inlineStr">
        <is>
          <t>Avverkning för annat ändamål</t>
        </is>
      </c>
      <c r="D283" s="1" t="n">
        <v>45519</v>
      </c>
      <c r="E283" s="1" t="n">
        <v>46222</v>
      </c>
      <c r="F283" t="inlineStr">
        <is>
          <t>JÄMTLANDS LÄN</t>
        </is>
      </c>
      <c r="G283" t="inlineStr">
        <is>
          <t>ÅRE</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6049-2025</t>
        </is>
      </c>
      <c r="B284" t="inlineStr">
        <is>
          <t>avverkningsanmälan</t>
        </is>
      </c>
      <c r="C284" t="inlineStr">
        <is>
          <t>Föryngringsavverkning</t>
        </is>
      </c>
      <c r="D284" s="1" t="n">
        <v>45695</v>
      </c>
      <c r="E284" s="1" t="n">
        <v>46222</v>
      </c>
      <c r="F284" t="inlineStr">
        <is>
          <t>JÄMTLANDS LÄN</t>
        </is>
      </c>
      <c r="G284" t="inlineStr">
        <is>
          <t>ÅRE</t>
        </is>
      </c>
      <c r="I284" t="n">
        <v>58.3</v>
      </c>
      <c r="J284" t="n">
        <v>0</v>
      </c>
      <c r="K284" t="n">
        <v>0</v>
      </c>
      <c r="L284" t="n">
        <v>0</v>
      </c>
      <c r="M284" t="n">
        <v>0</v>
      </c>
      <c r="N284" t="n">
        <v>0</v>
      </c>
      <c r="O284" t="n">
        <v>0</v>
      </c>
      <c r="P284" t="n">
        <v>0</v>
      </c>
      <c r="Q284" t="n">
        <v>0</v>
      </c>
      <c r="R284" t="n">
        <v>0</v>
      </c>
      <c r="S284" t="n">
        <v>0</v>
      </c>
      <c r="T284" t="n">
        <v>0</v>
      </c>
      <c r="U284" s="2" t="inlineStr"/>
    </row>
    <row r="285" ht="15" customHeight="1">
      <c r="A285" t="inlineStr">
        <is>
          <t>A 49303-2024</t>
        </is>
      </c>
      <c r="B285" t="inlineStr">
        <is>
          <t>avverkningsanmälan</t>
        </is>
      </c>
      <c r="C285" t="inlineStr">
        <is>
          <t>Föryngringsavverkning</t>
        </is>
      </c>
      <c r="D285" s="1" t="n">
        <v>45595</v>
      </c>
      <c r="E285" s="1" t="n">
        <v>46222</v>
      </c>
      <c r="F285" t="inlineStr">
        <is>
          <t>JÄMTLANDS LÄN</t>
        </is>
      </c>
      <c r="G285" t="inlineStr">
        <is>
          <t>ÅRE</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24655-2023</t>
        </is>
      </c>
      <c r="B286" t="inlineStr">
        <is>
          <t>avverkningsanmälan</t>
        </is>
      </c>
      <c r="C286" t="inlineStr">
        <is>
          <t>Föryngringsavverkning</t>
        </is>
      </c>
      <c r="D286" s="1" t="n">
        <v>45084</v>
      </c>
      <c r="E286" s="1" t="n">
        <v>46222</v>
      </c>
      <c r="F286" t="inlineStr">
        <is>
          <t>JÄMTLANDS LÄN</t>
        </is>
      </c>
      <c r="G286" t="inlineStr">
        <is>
          <t>ÅRE</t>
        </is>
      </c>
      <c r="I286" t="n">
        <v>9.199999999999999</v>
      </c>
      <c r="J286" t="n">
        <v>0</v>
      </c>
      <c r="K286" t="n">
        <v>0</v>
      </c>
      <c r="L286" t="n">
        <v>0</v>
      </c>
      <c r="M286" t="n">
        <v>0</v>
      </c>
      <c r="N286" t="n">
        <v>0</v>
      </c>
      <c r="O286" t="n">
        <v>0</v>
      </c>
      <c r="P286" t="n">
        <v>0</v>
      </c>
      <c r="Q286" t="n">
        <v>0</v>
      </c>
      <c r="R286" t="n">
        <v>0</v>
      </c>
      <c r="S286" t="n">
        <v>0</v>
      </c>
      <c r="T286" t="n">
        <v>0</v>
      </c>
      <c r="U286" s="2" t="inlineStr"/>
    </row>
    <row r="287" ht="15" customHeight="1">
      <c r="A287" t="inlineStr">
        <is>
          <t>A 12669-2023</t>
        </is>
      </c>
      <c r="B287" t="inlineStr">
        <is>
          <t>avverkningsanmälan</t>
        </is>
      </c>
      <c r="C287" t="inlineStr">
        <is>
          <t>Föryngringsavverkning</t>
        </is>
      </c>
      <c r="D287" s="1" t="n">
        <v>45000</v>
      </c>
      <c r="E287" s="1" t="n">
        <v>46222</v>
      </c>
      <c r="F287" t="inlineStr">
        <is>
          <t>JÄMTLANDS LÄN</t>
        </is>
      </c>
      <c r="G287" t="inlineStr">
        <is>
          <t>ÅRE</t>
        </is>
      </c>
      <c r="H287" t="inlineStr">
        <is>
          <t>Övriga Aktiebolag</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51876-2025</t>
        </is>
      </c>
      <c r="B288" t="inlineStr">
        <is>
          <t>avverkningsanmälan</t>
        </is>
      </c>
      <c r="C288" t="inlineStr">
        <is>
          <t>Avverkning för annat ändamål</t>
        </is>
      </c>
      <c r="D288" s="1" t="n">
        <v>45952</v>
      </c>
      <c r="E288" s="1" t="n">
        <v>46222</v>
      </c>
      <c r="F288" t="inlineStr">
        <is>
          <t>JÄMTLANDS LÄN</t>
        </is>
      </c>
      <c r="G288" t="inlineStr">
        <is>
          <t>ÅRE</t>
        </is>
      </c>
      <c r="H288" t="inlineStr">
        <is>
          <t>Övriga Aktiebolag</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52607-2025</t>
        </is>
      </c>
      <c r="B289" t="inlineStr">
        <is>
          <t>avverkningsanmälan</t>
        </is>
      </c>
      <c r="C289" t="inlineStr">
        <is>
          <t>Föryngringsavverkning</t>
        </is>
      </c>
      <c r="D289" s="1" t="n">
        <v>45954</v>
      </c>
      <c r="E289" s="1" t="n">
        <v>46222</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8872-2026</t>
        </is>
      </c>
      <c r="B290" t="inlineStr">
        <is>
          <t>avverkningsanmälan</t>
        </is>
      </c>
      <c r="C290" t="inlineStr">
        <is>
          <t>Avverkning för annat ändamål</t>
        </is>
      </c>
      <c r="D290" s="1" t="n">
        <v>46066</v>
      </c>
      <c r="E290" s="1" t="n">
        <v>46222</v>
      </c>
      <c r="F290" t="inlineStr">
        <is>
          <t>JÄMTLANDS LÄN</t>
        </is>
      </c>
      <c r="G290" t="inlineStr">
        <is>
          <t>ÅRE</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53134-2025</t>
        </is>
      </c>
      <c r="B291" t="inlineStr">
        <is>
          <t>avverkningsanmälan</t>
        </is>
      </c>
      <c r="C291" t="inlineStr">
        <is>
          <t>Föryngringsavverkning</t>
        </is>
      </c>
      <c r="D291" s="1" t="n">
        <v>45958</v>
      </c>
      <c r="E291" s="1" t="n">
        <v>46222</v>
      </c>
      <c r="F291" t="inlineStr">
        <is>
          <t>JÄMTLANDS LÄN</t>
        </is>
      </c>
      <c r="G291" t="inlineStr">
        <is>
          <t>ÅRE</t>
        </is>
      </c>
      <c r="I291" t="n">
        <v>13.8</v>
      </c>
      <c r="J291" t="n">
        <v>0</v>
      </c>
      <c r="K291" t="n">
        <v>0</v>
      </c>
      <c r="L291" t="n">
        <v>0</v>
      </c>
      <c r="M291" t="n">
        <v>0</v>
      </c>
      <c r="N291" t="n">
        <v>0</v>
      </c>
      <c r="O291" t="n">
        <v>0</v>
      </c>
      <c r="P291" t="n">
        <v>0</v>
      </c>
      <c r="Q291" t="n">
        <v>0</v>
      </c>
      <c r="R291" t="n">
        <v>0</v>
      </c>
      <c r="S291" t="n">
        <v>0</v>
      </c>
      <c r="T291" t="n">
        <v>0</v>
      </c>
      <c r="U291" s="2" t="inlineStr"/>
    </row>
    <row r="292" ht="15" customHeight="1">
      <c r="A292" t="inlineStr">
        <is>
          <t>A 53133-2025</t>
        </is>
      </c>
      <c r="B292" t="inlineStr">
        <is>
          <t>avverkningsanmälan</t>
        </is>
      </c>
      <c r="C292" t="inlineStr">
        <is>
          <t>Föryngringsavverkning</t>
        </is>
      </c>
      <c r="D292" s="1" t="n">
        <v>45958</v>
      </c>
      <c r="E292" s="1" t="n">
        <v>46222</v>
      </c>
      <c r="F292" t="inlineStr">
        <is>
          <t>JÄMTLANDS LÄN</t>
        </is>
      </c>
      <c r="G292" t="inlineStr">
        <is>
          <t>ÅRE</t>
        </is>
      </c>
      <c r="I292" t="n">
        <v>13.8</v>
      </c>
      <c r="J292" t="n">
        <v>0</v>
      </c>
      <c r="K292" t="n">
        <v>0</v>
      </c>
      <c r="L292" t="n">
        <v>0</v>
      </c>
      <c r="M292" t="n">
        <v>0</v>
      </c>
      <c r="N292" t="n">
        <v>0</v>
      </c>
      <c r="O292" t="n">
        <v>0</v>
      </c>
      <c r="P292" t="n">
        <v>0</v>
      </c>
      <c r="Q292" t="n">
        <v>0</v>
      </c>
      <c r="R292" t="n">
        <v>0</v>
      </c>
      <c r="S292" t="n">
        <v>0</v>
      </c>
      <c r="T292" t="n">
        <v>0</v>
      </c>
      <c r="U292" s="2" t="inlineStr"/>
    </row>
    <row r="293" ht="15" customHeight="1">
      <c r="A293" t="inlineStr">
        <is>
          <t>A 57864-2024</t>
        </is>
      </c>
      <c r="B293" t="inlineStr">
        <is>
          <t>avverkningsanmälan</t>
        </is>
      </c>
      <c r="C293" t="inlineStr">
        <is>
          <t>Föryngringsavverkning</t>
        </is>
      </c>
      <c r="D293" s="1" t="n">
        <v>45631</v>
      </c>
      <c r="E293" s="1" t="n">
        <v>46222</v>
      </c>
      <c r="F293" t="inlineStr">
        <is>
          <t>JÄMTLANDS LÄN</t>
        </is>
      </c>
      <c r="G293" t="inlineStr">
        <is>
          <t>ÅRE</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16081-2026</t>
        </is>
      </c>
      <c r="B294" t="inlineStr">
        <is>
          <t>avverkningsanmälan</t>
        </is>
      </c>
      <c r="C294" t="inlineStr">
        <is>
          <t>Föryngringsavverkning</t>
        </is>
      </c>
      <c r="D294" s="1" t="n">
        <v>46108</v>
      </c>
      <c r="E294" s="1" t="n">
        <v>46222</v>
      </c>
      <c r="F294" t="inlineStr">
        <is>
          <t>JÄMTLANDS LÄN</t>
        </is>
      </c>
      <c r="G294" t="inlineStr">
        <is>
          <t>ÅRE</t>
        </is>
      </c>
      <c r="I294" t="n">
        <v>76.8</v>
      </c>
      <c r="J294" t="n">
        <v>0</v>
      </c>
      <c r="K294" t="n">
        <v>0</v>
      </c>
      <c r="L294" t="n">
        <v>0</v>
      </c>
      <c r="M294" t="n">
        <v>0</v>
      </c>
      <c r="N294" t="n">
        <v>0</v>
      </c>
      <c r="O294" t="n">
        <v>0</v>
      </c>
      <c r="P294" t="n">
        <v>0</v>
      </c>
      <c r="Q294" t="n">
        <v>0</v>
      </c>
      <c r="R294" t="n">
        <v>0</v>
      </c>
      <c r="S294" t="n">
        <v>0</v>
      </c>
      <c r="T294" t="n">
        <v>0</v>
      </c>
      <c r="U294" s="2" t="inlineStr"/>
    </row>
    <row r="295" ht="15" customHeight="1">
      <c r="A295" t="inlineStr">
        <is>
          <t>A 52946-2025</t>
        </is>
      </c>
      <c r="B295" t="inlineStr">
        <is>
          <t>avverkningsanmälan</t>
        </is>
      </c>
      <c r="C295" t="inlineStr">
        <is>
          <t>Föryngringsavverkning</t>
        </is>
      </c>
      <c r="D295" s="1" t="n">
        <v>45957</v>
      </c>
      <c r="E295" s="1" t="n">
        <v>46222</v>
      </c>
      <c r="F295" t="inlineStr">
        <is>
          <t>JÄMTLANDS LÄN</t>
        </is>
      </c>
      <c r="G295" t="inlineStr">
        <is>
          <t>ÅRE</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42876-2025</t>
        </is>
      </c>
      <c r="B296" t="inlineStr">
        <is>
          <t>avverkningsanmälan</t>
        </is>
      </c>
      <c r="C296" t="inlineStr">
        <is>
          <t>Avverkning för annat ändamål</t>
        </is>
      </c>
      <c r="D296" s="1" t="n">
        <v>45908</v>
      </c>
      <c r="E296" s="1" t="n">
        <v>46222</v>
      </c>
      <c r="F296" t="inlineStr">
        <is>
          <t>JÄMTLANDS LÄN</t>
        </is>
      </c>
      <c r="G296" t="inlineStr">
        <is>
          <t>ÅRE</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30081-2024</t>
        </is>
      </c>
      <c r="B297" t="inlineStr">
        <is>
          <t>avverkningsanmälan</t>
        </is>
      </c>
      <c r="C297" t="inlineStr">
        <is>
          <t>Föryngringsavverkning</t>
        </is>
      </c>
      <c r="D297" s="1" t="n">
        <v>45485</v>
      </c>
      <c r="E297" s="1" t="n">
        <v>46222</v>
      </c>
      <c r="F297" t="inlineStr">
        <is>
          <t>JÄMTLANDS LÄN</t>
        </is>
      </c>
      <c r="G297" t="inlineStr">
        <is>
          <t>ÅRE</t>
        </is>
      </c>
      <c r="I297" t="n">
        <v>17.8</v>
      </c>
      <c r="J297" t="n">
        <v>0</v>
      </c>
      <c r="K297" t="n">
        <v>0</v>
      </c>
      <c r="L297" t="n">
        <v>0</v>
      </c>
      <c r="M297" t="n">
        <v>0</v>
      </c>
      <c r="N297" t="n">
        <v>0</v>
      </c>
      <c r="O297" t="n">
        <v>0</v>
      </c>
      <c r="P297" t="n">
        <v>0</v>
      </c>
      <c r="Q297" t="n">
        <v>0</v>
      </c>
      <c r="R297" t="n">
        <v>0</v>
      </c>
      <c r="S297" t="n">
        <v>0</v>
      </c>
      <c r="T297" t="n">
        <v>0</v>
      </c>
      <c r="U297" s="2" t="inlineStr"/>
    </row>
    <row r="298" ht="15" customHeight="1">
      <c r="A298" t="inlineStr">
        <is>
          <t>A 30080-2024</t>
        </is>
      </c>
      <c r="B298" t="inlineStr">
        <is>
          <t>avverkningsanmälan</t>
        </is>
      </c>
      <c r="C298" t="inlineStr">
        <is>
          <t>Föryngringsavverkning</t>
        </is>
      </c>
      <c r="D298" s="1" t="n">
        <v>45485</v>
      </c>
      <c r="E298" s="1" t="n">
        <v>46222</v>
      </c>
      <c r="F298" t="inlineStr">
        <is>
          <t>JÄMTLANDS LÄN</t>
        </is>
      </c>
      <c r="G298" t="inlineStr">
        <is>
          <t>ÅRE</t>
        </is>
      </c>
      <c r="I298" t="n">
        <v>24.6</v>
      </c>
      <c r="J298" t="n">
        <v>0</v>
      </c>
      <c r="K298" t="n">
        <v>0</v>
      </c>
      <c r="L298" t="n">
        <v>0</v>
      </c>
      <c r="M298" t="n">
        <v>0</v>
      </c>
      <c r="N298" t="n">
        <v>0</v>
      </c>
      <c r="O298" t="n">
        <v>0</v>
      </c>
      <c r="P298" t="n">
        <v>0</v>
      </c>
      <c r="Q298" t="n">
        <v>0</v>
      </c>
      <c r="R298" t="n">
        <v>0</v>
      </c>
      <c r="S298" t="n">
        <v>0</v>
      </c>
      <c r="T298" t="n">
        <v>0</v>
      </c>
      <c r="U298" s="2" t="inlineStr"/>
    </row>
    <row r="299" ht="15" customHeight="1">
      <c r="A299" t="inlineStr">
        <is>
          <t>A 59397-2021</t>
        </is>
      </c>
      <c r="B299" t="inlineStr">
        <is>
          <t>avverkningsanmälan</t>
        </is>
      </c>
      <c r="C299" t="inlineStr">
        <is>
          <t>Föryngringsavverkning</t>
        </is>
      </c>
      <c r="D299" s="1" t="n">
        <v>44491</v>
      </c>
      <c r="E299" s="1" t="n">
        <v>46222</v>
      </c>
      <c r="F299" t="inlineStr">
        <is>
          <t>JÄMTLANDS LÄN</t>
        </is>
      </c>
      <c r="G299" t="inlineStr">
        <is>
          <t>ÅRE</t>
        </is>
      </c>
      <c r="H299" t="inlineStr">
        <is>
          <t>Övriga Aktiebolag</t>
        </is>
      </c>
      <c r="I299" t="n">
        <v>7.6</v>
      </c>
      <c r="J299" t="n">
        <v>0</v>
      </c>
      <c r="K299" t="n">
        <v>0</v>
      </c>
      <c r="L299" t="n">
        <v>0</v>
      </c>
      <c r="M299" t="n">
        <v>0</v>
      </c>
      <c r="N299" t="n">
        <v>0</v>
      </c>
      <c r="O299" t="n">
        <v>0</v>
      </c>
      <c r="P299" t="n">
        <v>0</v>
      </c>
      <c r="Q299" t="n">
        <v>0</v>
      </c>
      <c r="R299" t="n">
        <v>0</v>
      </c>
      <c r="S299" t="n">
        <v>0</v>
      </c>
      <c r="T299" t="n">
        <v>0</v>
      </c>
      <c r="U299" s="2" t="inlineStr"/>
    </row>
    <row r="300" ht="15" customHeight="1">
      <c r="A300" t="inlineStr">
        <is>
          <t>A 47052-2022</t>
        </is>
      </c>
      <c r="B300" t="inlineStr">
        <is>
          <t>avverkningsanmälan</t>
        </is>
      </c>
      <c r="C300" t="inlineStr">
        <is>
          <t>Föryngringsavverkning</t>
        </is>
      </c>
      <c r="D300" s="1" t="n">
        <v>44851</v>
      </c>
      <c r="E300" s="1" t="n">
        <v>46222</v>
      </c>
      <c r="F300" t="inlineStr">
        <is>
          <t>JÄMTLANDS LÄN</t>
        </is>
      </c>
      <c r="G300" t="inlineStr">
        <is>
          <t>ÅRE</t>
        </is>
      </c>
      <c r="I300" t="n">
        <v>90.8</v>
      </c>
      <c r="J300" t="n">
        <v>0</v>
      </c>
      <c r="K300" t="n">
        <v>0</v>
      </c>
      <c r="L300" t="n">
        <v>0</v>
      </c>
      <c r="M300" t="n">
        <v>0</v>
      </c>
      <c r="N300" t="n">
        <v>0</v>
      </c>
      <c r="O300" t="n">
        <v>0</v>
      </c>
      <c r="P300" t="n">
        <v>0</v>
      </c>
      <c r="Q300" t="n">
        <v>0</v>
      </c>
      <c r="R300" t="n">
        <v>0</v>
      </c>
      <c r="S300" t="n">
        <v>0</v>
      </c>
      <c r="T300" t="n">
        <v>0</v>
      </c>
      <c r="U300" s="2" t="inlineStr"/>
    </row>
    <row r="301" ht="15" customHeight="1">
      <c r="A301" t="inlineStr">
        <is>
          <t>A 50951-2023</t>
        </is>
      </c>
      <c r="B301" t="inlineStr">
        <is>
          <t>avverkningsanmälan</t>
        </is>
      </c>
      <c r="C301" t="inlineStr">
        <is>
          <t>Avverkning för att bevara och utveckla /försöksver</t>
        </is>
      </c>
      <c r="D301" s="1" t="n">
        <v>45218</v>
      </c>
      <c r="E301" s="1" t="n">
        <v>46222</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13301-2024</t>
        </is>
      </c>
      <c r="B302" t="inlineStr">
        <is>
          <t>avverkningsanmälan</t>
        </is>
      </c>
      <c r="C302" t="inlineStr">
        <is>
          <t>Föryngringsavverkning</t>
        </is>
      </c>
      <c r="D302" s="1" t="n">
        <v>45386</v>
      </c>
      <c r="E302" s="1" t="n">
        <v>46222</v>
      </c>
      <c r="F302" t="inlineStr">
        <is>
          <t>JÄMTLANDS LÄN</t>
        </is>
      </c>
      <c r="G302" t="inlineStr">
        <is>
          <t>ÅRE</t>
        </is>
      </c>
      <c r="I302" t="n">
        <v>9</v>
      </c>
      <c r="J302" t="n">
        <v>0</v>
      </c>
      <c r="K302" t="n">
        <v>0</v>
      </c>
      <c r="L302" t="n">
        <v>0</v>
      </c>
      <c r="M302" t="n">
        <v>0</v>
      </c>
      <c r="N302" t="n">
        <v>0</v>
      </c>
      <c r="O302" t="n">
        <v>0</v>
      </c>
      <c r="P302" t="n">
        <v>0</v>
      </c>
      <c r="Q302" t="n">
        <v>0</v>
      </c>
      <c r="R302" t="n">
        <v>0</v>
      </c>
      <c r="S302" t="n">
        <v>0</v>
      </c>
      <c r="T302" t="n">
        <v>0</v>
      </c>
      <c r="U302" s="2" t="inlineStr"/>
    </row>
    <row r="303" ht="15" customHeight="1">
      <c r="A303" t="inlineStr">
        <is>
          <t>A 9766-2026</t>
        </is>
      </c>
      <c r="B303" t="inlineStr">
        <is>
          <t>avverkningsanmälan</t>
        </is>
      </c>
      <c r="C303" t="inlineStr">
        <is>
          <t>Föryngringsavverkning</t>
        </is>
      </c>
      <c r="D303" s="1" t="n">
        <v>46072</v>
      </c>
      <c r="E303" s="1" t="n">
        <v>46222</v>
      </c>
      <c r="F303" t="inlineStr">
        <is>
          <t>JÄMTLANDS LÄN</t>
        </is>
      </c>
      <c r="G303" t="inlineStr">
        <is>
          <t>ÅRE</t>
        </is>
      </c>
      <c r="H303" t="inlineStr">
        <is>
          <t>Övriga Aktiebolag</t>
        </is>
      </c>
      <c r="I303" t="n">
        <v>14.1</v>
      </c>
      <c r="J303" t="n">
        <v>0</v>
      </c>
      <c r="K303" t="n">
        <v>0</v>
      </c>
      <c r="L303" t="n">
        <v>0</v>
      </c>
      <c r="M303" t="n">
        <v>0</v>
      </c>
      <c r="N303" t="n">
        <v>0</v>
      </c>
      <c r="O303" t="n">
        <v>0</v>
      </c>
      <c r="P303" t="n">
        <v>0</v>
      </c>
      <c r="Q303" t="n">
        <v>0</v>
      </c>
      <c r="R303" t="n">
        <v>0</v>
      </c>
      <c r="S303" t="n">
        <v>0</v>
      </c>
      <c r="T303" t="n">
        <v>0</v>
      </c>
      <c r="U303" s="2" t="inlineStr"/>
    </row>
    <row r="304" ht="15" customHeight="1">
      <c r="A304" t="inlineStr">
        <is>
          <t>A 54137-2025</t>
        </is>
      </c>
      <c r="B304" t="inlineStr">
        <is>
          <t>avverkningsanmälan</t>
        </is>
      </c>
      <c r="C304" t="inlineStr">
        <is>
          <t>Föryngringsavverkning</t>
        </is>
      </c>
      <c r="D304" s="1" t="n">
        <v>45964</v>
      </c>
      <c r="E304" s="1" t="n">
        <v>46222</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53862-2025</t>
        </is>
      </c>
      <c r="B305" t="inlineStr">
        <is>
          <t>avverkningsanmälan</t>
        </is>
      </c>
      <c r="C305" t="inlineStr">
        <is>
          <t>Avverkning för annat ändamål</t>
        </is>
      </c>
      <c r="D305" s="1" t="n">
        <v>45961</v>
      </c>
      <c r="E305" s="1" t="n">
        <v>46222</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61803-2021</t>
        </is>
      </c>
      <c r="B306" t="inlineStr">
        <is>
          <t>avverkningsanmälan</t>
        </is>
      </c>
      <c r="C306" t="inlineStr">
        <is>
          <t>Föryngringsavverkning</t>
        </is>
      </c>
      <c r="D306" s="1" t="n">
        <v>44498</v>
      </c>
      <c r="E306" s="1" t="n">
        <v>46222</v>
      </c>
      <c r="F306" t="inlineStr">
        <is>
          <t>JÄMTLANDS LÄN</t>
        </is>
      </c>
      <c r="G306" t="inlineStr">
        <is>
          <t>ÅRE</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53873-2025</t>
        </is>
      </c>
      <c r="B307" t="inlineStr">
        <is>
          <t>avverkningsanmälan</t>
        </is>
      </c>
      <c r="C307" t="inlineStr">
        <is>
          <t>Avverkning för annat ändamål</t>
        </is>
      </c>
      <c r="D307" s="1" t="n">
        <v>45961</v>
      </c>
      <c r="E307" s="1" t="n">
        <v>46222</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54139-2025</t>
        </is>
      </c>
      <c r="B308" t="inlineStr">
        <is>
          <t>avverkningsanmälan</t>
        </is>
      </c>
      <c r="C308" t="inlineStr">
        <is>
          <t>Föryngringsavverkning</t>
        </is>
      </c>
      <c r="D308" s="1" t="n">
        <v>45964</v>
      </c>
      <c r="E308" s="1" t="n">
        <v>46222</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54445-2025</t>
        </is>
      </c>
      <c r="B309" t="inlineStr">
        <is>
          <t>avverkningsanmälan</t>
        </is>
      </c>
      <c r="C309" t="inlineStr">
        <is>
          <t>Föryngringsavverkning</t>
        </is>
      </c>
      <c r="D309" s="1" t="n">
        <v>45965</v>
      </c>
      <c r="E309" s="1" t="n">
        <v>46222</v>
      </c>
      <c r="F309" t="inlineStr">
        <is>
          <t>JÄMTLANDS LÄN</t>
        </is>
      </c>
      <c r="G309" t="inlineStr">
        <is>
          <t>ÅRE</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54937-2025</t>
        </is>
      </c>
      <c r="B310" t="inlineStr">
        <is>
          <t>avverkningsanmälan</t>
        </is>
      </c>
      <c r="C310" t="inlineStr">
        <is>
          <t>Avverkning för annat ändamål</t>
        </is>
      </c>
      <c r="D310" s="1" t="n">
        <v>45967</v>
      </c>
      <c r="E310" s="1" t="n">
        <v>46222</v>
      </c>
      <c r="F310" t="inlineStr">
        <is>
          <t>JÄMTLANDS LÄN</t>
        </is>
      </c>
      <c r="G310" t="inlineStr">
        <is>
          <t>ÅRE</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10957-2026</t>
        </is>
      </c>
      <c r="B311" t="inlineStr">
        <is>
          <t>avverkningsanmälan</t>
        </is>
      </c>
      <c r="C311" t="inlineStr">
        <is>
          <t>Föryngringsavverkning</t>
        </is>
      </c>
      <c r="D311" s="1" t="n">
        <v>46079</v>
      </c>
      <c r="E311" s="1" t="n">
        <v>46222</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56910-2022</t>
        </is>
      </c>
      <c r="B312" t="inlineStr">
        <is>
          <t>avverkningsanmälan</t>
        </is>
      </c>
      <c r="C312" t="inlineStr">
        <is>
          <t>Föryngringsavverkning</t>
        </is>
      </c>
      <c r="D312" s="1" t="n">
        <v>44894</v>
      </c>
      <c r="E312" s="1" t="n">
        <v>46222</v>
      </c>
      <c r="F312" t="inlineStr">
        <is>
          <t>JÄMTLANDS LÄN</t>
        </is>
      </c>
      <c r="G312" t="inlineStr">
        <is>
          <t>ÅRE</t>
        </is>
      </c>
      <c r="H312" t="inlineStr">
        <is>
          <t>Övriga Aktiebolag</t>
        </is>
      </c>
      <c r="I312" t="n">
        <v>4.9</v>
      </c>
      <c r="J312" t="n">
        <v>0</v>
      </c>
      <c r="K312" t="n">
        <v>0</v>
      </c>
      <c r="L312" t="n">
        <v>0</v>
      </c>
      <c r="M312" t="n">
        <v>0</v>
      </c>
      <c r="N312" t="n">
        <v>0</v>
      </c>
      <c r="O312" t="n">
        <v>0</v>
      </c>
      <c r="P312" t="n">
        <v>0</v>
      </c>
      <c r="Q312" t="n">
        <v>0</v>
      </c>
      <c r="R312" t="n">
        <v>0</v>
      </c>
      <c r="S312" t="n">
        <v>0</v>
      </c>
      <c r="T312" t="n">
        <v>0</v>
      </c>
      <c r="U312" s="2" t="inlineStr"/>
    </row>
    <row r="313" ht="15" customHeight="1">
      <c r="A313" t="inlineStr">
        <is>
          <t>A 56976-2023</t>
        </is>
      </c>
      <c r="B313" t="inlineStr">
        <is>
          <t>avverkningsanmälan</t>
        </is>
      </c>
      <c r="C313" t="inlineStr">
        <is>
          <t>Föryngringsavverkning</t>
        </is>
      </c>
      <c r="D313" s="1" t="n">
        <v>45244</v>
      </c>
      <c r="E313" s="1" t="n">
        <v>46222</v>
      </c>
      <c r="F313" t="inlineStr">
        <is>
          <t>JÄMTLANDS LÄN</t>
        </is>
      </c>
      <c r="G313" t="inlineStr">
        <is>
          <t>ÅRE</t>
        </is>
      </c>
      <c r="H313" t="inlineStr">
        <is>
          <t>Övriga Aktiebolag</t>
        </is>
      </c>
      <c r="I313" t="n">
        <v>4.9</v>
      </c>
      <c r="J313" t="n">
        <v>0</v>
      </c>
      <c r="K313" t="n">
        <v>0</v>
      </c>
      <c r="L313" t="n">
        <v>0</v>
      </c>
      <c r="M313" t="n">
        <v>0</v>
      </c>
      <c r="N313" t="n">
        <v>0</v>
      </c>
      <c r="O313" t="n">
        <v>0</v>
      </c>
      <c r="P313" t="n">
        <v>0</v>
      </c>
      <c r="Q313" t="n">
        <v>0</v>
      </c>
      <c r="R313" t="n">
        <v>0</v>
      </c>
      <c r="S313" t="n">
        <v>0</v>
      </c>
      <c r="T313" t="n">
        <v>0</v>
      </c>
      <c r="U313" s="2" t="inlineStr"/>
    </row>
    <row r="314" ht="15" customHeight="1">
      <c r="A314" t="inlineStr">
        <is>
          <t>A 56563-2025</t>
        </is>
      </c>
      <c r="B314" t="inlineStr">
        <is>
          <t>avverkningsanmälan</t>
        </is>
      </c>
      <c r="C314" t="inlineStr">
        <is>
          <t>Föryngringsavverkning</t>
        </is>
      </c>
      <c r="D314" s="1" t="n">
        <v>45975</v>
      </c>
      <c r="E314" s="1" t="n">
        <v>46222</v>
      </c>
      <c r="F314" t="inlineStr">
        <is>
          <t>JÄMTLANDS LÄN</t>
        </is>
      </c>
      <c r="G314" t="inlineStr">
        <is>
          <t>ÅRE</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39202-2025</t>
        </is>
      </c>
      <c r="B315" t="inlineStr">
        <is>
          <t>avverkningsanmälan</t>
        </is>
      </c>
      <c r="C315" t="inlineStr">
        <is>
          <t>Föryngringsavverkning</t>
        </is>
      </c>
      <c r="D315" s="1" t="n">
        <v>45888</v>
      </c>
      <c r="E315" s="1" t="n">
        <v>46222</v>
      </c>
      <c r="F315" t="inlineStr">
        <is>
          <t>JÄMTLANDS LÄN</t>
        </is>
      </c>
      <c r="G315" t="inlineStr">
        <is>
          <t>ÅRE</t>
        </is>
      </c>
      <c r="I315" t="n">
        <v>4.4</v>
      </c>
      <c r="J315" t="n">
        <v>0</v>
      </c>
      <c r="K315" t="n">
        <v>0</v>
      </c>
      <c r="L315" t="n">
        <v>0</v>
      </c>
      <c r="M315" t="n">
        <v>0</v>
      </c>
      <c r="N315" t="n">
        <v>0</v>
      </c>
      <c r="O315" t="n">
        <v>0</v>
      </c>
      <c r="P315" t="n">
        <v>0</v>
      </c>
      <c r="Q315" t="n">
        <v>0</v>
      </c>
      <c r="R315" t="n">
        <v>0</v>
      </c>
      <c r="S315" t="n">
        <v>0</v>
      </c>
      <c r="T315" t="n">
        <v>0</v>
      </c>
      <c r="U315" s="2" t="inlineStr"/>
    </row>
    <row r="316" ht="15" customHeight="1">
      <c r="A316" t="inlineStr">
        <is>
          <t>A 39742-2025</t>
        </is>
      </c>
      <c r="B316" t="inlineStr">
        <is>
          <t>avverkningsanmälan</t>
        </is>
      </c>
      <c r="C316" t="inlineStr">
        <is>
          <t>Avverkning för annat ändamål</t>
        </is>
      </c>
      <c r="D316" s="1" t="n">
        <v>45891</v>
      </c>
      <c r="E316" s="1" t="n">
        <v>46222</v>
      </c>
      <c r="F316" t="inlineStr">
        <is>
          <t>JÄMTLANDS LÄN</t>
        </is>
      </c>
      <c r="G316" t="inlineStr">
        <is>
          <t>ÅRE</t>
        </is>
      </c>
      <c r="H316" t="inlineStr">
        <is>
          <t>Övriga statliga verk och myndigheter</t>
        </is>
      </c>
      <c r="I316" t="n">
        <v>6.2</v>
      </c>
      <c r="J316" t="n">
        <v>0</v>
      </c>
      <c r="K316" t="n">
        <v>0</v>
      </c>
      <c r="L316" t="n">
        <v>0</v>
      </c>
      <c r="M316" t="n">
        <v>0</v>
      </c>
      <c r="N316" t="n">
        <v>0</v>
      </c>
      <c r="O316" t="n">
        <v>0</v>
      </c>
      <c r="P316" t="n">
        <v>0</v>
      </c>
      <c r="Q316" t="n">
        <v>0</v>
      </c>
      <c r="R316" t="n">
        <v>0</v>
      </c>
      <c r="S316" t="n">
        <v>0</v>
      </c>
      <c r="T316" t="n">
        <v>0</v>
      </c>
      <c r="U316" s="2" t="inlineStr"/>
    </row>
    <row r="317" ht="15" customHeight="1">
      <c r="A317" t="inlineStr">
        <is>
          <t>A 39744-2025</t>
        </is>
      </c>
      <c r="B317" t="inlineStr">
        <is>
          <t>avverkningsanmälan</t>
        </is>
      </c>
      <c r="C317" t="inlineStr">
        <is>
          <t>Avverkning för annat ändamål</t>
        </is>
      </c>
      <c r="D317" s="1" t="n">
        <v>45891</v>
      </c>
      <c r="E317" s="1" t="n">
        <v>46222</v>
      </c>
      <c r="F317" t="inlineStr">
        <is>
          <t>JÄMTLANDS LÄN</t>
        </is>
      </c>
      <c r="G317" t="inlineStr">
        <is>
          <t>ÅRE</t>
        </is>
      </c>
      <c r="H317" t="inlineStr">
        <is>
          <t>Övriga statliga verk och myndigheter</t>
        </is>
      </c>
      <c r="I317" t="n">
        <v>14.4</v>
      </c>
      <c r="J317" t="n">
        <v>0</v>
      </c>
      <c r="K317" t="n">
        <v>0</v>
      </c>
      <c r="L317" t="n">
        <v>0</v>
      </c>
      <c r="M317" t="n">
        <v>0</v>
      </c>
      <c r="N317" t="n">
        <v>0</v>
      </c>
      <c r="O317" t="n">
        <v>0</v>
      </c>
      <c r="P317" t="n">
        <v>0</v>
      </c>
      <c r="Q317" t="n">
        <v>0</v>
      </c>
      <c r="R317" t="n">
        <v>0</v>
      </c>
      <c r="S317" t="n">
        <v>0</v>
      </c>
      <c r="T317" t="n">
        <v>0</v>
      </c>
      <c r="U317" s="2" t="inlineStr"/>
    </row>
    <row r="318" ht="15" customHeight="1">
      <c r="A318" t="inlineStr">
        <is>
          <t>A 13082-2025</t>
        </is>
      </c>
      <c r="B318" t="inlineStr">
        <is>
          <t>avverkningsanmälan</t>
        </is>
      </c>
      <c r="C318" t="inlineStr">
        <is>
          <t>Föryngringsavverkning</t>
        </is>
      </c>
      <c r="D318" s="1" t="n">
        <v>45734</v>
      </c>
      <c r="E318" s="1" t="n">
        <v>46222</v>
      </c>
      <c r="F318" t="inlineStr">
        <is>
          <t>JÄMTLANDS LÄN</t>
        </is>
      </c>
      <c r="G318" t="inlineStr">
        <is>
          <t>ÅRE</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56576-2025</t>
        </is>
      </c>
      <c r="B319" t="inlineStr">
        <is>
          <t>avverkningsanmälan</t>
        </is>
      </c>
      <c r="C319" t="inlineStr">
        <is>
          <t>Föryngringsavverkning</t>
        </is>
      </c>
      <c r="D319" s="1" t="n">
        <v>45975</v>
      </c>
      <c r="E319" s="1" t="n">
        <v>46222</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56495-2025</t>
        </is>
      </c>
      <c r="B320" t="inlineStr">
        <is>
          <t>avverkningsanmälan</t>
        </is>
      </c>
      <c r="C320" t="inlineStr">
        <is>
          <t>Föryngringsavverkning</t>
        </is>
      </c>
      <c r="D320" s="1" t="n">
        <v>45975</v>
      </c>
      <c r="E320" s="1" t="n">
        <v>46222</v>
      </c>
      <c r="F320" t="inlineStr">
        <is>
          <t>JÄMTLANDS LÄN</t>
        </is>
      </c>
      <c r="G320" t="inlineStr">
        <is>
          <t>ÅRE</t>
        </is>
      </c>
      <c r="I320" t="n">
        <v>6.3</v>
      </c>
      <c r="J320" t="n">
        <v>0</v>
      </c>
      <c r="K320" t="n">
        <v>0</v>
      </c>
      <c r="L320" t="n">
        <v>0</v>
      </c>
      <c r="M320" t="n">
        <v>0</v>
      </c>
      <c r="N320" t="n">
        <v>0</v>
      </c>
      <c r="O320" t="n">
        <v>0</v>
      </c>
      <c r="P320" t="n">
        <v>0</v>
      </c>
      <c r="Q320" t="n">
        <v>0</v>
      </c>
      <c r="R320" t="n">
        <v>0</v>
      </c>
      <c r="S320" t="n">
        <v>0</v>
      </c>
      <c r="T320" t="n">
        <v>0</v>
      </c>
      <c r="U320" s="2" t="inlineStr"/>
    </row>
    <row r="321" ht="15" customHeight="1">
      <c r="A321" t="inlineStr">
        <is>
          <t>A 56601-2025</t>
        </is>
      </c>
      <c r="B321" t="inlineStr">
        <is>
          <t>avverkningsanmälan</t>
        </is>
      </c>
      <c r="C321" t="inlineStr">
        <is>
          <t>Föryngringsavverkning</t>
        </is>
      </c>
      <c r="D321" s="1" t="n">
        <v>45975</v>
      </c>
      <c r="E321" s="1" t="n">
        <v>46222</v>
      </c>
      <c r="F321" t="inlineStr">
        <is>
          <t>JÄMTLANDS LÄN</t>
        </is>
      </c>
      <c r="G321" t="inlineStr">
        <is>
          <t>ÅRE</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13559-2025</t>
        </is>
      </c>
      <c r="B322" t="inlineStr">
        <is>
          <t>avverkningsanmälan</t>
        </is>
      </c>
      <c r="C322" t="inlineStr">
        <is>
          <t>Avverkning för annat ändamål</t>
        </is>
      </c>
      <c r="D322" s="1" t="n">
        <v>45736</v>
      </c>
      <c r="E322" s="1" t="n">
        <v>46222</v>
      </c>
      <c r="F322" t="inlineStr">
        <is>
          <t>JÄMTLANDS LÄN</t>
        </is>
      </c>
      <c r="G322" t="inlineStr">
        <is>
          <t>ÅRE</t>
        </is>
      </c>
      <c r="H322" t="inlineStr">
        <is>
          <t>Övriga statliga verk och myndigheter</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13561-2025</t>
        </is>
      </c>
      <c r="B323" t="inlineStr">
        <is>
          <t>avverkningsanmälan</t>
        </is>
      </c>
      <c r="C323" t="inlineStr">
        <is>
          <t>Avverkning för annat ändamål</t>
        </is>
      </c>
      <c r="D323" s="1" t="n">
        <v>45736</v>
      </c>
      <c r="E323" s="1" t="n">
        <v>46222</v>
      </c>
      <c r="F323" t="inlineStr">
        <is>
          <t>JÄMTLANDS LÄN</t>
        </is>
      </c>
      <c r="G323" t="inlineStr">
        <is>
          <t>ÅRE</t>
        </is>
      </c>
      <c r="H323" t="inlineStr">
        <is>
          <t>Övriga statliga verk och myndigheter</t>
        </is>
      </c>
      <c r="I323" t="n">
        <v>3.8</v>
      </c>
      <c r="J323" t="n">
        <v>0</v>
      </c>
      <c r="K323" t="n">
        <v>0</v>
      </c>
      <c r="L323" t="n">
        <v>0</v>
      </c>
      <c r="M323" t="n">
        <v>0</v>
      </c>
      <c r="N323" t="n">
        <v>0</v>
      </c>
      <c r="O323" t="n">
        <v>0</v>
      </c>
      <c r="P323" t="n">
        <v>0</v>
      </c>
      <c r="Q323" t="n">
        <v>0</v>
      </c>
      <c r="R323" t="n">
        <v>0</v>
      </c>
      <c r="S323" t="n">
        <v>0</v>
      </c>
      <c r="T323" t="n">
        <v>0</v>
      </c>
      <c r="U323" s="2" t="inlineStr"/>
    </row>
    <row r="324" ht="15" customHeight="1">
      <c r="A324" t="inlineStr">
        <is>
          <t>A 57285-2025</t>
        </is>
      </c>
      <c r="B324" t="inlineStr">
        <is>
          <t>avverkningsanmälan</t>
        </is>
      </c>
      <c r="C324" t="inlineStr">
        <is>
          <t>Avverkning för annat ändamål</t>
        </is>
      </c>
      <c r="D324" s="1" t="n">
        <v>45979</v>
      </c>
      <c r="E324" s="1" t="n">
        <v>46222</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57286-2025</t>
        </is>
      </c>
      <c r="B325" t="inlineStr">
        <is>
          <t>avverkningsanmälan</t>
        </is>
      </c>
      <c r="C325" t="inlineStr">
        <is>
          <t>Föryngringsavverkning</t>
        </is>
      </c>
      <c r="D325" s="1" t="n">
        <v>45979</v>
      </c>
      <c r="E325" s="1" t="n">
        <v>46222</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51183-2025</t>
        </is>
      </c>
      <c r="B326" t="inlineStr">
        <is>
          <t>avverkningsanmälan</t>
        </is>
      </c>
      <c r="C326" t="inlineStr">
        <is>
          <t>Avverkning för annat ändamål</t>
        </is>
      </c>
      <c r="D326" s="1" t="n">
        <v>45947</v>
      </c>
      <c r="E326" s="1" t="n">
        <v>46222</v>
      </c>
      <c r="F326" t="inlineStr">
        <is>
          <t>JÄMTLANDS LÄN</t>
        </is>
      </c>
      <c r="G326" t="inlineStr">
        <is>
          <t>ÅRE</t>
        </is>
      </c>
      <c r="H326" t="inlineStr">
        <is>
          <t>Övriga statliga verk och myndigheter</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57464-2025</t>
        </is>
      </c>
      <c r="B327" t="inlineStr">
        <is>
          <t>avverkningsanmälan</t>
        </is>
      </c>
      <c r="C327" t="inlineStr">
        <is>
          <t>Föryngringsavverkning</t>
        </is>
      </c>
      <c r="D327" s="1" t="n">
        <v>45980</v>
      </c>
      <c r="E327" s="1" t="n">
        <v>46222</v>
      </c>
      <c r="F327" t="inlineStr">
        <is>
          <t>JÄMTLANDS LÄN</t>
        </is>
      </c>
      <c r="G327" t="inlineStr">
        <is>
          <t>ÅRE</t>
        </is>
      </c>
      <c r="I327" t="n">
        <v>8.1</v>
      </c>
      <c r="J327" t="n">
        <v>0</v>
      </c>
      <c r="K327" t="n">
        <v>0</v>
      </c>
      <c r="L327" t="n">
        <v>0</v>
      </c>
      <c r="M327" t="n">
        <v>0</v>
      </c>
      <c r="N327" t="n">
        <v>0</v>
      </c>
      <c r="O327" t="n">
        <v>0</v>
      </c>
      <c r="P327" t="n">
        <v>0</v>
      </c>
      <c r="Q327" t="n">
        <v>0</v>
      </c>
      <c r="R327" t="n">
        <v>0</v>
      </c>
      <c r="S327" t="n">
        <v>0</v>
      </c>
      <c r="T327" t="n">
        <v>0</v>
      </c>
      <c r="U327" s="2" t="inlineStr"/>
    </row>
    <row r="328" ht="15" customHeight="1">
      <c r="A328" t="inlineStr">
        <is>
          <t>A 39115-2025</t>
        </is>
      </c>
      <c r="B328" t="inlineStr">
        <is>
          <t>avverkningsanmälan</t>
        </is>
      </c>
      <c r="C328" t="inlineStr">
        <is>
          <t>Avverkning för annat ändamål</t>
        </is>
      </c>
      <c r="D328" s="1" t="n">
        <v>45888</v>
      </c>
      <c r="E328" s="1" t="n">
        <v>46222</v>
      </c>
      <c r="F328" t="inlineStr">
        <is>
          <t>JÄMTLANDS LÄN</t>
        </is>
      </c>
      <c r="G328" t="inlineStr">
        <is>
          <t>ÅRE</t>
        </is>
      </c>
      <c r="H328" t="inlineStr">
        <is>
          <t>Övriga statliga verk och myndigheter</t>
        </is>
      </c>
      <c r="I328" t="n">
        <v>11.4</v>
      </c>
      <c r="J328" t="n">
        <v>0</v>
      </c>
      <c r="K328" t="n">
        <v>0</v>
      </c>
      <c r="L328" t="n">
        <v>0</v>
      </c>
      <c r="M328" t="n">
        <v>0</v>
      </c>
      <c r="N328" t="n">
        <v>0</v>
      </c>
      <c r="O328" t="n">
        <v>0</v>
      </c>
      <c r="P328" t="n">
        <v>0</v>
      </c>
      <c r="Q328" t="n">
        <v>0</v>
      </c>
      <c r="R328" t="n">
        <v>0</v>
      </c>
      <c r="S328" t="n">
        <v>0</v>
      </c>
      <c r="T328" t="n">
        <v>0</v>
      </c>
      <c r="U328" s="2" t="inlineStr"/>
    </row>
    <row r="329" ht="15" customHeight="1">
      <c r="A329" t="inlineStr">
        <is>
          <t>A 57627-2025</t>
        </is>
      </c>
      <c r="B329" t="inlineStr">
        <is>
          <t>avverkningsanmälan</t>
        </is>
      </c>
      <c r="C329" t="inlineStr">
        <is>
          <t>Föryngringsavverkning</t>
        </is>
      </c>
      <c r="D329" s="1" t="n">
        <v>45981</v>
      </c>
      <c r="E329" s="1" t="n">
        <v>46222</v>
      </c>
      <c r="F329" t="inlineStr">
        <is>
          <t>JÄMTLANDS LÄN</t>
        </is>
      </c>
      <c r="G329" t="inlineStr">
        <is>
          <t>ÅRE</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57745-2025</t>
        </is>
      </c>
      <c r="B330" t="inlineStr">
        <is>
          <t>avverkningsanmälan</t>
        </is>
      </c>
      <c r="C330" t="inlineStr">
        <is>
          <t>Föryngringsavverkning</t>
        </is>
      </c>
      <c r="D330" s="1" t="n">
        <v>45981</v>
      </c>
      <c r="E330" s="1" t="n">
        <v>46222</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s="2" t="inlineStr"/>
    </row>
    <row r="331" ht="15" customHeight="1">
      <c r="A331" t="inlineStr">
        <is>
          <t>A 10567-2025</t>
        </is>
      </c>
      <c r="B331" t="inlineStr">
        <is>
          <t>avverkningsanmälan</t>
        </is>
      </c>
      <c r="C331" t="inlineStr">
        <is>
          <t>Föryngringsavverkning</t>
        </is>
      </c>
      <c r="D331" s="1" t="n">
        <v>45714</v>
      </c>
      <c r="E331" s="1" t="n">
        <v>46222</v>
      </c>
      <c r="F331" t="inlineStr">
        <is>
          <t>JÄMTLANDS LÄN</t>
        </is>
      </c>
      <c r="G331" t="inlineStr">
        <is>
          <t>ÅRE</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58469-2025</t>
        </is>
      </c>
      <c r="B332" t="inlineStr">
        <is>
          <t>avverkningsanmälan</t>
        </is>
      </c>
      <c r="C332" t="inlineStr">
        <is>
          <t>Avverkning för annat ändamål</t>
        </is>
      </c>
      <c r="D332" s="1" t="n">
        <v>45985</v>
      </c>
      <c r="E332" s="1" t="n">
        <v>46222</v>
      </c>
      <c r="F332" t="inlineStr">
        <is>
          <t>JÄMTLANDS LÄN</t>
        </is>
      </c>
      <c r="G332" t="inlineStr">
        <is>
          <t>ÅRE</t>
        </is>
      </c>
      <c r="H332" t="inlineStr">
        <is>
          <t>Övriga Aktiebolag</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52470-2022</t>
        </is>
      </c>
      <c r="B333" t="inlineStr">
        <is>
          <t>avverkningsanmälan</t>
        </is>
      </c>
      <c r="C333" t="inlineStr">
        <is>
          <t>Föryngringsavverkning</t>
        </is>
      </c>
      <c r="D333" s="1" t="n">
        <v>44874</v>
      </c>
      <c r="E333" s="1" t="n">
        <v>46222</v>
      </c>
      <c r="F333" t="inlineStr">
        <is>
          <t>JÄMTLANDS LÄN</t>
        </is>
      </c>
      <c r="G333" t="inlineStr">
        <is>
          <t>ÅRE</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3066-2023</t>
        </is>
      </c>
      <c r="B334" t="inlineStr">
        <is>
          <t>avverkningsanmälan</t>
        </is>
      </c>
      <c r="C334" t="inlineStr">
        <is>
          <t>Föryngringsavverkning</t>
        </is>
      </c>
      <c r="D334" s="1" t="n">
        <v>44946</v>
      </c>
      <c r="E334" s="1" t="n">
        <v>46222</v>
      </c>
      <c r="F334" t="inlineStr">
        <is>
          <t>JÄMTLANDS LÄN</t>
        </is>
      </c>
      <c r="G334" t="inlineStr">
        <is>
          <t>ÅRE</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3149-2023</t>
        </is>
      </c>
      <c r="B335" t="inlineStr">
        <is>
          <t>avverkningsanmälan</t>
        </is>
      </c>
      <c r="C335" t="inlineStr">
        <is>
          <t>Föryngringsavverkning</t>
        </is>
      </c>
      <c r="D335" s="1" t="n">
        <v>44946</v>
      </c>
      <c r="E335" s="1" t="n">
        <v>46222</v>
      </c>
      <c r="F335" t="inlineStr">
        <is>
          <t>JÄMTLANDS LÄN</t>
        </is>
      </c>
      <c r="G335" t="inlineStr">
        <is>
          <t>ÅRE</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58983-2025</t>
        </is>
      </c>
      <c r="B336" t="inlineStr">
        <is>
          <t>avverkningsanmälan</t>
        </is>
      </c>
      <c r="C336" t="inlineStr">
        <is>
          <t>Föryngringsavverkning</t>
        </is>
      </c>
      <c r="D336" s="1" t="n">
        <v>45987</v>
      </c>
      <c r="E336" s="1" t="n">
        <v>46222</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s="2" t="inlineStr"/>
    </row>
    <row r="337" ht="15" customHeight="1">
      <c r="A337" t="inlineStr">
        <is>
          <t>A 59653-2025</t>
        </is>
      </c>
      <c r="B337" t="inlineStr">
        <is>
          <t>avverkningsanmälan</t>
        </is>
      </c>
      <c r="C337" t="inlineStr">
        <is>
          <t>Föryngringsavverkning</t>
        </is>
      </c>
      <c r="D337" s="1" t="n">
        <v>45992</v>
      </c>
      <c r="E337" s="1" t="n">
        <v>46222</v>
      </c>
      <c r="F337" t="inlineStr">
        <is>
          <t>JÄMTLANDS LÄN</t>
        </is>
      </c>
      <c r="G337" t="inlineStr">
        <is>
          <t>ÅRE</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59823-2025</t>
        </is>
      </c>
      <c r="B338" t="inlineStr">
        <is>
          <t>avverkningsanmälan</t>
        </is>
      </c>
      <c r="C338" t="inlineStr">
        <is>
          <t>Avverkning för annat ändamål</t>
        </is>
      </c>
      <c r="D338" s="1" t="n">
        <v>45992</v>
      </c>
      <c r="E338" s="1" t="n">
        <v>46222</v>
      </c>
      <c r="F338" t="inlineStr">
        <is>
          <t>JÄMTLANDS LÄN</t>
        </is>
      </c>
      <c r="G338" t="inlineStr">
        <is>
          <t>ÅRE</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59367-2025</t>
        </is>
      </c>
      <c r="B339" t="inlineStr">
        <is>
          <t>avverkningsanmälan</t>
        </is>
      </c>
      <c r="C339" t="inlineStr">
        <is>
          <t>Föryngringsavverkning</t>
        </is>
      </c>
      <c r="D339" s="1" t="n">
        <v>45989</v>
      </c>
      <c r="E339" s="1" t="n">
        <v>46222</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54164-2023</t>
        </is>
      </c>
      <c r="B340" t="inlineStr">
        <is>
          <t>avverkningsanmälan</t>
        </is>
      </c>
      <c r="C340" t="inlineStr">
        <is>
          <t>Föryngringsavverkning</t>
        </is>
      </c>
      <c r="D340" s="1" t="n">
        <v>45232</v>
      </c>
      <c r="E340" s="1" t="n">
        <v>46222</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20312-2026</t>
        </is>
      </c>
      <c r="B341" t="inlineStr">
        <is>
          <t>avverkningsanmälan</t>
        </is>
      </c>
      <c r="C341" t="inlineStr">
        <is>
          <t>Föryngringsavverkning</t>
        </is>
      </c>
      <c r="D341" s="1" t="n">
        <v>46139</v>
      </c>
      <c r="E341" s="1" t="n">
        <v>46222</v>
      </c>
      <c r="F341" t="inlineStr">
        <is>
          <t>JÄMTLANDS LÄN</t>
        </is>
      </c>
      <c r="G341" t="inlineStr">
        <is>
          <t>ÅRE</t>
        </is>
      </c>
      <c r="I341" t="n">
        <v>59.7</v>
      </c>
      <c r="J341" t="n">
        <v>0</v>
      </c>
      <c r="K341" t="n">
        <v>0</v>
      </c>
      <c r="L341" t="n">
        <v>0</v>
      </c>
      <c r="M341" t="n">
        <v>0</v>
      </c>
      <c r="N341" t="n">
        <v>0</v>
      </c>
      <c r="O341" t="n">
        <v>0</v>
      </c>
      <c r="P341" t="n">
        <v>0</v>
      </c>
      <c r="Q341" t="n">
        <v>0</v>
      </c>
      <c r="R341" t="n">
        <v>0</v>
      </c>
      <c r="S341" t="n">
        <v>0</v>
      </c>
      <c r="T341" t="n">
        <v>0</v>
      </c>
      <c r="U341" s="2" t="inlineStr"/>
    </row>
    <row r="342" ht="15" customHeight="1">
      <c r="A342" t="inlineStr">
        <is>
          <t>A 60473-2025</t>
        </is>
      </c>
      <c r="B342" t="inlineStr">
        <is>
          <t>avverkningsanmälan</t>
        </is>
      </c>
      <c r="C342" t="inlineStr">
        <is>
          <t>Föryngringsavverkning</t>
        </is>
      </c>
      <c r="D342" s="1" t="n">
        <v>45995</v>
      </c>
      <c r="E342" s="1" t="n">
        <v>46222</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s="2" t="inlineStr"/>
    </row>
    <row r="343" ht="15" customHeight="1">
      <c r="A343" t="inlineStr">
        <is>
          <t>A 39071-2024</t>
        </is>
      </c>
      <c r="B343" t="inlineStr">
        <is>
          <t>avverkningsanmälan</t>
        </is>
      </c>
      <c r="C343" t="inlineStr">
        <is>
          <t>Föryngringsavverkning</t>
        </is>
      </c>
      <c r="D343" s="1" t="n">
        <v>45548</v>
      </c>
      <c r="E343" s="1" t="n">
        <v>46222</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61024-2025</t>
        </is>
      </c>
      <c r="B344" t="inlineStr">
        <is>
          <t>avverkningsanmälan</t>
        </is>
      </c>
      <c r="C344" t="inlineStr">
        <is>
          <t>Föryngringsavverkning</t>
        </is>
      </c>
      <c r="D344" s="1" t="n">
        <v>45999</v>
      </c>
      <c r="E344" s="1" t="n">
        <v>46222</v>
      </c>
      <c r="F344" t="inlineStr">
        <is>
          <t>JÄMTLANDS LÄN</t>
        </is>
      </c>
      <c r="G344" t="inlineStr">
        <is>
          <t>ÅRE</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61009-2025</t>
        </is>
      </c>
      <c r="B345" t="inlineStr">
        <is>
          <t>avverkningsanmälan</t>
        </is>
      </c>
      <c r="C345" t="inlineStr">
        <is>
          <t>Föryngringsavverkning</t>
        </is>
      </c>
      <c r="D345" s="1" t="n">
        <v>45999</v>
      </c>
      <c r="E345" s="1" t="n">
        <v>46222</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61032-2025</t>
        </is>
      </c>
      <c r="B346" t="inlineStr">
        <is>
          <t>avverkningsanmälan</t>
        </is>
      </c>
      <c r="C346" t="inlineStr">
        <is>
          <t>Föryngringsavverkning</t>
        </is>
      </c>
      <c r="D346" s="1" t="n">
        <v>45999</v>
      </c>
      <c r="E346" s="1" t="n">
        <v>46222</v>
      </c>
      <c r="F346" t="inlineStr">
        <is>
          <t>JÄMTLANDS LÄN</t>
        </is>
      </c>
      <c r="G346" t="inlineStr">
        <is>
          <t>ÅRE</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60783-2025</t>
        </is>
      </c>
      <c r="B347" t="inlineStr">
        <is>
          <t>avverkningsanmälan</t>
        </is>
      </c>
      <c r="C347" t="inlineStr">
        <is>
          <t>Föryngringsavverkning</t>
        </is>
      </c>
      <c r="D347" s="1" t="n">
        <v>45999</v>
      </c>
      <c r="E347" s="1" t="n">
        <v>46222</v>
      </c>
      <c r="F347" t="inlineStr">
        <is>
          <t>JÄMTLANDS LÄN</t>
        </is>
      </c>
      <c r="G347" t="inlineStr">
        <is>
          <t>ÅRE</t>
        </is>
      </c>
      <c r="I347" t="n">
        <v>10.6</v>
      </c>
      <c r="J347" t="n">
        <v>0</v>
      </c>
      <c r="K347" t="n">
        <v>0</v>
      </c>
      <c r="L347" t="n">
        <v>0</v>
      </c>
      <c r="M347" t="n">
        <v>0</v>
      </c>
      <c r="N347" t="n">
        <v>0</v>
      </c>
      <c r="O347" t="n">
        <v>0</v>
      </c>
      <c r="P347" t="n">
        <v>0</v>
      </c>
      <c r="Q347" t="n">
        <v>0</v>
      </c>
      <c r="R347" t="n">
        <v>0</v>
      </c>
      <c r="S347" t="n">
        <v>0</v>
      </c>
      <c r="T347" t="n">
        <v>0</v>
      </c>
      <c r="U347" s="2" t="inlineStr"/>
    </row>
    <row r="348" ht="15" customHeight="1">
      <c r="A348" t="inlineStr">
        <is>
          <t>A 47963-2025</t>
        </is>
      </c>
      <c r="B348" t="inlineStr">
        <is>
          <t>avverkningsanmälan</t>
        </is>
      </c>
      <c r="C348" t="inlineStr">
        <is>
          <t>Avverkning för att bevara och utveckla /försöksver</t>
        </is>
      </c>
      <c r="D348" s="1" t="n">
        <v>45931</v>
      </c>
      <c r="E348" s="1" t="n">
        <v>46222</v>
      </c>
      <c r="F348" t="inlineStr">
        <is>
          <t>JÄMTLANDS LÄN</t>
        </is>
      </c>
      <c r="G348" t="inlineStr">
        <is>
          <t>ÅRE</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A 36219-2022</t>
        </is>
      </c>
      <c r="B349" t="inlineStr">
        <is>
          <t>avverkningsanmälan</t>
        </is>
      </c>
      <c r="C349" t="inlineStr">
        <is>
          <t>Avverkning för annat ändamål</t>
        </is>
      </c>
      <c r="D349" s="1" t="n">
        <v>44803</v>
      </c>
      <c r="E349" s="1" t="n">
        <v>46222</v>
      </c>
      <c r="F349" t="inlineStr">
        <is>
          <t>JÄMTLANDS LÄN</t>
        </is>
      </c>
      <c r="G349" t="inlineStr">
        <is>
          <t>ÅRE</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33239-2024</t>
        </is>
      </c>
      <c r="B350" t="inlineStr">
        <is>
          <t>avverkningsanmälan</t>
        </is>
      </c>
      <c r="C350" t="inlineStr">
        <is>
          <t>Avverkning för annat ändamål</t>
        </is>
      </c>
      <c r="D350" s="1" t="n">
        <v>45518</v>
      </c>
      <c r="E350" s="1" t="n">
        <v>46222</v>
      </c>
      <c r="F350" t="inlineStr">
        <is>
          <t>JÄMTLANDS LÄN</t>
        </is>
      </c>
      <c r="G350" t="inlineStr">
        <is>
          <t>ÅRE</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57710-2021</t>
        </is>
      </c>
      <c r="B351" t="inlineStr">
        <is>
          <t>avverkningsanmälan</t>
        </is>
      </c>
      <c r="C351" t="inlineStr">
        <is>
          <t>Föryngringsavverkning</t>
        </is>
      </c>
      <c r="D351" s="1" t="n">
        <v>44484</v>
      </c>
      <c r="E351" s="1" t="n">
        <v>46222</v>
      </c>
      <c r="F351" t="inlineStr">
        <is>
          <t>JÄMTLANDS LÄN</t>
        </is>
      </c>
      <c r="G351" t="inlineStr">
        <is>
          <t>ÅRE</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62189-2025</t>
        </is>
      </c>
      <c r="B352" t="inlineStr">
        <is>
          <t>avverkningsanmälan</t>
        </is>
      </c>
      <c r="C352" t="inlineStr">
        <is>
          <t>Föryngringsavverkning</t>
        </is>
      </c>
      <c r="D352" s="1" t="n">
        <v>46006</v>
      </c>
      <c r="E352" s="1" t="n">
        <v>46222</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62259-2025</t>
        </is>
      </c>
      <c r="B353" t="inlineStr">
        <is>
          <t>avverkningsanmälan</t>
        </is>
      </c>
      <c r="C353" t="inlineStr">
        <is>
          <t>Föryngringsavverkning</t>
        </is>
      </c>
      <c r="D353" s="1" t="n">
        <v>46006</v>
      </c>
      <c r="E353" s="1" t="n">
        <v>46222</v>
      </c>
      <c r="F353" t="inlineStr">
        <is>
          <t>JÄMTLANDS LÄN</t>
        </is>
      </c>
      <c r="G353" t="inlineStr">
        <is>
          <t>ÅRE</t>
        </is>
      </c>
      <c r="I353" t="n">
        <v>7.1</v>
      </c>
      <c r="J353" t="n">
        <v>0</v>
      </c>
      <c r="K353" t="n">
        <v>0</v>
      </c>
      <c r="L353" t="n">
        <v>0</v>
      </c>
      <c r="M353" t="n">
        <v>0</v>
      </c>
      <c r="N353" t="n">
        <v>0</v>
      </c>
      <c r="O353" t="n">
        <v>0</v>
      </c>
      <c r="P353" t="n">
        <v>0</v>
      </c>
      <c r="Q353" t="n">
        <v>0</v>
      </c>
      <c r="R353" t="n">
        <v>0</v>
      </c>
      <c r="S353" t="n">
        <v>0</v>
      </c>
      <c r="T353" t="n">
        <v>0</v>
      </c>
      <c r="U353" s="2" t="inlineStr"/>
    </row>
    <row r="354" ht="15" customHeight="1">
      <c r="A354" t="inlineStr">
        <is>
          <t>A 62532-2025</t>
        </is>
      </c>
      <c r="B354" t="inlineStr">
        <is>
          <t>avverkningsanmälan</t>
        </is>
      </c>
      <c r="C354" t="inlineStr">
        <is>
          <t>Föryngringsavverkning</t>
        </is>
      </c>
      <c r="D354" s="1" t="n">
        <v>46007</v>
      </c>
      <c r="E354" s="1" t="n">
        <v>46222</v>
      </c>
      <c r="F354" t="inlineStr">
        <is>
          <t>JÄMTLANDS LÄN</t>
        </is>
      </c>
      <c r="G354" t="inlineStr">
        <is>
          <t>ÅRE</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62530-2025</t>
        </is>
      </c>
      <c r="B355" t="inlineStr">
        <is>
          <t>avverkningsanmälan</t>
        </is>
      </c>
      <c r="C355" t="inlineStr">
        <is>
          <t>Föryngringsavverkning</t>
        </is>
      </c>
      <c r="D355" s="1" t="n">
        <v>46007</v>
      </c>
      <c r="E355" s="1" t="n">
        <v>46222</v>
      </c>
      <c r="F355" t="inlineStr">
        <is>
          <t>JÄMTLANDS LÄN</t>
        </is>
      </c>
      <c r="G355" t="inlineStr">
        <is>
          <t>ÅRE</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62520-2025</t>
        </is>
      </c>
      <c r="B356" t="inlineStr">
        <is>
          <t>avverkningsanmälan</t>
        </is>
      </c>
      <c r="C356" t="inlineStr">
        <is>
          <t>Föryngringsavverkning</t>
        </is>
      </c>
      <c r="D356" s="1" t="n">
        <v>46007</v>
      </c>
      <c r="E356" s="1" t="n">
        <v>46222</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62521-2025</t>
        </is>
      </c>
      <c r="B357" t="inlineStr">
        <is>
          <t>avverkningsanmälan</t>
        </is>
      </c>
      <c r="C357" t="inlineStr">
        <is>
          <t>Föryngringsavverkning</t>
        </is>
      </c>
      <c r="D357" s="1" t="n">
        <v>46007</v>
      </c>
      <c r="E357" s="1" t="n">
        <v>46222</v>
      </c>
      <c r="F357" t="inlineStr">
        <is>
          <t>JÄMTLANDS LÄN</t>
        </is>
      </c>
      <c r="G357" t="inlineStr">
        <is>
          <t>ÅRE</t>
        </is>
      </c>
      <c r="H357" t="inlineStr">
        <is>
          <t>Övriga Aktiebolag</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53899-2023</t>
        </is>
      </c>
      <c r="B358" t="inlineStr">
        <is>
          <t>avverkningsanmälan</t>
        </is>
      </c>
      <c r="C358" t="inlineStr">
        <is>
          <t>Föryngringsavverkning</t>
        </is>
      </c>
      <c r="D358" s="1" t="n">
        <v>45231</v>
      </c>
      <c r="E358" s="1" t="n">
        <v>46222</v>
      </c>
      <c r="F358" t="inlineStr">
        <is>
          <t>JÄMTLANDS LÄN</t>
        </is>
      </c>
      <c r="G358" t="inlineStr">
        <is>
          <t>ÅRE</t>
        </is>
      </c>
      <c r="I358" t="n">
        <v>20.4</v>
      </c>
      <c r="J358" t="n">
        <v>0</v>
      </c>
      <c r="K358" t="n">
        <v>0</v>
      </c>
      <c r="L358" t="n">
        <v>0</v>
      </c>
      <c r="M358" t="n">
        <v>0</v>
      </c>
      <c r="N358" t="n">
        <v>0</v>
      </c>
      <c r="O358" t="n">
        <v>0</v>
      </c>
      <c r="P358" t="n">
        <v>0</v>
      </c>
      <c r="Q358" t="n">
        <v>0</v>
      </c>
      <c r="R358" t="n">
        <v>0</v>
      </c>
      <c r="S358" t="n">
        <v>0</v>
      </c>
      <c r="T358" t="n">
        <v>0</v>
      </c>
      <c r="U358" s="2" t="inlineStr"/>
    </row>
    <row r="359" ht="15" customHeight="1">
      <c r="A359" t="inlineStr">
        <is>
          <t>A 63020-2025</t>
        </is>
      </c>
      <c r="B359" t="inlineStr">
        <is>
          <t>avverkningsanmälan</t>
        </is>
      </c>
      <c r="C359" t="inlineStr">
        <is>
          <t>Föryngringsavverkning</t>
        </is>
      </c>
      <c r="D359" s="1" t="n">
        <v>46009</v>
      </c>
      <c r="E359" s="1" t="n">
        <v>46222</v>
      </c>
      <c r="F359" t="inlineStr">
        <is>
          <t>JÄMTLANDS LÄN</t>
        </is>
      </c>
      <c r="G359" t="inlineStr">
        <is>
          <t>ÅRE</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34538-2023</t>
        </is>
      </c>
      <c r="B360" t="inlineStr">
        <is>
          <t>avverkningsanmälan</t>
        </is>
      </c>
      <c r="C360" t="inlineStr">
        <is>
          <t>Föryngringsavverkning</t>
        </is>
      </c>
      <c r="D360" s="1" t="n">
        <v>45134</v>
      </c>
      <c r="E360" s="1" t="n">
        <v>46222</v>
      </c>
      <c r="F360" t="inlineStr">
        <is>
          <t>JÄMTLANDS LÄN</t>
        </is>
      </c>
      <c r="G360" t="inlineStr">
        <is>
          <t>ÅRE</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55129-2025</t>
        </is>
      </c>
      <c r="B361" t="inlineStr">
        <is>
          <t>avverkningsanmälan</t>
        </is>
      </c>
      <c r="C361" t="inlineStr">
        <is>
          <t>Föryngringsavverkning</t>
        </is>
      </c>
      <c r="D361" s="1" t="n">
        <v>45968</v>
      </c>
      <c r="E361" s="1" t="n">
        <v>46222</v>
      </c>
      <c r="F361" t="inlineStr">
        <is>
          <t>JÄMTLANDS LÄN</t>
        </is>
      </c>
      <c r="G361" t="inlineStr">
        <is>
          <t>ÅRE</t>
        </is>
      </c>
      <c r="H361" t="inlineStr">
        <is>
          <t>Övriga Aktiebolag</t>
        </is>
      </c>
      <c r="I361" t="n">
        <v>103.3</v>
      </c>
      <c r="J361" t="n">
        <v>0</v>
      </c>
      <c r="K361" t="n">
        <v>0</v>
      </c>
      <c r="L361" t="n">
        <v>0</v>
      </c>
      <c r="M361" t="n">
        <v>0</v>
      </c>
      <c r="N361" t="n">
        <v>0</v>
      </c>
      <c r="O361" t="n">
        <v>0</v>
      </c>
      <c r="P361" t="n">
        <v>0</v>
      </c>
      <c r="Q361" t="n">
        <v>0</v>
      </c>
      <c r="R361" t="n">
        <v>0</v>
      </c>
      <c r="S361" t="n">
        <v>0</v>
      </c>
      <c r="T361" t="n">
        <v>0</v>
      </c>
      <c r="U361" s="2" t="inlineStr"/>
    </row>
    <row r="362" ht="15" customHeight="1">
      <c r="A362" t="inlineStr">
        <is>
          <t>A 60913-2025</t>
        </is>
      </c>
      <c r="B362" t="inlineStr">
        <is>
          <t>avverkningsanmälan</t>
        </is>
      </c>
      <c r="C362" t="inlineStr">
        <is>
          <t>Föryngringsavverkning</t>
        </is>
      </c>
      <c r="D362" s="1" t="n">
        <v>45999</v>
      </c>
      <c r="E362" s="1" t="n">
        <v>46222</v>
      </c>
      <c r="F362" t="inlineStr">
        <is>
          <t>JÄMTLANDS LÄN</t>
        </is>
      </c>
      <c r="G362" t="inlineStr">
        <is>
          <t>ÅRE</t>
        </is>
      </c>
      <c r="H362" t="inlineStr">
        <is>
          <t>Övriga Aktiebolag</t>
        </is>
      </c>
      <c r="I362" t="n">
        <v>19.9</v>
      </c>
      <c r="J362" t="n">
        <v>0</v>
      </c>
      <c r="K362" t="n">
        <v>0</v>
      </c>
      <c r="L362" t="n">
        <v>0</v>
      </c>
      <c r="M362" t="n">
        <v>0</v>
      </c>
      <c r="N362" t="n">
        <v>0</v>
      </c>
      <c r="O362" t="n">
        <v>0</v>
      </c>
      <c r="P362" t="n">
        <v>0</v>
      </c>
      <c r="Q362" t="n">
        <v>0</v>
      </c>
      <c r="R362" t="n">
        <v>0</v>
      </c>
      <c r="S362" t="n">
        <v>0</v>
      </c>
      <c r="T362" t="n">
        <v>0</v>
      </c>
      <c r="U362" s="2" t="inlineStr"/>
    </row>
    <row r="363" ht="15" customHeight="1">
      <c r="A363" t="inlineStr">
        <is>
          <t>A 50574-2025</t>
        </is>
      </c>
      <c r="B363" t="inlineStr">
        <is>
          <t>avverkningsanmälan</t>
        </is>
      </c>
      <c r="C363" t="inlineStr">
        <is>
          <t>Föryngringsavverkning</t>
        </is>
      </c>
      <c r="D363" s="1" t="n">
        <v>45945</v>
      </c>
      <c r="E363" s="1" t="n">
        <v>46222</v>
      </c>
      <c r="F363" t="inlineStr">
        <is>
          <t>JÄMTLANDS LÄN</t>
        </is>
      </c>
      <c r="G363" t="inlineStr">
        <is>
          <t>ÅRE</t>
        </is>
      </c>
      <c r="I363" t="n">
        <v>16.1</v>
      </c>
      <c r="J363" t="n">
        <v>0</v>
      </c>
      <c r="K363" t="n">
        <v>0</v>
      </c>
      <c r="L363" t="n">
        <v>0</v>
      </c>
      <c r="M363" t="n">
        <v>0</v>
      </c>
      <c r="N363" t="n">
        <v>0</v>
      </c>
      <c r="O363" t="n">
        <v>0</v>
      </c>
      <c r="P363" t="n">
        <v>0</v>
      </c>
      <c r="Q363" t="n">
        <v>0</v>
      </c>
      <c r="R363" t="n">
        <v>0</v>
      </c>
      <c r="S363" t="n">
        <v>0</v>
      </c>
      <c r="T363" t="n">
        <v>0</v>
      </c>
      <c r="U363" s="2" t="inlineStr"/>
    </row>
    <row r="364" ht="15" customHeight="1">
      <c r="A364" t="inlineStr">
        <is>
          <t>A 58395-2025</t>
        </is>
      </c>
      <c r="B364" t="inlineStr">
        <is>
          <t>avverkningsanmälan</t>
        </is>
      </c>
      <c r="C364" t="inlineStr">
        <is>
          <t>Föryngringsavverkning</t>
        </is>
      </c>
      <c r="D364" s="1" t="n">
        <v>45985</v>
      </c>
      <c r="E364" s="1" t="n">
        <v>46222</v>
      </c>
      <c r="F364" t="inlineStr">
        <is>
          <t>JÄMTLANDS LÄN</t>
        </is>
      </c>
      <c r="G364" t="inlineStr">
        <is>
          <t>ÅRE</t>
        </is>
      </c>
      <c r="H364" t="inlineStr">
        <is>
          <t>Övriga Aktiebolag</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45378-2025</t>
        </is>
      </c>
      <c r="B365" t="inlineStr">
        <is>
          <t>avverkningsanmälan</t>
        </is>
      </c>
      <c r="C365" t="inlineStr">
        <is>
          <t>Föryngringsavverkning</t>
        </is>
      </c>
      <c r="D365" s="1" t="n">
        <v>45922</v>
      </c>
      <c r="E365" s="1" t="n">
        <v>46222</v>
      </c>
      <c r="F365" t="inlineStr">
        <is>
          <t>JÄMTLANDS LÄN</t>
        </is>
      </c>
      <c r="G365" t="inlineStr">
        <is>
          <t>ÅRE</t>
        </is>
      </c>
      <c r="I365" t="n">
        <v>15.7</v>
      </c>
      <c r="J365" t="n">
        <v>0</v>
      </c>
      <c r="K365" t="n">
        <v>0</v>
      </c>
      <c r="L365" t="n">
        <v>0</v>
      </c>
      <c r="M365" t="n">
        <v>0</v>
      </c>
      <c r="N365" t="n">
        <v>0</v>
      </c>
      <c r="O365" t="n">
        <v>0</v>
      </c>
      <c r="P365" t="n">
        <v>0</v>
      </c>
      <c r="Q365" t="n">
        <v>0</v>
      </c>
      <c r="R365" t="n">
        <v>0</v>
      </c>
      <c r="S365" t="n">
        <v>0</v>
      </c>
      <c r="T365" t="n">
        <v>0</v>
      </c>
      <c r="U365" s="2" t="inlineStr"/>
    </row>
    <row r="366" ht="15" customHeight="1">
      <c r="A366" t="inlineStr">
        <is>
          <t>A 21381-2026</t>
        </is>
      </c>
      <c r="B366" t="inlineStr">
        <is>
          <t>avverkningsanmälan</t>
        </is>
      </c>
      <c r="C366" t="inlineStr">
        <is>
          <t>Föryngringsavverkning</t>
        </is>
      </c>
      <c r="D366" s="1" t="n">
        <v>46147</v>
      </c>
      <c r="E366" s="1" t="n">
        <v>46222</v>
      </c>
      <c r="F366" t="inlineStr">
        <is>
          <t>JÄMTLANDS LÄN</t>
        </is>
      </c>
      <c r="G366" t="inlineStr">
        <is>
          <t>ÅRE</t>
        </is>
      </c>
      <c r="I366" t="n">
        <v>13.7</v>
      </c>
      <c r="J366" t="n">
        <v>0</v>
      </c>
      <c r="K366" t="n">
        <v>0</v>
      </c>
      <c r="L366" t="n">
        <v>0</v>
      </c>
      <c r="M366" t="n">
        <v>0</v>
      </c>
      <c r="N366" t="n">
        <v>0</v>
      </c>
      <c r="O366" t="n">
        <v>0</v>
      </c>
      <c r="P366" t="n">
        <v>0</v>
      </c>
      <c r="Q366" t="n">
        <v>0</v>
      </c>
      <c r="R366" t="n">
        <v>0</v>
      </c>
      <c r="S366" t="n">
        <v>0</v>
      </c>
      <c r="T366" t="n">
        <v>0</v>
      </c>
      <c r="U366" s="2" t="inlineStr"/>
    </row>
    <row r="367" ht="15" customHeight="1">
      <c r="A367" t="inlineStr">
        <is>
          <t>A 7297-2026</t>
        </is>
      </c>
      <c r="B367" t="inlineStr">
        <is>
          <t>avverkningsanmälan</t>
        </is>
      </c>
      <c r="C367" t="inlineStr">
        <is>
          <t>Föryngringsavverkning</t>
        </is>
      </c>
      <c r="D367" s="1" t="n">
        <v>46058</v>
      </c>
      <c r="E367" s="1" t="n">
        <v>46222</v>
      </c>
      <c r="F367" t="inlineStr">
        <is>
          <t>JÄMTLANDS LÄN</t>
        </is>
      </c>
      <c r="G367" t="inlineStr">
        <is>
          <t>ÅRE</t>
        </is>
      </c>
      <c r="H367" t="inlineStr">
        <is>
          <t>Övriga Aktiebolag</t>
        </is>
      </c>
      <c r="I367" t="n">
        <v>19.1</v>
      </c>
      <c r="J367" t="n">
        <v>0</v>
      </c>
      <c r="K367" t="n">
        <v>0</v>
      </c>
      <c r="L367" t="n">
        <v>0</v>
      </c>
      <c r="M367" t="n">
        <v>0</v>
      </c>
      <c r="N367" t="n">
        <v>0</v>
      </c>
      <c r="O367" t="n">
        <v>0</v>
      </c>
      <c r="P367" t="n">
        <v>0</v>
      </c>
      <c r="Q367" t="n">
        <v>0</v>
      </c>
      <c r="R367" t="n">
        <v>0</v>
      </c>
      <c r="S367" t="n">
        <v>0</v>
      </c>
      <c r="T367" t="n">
        <v>0</v>
      </c>
      <c r="U367" s="2" t="inlineStr"/>
    </row>
    <row r="368" ht="15" customHeight="1">
      <c r="A368" t="inlineStr">
        <is>
          <t>A 58889-2022</t>
        </is>
      </c>
      <c r="B368" t="inlineStr">
        <is>
          <t>avverkningsanmälan</t>
        </is>
      </c>
      <c r="C368" t="inlineStr">
        <is>
          <t>Föryngringsavverkning</t>
        </is>
      </c>
      <c r="D368" s="1" t="n">
        <v>44896</v>
      </c>
      <c r="E368" s="1" t="n">
        <v>46222</v>
      </c>
      <c r="F368" t="inlineStr">
        <is>
          <t>JÄMTLANDS LÄN</t>
        </is>
      </c>
      <c r="G368" t="inlineStr">
        <is>
          <t>ÅRE</t>
        </is>
      </c>
      <c r="I368" t="n">
        <v>6.9</v>
      </c>
      <c r="J368" t="n">
        <v>0</v>
      </c>
      <c r="K368" t="n">
        <v>0</v>
      </c>
      <c r="L368" t="n">
        <v>0</v>
      </c>
      <c r="M368" t="n">
        <v>0</v>
      </c>
      <c r="N368" t="n">
        <v>0</v>
      </c>
      <c r="O368" t="n">
        <v>0</v>
      </c>
      <c r="P368" t="n">
        <v>0</v>
      </c>
      <c r="Q368" t="n">
        <v>0</v>
      </c>
      <c r="R368" t="n">
        <v>0</v>
      </c>
      <c r="S368" t="n">
        <v>0</v>
      </c>
      <c r="T368" t="n">
        <v>0</v>
      </c>
      <c r="U368" s="2" t="inlineStr"/>
    </row>
    <row r="369" ht="15" customHeight="1">
      <c r="A369" t="inlineStr">
        <is>
          <t>A 21373-2026</t>
        </is>
      </c>
      <c r="B369" t="inlineStr">
        <is>
          <t>avverkningsanmälan</t>
        </is>
      </c>
      <c r="C369" t="inlineStr">
        <is>
          <t>Föryngringsavverkning</t>
        </is>
      </c>
      <c r="D369" s="1" t="n">
        <v>46147</v>
      </c>
      <c r="E369" s="1" t="n">
        <v>46222</v>
      </c>
      <c r="F369" t="inlineStr">
        <is>
          <t>JÄMTLANDS LÄN</t>
        </is>
      </c>
      <c r="G369" t="inlineStr">
        <is>
          <t>ÅRE</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61815-2021</t>
        </is>
      </c>
      <c r="B370" t="inlineStr">
        <is>
          <t>avverkningsanmälan</t>
        </is>
      </c>
      <c r="C370" t="inlineStr">
        <is>
          <t>Föryngringsavverkning</t>
        </is>
      </c>
      <c r="D370" s="1" t="n">
        <v>44498</v>
      </c>
      <c r="E370" s="1" t="n">
        <v>46222</v>
      </c>
      <c r="F370" t="inlineStr">
        <is>
          <t>JÄMTLANDS LÄN</t>
        </is>
      </c>
      <c r="G370" t="inlineStr">
        <is>
          <t>ÅRE</t>
        </is>
      </c>
      <c r="I370" t="n">
        <v>7.4</v>
      </c>
      <c r="J370" t="n">
        <v>0</v>
      </c>
      <c r="K370" t="n">
        <v>0</v>
      </c>
      <c r="L370" t="n">
        <v>0</v>
      </c>
      <c r="M370" t="n">
        <v>0</v>
      </c>
      <c r="N370" t="n">
        <v>0</v>
      </c>
      <c r="O370" t="n">
        <v>0</v>
      </c>
      <c r="P370" t="n">
        <v>0</v>
      </c>
      <c r="Q370" t="n">
        <v>0</v>
      </c>
      <c r="R370" t="n">
        <v>0</v>
      </c>
      <c r="S370" t="n">
        <v>0</v>
      </c>
      <c r="T370" t="n">
        <v>0</v>
      </c>
      <c r="U370" s="2" t="inlineStr"/>
    </row>
    <row r="371" ht="15" customHeight="1">
      <c r="A371" t="inlineStr">
        <is>
          <t>A 9219-2026</t>
        </is>
      </c>
      <c r="B371" t="inlineStr">
        <is>
          <t>avverkningsanmälan</t>
        </is>
      </c>
      <c r="C371" t="inlineStr">
        <is>
          <t>Föryngringsavverkning</t>
        </is>
      </c>
      <c r="D371" s="1" t="n">
        <v>46070</v>
      </c>
      <c r="E371" s="1" t="n">
        <v>46222</v>
      </c>
      <c r="F371" t="inlineStr">
        <is>
          <t>JÄMTLANDS LÄN</t>
        </is>
      </c>
      <c r="G371" t="inlineStr">
        <is>
          <t>ÅRE</t>
        </is>
      </c>
      <c r="I371" t="n">
        <v>12.4</v>
      </c>
      <c r="J371" t="n">
        <v>0</v>
      </c>
      <c r="K371" t="n">
        <v>0</v>
      </c>
      <c r="L371" t="n">
        <v>0</v>
      </c>
      <c r="M371" t="n">
        <v>0</v>
      </c>
      <c r="N371" t="n">
        <v>0</v>
      </c>
      <c r="O371" t="n">
        <v>0</v>
      </c>
      <c r="P371" t="n">
        <v>0</v>
      </c>
      <c r="Q371" t="n">
        <v>0</v>
      </c>
      <c r="R371" t="n">
        <v>0</v>
      </c>
      <c r="S371" t="n">
        <v>0</v>
      </c>
      <c r="T371" t="n">
        <v>0</v>
      </c>
      <c r="U371" s="2" t="inlineStr"/>
    </row>
    <row r="372" ht="15" customHeight="1">
      <c r="A372" t="inlineStr">
        <is>
          <t>A 9326-2026</t>
        </is>
      </c>
      <c r="B372" t="inlineStr">
        <is>
          <t>avverkningsanmälan</t>
        </is>
      </c>
      <c r="C372" t="inlineStr">
        <is>
          <t>Föryngringsavverkning</t>
        </is>
      </c>
      <c r="D372" s="1" t="n">
        <v>46070</v>
      </c>
      <c r="E372" s="1" t="n">
        <v>46222</v>
      </c>
      <c r="F372" t="inlineStr">
        <is>
          <t>JÄMTLANDS LÄN</t>
        </is>
      </c>
      <c r="G372" t="inlineStr">
        <is>
          <t>ÅRE</t>
        </is>
      </c>
      <c r="H372" t="inlineStr">
        <is>
          <t>Övriga Aktiebolag</t>
        </is>
      </c>
      <c r="I372" t="n">
        <v>14.2</v>
      </c>
      <c r="J372" t="n">
        <v>0</v>
      </c>
      <c r="K372" t="n">
        <v>0</v>
      </c>
      <c r="L372" t="n">
        <v>0</v>
      </c>
      <c r="M372" t="n">
        <v>0</v>
      </c>
      <c r="N372" t="n">
        <v>0</v>
      </c>
      <c r="O372" t="n">
        <v>0</v>
      </c>
      <c r="P372" t="n">
        <v>0</v>
      </c>
      <c r="Q372" t="n">
        <v>0</v>
      </c>
      <c r="R372" t="n">
        <v>0</v>
      </c>
      <c r="S372" t="n">
        <v>0</v>
      </c>
      <c r="T372" t="n">
        <v>0</v>
      </c>
      <c r="U372" s="2" t="inlineStr"/>
    </row>
    <row r="373" ht="15" customHeight="1">
      <c r="A373" t="inlineStr">
        <is>
          <t>A 9212-2026</t>
        </is>
      </c>
      <c r="B373" t="inlineStr">
        <is>
          <t>avverkningsanmälan</t>
        </is>
      </c>
      <c r="C373" t="inlineStr">
        <is>
          <t>Föryngringsavverkning</t>
        </is>
      </c>
      <c r="D373" s="1" t="n">
        <v>46070</v>
      </c>
      <c r="E373" s="1" t="n">
        <v>46222</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9224-2026</t>
        </is>
      </c>
      <c r="B374" t="inlineStr">
        <is>
          <t>avverkningsanmälan</t>
        </is>
      </c>
      <c r="C374" t="inlineStr">
        <is>
          <t>Föryngringsavverkning</t>
        </is>
      </c>
      <c r="D374" s="1" t="n">
        <v>46070</v>
      </c>
      <c r="E374" s="1" t="n">
        <v>46222</v>
      </c>
      <c r="F374" t="inlineStr">
        <is>
          <t>JÄMTLANDS LÄN</t>
        </is>
      </c>
      <c r="G374" t="inlineStr">
        <is>
          <t>ÅRE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13370-2024</t>
        </is>
      </c>
      <c r="B375" t="inlineStr">
        <is>
          <t>avverkningsanmälan</t>
        </is>
      </c>
      <c r="C375" t="inlineStr">
        <is>
          <t>Föryngringsavverkning</t>
        </is>
      </c>
      <c r="D375" s="1" t="n">
        <v>45387</v>
      </c>
      <c r="E375" s="1" t="n">
        <v>46222</v>
      </c>
      <c r="F375" t="inlineStr">
        <is>
          <t>JÄMTLANDS LÄN</t>
        </is>
      </c>
      <c r="G375" t="inlineStr">
        <is>
          <t>ÅRE</t>
        </is>
      </c>
      <c r="I375" t="n">
        <v>8.5</v>
      </c>
      <c r="J375" t="n">
        <v>0</v>
      </c>
      <c r="K375" t="n">
        <v>0</v>
      </c>
      <c r="L375" t="n">
        <v>0</v>
      </c>
      <c r="M375" t="n">
        <v>0</v>
      </c>
      <c r="N375" t="n">
        <v>0</v>
      </c>
      <c r="O375" t="n">
        <v>0</v>
      </c>
      <c r="P375" t="n">
        <v>0</v>
      </c>
      <c r="Q375" t="n">
        <v>0</v>
      </c>
      <c r="R375" t="n">
        <v>0</v>
      </c>
      <c r="S375" t="n">
        <v>0</v>
      </c>
      <c r="T375" t="n">
        <v>0</v>
      </c>
      <c r="U375" s="2" t="inlineStr"/>
    </row>
    <row r="376" ht="15" customHeight="1">
      <c r="A376" t="inlineStr">
        <is>
          <t>A 30263-2023</t>
        </is>
      </c>
      <c r="B376" t="inlineStr">
        <is>
          <t>avverkningsanmälan</t>
        </is>
      </c>
      <c r="C376" t="inlineStr">
        <is>
          <t>Föryngringsavverkning</t>
        </is>
      </c>
      <c r="D376" s="1" t="n">
        <v>45099</v>
      </c>
      <c r="E376" s="1" t="n">
        <v>46222</v>
      </c>
      <c r="F376" t="inlineStr">
        <is>
          <t>JÄMTLANDS LÄN</t>
        </is>
      </c>
      <c r="G376" t="inlineStr">
        <is>
          <t>ÅRE</t>
        </is>
      </c>
      <c r="I376" t="n">
        <v>15.9</v>
      </c>
      <c r="J376" t="n">
        <v>0</v>
      </c>
      <c r="K376" t="n">
        <v>0</v>
      </c>
      <c r="L376" t="n">
        <v>0</v>
      </c>
      <c r="M376" t="n">
        <v>0</v>
      </c>
      <c r="N376" t="n">
        <v>0</v>
      </c>
      <c r="O376" t="n">
        <v>0</v>
      </c>
      <c r="P376" t="n">
        <v>0</v>
      </c>
      <c r="Q376" t="n">
        <v>0</v>
      </c>
      <c r="R376" t="n">
        <v>0</v>
      </c>
      <c r="S376" t="n">
        <v>0</v>
      </c>
      <c r="T376" t="n">
        <v>0</v>
      </c>
      <c r="U376" s="2" t="inlineStr"/>
    </row>
    <row r="377" ht="15" customHeight="1">
      <c r="A377" t="inlineStr">
        <is>
          <t>A 21464-2022</t>
        </is>
      </c>
      <c r="B377" t="inlineStr">
        <is>
          <t>avverkningsanmälan</t>
        </is>
      </c>
      <c r="C377" t="inlineStr">
        <is>
          <t>Avverkning för annat ändamål</t>
        </is>
      </c>
      <c r="D377" s="1" t="n">
        <v>44706</v>
      </c>
      <c r="E377" s="1" t="n">
        <v>46222</v>
      </c>
      <c r="F377" t="inlineStr">
        <is>
          <t>JÄMTLANDS LÄN</t>
        </is>
      </c>
      <c r="G377" t="inlineStr">
        <is>
          <t>ÅRE</t>
        </is>
      </c>
      <c r="I377" t="n">
        <v>10.9</v>
      </c>
      <c r="J377" t="n">
        <v>0</v>
      </c>
      <c r="K377" t="n">
        <v>0</v>
      </c>
      <c r="L377" t="n">
        <v>0</v>
      </c>
      <c r="M377" t="n">
        <v>0</v>
      </c>
      <c r="N377" t="n">
        <v>0</v>
      </c>
      <c r="O377" t="n">
        <v>0</v>
      </c>
      <c r="P377" t="n">
        <v>0</v>
      </c>
      <c r="Q377" t="n">
        <v>0</v>
      </c>
      <c r="R377" t="n">
        <v>0</v>
      </c>
      <c r="S377" t="n">
        <v>0</v>
      </c>
      <c r="T377" t="n">
        <v>0</v>
      </c>
      <c r="U377" s="2" t="inlineStr"/>
    </row>
    <row r="378" ht="15" customHeight="1">
      <c r="A378" t="inlineStr">
        <is>
          <t>A 59387-2022</t>
        </is>
      </c>
      <c r="B378" t="inlineStr">
        <is>
          <t>avverkningsanmälan</t>
        </is>
      </c>
      <c r="C378" t="inlineStr">
        <is>
          <t>Avverkning för annat ändamål</t>
        </is>
      </c>
      <c r="D378" s="1" t="n">
        <v>44905</v>
      </c>
      <c r="E378" s="1" t="n">
        <v>46222</v>
      </c>
      <c r="F378" t="inlineStr">
        <is>
          <t>JÄMTLANDS LÄN</t>
        </is>
      </c>
      <c r="G378" t="inlineStr">
        <is>
          <t>ÅRE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25275-2025</t>
        </is>
      </c>
      <c r="B379" t="inlineStr">
        <is>
          <t>avverkningsanmälan</t>
        </is>
      </c>
      <c r="C379" t="inlineStr">
        <is>
          <t>Föryngringsavverkning</t>
        </is>
      </c>
      <c r="D379" s="1" t="n">
        <v>45800</v>
      </c>
      <c r="E379" s="1" t="n">
        <v>46222</v>
      </c>
      <c r="F379" t="inlineStr">
        <is>
          <t>JÄMTLANDS LÄN</t>
        </is>
      </c>
      <c r="G379" t="inlineStr">
        <is>
          <t>ÅRE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73800-2021</t>
        </is>
      </c>
      <c r="B380" t="inlineStr">
        <is>
          <t>avverkningsanmälan</t>
        </is>
      </c>
      <c r="C380" t="inlineStr">
        <is>
          <t>Föryngringsavverkning</t>
        </is>
      </c>
      <c r="D380" s="1" t="n">
        <v>44552</v>
      </c>
      <c r="E380" s="1" t="n">
        <v>46222</v>
      </c>
      <c r="F380" t="inlineStr">
        <is>
          <t>JÄMTLANDS LÄN</t>
        </is>
      </c>
      <c r="G380" t="inlineStr">
        <is>
          <t>ÅRE</t>
        </is>
      </c>
      <c r="I380" t="n">
        <v>8.6</v>
      </c>
      <c r="J380" t="n">
        <v>0</v>
      </c>
      <c r="K380" t="n">
        <v>0</v>
      </c>
      <c r="L380" t="n">
        <v>0</v>
      </c>
      <c r="M380" t="n">
        <v>0</v>
      </c>
      <c r="N380" t="n">
        <v>0</v>
      </c>
      <c r="O380" t="n">
        <v>0</v>
      </c>
      <c r="P380" t="n">
        <v>0</v>
      </c>
      <c r="Q380" t="n">
        <v>0</v>
      </c>
      <c r="R380" t="n">
        <v>0</v>
      </c>
      <c r="S380" t="n">
        <v>0</v>
      </c>
      <c r="T380" t="n">
        <v>0</v>
      </c>
      <c r="U380" s="2" t="inlineStr"/>
    </row>
    <row r="381" ht="15" customHeight="1">
      <c r="A381" t="inlineStr">
        <is>
          <t>A 1603-2026</t>
        </is>
      </c>
      <c r="B381" t="inlineStr">
        <is>
          <t>avverkningsanmälan</t>
        </is>
      </c>
      <c r="C381" t="inlineStr">
        <is>
          <t>Föryngringsavverkning</t>
        </is>
      </c>
      <c r="D381" s="1" t="n">
        <v>46034</v>
      </c>
      <c r="E381" s="1" t="n">
        <v>46222</v>
      </c>
      <c r="F381" t="inlineStr">
        <is>
          <t>JÄMTLANDS LÄN</t>
        </is>
      </c>
      <c r="G381" t="inlineStr">
        <is>
          <t>ÅRE</t>
        </is>
      </c>
      <c r="I381" t="n">
        <v>3.3</v>
      </c>
      <c r="J381" t="n">
        <v>0</v>
      </c>
      <c r="K381" t="n">
        <v>0</v>
      </c>
      <c r="L381" t="n">
        <v>0</v>
      </c>
      <c r="M381" t="n">
        <v>0</v>
      </c>
      <c r="N381" t="n">
        <v>0</v>
      </c>
      <c r="O381" t="n">
        <v>0</v>
      </c>
      <c r="P381" t="n">
        <v>0</v>
      </c>
      <c r="Q381" t="n">
        <v>0</v>
      </c>
      <c r="R381" t="n">
        <v>0</v>
      </c>
      <c r="S381" t="n">
        <v>0</v>
      </c>
      <c r="T381" t="n">
        <v>0</v>
      </c>
      <c r="U381" s="2" t="inlineStr"/>
    </row>
    <row r="382" ht="15" customHeight="1">
      <c r="A382" t="inlineStr">
        <is>
          <t>A 44925-2024</t>
        </is>
      </c>
      <c r="B382" t="inlineStr">
        <is>
          <t>avverkningsanmälan</t>
        </is>
      </c>
      <c r="C382" t="inlineStr">
        <is>
          <t>Föryngringsavverkning</t>
        </is>
      </c>
      <c r="D382" s="1" t="n">
        <v>45575</v>
      </c>
      <c r="E382" s="1" t="n">
        <v>46222</v>
      </c>
      <c r="F382" t="inlineStr">
        <is>
          <t>JÄMTLANDS LÄN</t>
        </is>
      </c>
      <c r="G382" t="inlineStr">
        <is>
          <t>ÅRE</t>
        </is>
      </c>
      <c r="H382" t="inlineStr">
        <is>
          <t>Övriga Aktiebolag</t>
        </is>
      </c>
      <c r="I382" t="n">
        <v>22.3</v>
      </c>
      <c r="J382" t="n">
        <v>0</v>
      </c>
      <c r="K382" t="n">
        <v>0</v>
      </c>
      <c r="L382" t="n">
        <v>0</v>
      </c>
      <c r="M382" t="n">
        <v>0</v>
      </c>
      <c r="N382" t="n">
        <v>0</v>
      </c>
      <c r="O382" t="n">
        <v>0</v>
      </c>
      <c r="P382" t="n">
        <v>0</v>
      </c>
      <c r="Q382" t="n">
        <v>0</v>
      </c>
      <c r="R382" t="n">
        <v>0</v>
      </c>
      <c r="S382" t="n">
        <v>0</v>
      </c>
      <c r="T382" t="n">
        <v>0</v>
      </c>
      <c r="U382" s="2" t="inlineStr"/>
    </row>
    <row r="383" ht="15" customHeight="1">
      <c r="A383" t="inlineStr">
        <is>
          <t>A 2105-2026</t>
        </is>
      </c>
      <c r="B383" t="inlineStr">
        <is>
          <t>avverkningsanmälan</t>
        </is>
      </c>
      <c r="C383" t="inlineStr">
        <is>
          <t>Föryngringsavverkning</t>
        </is>
      </c>
      <c r="D383" s="1" t="n">
        <v>46036</v>
      </c>
      <c r="E383" s="1" t="n">
        <v>46222</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64245-2021</t>
        </is>
      </c>
      <c r="B384" t="inlineStr">
        <is>
          <t>avverkningsanmälan</t>
        </is>
      </c>
      <c r="C384" t="inlineStr">
        <is>
          <t>Föryngringsavverkning</t>
        </is>
      </c>
      <c r="D384" s="1" t="n">
        <v>44510</v>
      </c>
      <c r="E384" s="1" t="n">
        <v>46222</v>
      </c>
      <c r="F384" t="inlineStr">
        <is>
          <t>JÄMTLANDS LÄN</t>
        </is>
      </c>
      <c r="G384" t="inlineStr">
        <is>
          <t>ÅRE</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61924-2022</t>
        </is>
      </c>
      <c r="B385" t="inlineStr">
        <is>
          <t>avverkningsanmälan</t>
        </is>
      </c>
      <c r="C385" t="inlineStr">
        <is>
          <t>Föryngringsavverkning</t>
        </is>
      </c>
      <c r="D385" s="1" t="n">
        <v>44917</v>
      </c>
      <c r="E385" s="1" t="n">
        <v>46222</v>
      </c>
      <c r="F385" t="inlineStr">
        <is>
          <t>JÄMTLANDS LÄN</t>
        </is>
      </c>
      <c r="G385" t="inlineStr">
        <is>
          <t>ÅRE</t>
        </is>
      </c>
      <c r="I385" t="n">
        <v>39.8</v>
      </c>
      <c r="J385" t="n">
        <v>0</v>
      </c>
      <c r="K385" t="n">
        <v>0</v>
      </c>
      <c r="L385" t="n">
        <v>0</v>
      </c>
      <c r="M385" t="n">
        <v>0</v>
      </c>
      <c r="N385" t="n">
        <v>0</v>
      </c>
      <c r="O385" t="n">
        <v>0</v>
      </c>
      <c r="P385" t="n">
        <v>0</v>
      </c>
      <c r="Q385" t="n">
        <v>0</v>
      </c>
      <c r="R385" t="n">
        <v>0</v>
      </c>
      <c r="S385" t="n">
        <v>0</v>
      </c>
      <c r="T385" t="n">
        <v>0</v>
      </c>
      <c r="U385" s="2" t="inlineStr"/>
    </row>
    <row r="386" ht="15" customHeight="1">
      <c r="A386" t="inlineStr">
        <is>
          <t>A 2520-2026</t>
        </is>
      </c>
      <c r="B386" t="inlineStr">
        <is>
          <t>avverkningsanmälan</t>
        </is>
      </c>
      <c r="C386" t="inlineStr">
        <is>
          <t>Föryngringsavverkning</t>
        </is>
      </c>
      <c r="D386" s="1" t="n">
        <v>46037</v>
      </c>
      <c r="E386" s="1" t="n">
        <v>46222</v>
      </c>
      <c r="F386" t="inlineStr">
        <is>
          <t>JÄMTLANDS LÄN</t>
        </is>
      </c>
      <c r="G386" t="inlineStr">
        <is>
          <t>ÅRE</t>
        </is>
      </c>
      <c r="I386" t="n">
        <v>3.3</v>
      </c>
      <c r="J386" t="n">
        <v>0</v>
      </c>
      <c r="K386" t="n">
        <v>0</v>
      </c>
      <c r="L386" t="n">
        <v>0</v>
      </c>
      <c r="M386" t="n">
        <v>0</v>
      </c>
      <c r="N386" t="n">
        <v>0</v>
      </c>
      <c r="O386" t="n">
        <v>0</v>
      </c>
      <c r="P386" t="n">
        <v>0</v>
      </c>
      <c r="Q386" t="n">
        <v>0</v>
      </c>
      <c r="R386" t="n">
        <v>0</v>
      </c>
      <c r="S386" t="n">
        <v>0</v>
      </c>
      <c r="T386" t="n">
        <v>0</v>
      </c>
      <c r="U386" s="2" t="inlineStr"/>
    </row>
    <row r="387" ht="15" customHeight="1">
      <c r="A387" t="inlineStr">
        <is>
          <t>A 37729-2023</t>
        </is>
      </c>
      <c r="B387" t="inlineStr">
        <is>
          <t>avverkningsanmälan</t>
        </is>
      </c>
      <c r="C387" t="inlineStr">
        <is>
          <t>Avverkning för annat ändamål</t>
        </is>
      </c>
      <c r="D387" s="1" t="n">
        <v>45159</v>
      </c>
      <c r="E387" s="1" t="n">
        <v>46222</v>
      </c>
      <c r="F387" t="inlineStr">
        <is>
          <t>JÄMTLANDS LÄN</t>
        </is>
      </c>
      <c r="G387" t="inlineStr">
        <is>
          <t>ÅRE</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50099-2021</t>
        </is>
      </c>
      <c r="B388" t="inlineStr">
        <is>
          <t>avverkningsanmälan</t>
        </is>
      </c>
      <c r="C388" t="inlineStr">
        <is>
          <t>Föryngringsavverkning</t>
        </is>
      </c>
      <c r="D388" s="1" t="n">
        <v>44456</v>
      </c>
      <c r="E388" s="1" t="n">
        <v>46222</v>
      </c>
      <c r="F388" t="inlineStr">
        <is>
          <t>JÄMTLANDS LÄN</t>
        </is>
      </c>
      <c r="G388" t="inlineStr">
        <is>
          <t>ÅRE</t>
        </is>
      </c>
      <c r="I388" t="n">
        <v>6.2</v>
      </c>
      <c r="J388" t="n">
        <v>0</v>
      </c>
      <c r="K388" t="n">
        <v>0</v>
      </c>
      <c r="L388" t="n">
        <v>0</v>
      </c>
      <c r="M388" t="n">
        <v>0</v>
      </c>
      <c r="N388" t="n">
        <v>0</v>
      </c>
      <c r="O388" t="n">
        <v>0</v>
      </c>
      <c r="P388" t="n">
        <v>0</v>
      </c>
      <c r="Q388" t="n">
        <v>0</v>
      </c>
      <c r="R388" t="n">
        <v>0</v>
      </c>
      <c r="S388" t="n">
        <v>0</v>
      </c>
      <c r="T388" t="n">
        <v>0</v>
      </c>
      <c r="U388" s="2" t="inlineStr"/>
    </row>
    <row r="389" ht="15" customHeight="1">
      <c r="A389" t="inlineStr">
        <is>
          <t>A 20480-2024</t>
        </is>
      </c>
      <c r="B389" t="inlineStr">
        <is>
          <t>avverkningsanmälan</t>
        </is>
      </c>
      <c r="C389" t="inlineStr">
        <is>
          <t>Föryngringsavverkning</t>
        </is>
      </c>
      <c r="D389" s="1" t="n">
        <v>45435</v>
      </c>
      <c r="E389" s="1" t="n">
        <v>46222</v>
      </c>
      <c r="F389" t="inlineStr">
        <is>
          <t>JÄMTLANDS LÄN</t>
        </is>
      </c>
      <c r="G389" t="inlineStr">
        <is>
          <t>ÅRE</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59666-2023</t>
        </is>
      </c>
      <c r="B390" t="inlineStr">
        <is>
          <t>avverkningsanmälan</t>
        </is>
      </c>
      <c r="C390" t="inlineStr">
        <is>
          <t>Avverkning för att bevara och utveckla /försöksver</t>
        </is>
      </c>
      <c r="D390" s="1" t="n">
        <v>45254</v>
      </c>
      <c r="E390" s="1" t="n">
        <v>46222</v>
      </c>
      <c r="F390" t="inlineStr">
        <is>
          <t>JÄMTLANDS LÄN</t>
        </is>
      </c>
      <c r="G390" t="inlineStr">
        <is>
          <t>ÅRE</t>
        </is>
      </c>
      <c r="I390" t="n">
        <v>6.6</v>
      </c>
      <c r="J390" t="n">
        <v>0</v>
      </c>
      <c r="K390" t="n">
        <v>0</v>
      </c>
      <c r="L390" t="n">
        <v>0</v>
      </c>
      <c r="M390" t="n">
        <v>0</v>
      </c>
      <c r="N390" t="n">
        <v>0</v>
      </c>
      <c r="O390" t="n">
        <v>0</v>
      </c>
      <c r="P390" t="n">
        <v>0</v>
      </c>
      <c r="Q390" t="n">
        <v>0</v>
      </c>
      <c r="R390" t="n">
        <v>0</v>
      </c>
      <c r="S390" t="n">
        <v>0</v>
      </c>
      <c r="T390" t="n">
        <v>0</v>
      </c>
      <c r="U390" s="2" t="inlineStr"/>
    </row>
    <row r="391" ht="15" customHeight="1">
      <c r="A391" t="inlineStr">
        <is>
          <t>A 36048-2023</t>
        </is>
      </c>
      <c r="B391" t="inlineStr">
        <is>
          <t>avverkningsanmälan</t>
        </is>
      </c>
      <c r="C391" t="inlineStr">
        <is>
          <t>Föryngringsavverkning</t>
        </is>
      </c>
      <c r="D391" s="1" t="n">
        <v>45149</v>
      </c>
      <c r="E391" s="1" t="n">
        <v>46222</v>
      </c>
      <c r="F391" t="inlineStr">
        <is>
          <t>JÄMTLANDS LÄN</t>
        </is>
      </c>
      <c r="G391" t="inlineStr">
        <is>
          <t>ÅRE</t>
        </is>
      </c>
      <c r="I391" t="n">
        <v>11.4</v>
      </c>
      <c r="J391" t="n">
        <v>0</v>
      </c>
      <c r="K391" t="n">
        <v>0</v>
      </c>
      <c r="L391" t="n">
        <v>0</v>
      </c>
      <c r="M391" t="n">
        <v>0</v>
      </c>
      <c r="N391" t="n">
        <v>0</v>
      </c>
      <c r="O391" t="n">
        <v>0</v>
      </c>
      <c r="P391" t="n">
        <v>0</v>
      </c>
      <c r="Q391" t="n">
        <v>0</v>
      </c>
      <c r="R391" t="n">
        <v>0</v>
      </c>
      <c r="S391" t="n">
        <v>0</v>
      </c>
      <c r="T391" t="n">
        <v>0</v>
      </c>
      <c r="U391" s="2" t="inlineStr"/>
    </row>
    <row r="392" ht="15" customHeight="1">
      <c r="A392" t="inlineStr">
        <is>
          <t>A 3154-2023</t>
        </is>
      </c>
      <c r="B392" t="inlineStr">
        <is>
          <t>avverkningsanmälan</t>
        </is>
      </c>
      <c r="C392" t="inlineStr">
        <is>
          <t>Föryngringsavverkning</t>
        </is>
      </c>
      <c r="D392" s="1" t="n">
        <v>44946</v>
      </c>
      <c r="E392" s="1" t="n">
        <v>46222</v>
      </c>
      <c r="F392" t="inlineStr">
        <is>
          <t>JÄMTLANDS LÄN</t>
        </is>
      </c>
      <c r="G392" t="inlineStr">
        <is>
          <t>ÅRE</t>
        </is>
      </c>
      <c r="I392" t="n">
        <v>5.1</v>
      </c>
      <c r="J392" t="n">
        <v>0</v>
      </c>
      <c r="K392" t="n">
        <v>0</v>
      </c>
      <c r="L392" t="n">
        <v>0</v>
      </c>
      <c r="M392" t="n">
        <v>0</v>
      </c>
      <c r="N392" t="n">
        <v>0</v>
      </c>
      <c r="O392" t="n">
        <v>0</v>
      </c>
      <c r="P392" t="n">
        <v>0</v>
      </c>
      <c r="Q392" t="n">
        <v>0</v>
      </c>
      <c r="R392" t="n">
        <v>0</v>
      </c>
      <c r="S392" t="n">
        <v>0</v>
      </c>
      <c r="T392" t="n">
        <v>0</v>
      </c>
      <c r="U392" s="2" t="inlineStr"/>
    </row>
    <row r="393" ht="15" customHeight="1">
      <c r="A393" t="inlineStr">
        <is>
          <t>A 3204-2023</t>
        </is>
      </c>
      <c r="B393" t="inlineStr">
        <is>
          <t>avverkningsanmälan</t>
        </is>
      </c>
      <c r="C393" t="inlineStr">
        <is>
          <t>Föryngringsavverkning</t>
        </is>
      </c>
      <c r="D393" s="1" t="n">
        <v>44946</v>
      </c>
      <c r="E393" s="1" t="n">
        <v>46222</v>
      </c>
      <c r="F393" t="inlineStr">
        <is>
          <t>JÄMTLANDS LÄN</t>
        </is>
      </c>
      <c r="G393" t="inlineStr">
        <is>
          <t>ÅRE</t>
        </is>
      </c>
      <c r="I393" t="n">
        <v>1.9</v>
      </c>
      <c r="J393" t="n">
        <v>0</v>
      </c>
      <c r="K393" t="n">
        <v>0</v>
      </c>
      <c r="L393" t="n">
        <v>0</v>
      </c>
      <c r="M393" t="n">
        <v>0</v>
      </c>
      <c r="N393" t="n">
        <v>0</v>
      </c>
      <c r="O393" t="n">
        <v>0</v>
      </c>
      <c r="P393" t="n">
        <v>0</v>
      </c>
      <c r="Q393" t="n">
        <v>0</v>
      </c>
      <c r="R393" t="n">
        <v>0</v>
      </c>
      <c r="S393" t="n">
        <v>0</v>
      </c>
      <c r="T393" t="n">
        <v>0</v>
      </c>
      <c r="U393" s="2" t="inlineStr"/>
    </row>
    <row r="394" ht="15" customHeight="1">
      <c r="A394" t="inlineStr">
        <is>
          <t>A 52677-2024</t>
        </is>
      </c>
      <c r="B394" t="inlineStr">
        <is>
          <t>avverkningsanmälan</t>
        </is>
      </c>
      <c r="C394" t="inlineStr">
        <is>
          <t>Föryngringsavverkning</t>
        </is>
      </c>
      <c r="D394" s="1" t="n">
        <v>45610</v>
      </c>
      <c r="E394" s="1" t="n">
        <v>46222</v>
      </c>
      <c r="F394" t="inlineStr">
        <is>
          <t>JÄMTLANDS LÄN</t>
        </is>
      </c>
      <c r="G394" t="inlineStr">
        <is>
          <t>ÅRE</t>
        </is>
      </c>
      <c r="H394" t="inlineStr">
        <is>
          <t>Övriga Aktiebolag</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49313-2024</t>
        </is>
      </c>
      <c r="B395" t="inlineStr">
        <is>
          <t>avverkningsanmälan</t>
        </is>
      </c>
      <c r="C395" t="inlineStr">
        <is>
          <t>Föryngringsavverkning</t>
        </is>
      </c>
      <c r="D395" s="1" t="n">
        <v>45595</v>
      </c>
      <c r="E395" s="1" t="n">
        <v>46222</v>
      </c>
      <c r="F395" t="inlineStr">
        <is>
          <t>JÄMTLANDS LÄN</t>
        </is>
      </c>
      <c r="G395" t="inlineStr">
        <is>
          <t>ÅRE</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54247-2024</t>
        </is>
      </c>
      <c r="B396" t="inlineStr">
        <is>
          <t>avverkningsanmälan</t>
        </is>
      </c>
      <c r="C396" t="inlineStr">
        <is>
          <t>Föryngringsavverkning</t>
        </is>
      </c>
      <c r="D396" s="1" t="n">
        <v>45616</v>
      </c>
      <c r="E396" s="1" t="n">
        <v>46222</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18805-2026</t>
        </is>
      </c>
      <c r="B397" t="inlineStr">
        <is>
          <t>avverkningsanmälan</t>
        </is>
      </c>
      <c r="C397" t="inlineStr">
        <is>
          <t>Föryngringsavverkning</t>
        </is>
      </c>
      <c r="D397" s="1" t="n">
        <v>46128</v>
      </c>
      <c r="E397" s="1" t="n">
        <v>46222</v>
      </c>
      <c r="F397" t="inlineStr">
        <is>
          <t>JÄMTLANDS LÄN</t>
        </is>
      </c>
      <c r="G397" t="inlineStr">
        <is>
          <t>ÅRE</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15884-2023</t>
        </is>
      </c>
      <c r="B398" t="inlineStr">
        <is>
          <t>avverkningsanmälan</t>
        </is>
      </c>
      <c r="C398" t="inlineStr">
        <is>
          <t>Avverkning för annat ändamål</t>
        </is>
      </c>
      <c r="D398" s="1" t="n">
        <v>45022</v>
      </c>
      <c r="E398" s="1" t="n">
        <v>46222</v>
      </c>
      <c r="F398" t="inlineStr">
        <is>
          <t>JÄMTLANDS LÄN</t>
        </is>
      </c>
      <c r="G398" t="inlineStr">
        <is>
          <t>ÅRE</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6358-2025</t>
        </is>
      </c>
      <c r="B399" t="inlineStr">
        <is>
          <t>avverkningsanmälan</t>
        </is>
      </c>
      <c r="C399" t="inlineStr">
        <is>
          <t>Föryngringsavverkning</t>
        </is>
      </c>
      <c r="D399" s="1" t="n">
        <v>45699</v>
      </c>
      <c r="E399" s="1" t="n">
        <v>46222</v>
      </c>
      <c r="F399" t="inlineStr">
        <is>
          <t>JÄMTLANDS LÄN</t>
        </is>
      </c>
      <c r="G399" t="inlineStr">
        <is>
          <t>ÅRE</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18253-2023</t>
        </is>
      </c>
      <c r="B400" t="inlineStr">
        <is>
          <t>avverkningsanmälan</t>
        </is>
      </c>
      <c r="C400" t="inlineStr">
        <is>
          <t>Föryngringsavverkning</t>
        </is>
      </c>
      <c r="D400" s="1" t="n">
        <v>45041</v>
      </c>
      <c r="E400" s="1" t="n">
        <v>46222</v>
      </c>
      <c r="F400" t="inlineStr">
        <is>
          <t>JÄMTLANDS LÄN</t>
        </is>
      </c>
      <c r="G400" t="inlineStr">
        <is>
          <t>ÅRE</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12286-2023</t>
        </is>
      </c>
      <c r="B401" t="inlineStr">
        <is>
          <t>avverkningsanmälan</t>
        </is>
      </c>
      <c r="C401" t="inlineStr">
        <is>
          <t>Föryngringsavverkning</t>
        </is>
      </c>
      <c r="D401" s="1" t="n">
        <v>44998</v>
      </c>
      <c r="E401" s="1" t="n">
        <v>46222</v>
      </c>
      <c r="F401" t="inlineStr">
        <is>
          <t>JÄMTLANDS LÄN</t>
        </is>
      </c>
      <c r="G401" t="inlineStr">
        <is>
          <t>ÅRE</t>
        </is>
      </c>
      <c r="I401" t="n">
        <v>7.3</v>
      </c>
      <c r="J401" t="n">
        <v>0</v>
      </c>
      <c r="K401" t="n">
        <v>0</v>
      </c>
      <c r="L401" t="n">
        <v>0</v>
      </c>
      <c r="M401" t="n">
        <v>0</v>
      </c>
      <c r="N401" t="n">
        <v>0</v>
      </c>
      <c r="O401" t="n">
        <v>0</v>
      </c>
      <c r="P401" t="n">
        <v>0</v>
      </c>
      <c r="Q401" t="n">
        <v>0</v>
      </c>
      <c r="R401" t="n">
        <v>0</v>
      </c>
      <c r="S401" t="n">
        <v>0</v>
      </c>
      <c r="T401" t="n">
        <v>0</v>
      </c>
      <c r="U401" s="2" t="inlineStr"/>
    </row>
    <row r="402" ht="15" customHeight="1">
      <c r="A402" t="inlineStr">
        <is>
          <t>A 45105-2024</t>
        </is>
      </c>
      <c r="B402" t="inlineStr">
        <is>
          <t>avverkningsanmälan</t>
        </is>
      </c>
      <c r="C402" t="inlineStr">
        <is>
          <t>Föryngringsavverkning</t>
        </is>
      </c>
      <c r="D402" s="1" t="n">
        <v>45575</v>
      </c>
      <c r="E402" s="1" t="n">
        <v>46222</v>
      </c>
      <c r="F402" t="inlineStr">
        <is>
          <t>JÄMTLANDS LÄN</t>
        </is>
      </c>
      <c r="G402" t="inlineStr">
        <is>
          <t>ÅRE</t>
        </is>
      </c>
      <c r="H402" t="inlineStr">
        <is>
          <t>Övriga Aktiebolag</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11112-2022</t>
        </is>
      </c>
      <c r="B403" t="inlineStr">
        <is>
          <t>avverkningsanmälan</t>
        </is>
      </c>
      <c r="C403" t="inlineStr">
        <is>
          <t>Föryngringsavverkning</t>
        </is>
      </c>
      <c r="D403" s="1" t="n">
        <v>44628</v>
      </c>
      <c r="E403" s="1" t="n">
        <v>46222</v>
      </c>
      <c r="F403" t="inlineStr">
        <is>
          <t>JÄMTLANDS LÄN</t>
        </is>
      </c>
      <c r="G403" t="inlineStr">
        <is>
          <t>ÅRE</t>
        </is>
      </c>
      <c r="I403" t="n">
        <v>6.6</v>
      </c>
      <c r="J403" t="n">
        <v>0</v>
      </c>
      <c r="K403" t="n">
        <v>0</v>
      </c>
      <c r="L403" t="n">
        <v>0</v>
      </c>
      <c r="M403" t="n">
        <v>0</v>
      </c>
      <c r="N403" t="n">
        <v>0</v>
      </c>
      <c r="O403" t="n">
        <v>0</v>
      </c>
      <c r="P403" t="n">
        <v>0</v>
      </c>
      <c r="Q403" t="n">
        <v>0</v>
      </c>
      <c r="R403" t="n">
        <v>0</v>
      </c>
      <c r="S403" t="n">
        <v>0</v>
      </c>
      <c r="T403" t="n">
        <v>0</v>
      </c>
      <c r="U403" s="2" t="inlineStr"/>
    </row>
    <row r="404" ht="15" customHeight="1">
      <c r="A404" t="inlineStr">
        <is>
          <t>A 39195-2024</t>
        </is>
      </c>
      <c r="B404" t="inlineStr">
        <is>
          <t>avverkningsanmälan</t>
        </is>
      </c>
      <c r="C404" t="inlineStr">
        <is>
          <t>Avverkning för annat ändamål</t>
        </is>
      </c>
      <c r="D404" s="1" t="n">
        <v>45548</v>
      </c>
      <c r="E404" s="1" t="n">
        <v>46222</v>
      </c>
      <c r="F404" t="inlineStr">
        <is>
          <t>JÄMTLANDS LÄN</t>
        </is>
      </c>
      <c r="G404" t="inlineStr">
        <is>
          <t>ÅRE</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17703-2023</t>
        </is>
      </c>
      <c r="B405" t="inlineStr">
        <is>
          <t>avverkningsanmälan</t>
        </is>
      </c>
      <c r="C405" t="inlineStr">
        <is>
          <t>Föryngringsavverkning</t>
        </is>
      </c>
      <c r="D405" s="1" t="n">
        <v>45037</v>
      </c>
      <c r="E405" s="1" t="n">
        <v>46222</v>
      </c>
      <c r="F405" t="inlineStr">
        <is>
          <t>JÄMTLANDS LÄN</t>
        </is>
      </c>
      <c r="G405" t="inlineStr">
        <is>
          <t>ÅRE</t>
        </is>
      </c>
      <c r="H405" t="inlineStr">
        <is>
          <t>Övriga Aktiebolag</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73798-2021</t>
        </is>
      </c>
      <c r="B406" t="inlineStr">
        <is>
          <t>avverkningsanmälan</t>
        </is>
      </c>
      <c r="C406" t="inlineStr">
        <is>
          <t>Föryngringsavverkning</t>
        </is>
      </c>
      <c r="D406" s="1" t="n">
        <v>44552</v>
      </c>
      <c r="E406" s="1" t="n">
        <v>46222</v>
      </c>
      <c r="F406" t="inlineStr">
        <is>
          <t>JÄMTLANDS LÄN</t>
        </is>
      </c>
      <c r="G406" t="inlineStr">
        <is>
          <t>ÅRE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20210-2026</t>
        </is>
      </c>
      <c r="B407" t="inlineStr">
        <is>
          <t>avverkningsanmälan</t>
        </is>
      </c>
      <c r="C407" t="inlineStr">
        <is>
          <t>Föryngringsavverkning</t>
        </is>
      </c>
      <c r="D407" s="1" t="n">
        <v>46139</v>
      </c>
      <c r="E407" s="1" t="n">
        <v>46222</v>
      </c>
      <c r="F407" t="inlineStr">
        <is>
          <t>JÄMTLANDS LÄN</t>
        </is>
      </c>
      <c r="G407" t="inlineStr">
        <is>
          <t>ÅRE</t>
        </is>
      </c>
      <c r="I407" t="n">
        <v>25.1</v>
      </c>
      <c r="J407" t="n">
        <v>0</v>
      </c>
      <c r="K407" t="n">
        <v>0</v>
      </c>
      <c r="L407" t="n">
        <v>0</v>
      </c>
      <c r="M407" t="n">
        <v>0</v>
      </c>
      <c r="N407" t="n">
        <v>0</v>
      </c>
      <c r="O407" t="n">
        <v>0</v>
      </c>
      <c r="P407" t="n">
        <v>0</v>
      </c>
      <c r="Q407" t="n">
        <v>0</v>
      </c>
      <c r="R407" t="n">
        <v>0</v>
      </c>
      <c r="S407" t="n">
        <v>0</v>
      </c>
      <c r="T407" t="n">
        <v>0</v>
      </c>
      <c r="U407" s="2" t="inlineStr"/>
    </row>
    <row r="408" ht="15" customHeight="1">
      <c r="A408" t="inlineStr">
        <is>
          <t>A 52676-2023</t>
        </is>
      </c>
      <c r="B408" t="inlineStr">
        <is>
          <t>avverkningsanmälan</t>
        </is>
      </c>
      <c r="C408" t="inlineStr">
        <is>
          <t>Föryngringsavverkning</t>
        </is>
      </c>
      <c r="D408" s="1" t="n">
        <v>45225</v>
      </c>
      <c r="E408" s="1" t="n">
        <v>46222</v>
      </c>
      <c r="F408" t="inlineStr">
        <is>
          <t>JÄMTLANDS LÄN</t>
        </is>
      </c>
      <c r="G408" t="inlineStr">
        <is>
          <t>ÅRE</t>
        </is>
      </c>
      <c r="H408" t="inlineStr">
        <is>
          <t>Övriga Aktiebolag</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12216-2023</t>
        </is>
      </c>
      <c r="B409" t="inlineStr">
        <is>
          <t>avverkningsanmälan</t>
        </is>
      </c>
      <c r="C409" t="inlineStr">
        <is>
          <t>Föryngringsavverkning</t>
        </is>
      </c>
      <c r="D409" s="1" t="n">
        <v>44998</v>
      </c>
      <c r="E409" s="1" t="n">
        <v>46222</v>
      </c>
      <c r="F409" t="inlineStr">
        <is>
          <t>JÄMTLANDS LÄN</t>
        </is>
      </c>
      <c r="G409" t="inlineStr">
        <is>
          <t>ÅRE</t>
        </is>
      </c>
      <c r="I409" t="n">
        <v>11.8</v>
      </c>
      <c r="J409" t="n">
        <v>0</v>
      </c>
      <c r="K409" t="n">
        <v>0</v>
      </c>
      <c r="L409" t="n">
        <v>0</v>
      </c>
      <c r="M409" t="n">
        <v>0</v>
      </c>
      <c r="N409" t="n">
        <v>0</v>
      </c>
      <c r="O409" t="n">
        <v>0</v>
      </c>
      <c r="P409" t="n">
        <v>0</v>
      </c>
      <c r="Q409" t="n">
        <v>0</v>
      </c>
      <c r="R409" t="n">
        <v>0</v>
      </c>
      <c r="S409" t="n">
        <v>0</v>
      </c>
      <c r="T409" t="n">
        <v>0</v>
      </c>
      <c r="U409" s="2" t="inlineStr"/>
    </row>
    <row r="410" ht="15" customHeight="1">
      <c r="A410" t="inlineStr">
        <is>
          <t>A 55033-2024</t>
        </is>
      </c>
      <c r="B410" t="inlineStr">
        <is>
          <t>avverkningsanmälan</t>
        </is>
      </c>
      <c r="C410" t="inlineStr">
        <is>
          <t>Föryngringsavverkning</t>
        </is>
      </c>
      <c r="D410" s="1" t="n">
        <v>45621</v>
      </c>
      <c r="E410" s="1" t="n">
        <v>46222</v>
      </c>
      <c r="F410" t="inlineStr">
        <is>
          <t>JÄMTLANDS LÄN</t>
        </is>
      </c>
      <c r="G410" t="inlineStr">
        <is>
          <t>ÅRE</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20359-2026</t>
        </is>
      </c>
      <c r="B411" t="inlineStr">
        <is>
          <t>avverkningsanmälan</t>
        </is>
      </c>
      <c r="C411" t="inlineStr">
        <is>
          <t>Föryngringsavverkning</t>
        </is>
      </c>
      <c r="D411" s="1" t="n">
        <v>46139</v>
      </c>
      <c r="E411" s="1" t="n">
        <v>46222</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69568-2021</t>
        </is>
      </c>
      <c r="B412" t="inlineStr">
        <is>
          <t>avverkningsanmälan</t>
        </is>
      </c>
      <c r="C412" t="inlineStr">
        <is>
          <t>Föryngringsavverkning</t>
        </is>
      </c>
      <c r="D412" s="1" t="n">
        <v>44531</v>
      </c>
      <c r="E412" s="1" t="n">
        <v>46222</v>
      </c>
      <c r="F412" t="inlineStr">
        <is>
          <t>JÄMTLANDS LÄN</t>
        </is>
      </c>
      <c r="G412" t="inlineStr">
        <is>
          <t>ÅRE</t>
        </is>
      </c>
      <c r="I412" t="n">
        <v>2.9</v>
      </c>
      <c r="J412" t="n">
        <v>0</v>
      </c>
      <c r="K412" t="n">
        <v>0</v>
      </c>
      <c r="L412" t="n">
        <v>0</v>
      </c>
      <c r="M412" t="n">
        <v>0</v>
      </c>
      <c r="N412" t="n">
        <v>0</v>
      </c>
      <c r="O412" t="n">
        <v>0</v>
      </c>
      <c r="P412" t="n">
        <v>0</v>
      </c>
      <c r="Q412" t="n">
        <v>0</v>
      </c>
      <c r="R412" t="n">
        <v>0</v>
      </c>
      <c r="S412" t="n">
        <v>0</v>
      </c>
      <c r="T412" t="n">
        <v>0</v>
      </c>
      <c r="U412" s="2" t="inlineStr"/>
    </row>
    <row r="413" ht="15" customHeight="1">
      <c r="A413" t="inlineStr">
        <is>
          <t>A 41653-2024</t>
        </is>
      </c>
      <c r="B413" t="inlineStr">
        <is>
          <t>avverkningsanmälan</t>
        </is>
      </c>
      <c r="C413" t="inlineStr">
        <is>
          <t>Avverkning för annat ändamål</t>
        </is>
      </c>
      <c r="D413" s="1" t="n">
        <v>45560</v>
      </c>
      <c r="E413" s="1" t="n">
        <v>46222</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41686-2024</t>
        </is>
      </c>
      <c r="B414" t="inlineStr">
        <is>
          <t>avverkningsanmälan</t>
        </is>
      </c>
      <c r="C414" t="inlineStr">
        <is>
          <t>Avverkning för annat ändamål</t>
        </is>
      </c>
      <c r="D414" s="1" t="n">
        <v>45560</v>
      </c>
      <c r="E414" s="1" t="n">
        <v>46222</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50344-2024</t>
        </is>
      </c>
      <c r="B415" t="inlineStr">
        <is>
          <t>avverkningsanmälan</t>
        </is>
      </c>
      <c r="C415" t="inlineStr">
        <is>
          <t>Föryngringsavverkning</t>
        </is>
      </c>
      <c r="D415" s="1" t="n">
        <v>45600</v>
      </c>
      <c r="E415" s="1" t="n">
        <v>46222</v>
      </c>
      <c r="F415" t="inlineStr">
        <is>
          <t>JÄMTLANDS LÄN</t>
        </is>
      </c>
      <c r="G415" t="inlineStr">
        <is>
          <t>ÅRE</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59325-2024</t>
        </is>
      </c>
      <c r="B416" t="inlineStr">
        <is>
          <t>avverkningsanmälan</t>
        </is>
      </c>
      <c r="C416" t="inlineStr">
        <is>
          <t>Avverkning för annat ändamål</t>
        </is>
      </c>
      <c r="D416" s="1" t="n">
        <v>45636</v>
      </c>
      <c r="E416" s="1" t="n">
        <v>46222</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4272-2025</t>
        </is>
      </c>
      <c r="B417" t="inlineStr">
        <is>
          <t>avverkningsanmälan</t>
        </is>
      </c>
      <c r="C417" t="inlineStr">
        <is>
          <t>Föryngringsavverkning</t>
        </is>
      </c>
      <c r="D417" s="1" t="n">
        <v>45685</v>
      </c>
      <c r="E417" s="1" t="n">
        <v>46222</v>
      </c>
      <c r="F417" t="inlineStr">
        <is>
          <t>JÄMTLANDS LÄN</t>
        </is>
      </c>
      <c r="G417" t="inlineStr">
        <is>
          <t>ÅRE</t>
        </is>
      </c>
      <c r="H417" t="inlineStr">
        <is>
          <t>Övriga Aktiebolag</t>
        </is>
      </c>
      <c r="I417" t="n">
        <v>16.6</v>
      </c>
      <c r="J417" t="n">
        <v>0</v>
      </c>
      <c r="K417" t="n">
        <v>0</v>
      </c>
      <c r="L417" t="n">
        <v>0</v>
      </c>
      <c r="M417" t="n">
        <v>0</v>
      </c>
      <c r="N417" t="n">
        <v>0</v>
      </c>
      <c r="O417" t="n">
        <v>0</v>
      </c>
      <c r="P417" t="n">
        <v>0</v>
      </c>
      <c r="Q417" t="n">
        <v>0</v>
      </c>
      <c r="R417" t="n">
        <v>0</v>
      </c>
      <c r="S417" t="n">
        <v>0</v>
      </c>
      <c r="T417" t="n">
        <v>0</v>
      </c>
      <c r="U417" s="2" t="inlineStr"/>
    </row>
    <row r="418" ht="15" customHeight="1">
      <c r="A418" t="inlineStr">
        <is>
          <t>A 45605-2025</t>
        </is>
      </c>
      <c r="B418" t="inlineStr">
        <is>
          <t>avverkningsanmälan</t>
        </is>
      </c>
      <c r="C418" t="inlineStr">
        <is>
          <t>Föryngringsavverkning</t>
        </is>
      </c>
      <c r="D418" s="1" t="n">
        <v>45922</v>
      </c>
      <c r="E418" s="1" t="n">
        <v>46222</v>
      </c>
      <c r="F418" t="inlineStr">
        <is>
          <t>JÄMTLANDS LÄN</t>
        </is>
      </c>
      <c r="G418" t="inlineStr">
        <is>
          <t>ÅRE</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5923-2022</t>
        </is>
      </c>
      <c r="B419" t="inlineStr">
        <is>
          <t>avverkningsanmälan</t>
        </is>
      </c>
      <c r="C419" t="inlineStr">
        <is>
          <t>Föryngringsavverkning</t>
        </is>
      </c>
      <c r="D419" s="1" t="n">
        <v>44598</v>
      </c>
      <c r="E419" s="1" t="n">
        <v>46222</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46788-2024</t>
        </is>
      </c>
      <c r="B420" t="inlineStr">
        <is>
          <t>avverkningsanmälan</t>
        </is>
      </c>
      <c r="C420" t="inlineStr">
        <is>
          <t>Avverkning för annat ändamål</t>
        </is>
      </c>
      <c r="D420" s="1" t="n">
        <v>45583</v>
      </c>
      <c r="E420" s="1" t="n">
        <v>46222</v>
      </c>
      <c r="F420" t="inlineStr">
        <is>
          <t>JÄMTLANDS LÄN</t>
        </is>
      </c>
      <c r="G420" t="inlineStr">
        <is>
          <t>ÅRE</t>
        </is>
      </c>
      <c r="H420" t="inlineStr">
        <is>
          <t>Övriga Aktiebolag</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60973-2023</t>
        </is>
      </c>
      <c r="B421" t="inlineStr">
        <is>
          <t>avverkningsanmälan</t>
        </is>
      </c>
      <c r="C421" t="inlineStr">
        <is>
          <t>Föryngringsavverkning</t>
        </is>
      </c>
      <c r="D421" s="1" t="n">
        <v>45261</v>
      </c>
      <c r="E421" s="1" t="n">
        <v>46222</v>
      </c>
      <c r="F421" t="inlineStr">
        <is>
          <t>JÄMTLANDS LÄN</t>
        </is>
      </c>
      <c r="G421" t="inlineStr">
        <is>
          <t>ÅRE</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20809-2026</t>
        </is>
      </c>
      <c r="B422" t="inlineStr">
        <is>
          <t>avverkningsanmälan</t>
        </is>
      </c>
      <c r="C422" t="inlineStr">
        <is>
          <t>Föryngringsavverkning</t>
        </is>
      </c>
      <c r="D422" s="1" t="n">
        <v>46141</v>
      </c>
      <c r="E422" s="1" t="n">
        <v>46222</v>
      </c>
      <c r="F422" t="inlineStr">
        <is>
          <t>JÄMTLANDS LÄN</t>
        </is>
      </c>
      <c r="G422" t="inlineStr">
        <is>
          <t>ÅRE</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26653-2026</t>
        </is>
      </c>
      <c r="B423" t="inlineStr">
        <is>
          <t>avverkningsanmälan</t>
        </is>
      </c>
      <c r="C423" t="inlineStr">
        <is>
          <t>Föryngringsavverkning</t>
        </is>
      </c>
      <c r="D423" s="1" t="n">
        <v>46184</v>
      </c>
      <c r="E423" s="1" t="n">
        <v>46222</v>
      </c>
      <c r="F423" t="inlineStr">
        <is>
          <t>JÄMTLANDS LÄN</t>
        </is>
      </c>
      <c r="G423" t="inlineStr">
        <is>
          <t>ÅRE</t>
        </is>
      </c>
      <c r="I423" t="n">
        <v>2.9</v>
      </c>
      <c r="J423" t="n">
        <v>0</v>
      </c>
      <c r="K423" t="n">
        <v>0</v>
      </c>
      <c r="L423" t="n">
        <v>0</v>
      </c>
      <c r="M423" t="n">
        <v>0</v>
      </c>
      <c r="N423" t="n">
        <v>0</v>
      </c>
      <c r="O423" t="n">
        <v>0</v>
      </c>
      <c r="P423" t="n">
        <v>0</v>
      </c>
      <c r="Q423" t="n">
        <v>0</v>
      </c>
      <c r="R423" t="n">
        <v>0</v>
      </c>
      <c r="S423" t="n">
        <v>0</v>
      </c>
      <c r="T423" t="n">
        <v>0</v>
      </c>
      <c r="U423" s="2" t="inlineStr"/>
    </row>
    <row r="424" ht="15" customHeight="1">
      <c r="A424" t="inlineStr">
        <is>
          <t>A 278-2023</t>
        </is>
      </c>
      <c r="B424" t="inlineStr">
        <is>
          <t>avverkningsanmälan</t>
        </is>
      </c>
      <c r="C424" t="inlineStr">
        <is>
          <t>Avverkning för annat ändamål</t>
        </is>
      </c>
      <c r="D424" s="1" t="n">
        <v>44928</v>
      </c>
      <c r="E424" s="1" t="n">
        <v>46222</v>
      </c>
      <c r="F424" t="inlineStr">
        <is>
          <t>JÄMTLANDS LÄN</t>
        </is>
      </c>
      <c r="G424" t="inlineStr">
        <is>
          <t>ÅRE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60585-2025</t>
        </is>
      </c>
      <c r="B425" t="inlineStr">
        <is>
          <t>avverkningsanmälan</t>
        </is>
      </c>
      <c r="C425" t="inlineStr">
        <is>
          <t>Föryngringsavverkning</t>
        </is>
      </c>
      <c r="D425" s="1" t="n">
        <v>45996</v>
      </c>
      <c r="E425" s="1" t="n">
        <v>46222</v>
      </c>
      <c r="F425" t="inlineStr">
        <is>
          <t>JÄMTLANDS LÄN</t>
        </is>
      </c>
      <c r="G425" t="inlineStr">
        <is>
          <t>ÅRE</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18849-2022</t>
        </is>
      </c>
      <c r="B426" t="inlineStr">
        <is>
          <t>avverkningsanmälan</t>
        </is>
      </c>
      <c r="C426" t="inlineStr">
        <is>
          <t>Föryngringsavverkning</t>
        </is>
      </c>
      <c r="D426" s="1" t="n">
        <v>44690</v>
      </c>
      <c r="E426" s="1" t="n">
        <v>46222</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s="2" t="inlineStr"/>
    </row>
    <row r="427" ht="15" customHeight="1">
      <c r="A427" t="inlineStr">
        <is>
          <t>A 23118-2022</t>
        </is>
      </c>
      <c r="B427" t="inlineStr">
        <is>
          <t>avverkningsanmälan</t>
        </is>
      </c>
      <c r="C427" t="inlineStr">
        <is>
          <t>Föryngringsavverkning</t>
        </is>
      </c>
      <c r="D427" s="1" t="n">
        <v>44719</v>
      </c>
      <c r="E427" s="1" t="n">
        <v>46222</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s="2" t="inlineStr"/>
    </row>
    <row r="428" ht="15" customHeight="1">
      <c r="A428" t="inlineStr">
        <is>
          <t>A 51277-2023</t>
        </is>
      </c>
      <c r="B428" t="inlineStr">
        <is>
          <t>avverkningsanmälan</t>
        </is>
      </c>
      <c r="C428" t="inlineStr">
        <is>
          <t>Avverkning för annat ändamål</t>
        </is>
      </c>
      <c r="D428" s="1" t="n">
        <v>45219</v>
      </c>
      <c r="E428" s="1" t="n">
        <v>46222</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51282-2023</t>
        </is>
      </c>
      <c r="B429" t="inlineStr">
        <is>
          <t>avverkningsanmälan</t>
        </is>
      </c>
      <c r="C429" t="inlineStr">
        <is>
          <t>Avverkning för annat ändamål</t>
        </is>
      </c>
      <c r="D429" s="1" t="n">
        <v>45219</v>
      </c>
      <c r="E429" s="1" t="n">
        <v>46222</v>
      </c>
      <c r="F429" t="inlineStr">
        <is>
          <t>JÄMTLANDS LÄN</t>
        </is>
      </c>
      <c r="G429" t="inlineStr">
        <is>
          <t>ÅRE</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36234-2023</t>
        </is>
      </c>
      <c r="B430" t="inlineStr">
        <is>
          <t>avverkningsanmälan</t>
        </is>
      </c>
      <c r="C430" t="inlineStr">
        <is>
          <t>Avverkning för annat ändamål</t>
        </is>
      </c>
      <c r="D430" s="1" t="n">
        <v>45150</v>
      </c>
      <c r="E430" s="1" t="n">
        <v>46222</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61355-2025</t>
        </is>
      </c>
      <c r="B431" t="inlineStr">
        <is>
          <t>avverkningsanmälan</t>
        </is>
      </c>
      <c r="C431" t="inlineStr">
        <is>
          <t>Föryngringsavverkning</t>
        </is>
      </c>
      <c r="D431" s="1" t="n">
        <v>46001</v>
      </c>
      <c r="E431" s="1" t="n">
        <v>46222</v>
      </c>
      <c r="F431" t="inlineStr">
        <is>
          <t>JÄMTLANDS LÄN</t>
        </is>
      </c>
      <c r="G431" t="inlineStr">
        <is>
          <t>ÅRE</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59916-2023</t>
        </is>
      </c>
      <c r="B432" t="inlineStr">
        <is>
          <t>avverkningsanmälan</t>
        </is>
      </c>
      <c r="C432" t="inlineStr">
        <is>
          <t>Föryngringsavverkning</t>
        </is>
      </c>
      <c r="D432" s="1" t="n">
        <v>45257</v>
      </c>
      <c r="E432" s="1" t="n">
        <v>46222</v>
      </c>
      <c r="F432" t="inlineStr">
        <is>
          <t>JÄMTLANDS LÄN</t>
        </is>
      </c>
      <c r="G432" t="inlineStr">
        <is>
          <t>ÅRE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21140-2026</t>
        </is>
      </c>
      <c r="B433" t="inlineStr">
        <is>
          <t>avverkningsanmälan</t>
        </is>
      </c>
      <c r="C433" t="inlineStr">
        <is>
          <t>Föryngringsavverkning</t>
        </is>
      </c>
      <c r="D433" s="1" t="n">
        <v>46146</v>
      </c>
      <c r="E433" s="1" t="n">
        <v>46222</v>
      </c>
      <c r="F433" t="inlineStr">
        <is>
          <t>JÄMTLANDS LÄN</t>
        </is>
      </c>
      <c r="G433" t="inlineStr">
        <is>
          <t>ÅRE</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47664-2022</t>
        </is>
      </c>
      <c r="B434" t="inlineStr">
        <is>
          <t>avverkningsanmälan</t>
        </is>
      </c>
      <c r="C434" t="inlineStr">
        <is>
          <t>Föryngringsavverkning</t>
        </is>
      </c>
      <c r="D434" s="1" t="n">
        <v>44854</v>
      </c>
      <c r="E434" s="1" t="n">
        <v>46222</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57448-2023</t>
        </is>
      </c>
      <c r="B435" t="inlineStr">
        <is>
          <t>avverkningsanmälan</t>
        </is>
      </c>
      <c r="C435" t="inlineStr">
        <is>
          <t>Föryngringsavverkning</t>
        </is>
      </c>
      <c r="D435" s="1" t="n">
        <v>45246</v>
      </c>
      <c r="E435" s="1" t="n">
        <v>46222</v>
      </c>
      <c r="F435" t="inlineStr">
        <is>
          <t>JÄMTLANDS LÄN</t>
        </is>
      </c>
      <c r="G435" t="inlineStr">
        <is>
          <t>ÅRE</t>
        </is>
      </c>
      <c r="I435" t="n">
        <v>11.9</v>
      </c>
      <c r="J435" t="n">
        <v>0</v>
      </c>
      <c r="K435" t="n">
        <v>0</v>
      </c>
      <c r="L435" t="n">
        <v>0</v>
      </c>
      <c r="M435" t="n">
        <v>0</v>
      </c>
      <c r="N435" t="n">
        <v>0</v>
      </c>
      <c r="O435" t="n">
        <v>0</v>
      </c>
      <c r="P435" t="n">
        <v>0</v>
      </c>
      <c r="Q435" t="n">
        <v>0</v>
      </c>
      <c r="R435" t="n">
        <v>0</v>
      </c>
      <c r="S435" t="n">
        <v>0</v>
      </c>
      <c r="T435" t="n">
        <v>0</v>
      </c>
      <c r="U435" s="2" t="inlineStr"/>
    </row>
    <row r="436" ht="15" customHeight="1">
      <c r="A436" t="inlineStr">
        <is>
          <t>A 42136-2022</t>
        </is>
      </c>
      <c r="B436" t="inlineStr">
        <is>
          <t>avverkningsanmälan</t>
        </is>
      </c>
      <c r="C436" t="inlineStr">
        <is>
          <t>Föryngringsavverkning</t>
        </is>
      </c>
      <c r="D436" s="1" t="n">
        <v>44830</v>
      </c>
      <c r="E436" s="1" t="n">
        <v>46222</v>
      </c>
      <c r="F436" t="inlineStr">
        <is>
          <t>JÄMTLANDS LÄN</t>
        </is>
      </c>
      <c r="G436" t="inlineStr">
        <is>
          <t>ÅRE</t>
        </is>
      </c>
      <c r="H436" t="inlineStr">
        <is>
          <t>Bergvik skog öst AB</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1159-2023</t>
        </is>
      </c>
      <c r="B437" t="inlineStr">
        <is>
          <t>avverkningsanmälan</t>
        </is>
      </c>
      <c r="C437" t="inlineStr">
        <is>
          <t>Föryngringsavverkning</t>
        </is>
      </c>
      <c r="D437" s="1" t="n">
        <v>44935</v>
      </c>
      <c r="E437" s="1" t="n">
        <v>46222</v>
      </c>
      <c r="F437" t="inlineStr">
        <is>
          <t>JÄMTLANDS LÄN</t>
        </is>
      </c>
      <c r="G437" t="inlineStr">
        <is>
          <t>ÅRE</t>
        </is>
      </c>
      <c r="I437" t="n">
        <v>6.4</v>
      </c>
      <c r="J437" t="n">
        <v>0</v>
      </c>
      <c r="K437" t="n">
        <v>0</v>
      </c>
      <c r="L437" t="n">
        <v>0</v>
      </c>
      <c r="M437" t="n">
        <v>0</v>
      </c>
      <c r="N437" t="n">
        <v>0</v>
      </c>
      <c r="O437" t="n">
        <v>0</v>
      </c>
      <c r="P437" t="n">
        <v>0</v>
      </c>
      <c r="Q437" t="n">
        <v>0</v>
      </c>
      <c r="R437" t="n">
        <v>0</v>
      </c>
      <c r="S437" t="n">
        <v>0</v>
      </c>
      <c r="T437" t="n">
        <v>0</v>
      </c>
      <c r="U437" s="2" t="inlineStr"/>
    </row>
    <row r="438" ht="15" customHeight="1">
      <c r="A438" t="inlineStr">
        <is>
          <t>A 58508-2023</t>
        </is>
      </c>
      <c r="B438" t="inlineStr">
        <is>
          <t>avverkningsanmälan</t>
        </is>
      </c>
      <c r="C438" t="inlineStr">
        <is>
          <t>Föryngringsavverkning</t>
        </is>
      </c>
      <c r="D438" s="1" t="n">
        <v>45246</v>
      </c>
      <c r="E438" s="1" t="n">
        <v>46222</v>
      </c>
      <c r="F438" t="inlineStr">
        <is>
          <t>JÄMTLANDS LÄN</t>
        </is>
      </c>
      <c r="G438" t="inlineStr">
        <is>
          <t>ÅRE</t>
        </is>
      </c>
      <c r="I438" t="n">
        <v>21.8</v>
      </c>
      <c r="J438" t="n">
        <v>0</v>
      </c>
      <c r="K438" t="n">
        <v>0</v>
      </c>
      <c r="L438" t="n">
        <v>0</v>
      </c>
      <c r="M438" t="n">
        <v>0</v>
      </c>
      <c r="N438" t="n">
        <v>0</v>
      </c>
      <c r="O438" t="n">
        <v>0</v>
      </c>
      <c r="P438" t="n">
        <v>0</v>
      </c>
      <c r="Q438" t="n">
        <v>0</v>
      </c>
      <c r="R438" t="n">
        <v>0</v>
      </c>
      <c r="S438" t="n">
        <v>0</v>
      </c>
      <c r="T438" t="n">
        <v>0</v>
      </c>
      <c r="U438" s="2" t="inlineStr"/>
    </row>
    <row r="439" ht="15" customHeight="1">
      <c r="A439" t="inlineStr">
        <is>
          <t>A 21312-2026</t>
        </is>
      </c>
      <c r="B439" t="inlineStr">
        <is>
          <t>avverkningsanmälan</t>
        </is>
      </c>
      <c r="C439" t="inlineStr">
        <is>
          <t>Föryngringsavverkning</t>
        </is>
      </c>
      <c r="D439" s="1" t="n">
        <v>46147</v>
      </c>
      <c r="E439" s="1" t="n">
        <v>46222</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27861-2026</t>
        </is>
      </c>
      <c r="B440" t="inlineStr">
        <is>
          <t>avverkningsanmälan</t>
        </is>
      </c>
      <c r="C440" t="inlineStr">
        <is>
          <t>Föryngringsavverkning</t>
        </is>
      </c>
      <c r="D440" s="1" t="n">
        <v>46189</v>
      </c>
      <c r="E440" s="1" t="n">
        <v>46222</v>
      </c>
      <c r="F440" t="inlineStr">
        <is>
          <t>JÄMTLANDS LÄN</t>
        </is>
      </c>
      <c r="G440" t="inlineStr">
        <is>
          <t>ÅRE</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27866-2026</t>
        </is>
      </c>
      <c r="B441" t="inlineStr">
        <is>
          <t>avverkningsanmälan</t>
        </is>
      </c>
      <c r="C441" t="inlineStr">
        <is>
          <t>Föryngringsavverkning</t>
        </is>
      </c>
      <c r="D441" s="1" t="n">
        <v>46189</v>
      </c>
      <c r="E441" s="1" t="n">
        <v>46222</v>
      </c>
      <c r="F441" t="inlineStr">
        <is>
          <t>JÄMTLANDS LÄN</t>
        </is>
      </c>
      <c r="G441" t="inlineStr">
        <is>
          <t>ÅRE</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12292-2023</t>
        </is>
      </c>
      <c r="B442" t="inlineStr">
        <is>
          <t>avverkningsanmälan</t>
        </is>
      </c>
      <c r="C442" t="inlineStr">
        <is>
          <t>Föryngringsavverkning</t>
        </is>
      </c>
      <c r="D442" s="1" t="n">
        <v>44998</v>
      </c>
      <c r="E442" s="1" t="n">
        <v>46222</v>
      </c>
      <c r="F442" t="inlineStr">
        <is>
          <t>JÄMTLANDS LÄN</t>
        </is>
      </c>
      <c r="G442" t="inlineStr">
        <is>
          <t>ÅRE</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12294-2023</t>
        </is>
      </c>
      <c r="B443" t="inlineStr">
        <is>
          <t>avverkningsanmälan</t>
        </is>
      </c>
      <c r="C443" t="inlineStr">
        <is>
          <t>Föryngringsavverkning</t>
        </is>
      </c>
      <c r="D443" s="1" t="n">
        <v>44998</v>
      </c>
      <c r="E443" s="1" t="n">
        <v>46222</v>
      </c>
      <c r="F443" t="inlineStr">
        <is>
          <t>JÄMTLANDS LÄN</t>
        </is>
      </c>
      <c r="G443" t="inlineStr">
        <is>
          <t>ÅRE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57150-2021</t>
        </is>
      </c>
      <c r="B444" t="inlineStr">
        <is>
          <t>avverkningsanmälan</t>
        </is>
      </c>
      <c r="C444" t="inlineStr">
        <is>
          <t>Avverkning för annat ändamål</t>
        </is>
      </c>
      <c r="D444" s="1" t="n">
        <v>44482</v>
      </c>
      <c r="E444" s="1" t="n">
        <v>46222</v>
      </c>
      <c r="F444" t="inlineStr">
        <is>
          <t>JÄMTLANDS LÄN</t>
        </is>
      </c>
      <c r="G444" t="inlineStr">
        <is>
          <t>ÅRE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32210-2022</t>
        </is>
      </c>
      <c r="B445" t="inlineStr">
        <is>
          <t>avverkningsanmälan</t>
        </is>
      </c>
      <c r="C445" t="inlineStr">
        <is>
          <t>Föryngringsavverkning</t>
        </is>
      </c>
      <c r="D445" s="1" t="n">
        <v>44781</v>
      </c>
      <c r="E445" s="1" t="n">
        <v>46222</v>
      </c>
      <c r="F445" t="inlineStr">
        <is>
          <t>JÄMTLANDS LÄN</t>
        </is>
      </c>
      <c r="G445" t="inlineStr">
        <is>
          <t>ÅRE</t>
        </is>
      </c>
      <c r="I445" t="n">
        <v>17.3</v>
      </c>
      <c r="J445" t="n">
        <v>0</v>
      </c>
      <c r="K445" t="n">
        <v>0</v>
      </c>
      <c r="L445" t="n">
        <v>0</v>
      </c>
      <c r="M445" t="n">
        <v>0</v>
      </c>
      <c r="N445" t="n">
        <v>0</v>
      </c>
      <c r="O445" t="n">
        <v>0</v>
      </c>
      <c r="P445" t="n">
        <v>0</v>
      </c>
      <c r="Q445" t="n">
        <v>0</v>
      </c>
      <c r="R445" t="n">
        <v>0</v>
      </c>
      <c r="S445" t="n">
        <v>0</v>
      </c>
      <c r="T445" t="n">
        <v>0</v>
      </c>
      <c r="U445" s="2" t="inlineStr"/>
    </row>
    <row r="446" ht="15" customHeight="1">
      <c r="A446" t="inlineStr">
        <is>
          <t>A 71968-2021</t>
        </is>
      </c>
      <c r="B446" t="inlineStr">
        <is>
          <t>avverkningsanmälan</t>
        </is>
      </c>
      <c r="C446" t="inlineStr">
        <is>
          <t>Föryngringsavverkning</t>
        </is>
      </c>
      <c r="D446" s="1" t="n">
        <v>44540</v>
      </c>
      <c r="E446" s="1" t="n">
        <v>46222</v>
      </c>
      <c r="F446" t="inlineStr">
        <is>
          <t>JÄMTLANDS LÄN</t>
        </is>
      </c>
      <c r="G446" t="inlineStr">
        <is>
          <t>ÅRE</t>
        </is>
      </c>
      <c r="I446" t="n">
        <v>7</v>
      </c>
      <c r="J446" t="n">
        <v>0</v>
      </c>
      <c r="K446" t="n">
        <v>0</v>
      </c>
      <c r="L446" t="n">
        <v>0</v>
      </c>
      <c r="M446" t="n">
        <v>0</v>
      </c>
      <c r="N446" t="n">
        <v>0</v>
      </c>
      <c r="O446" t="n">
        <v>0</v>
      </c>
      <c r="P446" t="n">
        <v>0</v>
      </c>
      <c r="Q446" t="n">
        <v>0</v>
      </c>
      <c r="R446" t="n">
        <v>0</v>
      </c>
      <c r="S446" t="n">
        <v>0</v>
      </c>
      <c r="T446" t="n">
        <v>0</v>
      </c>
      <c r="U446" s="2" t="inlineStr"/>
    </row>
    <row r="447" ht="15" customHeight="1">
      <c r="A447" t="inlineStr">
        <is>
          <t>A 33003-2022</t>
        </is>
      </c>
      <c r="B447" t="inlineStr">
        <is>
          <t>avverkningsanmälan</t>
        </is>
      </c>
      <c r="C447" t="inlineStr">
        <is>
          <t>Föryngringsavverkning</t>
        </is>
      </c>
      <c r="D447" s="1" t="n">
        <v>44784</v>
      </c>
      <c r="E447" s="1" t="n">
        <v>46222</v>
      </c>
      <c r="F447" t="inlineStr">
        <is>
          <t>JÄMTLANDS LÄN</t>
        </is>
      </c>
      <c r="G447" t="inlineStr">
        <is>
          <t>ÅRE</t>
        </is>
      </c>
      <c r="I447" t="n">
        <v>6.1</v>
      </c>
      <c r="J447" t="n">
        <v>0</v>
      </c>
      <c r="K447" t="n">
        <v>0</v>
      </c>
      <c r="L447" t="n">
        <v>0</v>
      </c>
      <c r="M447" t="n">
        <v>0</v>
      </c>
      <c r="N447" t="n">
        <v>0</v>
      </c>
      <c r="O447" t="n">
        <v>0</v>
      </c>
      <c r="P447" t="n">
        <v>0</v>
      </c>
      <c r="Q447" t="n">
        <v>0</v>
      </c>
      <c r="R447" t="n">
        <v>0</v>
      </c>
      <c r="S447" t="n">
        <v>0</v>
      </c>
      <c r="T447" t="n">
        <v>0</v>
      </c>
      <c r="U447" s="2" t="inlineStr"/>
    </row>
    <row r="448" ht="15" customHeight="1">
      <c r="A448" t="inlineStr">
        <is>
          <t>A 40341-2021</t>
        </is>
      </c>
      <c r="B448" t="inlineStr">
        <is>
          <t>avverkningsanmälan</t>
        </is>
      </c>
      <c r="C448" t="inlineStr">
        <is>
          <t>Föryngringsavverkning</t>
        </is>
      </c>
      <c r="D448" s="1" t="n">
        <v>44419</v>
      </c>
      <c r="E448" s="1" t="n">
        <v>46222</v>
      </c>
      <c r="F448" t="inlineStr">
        <is>
          <t>JÄMTLANDS LÄN</t>
        </is>
      </c>
      <c r="G448" t="inlineStr">
        <is>
          <t>ÅRE</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28363-2026</t>
        </is>
      </c>
      <c r="B449" t="inlineStr">
        <is>
          <t>avverkningsanmälan</t>
        </is>
      </c>
      <c r="C449" t="inlineStr">
        <is>
          <t>Föryngringsavverkning</t>
        </is>
      </c>
      <c r="D449" s="1" t="n">
        <v>46196</v>
      </c>
      <c r="E449" s="1" t="n">
        <v>46222</v>
      </c>
      <c r="F449" t="inlineStr">
        <is>
          <t>JÄMTLANDS LÄN</t>
        </is>
      </c>
      <c r="G449" t="inlineStr">
        <is>
          <t>ÅRE</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28367-2026</t>
        </is>
      </c>
      <c r="B450" t="inlineStr">
        <is>
          <t>avverkningsanmälan</t>
        </is>
      </c>
      <c r="C450" t="inlineStr">
        <is>
          <t>Föryngringsavverkning</t>
        </is>
      </c>
      <c r="D450" s="1" t="n">
        <v>46196</v>
      </c>
      <c r="E450" s="1" t="n">
        <v>46222</v>
      </c>
      <c r="F450" t="inlineStr">
        <is>
          <t>JÄMTLANDS LÄN</t>
        </is>
      </c>
      <c r="G450" t="inlineStr">
        <is>
          <t>ÅRE</t>
        </is>
      </c>
      <c r="I450" t="n">
        <v>3.6</v>
      </c>
      <c r="J450" t="n">
        <v>0</v>
      </c>
      <c r="K450" t="n">
        <v>0</v>
      </c>
      <c r="L450" t="n">
        <v>0</v>
      </c>
      <c r="M450" t="n">
        <v>0</v>
      </c>
      <c r="N450" t="n">
        <v>0</v>
      </c>
      <c r="O450" t="n">
        <v>0</v>
      </c>
      <c r="P450" t="n">
        <v>0</v>
      </c>
      <c r="Q450" t="n">
        <v>0</v>
      </c>
      <c r="R450" t="n">
        <v>0</v>
      </c>
      <c r="S450" t="n">
        <v>0</v>
      </c>
      <c r="T450" t="n">
        <v>0</v>
      </c>
      <c r="U450" s="2" t="inlineStr"/>
    </row>
    <row r="451" ht="15" customHeight="1">
      <c r="A451" t="inlineStr">
        <is>
          <t>A 48599-2023</t>
        </is>
      </c>
      <c r="B451" t="inlineStr">
        <is>
          <t>avverkningsanmälan</t>
        </is>
      </c>
      <c r="C451" t="inlineStr">
        <is>
          <t>Avverkning för annat ändamål</t>
        </is>
      </c>
      <c r="D451" s="1" t="n">
        <v>45208</v>
      </c>
      <c r="E451" s="1" t="n">
        <v>46222</v>
      </c>
      <c r="F451" t="inlineStr">
        <is>
          <t>JÄMTLANDS LÄN</t>
        </is>
      </c>
      <c r="G451" t="inlineStr">
        <is>
          <t>ÅRE</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28372-2026</t>
        </is>
      </c>
      <c r="B452" t="inlineStr">
        <is>
          <t>avverkningsanmälan</t>
        </is>
      </c>
      <c r="C452" t="inlineStr">
        <is>
          <t>Föryngringsavverkning</t>
        </is>
      </c>
      <c r="D452" s="1" t="n">
        <v>46196</v>
      </c>
      <c r="E452" s="1" t="n">
        <v>46222</v>
      </c>
      <c r="F452" t="inlineStr">
        <is>
          <t>JÄMTLANDS LÄN</t>
        </is>
      </c>
      <c r="G452" t="inlineStr">
        <is>
          <t>ÅRE</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20160-2025</t>
        </is>
      </c>
      <c r="B453" t="inlineStr">
        <is>
          <t>avverkningsanmälan</t>
        </is>
      </c>
      <c r="C453" t="inlineStr">
        <is>
          <t>Avverkning för annat ändamål</t>
        </is>
      </c>
      <c r="D453" s="1" t="n">
        <v>45772</v>
      </c>
      <c r="E453" s="1" t="n">
        <v>46222</v>
      </c>
      <c r="F453" t="inlineStr">
        <is>
          <t>JÄMTLANDS LÄN</t>
        </is>
      </c>
      <c r="G453" t="inlineStr">
        <is>
          <t>ÅRE</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59215-2024</t>
        </is>
      </c>
      <c r="B454" t="inlineStr">
        <is>
          <t>avverkningsanmälan</t>
        </is>
      </c>
      <c r="C454" t="inlineStr">
        <is>
          <t>Avverkning för annat ändamål</t>
        </is>
      </c>
      <c r="D454" s="1" t="n">
        <v>45636</v>
      </c>
      <c r="E454" s="1" t="n">
        <v>46222</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58940-2021</t>
        </is>
      </c>
      <c r="B455" t="inlineStr">
        <is>
          <t>avverkningsanmälan</t>
        </is>
      </c>
      <c r="C455" t="inlineStr">
        <is>
          <t>Föryngringsavverkning</t>
        </is>
      </c>
      <c r="D455" s="1" t="n">
        <v>44489</v>
      </c>
      <c r="E455" s="1" t="n">
        <v>46222</v>
      </c>
      <c r="F455" t="inlineStr">
        <is>
          <t>JÄMTLANDS LÄN</t>
        </is>
      </c>
      <c r="G455" t="inlineStr">
        <is>
          <t>ÅRE</t>
        </is>
      </c>
      <c r="I455" t="n">
        <v>5.8</v>
      </c>
      <c r="J455" t="n">
        <v>0</v>
      </c>
      <c r="K455" t="n">
        <v>0</v>
      </c>
      <c r="L455" t="n">
        <v>0</v>
      </c>
      <c r="M455" t="n">
        <v>0</v>
      </c>
      <c r="N455" t="n">
        <v>0</v>
      </c>
      <c r="O455" t="n">
        <v>0</v>
      </c>
      <c r="P455" t="n">
        <v>0</v>
      </c>
      <c r="Q455" t="n">
        <v>0</v>
      </c>
      <c r="R455" t="n">
        <v>0</v>
      </c>
      <c r="S455" t="n">
        <v>0</v>
      </c>
      <c r="T455" t="n">
        <v>0</v>
      </c>
      <c r="U455" s="2" t="inlineStr"/>
    </row>
    <row r="456" ht="15" customHeight="1">
      <c r="A456" t="inlineStr">
        <is>
          <t>A 28239-2026</t>
        </is>
      </c>
      <c r="B456" t="inlineStr">
        <is>
          <t>avverkningsanmälan</t>
        </is>
      </c>
      <c r="C456" t="inlineStr">
        <is>
          <t>Föryngringsavverkning</t>
        </is>
      </c>
      <c r="D456" s="1" t="n">
        <v>46196</v>
      </c>
      <c r="E456" s="1" t="n">
        <v>46222</v>
      </c>
      <c r="F456" t="inlineStr">
        <is>
          <t>JÄMTLANDS LÄN</t>
        </is>
      </c>
      <c r="G456" t="inlineStr">
        <is>
          <t>ÅRE</t>
        </is>
      </c>
      <c r="I456" t="n">
        <v>7.6</v>
      </c>
      <c r="J456" t="n">
        <v>0</v>
      </c>
      <c r="K456" t="n">
        <v>0</v>
      </c>
      <c r="L456" t="n">
        <v>0</v>
      </c>
      <c r="M456" t="n">
        <v>0</v>
      </c>
      <c r="N456" t="n">
        <v>0</v>
      </c>
      <c r="O456" t="n">
        <v>0</v>
      </c>
      <c r="P456" t="n">
        <v>0</v>
      </c>
      <c r="Q456" t="n">
        <v>0</v>
      </c>
      <c r="R456" t="n">
        <v>0</v>
      </c>
      <c r="S456" t="n">
        <v>0</v>
      </c>
      <c r="T456" t="n">
        <v>0</v>
      </c>
      <c r="U456" s="2" t="inlineStr"/>
    </row>
    <row r="457" ht="15" customHeight="1">
      <c r="A457" t="inlineStr">
        <is>
          <t>A 12179-2023</t>
        </is>
      </c>
      <c r="B457" t="inlineStr">
        <is>
          <t>avverkningsanmälan</t>
        </is>
      </c>
      <c r="C457" t="inlineStr">
        <is>
          <t>Föryngringsavverkning</t>
        </is>
      </c>
      <c r="D457" s="1" t="n">
        <v>44998</v>
      </c>
      <c r="E457" s="1" t="n">
        <v>46222</v>
      </c>
      <c r="F457" t="inlineStr">
        <is>
          <t>JÄMTLANDS LÄN</t>
        </is>
      </c>
      <c r="G457" t="inlineStr">
        <is>
          <t>ÅRE</t>
        </is>
      </c>
      <c r="I457" t="n">
        <v>8.5</v>
      </c>
      <c r="J457" t="n">
        <v>0</v>
      </c>
      <c r="K457" t="n">
        <v>0</v>
      </c>
      <c r="L457" t="n">
        <v>0</v>
      </c>
      <c r="M457" t="n">
        <v>0</v>
      </c>
      <c r="N457" t="n">
        <v>0</v>
      </c>
      <c r="O457" t="n">
        <v>0</v>
      </c>
      <c r="P457" t="n">
        <v>0</v>
      </c>
      <c r="Q457" t="n">
        <v>0</v>
      </c>
      <c r="R457" t="n">
        <v>0</v>
      </c>
      <c r="S457" t="n">
        <v>0</v>
      </c>
      <c r="T457" t="n">
        <v>0</v>
      </c>
      <c r="U457" s="2" t="inlineStr"/>
    </row>
    <row r="458" ht="15" customHeight="1">
      <c r="A458" t="inlineStr">
        <is>
          <t>A 61566-2021</t>
        </is>
      </c>
      <c r="B458" t="inlineStr">
        <is>
          <t>avverkningsanmälan</t>
        </is>
      </c>
      <c r="C458" t="inlineStr">
        <is>
          <t>Föryngringsavverkning</t>
        </is>
      </c>
      <c r="D458" s="1" t="n">
        <v>44496</v>
      </c>
      <c r="E458" s="1" t="n">
        <v>46222</v>
      </c>
      <c r="F458" t="inlineStr">
        <is>
          <t>JÄMTLANDS LÄN</t>
        </is>
      </c>
      <c r="G458" t="inlineStr">
        <is>
          <t>ÅRE</t>
        </is>
      </c>
      <c r="H458" t="inlineStr">
        <is>
          <t>Övriga statliga verk och myndigheter</t>
        </is>
      </c>
      <c r="I458" t="n">
        <v>10.9</v>
      </c>
      <c r="J458" t="n">
        <v>0</v>
      </c>
      <c r="K458" t="n">
        <v>0</v>
      </c>
      <c r="L458" t="n">
        <v>0</v>
      </c>
      <c r="M458" t="n">
        <v>0</v>
      </c>
      <c r="N458" t="n">
        <v>0</v>
      </c>
      <c r="O458" t="n">
        <v>0</v>
      </c>
      <c r="P458" t="n">
        <v>0</v>
      </c>
      <c r="Q458" t="n">
        <v>0</v>
      </c>
      <c r="R458" t="n">
        <v>0</v>
      </c>
      <c r="S458" t="n">
        <v>0</v>
      </c>
      <c r="T458" t="n">
        <v>0</v>
      </c>
      <c r="U458" s="2" t="inlineStr"/>
    </row>
    <row r="459" ht="15" customHeight="1">
      <c r="A459" t="inlineStr">
        <is>
          <t>A 61340-2022</t>
        </is>
      </c>
      <c r="B459" t="inlineStr">
        <is>
          <t>avverkningsanmälan</t>
        </is>
      </c>
      <c r="C459" t="inlineStr">
        <is>
          <t>Avverkning för annat ändamål</t>
        </is>
      </c>
      <c r="D459" s="1" t="n">
        <v>44909</v>
      </c>
      <c r="E459" s="1" t="n">
        <v>46222</v>
      </c>
      <c r="F459" t="inlineStr">
        <is>
          <t>JÄMTLANDS LÄN</t>
        </is>
      </c>
      <c r="G459" t="inlineStr">
        <is>
          <t>ÅRE</t>
        </is>
      </c>
      <c r="I459" t="n">
        <v>4.4</v>
      </c>
      <c r="J459" t="n">
        <v>0</v>
      </c>
      <c r="K459" t="n">
        <v>0</v>
      </c>
      <c r="L459" t="n">
        <v>0</v>
      </c>
      <c r="M459" t="n">
        <v>0</v>
      </c>
      <c r="N459" t="n">
        <v>0</v>
      </c>
      <c r="O459" t="n">
        <v>0</v>
      </c>
      <c r="P459" t="n">
        <v>0</v>
      </c>
      <c r="Q459" t="n">
        <v>0</v>
      </c>
      <c r="R459" t="n">
        <v>0</v>
      </c>
      <c r="S459" t="n">
        <v>0</v>
      </c>
      <c r="T459" t="n">
        <v>0</v>
      </c>
      <c r="U459" s="2" t="inlineStr"/>
    </row>
    <row r="460" ht="15" customHeight="1">
      <c r="A460" t="inlineStr">
        <is>
          <t>A 17599-2026</t>
        </is>
      </c>
      <c r="B460" t="inlineStr">
        <is>
          <t>avverkningsanmälan</t>
        </is>
      </c>
      <c r="C460" t="inlineStr">
        <is>
          <t>Föryngringsavverkning</t>
        </is>
      </c>
      <c r="D460" s="1" t="n">
        <v>46121</v>
      </c>
      <c r="E460" s="1" t="n">
        <v>46222</v>
      </c>
      <c r="F460" t="inlineStr">
        <is>
          <t>JÄMTLANDS LÄN</t>
        </is>
      </c>
      <c r="G460" t="inlineStr">
        <is>
          <t>ÅRE</t>
        </is>
      </c>
      <c r="I460" t="n">
        <v>149</v>
      </c>
      <c r="J460" t="n">
        <v>0</v>
      </c>
      <c r="K460" t="n">
        <v>0</v>
      </c>
      <c r="L460" t="n">
        <v>0</v>
      </c>
      <c r="M460" t="n">
        <v>0</v>
      </c>
      <c r="N460" t="n">
        <v>0</v>
      </c>
      <c r="O460" t="n">
        <v>0</v>
      </c>
      <c r="P460" t="n">
        <v>0</v>
      </c>
      <c r="Q460" t="n">
        <v>0</v>
      </c>
      <c r="R460" t="n">
        <v>0</v>
      </c>
      <c r="S460" t="n">
        <v>0</v>
      </c>
      <c r="T460" t="n">
        <v>0</v>
      </c>
      <c r="U460" s="2" t="inlineStr"/>
    </row>
    <row r="461" ht="15" customHeight="1">
      <c r="A461" t="inlineStr">
        <is>
          <t>A 5460-2023</t>
        </is>
      </c>
      <c r="B461" t="inlineStr">
        <is>
          <t>avverkningsanmälan</t>
        </is>
      </c>
      <c r="C461" t="inlineStr">
        <is>
          <t>Föryngringsavverkning</t>
        </is>
      </c>
      <c r="D461" s="1" t="n">
        <v>44960</v>
      </c>
      <c r="E461" s="1" t="n">
        <v>46222</v>
      </c>
      <c r="F461" t="inlineStr">
        <is>
          <t>JÄMTLANDS LÄN</t>
        </is>
      </c>
      <c r="G461" t="inlineStr">
        <is>
          <t>ÅRE</t>
        </is>
      </c>
      <c r="I461" t="n">
        <v>9.4</v>
      </c>
      <c r="J461" t="n">
        <v>0</v>
      </c>
      <c r="K461" t="n">
        <v>0</v>
      </c>
      <c r="L461" t="n">
        <v>0</v>
      </c>
      <c r="M461" t="n">
        <v>0</v>
      </c>
      <c r="N461" t="n">
        <v>0</v>
      </c>
      <c r="O461" t="n">
        <v>0</v>
      </c>
      <c r="P461" t="n">
        <v>0</v>
      </c>
      <c r="Q461" t="n">
        <v>0</v>
      </c>
      <c r="R461" t="n">
        <v>0</v>
      </c>
      <c r="S461" t="n">
        <v>0</v>
      </c>
      <c r="T461" t="n">
        <v>0</v>
      </c>
      <c r="U461" s="2" t="inlineStr"/>
    </row>
    <row r="462" ht="15" customHeight="1">
      <c r="A462" t="inlineStr">
        <is>
          <t>A 22689-2026</t>
        </is>
      </c>
      <c r="B462" t="inlineStr">
        <is>
          <t>avverkningsanmälan</t>
        </is>
      </c>
      <c r="C462" t="inlineStr">
        <is>
          <t>Föryngringsavverkning</t>
        </is>
      </c>
      <c r="D462" s="1" t="n">
        <v>46156</v>
      </c>
      <c r="E462" s="1" t="n">
        <v>46222</v>
      </c>
      <c r="F462" t="inlineStr">
        <is>
          <t>JÄMTLANDS LÄN</t>
        </is>
      </c>
      <c r="G462" t="inlineStr">
        <is>
          <t>ÅRE</t>
        </is>
      </c>
      <c r="I462" t="n">
        <v>3.4</v>
      </c>
      <c r="J462" t="n">
        <v>0</v>
      </c>
      <c r="K462" t="n">
        <v>0</v>
      </c>
      <c r="L462" t="n">
        <v>0</v>
      </c>
      <c r="M462" t="n">
        <v>0</v>
      </c>
      <c r="N462" t="n">
        <v>0</v>
      </c>
      <c r="O462" t="n">
        <v>0</v>
      </c>
      <c r="P462" t="n">
        <v>0</v>
      </c>
      <c r="Q462" t="n">
        <v>0</v>
      </c>
      <c r="R462" t="n">
        <v>0</v>
      </c>
      <c r="S462" t="n">
        <v>0</v>
      </c>
      <c r="T462" t="n">
        <v>0</v>
      </c>
      <c r="U462" s="2" t="inlineStr"/>
    </row>
    <row r="463" ht="15" customHeight="1">
      <c r="A463" t="inlineStr">
        <is>
          <t>A 61926-2022</t>
        </is>
      </c>
      <c r="B463" t="inlineStr">
        <is>
          <t>avverkningsanmälan</t>
        </is>
      </c>
      <c r="C463" t="inlineStr">
        <is>
          <t>Föryngringsavverkning</t>
        </is>
      </c>
      <c r="D463" s="1" t="n">
        <v>44917</v>
      </c>
      <c r="E463" s="1" t="n">
        <v>46222</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29299-2026</t>
        </is>
      </c>
      <c r="B464" t="inlineStr">
        <is>
          <t>avverkningsanmälan</t>
        </is>
      </c>
      <c r="C464" t="inlineStr">
        <is>
          <t>Föryngringsavverkning</t>
        </is>
      </c>
      <c r="D464" s="1" t="n">
        <v>46202</v>
      </c>
      <c r="E464" s="1" t="n">
        <v>46222</v>
      </c>
      <c r="F464" t="inlineStr">
        <is>
          <t>JÄMTLANDS LÄN</t>
        </is>
      </c>
      <c r="G464" t="inlineStr">
        <is>
          <t>ÅRE</t>
        </is>
      </c>
      <c r="I464" t="n">
        <v>10.3</v>
      </c>
      <c r="J464" t="n">
        <v>0</v>
      </c>
      <c r="K464" t="n">
        <v>0</v>
      </c>
      <c r="L464" t="n">
        <v>0</v>
      </c>
      <c r="M464" t="n">
        <v>0</v>
      </c>
      <c r="N464" t="n">
        <v>0</v>
      </c>
      <c r="O464" t="n">
        <v>0</v>
      </c>
      <c r="P464" t="n">
        <v>0</v>
      </c>
      <c r="Q464" t="n">
        <v>0</v>
      </c>
      <c r="R464" t="n">
        <v>0</v>
      </c>
      <c r="S464" t="n">
        <v>0</v>
      </c>
      <c r="T464" t="n">
        <v>0</v>
      </c>
      <c r="U464" s="2" t="inlineStr"/>
    </row>
    <row r="465" ht="15" customHeight="1">
      <c r="A465" t="inlineStr">
        <is>
          <t>A 22891-2026</t>
        </is>
      </c>
      <c r="B465" t="inlineStr">
        <is>
          <t>avverkningsanmälan</t>
        </is>
      </c>
      <c r="C465" t="inlineStr">
        <is>
          <t>Föryngringsavverkning</t>
        </is>
      </c>
      <c r="D465" s="1" t="n">
        <v>46160</v>
      </c>
      <c r="E465" s="1" t="n">
        <v>46222</v>
      </c>
      <c r="F465" t="inlineStr">
        <is>
          <t>JÄMTLANDS LÄN</t>
        </is>
      </c>
      <c r="G465" t="inlineStr">
        <is>
          <t>ÅRE</t>
        </is>
      </c>
      <c r="H465" t="inlineStr">
        <is>
          <t>Övriga Aktiebolag</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45796-2024</t>
        </is>
      </c>
      <c r="B466" t="inlineStr">
        <is>
          <t>avverkningsanmälan</t>
        </is>
      </c>
      <c r="C466" t="inlineStr">
        <is>
          <t>Föryngringsavverkning</t>
        </is>
      </c>
      <c r="D466" s="1" t="n">
        <v>45579</v>
      </c>
      <c r="E466" s="1" t="n">
        <v>46222</v>
      </c>
      <c r="F466" t="inlineStr">
        <is>
          <t>JÄMTLANDS LÄN</t>
        </is>
      </c>
      <c r="G466" t="inlineStr">
        <is>
          <t>ÅRE</t>
        </is>
      </c>
      <c r="I466" t="n">
        <v>5</v>
      </c>
      <c r="J466" t="n">
        <v>0</v>
      </c>
      <c r="K466" t="n">
        <v>0</v>
      </c>
      <c r="L466" t="n">
        <v>0</v>
      </c>
      <c r="M466" t="n">
        <v>0</v>
      </c>
      <c r="N466" t="n">
        <v>0</v>
      </c>
      <c r="O466" t="n">
        <v>0</v>
      </c>
      <c r="P466" t="n">
        <v>0</v>
      </c>
      <c r="Q466" t="n">
        <v>0</v>
      </c>
      <c r="R466" t="n">
        <v>0</v>
      </c>
      <c r="S466" t="n">
        <v>0</v>
      </c>
      <c r="T466" t="n">
        <v>0</v>
      </c>
      <c r="U466" s="2" t="inlineStr"/>
    </row>
    <row r="467" ht="15" customHeight="1">
      <c r="A467" t="inlineStr">
        <is>
          <t>A 22904-2026</t>
        </is>
      </c>
      <c r="B467" t="inlineStr">
        <is>
          <t>avverkningsanmälan</t>
        </is>
      </c>
      <c r="C467" t="inlineStr">
        <is>
          <t>Föryngringsavverkning</t>
        </is>
      </c>
      <c r="D467" s="1" t="n">
        <v>46160</v>
      </c>
      <c r="E467" s="1" t="n">
        <v>46222</v>
      </c>
      <c r="F467" t="inlineStr">
        <is>
          <t>JÄMTLANDS LÄN</t>
        </is>
      </c>
      <c r="G467" t="inlineStr">
        <is>
          <t>ÅRE</t>
        </is>
      </c>
      <c r="H467" t="inlineStr">
        <is>
          <t>Övriga Aktiebolag</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3263-2023</t>
        </is>
      </c>
      <c r="B468" t="inlineStr">
        <is>
          <t>avverkningsanmälan</t>
        </is>
      </c>
      <c r="C468" t="inlineStr">
        <is>
          <t>Föryngringsavverkning</t>
        </is>
      </c>
      <c r="D468" s="1" t="n">
        <v>44948</v>
      </c>
      <c r="E468" s="1" t="n">
        <v>46222</v>
      </c>
      <c r="F468" t="inlineStr">
        <is>
          <t>JÄMTLANDS LÄN</t>
        </is>
      </c>
      <c r="G468" t="inlineStr">
        <is>
          <t>ÅRE</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26032-2023</t>
        </is>
      </c>
      <c r="B469" t="inlineStr">
        <is>
          <t>avverkningsanmälan</t>
        </is>
      </c>
      <c r="C469" t="inlineStr">
        <is>
          <t>Föryngringsavverkning</t>
        </is>
      </c>
      <c r="D469" s="1" t="n">
        <v>45091</v>
      </c>
      <c r="E469" s="1" t="n">
        <v>46222</v>
      </c>
      <c r="F469" t="inlineStr">
        <is>
          <t>JÄMTLANDS LÄN</t>
        </is>
      </c>
      <c r="G469" t="inlineStr">
        <is>
          <t>ÅRE</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26033-2023</t>
        </is>
      </c>
      <c r="B470" t="inlineStr">
        <is>
          <t>avverkningsanmälan</t>
        </is>
      </c>
      <c r="C470" t="inlineStr">
        <is>
          <t>Föryngringsavverkning</t>
        </is>
      </c>
      <c r="D470" s="1" t="n">
        <v>45091</v>
      </c>
      <c r="E470" s="1" t="n">
        <v>46222</v>
      </c>
      <c r="F470" t="inlineStr">
        <is>
          <t>JÄMTLANDS LÄN</t>
        </is>
      </c>
      <c r="G470" t="inlineStr">
        <is>
          <t>ÅRE</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61524-2021</t>
        </is>
      </c>
      <c r="B471" t="inlineStr">
        <is>
          <t>avverkningsanmälan</t>
        </is>
      </c>
      <c r="C471" t="inlineStr">
        <is>
          <t>Avverkning för att bevara och utveckla /försöksver</t>
        </is>
      </c>
      <c r="D471" s="1" t="n">
        <v>44496</v>
      </c>
      <c r="E471" s="1" t="n">
        <v>46222</v>
      </c>
      <c r="F471" t="inlineStr">
        <is>
          <t>JÄMTLANDS LÄN</t>
        </is>
      </c>
      <c r="G471" t="inlineStr">
        <is>
          <t>ÅRE</t>
        </is>
      </c>
      <c r="H471" t="inlineStr">
        <is>
          <t>Övriga statliga verk och myndigheter</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73086-2021</t>
        </is>
      </c>
      <c r="B472" t="inlineStr">
        <is>
          <t>avverkningsanmälan</t>
        </is>
      </c>
      <c r="C472" t="inlineStr">
        <is>
          <t>Föryngringsavverkning</t>
        </is>
      </c>
      <c r="D472" s="1" t="n">
        <v>44550</v>
      </c>
      <c r="E472" s="1" t="n">
        <v>46222</v>
      </c>
      <c r="F472" t="inlineStr">
        <is>
          <t>JÄMTLANDS LÄN</t>
        </is>
      </c>
      <c r="G472" t="inlineStr">
        <is>
          <t>ÅRE</t>
        </is>
      </c>
      <c r="I472" t="n">
        <v>8.800000000000001</v>
      </c>
      <c r="J472" t="n">
        <v>0</v>
      </c>
      <c r="K472" t="n">
        <v>0</v>
      </c>
      <c r="L472" t="n">
        <v>0</v>
      </c>
      <c r="M472" t="n">
        <v>0</v>
      </c>
      <c r="N472" t="n">
        <v>0</v>
      </c>
      <c r="O472" t="n">
        <v>0</v>
      </c>
      <c r="P472" t="n">
        <v>0</v>
      </c>
      <c r="Q472" t="n">
        <v>0</v>
      </c>
      <c r="R472" t="n">
        <v>0</v>
      </c>
      <c r="S472" t="n">
        <v>0</v>
      </c>
      <c r="T472" t="n">
        <v>0</v>
      </c>
      <c r="U472" s="2" t="inlineStr"/>
    </row>
    <row r="473" ht="15" customHeight="1">
      <c r="A473" t="inlineStr">
        <is>
          <t>A 23045-2026</t>
        </is>
      </c>
      <c r="B473" t="inlineStr">
        <is>
          <t>avverkningsanmälan</t>
        </is>
      </c>
      <c r="C473" t="inlineStr">
        <is>
          <t>Föryngringsavverkning</t>
        </is>
      </c>
      <c r="D473" s="1" t="n">
        <v>46161</v>
      </c>
      <c r="E473" s="1" t="n">
        <v>46222</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44644-2025</t>
        </is>
      </c>
      <c r="B474" t="inlineStr">
        <is>
          <t>avverkningsanmälan</t>
        </is>
      </c>
      <c r="C474" t="inlineStr">
        <is>
          <t>Föryngringsavverkning</t>
        </is>
      </c>
      <c r="D474" s="1" t="n">
        <v>45917</v>
      </c>
      <c r="E474" s="1" t="n">
        <v>46222</v>
      </c>
      <c r="F474" t="inlineStr">
        <is>
          <t>JÄMTLANDS LÄN</t>
        </is>
      </c>
      <c r="G474" t="inlineStr">
        <is>
          <t>ÅRE</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61806-2021</t>
        </is>
      </c>
      <c r="B475" t="inlineStr">
        <is>
          <t>avverkningsanmälan</t>
        </is>
      </c>
      <c r="C475" t="inlineStr">
        <is>
          <t>Föryngringsavverkning</t>
        </is>
      </c>
      <c r="D475" s="1" t="n">
        <v>44498</v>
      </c>
      <c r="E475" s="1" t="n">
        <v>46222</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23081-2026</t>
        </is>
      </c>
      <c r="B476" t="inlineStr">
        <is>
          <t>avverkningsanmälan</t>
        </is>
      </c>
      <c r="C476" t="inlineStr">
        <is>
          <t>Föryngringsavverkning</t>
        </is>
      </c>
      <c r="D476" s="1" t="n">
        <v>46161</v>
      </c>
      <c r="E476" s="1" t="n">
        <v>46222</v>
      </c>
      <c r="F476" t="inlineStr">
        <is>
          <t>JÄMTLANDS LÄN</t>
        </is>
      </c>
      <c r="G476" t="inlineStr">
        <is>
          <t>ÅRE</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54324-2023</t>
        </is>
      </c>
      <c r="B477" t="inlineStr">
        <is>
          <t>avverkningsanmälan</t>
        </is>
      </c>
      <c r="C477" t="inlineStr">
        <is>
          <t>Föryngringsavverkning</t>
        </is>
      </c>
      <c r="D477" s="1" t="n">
        <v>45225</v>
      </c>
      <c r="E477" s="1" t="n">
        <v>46222</v>
      </c>
      <c r="F477" t="inlineStr">
        <is>
          <t>JÄMTLANDS LÄN</t>
        </is>
      </c>
      <c r="G477" t="inlineStr">
        <is>
          <t>ÅRE</t>
        </is>
      </c>
      <c r="I477" t="n">
        <v>9.800000000000001</v>
      </c>
      <c r="J477" t="n">
        <v>0</v>
      </c>
      <c r="K477" t="n">
        <v>0</v>
      </c>
      <c r="L477" t="n">
        <v>0</v>
      </c>
      <c r="M477" t="n">
        <v>0</v>
      </c>
      <c r="N477" t="n">
        <v>0</v>
      </c>
      <c r="O477" t="n">
        <v>0</v>
      </c>
      <c r="P477" t="n">
        <v>0</v>
      </c>
      <c r="Q477" t="n">
        <v>0</v>
      </c>
      <c r="R477" t="n">
        <v>0</v>
      </c>
      <c r="S477" t="n">
        <v>0</v>
      </c>
      <c r="T477" t="n">
        <v>0</v>
      </c>
      <c r="U477" s="2" t="inlineStr"/>
    </row>
    <row r="478" ht="15" customHeight="1">
      <c r="A478" t="inlineStr">
        <is>
          <t>A 60935-2022</t>
        </is>
      </c>
      <c r="B478" t="inlineStr">
        <is>
          <t>avverkningsanmälan</t>
        </is>
      </c>
      <c r="C478" t="inlineStr">
        <is>
          <t>Föryngringsavverkning</t>
        </is>
      </c>
      <c r="D478" s="1" t="n">
        <v>44908</v>
      </c>
      <c r="E478" s="1" t="n">
        <v>46222</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30096-2026</t>
        </is>
      </c>
      <c r="B479" t="inlineStr">
        <is>
          <t>avverkningsanmälan</t>
        </is>
      </c>
      <c r="C479" t="inlineStr">
        <is>
          <t>Föryngringsavverkning</t>
        </is>
      </c>
      <c r="D479" s="1" t="n">
        <v>46206</v>
      </c>
      <c r="E479" s="1" t="n">
        <v>46222</v>
      </c>
      <c r="F479" t="inlineStr">
        <is>
          <t>JÄMTLANDS LÄN</t>
        </is>
      </c>
      <c r="G479" t="inlineStr">
        <is>
          <t>ÅRE</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60899-2022</t>
        </is>
      </c>
      <c r="B480" t="inlineStr">
        <is>
          <t>avverkningsanmälan</t>
        </is>
      </c>
      <c r="C480" t="inlineStr">
        <is>
          <t>Avverkning för annat ändamål</t>
        </is>
      </c>
      <c r="D480" s="1" t="n">
        <v>44908</v>
      </c>
      <c r="E480" s="1" t="n">
        <v>46222</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59784-2024</t>
        </is>
      </c>
      <c r="B481" t="inlineStr">
        <is>
          <t>avverkningsanmälan</t>
        </is>
      </c>
      <c r="C481" t="inlineStr">
        <is>
          <t>Avverkning för annat ändamål</t>
        </is>
      </c>
      <c r="D481" s="1" t="n">
        <v>45639</v>
      </c>
      <c r="E481" s="1" t="n">
        <v>46222</v>
      </c>
      <c r="F481" t="inlineStr">
        <is>
          <t>JÄMTLANDS LÄN</t>
        </is>
      </c>
      <c r="G481" t="inlineStr">
        <is>
          <t>ÅRE</t>
        </is>
      </c>
      <c r="H481" t="inlineStr">
        <is>
          <t>Övriga Aktiebolag</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53611-2024</t>
        </is>
      </c>
      <c r="B482" t="inlineStr">
        <is>
          <t>avverkningsanmälan</t>
        </is>
      </c>
      <c r="C482" t="inlineStr">
        <is>
          <t>Föryngringsavverkning</t>
        </is>
      </c>
      <c r="D482" s="1" t="n">
        <v>45614</v>
      </c>
      <c r="E482" s="1" t="n">
        <v>46222</v>
      </c>
      <c r="F482" t="inlineStr">
        <is>
          <t>JÄMTLANDS LÄN</t>
        </is>
      </c>
      <c r="G482" t="inlineStr">
        <is>
          <t>ÅRE</t>
        </is>
      </c>
      <c r="H482" t="inlineStr">
        <is>
          <t>Övriga Aktiebolag</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13841-2024</t>
        </is>
      </c>
      <c r="B483" t="inlineStr">
        <is>
          <t>avverkningsanmälan</t>
        </is>
      </c>
      <c r="C483" t="inlineStr">
        <is>
          <t>Föryngringsavverkning</t>
        </is>
      </c>
      <c r="D483" s="1" t="n">
        <v>45391</v>
      </c>
      <c r="E483" s="1" t="n">
        <v>46222</v>
      </c>
      <c r="F483" t="inlineStr">
        <is>
          <t>JÄMTLANDS LÄN</t>
        </is>
      </c>
      <c r="G483" t="inlineStr">
        <is>
          <t>ÅRE</t>
        </is>
      </c>
      <c r="I483" t="n">
        <v>6.7</v>
      </c>
      <c r="J483" t="n">
        <v>0</v>
      </c>
      <c r="K483" t="n">
        <v>0</v>
      </c>
      <c r="L483" t="n">
        <v>0</v>
      </c>
      <c r="M483" t="n">
        <v>0</v>
      </c>
      <c r="N483" t="n">
        <v>0</v>
      </c>
      <c r="O483" t="n">
        <v>0</v>
      </c>
      <c r="P483" t="n">
        <v>0</v>
      </c>
      <c r="Q483" t="n">
        <v>0</v>
      </c>
      <c r="R483" t="n">
        <v>0</v>
      </c>
      <c r="S483" t="n">
        <v>0</v>
      </c>
      <c r="T483" t="n">
        <v>0</v>
      </c>
      <c r="U483" s="2" t="inlineStr"/>
    </row>
    <row r="484" ht="15" customHeight="1">
      <c r="A484" t="inlineStr">
        <is>
          <t>A 56609-2023</t>
        </is>
      </c>
      <c r="B484" t="inlineStr">
        <is>
          <t>avverkningsanmälan</t>
        </is>
      </c>
      <c r="C484" t="inlineStr">
        <is>
          <t>Föryngringsavverkning</t>
        </is>
      </c>
      <c r="D484" s="1" t="n">
        <v>45243</v>
      </c>
      <c r="E484" s="1" t="n">
        <v>46222</v>
      </c>
      <c r="F484" t="inlineStr">
        <is>
          <t>JÄMTLANDS LÄN</t>
        </is>
      </c>
      <c r="G484" t="inlineStr">
        <is>
          <t>ÅRE</t>
        </is>
      </c>
      <c r="I484" t="n">
        <v>17.9</v>
      </c>
      <c r="J484" t="n">
        <v>0</v>
      </c>
      <c r="K484" t="n">
        <v>0</v>
      </c>
      <c r="L484" t="n">
        <v>0</v>
      </c>
      <c r="M484" t="n">
        <v>0</v>
      </c>
      <c r="N484" t="n">
        <v>0</v>
      </c>
      <c r="O484" t="n">
        <v>0</v>
      </c>
      <c r="P484" t="n">
        <v>0</v>
      </c>
      <c r="Q484" t="n">
        <v>0</v>
      </c>
      <c r="R484" t="n">
        <v>0</v>
      </c>
      <c r="S484" t="n">
        <v>0</v>
      </c>
      <c r="T484" t="n">
        <v>0</v>
      </c>
      <c r="U484" s="2" t="inlineStr"/>
    </row>
    <row r="485" ht="15" customHeight="1">
      <c r="A485" t="inlineStr">
        <is>
          <t>A 17576-2024</t>
        </is>
      </c>
      <c r="B485" t="inlineStr">
        <is>
          <t>avverkningsanmälan</t>
        </is>
      </c>
      <c r="C485" t="inlineStr">
        <is>
          <t>Avverkning för annat ändamål</t>
        </is>
      </c>
      <c r="D485" s="1" t="n">
        <v>45415</v>
      </c>
      <c r="E485" s="1" t="n">
        <v>46222</v>
      </c>
      <c r="F485" t="inlineStr">
        <is>
          <t>JÄMTLANDS LÄN</t>
        </is>
      </c>
      <c r="G485" t="inlineStr">
        <is>
          <t>ÅRE</t>
        </is>
      </c>
      <c r="I485" t="n">
        <v>0.1</v>
      </c>
      <c r="J485" t="n">
        <v>0</v>
      </c>
      <c r="K485" t="n">
        <v>0</v>
      </c>
      <c r="L485" t="n">
        <v>0</v>
      </c>
      <c r="M485" t="n">
        <v>0</v>
      </c>
      <c r="N485" t="n">
        <v>0</v>
      </c>
      <c r="O485" t="n">
        <v>0</v>
      </c>
      <c r="P485" t="n">
        <v>0</v>
      </c>
      <c r="Q485" t="n">
        <v>0</v>
      </c>
      <c r="R485" t="n">
        <v>0</v>
      </c>
      <c r="S485" t="n">
        <v>0</v>
      </c>
      <c r="T485" t="n">
        <v>0</v>
      </c>
      <c r="U485" s="2" t="inlineStr"/>
    </row>
    <row r="486" ht="15" customHeight="1">
      <c r="A486" t="inlineStr">
        <is>
          <t>A 8443-2023</t>
        </is>
      </c>
      <c r="B486" t="inlineStr">
        <is>
          <t>avverkningsanmälan</t>
        </is>
      </c>
      <c r="C486" t="inlineStr">
        <is>
          <t>Föryngringsavverkning</t>
        </is>
      </c>
      <c r="D486" s="1" t="n">
        <v>44977</v>
      </c>
      <c r="E486" s="1" t="n">
        <v>46222</v>
      </c>
      <c r="F486" t="inlineStr">
        <is>
          <t>JÄMTLANDS LÄN</t>
        </is>
      </c>
      <c r="G486" t="inlineStr">
        <is>
          <t>ÅRE</t>
        </is>
      </c>
      <c r="H486" t="inlineStr">
        <is>
          <t>Övriga Aktiebolag</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41273-2025</t>
        </is>
      </c>
      <c r="B487" t="inlineStr">
        <is>
          <t>avverkningsanmälan</t>
        </is>
      </c>
      <c r="C487" t="inlineStr">
        <is>
          <t>Föryngringsavverkning</t>
        </is>
      </c>
      <c r="D487" s="1" t="n">
        <v>45898</v>
      </c>
      <c r="E487" s="1" t="n">
        <v>46222</v>
      </c>
      <c r="F487" t="inlineStr">
        <is>
          <t>JÄMTLANDS LÄN</t>
        </is>
      </c>
      <c r="G487" t="inlineStr">
        <is>
          <t>ÅRE</t>
        </is>
      </c>
      <c r="H487" t="inlineStr">
        <is>
          <t>Övriga Aktiebolag</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30379-2024</t>
        </is>
      </c>
      <c r="B488" t="inlineStr">
        <is>
          <t>avverkningsanmälan</t>
        </is>
      </c>
      <c r="C488" t="inlineStr">
        <is>
          <t>Föryngringsavverkning</t>
        </is>
      </c>
      <c r="D488" s="1" t="n">
        <v>45491</v>
      </c>
      <c r="E488" s="1" t="n">
        <v>46222</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s="2" t="inlineStr"/>
    </row>
    <row r="489" ht="15" customHeight="1">
      <c r="A489" t="inlineStr">
        <is>
          <t>A 30598-2026</t>
        </is>
      </c>
      <c r="B489" t="inlineStr">
        <is>
          <t>avverkningsanmälan</t>
        </is>
      </c>
      <c r="C489" t="inlineStr">
        <is>
          <t>Föryngringsavverkning</t>
        </is>
      </c>
      <c r="D489" s="1" t="n">
        <v>46210</v>
      </c>
      <c r="E489" s="1" t="n">
        <v>46222</v>
      </c>
      <c r="F489" t="inlineStr">
        <is>
          <t>JÄMTLANDS LÄN</t>
        </is>
      </c>
      <c r="G489" t="inlineStr">
        <is>
          <t>ÅRE</t>
        </is>
      </c>
      <c r="I489" t="n">
        <v>3.8</v>
      </c>
      <c r="J489" t="n">
        <v>0</v>
      </c>
      <c r="K489" t="n">
        <v>0</v>
      </c>
      <c r="L489" t="n">
        <v>0</v>
      </c>
      <c r="M489" t="n">
        <v>0</v>
      </c>
      <c r="N489" t="n">
        <v>0</v>
      </c>
      <c r="O489" t="n">
        <v>0</v>
      </c>
      <c r="P489" t="n">
        <v>0</v>
      </c>
      <c r="Q489" t="n">
        <v>0</v>
      </c>
      <c r="R489" t="n">
        <v>0</v>
      </c>
      <c r="S489" t="n">
        <v>0</v>
      </c>
      <c r="T489" t="n">
        <v>0</v>
      </c>
      <c r="U489" s="2" t="inlineStr"/>
    </row>
    <row r="490" ht="15" customHeight="1">
      <c r="A490" t="inlineStr">
        <is>
          <t>A 11500-2022</t>
        </is>
      </c>
      <c r="B490" t="inlineStr">
        <is>
          <t>avverkningsanmälan</t>
        </is>
      </c>
      <c r="C490" t="inlineStr">
        <is>
          <t>Avverkning för annat ändamål</t>
        </is>
      </c>
      <c r="D490" s="1" t="n">
        <v>44631</v>
      </c>
      <c r="E490" s="1" t="n">
        <v>46222</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23117-2022</t>
        </is>
      </c>
      <c r="B491" t="inlineStr">
        <is>
          <t>avverkningsanmälan</t>
        </is>
      </c>
      <c r="C491" t="inlineStr">
        <is>
          <t>Föryngringsavverkning</t>
        </is>
      </c>
      <c r="D491" s="1" t="n">
        <v>44719</v>
      </c>
      <c r="E491" s="1" t="n">
        <v>46222</v>
      </c>
      <c r="F491" t="inlineStr">
        <is>
          <t>JÄMTLANDS LÄN</t>
        </is>
      </c>
      <c r="G491" t="inlineStr">
        <is>
          <t>ÅRE</t>
        </is>
      </c>
      <c r="I491" t="n">
        <v>3.5</v>
      </c>
      <c r="J491" t="n">
        <v>0</v>
      </c>
      <c r="K491" t="n">
        <v>0</v>
      </c>
      <c r="L491" t="n">
        <v>0</v>
      </c>
      <c r="M491" t="n">
        <v>0</v>
      </c>
      <c r="N491" t="n">
        <v>0</v>
      </c>
      <c r="O491" t="n">
        <v>0</v>
      </c>
      <c r="P491" t="n">
        <v>0</v>
      </c>
      <c r="Q491" t="n">
        <v>0</v>
      </c>
      <c r="R491" t="n">
        <v>0</v>
      </c>
      <c r="S491" t="n">
        <v>0</v>
      </c>
      <c r="T491" t="n">
        <v>0</v>
      </c>
      <c r="U491" s="2" t="inlineStr"/>
    </row>
    <row r="492" ht="15" customHeight="1">
      <c r="A492" t="inlineStr">
        <is>
          <t>A 12182-2023</t>
        </is>
      </c>
      <c r="B492" t="inlineStr">
        <is>
          <t>avverkningsanmälan</t>
        </is>
      </c>
      <c r="C492" t="inlineStr">
        <is>
          <t>Föryngringsavverkning</t>
        </is>
      </c>
      <c r="D492" s="1" t="n">
        <v>44998</v>
      </c>
      <c r="E492" s="1" t="n">
        <v>46222</v>
      </c>
      <c r="F492" t="inlineStr">
        <is>
          <t>JÄMTLANDS LÄN</t>
        </is>
      </c>
      <c r="G492" t="inlineStr">
        <is>
          <t>ÅRE</t>
        </is>
      </c>
      <c r="I492" t="n">
        <v>11.7</v>
      </c>
      <c r="J492" t="n">
        <v>0</v>
      </c>
      <c r="K492" t="n">
        <v>0</v>
      </c>
      <c r="L492" t="n">
        <v>0</v>
      </c>
      <c r="M492" t="n">
        <v>0</v>
      </c>
      <c r="N492" t="n">
        <v>0</v>
      </c>
      <c r="O492" t="n">
        <v>0</v>
      </c>
      <c r="P492" t="n">
        <v>0</v>
      </c>
      <c r="Q492" t="n">
        <v>0</v>
      </c>
      <c r="R492" t="n">
        <v>0</v>
      </c>
      <c r="S492" t="n">
        <v>0</v>
      </c>
      <c r="T492" t="n">
        <v>0</v>
      </c>
      <c r="U492" s="2" t="inlineStr"/>
    </row>
    <row r="493" ht="15" customHeight="1">
      <c r="A493" t="inlineStr">
        <is>
          <t>A 25926-2023</t>
        </is>
      </c>
      <c r="B493" t="inlineStr">
        <is>
          <t>avverkningsanmälan</t>
        </is>
      </c>
      <c r="C493" t="inlineStr">
        <is>
          <t>Föryngringsavverkning</t>
        </is>
      </c>
      <c r="D493" s="1" t="n">
        <v>45085</v>
      </c>
      <c r="E493" s="1" t="n">
        <v>46222</v>
      </c>
      <c r="F493" t="inlineStr">
        <is>
          <t>JÄMTLANDS LÄN</t>
        </is>
      </c>
      <c r="G493" t="inlineStr">
        <is>
          <t>ÅRE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22602-2025</t>
        </is>
      </c>
      <c r="B494" t="inlineStr">
        <is>
          <t>avverkningsanmälan</t>
        </is>
      </c>
      <c r="C494" t="inlineStr">
        <is>
          <t>Föryngringsavverkning</t>
        </is>
      </c>
      <c r="D494" s="1" t="n">
        <v>45786</v>
      </c>
      <c r="E494" s="1" t="n">
        <v>46222</v>
      </c>
      <c r="F494" t="inlineStr">
        <is>
          <t>JÄMTLANDS LÄN</t>
        </is>
      </c>
      <c r="G494" t="inlineStr">
        <is>
          <t>ÅRE</t>
        </is>
      </c>
      <c r="I494" t="n">
        <v>13.1</v>
      </c>
      <c r="J494" t="n">
        <v>0</v>
      </c>
      <c r="K494" t="n">
        <v>0</v>
      </c>
      <c r="L494" t="n">
        <v>0</v>
      </c>
      <c r="M494" t="n">
        <v>0</v>
      </c>
      <c r="N494" t="n">
        <v>0</v>
      </c>
      <c r="O494" t="n">
        <v>0</v>
      </c>
      <c r="P494" t="n">
        <v>0</v>
      </c>
      <c r="Q494" t="n">
        <v>0</v>
      </c>
      <c r="R494" t="n">
        <v>0</v>
      </c>
      <c r="S494" t="n">
        <v>0</v>
      </c>
      <c r="T494" t="n">
        <v>0</v>
      </c>
      <c r="U494" s="2" t="inlineStr"/>
    </row>
    <row r="495" ht="15" customHeight="1">
      <c r="A495" t="inlineStr">
        <is>
          <t>A 30614-2026</t>
        </is>
      </c>
      <c r="B495" t="inlineStr">
        <is>
          <t>avverkningsanmälan</t>
        </is>
      </c>
      <c r="C495" t="inlineStr">
        <is>
          <t>Föryngringsavverkning</t>
        </is>
      </c>
      <c r="D495" s="1" t="n">
        <v>46210</v>
      </c>
      <c r="E495" s="1" t="n">
        <v>46222</v>
      </c>
      <c r="F495" t="inlineStr">
        <is>
          <t>JÄMTLANDS LÄN</t>
        </is>
      </c>
      <c r="G495" t="inlineStr">
        <is>
          <t>ÅRE</t>
        </is>
      </c>
      <c r="I495" t="n">
        <v>9</v>
      </c>
      <c r="J495" t="n">
        <v>0</v>
      </c>
      <c r="K495" t="n">
        <v>0</v>
      </c>
      <c r="L495" t="n">
        <v>0</v>
      </c>
      <c r="M495" t="n">
        <v>0</v>
      </c>
      <c r="N495" t="n">
        <v>0</v>
      </c>
      <c r="O495" t="n">
        <v>0</v>
      </c>
      <c r="P495" t="n">
        <v>0</v>
      </c>
      <c r="Q495" t="n">
        <v>0</v>
      </c>
      <c r="R495" t="n">
        <v>0</v>
      </c>
      <c r="S495" t="n">
        <v>0</v>
      </c>
      <c r="T495" t="n">
        <v>0</v>
      </c>
      <c r="U495" s="2" t="inlineStr"/>
    </row>
    <row r="496" ht="15" customHeight="1">
      <c r="A496" t="inlineStr">
        <is>
          <t>A 56842-2022</t>
        </is>
      </c>
      <c r="B496" t="inlineStr">
        <is>
          <t>avverkningsanmälan</t>
        </is>
      </c>
      <c r="C496" t="inlineStr">
        <is>
          <t>Föryngringsavverkning</t>
        </is>
      </c>
      <c r="D496" s="1" t="n">
        <v>44894</v>
      </c>
      <c r="E496" s="1" t="n">
        <v>46222</v>
      </c>
      <c r="F496" t="inlineStr">
        <is>
          <t>JÄMTLANDS LÄN</t>
        </is>
      </c>
      <c r="G496" t="inlineStr">
        <is>
          <t>ÅRE</t>
        </is>
      </c>
      <c r="H496" t="inlineStr">
        <is>
          <t>Övriga Aktiebolag</t>
        </is>
      </c>
      <c r="I496" t="n">
        <v>7.9</v>
      </c>
      <c r="J496" t="n">
        <v>0</v>
      </c>
      <c r="K496" t="n">
        <v>0</v>
      </c>
      <c r="L496" t="n">
        <v>0</v>
      </c>
      <c r="M496" t="n">
        <v>0</v>
      </c>
      <c r="N496" t="n">
        <v>0</v>
      </c>
      <c r="O496" t="n">
        <v>0</v>
      </c>
      <c r="P496" t="n">
        <v>0</v>
      </c>
      <c r="Q496" t="n">
        <v>0</v>
      </c>
      <c r="R496" t="n">
        <v>0</v>
      </c>
      <c r="S496" t="n">
        <v>0</v>
      </c>
      <c r="T496" t="n">
        <v>0</v>
      </c>
      <c r="U496" s="2" t="inlineStr"/>
    </row>
    <row r="497" ht="15" customHeight="1">
      <c r="A497" t="inlineStr">
        <is>
          <t>A 13039-2024</t>
        </is>
      </c>
      <c r="B497" t="inlineStr">
        <is>
          <t>avverkningsanmälan</t>
        </is>
      </c>
      <c r="C497" t="inlineStr">
        <is>
          <t>Föryngringsavverkning</t>
        </is>
      </c>
      <c r="D497" s="1" t="n">
        <v>45385</v>
      </c>
      <c r="E497" s="1" t="n">
        <v>46222</v>
      </c>
      <c r="F497" t="inlineStr">
        <is>
          <t>JÄMTLANDS LÄN</t>
        </is>
      </c>
      <c r="G497" t="inlineStr">
        <is>
          <t>ÅRE</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1414-2023</t>
        </is>
      </c>
      <c r="B498" t="inlineStr">
        <is>
          <t>avverkningsanmälan</t>
        </is>
      </c>
      <c r="C498" t="inlineStr">
        <is>
          <t>Föryngringsavverkning</t>
        </is>
      </c>
      <c r="D498" s="1" t="n">
        <v>44936</v>
      </c>
      <c r="E498" s="1" t="n">
        <v>46222</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55056-2024</t>
        </is>
      </c>
      <c r="B499" t="inlineStr">
        <is>
          <t>avverkningsanmälan</t>
        </is>
      </c>
      <c r="C499" t="inlineStr">
        <is>
          <t>Föryngringsavverkning</t>
        </is>
      </c>
      <c r="D499" s="1" t="n">
        <v>45621</v>
      </c>
      <c r="E499" s="1" t="n">
        <v>46222</v>
      </c>
      <c r="F499" t="inlineStr">
        <is>
          <t>JÄMTLANDS LÄN</t>
        </is>
      </c>
      <c r="G499" t="inlineStr">
        <is>
          <t>ÅRE</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39069-2024</t>
        </is>
      </c>
      <c r="B500" t="inlineStr">
        <is>
          <t>avverkningsanmälan</t>
        </is>
      </c>
      <c r="C500" t="inlineStr">
        <is>
          <t>Föryngringsavverkning</t>
        </is>
      </c>
      <c r="D500" s="1" t="n">
        <v>45548</v>
      </c>
      <c r="E500" s="1" t="n">
        <v>46222</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9312-2025</t>
        </is>
      </c>
      <c r="B501" t="inlineStr">
        <is>
          <t>avverkningsanmälan</t>
        </is>
      </c>
      <c r="C501" t="inlineStr">
        <is>
          <t>Föryngringsavverkning</t>
        </is>
      </c>
      <c r="D501" s="1" t="n">
        <v>45714</v>
      </c>
      <c r="E501" s="1" t="n">
        <v>46222</v>
      </c>
      <c r="F501" t="inlineStr">
        <is>
          <t>JÄMTLANDS LÄN</t>
        </is>
      </c>
      <c r="G501" t="inlineStr">
        <is>
          <t>ÅRE</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49267-2024</t>
        </is>
      </c>
      <c r="B502" t="inlineStr">
        <is>
          <t>avverkningsanmälan</t>
        </is>
      </c>
      <c r="C502" t="inlineStr">
        <is>
          <t>Föryngringsavverkning</t>
        </is>
      </c>
      <c r="D502" s="1" t="n">
        <v>45595</v>
      </c>
      <c r="E502" s="1" t="n">
        <v>46222</v>
      </c>
      <c r="F502" t="inlineStr">
        <is>
          <t>JÄMTLANDS LÄN</t>
        </is>
      </c>
      <c r="G502" t="inlineStr">
        <is>
          <t>ÅRE</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29294-2023</t>
        </is>
      </c>
      <c r="B503" t="inlineStr">
        <is>
          <t>avverkningsanmälan</t>
        </is>
      </c>
      <c r="C503" t="inlineStr">
        <is>
          <t>Föryngringsavverkning</t>
        </is>
      </c>
      <c r="D503" s="1" t="n">
        <v>45098</v>
      </c>
      <c r="E503" s="1" t="n">
        <v>46222</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61978-2023</t>
        </is>
      </c>
      <c r="B504" t="inlineStr">
        <is>
          <t>avverkningsanmälan</t>
        </is>
      </c>
      <c r="C504" t="inlineStr">
        <is>
          <t>Föryngringsavverkning</t>
        </is>
      </c>
      <c r="D504" s="1" t="n">
        <v>45266</v>
      </c>
      <c r="E504" s="1" t="n">
        <v>46222</v>
      </c>
      <c r="F504" t="inlineStr">
        <is>
          <t>JÄMTLANDS LÄN</t>
        </is>
      </c>
      <c r="G504" t="inlineStr">
        <is>
          <t>ÅRE</t>
        </is>
      </c>
      <c r="I504" t="n">
        <v>5.5</v>
      </c>
      <c r="J504" t="n">
        <v>0</v>
      </c>
      <c r="K504" t="n">
        <v>0</v>
      </c>
      <c r="L504" t="n">
        <v>0</v>
      </c>
      <c r="M504" t="n">
        <v>0</v>
      </c>
      <c r="N504" t="n">
        <v>0</v>
      </c>
      <c r="O504" t="n">
        <v>0</v>
      </c>
      <c r="P504" t="n">
        <v>0</v>
      </c>
      <c r="Q504" t="n">
        <v>0</v>
      </c>
      <c r="R504" t="n">
        <v>0</v>
      </c>
      <c r="S504" t="n">
        <v>0</v>
      </c>
      <c r="T504" t="n">
        <v>0</v>
      </c>
      <c r="U504" s="2" t="inlineStr"/>
    </row>
    <row r="505" ht="15" customHeight="1">
      <c r="A505" t="inlineStr">
        <is>
          <t>A 33117-2023</t>
        </is>
      </c>
      <c r="B505" t="inlineStr">
        <is>
          <t>avverkningsanmälan</t>
        </is>
      </c>
      <c r="C505" t="inlineStr">
        <is>
          <t>Avverkning för annat ändamål</t>
        </is>
      </c>
      <c r="D505" s="1" t="n">
        <v>45126</v>
      </c>
      <c r="E505" s="1" t="n">
        <v>46222</v>
      </c>
      <c r="F505" t="inlineStr">
        <is>
          <t>JÄMTLANDS LÄN</t>
        </is>
      </c>
      <c r="G505" t="inlineStr">
        <is>
          <t>ÅRE</t>
        </is>
      </c>
      <c r="H505" t="inlineStr">
        <is>
          <t>Sveaskog</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34925-2025</t>
        </is>
      </c>
      <c r="B506" t="inlineStr">
        <is>
          <t>avverkningsanmälan</t>
        </is>
      </c>
      <c r="C506" t="inlineStr">
        <is>
          <t>Föryngringsavverkning</t>
        </is>
      </c>
      <c r="D506" s="1" t="n">
        <v>45849</v>
      </c>
      <c r="E506" s="1" t="n">
        <v>46222</v>
      </c>
      <c r="F506" t="inlineStr">
        <is>
          <t>JÄMTLANDS LÄN</t>
        </is>
      </c>
      <c r="G506" t="inlineStr">
        <is>
          <t>ÅRE</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38285-2025</t>
        </is>
      </c>
      <c r="B507" t="inlineStr">
        <is>
          <t>avverkningsanmälan</t>
        </is>
      </c>
      <c r="C507" t="inlineStr">
        <is>
          <t>Föryngringsavverkning</t>
        </is>
      </c>
      <c r="D507" s="1" t="n">
        <v>45883</v>
      </c>
      <c r="E507" s="1" t="n">
        <v>46222</v>
      </c>
      <c r="F507" t="inlineStr">
        <is>
          <t>JÄMTLANDS LÄN</t>
        </is>
      </c>
      <c r="G507" t="inlineStr">
        <is>
          <t>ÅRE</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69592-2021</t>
        </is>
      </c>
      <c r="B508" t="inlineStr">
        <is>
          <t>avverkningsanmälan</t>
        </is>
      </c>
      <c r="C508" t="inlineStr">
        <is>
          <t>Föryngringsavverkning</t>
        </is>
      </c>
      <c r="D508" s="1" t="n">
        <v>44531</v>
      </c>
      <c r="E508" s="1" t="n">
        <v>46222</v>
      </c>
      <c r="F508" t="inlineStr">
        <is>
          <t>JÄMTLANDS LÄN</t>
        </is>
      </c>
      <c r="G508" t="inlineStr">
        <is>
          <t>ÅRE</t>
        </is>
      </c>
      <c r="I508" t="n">
        <v>4.7</v>
      </c>
      <c r="J508" t="n">
        <v>0</v>
      </c>
      <c r="K508" t="n">
        <v>0</v>
      </c>
      <c r="L508" t="n">
        <v>0</v>
      </c>
      <c r="M508" t="n">
        <v>0</v>
      </c>
      <c r="N508" t="n">
        <v>0</v>
      </c>
      <c r="O508" t="n">
        <v>0</v>
      </c>
      <c r="P508" t="n">
        <v>0</v>
      </c>
      <c r="Q508" t="n">
        <v>0</v>
      </c>
      <c r="R508" t="n">
        <v>0</v>
      </c>
      <c r="S508" t="n">
        <v>0</v>
      </c>
      <c r="T508" t="n">
        <v>0</v>
      </c>
      <c r="U508" s="2" t="inlineStr"/>
    </row>
    <row r="509" ht="15" customHeight="1">
      <c r="A509" t="inlineStr">
        <is>
          <t>A 54250-2024</t>
        </is>
      </c>
      <c r="B509" t="inlineStr">
        <is>
          <t>avverkningsanmälan</t>
        </is>
      </c>
      <c r="C509" t="inlineStr">
        <is>
          <t>Föryngringsavverkning</t>
        </is>
      </c>
      <c r="D509" s="1" t="n">
        <v>45616</v>
      </c>
      <c r="E509" s="1" t="n">
        <v>46222</v>
      </c>
      <c r="F509" t="inlineStr">
        <is>
          <t>JÄMTLANDS LÄN</t>
        </is>
      </c>
      <c r="G509" t="inlineStr">
        <is>
          <t>ÅRE</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2376-2023</t>
        </is>
      </c>
      <c r="B510" t="inlineStr">
        <is>
          <t>avverkningsanmälan</t>
        </is>
      </c>
      <c r="C510" t="inlineStr">
        <is>
          <t>Avverkning för annat ändamål</t>
        </is>
      </c>
      <c r="D510" s="1" t="n">
        <v>44942</v>
      </c>
      <c r="E510" s="1" t="n">
        <v>46222</v>
      </c>
      <c r="F510" t="inlineStr">
        <is>
          <t>JÄMTLANDS LÄN</t>
        </is>
      </c>
      <c r="G510" t="inlineStr">
        <is>
          <t>ÅRE</t>
        </is>
      </c>
      <c r="I510" t="n">
        <v>0.1</v>
      </c>
      <c r="J510" t="n">
        <v>0</v>
      </c>
      <c r="K510" t="n">
        <v>0</v>
      </c>
      <c r="L510" t="n">
        <v>0</v>
      </c>
      <c r="M510" t="n">
        <v>0</v>
      </c>
      <c r="N510" t="n">
        <v>0</v>
      </c>
      <c r="O510" t="n">
        <v>0</v>
      </c>
      <c r="P510" t="n">
        <v>0</v>
      </c>
      <c r="Q510" t="n">
        <v>0</v>
      </c>
      <c r="R510" t="n">
        <v>0</v>
      </c>
      <c r="S510" t="n">
        <v>0</v>
      </c>
      <c r="T510" t="n">
        <v>0</v>
      </c>
      <c r="U510" s="2" t="inlineStr"/>
    </row>
    <row r="511" ht="15" customHeight="1">
      <c r="A511" t="inlineStr">
        <is>
          <t>A 51452-2024</t>
        </is>
      </c>
      <c r="B511" t="inlineStr">
        <is>
          <t>avverkningsanmälan</t>
        </is>
      </c>
      <c r="C511" t="inlineStr">
        <is>
          <t>Föryngringsavverkning</t>
        </is>
      </c>
      <c r="D511" s="1" t="n">
        <v>45604</v>
      </c>
      <c r="E511" s="1" t="n">
        <v>46222</v>
      </c>
      <c r="F511" t="inlineStr">
        <is>
          <t>JÄMTLANDS LÄN</t>
        </is>
      </c>
      <c r="G511" t="inlineStr">
        <is>
          <t>ÅRE</t>
        </is>
      </c>
      <c r="I511" t="n">
        <v>8</v>
      </c>
      <c r="J511" t="n">
        <v>0</v>
      </c>
      <c r="K511" t="n">
        <v>0</v>
      </c>
      <c r="L511" t="n">
        <v>0</v>
      </c>
      <c r="M511" t="n">
        <v>0</v>
      </c>
      <c r="N511" t="n">
        <v>0</v>
      </c>
      <c r="O511" t="n">
        <v>0</v>
      </c>
      <c r="P511" t="n">
        <v>0</v>
      </c>
      <c r="Q511" t="n">
        <v>0</v>
      </c>
      <c r="R511" t="n">
        <v>0</v>
      </c>
      <c r="S511" t="n">
        <v>0</v>
      </c>
      <c r="T511" t="n">
        <v>0</v>
      </c>
      <c r="U511" s="2" t="inlineStr"/>
    </row>
    <row r="512" ht="15" customHeight="1">
      <c r="A512" t="inlineStr">
        <is>
          <t>A 22133-2026</t>
        </is>
      </c>
      <c r="B512" t="inlineStr">
        <is>
          <t>avverkningsanmälan</t>
        </is>
      </c>
      <c r="C512" t="inlineStr">
        <is>
          <t>Avverkning för annat ändamål</t>
        </is>
      </c>
      <c r="D512" s="1" t="n">
        <v>46153</v>
      </c>
      <c r="E512" s="1" t="n">
        <v>46222</v>
      </c>
      <c r="F512" t="inlineStr">
        <is>
          <t>JÄMTLANDS LÄN</t>
        </is>
      </c>
      <c r="G512" t="inlineStr">
        <is>
          <t>ÅRE</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22603-2025</t>
        </is>
      </c>
      <c r="B513" t="inlineStr">
        <is>
          <t>avverkningsanmälan</t>
        </is>
      </c>
      <c r="C513" t="inlineStr">
        <is>
          <t>Föryngringsavverkning</t>
        </is>
      </c>
      <c r="D513" s="1" t="n">
        <v>45786</v>
      </c>
      <c r="E513" s="1" t="n">
        <v>46222</v>
      </c>
      <c r="F513" t="inlineStr">
        <is>
          <t>JÄMTLANDS LÄN</t>
        </is>
      </c>
      <c r="G513" t="inlineStr">
        <is>
          <t>ÅRE</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59698-2025</t>
        </is>
      </c>
      <c r="B514" t="inlineStr">
        <is>
          <t>avverkningsanmälan</t>
        </is>
      </c>
      <c r="C514" t="inlineStr">
        <is>
          <t>Föryngringsavverkning</t>
        </is>
      </c>
      <c r="D514" s="1" t="n">
        <v>45992</v>
      </c>
      <c r="E514" s="1" t="n">
        <v>46222</v>
      </c>
      <c r="F514" t="inlineStr">
        <is>
          <t>JÄMTLANDS LÄN</t>
        </is>
      </c>
      <c r="G514" t="inlineStr">
        <is>
          <t>ÅRE</t>
        </is>
      </c>
      <c r="H514" t="inlineStr">
        <is>
          <t>Övriga Aktiebolag</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20999-2024</t>
        </is>
      </c>
      <c r="B515" t="inlineStr">
        <is>
          <t>avverkningsanmälan</t>
        </is>
      </c>
      <c r="C515" t="inlineStr">
        <is>
          <t>Föryngringsavverkning</t>
        </is>
      </c>
      <c r="D515" s="1" t="n">
        <v>45439</v>
      </c>
      <c r="E515" s="1" t="n">
        <v>46222</v>
      </c>
      <c r="F515" t="inlineStr">
        <is>
          <t>JÄMTLANDS LÄN</t>
        </is>
      </c>
      <c r="G515" t="inlineStr">
        <is>
          <t>ÅRE</t>
        </is>
      </c>
      <c r="I515" t="n">
        <v>5.7</v>
      </c>
      <c r="J515" t="n">
        <v>0</v>
      </c>
      <c r="K515" t="n">
        <v>0</v>
      </c>
      <c r="L515" t="n">
        <v>0</v>
      </c>
      <c r="M515" t="n">
        <v>0</v>
      </c>
      <c r="N515" t="n">
        <v>0</v>
      </c>
      <c r="O515" t="n">
        <v>0</v>
      </c>
      <c r="P515" t="n">
        <v>0</v>
      </c>
      <c r="Q515" t="n">
        <v>0</v>
      </c>
      <c r="R515" t="n">
        <v>0</v>
      </c>
      <c r="S515" t="n">
        <v>0</v>
      </c>
      <c r="T515" t="n">
        <v>0</v>
      </c>
      <c r="U515" s="2" t="inlineStr"/>
    </row>
    <row r="516" ht="15" customHeight="1">
      <c r="A516" t="inlineStr">
        <is>
          <t>A 45113-2024</t>
        </is>
      </c>
      <c r="B516" t="inlineStr">
        <is>
          <t>avverkningsanmälan</t>
        </is>
      </c>
      <c r="C516" t="inlineStr">
        <is>
          <t>Föryngringsavverkning</t>
        </is>
      </c>
      <c r="D516" s="1" t="n">
        <v>45575</v>
      </c>
      <c r="E516" s="1" t="n">
        <v>46222</v>
      </c>
      <c r="F516" t="inlineStr">
        <is>
          <t>JÄMTLANDS LÄN</t>
        </is>
      </c>
      <c r="G516" t="inlineStr">
        <is>
          <t>ÅRE</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51444-2024</t>
        </is>
      </c>
      <c r="B517" t="inlineStr">
        <is>
          <t>avverkningsanmälan</t>
        </is>
      </c>
      <c r="C517" t="inlineStr">
        <is>
          <t>Föryngringsavverkning</t>
        </is>
      </c>
      <c r="D517" s="1" t="n">
        <v>45604</v>
      </c>
      <c r="E517" s="1" t="n">
        <v>46222</v>
      </c>
      <c r="F517" t="inlineStr">
        <is>
          <t>JÄMTLANDS LÄN</t>
        </is>
      </c>
      <c r="G517" t="inlineStr">
        <is>
          <t>ÅRE</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58917-2022</t>
        </is>
      </c>
      <c r="B518" t="inlineStr">
        <is>
          <t>avverkningsanmälan</t>
        </is>
      </c>
      <c r="C518" t="inlineStr">
        <is>
          <t>Föryngringsavverkning</t>
        </is>
      </c>
      <c r="D518" s="1" t="n">
        <v>44903</v>
      </c>
      <c r="E518" s="1" t="n">
        <v>46222</v>
      </c>
      <c r="F518" t="inlineStr">
        <is>
          <t>JÄMTLANDS LÄN</t>
        </is>
      </c>
      <c r="G518" t="inlineStr">
        <is>
          <t>ÅRE</t>
        </is>
      </c>
      <c r="H518" t="inlineStr">
        <is>
          <t>Övriga Aktiebolag</t>
        </is>
      </c>
      <c r="I518" t="n">
        <v>3.3</v>
      </c>
      <c r="J518" t="n">
        <v>0</v>
      </c>
      <c r="K518" t="n">
        <v>0</v>
      </c>
      <c r="L518" t="n">
        <v>0</v>
      </c>
      <c r="M518" t="n">
        <v>0</v>
      </c>
      <c r="N518" t="n">
        <v>0</v>
      </c>
      <c r="O518" t="n">
        <v>0</v>
      </c>
      <c r="P518" t="n">
        <v>0</v>
      </c>
      <c r="Q518" t="n">
        <v>0</v>
      </c>
      <c r="R518" t="n">
        <v>0</v>
      </c>
      <c r="S518" t="n">
        <v>0</v>
      </c>
      <c r="T518" t="n">
        <v>0</v>
      </c>
      <c r="U518" s="2" t="inlineStr"/>
    </row>
    <row r="519" ht="15" customHeight="1">
      <c r="A519" t="inlineStr">
        <is>
          <t>A 37734-2023</t>
        </is>
      </c>
      <c r="B519" t="inlineStr">
        <is>
          <t>avverkningsanmälan</t>
        </is>
      </c>
      <c r="C519" t="inlineStr">
        <is>
          <t>Föryngringsavverkning</t>
        </is>
      </c>
      <c r="D519" s="1" t="n">
        <v>45159</v>
      </c>
      <c r="E519" s="1" t="n">
        <v>46222</v>
      </c>
      <c r="F519" t="inlineStr">
        <is>
          <t>JÄMTLANDS LÄN</t>
        </is>
      </c>
      <c r="G519" t="inlineStr">
        <is>
          <t>ÅRE</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57770-2023</t>
        </is>
      </c>
      <c r="B520" t="inlineStr">
        <is>
          <t>avverkningsanmälan</t>
        </is>
      </c>
      <c r="C520" t="inlineStr">
        <is>
          <t>Föryngringsavverkning</t>
        </is>
      </c>
      <c r="D520" s="1" t="n">
        <v>45246</v>
      </c>
      <c r="E520" s="1" t="n">
        <v>46222</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556-2023</t>
        </is>
      </c>
      <c r="B521" t="inlineStr">
        <is>
          <t>avverkningsanmälan</t>
        </is>
      </c>
      <c r="C521" t="inlineStr">
        <is>
          <t>Föryngringsavverkning</t>
        </is>
      </c>
      <c r="D521" s="1" t="n">
        <v>44930</v>
      </c>
      <c r="E521" s="1" t="n">
        <v>46222</v>
      </c>
      <c r="F521" t="inlineStr">
        <is>
          <t>JÄMTLANDS LÄN</t>
        </is>
      </c>
      <c r="G521" t="inlineStr">
        <is>
          <t>ÅRE</t>
        </is>
      </c>
      <c r="I521" t="n">
        <v>14.9</v>
      </c>
      <c r="J521" t="n">
        <v>0</v>
      </c>
      <c r="K521" t="n">
        <v>0</v>
      </c>
      <c r="L521" t="n">
        <v>0</v>
      </c>
      <c r="M521" t="n">
        <v>0</v>
      </c>
      <c r="N521" t="n">
        <v>0</v>
      </c>
      <c r="O521" t="n">
        <v>0</v>
      </c>
      <c r="P521" t="n">
        <v>0</v>
      </c>
      <c r="Q521" t="n">
        <v>0</v>
      </c>
      <c r="R521" t="n">
        <v>0</v>
      </c>
      <c r="S521" t="n">
        <v>0</v>
      </c>
      <c r="T521" t="n">
        <v>0</v>
      </c>
      <c r="U521" s="2" t="inlineStr"/>
    </row>
    <row r="522" ht="15" customHeight="1">
      <c r="A522" t="inlineStr">
        <is>
          <t>A 393-2024</t>
        </is>
      </c>
      <c r="B522" t="inlineStr">
        <is>
          <t>avverkningsanmälan</t>
        </is>
      </c>
      <c r="C522" t="inlineStr">
        <is>
          <t>Föryngringsavverkning</t>
        </is>
      </c>
      <c r="D522" s="1" t="n">
        <v>45296</v>
      </c>
      <c r="E522" s="1" t="n">
        <v>46222</v>
      </c>
      <c r="F522" t="inlineStr">
        <is>
          <t>JÄMTLANDS LÄN</t>
        </is>
      </c>
      <c r="G522" t="inlineStr">
        <is>
          <t>ÅRE</t>
        </is>
      </c>
      <c r="I522" t="n">
        <v>6.5</v>
      </c>
      <c r="J522" t="n">
        <v>0</v>
      </c>
      <c r="K522" t="n">
        <v>0</v>
      </c>
      <c r="L522" t="n">
        <v>0</v>
      </c>
      <c r="M522" t="n">
        <v>0</v>
      </c>
      <c r="N522" t="n">
        <v>0</v>
      </c>
      <c r="O522" t="n">
        <v>0</v>
      </c>
      <c r="P522" t="n">
        <v>0</v>
      </c>
      <c r="Q522" t="n">
        <v>0</v>
      </c>
      <c r="R522" t="n">
        <v>0</v>
      </c>
      <c r="S522" t="n">
        <v>0</v>
      </c>
      <c r="T522" t="n">
        <v>0</v>
      </c>
      <c r="U522" s="2" t="inlineStr"/>
    </row>
    <row r="523" ht="15" customHeight="1">
      <c r="A523" t="inlineStr">
        <is>
          <t>A 13033-2024</t>
        </is>
      </c>
      <c r="B523" t="inlineStr">
        <is>
          <t>avverkningsanmälan</t>
        </is>
      </c>
      <c r="C523" t="inlineStr">
        <is>
          <t>Föryngringsavverkning</t>
        </is>
      </c>
      <c r="D523" s="1" t="n">
        <v>45385</v>
      </c>
      <c r="E523" s="1" t="n">
        <v>46222</v>
      </c>
      <c r="F523" t="inlineStr">
        <is>
          <t>JÄMTLANDS LÄN</t>
        </is>
      </c>
      <c r="G523" t="inlineStr">
        <is>
          <t>ÅRE</t>
        </is>
      </c>
      <c r="I523" t="n">
        <v>7.3</v>
      </c>
      <c r="J523" t="n">
        <v>0</v>
      </c>
      <c r="K523" t="n">
        <v>0</v>
      </c>
      <c r="L523" t="n">
        <v>0</v>
      </c>
      <c r="M523" t="n">
        <v>0</v>
      </c>
      <c r="N523" t="n">
        <v>0</v>
      </c>
      <c r="O523" t="n">
        <v>0</v>
      </c>
      <c r="P523" t="n">
        <v>0</v>
      </c>
      <c r="Q523" t="n">
        <v>0</v>
      </c>
      <c r="R523" t="n">
        <v>0</v>
      </c>
      <c r="S523" t="n">
        <v>0</v>
      </c>
      <c r="T523" t="n">
        <v>0</v>
      </c>
      <c r="U523" s="2" t="inlineStr"/>
    </row>
    <row r="524" ht="15" customHeight="1">
      <c r="A524" t="inlineStr">
        <is>
          <t>A 7573-2023</t>
        </is>
      </c>
      <c r="B524" t="inlineStr">
        <is>
          <t>avverkningsanmälan</t>
        </is>
      </c>
      <c r="C524" t="inlineStr">
        <is>
          <t>Föryngringsavverkning</t>
        </is>
      </c>
      <c r="D524" s="1" t="n">
        <v>44967</v>
      </c>
      <c r="E524" s="1" t="n">
        <v>46222</v>
      </c>
      <c r="F524" t="inlineStr">
        <is>
          <t>JÄMTLANDS LÄN</t>
        </is>
      </c>
      <c r="G524" t="inlineStr">
        <is>
          <t>ÅRE</t>
        </is>
      </c>
      <c r="I524" t="n">
        <v>7</v>
      </c>
      <c r="J524" t="n">
        <v>0</v>
      </c>
      <c r="K524" t="n">
        <v>0</v>
      </c>
      <c r="L524" t="n">
        <v>0</v>
      </c>
      <c r="M524" t="n">
        <v>0</v>
      </c>
      <c r="N524" t="n">
        <v>0</v>
      </c>
      <c r="O524" t="n">
        <v>0</v>
      </c>
      <c r="P524" t="n">
        <v>0</v>
      </c>
      <c r="Q524" t="n">
        <v>0</v>
      </c>
      <c r="R524" t="n">
        <v>0</v>
      </c>
      <c r="S524" t="n">
        <v>0</v>
      </c>
      <c r="T524" t="n">
        <v>0</v>
      </c>
      <c r="U524" s="2" t="inlineStr"/>
    </row>
    <row r="525" ht="15" customHeight="1">
      <c r="A525" t="inlineStr">
        <is>
          <t>A 45242-2023</t>
        </is>
      </c>
      <c r="B525" t="inlineStr">
        <is>
          <t>avverkningsanmälan</t>
        </is>
      </c>
      <c r="C525" t="inlineStr">
        <is>
          <t>Avverkning för annat ändamål</t>
        </is>
      </c>
      <c r="D525" s="1" t="n">
        <v>45187</v>
      </c>
      <c r="E525" s="1" t="n">
        <v>46222</v>
      </c>
      <c r="F525" t="inlineStr">
        <is>
          <t>JÄMTLANDS LÄN</t>
        </is>
      </c>
      <c r="G525" t="inlineStr">
        <is>
          <t>ÅRE</t>
        </is>
      </c>
      <c r="I525" t="n">
        <v>2.9</v>
      </c>
      <c r="J525" t="n">
        <v>0</v>
      </c>
      <c r="K525" t="n">
        <v>0</v>
      </c>
      <c r="L525" t="n">
        <v>0</v>
      </c>
      <c r="M525" t="n">
        <v>0</v>
      </c>
      <c r="N525" t="n">
        <v>0</v>
      </c>
      <c r="O525" t="n">
        <v>0</v>
      </c>
      <c r="P525" t="n">
        <v>0</v>
      </c>
      <c r="Q525" t="n">
        <v>0</v>
      </c>
      <c r="R525" t="n">
        <v>0</v>
      </c>
      <c r="S525" t="n">
        <v>0</v>
      </c>
      <c r="T525" t="n">
        <v>0</v>
      </c>
      <c r="U525" s="2" t="inlineStr"/>
    </row>
    <row r="526" ht="15" customHeight="1">
      <c r="A526" t="inlineStr">
        <is>
          <t>A 1491-2024</t>
        </is>
      </c>
      <c r="B526" t="inlineStr">
        <is>
          <t>avverkningsanmälan</t>
        </is>
      </c>
      <c r="C526" t="inlineStr">
        <is>
          <t>Föryngringsavverkning</t>
        </is>
      </c>
      <c r="D526" s="1" t="n">
        <v>45305</v>
      </c>
      <c r="E526" s="1" t="n">
        <v>46222</v>
      </c>
      <c r="F526" t="inlineStr">
        <is>
          <t>JÄMTLANDS LÄN</t>
        </is>
      </c>
      <c r="G526" t="inlineStr">
        <is>
          <t>ÅRE</t>
        </is>
      </c>
      <c r="I526" t="n">
        <v>31.4</v>
      </c>
      <c r="J526" t="n">
        <v>0</v>
      </c>
      <c r="K526" t="n">
        <v>0</v>
      </c>
      <c r="L526" t="n">
        <v>0</v>
      </c>
      <c r="M526" t="n">
        <v>0</v>
      </c>
      <c r="N526" t="n">
        <v>0</v>
      </c>
      <c r="O526" t="n">
        <v>0</v>
      </c>
      <c r="P526" t="n">
        <v>0</v>
      </c>
      <c r="Q526" t="n">
        <v>0</v>
      </c>
      <c r="R526" t="n">
        <v>0</v>
      </c>
      <c r="S526" t="n">
        <v>0</v>
      </c>
      <c r="T526" t="n">
        <v>0</v>
      </c>
      <c r="U526" s="2" t="inlineStr"/>
    </row>
    <row r="527" ht="15" customHeight="1">
      <c r="A527" t="inlineStr">
        <is>
          <t>A 12287-2023</t>
        </is>
      </c>
      <c r="B527" t="inlineStr">
        <is>
          <t>avverkningsanmälan</t>
        </is>
      </c>
      <c r="C527" t="inlineStr">
        <is>
          <t>Föryngringsavverkning</t>
        </is>
      </c>
      <c r="D527" s="1" t="n">
        <v>44998</v>
      </c>
      <c r="E527" s="1" t="n">
        <v>46222</v>
      </c>
      <c r="F527" t="inlineStr">
        <is>
          <t>JÄMTLANDS LÄN</t>
        </is>
      </c>
      <c r="G527" t="inlineStr">
        <is>
          <t>ÅRE</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12291-2023</t>
        </is>
      </c>
      <c r="B528" t="inlineStr">
        <is>
          <t>avverkningsanmälan</t>
        </is>
      </c>
      <c r="C528" t="inlineStr">
        <is>
          <t>Föryngringsavverkning</t>
        </is>
      </c>
      <c r="D528" s="1" t="n">
        <v>44998</v>
      </c>
      <c r="E528" s="1" t="n">
        <v>46222</v>
      </c>
      <c r="F528" t="inlineStr">
        <is>
          <t>JÄMTLANDS LÄN</t>
        </is>
      </c>
      <c r="G528" t="inlineStr">
        <is>
          <t>ÅRE</t>
        </is>
      </c>
      <c r="I528" t="n">
        <v>6</v>
      </c>
      <c r="J528" t="n">
        <v>0</v>
      </c>
      <c r="K528" t="n">
        <v>0</v>
      </c>
      <c r="L528" t="n">
        <v>0</v>
      </c>
      <c r="M528" t="n">
        <v>0</v>
      </c>
      <c r="N528" t="n">
        <v>0</v>
      </c>
      <c r="O528" t="n">
        <v>0</v>
      </c>
      <c r="P528" t="n">
        <v>0</v>
      </c>
      <c r="Q528" t="n">
        <v>0</v>
      </c>
      <c r="R528" t="n">
        <v>0</v>
      </c>
      <c r="S528" t="n">
        <v>0</v>
      </c>
      <c r="T528" t="n">
        <v>0</v>
      </c>
      <c r="U528" s="2" t="inlineStr"/>
    </row>
    <row r="529" ht="15" customHeight="1">
      <c r="A529" t="inlineStr">
        <is>
          <t>A 41677-2024</t>
        </is>
      </c>
      <c r="B529" t="inlineStr">
        <is>
          <t>avverkningsanmälan</t>
        </is>
      </c>
      <c r="C529" t="inlineStr">
        <is>
          <t>Avverkning för annat ändamål</t>
        </is>
      </c>
      <c r="D529" s="1" t="n">
        <v>45560</v>
      </c>
      <c r="E529" s="1" t="n">
        <v>46222</v>
      </c>
      <c r="F529" t="inlineStr">
        <is>
          <t>JÄMTLANDS LÄN</t>
        </is>
      </c>
      <c r="G529" t="inlineStr">
        <is>
          <t>ÅRE</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41688-2024</t>
        </is>
      </c>
      <c r="B530" t="inlineStr">
        <is>
          <t>avverkningsanmälan</t>
        </is>
      </c>
      <c r="C530" t="inlineStr">
        <is>
          <t>Avverkning för annat ändamål</t>
        </is>
      </c>
      <c r="D530" s="1" t="n">
        <v>45560</v>
      </c>
      <c r="E530" s="1" t="n">
        <v>46222</v>
      </c>
      <c r="F530" t="inlineStr">
        <is>
          <t>JÄMTLANDS LÄN</t>
        </is>
      </c>
      <c r="G530" t="inlineStr">
        <is>
          <t>ÅRE</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4218-2025</t>
        </is>
      </c>
      <c r="B531" t="inlineStr">
        <is>
          <t>avverkningsanmälan</t>
        </is>
      </c>
      <c r="C531" t="inlineStr">
        <is>
          <t>Föryngringsavverkning</t>
        </is>
      </c>
      <c r="D531" s="1" t="n">
        <v>45685</v>
      </c>
      <c r="E531" s="1" t="n">
        <v>46222</v>
      </c>
      <c r="F531" t="inlineStr">
        <is>
          <t>JÄMTLANDS LÄN</t>
        </is>
      </c>
      <c r="G531" t="inlineStr">
        <is>
          <t>ÅRE</t>
        </is>
      </c>
      <c r="H531" t="inlineStr">
        <is>
          <t>Övriga Aktiebolag</t>
        </is>
      </c>
      <c r="I531" t="n">
        <v>10.1</v>
      </c>
      <c r="J531" t="n">
        <v>0</v>
      </c>
      <c r="K531" t="n">
        <v>0</v>
      </c>
      <c r="L531" t="n">
        <v>0</v>
      </c>
      <c r="M531" t="n">
        <v>0</v>
      </c>
      <c r="N531" t="n">
        <v>0</v>
      </c>
      <c r="O531" t="n">
        <v>0</v>
      </c>
      <c r="P531" t="n">
        <v>0</v>
      </c>
      <c r="Q531" t="n">
        <v>0</v>
      </c>
      <c r="R531" t="n">
        <v>0</v>
      </c>
      <c r="S531" t="n">
        <v>0</v>
      </c>
      <c r="T531" t="n">
        <v>0</v>
      </c>
      <c r="U531" s="2" t="inlineStr"/>
    </row>
    <row r="532" ht="15" customHeight="1">
      <c r="A532" t="inlineStr">
        <is>
          <t>A 61295-2023</t>
        </is>
      </c>
      <c r="B532" t="inlineStr">
        <is>
          <t>avverkningsanmälan</t>
        </is>
      </c>
      <c r="C532" t="inlineStr">
        <is>
          <t>Föryngringsavverkning</t>
        </is>
      </c>
      <c r="D532" s="1" t="n">
        <v>45264</v>
      </c>
      <c r="E532" s="1" t="n">
        <v>46222</v>
      </c>
      <c r="F532" t="inlineStr">
        <is>
          <t>JÄMTLANDS LÄN</t>
        </is>
      </c>
      <c r="G532" t="inlineStr">
        <is>
          <t>ÅRE</t>
        </is>
      </c>
      <c r="I532" t="n">
        <v>8.699999999999999</v>
      </c>
      <c r="J532" t="n">
        <v>0</v>
      </c>
      <c r="K532" t="n">
        <v>0</v>
      </c>
      <c r="L532" t="n">
        <v>0</v>
      </c>
      <c r="M532" t="n">
        <v>0</v>
      </c>
      <c r="N532" t="n">
        <v>0</v>
      </c>
      <c r="O532" t="n">
        <v>0</v>
      </c>
      <c r="P532" t="n">
        <v>0</v>
      </c>
      <c r="Q532" t="n">
        <v>0</v>
      </c>
      <c r="R532" t="n">
        <v>0</v>
      </c>
      <c r="S532" t="n">
        <v>0</v>
      </c>
      <c r="T532" t="n">
        <v>0</v>
      </c>
      <c r="U532" s="2" t="inlineStr"/>
    </row>
    <row r="533" ht="15" customHeight="1">
      <c r="A533" t="inlineStr">
        <is>
          <t>A 21167-2025</t>
        </is>
      </c>
      <c r="B533" t="inlineStr">
        <is>
          <t>avverkningsanmälan</t>
        </is>
      </c>
      <c r="C533" t="inlineStr">
        <is>
          <t>Avverkning för annat ändamål</t>
        </is>
      </c>
      <c r="D533" s="1" t="n">
        <v>45779</v>
      </c>
      <c r="E533" s="1" t="n">
        <v>46222</v>
      </c>
      <c r="F533" t="inlineStr">
        <is>
          <t>JÄMTLANDS LÄN</t>
        </is>
      </c>
      <c r="G533" t="inlineStr">
        <is>
          <t>ÅRE</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46559-2024</t>
        </is>
      </c>
      <c r="B534" t="inlineStr">
        <is>
          <t>avverkningsanmälan</t>
        </is>
      </c>
      <c r="C534" t="inlineStr">
        <is>
          <t>Föryngringsavverkning</t>
        </is>
      </c>
      <c r="D534" s="1" t="n">
        <v>45582</v>
      </c>
      <c r="E534" s="1" t="n">
        <v>46222</v>
      </c>
      <c r="F534" t="inlineStr">
        <is>
          <t>JÄMTLANDS LÄN</t>
        </is>
      </c>
      <c r="G534" t="inlineStr">
        <is>
          <t>ÅRE</t>
        </is>
      </c>
      <c r="I534" t="n">
        <v>6.2</v>
      </c>
      <c r="J534" t="n">
        <v>0</v>
      </c>
      <c r="K534" t="n">
        <v>0</v>
      </c>
      <c r="L534" t="n">
        <v>0</v>
      </c>
      <c r="M534" t="n">
        <v>0</v>
      </c>
      <c r="N534" t="n">
        <v>0</v>
      </c>
      <c r="O534" t="n">
        <v>0</v>
      </c>
      <c r="P534" t="n">
        <v>0</v>
      </c>
      <c r="Q534" t="n">
        <v>0</v>
      </c>
      <c r="R534" t="n">
        <v>0</v>
      </c>
      <c r="S534" t="n">
        <v>0</v>
      </c>
      <c r="T534" t="n">
        <v>0</v>
      </c>
      <c r="U534" s="2" t="inlineStr"/>
    </row>
    <row r="535" ht="15" customHeight="1">
      <c r="A535" t="inlineStr">
        <is>
          <t>A 49296-2024</t>
        </is>
      </c>
      <c r="B535" t="inlineStr">
        <is>
          <t>avverkningsanmälan</t>
        </is>
      </c>
      <c r="C535" t="inlineStr">
        <is>
          <t>Föryngringsavverkning</t>
        </is>
      </c>
      <c r="D535" s="1" t="n">
        <v>45595</v>
      </c>
      <c r="E535" s="1" t="n">
        <v>46222</v>
      </c>
      <c r="F535" t="inlineStr">
        <is>
          <t>JÄMTLANDS LÄN</t>
        </is>
      </c>
      <c r="G535" t="inlineStr">
        <is>
          <t>ÅRE</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60122-2021</t>
        </is>
      </c>
      <c r="B536" t="inlineStr">
        <is>
          <t>avverkningsanmälan</t>
        </is>
      </c>
      <c r="C536" t="inlineStr">
        <is>
          <t>Föryngringsavverkning</t>
        </is>
      </c>
      <c r="D536" s="1" t="n">
        <v>44495</v>
      </c>
      <c r="E536" s="1" t="n">
        <v>46222</v>
      </c>
      <c r="F536" t="inlineStr">
        <is>
          <t>JÄMTLANDS LÄN</t>
        </is>
      </c>
      <c r="G536" t="inlineStr">
        <is>
          <t>ÅRE</t>
        </is>
      </c>
      <c r="I536" t="n">
        <v>46.7</v>
      </c>
      <c r="J536" t="n">
        <v>0</v>
      </c>
      <c r="K536" t="n">
        <v>0</v>
      </c>
      <c r="L536" t="n">
        <v>0</v>
      </c>
      <c r="M536" t="n">
        <v>0</v>
      </c>
      <c r="N536" t="n">
        <v>0</v>
      </c>
      <c r="O536" t="n">
        <v>0</v>
      </c>
      <c r="P536" t="n">
        <v>0</v>
      </c>
      <c r="Q536" t="n">
        <v>0</v>
      </c>
      <c r="R536" t="n">
        <v>0</v>
      </c>
      <c r="S536" t="n">
        <v>0</v>
      </c>
      <c r="T536" t="n">
        <v>0</v>
      </c>
      <c r="U536" s="2" t="inlineStr"/>
    </row>
    <row r="537" ht="15" customHeight="1">
      <c r="A537" t="inlineStr">
        <is>
          <t>A 25224-2025</t>
        </is>
      </c>
      <c r="B537" t="inlineStr">
        <is>
          <t>avverkningsanmälan</t>
        </is>
      </c>
      <c r="C537" t="inlineStr">
        <is>
          <t>Föryngringsavverkning</t>
        </is>
      </c>
      <c r="D537" s="1" t="n">
        <v>45800</v>
      </c>
      <c r="E537" s="1" t="n">
        <v>46222</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S 4491-2024</t>
        </is>
      </c>
      <c r="B538" t="inlineStr">
        <is>
          <t>samrådsanmälan</t>
        </is>
      </c>
      <c r="C538" t="inlineStr">
        <is>
          <t>Annan skogsbruksåtgärd</t>
        </is>
      </c>
      <c r="D538" s="1" t="n">
        <v>45595</v>
      </c>
      <c r="E538" s="1" t="n">
        <v>46222</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s="2" t="inlineStr"/>
    </row>
    <row r="539" ht="15" customHeight="1">
      <c r="A539" t="inlineStr">
        <is>
          <t>S 901-2024</t>
        </is>
      </c>
      <c r="B539" t="inlineStr">
        <is>
          <t>samrådsanmälan</t>
        </is>
      </c>
      <c r="C539" t="inlineStr">
        <is>
          <t>Skogsgödsling</t>
        </is>
      </c>
      <c r="D539" s="1" t="n">
        <v>45376</v>
      </c>
      <c r="E539" s="1" t="n">
        <v>46222</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s="2" t="inlineStr"/>
    </row>
    <row r="540" ht="15" customHeight="1">
      <c r="A540" t="inlineStr">
        <is>
          <t>S 3926-2024</t>
        </is>
      </c>
      <c r="B540" t="inlineStr">
        <is>
          <t>samrådsanmälan</t>
        </is>
      </c>
      <c r="C540" t="inlineStr">
        <is>
          <t>Annan skogsbruksåtgärd</t>
        </is>
      </c>
      <c r="D540" s="1" t="n">
        <v>45565</v>
      </c>
      <c r="E540" s="1" t="n">
        <v>46222</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S 896-2024</t>
        </is>
      </c>
      <c r="B541" t="inlineStr">
        <is>
          <t>samrådsanmälan</t>
        </is>
      </c>
      <c r="C541" t="inlineStr">
        <is>
          <t>Skogsgödsling</t>
        </is>
      </c>
      <c r="D541" s="1" t="n">
        <v>45376</v>
      </c>
      <c r="E541" s="1" t="n">
        <v>46222</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s="2" t="inlineStr"/>
    </row>
    <row r="542" ht="15" customHeight="1">
      <c r="A542" t="inlineStr">
        <is>
          <t>S 3929-2024</t>
        </is>
      </c>
      <c r="B542" t="inlineStr">
        <is>
          <t>samrådsanmälan</t>
        </is>
      </c>
      <c r="C542" t="inlineStr">
        <is>
          <t>Annan skogsbruksåtgärd</t>
        </is>
      </c>
      <c r="D542" s="1" t="n">
        <v>45565</v>
      </c>
      <c r="E542" s="1" t="n">
        <v>46222</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s="2" t="inlineStr"/>
    </row>
    <row r="543" ht="15" customHeight="1">
      <c r="A543" t="inlineStr">
        <is>
          <t>S 987-2023</t>
        </is>
      </c>
      <c r="B543" t="inlineStr">
        <is>
          <t>samrådsanmälan</t>
        </is>
      </c>
      <c r="C543" t="inlineStr">
        <is>
          <t>Annan skogsbruksåtgärd</t>
        </is>
      </c>
      <c r="D543" s="1" t="n">
        <v>45006</v>
      </c>
      <c r="E543" s="1" t="n">
        <v>46222</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S 1340-2025</t>
        </is>
      </c>
      <c r="B544" t="inlineStr">
        <is>
          <t>samrådsanmälan</t>
        </is>
      </c>
      <c r="C544" t="inlineStr">
        <is>
          <t>Annan skogsbruksåtgärd</t>
        </is>
      </c>
      <c r="D544" s="1" t="n">
        <v>45771</v>
      </c>
      <c r="E544" s="1" t="n">
        <v>46222</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s="2" t="inlineStr"/>
    </row>
    <row r="545" ht="15" customHeight="1">
      <c r="A545" t="inlineStr">
        <is>
          <t>S 5362-2021</t>
        </is>
      </c>
      <c r="B545" t="inlineStr">
        <is>
          <t>samrådsanmälan</t>
        </is>
      </c>
      <c r="C545" t="inlineStr">
        <is>
          <t>Annan skogsbruksåtgärd</t>
        </is>
      </c>
      <c r="D545" s="1" t="n">
        <v>44426</v>
      </c>
      <c r="E545" s="1" t="n">
        <v>46222</v>
      </c>
      <c r="F545" t="inlineStr">
        <is>
          <t>JÄMTLANDS LÄN</t>
        </is>
      </c>
      <c r="G545" t="inlineStr">
        <is>
          <t>ÅRE</t>
        </is>
      </c>
      <c r="H545" t="inlineStr">
        <is>
          <t>Övriga Aktiebolag</t>
        </is>
      </c>
      <c r="I545" t="n">
        <v>8.6</v>
      </c>
      <c r="J545" t="n">
        <v>0</v>
      </c>
      <c r="K545" t="n">
        <v>0</v>
      </c>
      <c r="L545" t="n">
        <v>0</v>
      </c>
      <c r="M545" t="n">
        <v>0</v>
      </c>
      <c r="N545" t="n">
        <v>0</v>
      </c>
      <c r="O545" t="n">
        <v>0</v>
      </c>
      <c r="P545" t="n">
        <v>0</v>
      </c>
      <c r="Q545" t="n">
        <v>0</v>
      </c>
      <c r="R545" t="n">
        <v>0</v>
      </c>
      <c r="S545" t="n">
        <v>0</v>
      </c>
      <c r="T545" t="n">
        <v>0</v>
      </c>
      <c r="U545" s="2" t="inlineStr"/>
    </row>
    <row r="546" ht="15" customHeight="1">
      <c r="A546" t="inlineStr">
        <is>
          <t>S 3462-2025</t>
        </is>
      </c>
      <c r="B546" t="inlineStr">
        <is>
          <t>samrådsanmälan</t>
        </is>
      </c>
      <c r="C546" t="inlineStr">
        <is>
          <t>Annan skogsbruksåtgärd</t>
        </is>
      </c>
      <c r="D546" s="1" t="n">
        <v>46000</v>
      </c>
      <c r="E546" s="1" t="n">
        <v>46222</v>
      </c>
      <c r="F546" t="inlineStr">
        <is>
          <t>JÄMTLANDS LÄN</t>
        </is>
      </c>
      <c r="G546" t="inlineStr">
        <is>
          <t>ÅRE</t>
        </is>
      </c>
      <c r="H546" t="inlineStr">
        <is>
          <t>Övriga Aktiebolag</t>
        </is>
      </c>
      <c r="I546" t="n">
        <v>0.4</v>
      </c>
      <c r="J546" t="n">
        <v>0</v>
      </c>
      <c r="K546" t="n">
        <v>0</v>
      </c>
      <c r="L546" t="n">
        <v>0</v>
      </c>
      <c r="M546" t="n">
        <v>0</v>
      </c>
      <c r="N546" t="n">
        <v>0</v>
      </c>
      <c r="O546" t="n">
        <v>0</v>
      </c>
      <c r="P546" t="n">
        <v>0</v>
      </c>
      <c r="Q546" t="n">
        <v>0</v>
      </c>
      <c r="R546" t="n">
        <v>0</v>
      </c>
      <c r="S546" t="n">
        <v>0</v>
      </c>
      <c r="T546" t="n">
        <v>0</v>
      </c>
      <c r="U546" s="2" t="inlineStr"/>
    </row>
    <row r="547" ht="15" customHeight="1">
      <c r="A547" t="inlineStr">
        <is>
          <t>S 4487-2024</t>
        </is>
      </c>
      <c r="B547" t="inlineStr">
        <is>
          <t>samrådsanmälan</t>
        </is>
      </c>
      <c r="C547" t="inlineStr">
        <is>
          <t>Annan skogsbruksåtgärd</t>
        </is>
      </c>
      <c r="D547" s="1" t="n">
        <v>45595</v>
      </c>
      <c r="E547" s="1" t="n">
        <v>46222</v>
      </c>
      <c r="F547" t="inlineStr">
        <is>
          <t>JÄMTLANDS LÄN</t>
        </is>
      </c>
      <c r="G547" t="inlineStr">
        <is>
          <t>ÅRE</t>
        </is>
      </c>
      <c r="I547" t="n">
        <v>13.8</v>
      </c>
      <c r="J547" t="n">
        <v>0</v>
      </c>
      <c r="K547" t="n">
        <v>0</v>
      </c>
      <c r="L547" t="n">
        <v>0</v>
      </c>
      <c r="M547" t="n">
        <v>0</v>
      </c>
      <c r="N547" t="n">
        <v>0</v>
      </c>
      <c r="O547" t="n">
        <v>0</v>
      </c>
      <c r="P547" t="n">
        <v>0</v>
      </c>
      <c r="Q547" t="n">
        <v>0</v>
      </c>
      <c r="R547" t="n">
        <v>0</v>
      </c>
      <c r="S547" t="n">
        <v>0</v>
      </c>
      <c r="T547" t="n">
        <v>0</v>
      </c>
      <c r="U547" s="2" t="inlineStr"/>
    </row>
    <row r="548">
      <c r="A548" t="inlineStr">
        <is>
          <t>S 929-2026</t>
        </is>
      </c>
      <c r="B548" t="inlineStr">
        <is>
          <t>samrådsanmälan</t>
        </is>
      </c>
      <c r="C548" t="inlineStr">
        <is>
          <t>Annan skogsbruksåtgärd</t>
        </is>
      </c>
      <c r="D548" s="1" t="n">
        <v>46111</v>
      </c>
      <c r="E548" s="1" t="n">
        <v>46222</v>
      </c>
      <c r="F548" t="inlineStr">
        <is>
          <t>JÄMTLANDS LÄN</t>
        </is>
      </c>
      <c r="G548" t="inlineStr">
        <is>
          <t>ÅRE</t>
        </is>
      </c>
      <c r="I548" t="n">
        <v>5.2</v>
      </c>
      <c r="J548" t="n">
        <v>0</v>
      </c>
      <c r="K548" t="n">
        <v>0</v>
      </c>
      <c r="L548" t="n">
        <v>0</v>
      </c>
      <c r="M548" t="n">
        <v>0</v>
      </c>
      <c r="N548" t="n">
        <v>0</v>
      </c>
      <c r="O548" t="n">
        <v>0</v>
      </c>
      <c r="P548" t="n">
        <v>0</v>
      </c>
      <c r="Q548" t="n">
        <v>0</v>
      </c>
      <c r="R548" t="n">
        <v>0</v>
      </c>
      <c r="S548" t="n">
        <v>0</v>
      </c>
      <c r="T548" t="n">
        <v>0</v>
      </c>
      <c r="U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2026-07-19T01:31:07Z</dcterms:created>
  <dcterms:modified xmlns:dcterms="http://purl.org/dc/terms/" xmlns:xsi="http://www.w3.org/2001/XMLSchema-instance" xsi:type="dcterms:W3CDTF">2026-07-19T01:31:07Z</dcterms:modified>
</cp:coreProperties>
</file>