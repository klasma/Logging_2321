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45358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45358</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45358</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45358</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45358</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45358</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45358</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45358</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45358</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45358</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45358</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45358</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45358</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45358</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45358</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45358</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45358</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45358</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45358</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45358</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45358</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45358</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45358</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45358</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45358</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45358</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45358</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45358</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45358</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45358</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45358</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45358</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45358</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45358</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45358</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45358</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45358</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45358</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45358</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45358</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45358</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45358</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45358</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45358</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45358</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45358</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45358</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45358</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20644-2021</t>
        </is>
      </c>
      <c r="B50" s="1" t="n">
        <v>44316</v>
      </c>
      <c r="C50" s="1" t="n">
        <v>45358</v>
      </c>
      <c r="D50" t="inlineStr">
        <is>
          <t>JÄMTLANDS LÄN</t>
        </is>
      </c>
      <c r="E50" t="inlineStr">
        <is>
          <t>ÅRE</t>
        </is>
      </c>
      <c r="G50" t="n">
        <v>42.9</v>
      </c>
      <c r="H50" t="n">
        <v>2</v>
      </c>
      <c r="I50" t="n">
        <v>1</v>
      </c>
      <c r="J50" t="n">
        <v>4</v>
      </c>
      <c r="K50" t="n">
        <v>0</v>
      </c>
      <c r="L50" t="n">
        <v>0</v>
      </c>
      <c r="M50" t="n">
        <v>0</v>
      </c>
      <c r="N50" t="n">
        <v>0</v>
      </c>
      <c r="O50" t="n">
        <v>4</v>
      </c>
      <c r="P50" t="n">
        <v>0</v>
      </c>
      <c r="Q50" t="n">
        <v>5</v>
      </c>
      <c r="R50" s="2" t="inlineStr">
        <is>
          <t>Doftskinn
Garnlav
Månlåsbräken
Tretåig hackspett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58238-2021</t>
        </is>
      </c>
      <c r="B51" s="1" t="n">
        <v>44487</v>
      </c>
      <c r="C51" s="1" t="n">
        <v>45358</v>
      </c>
      <c r="D51" t="inlineStr">
        <is>
          <t>JÄMTLANDS LÄN</t>
        </is>
      </c>
      <c r="E51" t="inlineStr">
        <is>
          <t>ÅRE</t>
        </is>
      </c>
      <c r="G51" t="n">
        <v>42.2</v>
      </c>
      <c r="H51" t="n">
        <v>0</v>
      </c>
      <c r="I51" t="n">
        <v>0</v>
      </c>
      <c r="J51" t="n">
        <v>3</v>
      </c>
      <c r="K51" t="n">
        <v>2</v>
      </c>
      <c r="L51" t="n">
        <v>0</v>
      </c>
      <c r="M51" t="n">
        <v>0</v>
      </c>
      <c r="N51" t="n">
        <v>0</v>
      </c>
      <c r="O51" t="n">
        <v>5</v>
      </c>
      <c r="P51" t="n">
        <v>2</v>
      </c>
      <c r="Q51" t="n">
        <v>5</v>
      </c>
      <c r="R51" s="2" t="inlineStr">
        <is>
          <t>Lappticka
Norsk näverlav
Gammelgransskål
Gränsticka
Rödbrun blekspik</t>
        </is>
      </c>
      <c r="S51">
        <f>HYPERLINK("https://klasma.github.io/Logging_2321/artfynd/A 58238-2021 artfynd.xlsx", "A 58238-2021")</f>
        <v/>
      </c>
      <c r="T51">
        <f>HYPERLINK("https://klasma.github.io/Logging_2321/kartor/A 58238-2021 karta.png", "A 58238-2021")</f>
        <v/>
      </c>
      <c r="V51">
        <f>HYPERLINK("https://klasma.github.io/Logging_2321/klagomål/A 58238-2021 FSC-klagomål.docx", "A 58238-2021")</f>
        <v/>
      </c>
      <c r="W51">
        <f>HYPERLINK("https://klasma.github.io/Logging_2321/klagomålsmail/A 58238-2021 FSC-klagomål mail.docx", "A 58238-2021")</f>
        <v/>
      </c>
      <c r="X51">
        <f>HYPERLINK("https://klasma.github.io/Logging_2321/tillsyn/A 58238-2021 tillsynsbegäran.docx", "A 58238-2021")</f>
        <v/>
      </c>
      <c r="Y51">
        <f>HYPERLINK("https://klasma.github.io/Logging_2321/tillsynsmail/A 58238-2021 tillsynsbegäran mail.docx", "A 58238-2021")</f>
        <v/>
      </c>
    </row>
    <row r="52" ht="15" customHeight="1">
      <c r="A52" t="inlineStr">
        <is>
          <t>A 60246-2021</t>
        </is>
      </c>
      <c r="B52" s="1" t="n">
        <v>44495</v>
      </c>
      <c r="C52" s="1" t="n">
        <v>45358</v>
      </c>
      <c r="D52" t="inlineStr">
        <is>
          <t>JÄMTLANDS LÄN</t>
        </is>
      </c>
      <c r="E52" t="inlineStr">
        <is>
          <t>ÅRE</t>
        </is>
      </c>
      <c r="G52" t="n">
        <v>4.3</v>
      </c>
      <c r="H52" t="n">
        <v>1</v>
      </c>
      <c r="I52" t="n">
        <v>0</v>
      </c>
      <c r="J52" t="n">
        <v>4</v>
      </c>
      <c r="K52" t="n">
        <v>1</v>
      </c>
      <c r="L52" t="n">
        <v>0</v>
      </c>
      <c r="M52" t="n">
        <v>0</v>
      </c>
      <c r="N52" t="n">
        <v>0</v>
      </c>
      <c r="O52" t="n">
        <v>5</v>
      </c>
      <c r="P52" t="n">
        <v>1</v>
      </c>
      <c r="Q52" t="n">
        <v>5</v>
      </c>
      <c r="R52" s="2" t="inlineStr">
        <is>
          <t>Lappticka
Granticka
Tretåig hackspett
Ullticka
Vitgrynig nållav</t>
        </is>
      </c>
      <c r="S52">
        <f>HYPERLINK("https://klasma.github.io/Logging_2321/artfynd/A 60246-2021 artfynd.xlsx", "A 60246-2021")</f>
        <v/>
      </c>
      <c r="T52">
        <f>HYPERLINK("https://klasma.github.io/Logging_2321/kartor/A 60246-2021 karta.png", "A 60246-2021")</f>
        <v/>
      </c>
      <c r="V52">
        <f>HYPERLINK("https://klasma.github.io/Logging_2321/klagomål/A 60246-2021 FSC-klagomål.docx", "A 60246-2021")</f>
        <v/>
      </c>
      <c r="W52">
        <f>HYPERLINK("https://klasma.github.io/Logging_2321/klagomålsmail/A 60246-2021 FSC-klagomål mail.docx", "A 60246-2021")</f>
        <v/>
      </c>
      <c r="X52">
        <f>HYPERLINK("https://klasma.github.io/Logging_2321/tillsyn/A 60246-2021 tillsynsbegäran.docx", "A 60246-2021")</f>
        <v/>
      </c>
      <c r="Y52">
        <f>HYPERLINK("https://klasma.github.io/Logging_2321/tillsynsmail/A 60246-2021 tillsynsbegäran mail.docx", "A 60246-2021")</f>
        <v/>
      </c>
      <c r="Z52">
        <f>HYPERLINK("https://klasma.github.io/Logging_2321/fåglar/A 60246-2021 prioriterade fågelarter.docx", "A 60246-2021")</f>
        <v/>
      </c>
    </row>
    <row r="53" ht="15" customHeight="1">
      <c r="A53" t="inlineStr">
        <is>
          <t>A 32065-2022</t>
        </is>
      </c>
      <c r="B53" s="1" t="n">
        <v>44778</v>
      </c>
      <c r="C53" s="1" t="n">
        <v>45358</v>
      </c>
      <c r="D53" t="inlineStr">
        <is>
          <t>JÄMTLANDS LÄN</t>
        </is>
      </c>
      <c r="E53" t="inlineStr">
        <is>
          <t>ÅRE</t>
        </is>
      </c>
      <c r="G53" t="n">
        <v>19.2</v>
      </c>
      <c r="H53" t="n">
        <v>1</v>
      </c>
      <c r="I53" t="n">
        <v>2</v>
      </c>
      <c r="J53" t="n">
        <v>3</v>
      </c>
      <c r="K53" t="n">
        <v>0</v>
      </c>
      <c r="L53" t="n">
        <v>0</v>
      </c>
      <c r="M53" t="n">
        <v>0</v>
      </c>
      <c r="N53" t="n">
        <v>0</v>
      </c>
      <c r="O53" t="n">
        <v>3</v>
      </c>
      <c r="P53" t="n">
        <v>0</v>
      </c>
      <c r="Q53" t="n">
        <v>5</v>
      </c>
      <c r="R53" s="2" t="inlineStr">
        <is>
          <t>Granticka
Tretåig hackspett
Ullticka
Sotlav
Stuplav</t>
        </is>
      </c>
      <c r="S53">
        <f>HYPERLINK("https://klasma.github.io/Logging_2321/artfynd/A 32065-2022 artfynd.xlsx", "A 32065-2022")</f>
        <v/>
      </c>
      <c r="T53">
        <f>HYPERLINK("https://klasma.github.io/Logging_2321/kartor/A 32065-2022 karta.png", "A 32065-2022")</f>
        <v/>
      </c>
      <c r="V53">
        <f>HYPERLINK("https://klasma.github.io/Logging_2321/klagomål/A 32065-2022 FSC-klagomål.docx", "A 32065-2022")</f>
        <v/>
      </c>
      <c r="W53">
        <f>HYPERLINK("https://klasma.github.io/Logging_2321/klagomålsmail/A 32065-2022 FSC-klagomål mail.docx", "A 32065-2022")</f>
        <v/>
      </c>
      <c r="X53">
        <f>HYPERLINK("https://klasma.github.io/Logging_2321/tillsyn/A 32065-2022 tillsynsbegäran.docx", "A 32065-2022")</f>
        <v/>
      </c>
      <c r="Y53">
        <f>HYPERLINK("https://klasma.github.io/Logging_2321/tillsynsmail/A 32065-2022 tillsynsbegäran mail.docx", "A 32065-2022")</f>
        <v/>
      </c>
      <c r="Z53">
        <f>HYPERLINK("https://klasma.github.io/Logging_2321/fåglar/A 32065-2022 prioriterade fågelarter.docx", "A 32065-2022")</f>
        <v/>
      </c>
    </row>
    <row r="54" ht="15" customHeight="1">
      <c r="A54" t="inlineStr">
        <is>
          <t>A 45114-2022</t>
        </is>
      </c>
      <c r="B54" s="1" t="n">
        <v>44843</v>
      </c>
      <c r="C54" s="1" t="n">
        <v>45358</v>
      </c>
      <c r="D54" t="inlineStr">
        <is>
          <t>JÄMTLANDS LÄN</t>
        </is>
      </c>
      <c r="E54" t="inlineStr">
        <is>
          <t>ÅRE</t>
        </is>
      </c>
      <c r="G54" t="n">
        <v>2.1</v>
      </c>
      <c r="H54" t="n">
        <v>1</v>
      </c>
      <c r="I54" t="n">
        <v>3</v>
      </c>
      <c r="J54" t="n">
        <v>1</v>
      </c>
      <c r="K54" t="n">
        <v>0</v>
      </c>
      <c r="L54" t="n">
        <v>0</v>
      </c>
      <c r="M54" t="n">
        <v>0</v>
      </c>
      <c r="N54" t="n">
        <v>0</v>
      </c>
      <c r="O54" t="n">
        <v>1</v>
      </c>
      <c r="P54" t="n">
        <v>0</v>
      </c>
      <c r="Q54" t="n">
        <v>5</v>
      </c>
      <c r="R54" s="2" t="inlineStr">
        <is>
          <t>Lunglav
Luddlav
Strutbräken
Stuplav
Fläcknycklar</t>
        </is>
      </c>
      <c r="S54">
        <f>HYPERLINK("https://klasma.github.io/Logging_2321/artfynd/A 45114-2022 artfynd.xlsx", "A 45114-2022")</f>
        <v/>
      </c>
      <c r="T54">
        <f>HYPERLINK("https://klasma.github.io/Logging_2321/kartor/A 45114-2022 karta.png", "A 45114-2022")</f>
        <v/>
      </c>
      <c r="V54">
        <f>HYPERLINK("https://klasma.github.io/Logging_2321/klagomål/A 45114-2022 FSC-klagomål.docx", "A 45114-2022")</f>
        <v/>
      </c>
      <c r="W54">
        <f>HYPERLINK("https://klasma.github.io/Logging_2321/klagomålsmail/A 45114-2022 FSC-klagomål mail.docx", "A 45114-2022")</f>
        <v/>
      </c>
      <c r="X54">
        <f>HYPERLINK("https://klasma.github.io/Logging_2321/tillsyn/A 45114-2022 tillsynsbegäran.docx", "A 45114-2022")</f>
        <v/>
      </c>
      <c r="Y54">
        <f>HYPERLINK("https://klasma.github.io/Logging_2321/tillsynsmail/A 45114-2022 tillsynsbegäran mail.docx", "A 45114-2022")</f>
        <v/>
      </c>
    </row>
    <row r="55" ht="15" customHeight="1">
      <c r="A55" t="inlineStr">
        <is>
          <t>A 54448-2022</t>
        </is>
      </c>
      <c r="B55" s="1" t="n">
        <v>44882</v>
      </c>
      <c r="C55" s="1" t="n">
        <v>45358</v>
      </c>
      <c r="D55" t="inlineStr">
        <is>
          <t>JÄMTLANDS LÄN</t>
        </is>
      </c>
      <c r="E55" t="inlineStr">
        <is>
          <t>ÅRE</t>
        </is>
      </c>
      <c r="G55" t="n">
        <v>7.4</v>
      </c>
      <c r="H55" t="n">
        <v>0</v>
      </c>
      <c r="I55" t="n">
        <v>0</v>
      </c>
      <c r="J55" t="n">
        <v>5</v>
      </c>
      <c r="K55" t="n">
        <v>0</v>
      </c>
      <c r="L55" t="n">
        <v>0</v>
      </c>
      <c r="M55" t="n">
        <v>0</v>
      </c>
      <c r="N55" t="n">
        <v>0</v>
      </c>
      <c r="O55" t="n">
        <v>5</v>
      </c>
      <c r="P55" t="n">
        <v>0</v>
      </c>
      <c r="Q55" t="n">
        <v>5</v>
      </c>
      <c r="R55" s="2" t="inlineStr">
        <is>
          <t>Garnlav
Granticka
Gränsticka
Rosenticka
Ullticka</t>
        </is>
      </c>
      <c r="S55">
        <f>HYPERLINK("https://klasma.github.io/Logging_2321/artfynd/A 54448-2022 artfynd.xlsx", "A 54448-2022")</f>
        <v/>
      </c>
      <c r="T55">
        <f>HYPERLINK("https://klasma.github.io/Logging_2321/kartor/A 54448-2022 karta.png", "A 54448-2022")</f>
        <v/>
      </c>
      <c r="V55">
        <f>HYPERLINK("https://klasma.github.io/Logging_2321/klagomål/A 54448-2022 FSC-klagomål.docx", "A 54448-2022")</f>
        <v/>
      </c>
      <c r="W55">
        <f>HYPERLINK("https://klasma.github.io/Logging_2321/klagomålsmail/A 54448-2022 FSC-klagomål mail.docx", "A 54448-2022")</f>
        <v/>
      </c>
      <c r="X55">
        <f>HYPERLINK("https://klasma.github.io/Logging_2321/tillsyn/A 54448-2022 tillsynsbegäran.docx", "A 54448-2022")</f>
        <v/>
      </c>
      <c r="Y55">
        <f>HYPERLINK("https://klasma.github.io/Logging_2321/tillsynsmail/A 54448-2022 tillsynsbegäran mail.docx", "A 54448-2022")</f>
        <v/>
      </c>
    </row>
    <row r="56" ht="15" customHeight="1">
      <c r="A56" t="inlineStr">
        <is>
          <t>A 8515-2023</t>
        </is>
      </c>
      <c r="B56" s="1" t="n">
        <v>44977</v>
      </c>
      <c r="C56" s="1" t="n">
        <v>45358</v>
      </c>
      <c r="D56" t="inlineStr">
        <is>
          <t>JÄMTLANDS LÄN</t>
        </is>
      </c>
      <c r="E56" t="inlineStr">
        <is>
          <t>ÅRE</t>
        </is>
      </c>
      <c r="F56" t="inlineStr">
        <is>
          <t>Övriga Aktiebolag</t>
        </is>
      </c>
      <c r="G56" t="n">
        <v>34.2</v>
      </c>
      <c r="H56" t="n">
        <v>1</v>
      </c>
      <c r="I56" t="n">
        <v>2</v>
      </c>
      <c r="J56" t="n">
        <v>3</v>
      </c>
      <c r="K56" t="n">
        <v>0</v>
      </c>
      <c r="L56" t="n">
        <v>0</v>
      </c>
      <c r="M56" t="n">
        <v>0</v>
      </c>
      <c r="N56" t="n">
        <v>0</v>
      </c>
      <c r="O56" t="n">
        <v>3</v>
      </c>
      <c r="P56" t="n">
        <v>0</v>
      </c>
      <c r="Q56" t="n">
        <v>5</v>
      </c>
      <c r="R56" s="2" t="inlineStr">
        <is>
          <t>Gränsticka
Skrovellav
Tretåig hackspett
Skinnlav
Stuplav</t>
        </is>
      </c>
      <c r="S56">
        <f>HYPERLINK("https://klasma.github.io/Logging_2321/artfynd/A 8515-2023 artfynd.xlsx", "A 8515-2023")</f>
        <v/>
      </c>
      <c r="T56">
        <f>HYPERLINK("https://klasma.github.io/Logging_2321/kartor/A 8515-2023 karta.png", "A 8515-2023")</f>
        <v/>
      </c>
      <c r="V56">
        <f>HYPERLINK("https://klasma.github.io/Logging_2321/klagomål/A 8515-2023 FSC-klagomål.docx", "A 8515-2023")</f>
        <v/>
      </c>
      <c r="W56">
        <f>HYPERLINK("https://klasma.github.io/Logging_2321/klagomålsmail/A 8515-2023 FSC-klagomål mail.docx", "A 8515-2023")</f>
        <v/>
      </c>
      <c r="X56">
        <f>HYPERLINK("https://klasma.github.io/Logging_2321/tillsyn/A 8515-2023 tillsynsbegäran.docx", "A 8515-2023")</f>
        <v/>
      </c>
      <c r="Y56">
        <f>HYPERLINK("https://klasma.github.io/Logging_2321/tillsynsmail/A 8515-2023 tillsynsbegäran mail.docx", "A 8515-2023")</f>
        <v/>
      </c>
      <c r="Z56">
        <f>HYPERLINK("https://klasma.github.io/Logging_2321/fåglar/A 8515-2023 prioriterade fågelarter.docx", "A 8515-2023")</f>
        <v/>
      </c>
    </row>
    <row r="57" ht="15" customHeight="1">
      <c r="A57" t="inlineStr">
        <is>
          <t>A 45828-2023</t>
        </is>
      </c>
      <c r="B57" s="1" t="n">
        <v>45195</v>
      </c>
      <c r="C57" s="1" t="n">
        <v>45358</v>
      </c>
      <c r="D57" t="inlineStr">
        <is>
          <t>JÄMTLANDS LÄN</t>
        </is>
      </c>
      <c r="E57" t="inlineStr">
        <is>
          <t>ÅRE</t>
        </is>
      </c>
      <c r="G57" t="n">
        <v>10.9</v>
      </c>
      <c r="H57" t="n">
        <v>3</v>
      </c>
      <c r="I57" t="n">
        <v>0</v>
      </c>
      <c r="J57" t="n">
        <v>4</v>
      </c>
      <c r="K57" t="n">
        <v>0</v>
      </c>
      <c r="L57" t="n">
        <v>0</v>
      </c>
      <c r="M57" t="n">
        <v>0</v>
      </c>
      <c r="N57" t="n">
        <v>0</v>
      </c>
      <c r="O57" t="n">
        <v>4</v>
      </c>
      <c r="P57" t="n">
        <v>0</v>
      </c>
      <c r="Q57" t="n">
        <v>5</v>
      </c>
      <c r="R57" s="2" t="inlineStr">
        <is>
          <t>Granticka
Harticka
Spillkråka
Tretåig hackspett
Lavskrika</t>
        </is>
      </c>
      <c r="S57">
        <f>HYPERLINK("https://klasma.github.io/Logging_2321/artfynd/A 45828-2023 artfynd.xlsx", "A 45828-2023")</f>
        <v/>
      </c>
      <c r="T57">
        <f>HYPERLINK("https://klasma.github.io/Logging_2321/kartor/A 45828-2023 karta.png", "A 45828-2023")</f>
        <v/>
      </c>
      <c r="V57">
        <f>HYPERLINK("https://klasma.github.io/Logging_2321/klagomål/A 45828-2023 FSC-klagomål.docx", "A 45828-2023")</f>
        <v/>
      </c>
      <c r="W57">
        <f>HYPERLINK("https://klasma.github.io/Logging_2321/klagomålsmail/A 45828-2023 FSC-klagomål mail.docx", "A 45828-2023")</f>
        <v/>
      </c>
      <c r="X57">
        <f>HYPERLINK("https://klasma.github.io/Logging_2321/tillsyn/A 45828-2023 tillsynsbegäran.docx", "A 45828-2023")</f>
        <v/>
      </c>
      <c r="Y57">
        <f>HYPERLINK("https://klasma.github.io/Logging_2321/tillsynsmail/A 45828-2023 tillsynsbegäran mail.docx", "A 45828-2023")</f>
        <v/>
      </c>
      <c r="Z57">
        <f>HYPERLINK("https://klasma.github.io/Logging_2321/fåglar/A 45828-2023 prioriterade fågelarter.docx", "A 45828-2023")</f>
        <v/>
      </c>
    </row>
    <row r="58" ht="15" customHeight="1">
      <c r="A58" t="inlineStr">
        <is>
          <t>A 32051-2019</t>
        </is>
      </c>
      <c r="B58" s="1" t="n">
        <v>43643</v>
      </c>
      <c r="C58" s="1" t="n">
        <v>45358</v>
      </c>
      <c r="D58" t="inlineStr">
        <is>
          <t>JÄMTLANDS LÄN</t>
        </is>
      </c>
      <c r="E58" t="inlineStr">
        <is>
          <t>ÅRE</t>
        </is>
      </c>
      <c r="G58" t="n">
        <v>7.1</v>
      </c>
      <c r="H58" t="n">
        <v>2</v>
      </c>
      <c r="I58" t="n">
        <v>2</v>
      </c>
      <c r="J58" t="n">
        <v>1</v>
      </c>
      <c r="K58" t="n">
        <v>0</v>
      </c>
      <c r="L58" t="n">
        <v>0</v>
      </c>
      <c r="M58" t="n">
        <v>0</v>
      </c>
      <c r="N58" t="n">
        <v>0</v>
      </c>
      <c r="O58" t="n">
        <v>1</v>
      </c>
      <c r="P58" t="n">
        <v>0</v>
      </c>
      <c r="Q58" t="n">
        <v>4</v>
      </c>
      <c r="R58" s="2" t="inlineStr">
        <is>
          <t>Lunglav
Guckusko
Tibast
Blåsippa</t>
        </is>
      </c>
      <c r="S58">
        <f>HYPERLINK("https://klasma.github.io/Logging_2321/artfynd/A 32051-2019 artfynd.xlsx", "A 32051-2019")</f>
        <v/>
      </c>
      <c r="T58">
        <f>HYPERLINK("https://klasma.github.io/Logging_2321/kartor/A 32051-2019 karta.png", "A 32051-2019")</f>
        <v/>
      </c>
      <c r="V58">
        <f>HYPERLINK("https://klasma.github.io/Logging_2321/klagomål/A 32051-2019 FSC-klagomål.docx", "A 32051-2019")</f>
        <v/>
      </c>
      <c r="W58">
        <f>HYPERLINK("https://klasma.github.io/Logging_2321/klagomålsmail/A 32051-2019 FSC-klagomål mail.docx", "A 32051-2019")</f>
        <v/>
      </c>
      <c r="X58">
        <f>HYPERLINK("https://klasma.github.io/Logging_2321/tillsyn/A 32051-2019 tillsynsbegäran.docx", "A 32051-2019")</f>
        <v/>
      </c>
      <c r="Y58">
        <f>HYPERLINK("https://klasma.github.io/Logging_2321/tillsynsmail/A 32051-2019 tillsynsbegäran mail.docx", "A 32051-2019")</f>
        <v/>
      </c>
    </row>
    <row r="59" ht="15" customHeight="1">
      <c r="A59" t="inlineStr">
        <is>
          <t>A 34717-2019</t>
        </is>
      </c>
      <c r="B59" s="1" t="n">
        <v>43657</v>
      </c>
      <c r="C59" s="1" t="n">
        <v>45358</v>
      </c>
      <c r="D59" t="inlineStr">
        <is>
          <t>JÄMTLANDS LÄN</t>
        </is>
      </c>
      <c r="E59" t="inlineStr">
        <is>
          <t>ÅRE</t>
        </is>
      </c>
      <c r="G59" t="n">
        <v>14.4</v>
      </c>
      <c r="H59" t="n">
        <v>0</v>
      </c>
      <c r="I59" t="n">
        <v>1</v>
      </c>
      <c r="J59" t="n">
        <v>3</v>
      </c>
      <c r="K59" t="n">
        <v>0</v>
      </c>
      <c r="L59" t="n">
        <v>0</v>
      </c>
      <c r="M59" t="n">
        <v>0</v>
      </c>
      <c r="N59" t="n">
        <v>0</v>
      </c>
      <c r="O59" t="n">
        <v>3</v>
      </c>
      <c r="P59" t="n">
        <v>0</v>
      </c>
      <c r="Q59" t="n">
        <v>4</v>
      </c>
      <c r="R59" s="2" t="inlineStr">
        <is>
          <t>Blanksvart spiklav
Blågrå svartspik
Vedflamlav
Dropptaggsvamp</t>
        </is>
      </c>
      <c r="S59">
        <f>HYPERLINK("https://klasma.github.io/Logging_2321/artfynd/A 34717-2019 artfynd.xlsx", "A 34717-2019")</f>
        <v/>
      </c>
      <c r="T59">
        <f>HYPERLINK("https://klasma.github.io/Logging_2321/kartor/A 34717-2019 karta.png", "A 34717-2019")</f>
        <v/>
      </c>
      <c r="V59">
        <f>HYPERLINK("https://klasma.github.io/Logging_2321/klagomål/A 34717-2019 FSC-klagomål.docx", "A 34717-2019")</f>
        <v/>
      </c>
      <c r="W59">
        <f>HYPERLINK("https://klasma.github.io/Logging_2321/klagomålsmail/A 34717-2019 FSC-klagomål mail.docx", "A 34717-2019")</f>
        <v/>
      </c>
      <c r="X59">
        <f>HYPERLINK("https://klasma.github.io/Logging_2321/tillsyn/A 34717-2019 tillsynsbegäran.docx", "A 34717-2019")</f>
        <v/>
      </c>
      <c r="Y59">
        <f>HYPERLINK("https://klasma.github.io/Logging_2321/tillsynsmail/A 34717-2019 tillsynsbegäran mail.docx", "A 34717-2019")</f>
        <v/>
      </c>
    </row>
    <row r="60" ht="15" customHeight="1">
      <c r="A60" t="inlineStr">
        <is>
          <t>A 1781-2020</t>
        </is>
      </c>
      <c r="B60" s="1" t="n">
        <v>43844</v>
      </c>
      <c r="C60" s="1" t="n">
        <v>45358</v>
      </c>
      <c r="D60" t="inlineStr">
        <is>
          <t>JÄMTLANDS LÄN</t>
        </is>
      </c>
      <c r="E60" t="inlineStr">
        <is>
          <t>ÅRE</t>
        </is>
      </c>
      <c r="G60" t="n">
        <v>9.300000000000001</v>
      </c>
      <c r="H60" t="n">
        <v>0</v>
      </c>
      <c r="I60" t="n">
        <v>3</v>
      </c>
      <c r="J60" t="n">
        <v>1</v>
      </c>
      <c r="K60" t="n">
        <v>0</v>
      </c>
      <c r="L60" t="n">
        <v>0</v>
      </c>
      <c r="M60" t="n">
        <v>0</v>
      </c>
      <c r="N60" t="n">
        <v>0</v>
      </c>
      <c r="O60" t="n">
        <v>1</v>
      </c>
      <c r="P60" t="n">
        <v>0</v>
      </c>
      <c r="Q60" t="n">
        <v>4</v>
      </c>
      <c r="R60" s="2" t="inlineStr">
        <is>
          <t>Vitgrynig nållav
Kransrams
Kryddspindling
Svavelriska</t>
        </is>
      </c>
      <c r="S60">
        <f>HYPERLINK("https://klasma.github.io/Logging_2321/artfynd/A 1781-2020 artfynd.xlsx", "A 1781-2020")</f>
        <v/>
      </c>
      <c r="T60">
        <f>HYPERLINK("https://klasma.github.io/Logging_2321/kartor/A 1781-2020 karta.png", "A 1781-2020")</f>
        <v/>
      </c>
      <c r="V60">
        <f>HYPERLINK("https://klasma.github.io/Logging_2321/klagomål/A 1781-2020 FSC-klagomål.docx", "A 1781-2020")</f>
        <v/>
      </c>
      <c r="W60">
        <f>HYPERLINK("https://klasma.github.io/Logging_2321/klagomålsmail/A 1781-2020 FSC-klagomål mail.docx", "A 1781-2020")</f>
        <v/>
      </c>
      <c r="X60">
        <f>HYPERLINK("https://klasma.github.io/Logging_2321/tillsyn/A 1781-2020 tillsynsbegäran.docx", "A 1781-2020")</f>
        <v/>
      </c>
      <c r="Y60">
        <f>HYPERLINK("https://klasma.github.io/Logging_2321/tillsynsmail/A 1781-2020 tillsynsbegäran mail.docx", "A 1781-2020")</f>
        <v/>
      </c>
    </row>
    <row r="61" ht="15" customHeight="1">
      <c r="A61" t="inlineStr">
        <is>
          <t>A 16005-2020</t>
        </is>
      </c>
      <c r="B61" s="1" t="n">
        <v>43916</v>
      </c>
      <c r="C61" s="1" t="n">
        <v>45358</v>
      </c>
      <c r="D61" t="inlineStr">
        <is>
          <t>JÄMTLANDS LÄN</t>
        </is>
      </c>
      <c r="E61" t="inlineStr">
        <is>
          <t>ÅRE</t>
        </is>
      </c>
      <c r="G61" t="n">
        <v>13.3</v>
      </c>
      <c r="H61" t="n">
        <v>1</v>
      </c>
      <c r="I61" t="n">
        <v>2</v>
      </c>
      <c r="J61" t="n">
        <v>1</v>
      </c>
      <c r="K61" t="n">
        <v>0</v>
      </c>
      <c r="L61" t="n">
        <v>0</v>
      </c>
      <c r="M61" t="n">
        <v>0</v>
      </c>
      <c r="N61" t="n">
        <v>0</v>
      </c>
      <c r="O61" t="n">
        <v>1</v>
      </c>
      <c r="P61" t="n">
        <v>0</v>
      </c>
      <c r="Q61" t="n">
        <v>4</v>
      </c>
      <c r="R61" s="2" t="inlineStr">
        <is>
          <t>Orange taggsvamp
Dropptaggsvamp
Kransrams
Blåsippa</t>
        </is>
      </c>
      <c r="S61">
        <f>HYPERLINK("https://klasma.github.io/Logging_2321/artfynd/A 16005-2020 artfynd.xlsx", "A 16005-2020")</f>
        <v/>
      </c>
      <c r="T61">
        <f>HYPERLINK("https://klasma.github.io/Logging_2321/kartor/A 16005-2020 karta.png", "A 16005-2020")</f>
        <v/>
      </c>
      <c r="V61">
        <f>HYPERLINK("https://klasma.github.io/Logging_2321/klagomål/A 16005-2020 FSC-klagomål.docx", "A 16005-2020")</f>
        <v/>
      </c>
      <c r="W61">
        <f>HYPERLINK("https://klasma.github.io/Logging_2321/klagomålsmail/A 16005-2020 FSC-klagomål mail.docx", "A 16005-2020")</f>
        <v/>
      </c>
      <c r="X61">
        <f>HYPERLINK("https://klasma.github.io/Logging_2321/tillsyn/A 16005-2020 tillsynsbegäran.docx", "A 16005-2020")</f>
        <v/>
      </c>
      <c r="Y61">
        <f>HYPERLINK("https://klasma.github.io/Logging_2321/tillsynsmail/A 16005-2020 tillsynsbegäran mail.docx", "A 16005-2020")</f>
        <v/>
      </c>
    </row>
    <row r="62" ht="15" customHeight="1">
      <c r="A62" t="inlineStr">
        <is>
          <t>A 45849-2020</t>
        </is>
      </c>
      <c r="B62" s="1" t="n">
        <v>44090</v>
      </c>
      <c r="C62" s="1" t="n">
        <v>45358</v>
      </c>
      <c r="D62" t="inlineStr">
        <is>
          <t>JÄMTLANDS LÄN</t>
        </is>
      </c>
      <c r="E62" t="inlineStr">
        <is>
          <t>ÅRE</t>
        </is>
      </c>
      <c r="G62" t="n">
        <v>2.7</v>
      </c>
      <c r="H62" t="n">
        <v>0</v>
      </c>
      <c r="I62" t="n">
        <v>1</v>
      </c>
      <c r="J62" t="n">
        <v>3</v>
      </c>
      <c r="K62" t="n">
        <v>0</v>
      </c>
      <c r="L62" t="n">
        <v>0</v>
      </c>
      <c r="M62" t="n">
        <v>0</v>
      </c>
      <c r="N62" t="n">
        <v>0</v>
      </c>
      <c r="O62" t="n">
        <v>3</v>
      </c>
      <c r="P62" t="n">
        <v>0</v>
      </c>
      <c r="Q62" t="n">
        <v>4</v>
      </c>
      <c r="R62" s="2" t="inlineStr">
        <is>
          <t>Garnlav
Granticka
Harticka
Stuplav</t>
        </is>
      </c>
      <c r="S62">
        <f>HYPERLINK("https://klasma.github.io/Logging_2321/artfynd/A 45849-2020 artfynd.xlsx", "A 45849-2020")</f>
        <v/>
      </c>
      <c r="T62">
        <f>HYPERLINK("https://klasma.github.io/Logging_2321/kartor/A 45849-2020 karta.png", "A 45849-2020")</f>
        <v/>
      </c>
      <c r="V62">
        <f>HYPERLINK("https://klasma.github.io/Logging_2321/klagomål/A 45849-2020 FSC-klagomål.docx", "A 45849-2020")</f>
        <v/>
      </c>
      <c r="W62">
        <f>HYPERLINK("https://klasma.github.io/Logging_2321/klagomålsmail/A 45849-2020 FSC-klagomål mail.docx", "A 45849-2020")</f>
        <v/>
      </c>
      <c r="X62">
        <f>HYPERLINK("https://klasma.github.io/Logging_2321/tillsyn/A 45849-2020 tillsynsbegäran.docx", "A 45849-2020")</f>
        <v/>
      </c>
      <c r="Y62">
        <f>HYPERLINK("https://klasma.github.io/Logging_2321/tillsynsmail/A 45849-2020 tillsynsbegäran mail.docx", "A 45849-2020")</f>
        <v/>
      </c>
    </row>
    <row r="63" ht="15" customHeight="1">
      <c r="A63" t="inlineStr">
        <is>
          <t>A 69317-2020</t>
        </is>
      </c>
      <c r="B63" s="1" t="n">
        <v>44193</v>
      </c>
      <c r="C63" s="1" t="n">
        <v>45358</v>
      </c>
      <c r="D63" t="inlineStr">
        <is>
          <t>JÄMTLANDS LÄN</t>
        </is>
      </c>
      <c r="E63" t="inlineStr">
        <is>
          <t>ÅRE</t>
        </is>
      </c>
      <c r="G63" t="n">
        <v>10.3</v>
      </c>
      <c r="H63" t="n">
        <v>2</v>
      </c>
      <c r="I63" t="n">
        <v>0</v>
      </c>
      <c r="J63" t="n">
        <v>4</v>
      </c>
      <c r="K63" t="n">
        <v>0</v>
      </c>
      <c r="L63" t="n">
        <v>0</v>
      </c>
      <c r="M63" t="n">
        <v>0</v>
      </c>
      <c r="N63" t="n">
        <v>0</v>
      </c>
      <c r="O63" t="n">
        <v>4</v>
      </c>
      <c r="P63" t="n">
        <v>0</v>
      </c>
      <c r="Q63" t="n">
        <v>4</v>
      </c>
      <c r="R63" s="2" t="inlineStr">
        <is>
          <t>Garnlav
Granticka
Spillkråka
Tretåig hackspett</t>
        </is>
      </c>
      <c r="S63">
        <f>HYPERLINK("https://klasma.github.io/Logging_2321/artfynd/A 69317-2020 artfynd.xlsx", "A 69317-2020")</f>
        <v/>
      </c>
      <c r="T63">
        <f>HYPERLINK("https://klasma.github.io/Logging_2321/kartor/A 69317-2020 karta.png", "A 69317-2020")</f>
        <v/>
      </c>
      <c r="V63">
        <f>HYPERLINK("https://klasma.github.io/Logging_2321/klagomål/A 69317-2020 FSC-klagomål.docx", "A 69317-2020")</f>
        <v/>
      </c>
      <c r="W63">
        <f>HYPERLINK("https://klasma.github.io/Logging_2321/klagomålsmail/A 69317-2020 FSC-klagomål mail.docx", "A 69317-2020")</f>
        <v/>
      </c>
      <c r="X63">
        <f>HYPERLINK("https://klasma.github.io/Logging_2321/tillsyn/A 69317-2020 tillsynsbegäran.docx", "A 69317-2020")</f>
        <v/>
      </c>
      <c r="Y63">
        <f>HYPERLINK("https://klasma.github.io/Logging_2321/tillsynsmail/A 69317-2020 tillsynsbegäran mail.docx", "A 69317-2020")</f>
        <v/>
      </c>
      <c r="Z63">
        <f>HYPERLINK("https://klasma.github.io/Logging_2321/fåglar/A 69317-2020 prioriterade fågelarter.docx", "A 69317-2020")</f>
        <v/>
      </c>
    </row>
    <row r="64" ht="15" customHeight="1">
      <c r="A64" t="inlineStr">
        <is>
          <t>A 6236-2021</t>
        </is>
      </c>
      <c r="B64" s="1" t="n">
        <v>44231</v>
      </c>
      <c r="C64" s="1" t="n">
        <v>45358</v>
      </c>
      <c r="D64" t="inlineStr">
        <is>
          <t>JÄMTLANDS LÄN</t>
        </is>
      </c>
      <c r="E64" t="inlineStr">
        <is>
          <t>ÅRE</t>
        </is>
      </c>
      <c r="G64" t="n">
        <v>39.1</v>
      </c>
      <c r="H64" t="n">
        <v>0</v>
      </c>
      <c r="I64" t="n">
        <v>3</v>
      </c>
      <c r="J64" t="n">
        <v>1</v>
      </c>
      <c r="K64" t="n">
        <v>0</v>
      </c>
      <c r="L64" t="n">
        <v>0</v>
      </c>
      <c r="M64" t="n">
        <v>0</v>
      </c>
      <c r="N64" t="n">
        <v>0</v>
      </c>
      <c r="O64" t="n">
        <v>1</v>
      </c>
      <c r="P64" t="n">
        <v>0</v>
      </c>
      <c r="Q64" t="n">
        <v>4</v>
      </c>
      <c r="R64" s="2" t="inlineStr">
        <is>
          <t>Garnlav
Bårdlav
Gytterlav
Stuplav</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19277-2021</t>
        </is>
      </c>
      <c r="B65" s="1" t="n">
        <v>44309</v>
      </c>
      <c r="C65" s="1" t="n">
        <v>45358</v>
      </c>
      <c r="D65" t="inlineStr">
        <is>
          <t>JÄMTLANDS LÄN</t>
        </is>
      </c>
      <c r="E65" t="inlineStr">
        <is>
          <t>ÅRE</t>
        </is>
      </c>
      <c r="G65" t="n">
        <v>3.2</v>
      </c>
      <c r="H65" t="n">
        <v>0</v>
      </c>
      <c r="I65" t="n">
        <v>2</v>
      </c>
      <c r="J65" t="n">
        <v>2</v>
      </c>
      <c r="K65" t="n">
        <v>0</v>
      </c>
      <c r="L65" t="n">
        <v>0</v>
      </c>
      <c r="M65" t="n">
        <v>0</v>
      </c>
      <c r="N65" t="n">
        <v>0</v>
      </c>
      <c r="O65" t="n">
        <v>2</v>
      </c>
      <c r="P65" t="n">
        <v>0</v>
      </c>
      <c r="Q65" t="n">
        <v>4</v>
      </c>
      <c r="R65" s="2" t="inlineStr">
        <is>
          <t>Garnlav
Gränsticka
Korallblylav
Stuplav</t>
        </is>
      </c>
      <c r="S65">
        <f>HYPERLINK("https://klasma.github.io/Logging_2321/artfynd/A 19277-2021 artfynd.xlsx", "A 19277-2021")</f>
        <v/>
      </c>
      <c r="T65">
        <f>HYPERLINK("https://klasma.github.io/Logging_2321/kartor/A 19277-2021 karta.png", "A 19277-2021")</f>
        <v/>
      </c>
      <c r="V65">
        <f>HYPERLINK("https://klasma.github.io/Logging_2321/klagomål/A 19277-2021 FSC-klagomål.docx", "A 19277-2021")</f>
        <v/>
      </c>
      <c r="W65">
        <f>HYPERLINK("https://klasma.github.io/Logging_2321/klagomålsmail/A 19277-2021 FSC-klagomål mail.docx", "A 19277-2021")</f>
        <v/>
      </c>
      <c r="X65">
        <f>HYPERLINK("https://klasma.github.io/Logging_2321/tillsyn/A 19277-2021 tillsynsbegäran.docx", "A 19277-2021")</f>
        <v/>
      </c>
      <c r="Y65">
        <f>HYPERLINK("https://klasma.github.io/Logging_2321/tillsynsmail/A 19277-2021 tillsynsbegäran mail.docx", "A 19277-2021")</f>
        <v/>
      </c>
    </row>
    <row r="66" ht="15" customHeight="1">
      <c r="A66" t="inlineStr">
        <is>
          <t>A 12271-2022</t>
        </is>
      </c>
      <c r="B66" s="1" t="n">
        <v>44637</v>
      </c>
      <c r="C66" s="1" t="n">
        <v>45358</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45358</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45358</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45358</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45358</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45358</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45358</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45358</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45358</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45358</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45358</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45358</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45358</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45358</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45358</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45358</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45358</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45358</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45358</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45358</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45358</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45358</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45358</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45358</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45358</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45358</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45358</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45358</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8121-2024</t>
        </is>
      </c>
      <c r="B94" s="1" t="n">
        <v>45351</v>
      </c>
      <c r="C94" s="1" t="n">
        <v>45358</v>
      </c>
      <c r="D94" t="inlineStr">
        <is>
          <t>JÄMTLANDS LÄN</t>
        </is>
      </c>
      <c r="E94" t="inlineStr">
        <is>
          <t>ÅRE</t>
        </is>
      </c>
      <c r="F94" t="inlineStr">
        <is>
          <t>Övriga Aktiebolag</t>
        </is>
      </c>
      <c r="G94" t="n">
        <v>14.7</v>
      </c>
      <c r="H94" t="n">
        <v>0</v>
      </c>
      <c r="I94" t="n">
        <v>0</v>
      </c>
      <c r="J94" t="n">
        <v>3</v>
      </c>
      <c r="K94" t="n">
        <v>0</v>
      </c>
      <c r="L94" t="n">
        <v>0</v>
      </c>
      <c r="M94" t="n">
        <v>0</v>
      </c>
      <c r="N94" t="n">
        <v>0</v>
      </c>
      <c r="O94" t="n">
        <v>3</v>
      </c>
      <c r="P94" t="n">
        <v>0</v>
      </c>
      <c r="Q94" t="n">
        <v>3</v>
      </c>
      <c r="R94" s="2" t="inlineStr">
        <is>
          <t>Dvärgbägarlav
Nordtagging
Skrovellav</t>
        </is>
      </c>
      <c r="S94">
        <f>HYPERLINK("https://klasma.github.io/Logging_2321/artfynd/A 8121-2024 artfynd.xlsx", "A 8121-2024")</f>
        <v/>
      </c>
      <c r="T94">
        <f>HYPERLINK("https://klasma.github.io/Logging_2321/kartor/A 8121-2024 karta.png", "A 8121-2024")</f>
        <v/>
      </c>
      <c r="V94">
        <f>HYPERLINK("https://klasma.github.io/Logging_2321/klagomål/A 8121-2024 FSC-klagomål.docx", "A 8121-2024")</f>
        <v/>
      </c>
      <c r="W94">
        <f>HYPERLINK("https://klasma.github.io/Logging_2321/klagomålsmail/A 8121-2024 FSC-klagomål mail.docx", "A 8121-2024")</f>
        <v/>
      </c>
      <c r="X94">
        <f>HYPERLINK("https://klasma.github.io/Logging_2321/tillsyn/A 8121-2024 tillsynsbegäran.docx", "A 8121-2024")</f>
        <v/>
      </c>
      <c r="Y94">
        <f>HYPERLINK("https://klasma.github.io/Logging_2321/tillsynsmail/A 8121-2024 tillsynsbegäran mail.docx", "A 8121-2024")</f>
        <v/>
      </c>
    </row>
    <row r="95" ht="15" customHeight="1">
      <c r="A95" t="inlineStr">
        <is>
          <t>A 12120-2019</t>
        </is>
      </c>
      <c r="B95" s="1" t="n">
        <v>43522</v>
      </c>
      <c r="C95" s="1" t="n">
        <v>45358</v>
      </c>
      <c r="D95" t="inlineStr">
        <is>
          <t>JÄMTLANDS LÄN</t>
        </is>
      </c>
      <c r="E95" t="inlineStr">
        <is>
          <t>ÅRE</t>
        </is>
      </c>
      <c r="G95" t="n">
        <v>2.5</v>
      </c>
      <c r="H95" t="n">
        <v>1</v>
      </c>
      <c r="I95" t="n">
        <v>1</v>
      </c>
      <c r="J95" t="n">
        <v>1</v>
      </c>
      <c r="K95" t="n">
        <v>0</v>
      </c>
      <c r="L95" t="n">
        <v>0</v>
      </c>
      <c r="M95" t="n">
        <v>0</v>
      </c>
      <c r="N95" t="n">
        <v>0</v>
      </c>
      <c r="O95" t="n">
        <v>1</v>
      </c>
      <c r="P95" t="n">
        <v>0</v>
      </c>
      <c r="Q95" t="n">
        <v>2</v>
      </c>
      <c r="R95" s="2" t="inlineStr">
        <is>
          <t>Gränsticka
Spindelblomster</t>
        </is>
      </c>
      <c r="S95">
        <f>HYPERLINK("https://klasma.github.io/Logging_2321/artfynd/A 12120-2019 artfynd.xlsx", "A 12120-2019")</f>
        <v/>
      </c>
      <c r="T95">
        <f>HYPERLINK("https://klasma.github.io/Logging_2321/kartor/A 12120-2019 karta.png", "A 12120-2019")</f>
        <v/>
      </c>
      <c r="V95">
        <f>HYPERLINK("https://klasma.github.io/Logging_2321/klagomål/A 12120-2019 FSC-klagomål.docx", "A 12120-2019")</f>
        <v/>
      </c>
      <c r="W95">
        <f>HYPERLINK("https://klasma.github.io/Logging_2321/klagomålsmail/A 12120-2019 FSC-klagomål mail.docx", "A 12120-2019")</f>
        <v/>
      </c>
      <c r="X95">
        <f>HYPERLINK("https://klasma.github.io/Logging_2321/tillsyn/A 12120-2019 tillsynsbegäran.docx", "A 12120-2019")</f>
        <v/>
      </c>
      <c r="Y95">
        <f>HYPERLINK("https://klasma.github.io/Logging_2321/tillsynsmail/A 12120-2019 tillsynsbegäran mail.docx", "A 12120-2019")</f>
        <v/>
      </c>
    </row>
    <row r="96" ht="15" customHeight="1">
      <c r="A96" t="inlineStr">
        <is>
          <t>A 35409-2019</t>
        </is>
      </c>
      <c r="B96" s="1" t="n">
        <v>43661</v>
      </c>
      <c r="C96" s="1" t="n">
        <v>45358</v>
      </c>
      <c r="D96" t="inlineStr">
        <is>
          <t>JÄMTLANDS LÄN</t>
        </is>
      </c>
      <c r="E96" t="inlineStr">
        <is>
          <t>ÅRE</t>
        </is>
      </c>
      <c r="G96" t="n">
        <v>2.5</v>
      </c>
      <c r="H96" t="n">
        <v>0</v>
      </c>
      <c r="I96" t="n">
        <v>1</v>
      </c>
      <c r="J96" t="n">
        <v>1</v>
      </c>
      <c r="K96" t="n">
        <v>0</v>
      </c>
      <c r="L96" t="n">
        <v>0</v>
      </c>
      <c r="M96" t="n">
        <v>0</v>
      </c>
      <c r="N96" t="n">
        <v>0</v>
      </c>
      <c r="O96" t="n">
        <v>1</v>
      </c>
      <c r="P96" t="n">
        <v>0</v>
      </c>
      <c r="Q96" t="n">
        <v>2</v>
      </c>
      <c r="R96" s="2" t="inlineStr">
        <is>
          <t>Garnlav
Trådticka</t>
        </is>
      </c>
      <c r="S96">
        <f>HYPERLINK("https://klasma.github.io/Logging_2321/artfynd/A 35409-2019 artfynd.xlsx", "A 35409-2019")</f>
        <v/>
      </c>
      <c r="T96">
        <f>HYPERLINK("https://klasma.github.io/Logging_2321/kartor/A 35409-2019 karta.png", "A 35409-2019")</f>
        <v/>
      </c>
      <c r="V96">
        <f>HYPERLINK("https://klasma.github.io/Logging_2321/klagomål/A 35409-2019 FSC-klagomål.docx", "A 35409-2019")</f>
        <v/>
      </c>
      <c r="W96">
        <f>HYPERLINK("https://klasma.github.io/Logging_2321/klagomålsmail/A 35409-2019 FSC-klagomål mail.docx", "A 35409-2019")</f>
        <v/>
      </c>
      <c r="X96">
        <f>HYPERLINK("https://klasma.github.io/Logging_2321/tillsyn/A 35409-2019 tillsynsbegäran.docx", "A 35409-2019")</f>
        <v/>
      </c>
      <c r="Y96">
        <f>HYPERLINK("https://klasma.github.io/Logging_2321/tillsynsmail/A 35409-2019 tillsynsbegäran mail.docx", "A 35409-2019")</f>
        <v/>
      </c>
    </row>
    <row r="97" ht="15" customHeight="1">
      <c r="A97" t="inlineStr">
        <is>
          <t>A 46012-2019</t>
        </is>
      </c>
      <c r="B97" s="1" t="n">
        <v>43718</v>
      </c>
      <c r="C97" s="1" t="n">
        <v>45358</v>
      </c>
      <c r="D97" t="inlineStr">
        <is>
          <t>JÄMTLANDS LÄN</t>
        </is>
      </c>
      <c r="E97" t="inlineStr">
        <is>
          <t>ÅRE</t>
        </is>
      </c>
      <c r="F97" t="inlineStr">
        <is>
          <t>Kommuner</t>
        </is>
      </c>
      <c r="G97" t="n">
        <v>13.4</v>
      </c>
      <c r="H97" t="n">
        <v>1</v>
      </c>
      <c r="I97" t="n">
        <v>0</v>
      </c>
      <c r="J97" t="n">
        <v>1</v>
      </c>
      <c r="K97" t="n">
        <v>1</v>
      </c>
      <c r="L97" t="n">
        <v>0</v>
      </c>
      <c r="M97" t="n">
        <v>0</v>
      </c>
      <c r="N97" t="n">
        <v>0</v>
      </c>
      <c r="O97" t="n">
        <v>2</v>
      </c>
      <c r="P97" t="n">
        <v>1</v>
      </c>
      <c r="Q97" t="n">
        <v>2</v>
      </c>
      <c r="R97" s="2" t="inlineStr">
        <is>
          <t>Knärot
Ullticka</t>
        </is>
      </c>
      <c r="S97">
        <f>HYPERLINK("https://klasma.github.io/Logging_2321/artfynd/A 46012-2019 artfynd.xlsx", "A 46012-2019")</f>
        <v/>
      </c>
      <c r="T97">
        <f>HYPERLINK("https://klasma.github.io/Logging_2321/kartor/A 46012-2019 karta.png", "A 46012-2019")</f>
        <v/>
      </c>
      <c r="U97">
        <f>HYPERLINK("https://klasma.github.io/Logging_2321/knärot/A 46012-2019 karta knärot.png", "A 46012-2019")</f>
        <v/>
      </c>
      <c r="V97">
        <f>HYPERLINK("https://klasma.github.io/Logging_2321/klagomål/A 46012-2019 FSC-klagomål.docx", "A 46012-2019")</f>
        <v/>
      </c>
      <c r="W97">
        <f>HYPERLINK("https://klasma.github.io/Logging_2321/klagomålsmail/A 46012-2019 FSC-klagomål mail.docx", "A 46012-2019")</f>
        <v/>
      </c>
      <c r="X97">
        <f>HYPERLINK("https://klasma.github.io/Logging_2321/tillsyn/A 46012-2019 tillsynsbegäran.docx", "A 46012-2019")</f>
        <v/>
      </c>
      <c r="Y97">
        <f>HYPERLINK("https://klasma.github.io/Logging_2321/tillsynsmail/A 46012-2019 tillsynsbegäran mail.docx", "A 46012-2019")</f>
        <v/>
      </c>
    </row>
    <row r="98" ht="15" customHeight="1">
      <c r="A98" t="inlineStr">
        <is>
          <t>A 32661-2020</t>
        </is>
      </c>
      <c r="B98" s="1" t="n">
        <v>44018</v>
      </c>
      <c r="C98" s="1" t="n">
        <v>45358</v>
      </c>
      <c r="D98" t="inlineStr">
        <is>
          <t>JÄMTLANDS LÄN</t>
        </is>
      </c>
      <c r="E98" t="inlineStr">
        <is>
          <t>ÅRE</t>
        </is>
      </c>
      <c r="G98" t="n">
        <v>1.8</v>
      </c>
      <c r="H98" t="n">
        <v>0</v>
      </c>
      <c r="I98" t="n">
        <v>1</v>
      </c>
      <c r="J98" t="n">
        <v>1</v>
      </c>
      <c r="K98" t="n">
        <v>0</v>
      </c>
      <c r="L98" t="n">
        <v>0</v>
      </c>
      <c r="M98" t="n">
        <v>0</v>
      </c>
      <c r="N98" t="n">
        <v>0</v>
      </c>
      <c r="O98" t="n">
        <v>1</v>
      </c>
      <c r="P98" t="n">
        <v>0</v>
      </c>
      <c r="Q98" t="n">
        <v>2</v>
      </c>
      <c r="R98" s="2" t="inlineStr">
        <is>
          <t>Garnlav
Luddlav</t>
        </is>
      </c>
      <c r="S98">
        <f>HYPERLINK("https://klasma.github.io/Logging_2321/artfynd/A 32661-2020 artfynd.xlsx", "A 32661-2020")</f>
        <v/>
      </c>
      <c r="T98">
        <f>HYPERLINK("https://klasma.github.io/Logging_2321/kartor/A 32661-2020 karta.png", "A 32661-2020")</f>
        <v/>
      </c>
      <c r="V98">
        <f>HYPERLINK("https://klasma.github.io/Logging_2321/klagomål/A 32661-2020 FSC-klagomål.docx", "A 32661-2020")</f>
        <v/>
      </c>
      <c r="W98">
        <f>HYPERLINK("https://klasma.github.io/Logging_2321/klagomålsmail/A 32661-2020 FSC-klagomål mail.docx", "A 32661-2020")</f>
        <v/>
      </c>
      <c r="X98">
        <f>HYPERLINK("https://klasma.github.io/Logging_2321/tillsyn/A 32661-2020 tillsynsbegäran.docx", "A 32661-2020")</f>
        <v/>
      </c>
      <c r="Y98">
        <f>HYPERLINK("https://klasma.github.io/Logging_2321/tillsynsmail/A 32661-2020 tillsynsbegäran mail.docx", "A 32661-2020")</f>
        <v/>
      </c>
    </row>
    <row r="99" ht="15" customHeight="1">
      <c r="A99" t="inlineStr">
        <is>
          <t>A 35623-2020</t>
        </is>
      </c>
      <c r="B99" s="1" t="n">
        <v>44046</v>
      </c>
      <c r="C99" s="1" t="n">
        <v>45358</v>
      </c>
      <c r="D99" t="inlineStr">
        <is>
          <t>JÄMTLANDS LÄN</t>
        </is>
      </c>
      <c r="E99" t="inlineStr">
        <is>
          <t>ÅRE</t>
        </is>
      </c>
      <c r="G99" t="n">
        <v>15.8</v>
      </c>
      <c r="H99" t="n">
        <v>0</v>
      </c>
      <c r="I99" t="n">
        <v>0</v>
      </c>
      <c r="J99" t="n">
        <v>1</v>
      </c>
      <c r="K99" t="n">
        <v>1</v>
      </c>
      <c r="L99" t="n">
        <v>0</v>
      </c>
      <c r="M99" t="n">
        <v>0</v>
      </c>
      <c r="N99" t="n">
        <v>0</v>
      </c>
      <c r="O99" t="n">
        <v>2</v>
      </c>
      <c r="P99" t="n">
        <v>1</v>
      </c>
      <c r="Q99" t="n">
        <v>2</v>
      </c>
      <c r="R99" s="2" t="inlineStr">
        <is>
          <t>Norsk näverlav
Gammelgransskål</t>
        </is>
      </c>
      <c r="S99">
        <f>HYPERLINK("https://klasma.github.io/Logging_2321/artfynd/A 35623-2020 artfynd.xlsx", "A 35623-2020")</f>
        <v/>
      </c>
      <c r="T99">
        <f>HYPERLINK("https://klasma.github.io/Logging_2321/kartor/A 35623-2020 karta.png", "A 35623-2020")</f>
        <v/>
      </c>
      <c r="V99">
        <f>HYPERLINK("https://klasma.github.io/Logging_2321/klagomål/A 35623-2020 FSC-klagomål.docx", "A 35623-2020")</f>
        <v/>
      </c>
      <c r="W99">
        <f>HYPERLINK("https://klasma.github.io/Logging_2321/klagomålsmail/A 35623-2020 FSC-klagomål mail.docx", "A 35623-2020")</f>
        <v/>
      </c>
      <c r="X99">
        <f>HYPERLINK("https://klasma.github.io/Logging_2321/tillsyn/A 35623-2020 tillsynsbegäran.docx", "A 35623-2020")</f>
        <v/>
      </c>
      <c r="Y99">
        <f>HYPERLINK("https://klasma.github.io/Logging_2321/tillsynsmail/A 35623-2020 tillsynsbegäran mail.docx", "A 35623-2020")</f>
        <v/>
      </c>
    </row>
    <row r="100" ht="15" customHeight="1">
      <c r="A100" t="inlineStr">
        <is>
          <t>A 52778-2020</t>
        </is>
      </c>
      <c r="B100" s="1" t="n">
        <v>44119</v>
      </c>
      <c r="C100" s="1" t="n">
        <v>45358</v>
      </c>
      <c r="D100" t="inlineStr">
        <is>
          <t>JÄMTLANDS LÄN</t>
        </is>
      </c>
      <c r="E100" t="inlineStr">
        <is>
          <t>ÅRE</t>
        </is>
      </c>
      <c r="G100" t="n">
        <v>16.5</v>
      </c>
      <c r="H100" t="n">
        <v>0</v>
      </c>
      <c r="I100" t="n">
        <v>0</v>
      </c>
      <c r="J100" t="n">
        <v>2</v>
      </c>
      <c r="K100" t="n">
        <v>0</v>
      </c>
      <c r="L100" t="n">
        <v>0</v>
      </c>
      <c r="M100" t="n">
        <v>0</v>
      </c>
      <c r="N100" t="n">
        <v>0</v>
      </c>
      <c r="O100" t="n">
        <v>2</v>
      </c>
      <c r="P100" t="n">
        <v>0</v>
      </c>
      <c r="Q100" t="n">
        <v>2</v>
      </c>
      <c r="R100" s="2" t="inlineStr">
        <is>
          <t>Garnlav
Granticka</t>
        </is>
      </c>
      <c r="S100">
        <f>HYPERLINK("https://klasma.github.io/Logging_2321/artfynd/A 52778-2020 artfynd.xlsx", "A 52778-2020")</f>
        <v/>
      </c>
      <c r="T100">
        <f>HYPERLINK("https://klasma.github.io/Logging_2321/kartor/A 52778-2020 karta.png", "A 52778-2020")</f>
        <v/>
      </c>
      <c r="V100">
        <f>HYPERLINK("https://klasma.github.io/Logging_2321/klagomål/A 52778-2020 FSC-klagomål.docx", "A 52778-2020")</f>
        <v/>
      </c>
      <c r="W100">
        <f>HYPERLINK("https://klasma.github.io/Logging_2321/klagomålsmail/A 52778-2020 FSC-klagomål mail.docx", "A 52778-2020")</f>
        <v/>
      </c>
      <c r="X100">
        <f>HYPERLINK("https://klasma.github.io/Logging_2321/tillsyn/A 52778-2020 tillsynsbegäran.docx", "A 52778-2020")</f>
        <v/>
      </c>
      <c r="Y100">
        <f>HYPERLINK("https://klasma.github.io/Logging_2321/tillsynsmail/A 52778-2020 tillsynsbegäran mail.docx", "A 52778-2020")</f>
        <v/>
      </c>
    </row>
    <row r="101" ht="15" customHeight="1">
      <c r="A101" t="inlineStr">
        <is>
          <t>A 5388-2021</t>
        </is>
      </c>
      <c r="B101" s="1" t="n">
        <v>44229</v>
      </c>
      <c r="C101" s="1" t="n">
        <v>45358</v>
      </c>
      <c r="D101" t="inlineStr">
        <is>
          <t>JÄMTLANDS LÄN</t>
        </is>
      </c>
      <c r="E101" t="inlineStr">
        <is>
          <t>ÅRE</t>
        </is>
      </c>
      <c r="G101" t="n">
        <v>6.9</v>
      </c>
      <c r="H101" t="n">
        <v>1</v>
      </c>
      <c r="I101" t="n">
        <v>0</v>
      </c>
      <c r="J101" t="n">
        <v>2</v>
      </c>
      <c r="K101" t="n">
        <v>0</v>
      </c>
      <c r="L101" t="n">
        <v>0</v>
      </c>
      <c r="M101" t="n">
        <v>0</v>
      </c>
      <c r="N101" t="n">
        <v>0</v>
      </c>
      <c r="O101" t="n">
        <v>2</v>
      </c>
      <c r="P101" t="n">
        <v>0</v>
      </c>
      <c r="Q101" t="n">
        <v>2</v>
      </c>
      <c r="R101" s="2" t="inlineStr">
        <is>
          <t>Tretåig hackspett
Ullticka</t>
        </is>
      </c>
      <c r="S101">
        <f>HYPERLINK("https://klasma.github.io/Logging_2321/artfynd/A 5388-2021 artfynd.xlsx", "A 5388-2021")</f>
        <v/>
      </c>
      <c r="T101">
        <f>HYPERLINK("https://klasma.github.io/Logging_2321/kartor/A 5388-2021 karta.png", "A 5388-2021")</f>
        <v/>
      </c>
      <c r="V101">
        <f>HYPERLINK("https://klasma.github.io/Logging_2321/klagomål/A 5388-2021 FSC-klagomål.docx", "A 5388-2021")</f>
        <v/>
      </c>
      <c r="W101">
        <f>HYPERLINK("https://klasma.github.io/Logging_2321/klagomålsmail/A 5388-2021 FSC-klagomål mail.docx", "A 5388-2021")</f>
        <v/>
      </c>
      <c r="X101">
        <f>HYPERLINK("https://klasma.github.io/Logging_2321/tillsyn/A 5388-2021 tillsynsbegäran.docx", "A 5388-2021")</f>
        <v/>
      </c>
      <c r="Y101">
        <f>HYPERLINK("https://klasma.github.io/Logging_2321/tillsynsmail/A 5388-2021 tillsynsbegäran mail.docx", "A 5388-2021")</f>
        <v/>
      </c>
      <c r="Z101">
        <f>HYPERLINK("https://klasma.github.io/Logging_2321/fåglar/A 5388-2021 prioriterade fågelarter.docx", "A 5388-2021")</f>
        <v/>
      </c>
    </row>
    <row r="102" ht="15" customHeight="1">
      <c r="A102" t="inlineStr">
        <is>
          <t>A 23566-2021</t>
        </is>
      </c>
      <c r="B102" s="1" t="n">
        <v>44334</v>
      </c>
      <c r="C102" s="1" t="n">
        <v>45358</v>
      </c>
      <c r="D102" t="inlineStr">
        <is>
          <t>JÄMTLANDS LÄN</t>
        </is>
      </c>
      <c r="E102" t="inlineStr">
        <is>
          <t>ÅRE</t>
        </is>
      </c>
      <c r="G102" t="n">
        <v>20</v>
      </c>
      <c r="H102" t="n">
        <v>1</v>
      </c>
      <c r="I102" t="n">
        <v>1</v>
      </c>
      <c r="J102" t="n">
        <v>1</v>
      </c>
      <c r="K102" t="n">
        <v>0</v>
      </c>
      <c r="L102" t="n">
        <v>0</v>
      </c>
      <c r="M102" t="n">
        <v>0</v>
      </c>
      <c r="N102" t="n">
        <v>0</v>
      </c>
      <c r="O102" t="n">
        <v>1</v>
      </c>
      <c r="P102" t="n">
        <v>0</v>
      </c>
      <c r="Q102" t="n">
        <v>2</v>
      </c>
      <c r="R102" s="2" t="inlineStr">
        <is>
          <t>Skrovellav
Spindelblomster</t>
        </is>
      </c>
      <c r="S102">
        <f>HYPERLINK("https://klasma.github.io/Logging_2321/artfynd/A 23566-2021 artfynd.xlsx", "A 23566-2021")</f>
        <v/>
      </c>
      <c r="T102">
        <f>HYPERLINK("https://klasma.github.io/Logging_2321/kartor/A 23566-2021 karta.png", "A 23566-2021")</f>
        <v/>
      </c>
      <c r="V102">
        <f>HYPERLINK("https://klasma.github.io/Logging_2321/klagomål/A 23566-2021 FSC-klagomål.docx", "A 23566-2021")</f>
        <v/>
      </c>
      <c r="W102">
        <f>HYPERLINK("https://klasma.github.io/Logging_2321/klagomålsmail/A 23566-2021 FSC-klagomål mail.docx", "A 23566-2021")</f>
        <v/>
      </c>
      <c r="X102">
        <f>HYPERLINK("https://klasma.github.io/Logging_2321/tillsyn/A 23566-2021 tillsynsbegäran.docx", "A 23566-2021")</f>
        <v/>
      </c>
      <c r="Y102">
        <f>HYPERLINK("https://klasma.github.io/Logging_2321/tillsynsmail/A 23566-2021 tillsynsbegäran mail.docx", "A 23566-2021")</f>
        <v/>
      </c>
    </row>
    <row r="103" ht="15" customHeight="1">
      <c r="A103" t="inlineStr">
        <is>
          <t>A 46984-2021</t>
        </is>
      </c>
      <c r="B103" s="1" t="n">
        <v>44446</v>
      </c>
      <c r="C103" s="1" t="n">
        <v>45358</v>
      </c>
      <c r="D103" t="inlineStr">
        <is>
          <t>JÄMTLANDS LÄN</t>
        </is>
      </c>
      <c r="E103" t="inlineStr">
        <is>
          <t>ÅRE</t>
        </is>
      </c>
      <c r="G103" t="n">
        <v>0.2</v>
      </c>
      <c r="H103" t="n">
        <v>1</v>
      </c>
      <c r="I103" t="n">
        <v>0</v>
      </c>
      <c r="J103" t="n">
        <v>2</v>
      </c>
      <c r="K103" t="n">
        <v>0</v>
      </c>
      <c r="L103" t="n">
        <v>0</v>
      </c>
      <c r="M103" t="n">
        <v>0</v>
      </c>
      <c r="N103" t="n">
        <v>0</v>
      </c>
      <c r="O103" t="n">
        <v>2</v>
      </c>
      <c r="P103" t="n">
        <v>0</v>
      </c>
      <c r="Q103" t="n">
        <v>2</v>
      </c>
      <c r="R103" s="2" t="inlineStr">
        <is>
          <t>Garnlav
Tretåig hackspett</t>
        </is>
      </c>
      <c r="S103">
        <f>HYPERLINK("https://klasma.github.io/Logging_2321/artfynd/A 46984-2021 artfynd.xlsx", "A 46984-2021")</f>
        <v/>
      </c>
      <c r="T103">
        <f>HYPERLINK("https://klasma.github.io/Logging_2321/kartor/A 46984-2021 karta.png", "A 46984-2021")</f>
        <v/>
      </c>
      <c r="V103">
        <f>HYPERLINK("https://klasma.github.io/Logging_2321/klagomål/A 46984-2021 FSC-klagomål.docx", "A 46984-2021")</f>
        <v/>
      </c>
      <c r="W103">
        <f>HYPERLINK("https://klasma.github.io/Logging_2321/klagomålsmail/A 46984-2021 FSC-klagomål mail.docx", "A 46984-2021")</f>
        <v/>
      </c>
      <c r="X103">
        <f>HYPERLINK("https://klasma.github.io/Logging_2321/tillsyn/A 46984-2021 tillsynsbegäran.docx", "A 46984-2021")</f>
        <v/>
      </c>
      <c r="Y103">
        <f>HYPERLINK("https://klasma.github.io/Logging_2321/tillsynsmail/A 46984-2021 tillsynsbegäran mail.docx", "A 46984-2021")</f>
        <v/>
      </c>
      <c r="Z103">
        <f>HYPERLINK("https://klasma.github.io/Logging_2321/fåglar/A 46984-2021 prioriterade fågelarter.docx", "A 46984-2021")</f>
        <v/>
      </c>
    </row>
    <row r="104" ht="15" customHeight="1">
      <c r="A104" t="inlineStr">
        <is>
          <t>A 64663-2021</t>
        </is>
      </c>
      <c r="B104" s="1" t="n">
        <v>44512</v>
      </c>
      <c r="C104" s="1" t="n">
        <v>45358</v>
      </c>
      <c r="D104" t="inlineStr">
        <is>
          <t>JÄMTLANDS LÄN</t>
        </is>
      </c>
      <c r="E104" t="inlineStr">
        <is>
          <t>ÅRE</t>
        </is>
      </c>
      <c r="G104" t="n">
        <v>14.5</v>
      </c>
      <c r="H104" t="n">
        <v>0</v>
      </c>
      <c r="I104" t="n">
        <v>0</v>
      </c>
      <c r="J104" t="n">
        <v>1</v>
      </c>
      <c r="K104" t="n">
        <v>1</v>
      </c>
      <c r="L104" t="n">
        <v>0</v>
      </c>
      <c r="M104" t="n">
        <v>0</v>
      </c>
      <c r="N104" t="n">
        <v>0</v>
      </c>
      <c r="O104" t="n">
        <v>2</v>
      </c>
      <c r="P104" t="n">
        <v>1</v>
      </c>
      <c r="Q104" t="n">
        <v>2</v>
      </c>
      <c r="R104" s="2" t="inlineStr">
        <is>
          <t>Sotbandad spindling
Vitterspindling</t>
        </is>
      </c>
      <c r="S104">
        <f>HYPERLINK("https://klasma.github.io/Logging_2321/artfynd/A 64663-2021 artfynd.xlsx", "A 64663-2021")</f>
        <v/>
      </c>
      <c r="T104">
        <f>HYPERLINK("https://klasma.github.io/Logging_2321/kartor/A 64663-2021 karta.png", "A 64663-2021")</f>
        <v/>
      </c>
      <c r="V104">
        <f>HYPERLINK("https://klasma.github.io/Logging_2321/klagomål/A 64663-2021 FSC-klagomål.docx", "A 64663-2021")</f>
        <v/>
      </c>
      <c r="W104">
        <f>HYPERLINK("https://klasma.github.io/Logging_2321/klagomålsmail/A 64663-2021 FSC-klagomål mail.docx", "A 64663-2021")</f>
        <v/>
      </c>
      <c r="X104">
        <f>HYPERLINK("https://klasma.github.io/Logging_2321/tillsyn/A 64663-2021 tillsynsbegäran.docx", "A 64663-2021")</f>
        <v/>
      </c>
      <c r="Y104">
        <f>HYPERLINK("https://klasma.github.io/Logging_2321/tillsynsmail/A 64663-2021 tillsynsbegäran mail.docx", "A 64663-2021")</f>
        <v/>
      </c>
    </row>
    <row r="105" ht="15" customHeight="1">
      <c r="A105" t="inlineStr">
        <is>
          <t>A 64668-2021</t>
        </is>
      </c>
      <c r="B105" s="1" t="n">
        <v>44512</v>
      </c>
      <c r="C105" s="1" t="n">
        <v>45358</v>
      </c>
      <c r="D105" t="inlineStr">
        <is>
          <t>JÄMTLANDS LÄN</t>
        </is>
      </c>
      <c r="E105" t="inlineStr">
        <is>
          <t>ÅRE</t>
        </is>
      </c>
      <c r="G105" t="n">
        <v>1.9</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HYPERLINK("https://klasma.github.io/Logging_2321/artfynd/A 64668-2021 artfynd.xlsx", "A 64668-2021")</f>
        <v/>
      </c>
      <c r="T105">
        <f>HYPERLINK("https://klasma.github.io/Logging_2321/kartor/A 64668-2021 karta.png", "A 64668-2021")</f>
        <v/>
      </c>
      <c r="V105">
        <f>HYPERLINK("https://klasma.github.io/Logging_2321/klagomål/A 64668-2021 FSC-klagomål.docx", "A 64668-2021")</f>
        <v/>
      </c>
      <c r="W105">
        <f>HYPERLINK("https://klasma.github.io/Logging_2321/klagomålsmail/A 64668-2021 FSC-klagomål mail.docx", "A 64668-2021")</f>
        <v/>
      </c>
      <c r="X105">
        <f>HYPERLINK("https://klasma.github.io/Logging_2321/tillsyn/A 64668-2021 tillsynsbegäran.docx", "A 64668-2021")</f>
        <v/>
      </c>
      <c r="Y105">
        <f>HYPERLINK("https://klasma.github.io/Logging_2321/tillsynsmail/A 64668-2021 tillsynsbegäran mail.docx", "A 64668-2021")</f>
        <v/>
      </c>
      <c r="Z105">
        <f>HYPERLINK("https://klasma.github.io/Logging_2321/fåglar/A 64668-2021 prioriterade fågelarter.docx", "A 64668-2021")</f>
        <v/>
      </c>
    </row>
    <row r="106" ht="15" customHeight="1">
      <c r="A106" t="inlineStr">
        <is>
          <t>A 22231-2022</t>
        </is>
      </c>
      <c r="B106" s="1" t="n">
        <v>44712</v>
      </c>
      <c r="C106" s="1" t="n">
        <v>45358</v>
      </c>
      <c r="D106" t="inlineStr">
        <is>
          <t>JÄMTLANDS LÄN</t>
        </is>
      </c>
      <c r="E106" t="inlineStr">
        <is>
          <t>ÅRE</t>
        </is>
      </c>
      <c r="G106" t="n">
        <v>15</v>
      </c>
      <c r="H106" t="n">
        <v>0</v>
      </c>
      <c r="I106" t="n">
        <v>0</v>
      </c>
      <c r="J106" t="n">
        <v>2</v>
      </c>
      <c r="K106" t="n">
        <v>0</v>
      </c>
      <c r="L106" t="n">
        <v>0</v>
      </c>
      <c r="M106" t="n">
        <v>0</v>
      </c>
      <c r="N106" t="n">
        <v>0</v>
      </c>
      <c r="O106" t="n">
        <v>2</v>
      </c>
      <c r="P106" t="n">
        <v>0</v>
      </c>
      <c r="Q106" t="n">
        <v>2</v>
      </c>
      <c r="R106" s="2" t="inlineStr">
        <is>
          <t>Gammelgransskål
Granticka</t>
        </is>
      </c>
      <c r="S106">
        <f>HYPERLINK("https://klasma.github.io/Logging_2321/artfynd/A 22231-2022 artfynd.xlsx", "A 22231-2022")</f>
        <v/>
      </c>
      <c r="T106">
        <f>HYPERLINK("https://klasma.github.io/Logging_2321/kartor/A 22231-2022 karta.png", "A 22231-2022")</f>
        <v/>
      </c>
      <c r="V106">
        <f>HYPERLINK("https://klasma.github.io/Logging_2321/klagomål/A 22231-2022 FSC-klagomål.docx", "A 22231-2022")</f>
        <v/>
      </c>
      <c r="W106">
        <f>HYPERLINK("https://klasma.github.io/Logging_2321/klagomålsmail/A 22231-2022 FSC-klagomål mail.docx", "A 22231-2022")</f>
        <v/>
      </c>
      <c r="X106">
        <f>HYPERLINK("https://klasma.github.io/Logging_2321/tillsyn/A 22231-2022 tillsynsbegäran.docx", "A 22231-2022")</f>
        <v/>
      </c>
      <c r="Y106">
        <f>HYPERLINK("https://klasma.github.io/Logging_2321/tillsynsmail/A 22231-2022 tillsynsbegäran mail.docx", "A 22231-2022")</f>
        <v/>
      </c>
    </row>
    <row r="107" ht="15" customHeight="1">
      <c r="A107" t="inlineStr">
        <is>
          <t>A 22974-2022</t>
        </is>
      </c>
      <c r="B107" s="1" t="n">
        <v>44716</v>
      </c>
      <c r="C107" s="1" t="n">
        <v>45358</v>
      </c>
      <c r="D107" t="inlineStr">
        <is>
          <t>JÄMTLANDS LÄN</t>
        </is>
      </c>
      <c r="E107" t="inlineStr">
        <is>
          <t>ÅRE</t>
        </is>
      </c>
      <c r="G107" t="n">
        <v>8.300000000000001</v>
      </c>
      <c r="H107" t="n">
        <v>1</v>
      </c>
      <c r="I107" t="n">
        <v>2</v>
      </c>
      <c r="J107" t="n">
        <v>0</v>
      </c>
      <c r="K107" t="n">
        <v>0</v>
      </c>
      <c r="L107" t="n">
        <v>0</v>
      </c>
      <c r="M107" t="n">
        <v>0</v>
      </c>
      <c r="N107" t="n">
        <v>0</v>
      </c>
      <c r="O107" t="n">
        <v>0</v>
      </c>
      <c r="P107" t="n">
        <v>0</v>
      </c>
      <c r="Q107" t="n">
        <v>2</v>
      </c>
      <c r="R107" s="2" t="inlineStr">
        <is>
          <t>Spindelblomster
Ögonpyrola</t>
        </is>
      </c>
      <c r="S107">
        <f>HYPERLINK("https://klasma.github.io/Logging_2321/artfynd/A 22974-2022 artfynd.xlsx", "A 22974-2022")</f>
        <v/>
      </c>
      <c r="T107">
        <f>HYPERLINK("https://klasma.github.io/Logging_2321/kartor/A 22974-2022 karta.png", "A 22974-2022")</f>
        <v/>
      </c>
      <c r="V107">
        <f>HYPERLINK("https://klasma.github.io/Logging_2321/klagomål/A 22974-2022 FSC-klagomål.docx", "A 22974-2022")</f>
        <v/>
      </c>
      <c r="W107">
        <f>HYPERLINK("https://klasma.github.io/Logging_2321/klagomålsmail/A 22974-2022 FSC-klagomål mail.docx", "A 22974-2022")</f>
        <v/>
      </c>
      <c r="X107">
        <f>HYPERLINK("https://klasma.github.io/Logging_2321/tillsyn/A 22974-2022 tillsynsbegäran.docx", "A 22974-2022")</f>
        <v/>
      </c>
      <c r="Y107">
        <f>HYPERLINK("https://klasma.github.io/Logging_2321/tillsynsmail/A 22974-2022 tillsynsbegäran mail.docx", "A 22974-2022")</f>
        <v/>
      </c>
    </row>
    <row r="108" ht="15" customHeight="1">
      <c r="A108" t="inlineStr">
        <is>
          <t>A 32207-2022</t>
        </is>
      </c>
      <c r="B108" s="1" t="n">
        <v>44781</v>
      </c>
      <c r="C108" s="1" t="n">
        <v>45358</v>
      </c>
      <c r="D108" t="inlineStr">
        <is>
          <t>JÄMTLANDS LÄN</t>
        </is>
      </c>
      <c r="E108" t="inlineStr">
        <is>
          <t>ÅRE</t>
        </is>
      </c>
      <c r="G108" t="n">
        <v>5.5</v>
      </c>
      <c r="H108" t="n">
        <v>1</v>
      </c>
      <c r="I108" t="n">
        <v>2</v>
      </c>
      <c r="J108" t="n">
        <v>0</v>
      </c>
      <c r="K108" t="n">
        <v>0</v>
      </c>
      <c r="L108" t="n">
        <v>0</v>
      </c>
      <c r="M108" t="n">
        <v>0</v>
      </c>
      <c r="N108" t="n">
        <v>0</v>
      </c>
      <c r="O108" t="n">
        <v>0</v>
      </c>
      <c r="P108" t="n">
        <v>0</v>
      </c>
      <c r="Q108" t="n">
        <v>2</v>
      </c>
      <c r="R108" s="2" t="inlineStr">
        <is>
          <t>Korallrot
Ögonpyrola</t>
        </is>
      </c>
      <c r="S108">
        <f>HYPERLINK("https://klasma.github.io/Logging_2321/artfynd/A 32207-2022 artfynd.xlsx", "A 32207-2022")</f>
        <v/>
      </c>
      <c r="T108">
        <f>HYPERLINK("https://klasma.github.io/Logging_2321/kartor/A 32207-2022 karta.png", "A 32207-2022")</f>
        <v/>
      </c>
      <c r="V108">
        <f>HYPERLINK("https://klasma.github.io/Logging_2321/klagomål/A 32207-2022 FSC-klagomål.docx", "A 32207-2022")</f>
        <v/>
      </c>
      <c r="W108">
        <f>HYPERLINK("https://klasma.github.io/Logging_2321/klagomålsmail/A 32207-2022 FSC-klagomål mail.docx", "A 32207-2022")</f>
        <v/>
      </c>
      <c r="X108">
        <f>HYPERLINK("https://klasma.github.io/Logging_2321/tillsyn/A 32207-2022 tillsynsbegäran.docx", "A 32207-2022")</f>
        <v/>
      </c>
      <c r="Y108">
        <f>HYPERLINK("https://klasma.github.io/Logging_2321/tillsynsmail/A 32207-2022 tillsynsbegäran mail.docx", "A 32207-2022")</f>
        <v/>
      </c>
    </row>
    <row r="109" ht="15" customHeight="1">
      <c r="A109" t="inlineStr">
        <is>
          <t>A 55739-2022</t>
        </is>
      </c>
      <c r="B109" s="1" t="n">
        <v>44888</v>
      </c>
      <c r="C109" s="1" t="n">
        <v>45358</v>
      </c>
      <c r="D109" t="inlineStr">
        <is>
          <t>JÄMTLANDS LÄN</t>
        </is>
      </c>
      <c r="E109" t="inlineStr">
        <is>
          <t>ÅRE</t>
        </is>
      </c>
      <c r="F109" t="inlineStr">
        <is>
          <t>Övriga Aktiebolag</t>
        </is>
      </c>
      <c r="G109" t="n">
        <v>10.2</v>
      </c>
      <c r="H109" t="n">
        <v>2</v>
      </c>
      <c r="I109" t="n">
        <v>0</v>
      </c>
      <c r="J109" t="n">
        <v>2</v>
      </c>
      <c r="K109" t="n">
        <v>0</v>
      </c>
      <c r="L109" t="n">
        <v>0</v>
      </c>
      <c r="M109" t="n">
        <v>0</v>
      </c>
      <c r="N109" t="n">
        <v>0</v>
      </c>
      <c r="O109" t="n">
        <v>2</v>
      </c>
      <c r="P109" t="n">
        <v>0</v>
      </c>
      <c r="Q109" t="n">
        <v>2</v>
      </c>
      <c r="R109" s="2" t="inlineStr">
        <is>
          <t>Spillkråka
Tretåig hackspett</t>
        </is>
      </c>
      <c r="S109">
        <f>HYPERLINK("https://klasma.github.io/Logging_2321/artfynd/A 55739-2022 artfynd.xlsx", "A 55739-2022")</f>
        <v/>
      </c>
      <c r="T109">
        <f>HYPERLINK("https://klasma.github.io/Logging_2321/kartor/A 55739-2022 karta.png", "A 55739-2022")</f>
        <v/>
      </c>
      <c r="V109">
        <f>HYPERLINK("https://klasma.github.io/Logging_2321/klagomål/A 55739-2022 FSC-klagomål.docx", "A 55739-2022")</f>
        <v/>
      </c>
      <c r="W109">
        <f>HYPERLINK("https://klasma.github.io/Logging_2321/klagomålsmail/A 55739-2022 FSC-klagomål mail.docx", "A 55739-2022")</f>
        <v/>
      </c>
      <c r="X109">
        <f>HYPERLINK("https://klasma.github.io/Logging_2321/tillsyn/A 55739-2022 tillsynsbegäran.docx", "A 55739-2022")</f>
        <v/>
      </c>
      <c r="Y109">
        <f>HYPERLINK("https://klasma.github.io/Logging_2321/tillsynsmail/A 55739-2022 tillsynsbegäran mail.docx", "A 55739-2022")</f>
        <v/>
      </c>
      <c r="Z109">
        <f>HYPERLINK("https://klasma.github.io/Logging_2321/fåglar/A 55739-2022 prioriterade fågelarter.docx", "A 55739-2022")</f>
        <v/>
      </c>
    </row>
    <row r="110" ht="15" customHeight="1">
      <c r="A110" t="inlineStr">
        <is>
          <t>A 56472-2022</t>
        </is>
      </c>
      <c r="B110" s="1" t="n">
        <v>44893</v>
      </c>
      <c r="C110" s="1" t="n">
        <v>45358</v>
      </c>
      <c r="D110" t="inlineStr">
        <is>
          <t>JÄMTLANDS LÄN</t>
        </is>
      </c>
      <c r="E110" t="inlineStr">
        <is>
          <t>ÅRE</t>
        </is>
      </c>
      <c r="F110" t="inlineStr">
        <is>
          <t>Övriga Aktiebolag</t>
        </is>
      </c>
      <c r="G110" t="n">
        <v>22</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56472-2022 artfynd.xlsx", "A 56472-2022")</f>
        <v/>
      </c>
      <c r="T110">
        <f>HYPERLINK("https://klasma.github.io/Logging_2321/kartor/A 56472-2022 karta.png", "A 56472-2022")</f>
        <v/>
      </c>
      <c r="V110">
        <f>HYPERLINK("https://klasma.github.io/Logging_2321/klagomål/A 56472-2022 FSC-klagomål.docx", "A 56472-2022")</f>
        <v/>
      </c>
      <c r="W110">
        <f>HYPERLINK("https://klasma.github.io/Logging_2321/klagomålsmail/A 56472-2022 FSC-klagomål mail.docx", "A 56472-2022")</f>
        <v/>
      </c>
      <c r="X110">
        <f>HYPERLINK("https://klasma.github.io/Logging_2321/tillsyn/A 56472-2022 tillsynsbegäran.docx", "A 56472-2022")</f>
        <v/>
      </c>
      <c r="Y110">
        <f>HYPERLINK("https://klasma.github.io/Logging_2321/tillsynsmail/A 56472-2022 tillsynsbegäran mail.docx", "A 56472-2022")</f>
        <v/>
      </c>
      <c r="Z110">
        <f>HYPERLINK("https://klasma.github.io/Logging_2321/fåglar/A 56472-2022 prioriterade fågelarter.docx", "A 56472-2022")</f>
        <v/>
      </c>
    </row>
    <row r="111" ht="15" customHeight="1">
      <c r="A111" t="inlineStr">
        <is>
          <t>A 60533-2022</t>
        </is>
      </c>
      <c r="B111" s="1" t="n">
        <v>44904</v>
      </c>
      <c r="C111" s="1" t="n">
        <v>45358</v>
      </c>
      <c r="D111" t="inlineStr">
        <is>
          <t>JÄMTLANDS LÄN</t>
        </is>
      </c>
      <c r="E111" t="inlineStr">
        <is>
          <t>ÅRE</t>
        </is>
      </c>
      <c r="G111" t="n">
        <v>3.6</v>
      </c>
      <c r="H111" t="n">
        <v>2</v>
      </c>
      <c r="I111" t="n">
        <v>0</v>
      </c>
      <c r="J111" t="n">
        <v>2</v>
      </c>
      <c r="K111" t="n">
        <v>0</v>
      </c>
      <c r="L111" t="n">
        <v>0</v>
      </c>
      <c r="M111" t="n">
        <v>0</v>
      </c>
      <c r="N111" t="n">
        <v>0</v>
      </c>
      <c r="O111" t="n">
        <v>2</v>
      </c>
      <c r="P111" t="n">
        <v>0</v>
      </c>
      <c r="Q111" t="n">
        <v>2</v>
      </c>
      <c r="R111" s="2" t="inlineStr">
        <is>
          <t>Talltita
Tretåig hackspett</t>
        </is>
      </c>
      <c r="S111">
        <f>HYPERLINK("https://klasma.github.io/Logging_2321/artfynd/A 60533-2022 artfynd.xlsx", "A 60533-2022")</f>
        <v/>
      </c>
      <c r="T111">
        <f>HYPERLINK("https://klasma.github.io/Logging_2321/kartor/A 60533-2022 karta.png", "A 60533-2022")</f>
        <v/>
      </c>
      <c r="V111">
        <f>HYPERLINK("https://klasma.github.io/Logging_2321/klagomål/A 60533-2022 FSC-klagomål.docx", "A 60533-2022")</f>
        <v/>
      </c>
      <c r="W111">
        <f>HYPERLINK("https://klasma.github.io/Logging_2321/klagomålsmail/A 60533-2022 FSC-klagomål mail.docx", "A 60533-2022")</f>
        <v/>
      </c>
      <c r="X111">
        <f>HYPERLINK("https://klasma.github.io/Logging_2321/tillsyn/A 60533-2022 tillsynsbegäran.docx", "A 60533-2022")</f>
        <v/>
      </c>
      <c r="Y111">
        <f>HYPERLINK("https://klasma.github.io/Logging_2321/tillsynsmail/A 60533-2022 tillsynsbegäran mail.docx", "A 60533-2022")</f>
        <v/>
      </c>
      <c r="Z111">
        <f>HYPERLINK("https://klasma.github.io/Logging_2321/fåglar/A 60533-2022 prioriterade fågelarter.docx", "A 60533-2022")</f>
        <v/>
      </c>
    </row>
    <row r="112" ht="15" customHeight="1">
      <c r="A112" t="inlineStr">
        <is>
          <t>A 3152-2023</t>
        </is>
      </c>
      <c r="B112" s="1" t="n">
        <v>44946</v>
      </c>
      <c r="C112" s="1" t="n">
        <v>45358</v>
      </c>
      <c r="D112" t="inlineStr">
        <is>
          <t>JÄMTLANDS LÄN</t>
        </is>
      </c>
      <c r="E112" t="inlineStr">
        <is>
          <t>ÅRE</t>
        </is>
      </c>
      <c r="G112" t="n">
        <v>1.9</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HYPERLINK("https://klasma.github.io/Logging_2321/artfynd/A 3152-2023 artfynd.xlsx", "A 3152-2023")</f>
        <v/>
      </c>
      <c r="T112">
        <f>HYPERLINK("https://klasma.github.io/Logging_2321/kartor/A 3152-2023 karta.png", "A 3152-2023")</f>
        <v/>
      </c>
      <c r="V112">
        <f>HYPERLINK("https://klasma.github.io/Logging_2321/klagomål/A 3152-2023 FSC-klagomål.docx", "A 3152-2023")</f>
        <v/>
      </c>
      <c r="W112">
        <f>HYPERLINK("https://klasma.github.io/Logging_2321/klagomålsmail/A 3152-2023 FSC-klagomål mail.docx", "A 3152-2023")</f>
        <v/>
      </c>
      <c r="X112">
        <f>HYPERLINK("https://klasma.github.io/Logging_2321/tillsyn/A 3152-2023 tillsynsbegäran.docx", "A 3152-2023")</f>
        <v/>
      </c>
      <c r="Y112">
        <f>HYPERLINK("https://klasma.github.io/Logging_2321/tillsynsmail/A 3152-2023 tillsynsbegäran mail.docx", "A 3152-2023")</f>
        <v/>
      </c>
      <c r="Z112">
        <f>HYPERLINK("https://klasma.github.io/Logging_2321/fåglar/A 3152-2023 prioriterade fågelarter.docx", "A 3152-2023")</f>
        <v/>
      </c>
    </row>
    <row r="113" ht="15" customHeight="1">
      <c r="A113" t="inlineStr">
        <is>
          <t>A 5531-2023</t>
        </is>
      </c>
      <c r="B113" s="1" t="n">
        <v>44957</v>
      </c>
      <c r="C113" s="1" t="n">
        <v>45358</v>
      </c>
      <c r="D113" t="inlineStr">
        <is>
          <t>JÄMTLANDS LÄN</t>
        </is>
      </c>
      <c r="E113" t="inlineStr">
        <is>
          <t>ÅRE</t>
        </is>
      </c>
      <c r="G113" t="n">
        <v>3.8</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5531-2023 artfynd.xlsx", "A 5531-2023")</f>
        <v/>
      </c>
      <c r="T113">
        <f>HYPERLINK("https://klasma.github.io/Logging_2321/kartor/A 5531-2023 karta.png", "A 5531-2023")</f>
        <v/>
      </c>
      <c r="V113">
        <f>HYPERLINK("https://klasma.github.io/Logging_2321/klagomål/A 5531-2023 FSC-klagomål.docx", "A 5531-2023")</f>
        <v/>
      </c>
      <c r="W113">
        <f>HYPERLINK("https://klasma.github.io/Logging_2321/klagomålsmail/A 5531-2023 FSC-klagomål mail.docx", "A 5531-2023")</f>
        <v/>
      </c>
      <c r="X113">
        <f>HYPERLINK("https://klasma.github.io/Logging_2321/tillsyn/A 5531-2023 tillsynsbegäran.docx", "A 5531-2023")</f>
        <v/>
      </c>
      <c r="Y113">
        <f>HYPERLINK("https://klasma.github.io/Logging_2321/tillsynsmail/A 5531-2023 tillsynsbegäran mail.docx", "A 5531-2023")</f>
        <v/>
      </c>
      <c r="Z113">
        <f>HYPERLINK("https://klasma.github.io/Logging_2321/fåglar/A 5531-2023 prioriterade fågelarter.docx", "A 5531-2023")</f>
        <v/>
      </c>
    </row>
    <row r="114" ht="15" customHeight="1">
      <c r="A114" t="inlineStr">
        <is>
          <t>A 5418-2023</t>
        </is>
      </c>
      <c r="B114" s="1" t="n">
        <v>44957</v>
      </c>
      <c r="C114" s="1" t="n">
        <v>45358</v>
      </c>
      <c r="D114" t="inlineStr">
        <is>
          <t>JÄMTLANDS LÄN</t>
        </is>
      </c>
      <c r="E114" t="inlineStr">
        <is>
          <t>ÅRE</t>
        </is>
      </c>
      <c r="G114" t="n">
        <v>5</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5418-2023 artfynd.xlsx", "A 5418-2023")</f>
        <v/>
      </c>
      <c r="T114">
        <f>HYPERLINK("https://klasma.github.io/Logging_2321/kartor/A 5418-2023 karta.png", "A 5418-2023")</f>
        <v/>
      </c>
      <c r="V114">
        <f>HYPERLINK("https://klasma.github.io/Logging_2321/klagomål/A 5418-2023 FSC-klagomål.docx", "A 5418-2023")</f>
        <v/>
      </c>
      <c r="W114">
        <f>HYPERLINK("https://klasma.github.io/Logging_2321/klagomålsmail/A 5418-2023 FSC-klagomål mail.docx", "A 5418-2023")</f>
        <v/>
      </c>
      <c r="X114">
        <f>HYPERLINK("https://klasma.github.io/Logging_2321/tillsyn/A 5418-2023 tillsynsbegäran.docx", "A 5418-2023")</f>
        <v/>
      </c>
      <c r="Y114">
        <f>HYPERLINK("https://klasma.github.io/Logging_2321/tillsynsmail/A 5418-2023 tillsynsbegäran mail.docx", "A 5418-2023")</f>
        <v/>
      </c>
      <c r="Z114">
        <f>HYPERLINK("https://klasma.github.io/Logging_2321/fåglar/A 5418-2023 prioriterade fågelarter.docx", "A 5418-2023")</f>
        <v/>
      </c>
    </row>
    <row r="115" ht="15" customHeight="1">
      <c r="A115" t="inlineStr">
        <is>
          <t>A 6107-2023</t>
        </is>
      </c>
      <c r="B115" s="1" t="n">
        <v>44964</v>
      </c>
      <c r="C115" s="1" t="n">
        <v>45358</v>
      </c>
      <c r="D115" t="inlineStr">
        <is>
          <t>JÄMTLANDS LÄN</t>
        </is>
      </c>
      <c r="E115" t="inlineStr">
        <is>
          <t>ÅRE</t>
        </is>
      </c>
      <c r="G115" t="n">
        <v>1.9</v>
      </c>
      <c r="H115" t="n">
        <v>0</v>
      </c>
      <c r="I115" t="n">
        <v>1</v>
      </c>
      <c r="J115" t="n">
        <v>1</v>
      </c>
      <c r="K115" t="n">
        <v>0</v>
      </c>
      <c r="L115" t="n">
        <v>0</v>
      </c>
      <c r="M115" t="n">
        <v>0</v>
      </c>
      <c r="N115" t="n">
        <v>0</v>
      </c>
      <c r="O115" t="n">
        <v>1</v>
      </c>
      <c r="P115" t="n">
        <v>0</v>
      </c>
      <c r="Q115" t="n">
        <v>2</v>
      </c>
      <c r="R115" s="2" t="inlineStr">
        <is>
          <t>Skrovellav
Stuplav</t>
        </is>
      </c>
      <c r="S115">
        <f>HYPERLINK("https://klasma.github.io/Logging_2321/artfynd/A 6107-2023 artfynd.xlsx", "A 6107-2023")</f>
        <v/>
      </c>
      <c r="T115">
        <f>HYPERLINK("https://klasma.github.io/Logging_2321/kartor/A 6107-2023 karta.png", "A 6107-2023")</f>
        <v/>
      </c>
      <c r="V115">
        <f>HYPERLINK("https://klasma.github.io/Logging_2321/klagomål/A 6107-2023 FSC-klagomål.docx", "A 6107-2023")</f>
        <v/>
      </c>
      <c r="W115">
        <f>HYPERLINK("https://klasma.github.io/Logging_2321/klagomålsmail/A 6107-2023 FSC-klagomål mail.docx", "A 6107-2023")</f>
        <v/>
      </c>
      <c r="X115">
        <f>HYPERLINK("https://klasma.github.io/Logging_2321/tillsyn/A 6107-2023 tillsynsbegäran.docx", "A 6107-2023")</f>
        <v/>
      </c>
      <c r="Y115">
        <f>HYPERLINK("https://klasma.github.io/Logging_2321/tillsynsmail/A 6107-2023 tillsynsbegäran mail.docx", "A 6107-2023")</f>
        <v/>
      </c>
    </row>
    <row r="116" ht="15" customHeight="1">
      <c r="A116" t="inlineStr">
        <is>
          <t>A 6108-2023</t>
        </is>
      </c>
      <c r="B116" s="1" t="n">
        <v>44964</v>
      </c>
      <c r="C116" s="1" t="n">
        <v>45358</v>
      </c>
      <c r="D116" t="inlineStr">
        <is>
          <t>JÄMTLANDS LÄN</t>
        </is>
      </c>
      <c r="E116" t="inlineStr">
        <is>
          <t>ÅRE</t>
        </is>
      </c>
      <c r="G116" t="n">
        <v>15.4</v>
      </c>
      <c r="H116" t="n">
        <v>1</v>
      </c>
      <c r="I116" t="n">
        <v>0</v>
      </c>
      <c r="J116" t="n">
        <v>2</v>
      </c>
      <c r="K116" t="n">
        <v>0</v>
      </c>
      <c r="L116" t="n">
        <v>0</v>
      </c>
      <c r="M116" t="n">
        <v>0</v>
      </c>
      <c r="N116" t="n">
        <v>0</v>
      </c>
      <c r="O116" t="n">
        <v>2</v>
      </c>
      <c r="P116" t="n">
        <v>0</v>
      </c>
      <c r="Q116" t="n">
        <v>2</v>
      </c>
      <c r="R116" s="2" t="inlineStr">
        <is>
          <t>Skrovellav
Tretåig hackspett</t>
        </is>
      </c>
      <c r="S116">
        <f>HYPERLINK("https://klasma.github.io/Logging_2321/artfynd/A 6108-2023 artfynd.xlsx", "A 6108-2023")</f>
        <v/>
      </c>
      <c r="T116">
        <f>HYPERLINK("https://klasma.github.io/Logging_2321/kartor/A 6108-2023 karta.png", "A 6108-2023")</f>
        <v/>
      </c>
      <c r="V116">
        <f>HYPERLINK("https://klasma.github.io/Logging_2321/klagomål/A 6108-2023 FSC-klagomål.docx", "A 6108-2023")</f>
        <v/>
      </c>
      <c r="W116">
        <f>HYPERLINK("https://klasma.github.io/Logging_2321/klagomålsmail/A 6108-2023 FSC-klagomål mail.docx", "A 6108-2023")</f>
        <v/>
      </c>
      <c r="X116">
        <f>HYPERLINK("https://klasma.github.io/Logging_2321/tillsyn/A 6108-2023 tillsynsbegäran.docx", "A 6108-2023")</f>
        <v/>
      </c>
      <c r="Y116">
        <f>HYPERLINK("https://klasma.github.io/Logging_2321/tillsynsmail/A 6108-2023 tillsynsbegäran mail.docx", "A 6108-2023")</f>
        <v/>
      </c>
      <c r="Z116">
        <f>HYPERLINK("https://klasma.github.io/Logging_2321/fåglar/A 6108-2023 prioriterade fågelarter.docx", "A 6108-2023")</f>
        <v/>
      </c>
    </row>
    <row r="117" ht="15" customHeight="1">
      <c r="A117" t="inlineStr">
        <is>
          <t>A 7401-2023</t>
        </is>
      </c>
      <c r="B117" s="1" t="n">
        <v>44966</v>
      </c>
      <c r="C117" s="1" t="n">
        <v>45358</v>
      </c>
      <c r="D117" t="inlineStr">
        <is>
          <t>JÄMTLANDS LÄN</t>
        </is>
      </c>
      <c r="E117" t="inlineStr">
        <is>
          <t>ÅRE</t>
        </is>
      </c>
      <c r="G117" t="n">
        <v>3.5</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7401-2023 artfynd.xlsx", "A 7401-2023")</f>
        <v/>
      </c>
      <c r="T117">
        <f>HYPERLINK("https://klasma.github.io/Logging_2321/kartor/A 7401-2023 karta.png", "A 7401-2023")</f>
        <v/>
      </c>
      <c r="V117">
        <f>HYPERLINK("https://klasma.github.io/Logging_2321/klagomål/A 7401-2023 FSC-klagomål.docx", "A 7401-2023")</f>
        <v/>
      </c>
      <c r="W117">
        <f>HYPERLINK("https://klasma.github.io/Logging_2321/klagomålsmail/A 7401-2023 FSC-klagomål mail.docx", "A 7401-2023")</f>
        <v/>
      </c>
      <c r="X117">
        <f>HYPERLINK("https://klasma.github.io/Logging_2321/tillsyn/A 7401-2023 tillsynsbegäran.docx", "A 7401-2023")</f>
        <v/>
      </c>
      <c r="Y117">
        <f>HYPERLINK("https://klasma.github.io/Logging_2321/tillsynsmail/A 7401-2023 tillsynsbegäran mail.docx", "A 7401-2023")</f>
        <v/>
      </c>
    </row>
    <row r="118" ht="15" customHeight="1">
      <c r="A118" t="inlineStr">
        <is>
          <t>A 13625-2023</t>
        </is>
      </c>
      <c r="B118" s="1" t="n">
        <v>45006</v>
      </c>
      <c r="C118" s="1" t="n">
        <v>45358</v>
      </c>
      <c r="D118" t="inlineStr">
        <is>
          <t>JÄMTLANDS LÄN</t>
        </is>
      </c>
      <c r="E118" t="inlineStr">
        <is>
          <t>ÅRE</t>
        </is>
      </c>
      <c r="G118" t="n">
        <v>22.9</v>
      </c>
      <c r="H118" t="n">
        <v>1</v>
      </c>
      <c r="I118" t="n">
        <v>0</v>
      </c>
      <c r="J118" t="n">
        <v>2</v>
      </c>
      <c r="K118" t="n">
        <v>0</v>
      </c>
      <c r="L118" t="n">
        <v>0</v>
      </c>
      <c r="M118" t="n">
        <v>0</v>
      </c>
      <c r="N118" t="n">
        <v>0</v>
      </c>
      <c r="O118" t="n">
        <v>2</v>
      </c>
      <c r="P118" t="n">
        <v>0</v>
      </c>
      <c r="Q118" t="n">
        <v>2</v>
      </c>
      <c r="R118" s="2" t="inlineStr">
        <is>
          <t>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19699-2023</t>
        </is>
      </c>
      <c r="B119" s="1" t="n">
        <v>45051</v>
      </c>
      <c r="C119" s="1" t="n">
        <v>45358</v>
      </c>
      <c r="D119" t="inlineStr">
        <is>
          <t>JÄMTLANDS LÄN</t>
        </is>
      </c>
      <c r="E119" t="inlineStr">
        <is>
          <t>ÅRE</t>
        </is>
      </c>
      <c r="G119" t="n">
        <v>0.7</v>
      </c>
      <c r="H119" t="n">
        <v>2</v>
      </c>
      <c r="I119" t="n">
        <v>1</v>
      </c>
      <c r="J119" t="n">
        <v>0</v>
      </c>
      <c r="K119" t="n">
        <v>0</v>
      </c>
      <c r="L119" t="n">
        <v>0</v>
      </c>
      <c r="M119" t="n">
        <v>0</v>
      </c>
      <c r="N119" t="n">
        <v>0</v>
      </c>
      <c r="O119" t="n">
        <v>0</v>
      </c>
      <c r="P119" t="n">
        <v>0</v>
      </c>
      <c r="Q119" t="n">
        <v>2</v>
      </c>
      <c r="R119" s="2" t="inlineStr">
        <is>
          <t>Tvåblad
Revlummer</t>
        </is>
      </c>
      <c r="S119">
        <f>HYPERLINK("https://klasma.github.io/Logging_2321/artfynd/A 19699-2023 artfynd.xlsx", "A 19699-2023")</f>
        <v/>
      </c>
      <c r="T119">
        <f>HYPERLINK("https://klasma.github.io/Logging_2321/kartor/A 19699-2023 karta.png", "A 19699-2023")</f>
        <v/>
      </c>
      <c r="V119">
        <f>HYPERLINK("https://klasma.github.io/Logging_2321/klagomål/A 19699-2023 FSC-klagomål.docx", "A 19699-2023")</f>
        <v/>
      </c>
      <c r="W119">
        <f>HYPERLINK("https://klasma.github.io/Logging_2321/klagomålsmail/A 19699-2023 FSC-klagomål mail.docx", "A 19699-2023")</f>
        <v/>
      </c>
      <c r="X119">
        <f>HYPERLINK("https://klasma.github.io/Logging_2321/tillsyn/A 19699-2023 tillsynsbegäran.docx", "A 19699-2023")</f>
        <v/>
      </c>
      <c r="Y119">
        <f>HYPERLINK("https://klasma.github.io/Logging_2321/tillsynsmail/A 19699-2023 tillsynsbegäran mail.docx", "A 19699-2023")</f>
        <v/>
      </c>
    </row>
    <row r="120" ht="15" customHeight="1">
      <c r="A120" t="inlineStr">
        <is>
          <t>A 23706-2023</t>
        </is>
      </c>
      <c r="B120" s="1" t="n">
        <v>45072</v>
      </c>
      <c r="C120" s="1" t="n">
        <v>45358</v>
      </c>
      <c r="D120" t="inlineStr">
        <is>
          <t>JÄMTLANDS LÄN</t>
        </is>
      </c>
      <c r="E120" t="inlineStr">
        <is>
          <t>ÅRE</t>
        </is>
      </c>
      <c r="G120" t="n">
        <v>8.1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23706-2023 artfynd.xlsx", "A 23706-2023")</f>
        <v/>
      </c>
      <c r="T120">
        <f>HYPERLINK("https://klasma.github.io/Logging_2321/kartor/A 23706-2023 karta.png", "A 23706-2023")</f>
        <v/>
      </c>
      <c r="V120">
        <f>HYPERLINK("https://klasma.github.io/Logging_2321/klagomål/A 23706-2023 FSC-klagomål.docx", "A 23706-2023")</f>
        <v/>
      </c>
      <c r="W120">
        <f>HYPERLINK("https://klasma.github.io/Logging_2321/klagomålsmail/A 23706-2023 FSC-klagomål mail.docx", "A 23706-2023")</f>
        <v/>
      </c>
      <c r="X120">
        <f>HYPERLINK("https://klasma.github.io/Logging_2321/tillsyn/A 23706-2023 tillsynsbegäran.docx", "A 23706-2023")</f>
        <v/>
      </c>
      <c r="Y120">
        <f>HYPERLINK("https://klasma.github.io/Logging_2321/tillsynsmail/A 23706-2023 tillsynsbegäran mail.docx", "A 23706-2023")</f>
        <v/>
      </c>
      <c r="Z120">
        <f>HYPERLINK("https://klasma.github.io/Logging_2321/fåglar/A 23706-2023 prioriterade fågelarter.docx", "A 23706-2023")</f>
        <v/>
      </c>
    </row>
    <row r="121" ht="15" customHeight="1">
      <c r="A121" t="inlineStr">
        <is>
          <t>A 26098-2023</t>
        </is>
      </c>
      <c r="B121" s="1" t="n">
        <v>45091</v>
      </c>
      <c r="C121" s="1" t="n">
        <v>45358</v>
      </c>
      <c r="D121" t="inlineStr">
        <is>
          <t>JÄMTLANDS LÄN</t>
        </is>
      </c>
      <c r="E121" t="inlineStr">
        <is>
          <t>ÅRE</t>
        </is>
      </c>
      <c r="G121" t="n">
        <v>15.7</v>
      </c>
      <c r="H121" t="n">
        <v>0</v>
      </c>
      <c r="I121" t="n">
        <v>0</v>
      </c>
      <c r="J121" t="n">
        <v>2</v>
      </c>
      <c r="K121" t="n">
        <v>0</v>
      </c>
      <c r="L121" t="n">
        <v>0</v>
      </c>
      <c r="M121" t="n">
        <v>0</v>
      </c>
      <c r="N121" t="n">
        <v>0</v>
      </c>
      <c r="O121" t="n">
        <v>2</v>
      </c>
      <c r="P121" t="n">
        <v>0</v>
      </c>
      <c r="Q121" t="n">
        <v>2</v>
      </c>
      <c r="R121" s="2" t="inlineStr">
        <is>
          <t>Lunglav
Skrovellav</t>
        </is>
      </c>
      <c r="S121">
        <f>HYPERLINK("https://klasma.github.io/Logging_2321/artfynd/A 26098-2023 artfynd.xlsx", "A 26098-2023")</f>
        <v/>
      </c>
      <c r="T121">
        <f>HYPERLINK("https://klasma.github.io/Logging_2321/kartor/A 26098-2023 karta.png", "A 26098-2023")</f>
        <v/>
      </c>
      <c r="V121">
        <f>HYPERLINK("https://klasma.github.io/Logging_2321/klagomål/A 26098-2023 FSC-klagomål.docx", "A 26098-2023")</f>
        <v/>
      </c>
      <c r="W121">
        <f>HYPERLINK("https://klasma.github.io/Logging_2321/klagomålsmail/A 26098-2023 FSC-klagomål mail.docx", "A 26098-2023")</f>
        <v/>
      </c>
      <c r="X121">
        <f>HYPERLINK("https://klasma.github.io/Logging_2321/tillsyn/A 26098-2023 tillsynsbegäran.docx", "A 26098-2023")</f>
        <v/>
      </c>
      <c r="Y121">
        <f>HYPERLINK("https://klasma.github.io/Logging_2321/tillsynsmail/A 26098-2023 tillsynsbegäran mail.docx", "A 26098-2023")</f>
        <v/>
      </c>
    </row>
    <row r="122" ht="15" customHeight="1">
      <c r="A122" t="inlineStr">
        <is>
          <t>A 53014-2023</t>
        </is>
      </c>
      <c r="B122" s="1" t="n">
        <v>45226</v>
      </c>
      <c r="C122" s="1" t="n">
        <v>45358</v>
      </c>
      <c r="D122" t="inlineStr">
        <is>
          <t>JÄMTLANDS LÄN</t>
        </is>
      </c>
      <c r="E122" t="inlineStr">
        <is>
          <t>ÅRE</t>
        </is>
      </c>
      <c r="F122" t="inlineStr">
        <is>
          <t>Övriga Aktiebolag</t>
        </is>
      </c>
      <c r="G122" t="n">
        <v>9.4</v>
      </c>
      <c r="H122" t="n">
        <v>1</v>
      </c>
      <c r="I122" t="n">
        <v>1</v>
      </c>
      <c r="J122" t="n">
        <v>1</v>
      </c>
      <c r="K122" t="n">
        <v>0</v>
      </c>
      <c r="L122" t="n">
        <v>0</v>
      </c>
      <c r="M122" t="n">
        <v>0</v>
      </c>
      <c r="N122" t="n">
        <v>0</v>
      </c>
      <c r="O122" t="n">
        <v>1</v>
      </c>
      <c r="P122" t="n">
        <v>0</v>
      </c>
      <c r="Q122" t="n">
        <v>2</v>
      </c>
      <c r="R122" s="2" t="inlineStr">
        <is>
          <t>Vedflikmossa
Spindelblomster</t>
        </is>
      </c>
      <c r="S122">
        <f>HYPERLINK("https://klasma.github.io/Logging_2321/artfynd/A 53014-2023 artfynd.xlsx", "A 53014-2023")</f>
        <v/>
      </c>
      <c r="T122">
        <f>HYPERLINK("https://klasma.github.io/Logging_2321/kartor/A 53014-2023 karta.png", "A 53014-2023")</f>
        <v/>
      </c>
      <c r="V122">
        <f>HYPERLINK("https://klasma.github.io/Logging_2321/klagomål/A 53014-2023 FSC-klagomål.docx", "A 53014-2023")</f>
        <v/>
      </c>
      <c r="W122">
        <f>HYPERLINK("https://klasma.github.io/Logging_2321/klagomålsmail/A 53014-2023 FSC-klagomål mail.docx", "A 53014-2023")</f>
        <v/>
      </c>
      <c r="X122">
        <f>HYPERLINK("https://klasma.github.io/Logging_2321/tillsyn/A 53014-2023 tillsynsbegäran.docx", "A 53014-2023")</f>
        <v/>
      </c>
      <c r="Y122">
        <f>HYPERLINK("https://klasma.github.io/Logging_2321/tillsynsmail/A 53014-2023 tillsynsbegäran mail.docx", "A 53014-2023")</f>
        <v/>
      </c>
    </row>
    <row r="123" ht="15" customHeight="1">
      <c r="A123" t="inlineStr">
        <is>
          <t>A 54055-2023</t>
        </is>
      </c>
      <c r="B123" s="1" t="n">
        <v>45231</v>
      </c>
      <c r="C123" s="1" t="n">
        <v>45358</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57771-2023</t>
        </is>
      </c>
      <c r="B124" s="1" t="n">
        <v>45246</v>
      </c>
      <c r="C124" s="1" t="n">
        <v>45358</v>
      </c>
      <c r="D124" t="inlineStr">
        <is>
          <t>JÄMTLANDS LÄN</t>
        </is>
      </c>
      <c r="E124" t="inlineStr">
        <is>
          <t>ÅRE</t>
        </is>
      </c>
      <c r="G124" t="n">
        <v>2.1</v>
      </c>
      <c r="H124" t="n">
        <v>0</v>
      </c>
      <c r="I124" t="n">
        <v>0</v>
      </c>
      <c r="J124" t="n">
        <v>2</v>
      </c>
      <c r="K124" t="n">
        <v>0</v>
      </c>
      <c r="L124" t="n">
        <v>0</v>
      </c>
      <c r="M124" t="n">
        <v>0</v>
      </c>
      <c r="N124" t="n">
        <v>0</v>
      </c>
      <c r="O124" t="n">
        <v>2</v>
      </c>
      <c r="P124" t="n">
        <v>0</v>
      </c>
      <c r="Q124" t="n">
        <v>2</v>
      </c>
      <c r="R124" s="2" t="inlineStr">
        <is>
          <t>Granticka
Harticka</t>
        </is>
      </c>
      <c r="S124">
        <f>HYPERLINK("https://klasma.github.io/Logging_2321/artfynd/A 57771-2023 artfynd.xlsx", "A 57771-2023")</f>
        <v/>
      </c>
      <c r="T124">
        <f>HYPERLINK("https://klasma.github.io/Logging_2321/kartor/A 57771-2023 karta.png", "A 57771-2023")</f>
        <v/>
      </c>
      <c r="V124">
        <f>HYPERLINK("https://klasma.github.io/Logging_2321/klagomål/A 57771-2023 FSC-klagomål.docx", "A 57771-2023")</f>
        <v/>
      </c>
      <c r="W124">
        <f>HYPERLINK("https://klasma.github.io/Logging_2321/klagomålsmail/A 57771-2023 FSC-klagomål mail.docx", "A 57771-2023")</f>
        <v/>
      </c>
      <c r="X124">
        <f>HYPERLINK("https://klasma.github.io/Logging_2321/tillsyn/A 57771-2023 tillsynsbegäran.docx", "A 57771-2023")</f>
        <v/>
      </c>
      <c r="Y124">
        <f>HYPERLINK("https://klasma.github.io/Logging_2321/tillsynsmail/A 57771-2023 tillsynsbegäran mail.docx", "A 57771-2023")</f>
        <v/>
      </c>
    </row>
    <row r="125" ht="15" customHeight="1">
      <c r="A125" t="inlineStr">
        <is>
          <t>A 33947-2018</t>
        </is>
      </c>
      <c r="B125" s="1" t="n">
        <v>43314</v>
      </c>
      <c r="C125" s="1" t="n">
        <v>45358</v>
      </c>
      <c r="D125" t="inlineStr">
        <is>
          <t>JÄMTLANDS LÄN</t>
        </is>
      </c>
      <c r="E125" t="inlineStr">
        <is>
          <t>ÅRE</t>
        </is>
      </c>
      <c r="F125" t="inlineStr">
        <is>
          <t>Övriga Aktiebolag</t>
        </is>
      </c>
      <c r="G125" t="n">
        <v>8.5</v>
      </c>
      <c r="H125" t="n">
        <v>0</v>
      </c>
      <c r="I125" t="n">
        <v>0</v>
      </c>
      <c r="J125" t="n">
        <v>0</v>
      </c>
      <c r="K125" t="n">
        <v>1</v>
      </c>
      <c r="L125" t="n">
        <v>0</v>
      </c>
      <c r="M125" t="n">
        <v>0</v>
      </c>
      <c r="N125" t="n">
        <v>0</v>
      </c>
      <c r="O125" t="n">
        <v>1</v>
      </c>
      <c r="P125" t="n">
        <v>1</v>
      </c>
      <c r="Q125" t="n">
        <v>1</v>
      </c>
      <c r="R125" s="2" t="inlineStr">
        <is>
          <t>Norsk näverlav</t>
        </is>
      </c>
      <c r="S125">
        <f>HYPERLINK("https://klasma.github.io/Logging_2321/artfynd/A 33947-2018 artfynd.xlsx", "A 33947-2018")</f>
        <v/>
      </c>
      <c r="T125">
        <f>HYPERLINK("https://klasma.github.io/Logging_2321/kartor/A 33947-2018 karta.png", "A 33947-2018")</f>
        <v/>
      </c>
      <c r="V125">
        <f>HYPERLINK("https://klasma.github.io/Logging_2321/klagomål/A 33947-2018 FSC-klagomål.docx", "A 33947-2018")</f>
        <v/>
      </c>
      <c r="W125">
        <f>HYPERLINK("https://klasma.github.io/Logging_2321/klagomålsmail/A 33947-2018 FSC-klagomål mail.docx", "A 33947-2018")</f>
        <v/>
      </c>
      <c r="X125">
        <f>HYPERLINK("https://klasma.github.io/Logging_2321/tillsyn/A 33947-2018 tillsynsbegäran.docx", "A 33947-2018")</f>
        <v/>
      </c>
      <c r="Y125">
        <f>HYPERLINK("https://klasma.github.io/Logging_2321/tillsynsmail/A 33947-2018 tillsynsbegäran mail.docx", "A 33947-2018")</f>
        <v/>
      </c>
    </row>
    <row r="126" ht="15" customHeight="1">
      <c r="A126" t="inlineStr">
        <is>
          <t>A 64479-2018</t>
        </is>
      </c>
      <c r="B126" s="1" t="n">
        <v>43431</v>
      </c>
      <c r="C126" s="1" t="n">
        <v>45358</v>
      </c>
      <c r="D126" t="inlineStr">
        <is>
          <t>JÄMTLANDS LÄN</t>
        </is>
      </c>
      <c r="E126" t="inlineStr">
        <is>
          <t>ÅRE</t>
        </is>
      </c>
      <c r="G126" t="n">
        <v>10.1</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64479-2018 artfynd.xlsx", "A 64479-2018")</f>
        <v/>
      </c>
      <c r="T126">
        <f>HYPERLINK("https://klasma.github.io/Logging_2321/kartor/A 64479-2018 karta.png", "A 64479-2018")</f>
        <v/>
      </c>
      <c r="V126">
        <f>HYPERLINK("https://klasma.github.io/Logging_2321/klagomål/A 64479-2018 FSC-klagomål.docx", "A 64479-2018")</f>
        <v/>
      </c>
      <c r="W126">
        <f>HYPERLINK("https://klasma.github.io/Logging_2321/klagomålsmail/A 64479-2018 FSC-klagomål mail.docx", "A 64479-2018")</f>
        <v/>
      </c>
      <c r="X126">
        <f>HYPERLINK("https://klasma.github.io/Logging_2321/tillsyn/A 64479-2018 tillsynsbegäran.docx", "A 64479-2018")</f>
        <v/>
      </c>
      <c r="Y126">
        <f>HYPERLINK("https://klasma.github.io/Logging_2321/tillsynsmail/A 64479-2018 tillsynsbegäran mail.docx", "A 64479-2018")</f>
        <v/>
      </c>
      <c r="Z126">
        <f>HYPERLINK("https://klasma.github.io/Logging_2321/fåglar/A 64479-2018 prioriterade fågelarter.docx", "A 64479-2018")</f>
        <v/>
      </c>
    </row>
    <row r="127" ht="15" customHeight="1">
      <c r="A127" t="inlineStr">
        <is>
          <t>A 59825-2019</t>
        </is>
      </c>
      <c r="B127" s="1" t="n">
        <v>43774</v>
      </c>
      <c r="C127" s="1" t="n">
        <v>45358</v>
      </c>
      <c r="D127" t="inlineStr">
        <is>
          <t>JÄMTLANDS LÄN</t>
        </is>
      </c>
      <c r="E127" t="inlineStr">
        <is>
          <t>ÅRE</t>
        </is>
      </c>
      <c r="G127" t="n">
        <v>6.8</v>
      </c>
      <c r="H127" t="n">
        <v>0</v>
      </c>
      <c r="I127" t="n">
        <v>0</v>
      </c>
      <c r="J127" t="n">
        <v>1</v>
      </c>
      <c r="K127" t="n">
        <v>0</v>
      </c>
      <c r="L127" t="n">
        <v>0</v>
      </c>
      <c r="M127" t="n">
        <v>0</v>
      </c>
      <c r="N127" t="n">
        <v>0</v>
      </c>
      <c r="O127" t="n">
        <v>1</v>
      </c>
      <c r="P127" t="n">
        <v>0</v>
      </c>
      <c r="Q127" t="n">
        <v>1</v>
      </c>
      <c r="R127" s="2" t="inlineStr">
        <is>
          <t>Lunglav</t>
        </is>
      </c>
      <c r="S127">
        <f>HYPERLINK("https://klasma.github.io/Logging_2321/artfynd/A 59825-2019 artfynd.xlsx", "A 59825-2019")</f>
        <v/>
      </c>
      <c r="T127">
        <f>HYPERLINK("https://klasma.github.io/Logging_2321/kartor/A 59825-2019 karta.png", "A 59825-2019")</f>
        <v/>
      </c>
      <c r="V127">
        <f>HYPERLINK("https://klasma.github.io/Logging_2321/klagomål/A 59825-2019 FSC-klagomål.docx", "A 59825-2019")</f>
        <v/>
      </c>
      <c r="W127">
        <f>HYPERLINK("https://klasma.github.io/Logging_2321/klagomålsmail/A 59825-2019 FSC-klagomål mail.docx", "A 59825-2019")</f>
        <v/>
      </c>
      <c r="X127">
        <f>HYPERLINK("https://klasma.github.io/Logging_2321/tillsyn/A 59825-2019 tillsynsbegäran.docx", "A 59825-2019")</f>
        <v/>
      </c>
      <c r="Y127">
        <f>HYPERLINK("https://klasma.github.io/Logging_2321/tillsynsmail/A 59825-2019 tillsynsbegäran mail.docx", "A 59825-2019")</f>
        <v/>
      </c>
    </row>
    <row r="128" ht="15" customHeight="1">
      <c r="A128" t="inlineStr">
        <is>
          <t>A 20979-2020</t>
        </is>
      </c>
      <c r="B128" s="1" t="n">
        <v>43950</v>
      </c>
      <c r="C128" s="1" t="n">
        <v>45358</v>
      </c>
      <c r="D128" t="inlineStr">
        <is>
          <t>JÄMTLANDS LÄN</t>
        </is>
      </c>
      <c r="E128" t="inlineStr">
        <is>
          <t>ÅRE</t>
        </is>
      </c>
      <c r="G128" t="n">
        <v>16.5</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20979-2020 artfynd.xlsx", "A 20979-2020")</f>
        <v/>
      </c>
      <c r="T128">
        <f>HYPERLINK("https://klasma.github.io/Logging_2321/kartor/A 20979-2020 karta.png", "A 20979-2020")</f>
        <v/>
      </c>
      <c r="V128">
        <f>HYPERLINK("https://klasma.github.io/Logging_2321/klagomål/A 20979-2020 FSC-klagomål.docx", "A 20979-2020")</f>
        <v/>
      </c>
      <c r="W128">
        <f>HYPERLINK("https://klasma.github.io/Logging_2321/klagomålsmail/A 20979-2020 FSC-klagomål mail.docx", "A 20979-2020")</f>
        <v/>
      </c>
      <c r="X128">
        <f>HYPERLINK("https://klasma.github.io/Logging_2321/tillsyn/A 20979-2020 tillsynsbegäran.docx", "A 20979-2020")</f>
        <v/>
      </c>
      <c r="Y128">
        <f>HYPERLINK("https://klasma.github.io/Logging_2321/tillsynsmail/A 20979-2020 tillsynsbegäran mail.docx", "A 20979-2020")</f>
        <v/>
      </c>
      <c r="Z128">
        <f>HYPERLINK("https://klasma.github.io/Logging_2321/fåglar/A 20979-2020 prioriterade fågelarter.docx", "A 20979-2020")</f>
        <v/>
      </c>
    </row>
    <row r="129" ht="15" customHeight="1">
      <c r="A129" t="inlineStr">
        <is>
          <t>A 29084-2020</t>
        </is>
      </c>
      <c r="B129" s="1" t="n">
        <v>44002</v>
      </c>
      <c r="C129" s="1" t="n">
        <v>45358</v>
      </c>
      <c r="D129" t="inlineStr">
        <is>
          <t>JÄMTLANDS LÄN</t>
        </is>
      </c>
      <c r="E129" t="inlineStr">
        <is>
          <t>ÅRE</t>
        </is>
      </c>
      <c r="G129" t="n">
        <v>15.5</v>
      </c>
      <c r="H129" t="n">
        <v>0</v>
      </c>
      <c r="I129" t="n">
        <v>0</v>
      </c>
      <c r="J129" t="n">
        <v>1</v>
      </c>
      <c r="K129" t="n">
        <v>0</v>
      </c>
      <c r="L129" t="n">
        <v>0</v>
      </c>
      <c r="M129" t="n">
        <v>0</v>
      </c>
      <c r="N129" t="n">
        <v>0</v>
      </c>
      <c r="O129" t="n">
        <v>1</v>
      </c>
      <c r="P129" t="n">
        <v>0</v>
      </c>
      <c r="Q129" t="n">
        <v>1</v>
      </c>
      <c r="R129" s="2" t="inlineStr">
        <is>
          <t>Gränsticka</t>
        </is>
      </c>
      <c r="S129">
        <f>HYPERLINK("https://klasma.github.io/Logging_2321/artfynd/A 29084-2020 artfynd.xlsx", "A 29084-2020")</f>
        <v/>
      </c>
      <c r="T129">
        <f>HYPERLINK("https://klasma.github.io/Logging_2321/kartor/A 29084-2020 karta.png", "A 29084-2020")</f>
        <v/>
      </c>
      <c r="V129">
        <f>HYPERLINK("https://klasma.github.io/Logging_2321/klagomål/A 29084-2020 FSC-klagomål.docx", "A 29084-2020")</f>
        <v/>
      </c>
      <c r="W129">
        <f>HYPERLINK("https://klasma.github.io/Logging_2321/klagomålsmail/A 29084-2020 FSC-klagomål mail.docx", "A 29084-2020")</f>
        <v/>
      </c>
      <c r="X129">
        <f>HYPERLINK("https://klasma.github.io/Logging_2321/tillsyn/A 29084-2020 tillsynsbegäran.docx", "A 29084-2020")</f>
        <v/>
      </c>
      <c r="Y129">
        <f>HYPERLINK("https://klasma.github.io/Logging_2321/tillsynsmail/A 29084-2020 tillsynsbegäran mail.docx", "A 29084-2020")</f>
        <v/>
      </c>
    </row>
    <row r="130" ht="15" customHeight="1">
      <c r="A130" t="inlineStr">
        <is>
          <t>A 46966-2020</t>
        </is>
      </c>
      <c r="B130" s="1" t="n">
        <v>44090</v>
      </c>
      <c r="C130" s="1" t="n">
        <v>45358</v>
      </c>
      <c r="D130" t="inlineStr">
        <is>
          <t>JÄMTLANDS LÄN</t>
        </is>
      </c>
      <c r="E130" t="inlineStr">
        <is>
          <t>ÅRE</t>
        </is>
      </c>
      <c r="G130" t="n">
        <v>13.7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46966-2020 artfynd.xlsx", "A 46966-2020")</f>
        <v/>
      </c>
      <c r="T130">
        <f>HYPERLINK("https://klasma.github.io/Logging_2321/kartor/A 46966-2020 karta.png", "A 46966-2020")</f>
        <v/>
      </c>
      <c r="V130">
        <f>HYPERLINK("https://klasma.github.io/Logging_2321/klagomål/A 46966-2020 FSC-klagomål.docx", "A 46966-2020")</f>
        <v/>
      </c>
      <c r="W130">
        <f>HYPERLINK("https://klasma.github.io/Logging_2321/klagomålsmail/A 46966-2020 FSC-klagomål mail.docx", "A 46966-2020")</f>
        <v/>
      </c>
      <c r="X130">
        <f>HYPERLINK("https://klasma.github.io/Logging_2321/tillsyn/A 46966-2020 tillsynsbegäran.docx", "A 46966-2020")</f>
        <v/>
      </c>
      <c r="Y130">
        <f>HYPERLINK("https://klasma.github.io/Logging_2321/tillsynsmail/A 46966-2020 tillsynsbegäran mail.docx", "A 46966-2020")</f>
        <v/>
      </c>
      <c r="Z130">
        <f>HYPERLINK("https://klasma.github.io/Logging_2321/fåglar/A 46966-2020 prioriterade fågelarter.docx", "A 46966-2020")</f>
        <v/>
      </c>
    </row>
    <row r="131" ht="15" customHeight="1">
      <c r="A131" t="inlineStr">
        <is>
          <t>A 46959-2020</t>
        </is>
      </c>
      <c r="B131" s="1" t="n">
        <v>44090</v>
      </c>
      <c r="C131" s="1" t="n">
        <v>45358</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52542-2020</t>
        </is>
      </c>
      <c r="B132" s="1" t="n">
        <v>44116</v>
      </c>
      <c r="C132" s="1" t="n">
        <v>45358</v>
      </c>
      <c r="D132" t="inlineStr">
        <is>
          <t>JÄMTLANDS LÄN</t>
        </is>
      </c>
      <c r="E132" t="inlineStr">
        <is>
          <t>ÅRE</t>
        </is>
      </c>
      <c r="G132" t="n">
        <v>5.5</v>
      </c>
      <c r="H132" t="n">
        <v>0</v>
      </c>
      <c r="I132" t="n">
        <v>0</v>
      </c>
      <c r="J132" t="n">
        <v>1</v>
      </c>
      <c r="K132" t="n">
        <v>0</v>
      </c>
      <c r="L132" t="n">
        <v>0</v>
      </c>
      <c r="M132" t="n">
        <v>0</v>
      </c>
      <c r="N132" t="n">
        <v>0</v>
      </c>
      <c r="O132" t="n">
        <v>1</v>
      </c>
      <c r="P132" t="n">
        <v>0</v>
      </c>
      <c r="Q132" t="n">
        <v>1</v>
      </c>
      <c r="R132" s="2" t="inlineStr">
        <is>
          <t>Skrovellav</t>
        </is>
      </c>
      <c r="S132">
        <f>HYPERLINK("https://klasma.github.io/Logging_2321/artfynd/A 52542-2020 artfynd.xlsx", "A 52542-2020")</f>
        <v/>
      </c>
      <c r="T132">
        <f>HYPERLINK("https://klasma.github.io/Logging_2321/kartor/A 52542-2020 karta.png", "A 52542-2020")</f>
        <v/>
      </c>
      <c r="V132">
        <f>HYPERLINK("https://klasma.github.io/Logging_2321/klagomål/A 52542-2020 FSC-klagomål.docx", "A 52542-2020")</f>
        <v/>
      </c>
      <c r="W132">
        <f>HYPERLINK("https://klasma.github.io/Logging_2321/klagomålsmail/A 52542-2020 FSC-klagomål mail.docx", "A 52542-2020")</f>
        <v/>
      </c>
      <c r="X132">
        <f>HYPERLINK("https://klasma.github.io/Logging_2321/tillsyn/A 52542-2020 tillsynsbegäran.docx", "A 52542-2020")</f>
        <v/>
      </c>
      <c r="Y132">
        <f>HYPERLINK("https://klasma.github.io/Logging_2321/tillsynsmail/A 52542-2020 tillsynsbegäran mail.docx", "A 52542-2020")</f>
        <v/>
      </c>
    </row>
    <row r="133" ht="15" customHeight="1">
      <c r="A133" t="inlineStr">
        <is>
          <t>A 53598-2020</t>
        </is>
      </c>
      <c r="B133" s="1" t="n">
        <v>44124</v>
      </c>
      <c r="C133" s="1" t="n">
        <v>45358</v>
      </c>
      <c r="D133" t="inlineStr">
        <is>
          <t>JÄMTLANDS LÄN</t>
        </is>
      </c>
      <c r="E133" t="inlineStr">
        <is>
          <t>ÅRE</t>
        </is>
      </c>
      <c r="G133" t="n">
        <v>11.7</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53598-2020 artfynd.xlsx", "A 53598-2020")</f>
        <v/>
      </c>
      <c r="T133">
        <f>HYPERLINK("https://klasma.github.io/Logging_2321/kartor/A 53598-2020 karta.png", "A 53598-2020")</f>
        <v/>
      </c>
      <c r="V133">
        <f>HYPERLINK("https://klasma.github.io/Logging_2321/klagomål/A 53598-2020 FSC-klagomål.docx", "A 53598-2020")</f>
        <v/>
      </c>
      <c r="W133">
        <f>HYPERLINK("https://klasma.github.io/Logging_2321/klagomålsmail/A 53598-2020 FSC-klagomål mail.docx", "A 53598-2020")</f>
        <v/>
      </c>
      <c r="X133">
        <f>HYPERLINK("https://klasma.github.io/Logging_2321/tillsyn/A 53598-2020 tillsynsbegäran.docx", "A 53598-2020")</f>
        <v/>
      </c>
      <c r="Y133">
        <f>HYPERLINK("https://klasma.github.io/Logging_2321/tillsynsmail/A 53598-2020 tillsynsbegäran mail.docx", "A 53598-2020")</f>
        <v/>
      </c>
      <c r="Z133">
        <f>HYPERLINK("https://klasma.github.io/Logging_2321/fåglar/A 53598-2020 prioriterade fågelarter.docx", "A 53598-2020")</f>
        <v/>
      </c>
    </row>
    <row r="134" ht="15" customHeight="1">
      <c r="A134" t="inlineStr">
        <is>
          <t>A 65517-2020</t>
        </is>
      </c>
      <c r="B134" s="1" t="n">
        <v>44173</v>
      </c>
      <c r="C134" s="1" t="n">
        <v>45358</v>
      </c>
      <c r="D134" t="inlineStr">
        <is>
          <t>JÄMTLANDS LÄN</t>
        </is>
      </c>
      <c r="E134" t="inlineStr">
        <is>
          <t>ÅRE</t>
        </is>
      </c>
      <c r="G134" t="n">
        <v>4.6</v>
      </c>
      <c r="H134" t="n">
        <v>0</v>
      </c>
      <c r="I134" t="n">
        <v>0</v>
      </c>
      <c r="J134" t="n">
        <v>1</v>
      </c>
      <c r="K134" t="n">
        <v>0</v>
      </c>
      <c r="L134" t="n">
        <v>0</v>
      </c>
      <c r="M134" t="n">
        <v>0</v>
      </c>
      <c r="N134" t="n">
        <v>0</v>
      </c>
      <c r="O134" t="n">
        <v>1</v>
      </c>
      <c r="P134" t="n">
        <v>0</v>
      </c>
      <c r="Q134" t="n">
        <v>1</v>
      </c>
      <c r="R134" s="2" t="inlineStr">
        <is>
          <t>Doftskinn</t>
        </is>
      </c>
      <c r="S134">
        <f>HYPERLINK("https://klasma.github.io/Logging_2321/artfynd/A 65517-2020 artfynd.xlsx", "A 65517-2020")</f>
        <v/>
      </c>
      <c r="T134">
        <f>HYPERLINK("https://klasma.github.io/Logging_2321/kartor/A 65517-2020 karta.png", "A 65517-2020")</f>
        <v/>
      </c>
      <c r="V134">
        <f>HYPERLINK("https://klasma.github.io/Logging_2321/klagomål/A 65517-2020 FSC-klagomål.docx", "A 65517-2020")</f>
        <v/>
      </c>
      <c r="W134">
        <f>HYPERLINK("https://klasma.github.io/Logging_2321/klagomålsmail/A 65517-2020 FSC-klagomål mail.docx", "A 65517-2020")</f>
        <v/>
      </c>
      <c r="X134">
        <f>HYPERLINK("https://klasma.github.io/Logging_2321/tillsyn/A 65517-2020 tillsynsbegäran.docx", "A 65517-2020")</f>
        <v/>
      </c>
      <c r="Y134">
        <f>HYPERLINK("https://klasma.github.io/Logging_2321/tillsynsmail/A 65517-2020 tillsynsbegäran mail.docx", "A 65517-2020")</f>
        <v/>
      </c>
    </row>
    <row r="135" ht="15" customHeight="1">
      <c r="A135" t="inlineStr">
        <is>
          <t>A 65446-2020</t>
        </is>
      </c>
      <c r="B135" s="1" t="n">
        <v>44173</v>
      </c>
      <c r="C135" s="1" t="n">
        <v>45358</v>
      </c>
      <c r="D135" t="inlineStr">
        <is>
          <t>JÄMTLANDS LÄN</t>
        </is>
      </c>
      <c r="E135" t="inlineStr">
        <is>
          <t>ÅRE</t>
        </is>
      </c>
      <c r="G135" t="n">
        <v>7.2</v>
      </c>
      <c r="H135" t="n">
        <v>0</v>
      </c>
      <c r="I135" t="n">
        <v>0</v>
      </c>
      <c r="J135" t="n">
        <v>1</v>
      </c>
      <c r="K135" t="n">
        <v>0</v>
      </c>
      <c r="L135" t="n">
        <v>0</v>
      </c>
      <c r="M135" t="n">
        <v>0</v>
      </c>
      <c r="N135" t="n">
        <v>0</v>
      </c>
      <c r="O135" t="n">
        <v>1</v>
      </c>
      <c r="P135" t="n">
        <v>0</v>
      </c>
      <c r="Q135" t="n">
        <v>1</v>
      </c>
      <c r="R135" s="2" t="inlineStr">
        <is>
          <t>Ullticka</t>
        </is>
      </c>
      <c r="S135">
        <f>HYPERLINK("https://klasma.github.io/Logging_2321/artfynd/A 65446-2020 artfynd.xlsx", "A 65446-2020")</f>
        <v/>
      </c>
      <c r="T135">
        <f>HYPERLINK("https://klasma.github.io/Logging_2321/kartor/A 65446-2020 karta.png", "A 65446-2020")</f>
        <v/>
      </c>
      <c r="V135">
        <f>HYPERLINK("https://klasma.github.io/Logging_2321/klagomål/A 65446-2020 FSC-klagomål.docx", "A 65446-2020")</f>
        <v/>
      </c>
      <c r="W135">
        <f>HYPERLINK("https://klasma.github.io/Logging_2321/klagomålsmail/A 65446-2020 FSC-klagomål mail.docx", "A 65446-2020")</f>
        <v/>
      </c>
      <c r="X135">
        <f>HYPERLINK("https://klasma.github.io/Logging_2321/tillsyn/A 65446-2020 tillsynsbegäran.docx", "A 65446-2020")</f>
        <v/>
      </c>
      <c r="Y135">
        <f>HYPERLINK("https://klasma.github.io/Logging_2321/tillsynsmail/A 65446-2020 tillsynsbegäran mail.docx", "A 65446-2020")</f>
        <v/>
      </c>
    </row>
    <row r="136" ht="15" customHeight="1">
      <c r="A136" t="inlineStr">
        <is>
          <t>A 2422-2021</t>
        </is>
      </c>
      <c r="B136" s="1" t="n">
        <v>44214</v>
      </c>
      <c r="C136" s="1" t="n">
        <v>45358</v>
      </c>
      <c r="D136" t="inlineStr">
        <is>
          <t>JÄMTLANDS LÄN</t>
        </is>
      </c>
      <c r="E136" t="inlineStr">
        <is>
          <t>ÅRE</t>
        </is>
      </c>
      <c r="G136" t="n">
        <v>3.3</v>
      </c>
      <c r="H136" t="n">
        <v>1</v>
      </c>
      <c r="I136" t="n">
        <v>0</v>
      </c>
      <c r="J136" t="n">
        <v>0</v>
      </c>
      <c r="K136" t="n">
        <v>0</v>
      </c>
      <c r="L136" t="n">
        <v>0</v>
      </c>
      <c r="M136" t="n">
        <v>0</v>
      </c>
      <c r="N136" t="n">
        <v>0</v>
      </c>
      <c r="O136" t="n">
        <v>0</v>
      </c>
      <c r="P136" t="n">
        <v>0</v>
      </c>
      <c r="Q136" t="n">
        <v>1</v>
      </c>
      <c r="R136" s="2" t="inlineStr">
        <is>
          <t>Fläcknycklar</t>
        </is>
      </c>
      <c r="S136">
        <f>HYPERLINK("https://klasma.github.io/Logging_2321/artfynd/A 2422-2021 artfynd.xlsx", "A 2422-2021")</f>
        <v/>
      </c>
      <c r="T136">
        <f>HYPERLINK("https://klasma.github.io/Logging_2321/kartor/A 2422-2021 karta.png", "A 2422-2021")</f>
        <v/>
      </c>
      <c r="V136">
        <f>HYPERLINK("https://klasma.github.io/Logging_2321/klagomål/A 2422-2021 FSC-klagomål.docx", "A 2422-2021")</f>
        <v/>
      </c>
      <c r="W136">
        <f>HYPERLINK("https://klasma.github.io/Logging_2321/klagomålsmail/A 2422-2021 FSC-klagomål mail.docx", "A 2422-2021")</f>
        <v/>
      </c>
      <c r="X136">
        <f>HYPERLINK("https://klasma.github.io/Logging_2321/tillsyn/A 2422-2021 tillsynsbegäran.docx", "A 2422-2021")</f>
        <v/>
      </c>
      <c r="Y136">
        <f>HYPERLINK("https://klasma.github.io/Logging_2321/tillsynsmail/A 2422-2021 tillsynsbegäran mail.docx", "A 2422-2021")</f>
        <v/>
      </c>
    </row>
    <row r="137" ht="15" customHeight="1">
      <c r="A137" t="inlineStr">
        <is>
          <t>A 11781-2021</t>
        </is>
      </c>
      <c r="B137" s="1" t="n">
        <v>44265</v>
      </c>
      <c r="C137" s="1" t="n">
        <v>45358</v>
      </c>
      <c r="D137" t="inlineStr">
        <is>
          <t>JÄMTLANDS LÄN</t>
        </is>
      </c>
      <c r="E137" t="inlineStr">
        <is>
          <t>ÅRE</t>
        </is>
      </c>
      <c r="G137" t="n">
        <v>4.1</v>
      </c>
      <c r="H137" t="n">
        <v>0</v>
      </c>
      <c r="I137" t="n">
        <v>1</v>
      </c>
      <c r="J137" t="n">
        <v>0</v>
      </c>
      <c r="K137" t="n">
        <v>0</v>
      </c>
      <c r="L137" t="n">
        <v>0</v>
      </c>
      <c r="M137" t="n">
        <v>0</v>
      </c>
      <c r="N137" t="n">
        <v>0</v>
      </c>
      <c r="O137" t="n">
        <v>0</v>
      </c>
      <c r="P137" t="n">
        <v>0</v>
      </c>
      <c r="Q137" t="n">
        <v>1</v>
      </c>
      <c r="R137" s="2" t="inlineStr">
        <is>
          <t>Finbräken</t>
        </is>
      </c>
      <c r="S137">
        <f>HYPERLINK("https://klasma.github.io/Logging_2321/artfynd/A 11781-2021 artfynd.xlsx", "A 11781-2021")</f>
        <v/>
      </c>
      <c r="T137">
        <f>HYPERLINK("https://klasma.github.io/Logging_2321/kartor/A 11781-2021 karta.png", "A 11781-2021")</f>
        <v/>
      </c>
      <c r="V137">
        <f>HYPERLINK("https://klasma.github.io/Logging_2321/klagomål/A 11781-2021 FSC-klagomål.docx", "A 11781-2021")</f>
        <v/>
      </c>
      <c r="W137">
        <f>HYPERLINK("https://klasma.github.io/Logging_2321/klagomålsmail/A 11781-2021 FSC-klagomål mail.docx", "A 11781-2021")</f>
        <v/>
      </c>
      <c r="X137">
        <f>HYPERLINK("https://klasma.github.io/Logging_2321/tillsyn/A 11781-2021 tillsynsbegäran.docx", "A 11781-2021")</f>
        <v/>
      </c>
      <c r="Y137">
        <f>HYPERLINK("https://klasma.github.io/Logging_2321/tillsynsmail/A 11781-2021 tillsynsbegäran mail.docx", "A 11781-2021")</f>
        <v/>
      </c>
    </row>
    <row r="138" ht="15" customHeight="1">
      <c r="A138" t="inlineStr">
        <is>
          <t>A 11767-2021</t>
        </is>
      </c>
      <c r="B138" s="1" t="n">
        <v>44265</v>
      </c>
      <c r="C138" s="1" t="n">
        <v>45358</v>
      </c>
      <c r="D138" t="inlineStr">
        <is>
          <t>JÄMTLANDS LÄN</t>
        </is>
      </c>
      <c r="E138" t="inlineStr">
        <is>
          <t>ÅRE</t>
        </is>
      </c>
      <c r="G138" t="n">
        <v>15.4</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11767-2021 artfynd.xlsx", "A 11767-2021")</f>
        <v/>
      </c>
      <c r="T138">
        <f>HYPERLINK("https://klasma.github.io/Logging_2321/kartor/A 11767-2021 karta.png", "A 11767-2021")</f>
        <v/>
      </c>
      <c r="V138">
        <f>HYPERLINK("https://klasma.github.io/Logging_2321/klagomål/A 11767-2021 FSC-klagomål.docx", "A 11767-2021")</f>
        <v/>
      </c>
      <c r="W138">
        <f>HYPERLINK("https://klasma.github.io/Logging_2321/klagomålsmail/A 11767-2021 FSC-klagomål mail.docx", "A 11767-2021")</f>
        <v/>
      </c>
      <c r="X138">
        <f>HYPERLINK("https://klasma.github.io/Logging_2321/tillsyn/A 11767-2021 tillsynsbegäran.docx", "A 11767-2021")</f>
        <v/>
      </c>
      <c r="Y138">
        <f>HYPERLINK("https://klasma.github.io/Logging_2321/tillsynsmail/A 11767-2021 tillsynsbegäran mail.docx", "A 11767-2021")</f>
        <v/>
      </c>
      <c r="Z138">
        <f>HYPERLINK("https://klasma.github.io/Logging_2321/fåglar/A 11767-2021 prioriterade fågelarter.docx", "A 11767-2021")</f>
        <v/>
      </c>
    </row>
    <row r="139" ht="15" customHeight="1">
      <c r="A139" t="inlineStr">
        <is>
          <t>A 12970-2021</t>
        </is>
      </c>
      <c r="B139" s="1" t="n">
        <v>44271</v>
      </c>
      <c r="C139" s="1" t="n">
        <v>45358</v>
      </c>
      <c r="D139" t="inlineStr">
        <is>
          <t>JÄMTLANDS LÄN</t>
        </is>
      </c>
      <c r="E139" t="inlineStr">
        <is>
          <t>ÅRE</t>
        </is>
      </c>
      <c r="G139" t="n">
        <v>20.5</v>
      </c>
      <c r="H139" t="n">
        <v>1</v>
      </c>
      <c r="I139" t="n">
        <v>1</v>
      </c>
      <c r="J139" t="n">
        <v>0</v>
      </c>
      <c r="K139" t="n">
        <v>0</v>
      </c>
      <c r="L139" t="n">
        <v>0</v>
      </c>
      <c r="M139" t="n">
        <v>0</v>
      </c>
      <c r="N139" t="n">
        <v>0</v>
      </c>
      <c r="O139" t="n">
        <v>0</v>
      </c>
      <c r="P139" t="n">
        <v>0</v>
      </c>
      <c r="Q139" t="n">
        <v>1</v>
      </c>
      <c r="R139" s="2" t="inlineStr">
        <is>
          <t>Spindelblomster</t>
        </is>
      </c>
      <c r="S139">
        <f>HYPERLINK("https://klasma.github.io/Logging_2321/artfynd/A 12970-2021 artfynd.xlsx", "A 12970-2021")</f>
        <v/>
      </c>
      <c r="T139">
        <f>HYPERLINK("https://klasma.github.io/Logging_2321/kartor/A 12970-2021 karta.png", "A 12970-2021")</f>
        <v/>
      </c>
      <c r="V139">
        <f>HYPERLINK("https://klasma.github.io/Logging_2321/klagomål/A 12970-2021 FSC-klagomål.docx", "A 12970-2021")</f>
        <v/>
      </c>
      <c r="W139">
        <f>HYPERLINK("https://klasma.github.io/Logging_2321/klagomålsmail/A 12970-2021 FSC-klagomål mail.docx", "A 12970-2021")</f>
        <v/>
      </c>
      <c r="X139">
        <f>HYPERLINK("https://klasma.github.io/Logging_2321/tillsyn/A 12970-2021 tillsynsbegäran.docx", "A 12970-2021")</f>
        <v/>
      </c>
      <c r="Y139">
        <f>HYPERLINK("https://klasma.github.io/Logging_2321/tillsynsmail/A 12970-2021 tillsynsbegäran mail.docx", "A 12970-2021")</f>
        <v/>
      </c>
    </row>
    <row r="140" ht="15" customHeight="1">
      <c r="A140" t="inlineStr">
        <is>
          <t>A 18543-2021</t>
        </is>
      </c>
      <c r="B140" s="1" t="n">
        <v>44306</v>
      </c>
      <c r="C140" s="1" t="n">
        <v>45358</v>
      </c>
      <c r="D140" t="inlineStr">
        <is>
          <t>JÄMTLANDS LÄN</t>
        </is>
      </c>
      <c r="E140" t="inlineStr">
        <is>
          <t>ÅRE</t>
        </is>
      </c>
      <c r="G140" t="n">
        <v>1.7</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18543-2021 artfynd.xlsx", "A 18543-2021")</f>
        <v/>
      </c>
      <c r="T140">
        <f>HYPERLINK("https://klasma.github.io/Logging_2321/kartor/A 18543-2021 karta.png", "A 18543-2021")</f>
        <v/>
      </c>
      <c r="V140">
        <f>HYPERLINK("https://klasma.github.io/Logging_2321/klagomål/A 18543-2021 FSC-klagomål.docx", "A 18543-2021")</f>
        <v/>
      </c>
      <c r="W140">
        <f>HYPERLINK("https://klasma.github.io/Logging_2321/klagomålsmail/A 18543-2021 FSC-klagomål mail.docx", "A 18543-2021")</f>
        <v/>
      </c>
      <c r="X140">
        <f>HYPERLINK("https://klasma.github.io/Logging_2321/tillsyn/A 18543-2021 tillsynsbegäran.docx", "A 18543-2021")</f>
        <v/>
      </c>
      <c r="Y140">
        <f>HYPERLINK("https://klasma.github.io/Logging_2321/tillsynsmail/A 18543-2021 tillsynsbegäran mail.docx", "A 18543-2021")</f>
        <v/>
      </c>
      <c r="Z140">
        <f>HYPERLINK("https://klasma.github.io/Logging_2321/fåglar/A 18543-2021 prioriterade fågelarter.docx", "A 18543-2021")</f>
        <v/>
      </c>
    </row>
    <row r="141" ht="15" customHeight="1">
      <c r="A141" t="inlineStr">
        <is>
          <t>A 20500-2021</t>
        </is>
      </c>
      <c r="B141" s="1" t="n">
        <v>44315</v>
      </c>
      <c r="C141" s="1" t="n">
        <v>45358</v>
      </c>
      <c r="D141" t="inlineStr">
        <is>
          <t>JÄMTLANDS LÄN</t>
        </is>
      </c>
      <c r="E141" t="inlineStr">
        <is>
          <t>ÅRE</t>
        </is>
      </c>
      <c r="G141" t="n">
        <v>3</v>
      </c>
      <c r="H141" t="n">
        <v>0</v>
      </c>
      <c r="I141" t="n">
        <v>1</v>
      </c>
      <c r="J141" t="n">
        <v>0</v>
      </c>
      <c r="K141" t="n">
        <v>0</v>
      </c>
      <c r="L141" t="n">
        <v>0</v>
      </c>
      <c r="M141" t="n">
        <v>0</v>
      </c>
      <c r="N141" t="n">
        <v>0</v>
      </c>
      <c r="O141" t="n">
        <v>0</v>
      </c>
      <c r="P141" t="n">
        <v>0</v>
      </c>
      <c r="Q141" t="n">
        <v>1</v>
      </c>
      <c r="R141" s="2" t="inlineStr">
        <is>
          <t>Svart trolldruva</t>
        </is>
      </c>
      <c r="S141">
        <f>HYPERLINK("https://klasma.github.io/Logging_2321/artfynd/A 20500-2021 artfynd.xlsx", "A 20500-2021")</f>
        <v/>
      </c>
      <c r="T141">
        <f>HYPERLINK("https://klasma.github.io/Logging_2321/kartor/A 20500-2021 karta.png", "A 20500-2021")</f>
        <v/>
      </c>
      <c r="V141">
        <f>HYPERLINK("https://klasma.github.io/Logging_2321/klagomål/A 20500-2021 FSC-klagomål.docx", "A 20500-2021")</f>
        <v/>
      </c>
      <c r="W141">
        <f>HYPERLINK("https://klasma.github.io/Logging_2321/klagomålsmail/A 20500-2021 FSC-klagomål mail.docx", "A 20500-2021")</f>
        <v/>
      </c>
      <c r="X141">
        <f>HYPERLINK("https://klasma.github.io/Logging_2321/tillsyn/A 20500-2021 tillsynsbegäran.docx", "A 20500-2021")</f>
        <v/>
      </c>
      <c r="Y141">
        <f>HYPERLINK("https://klasma.github.io/Logging_2321/tillsynsmail/A 20500-2021 tillsynsbegäran mail.docx", "A 20500-2021")</f>
        <v/>
      </c>
    </row>
    <row r="142" ht="15" customHeight="1">
      <c r="A142" t="inlineStr">
        <is>
          <t>A 23556-2021</t>
        </is>
      </c>
      <c r="B142" s="1" t="n">
        <v>44334</v>
      </c>
      <c r="C142" s="1" t="n">
        <v>45358</v>
      </c>
      <c r="D142" t="inlineStr">
        <is>
          <t>JÄMTLANDS LÄN</t>
        </is>
      </c>
      <c r="E142" t="inlineStr">
        <is>
          <t>ÅRE</t>
        </is>
      </c>
      <c r="G142" t="n">
        <v>11.1</v>
      </c>
      <c r="H142" t="n">
        <v>1</v>
      </c>
      <c r="I142" t="n">
        <v>1</v>
      </c>
      <c r="J142" t="n">
        <v>0</v>
      </c>
      <c r="K142" t="n">
        <v>0</v>
      </c>
      <c r="L142" t="n">
        <v>0</v>
      </c>
      <c r="M142" t="n">
        <v>0</v>
      </c>
      <c r="N142" t="n">
        <v>0</v>
      </c>
      <c r="O142" t="n">
        <v>0</v>
      </c>
      <c r="P142" t="n">
        <v>0</v>
      </c>
      <c r="Q142" t="n">
        <v>1</v>
      </c>
      <c r="R142" s="2" t="inlineStr">
        <is>
          <t>Tvåblad</t>
        </is>
      </c>
      <c r="S142">
        <f>HYPERLINK("https://klasma.github.io/Logging_2321/artfynd/A 23556-2021 artfynd.xlsx", "A 23556-2021")</f>
        <v/>
      </c>
      <c r="T142">
        <f>HYPERLINK("https://klasma.github.io/Logging_2321/kartor/A 23556-2021 karta.png", "A 23556-2021")</f>
        <v/>
      </c>
      <c r="V142">
        <f>HYPERLINK("https://klasma.github.io/Logging_2321/klagomål/A 23556-2021 FSC-klagomål.docx", "A 23556-2021")</f>
        <v/>
      </c>
      <c r="W142">
        <f>HYPERLINK("https://klasma.github.io/Logging_2321/klagomålsmail/A 23556-2021 FSC-klagomål mail.docx", "A 23556-2021")</f>
        <v/>
      </c>
      <c r="X142">
        <f>HYPERLINK("https://klasma.github.io/Logging_2321/tillsyn/A 23556-2021 tillsynsbegäran.docx", "A 23556-2021")</f>
        <v/>
      </c>
      <c r="Y142">
        <f>HYPERLINK("https://klasma.github.io/Logging_2321/tillsynsmail/A 23556-2021 tillsynsbegäran mail.docx", "A 23556-2021")</f>
        <v/>
      </c>
    </row>
    <row r="143" ht="15" customHeight="1">
      <c r="A143" t="inlineStr">
        <is>
          <t>A 37082-2021</t>
        </is>
      </c>
      <c r="B143" s="1" t="n">
        <v>44395</v>
      </c>
      <c r="C143" s="1" t="n">
        <v>45358</v>
      </c>
      <c r="D143" t="inlineStr">
        <is>
          <t>JÄMTLANDS LÄN</t>
        </is>
      </c>
      <c r="E143" t="inlineStr">
        <is>
          <t>ÅRE</t>
        </is>
      </c>
      <c r="G143" t="n">
        <v>14.6</v>
      </c>
      <c r="H143" t="n">
        <v>1</v>
      </c>
      <c r="I143" t="n">
        <v>0</v>
      </c>
      <c r="J143" t="n">
        <v>1</v>
      </c>
      <c r="K143" t="n">
        <v>0</v>
      </c>
      <c r="L143" t="n">
        <v>0</v>
      </c>
      <c r="M143" t="n">
        <v>0</v>
      </c>
      <c r="N143" t="n">
        <v>0</v>
      </c>
      <c r="O143" t="n">
        <v>1</v>
      </c>
      <c r="P143" t="n">
        <v>0</v>
      </c>
      <c r="Q143" t="n">
        <v>1</v>
      </c>
      <c r="R143" s="2" t="inlineStr">
        <is>
          <t>Tretåig hackspett</t>
        </is>
      </c>
      <c r="S143">
        <f>HYPERLINK("https://klasma.github.io/Logging_2321/artfynd/A 37082-2021 artfynd.xlsx", "A 37082-2021")</f>
        <v/>
      </c>
      <c r="T143">
        <f>HYPERLINK("https://klasma.github.io/Logging_2321/kartor/A 37082-2021 karta.png", "A 37082-2021")</f>
        <v/>
      </c>
      <c r="V143">
        <f>HYPERLINK("https://klasma.github.io/Logging_2321/klagomål/A 37082-2021 FSC-klagomål.docx", "A 37082-2021")</f>
        <v/>
      </c>
      <c r="W143">
        <f>HYPERLINK("https://klasma.github.io/Logging_2321/klagomålsmail/A 37082-2021 FSC-klagomål mail.docx", "A 37082-2021")</f>
        <v/>
      </c>
      <c r="X143">
        <f>HYPERLINK("https://klasma.github.io/Logging_2321/tillsyn/A 37082-2021 tillsynsbegäran.docx", "A 37082-2021")</f>
        <v/>
      </c>
      <c r="Y143">
        <f>HYPERLINK("https://klasma.github.io/Logging_2321/tillsynsmail/A 37082-2021 tillsynsbegäran mail.docx", "A 37082-2021")</f>
        <v/>
      </c>
      <c r="Z143">
        <f>HYPERLINK("https://klasma.github.io/Logging_2321/fåglar/A 37082-2021 prioriterade fågelarter.docx", "A 37082-2021")</f>
        <v/>
      </c>
    </row>
    <row r="144" ht="15" customHeight="1">
      <c r="A144" t="inlineStr">
        <is>
          <t>A 56193-2021</t>
        </is>
      </c>
      <c r="B144" s="1" t="n">
        <v>44477</v>
      </c>
      <c r="C144" s="1" t="n">
        <v>45358</v>
      </c>
      <c r="D144" t="inlineStr">
        <is>
          <t>JÄMTLANDS LÄN</t>
        </is>
      </c>
      <c r="E144" t="inlineStr">
        <is>
          <t>ÅRE</t>
        </is>
      </c>
      <c r="F144" t="inlineStr">
        <is>
          <t>Övriga Aktiebolag</t>
        </is>
      </c>
      <c r="G144" t="n">
        <v>15.5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56193-2021 artfynd.xlsx", "A 56193-2021")</f>
        <v/>
      </c>
      <c r="T144">
        <f>HYPERLINK("https://klasma.github.io/Logging_2321/kartor/A 56193-2021 karta.png", "A 56193-2021")</f>
        <v/>
      </c>
      <c r="V144">
        <f>HYPERLINK("https://klasma.github.io/Logging_2321/klagomål/A 56193-2021 FSC-klagomål.docx", "A 56193-2021")</f>
        <v/>
      </c>
      <c r="W144">
        <f>HYPERLINK("https://klasma.github.io/Logging_2321/klagomålsmail/A 56193-2021 FSC-klagomål mail.docx", "A 56193-2021")</f>
        <v/>
      </c>
      <c r="X144">
        <f>HYPERLINK("https://klasma.github.io/Logging_2321/tillsyn/A 56193-2021 tillsynsbegäran.docx", "A 56193-2021")</f>
        <v/>
      </c>
      <c r="Y144">
        <f>HYPERLINK("https://klasma.github.io/Logging_2321/tillsynsmail/A 56193-2021 tillsynsbegäran mail.docx", "A 56193-2021")</f>
        <v/>
      </c>
      <c r="Z144">
        <f>HYPERLINK("https://klasma.github.io/Logging_2321/fåglar/A 56193-2021 prioriterade fågelarter.docx", "A 56193-2021")</f>
        <v/>
      </c>
    </row>
    <row r="145" ht="15" customHeight="1">
      <c r="A145" t="inlineStr">
        <is>
          <t>A 58117-2021</t>
        </is>
      </c>
      <c r="B145" s="1" t="n">
        <v>44487</v>
      </c>
      <c r="C145" s="1" t="n">
        <v>45358</v>
      </c>
      <c r="D145" t="inlineStr">
        <is>
          <t>JÄMTLANDS LÄN</t>
        </is>
      </c>
      <c r="E145" t="inlineStr">
        <is>
          <t>ÅRE</t>
        </is>
      </c>
      <c r="G145" t="n">
        <v>40.9</v>
      </c>
      <c r="H145" t="n">
        <v>0</v>
      </c>
      <c r="I145" t="n">
        <v>1</v>
      </c>
      <c r="J145" t="n">
        <v>0</v>
      </c>
      <c r="K145" t="n">
        <v>0</v>
      </c>
      <c r="L145" t="n">
        <v>0</v>
      </c>
      <c r="M145" t="n">
        <v>0</v>
      </c>
      <c r="N145" t="n">
        <v>0</v>
      </c>
      <c r="O145" t="n">
        <v>0</v>
      </c>
      <c r="P145" t="n">
        <v>0</v>
      </c>
      <c r="Q145" t="n">
        <v>1</v>
      </c>
      <c r="R145" s="2" t="inlineStr">
        <is>
          <t>Stuplav</t>
        </is>
      </c>
      <c r="S145">
        <f>HYPERLINK("https://klasma.github.io/Logging_2321/artfynd/A 58117-2021 artfynd.xlsx", "A 58117-2021")</f>
        <v/>
      </c>
      <c r="T145">
        <f>HYPERLINK("https://klasma.github.io/Logging_2321/kartor/A 58117-2021 karta.png", "A 58117-2021")</f>
        <v/>
      </c>
      <c r="V145">
        <f>HYPERLINK("https://klasma.github.io/Logging_2321/klagomål/A 58117-2021 FSC-klagomål.docx", "A 58117-2021")</f>
        <v/>
      </c>
      <c r="W145">
        <f>HYPERLINK("https://klasma.github.io/Logging_2321/klagomålsmail/A 58117-2021 FSC-klagomål mail.docx", "A 58117-2021")</f>
        <v/>
      </c>
      <c r="X145">
        <f>HYPERLINK("https://klasma.github.io/Logging_2321/tillsyn/A 58117-2021 tillsynsbegäran.docx", "A 58117-2021")</f>
        <v/>
      </c>
      <c r="Y145">
        <f>HYPERLINK("https://klasma.github.io/Logging_2321/tillsynsmail/A 58117-2021 tillsynsbegäran mail.docx", "A 58117-2021")</f>
        <v/>
      </c>
    </row>
    <row r="146" ht="15" customHeight="1">
      <c r="A146" t="inlineStr">
        <is>
          <t>A 58239-2021</t>
        </is>
      </c>
      <c r="B146" s="1" t="n">
        <v>44487</v>
      </c>
      <c r="C146" s="1" t="n">
        <v>45358</v>
      </c>
      <c r="D146" t="inlineStr">
        <is>
          <t>JÄMTLANDS LÄN</t>
        </is>
      </c>
      <c r="E146" t="inlineStr">
        <is>
          <t>ÅRE</t>
        </is>
      </c>
      <c r="G146" t="n">
        <v>25</v>
      </c>
      <c r="H146" t="n">
        <v>0</v>
      </c>
      <c r="I146" t="n">
        <v>0</v>
      </c>
      <c r="J146" t="n">
        <v>0</v>
      </c>
      <c r="K146" t="n">
        <v>1</v>
      </c>
      <c r="L146" t="n">
        <v>0</v>
      </c>
      <c r="M146" t="n">
        <v>0</v>
      </c>
      <c r="N146" t="n">
        <v>0</v>
      </c>
      <c r="O146" t="n">
        <v>1</v>
      </c>
      <c r="P146" t="n">
        <v>1</v>
      </c>
      <c r="Q146" t="n">
        <v>1</v>
      </c>
      <c r="R146" s="2" t="inlineStr">
        <is>
          <t>Rynkskinn</t>
        </is>
      </c>
      <c r="S146">
        <f>HYPERLINK("https://klasma.github.io/Logging_2321/artfynd/A 58239-2021 artfynd.xlsx", "A 58239-2021")</f>
        <v/>
      </c>
      <c r="T146">
        <f>HYPERLINK("https://klasma.github.io/Logging_2321/kartor/A 58239-2021 karta.png", "A 58239-2021")</f>
        <v/>
      </c>
      <c r="V146">
        <f>HYPERLINK("https://klasma.github.io/Logging_2321/klagomål/A 58239-2021 FSC-klagomål.docx", "A 58239-2021")</f>
        <v/>
      </c>
      <c r="W146">
        <f>HYPERLINK("https://klasma.github.io/Logging_2321/klagomålsmail/A 58239-2021 FSC-klagomål mail.docx", "A 58239-2021")</f>
        <v/>
      </c>
      <c r="X146">
        <f>HYPERLINK("https://klasma.github.io/Logging_2321/tillsyn/A 58239-2021 tillsynsbegäran.docx", "A 58239-2021")</f>
        <v/>
      </c>
      <c r="Y146">
        <f>HYPERLINK("https://klasma.github.io/Logging_2321/tillsynsmail/A 58239-2021 tillsynsbegäran mail.docx", "A 58239-2021")</f>
        <v/>
      </c>
    </row>
    <row r="147" ht="15" customHeight="1">
      <c r="A147" t="inlineStr">
        <is>
          <t>A 58226-2021</t>
        </is>
      </c>
      <c r="B147" s="1" t="n">
        <v>44487</v>
      </c>
      <c r="C147" s="1" t="n">
        <v>45358</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62188-2021</t>
        </is>
      </c>
      <c r="B148" s="1" t="n">
        <v>44502</v>
      </c>
      <c r="C148" s="1" t="n">
        <v>45358</v>
      </c>
      <c r="D148" t="inlineStr">
        <is>
          <t>JÄMTLANDS LÄN</t>
        </is>
      </c>
      <c r="E148" t="inlineStr">
        <is>
          <t>ÅRE</t>
        </is>
      </c>
      <c r="G148" t="n">
        <v>2.5</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62188-2021 artfynd.xlsx", "A 62188-2021")</f>
        <v/>
      </c>
      <c r="T148">
        <f>HYPERLINK("https://klasma.github.io/Logging_2321/kartor/A 62188-2021 karta.png", "A 62188-2021")</f>
        <v/>
      </c>
      <c r="V148">
        <f>HYPERLINK("https://klasma.github.io/Logging_2321/klagomål/A 62188-2021 FSC-klagomål.docx", "A 62188-2021")</f>
        <v/>
      </c>
      <c r="W148">
        <f>HYPERLINK("https://klasma.github.io/Logging_2321/klagomålsmail/A 62188-2021 FSC-klagomål mail.docx", "A 62188-2021")</f>
        <v/>
      </c>
      <c r="X148">
        <f>HYPERLINK("https://klasma.github.io/Logging_2321/tillsyn/A 62188-2021 tillsynsbegäran.docx", "A 62188-2021")</f>
        <v/>
      </c>
      <c r="Y148">
        <f>HYPERLINK("https://klasma.github.io/Logging_2321/tillsynsmail/A 62188-2021 tillsynsbegäran mail.docx", "A 62188-2021")</f>
        <v/>
      </c>
    </row>
    <row r="149" ht="15" customHeight="1">
      <c r="A149" t="inlineStr">
        <is>
          <t>A 63975-2021</t>
        </is>
      </c>
      <c r="B149" s="1" t="n">
        <v>44509</v>
      </c>
      <c r="C149" s="1" t="n">
        <v>45358</v>
      </c>
      <c r="D149" t="inlineStr">
        <is>
          <t>JÄMTLANDS LÄN</t>
        </is>
      </c>
      <c r="E149" t="inlineStr">
        <is>
          <t>ÅRE</t>
        </is>
      </c>
      <c r="G149" t="n">
        <v>2.4</v>
      </c>
      <c r="H149" t="n">
        <v>0</v>
      </c>
      <c r="I149" t="n">
        <v>1</v>
      </c>
      <c r="J149" t="n">
        <v>0</v>
      </c>
      <c r="K149" t="n">
        <v>0</v>
      </c>
      <c r="L149" t="n">
        <v>0</v>
      </c>
      <c r="M149" t="n">
        <v>0</v>
      </c>
      <c r="N149" t="n">
        <v>0</v>
      </c>
      <c r="O149" t="n">
        <v>0</v>
      </c>
      <c r="P149" t="n">
        <v>0</v>
      </c>
      <c r="Q149" t="n">
        <v>1</v>
      </c>
      <c r="R149" s="2" t="inlineStr">
        <is>
          <t>Svart trolldruva</t>
        </is>
      </c>
      <c r="S149">
        <f>HYPERLINK("https://klasma.github.io/Logging_2321/artfynd/A 63975-2021 artfynd.xlsx", "A 63975-2021")</f>
        <v/>
      </c>
      <c r="T149">
        <f>HYPERLINK("https://klasma.github.io/Logging_2321/kartor/A 63975-2021 karta.png", "A 63975-2021")</f>
        <v/>
      </c>
      <c r="V149">
        <f>HYPERLINK("https://klasma.github.io/Logging_2321/klagomål/A 63975-2021 FSC-klagomål.docx", "A 63975-2021")</f>
        <v/>
      </c>
      <c r="W149">
        <f>HYPERLINK("https://klasma.github.io/Logging_2321/klagomålsmail/A 63975-2021 FSC-klagomål mail.docx", "A 63975-2021")</f>
        <v/>
      </c>
      <c r="X149">
        <f>HYPERLINK("https://klasma.github.io/Logging_2321/tillsyn/A 63975-2021 tillsynsbegäran.docx", "A 63975-2021")</f>
        <v/>
      </c>
      <c r="Y149">
        <f>HYPERLINK("https://klasma.github.io/Logging_2321/tillsynsmail/A 63975-2021 tillsynsbegäran mail.docx", "A 63975-2021")</f>
        <v/>
      </c>
    </row>
    <row r="150" ht="15" customHeight="1">
      <c r="A150" t="inlineStr">
        <is>
          <t>A 74392-2021</t>
        </is>
      </c>
      <c r="B150" s="1" t="n">
        <v>44559</v>
      </c>
      <c r="C150" s="1" t="n">
        <v>45358</v>
      </c>
      <c r="D150" t="inlineStr">
        <is>
          <t>JÄMTLANDS LÄN</t>
        </is>
      </c>
      <c r="E150" t="inlineStr">
        <is>
          <t>ÅRE</t>
        </is>
      </c>
      <c r="G150" t="n">
        <v>11.6</v>
      </c>
      <c r="H150" t="n">
        <v>0</v>
      </c>
      <c r="I150" t="n">
        <v>0</v>
      </c>
      <c r="J150" t="n">
        <v>1</v>
      </c>
      <c r="K150" t="n">
        <v>0</v>
      </c>
      <c r="L150" t="n">
        <v>0</v>
      </c>
      <c r="M150" t="n">
        <v>0</v>
      </c>
      <c r="N150" t="n">
        <v>0</v>
      </c>
      <c r="O150" t="n">
        <v>1</v>
      </c>
      <c r="P150" t="n">
        <v>0</v>
      </c>
      <c r="Q150" t="n">
        <v>1</v>
      </c>
      <c r="R150" s="2" t="inlineStr">
        <is>
          <t>Skrovellav</t>
        </is>
      </c>
      <c r="S150">
        <f>HYPERLINK("https://klasma.github.io/Logging_2321/artfynd/A 74392-2021 artfynd.xlsx", "A 74392-2021")</f>
        <v/>
      </c>
      <c r="T150">
        <f>HYPERLINK("https://klasma.github.io/Logging_2321/kartor/A 74392-2021 karta.png", "A 74392-2021")</f>
        <v/>
      </c>
      <c r="V150">
        <f>HYPERLINK("https://klasma.github.io/Logging_2321/klagomål/A 74392-2021 FSC-klagomål.docx", "A 74392-2021")</f>
        <v/>
      </c>
      <c r="W150">
        <f>HYPERLINK("https://klasma.github.io/Logging_2321/klagomålsmail/A 74392-2021 FSC-klagomål mail.docx", "A 74392-2021")</f>
        <v/>
      </c>
      <c r="X150">
        <f>HYPERLINK("https://klasma.github.io/Logging_2321/tillsyn/A 74392-2021 tillsynsbegäran.docx", "A 74392-2021")</f>
        <v/>
      </c>
      <c r="Y150">
        <f>HYPERLINK("https://klasma.github.io/Logging_2321/tillsynsmail/A 74392-2021 tillsynsbegäran mail.docx", "A 74392-2021")</f>
        <v/>
      </c>
    </row>
    <row r="151" ht="15" customHeight="1">
      <c r="A151" t="inlineStr">
        <is>
          <t>A 12242-2022</t>
        </is>
      </c>
      <c r="B151" s="1" t="n">
        <v>44637</v>
      </c>
      <c r="C151" s="1" t="n">
        <v>45358</v>
      </c>
      <c r="D151" t="inlineStr">
        <is>
          <t>JÄMTLANDS LÄN</t>
        </is>
      </c>
      <c r="E151" t="inlineStr">
        <is>
          <t>ÅRE</t>
        </is>
      </c>
      <c r="G151" t="n">
        <v>53.4</v>
      </c>
      <c r="H151" t="n">
        <v>0</v>
      </c>
      <c r="I151" t="n">
        <v>0</v>
      </c>
      <c r="J151" t="n">
        <v>1</v>
      </c>
      <c r="K151" t="n">
        <v>0</v>
      </c>
      <c r="L151" t="n">
        <v>0</v>
      </c>
      <c r="M151" t="n">
        <v>0</v>
      </c>
      <c r="N151" t="n">
        <v>0</v>
      </c>
      <c r="O151" t="n">
        <v>1</v>
      </c>
      <c r="P151" t="n">
        <v>0</v>
      </c>
      <c r="Q151" t="n">
        <v>1</v>
      </c>
      <c r="R151" s="2" t="inlineStr">
        <is>
          <t>Granticka</t>
        </is>
      </c>
      <c r="S151">
        <f>HYPERLINK("https://klasma.github.io/Logging_2321/artfynd/A 12242-2022 artfynd.xlsx", "A 12242-2022")</f>
        <v/>
      </c>
      <c r="T151">
        <f>HYPERLINK("https://klasma.github.io/Logging_2321/kartor/A 12242-2022 karta.png", "A 12242-2022")</f>
        <v/>
      </c>
      <c r="V151">
        <f>HYPERLINK("https://klasma.github.io/Logging_2321/klagomål/A 12242-2022 FSC-klagomål.docx", "A 12242-2022")</f>
        <v/>
      </c>
      <c r="W151">
        <f>HYPERLINK("https://klasma.github.io/Logging_2321/klagomålsmail/A 12242-2022 FSC-klagomål mail.docx", "A 12242-2022")</f>
        <v/>
      </c>
      <c r="X151">
        <f>HYPERLINK("https://klasma.github.io/Logging_2321/tillsyn/A 12242-2022 tillsynsbegäran.docx", "A 12242-2022")</f>
        <v/>
      </c>
      <c r="Y151">
        <f>HYPERLINK("https://klasma.github.io/Logging_2321/tillsynsmail/A 12242-2022 tillsynsbegäran mail.docx", "A 12242-2022")</f>
        <v/>
      </c>
    </row>
    <row r="152" ht="15" customHeight="1">
      <c r="A152" t="inlineStr">
        <is>
          <t>A 17692-2022</t>
        </is>
      </c>
      <c r="B152" s="1" t="n">
        <v>44680</v>
      </c>
      <c r="C152" s="1" t="n">
        <v>45358</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18851-2022</t>
        </is>
      </c>
      <c r="B153" s="1" t="n">
        <v>44690</v>
      </c>
      <c r="C153" s="1" t="n">
        <v>45358</v>
      </c>
      <c r="D153" t="inlineStr">
        <is>
          <t>JÄMTLANDS LÄN</t>
        </is>
      </c>
      <c r="E153" t="inlineStr">
        <is>
          <t>ÅRE</t>
        </is>
      </c>
      <c r="G153" t="n">
        <v>10.4</v>
      </c>
      <c r="H153" t="n">
        <v>0</v>
      </c>
      <c r="I153" t="n">
        <v>0</v>
      </c>
      <c r="J153" t="n">
        <v>1</v>
      </c>
      <c r="K153" t="n">
        <v>0</v>
      </c>
      <c r="L153" t="n">
        <v>0</v>
      </c>
      <c r="M153" t="n">
        <v>0</v>
      </c>
      <c r="N153" t="n">
        <v>0</v>
      </c>
      <c r="O153" t="n">
        <v>1</v>
      </c>
      <c r="P153" t="n">
        <v>0</v>
      </c>
      <c r="Q153" t="n">
        <v>1</v>
      </c>
      <c r="R153" s="2" t="inlineStr">
        <is>
          <t>Garnlav</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row>
    <row r="154" ht="15" customHeight="1">
      <c r="A154" t="inlineStr">
        <is>
          <t>A 32216-2022</t>
        </is>
      </c>
      <c r="B154" s="1" t="n">
        <v>44781</v>
      </c>
      <c r="C154" s="1" t="n">
        <v>45358</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40614-2022</t>
        </is>
      </c>
      <c r="B155" s="1" t="n">
        <v>44824</v>
      </c>
      <c r="C155" s="1" t="n">
        <v>45358</v>
      </c>
      <c r="D155" t="inlineStr">
        <is>
          <t>JÄMTLANDS LÄN</t>
        </is>
      </c>
      <c r="E155" t="inlineStr">
        <is>
          <t>ÅRE</t>
        </is>
      </c>
      <c r="F155" t="inlineStr">
        <is>
          <t>Övriga Aktiebolag</t>
        </is>
      </c>
      <c r="G155" t="n">
        <v>23.2</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40614-2022 artfynd.xlsx", "A 40614-2022")</f>
        <v/>
      </c>
      <c r="T155">
        <f>HYPERLINK("https://klasma.github.io/Logging_2321/kartor/A 40614-2022 karta.png", "A 40614-2022")</f>
        <v/>
      </c>
      <c r="V155">
        <f>HYPERLINK("https://klasma.github.io/Logging_2321/klagomål/A 40614-2022 FSC-klagomål.docx", "A 40614-2022")</f>
        <v/>
      </c>
      <c r="W155">
        <f>HYPERLINK("https://klasma.github.io/Logging_2321/klagomålsmail/A 40614-2022 FSC-klagomål mail.docx", "A 40614-2022")</f>
        <v/>
      </c>
      <c r="X155">
        <f>HYPERLINK("https://klasma.github.io/Logging_2321/tillsyn/A 40614-2022 tillsynsbegäran.docx", "A 40614-2022")</f>
        <v/>
      </c>
      <c r="Y155">
        <f>HYPERLINK("https://klasma.github.io/Logging_2321/tillsynsmail/A 40614-2022 tillsynsbegäran mail.docx", "A 40614-2022")</f>
        <v/>
      </c>
      <c r="Z155">
        <f>HYPERLINK("https://klasma.github.io/Logging_2321/fåglar/A 40614-2022 prioriterade fågelarter.docx", "A 40614-2022")</f>
        <v/>
      </c>
    </row>
    <row r="156" ht="15" customHeight="1">
      <c r="A156" t="inlineStr">
        <is>
          <t>A 55805-2022</t>
        </is>
      </c>
      <c r="B156" s="1" t="n">
        <v>44888</v>
      </c>
      <c r="C156" s="1" t="n">
        <v>45358</v>
      </c>
      <c r="D156" t="inlineStr">
        <is>
          <t>JÄMTLANDS LÄN</t>
        </is>
      </c>
      <c r="E156" t="inlineStr">
        <is>
          <t>ÅRE</t>
        </is>
      </c>
      <c r="F156" t="inlineStr">
        <is>
          <t>Övriga Aktiebolag</t>
        </is>
      </c>
      <c r="G156" t="n">
        <v>17.7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55805-2022 artfynd.xlsx", "A 55805-2022")</f>
        <v/>
      </c>
      <c r="T156">
        <f>HYPERLINK("https://klasma.github.io/Logging_2321/kartor/A 55805-2022 karta.png", "A 55805-2022")</f>
        <v/>
      </c>
      <c r="V156">
        <f>HYPERLINK("https://klasma.github.io/Logging_2321/klagomål/A 55805-2022 FSC-klagomål.docx", "A 55805-2022")</f>
        <v/>
      </c>
      <c r="W156">
        <f>HYPERLINK("https://klasma.github.io/Logging_2321/klagomålsmail/A 55805-2022 FSC-klagomål mail.docx", "A 55805-2022")</f>
        <v/>
      </c>
      <c r="X156">
        <f>HYPERLINK("https://klasma.github.io/Logging_2321/tillsyn/A 55805-2022 tillsynsbegäran.docx", "A 55805-2022")</f>
        <v/>
      </c>
      <c r="Y156">
        <f>HYPERLINK("https://klasma.github.io/Logging_2321/tillsynsmail/A 55805-2022 tillsynsbegäran mail.docx", "A 55805-2022")</f>
        <v/>
      </c>
      <c r="Z156">
        <f>HYPERLINK("https://klasma.github.io/Logging_2321/fåglar/A 55805-2022 prioriterade fågelarter.docx", "A 55805-2022")</f>
        <v/>
      </c>
    </row>
    <row r="157" ht="15" customHeight="1">
      <c r="A157" t="inlineStr">
        <is>
          <t>A 56493-2022</t>
        </is>
      </c>
      <c r="B157" s="1" t="n">
        <v>44893</v>
      </c>
      <c r="C157" s="1" t="n">
        <v>45358</v>
      </c>
      <c r="D157" t="inlineStr">
        <is>
          <t>JÄMTLANDS LÄN</t>
        </is>
      </c>
      <c r="E157" t="inlineStr">
        <is>
          <t>ÅRE</t>
        </is>
      </c>
      <c r="F157" t="inlineStr">
        <is>
          <t>Övriga Aktiebolag</t>
        </is>
      </c>
      <c r="G157" t="n">
        <v>3</v>
      </c>
      <c r="H157" t="n">
        <v>0</v>
      </c>
      <c r="I157" t="n">
        <v>0</v>
      </c>
      <c r="J157" t="n">
        <v>1</v>
      </c>
      <c r="K157" t="n">
        <v>0</v>
      </c>
      <c r="L157" t="n">
        <v>0</v>
      </c>
      <c r="M157" t="n">
        <v>0</v>
      </c>
      <c r="N157" t="n">
        <v>0</v>
      </c>
      <c r="O157" t="n">
        <v>1</v>
      </c>
      <c r="P157" t="n">
        <v>0</v>
      </c>
      <c r="Q157" t="n">
        <v>1</v>
      </c>
      <c r="R157" s="2" t="inlineStr">
        <is>
          <t>Garnlav</t>
        </is>
      </c>
      <c r="S157">
        <f>HYPERLINK("https://klasma.github.io/Logging_2321/artfynd/A 56493-2022 artfynd.xlsx", "A 56493-2022")</f>
        <v/>
      </c>
      <c r="T157">
        <f>HYPERLINK("https://klasma.github.io/Logging_2321/kartor/A 56493-2022 karta.png", "A 56493-2022")</f>
        <v/>
      </c>
      <c r="V157">
        <f>HYPERLINK("https://klasma.github.io/Logging_2321/klagomål/A 56493-2022 FSC-klagomål.docx", "A 56493-2022")</f>
        <v/>
      </c>
      <c r="W157">
        <f>HYPERLINK("https://klasma.github.io/Logging_2321/klagomålsmail/A 56493-2022 FSC-klagomål mail.docx", "A 56493-2022")</f>
        <v/>
      </c>
      <c r="X157">
        <f>HYPERLINK("https://klasma.github.io/Logging_2321/tillsyn/A 56493-2022 tillsynsbegäran.docx", "A 56493-2022")</f>
        <v/>
      </c>
      <c r="Y157">
        <f>HYPERLINK("https://klasma.github.io/Logging_2321/tillsynsmail/A 56493-2022 tillsynsbegäran mail.docx", "A 56493-2022")</f>
        <v/>
      </c>
    </row>
    <row r="158" ht="15" customHeight="1">
      <c r="A158" t="inlineStr">
        <is>
          <t>A 56603-2022</t>
        </is>
      </c>
      <c r="B158" s="1" t="n">
        <v>44893</v>
      </c>
      <c r="C158" s="1" t="n">
        <v>45358</v>
      </c>
      <c r="D158" t="inlineStr">
        <is>
          <t>JÄMTLANDS LÄN</t>
        </is>
      </c>
      <c r="E158" t="inlineStr">
        <is>
          <t>ÅRE</t>
        </is>
      </c>
      <c r="F158" t="inlineStr">
        <is>
          <t>Övriga Aktiebolag</t>
        </is>
      </c>
      <c r="G158" t="n">
        <v>14.3</v>
      </c>
      <c r="H158" t="n">
        <v>1</v>
      </c>
      <c r="I158" t="n">
        <v>0</v>
      </c>
      <c r="J158" t="n">
        <v>1</v>
      </c>
      <c r="K158" t="n">
        <v>0</v>
      </c>
      <c r="L158" t="n">
        <v>0</v>
      </c>
      <c r="M158" t="n">
        <v>0</v>
      </c>
      <c r="N158" t="n">
        <v>0</v>
      </c>
      <c r="O158" t="n">
        <v>1</v>
      </c>
      <c r="P158" t="n">
        <v>0</v>
      </c>
      <c r="Q158" t="n">
        <v>1</v>
      </c>
      <c r="R158" s="2" t="inlineStr">
        <is>
          <t>Talltita</t>
        </is>
      </c>
      <c r="S158">
        <f>HYPERLINK("https://klasma.github.io/Logging_2321/artfynd/A 56603-2022 artfynd.xlsx", "A 56603-2022")</f>
        <v/>
      </c>
      <c r="T158">
        <f>HYPERLINK("https://klasma.github.io/Logging_2321/kartor/A 56603-2022 karta.png", "A 56603-2022")</f>
        <v/>
      </c>
      <c r="V158">
        <f>HYPERLINK("https://klasma.github.io/Logging_2321/klagomål/A 56603-2022 FSC-klagomål.docx", "A 56603-2022")</f>
        <v/>
      </c>
      <c r="W158">
        <f>HYPERLINK("https://klasma.github.io/Logging_2321/klagomålsmail/A 56603-2022 FSC-klagomål mail.docx", "A 56603-2022")</f>
        <v/>
      </c>
      <c r="X158">
        <f>HYPERLINK("https://klasma.github.io/Logging_2321/tillsyn/A 56603-2022 tillsynsbegäran.docx", "A 56603-2022")</f>
        <v/>
      </c>
      <c r="Y158">
        <f>HYPERLINK("https://klasma.github.io/Logging_2321/tillsynsmail/A 56603-2022 tillsynsbegäran mail.docx", "A 56603-2022")</f>
        <v/>
      </c>
      <c r="Z158">
        <f>HYPERLINK("https://klasma.github.io/Logging_2321/fåglar/A 56603-2022 prioriterade fågelarter.docx", "A 56603-2022")</f>
        <v/>
      </c>
    </row>
    <row r="159" ht="15" customHeight="1">
      <c r="A159" t="inlineStr">
        <is>
          <t>A 57396-2022</t>
        </is>
      </c>
      <c r="B159" s="1" t="n">
        <v>44896</v>
      </c>
      <c r="C159" s="1" t="n">
        <v>45358</v>
      </c>
      <c r="D159" t="inlineStr">
        <is>
          <t>JÄMTLANDS LÄN</t>
        </is>
      </c>
      <c r="E159" t="inlineStr">
        <is>
          <t>ÅRE</t>
        </is>
      </c>
      <c r="G159" t="n">
        <v>3.1</v>
      </c>
      <c r="H159" t="n">
        <v>0</v>
      </c>
      <c r="I159" t="n">
        <v>0</v>
      </c>
      <c r="J159" t="n">
        <v>1</v>
      </c>
      <c r="K159" t="n">
        <v>0</v>
      </c>
      <c r="L159" t="n">
        <v>0</v>
      </c>
      <c r="M159" t="n">
        <v>0</v>
      </c>
      <c r="N159" t="n">
        <v>0</v>
      </c>
      <c r="O159" t="n">
        <v>1</v>
      </c>
      <c r="P159" t="n">
        <v>0</v>
      </c>
      <c r="Q159" t="n">
        <v>1</v>
      </c>
      <c r="R159" s="2" t="inlineStr">
        <is>
          <t>Granticka</t>
        </is>
      </c>
      <c r="S159">
        <f>HYPERLINK("https://klasma.github.io/Logging_2321/artfynd/A 57396-2022 artfynd.xlsx", "A 57396-2022")</f>
        <v/>
      </c>
      <c r="T159">
        <f>HYPERLINK("https://klasma.github.io/Logging_2321/kartor/A 57396-2022 karta.png", "A 57396-2022")</f>
        <v/>
      </c>
      <c r="V159">
        <f>HYPERLINK("https://klasma.github.io/Logging_2321/klagomål/A 57396-2022 FSC-klagomål.docx", "A 57396-2022")</f>
        <v/>
      </c>
      <c r="W159">
        <f>HYPERLINK("https://klasma.github.io/Logging_2321/klagomålsmail/A 57396-2022 FSC-klagomål mail.docx", "A 57396-2022")</f>
        <v/>
      </c>
      <c r="X159">
        <f>HYPERLINK("https://klasma.github.io/Logging_2321/tillsyn/A 57396-2022 tillsynsbegäran.docx", "A 57396-2022")</f>
        <v/>
      </c>
      <c r="Y159">
        <f>HYPERLINK("https://klasma.github.io/Logging_2321/tillsynsmail/A 57396-2022 tillsynsbegäran mail.docx", "A 57396-2022")</f>
        <v/>
      </c>
    </row>
    <row r="160" ht="15" customHeight="1">
      <c r="A160" t="inlineStr">
        <is>
          <t>A 60544-2022</t>
        </is>
      </c>
      <c r="B160" s="1" t="n">
        <v>44904</v>
      </c>
      <c r="C160" s="1" t="n">
        <v>45358</v>
      </c>
      <c r="D160" t="inlineStr">
        <is>
          <t>JÄMTLANDS LÄN</t>
        </is>
      </c>
      <c r="E160" t="inlineStr">
        <is>
          <t>ÅRE</t>
        </is>
      </c>
      <c r="G160" t="n">
        <v>1.2</v>
      </c>
      <c r="H160" t="n">
        <v>1</v>
      </c>
      <c r="I160" t="n">
        <v>0</v>
      </c>
      <c r="J160" t="n">
        <v>1</v>
      </c>
      <c r="K160" t="n">
        <v>0</v>
      </c>
      <c r="L160" t="n">
        <v>0</v>
      </c>
      <c r="M160" t="n">
        <v>0</v>
      </c>
      <c r="N160" t="n">
        <v>0</v>
      </c>
      <c r="O160" t="n">
        <v>1</v>
      </c>
      <c r="P160" t="n">
        <v>0</v>
      </c>
      <c r="Q160" t="n">
        <v>1</v>
      </c>
      <c r="R160" s="2" t="inlineStr">
        <is>
          <t>Järpe</t>
        </is>
      </c>
      <c r="S160">
        <f>HYPERLINK("https://klasma.github.io/Logging_2321/artfynd/A 60544-2022 artfynd.xlsx", "A 60544-2022")</f>
        <v/>
      </c>
      <c r="T160">
        <f>HYPERLINK("https://klasma.github.io/Logging_2321/kartor/A 60544-2022 karta.png", "A 60544-2022")</f>
        <v/>
      </c>
      <c r="V160">
        <f>HYPERLINK("https://klasma.github.io/Logging_2321/klagomål/A 60544-2022 FSC-klagomål.docx", "A 60544-2022")</f>
        <v/>
      </c>
      <c r="W160">
        <f>HYPERLINK("https://klasma.github.io/Logging_2321/klagomålsmail/A 60544-2022 FSC-klagomål mail.docx", "A 60544-2022")</f>
        <v/>
      </c>
      <c r="X160">
        <f>HYPERLINK("https://klasma.github.io/Logging_2321/tillsyn/A 60544-2022 tillsynsbegäran.docx", "A 60544-2022")</f>
        <v/>
      </c>
      <c r="Y160">
        <f>HYPERLINK("https://klasma.github.io/Logging_2321/tillsynsmail/A 60544-2022 tillsynsbegäran mail.docx", "A 60544-2022")</f>
        <v/>
      </c>
      <c r="Z160">
        <f>HYPERLINK("https://klasma.github.io/Logging_2321/fåglar/A 60544-2022 prioriterade fågelarter.docx", "A 60544-2022")</f>
        <v/>
      </c>
    </row>
    <row r="161" ht="15" customHeight="1">
      <c r="A161" t="inlineStr">
        <is>
          <t>A 60435-2022</t>
        </is>
      </c>
      <c r="B161" s="1" t="n">
        <v>44911</v>
      </c>
      <c r="C161" s="1" t="n">
        <v>45358</v>
      </c>
      <c r="D161" t="inlineStr">
        <is>
          <t>JÄMTLANDS LÄN</t>
        </is>
      </c>
      <c r="E161" t="inlineStr">
        <is>
          <t>ÅRE</t>
        </is>
      </c>
      <c r="F161" t="inlineStr">
        <is>
          <t>Övriga Aktiebolag</t>
        </is>
      </c>
      <c r="G161" t="n">
        <v>7.9</v>
      </c>
      <c r="H161" t="n">
        <v>0</v>
      </c>
      <c r="I161" t="n">
        <v>1</v>
      </c>
      <c r="J161" t="n">
        <v>0</v>
      </c>
      <c r="K161" t="n">
        <v>0</v>
      </c>
      <c r="L161" t="n">
        <v>0</v>
      </c>
      <c r="M161" t="n">
        <v>0</v>
      </c>
      <c r="N161" t="n">
        <v>0</v>
      </c>
      <c r="O161" t="n">
        <v>0</v>
      </c>
      <c r="P161" t="n">
        <v>0</v>
      </c>
      <c r="Q161" t="n">
        <v>1</v>
      </c>
      <c r="R161" s="2" t="inlineStr">
        <is>
          <t>Kransrams</t>
        </is>
      </c>
      <c r="S161">
        <f>HYPERLINK("https://klasma.github.io/Logging_2321/artfynd/A 60435-2022 artfynd.xlsx", "A 60435-2022")</f>
        <v/>
      </c>
      <c r="T161">
        <f>HYPERLINK("https://klasma.github.io/Logging_2321/kartor/A 60435-2022 karta.png", "A 60435-2022")</f>
        <v/>
      </c>
      <c r="V161">
        <f>HYPERLINK("https://klasma.github.io/Logging_2321/klagomål/A 60435-2022 FSC-klagomål.docx", "A 60435-2022")</f>
        <v/>
      </c>
      <c r="W161">
        <f>HYPERLINK("https://klasma.github.io/Logging_2321/klagomålsmail/A 60435-2022 FSC-klagomål mail.docx", "A 60435-2022")</f>
        <v/>
      </c>
      <c r="X161">
        <f>HYPERLINK("https://klasma.github.io/Logging_2321/tillsyn/A 60435-2022 tillsynsbegäran.docx", "A 60435-2022")</f>
        <v/>
      </c>
      <c r="Y161">
        <f>HYPERLINK("https://klasma.github.io/Logging_2321/tillsynsmail/A 60435-2022 tillsynsbegäran mail.docx", "A 60435-2022")</f>
        <v/>
      </c>
    </row>
    <row r="162" ht="15" customHeight="1">
      <c r="A162" t="inlineStr">
        <is>
          <t>A 5480-2023</t>
        </is>
      </c>
      <c r="B162" s="1" t="n">
        <v>44957</v>
      </c>
      <c r="C162" s="1" t="n">
        <v>45358</v>
      </c>
      <c r="D162" t="inlineStr">
        <is>
          <t>JÄMTLANDS LÄN</t>
        </is>
      </c>
      <c r="E162" t="inlineStr">
        <is>
          <t>ÅRE</t>
        </is>
      </c>
      <c r="G162" t="n">
        <v>3.3</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5480-2023 artfynd.xlsx", "A 5480-2023")</f>
        <v/>
      </c>
      <c r="T162">
        <f>HYPERLINK("https://klasma.github.io/Logging_2321/kartor/A 5480-2023 karta.png", "A 5480-2023")</f>
        <v/>
      </c>
      <c r="V162">
        <f>HYPERLINK("https://klasma.github.io/Logging_2321/klagomål/A 5480-2023 FSC-klagomål.docx", "A 5480-2023")</f>
        <v/>
      </c>
      <c r="W162">
        <f>HYPERLINK("https://klasma.github.io/Logging_2321/klagomålsmail/A 5480-2023 FSC-klagomål mail.docx", "A 5480-2023")</f>
        <v/>
      </c>
      <c r="X162">
        <f>HYPERLINK("https://klasma.github.io/Logging_2321/tillsyn/A 5480-2023 tillsynsbegäran.docx", "A 5480-2023")</f>
        <v/>
      </c>
      <c r="Y162">
        <f>HYPERLINK("https://klasma.github.io/Logging_2321/tillsynsmail/A 5480-2023 tillsynsbegäran mail.docx", "A 5480-2023")</f>
        <v/>
      </c>
      <c r="Z162">
        <f>HYPERLINK("https://klasma.github.io/Logging_2321/fåglar/A 5480-2023 prioriterade fågelarter.docx", "A 5480-2023")</f>
        <v/>
      </c>
    </row>
    <row r="163" ht="15" customHeight="1">
      <c r="A163" t="inlineStr">
        <is>
          <t>A 10632-2023</t>
        </is>
      </c>
      <c r="B163" s="1" t="n">
        <v>44984</v>
      </c>
      <c r="C163" s="1" t="n">
        <v>45358</v>
      </c>
      <c r="D163" t="inlineStr">
        <is>
          <t>JÄMTLANDS LÄN</t>
        </is>
      </c>
      <c r="E163" t="inlineStr">
        <is>
          <t>ÅRE</t>
        </is>
      </c>
      <c r="G163" t="n">
        <v>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10632-2023 artfynd.xlsx", "A 10632-2023")</f>
        <v/>
      </c>
      <c r="T163">
        <f>HYPERLINK("https://klasma.github.io/Logging_2321/kartor/A 10632-2023 karta.png", "A 10632-2023")</f>
        <v/>
      </c>
      <c r="V163">
        <f>HYPERLINK("https://klasma.github.io/Logging_2321/klagomål/A 10632-2023 FSC-klagomål.docx", "A 10632-2023")</f>
        <v/>
      </c>
      <c r="W163">
        <f>HYPERLINK("https://klasma.github.io/Logging_2321/klagomålsmail/A 10632-2023 FSC-klagomål mail.docx", "A 10632-2023")</f>
        <v/>
      </c>
      <c r="X163">
        <f>HYPERLINK("https://klasma.github.io/Logging_2321/tillsyn/A 10632-2023 tillsynsbegäran.docx", "A 10632-2023")</f>
        <v/>
      </c>
      <c r="Y163">
        <f>HYPERLINK("https://klasma.github.io/Logging_2321/tillsynsmail/A 10632-2023 tillsynsbegäran mail.docx", "A 10632-2023")</f>
        <v/>
      </c>
      <c r="Z163">
        <f>HYPERLINK("https://klasma.github.io/Logging_2321/fåglar/A 10632-2023 prioriterade fågelarter.docx", "A 10632-2023")</f>
        <v/>
      </c>
    </row>
    <row r="164" ht="15" customHeight="1">
      <c r="A164" t="inlineStr">
        <is>
          <t>A 41405-2023</t>
        </is>
      </c>
      <c r="B164" s="1" t="n">
        <v>45174</v>
      </c>
      <c r="C164" s="1" t="n">
        <v>45358</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Ögonpyrola</t>
        </is>
      </c>
      <c r="S164">
        <f>HYPERLINK("https://klasma.github.io/Logging_2321/artfynd/A 41405-2023 artfynd.xlsx", "A 41405-2023")</f>
        <v/>
      </c>
      <c r="T164">
        <f>HYPERLINK("https://klasma.github.io/Logging_2321/kartor/A 41405-2023 karta.png", "A 41405-2023")</f>
        <v/>
      </c>
      <c r="V164">
        <f>HYPERLINK("https://klasma.github.io/Logging_2321/klagomål/A 41405-2023 FSC-klagomål.docx", "A 41405-2023")</f>
        <v/>
      </c>
      <c r="W164">
        <f>HYPERLINK("https://klasma.github.io/Logging_2321/klagomålsmail/A 41405-2023 FSC-klagomål mail.docx", "A 41405-2023")</f>
        <v/>
      </c>
      <c r="X164">
        <f>HYPERLINK("https://klasma.github.io/Logging_2321/tillsyn/A 41405-2023 tillsynsbegäran.docx", "A 41405-2023")</f>
        <v/>
      </c>
      <c r="Y164">
        <f>HYPERLINK("https://klasma.github.io/Logging_2321/tillsynsmail/A 41405-2023 tillsynsbegäran mail.docx", "A 41405-2023")</f>
        <v/>
      </c>
    </row>
    <row r="165" ht="15" customHeight="1">
      <c r="A165" t="inlineStr">
        <is>
          <t>A 55105-2023</t>
        </is>
      </c>
      <c r="B165" s="1" t="n">
        <v>45237</v>
      </c>
      <c r="C165" s="1" t="n">
        <v>45358</v>
      </c>
      <c r="D165" t="inlineStr">
        <is>
          <t>JÄMTLANDS LÄN</t>
        </is>
      </c>
      <c r="E165" t="inlineStr">
        <is>
          <t>ÅRE</t>
        </is>
      </c>
      <c r="G165" t="n">
        <v>15.8</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55105-2023 artfynd.xlsx", "A 55105-2023")</f>
        <v/>
      </c>
      <c r="T165">
        <f>HYPERLINK("https://klasma.github.io/Logging_2321/kartor/A 55105-2023 karta.png", "A 55105-2023")</f>
        <v/>
      </c>
      <c r="V165">
        <f>HYPERLINK("https://klasma.github.io/Logging_2321/klagomål/A 55105-2023 FSC-klagomål.docx", "A 55105-2023")</f>
        <v/>
      </c>
      <c r="W165">
        <f>HYPERLINK("https://klasma.github.io/Logging_2321/klagomålsmail/A 55105-2023 FSC-klagomål mail.docx", "A 55105-2023")</f>
        <v/>
      </c>
      <c r="X165">
        <f>HYPERLINK("https://klasma.github.io/Logging_2321/tillsyn/A 55105-2023 tillsynsbegäran.docx", "A 55105-2023")</f>
        <v/>
      </c>
      <c r="Y165">
        <f>HYPERLINK("https://klasma.github.io/Logging_2321/tillsynsmail/A 55105-2023 tillsynsbegäran mail.docx", "A 55105-2023")</f>
        <v/>
      </c>
      <c r="Z165">
        <f>HYPERLINK("https://klasma.github.io/Logging_2321/fåglar/A 55105-2023 prioriterade fågelarter.docx", "A 55105-2023")</f>
        <v/>
      </c>
    </row>
    <row r="166" ht="15" customHeight="1">
      <c r="A166" t="inlineStr">
        <is>
          <t>A 59402-2023</t>
        </is>
      </c>
      <c r="B166" s="1" t="n">
        <v>45253</v>
      </c>
      <c r="C166" s="1" t="n">
        <v>45358</v>
      </c>
      <c r="D166" t="inlineStr">
        <is>
          <t>JÄMTLANDS LÄN</t>
        </is>
      </c>
      <c r="E166" t="inlineStr">
        <is>
          <t>ÅRE</t>
        </is>
      </c>
      <c r="G166" t="n">
        <v>2.3</v>
      </c>
      <c r="H166" t="n">
        <v>0</v>
      </c>
      <c r="I166" t="n">
        <v>0</v>
      </c>
      <c r="J166" t="n">
        <v>1</v>
      </c>
      <c r="K166" t="n">
        <v>0</v>
      </c>
      <c r="L166" t="n">
        <v>0</v>
      </c>
      <c r="M166" t="n">
        <v>0</v>
      </c>
      <c r="N166" t="n">
        <v>0</v>
      </c>
      <c r="O166" t="n">
        <v>1</v>
      </c>
      <c r="P166" t="n">
        <v>0</v>
      </c>
      <c r="Q166" t="n">
        <v>1</v>
      </c>
      <c r="R166" s="2" t="inlineStr">
        <is>
          <t>Garnlav</t>
        </is>
      </c>
      <c r="S166">
        <f>HYPERLINK("https://klasma.github.io/Logging_2321/artfynd/A 59402-2023 artfynd.xlsx", "A 59402-2023")</f>
        <v/>
      </c>
      <c r="T166">
        <f>HYPERLINK("https://klasma.github.io/Logging_2321/kartor/A 59402-2023 karta.png", "A 59402-2023")</f>
        <v/>
      </c>
      <c r="V166">
        <f>HYPERLINK("https://klasma.github.io/Logging_2321/klagomål/A 59402-2023 FSC-klagomål.docx", "A 59402-2023")</f>
        <v/>
      </c>
      <c r="W166">
        <f>HYPERLINK("https://klasma.github.io/Logging_2321/klagomålsmail/A 59402-2023 FSC-klagomål mail.docx", "A 59402-2023")</f>
        <v/>
      </c>
      <c r="X166">
        <f>HYPERLINK("https://klasma.github.io/Logging_2321/tillsyn/A 59402-2023 tillsynsbegäran.docx", "A 59402-2023")</f>
        <v/>
      </c>
      <c r="Y166">
        <f>HYPERLINK("https://klasma.github.io/Logging_2321/tillsynsmail/A 59402-2023 tillsynsbegäran mail.docx", "A 59402-2023")</f>
        <v/>
      </c>
    </row>
    <row r="167" ht="15" customHeight="1">
      <c r="A167" t="inlineStr">
        <is>
          <t>A 61471-2023</t>
        </is>
      </c>
      <c r="B167" s="1" t="n">
        <v>45264</v>
      </c>
      <c r="C167" s="1" t="n">
        <v>45358</v>
      </c>
      <c r="D167" t="inlineStr">
        <is>
          <t>JÄMTLANDS LÄN</t>
        </is>
      </c>
      <c r="E167" t="inlineStr">
        <is>
          <t>ÅRE</t>
        </is>
      </c>
      <c r="G167" t="n">
        <v>1</v>
      </c>
      <c r="H167" t="n">
        <v>0</v>
      </c>
      <c r="I167" t="n">
        <v>0</v>
      </c>
      <c r="J167" t="n">
        <v>1</v>
      </c>
      <c r="K167" t="n">
        <v>0</v>
      </c>
      <c r="L167" t="n">
        <v>0</v>
      </c>
      <c r="M167" t="n">
        <v>0</v>
      </c>
      <c r="N167" t="n">
        <v>0</v>
      </c>
      <c r="O167" t="n">
        <v>1</v>
      </c>
      <c r="P167" t="n">
        <v>0</v>
      </c>
      <c r="Q167" t="n">
        <v>1</v>
      </c>
      <c r="R167" s="2" t="inlineStr">
        <is>
          <t>Skrovellav</t>
        </is>
      </c>
      <c r="S167">
        <f>HYPERLINK("https://klasma.github.io/Logging_2321/artfynd/A 61471-2023 artfynd.xlsx", "A 61471-2023")</f>
        <v/>
      </c>
      <c r="T167">
        <f>HYPERLINK("https://klasma.github.io/Logging_2321/kartor/A 61471-2023 karta.png", "A 61471-2023")</f>
        <v/>
      </c>
      <c r="V167">
        <f>HYPERLINK("https://klasma.github.io/Logging_2321/klagomål/A 61471-2023 FSC-klagomål.docx", "A 61471-2023")</f>
        <v/>
      </c>
      <c r="W167">
        <f>HYPERLINK("https://klasma.github.io/Logging_2321/klagomålsmail/A 61471-2023 FSC-klagomål mail.docx", "A 61471-2023")</f>
        <v/>
      </c>
      <c r="X167">
        <f>HYPERLINK("https://klasma.github.io/Logging_2321/tillsyn/A 61471-2023 tillsynsbegäran.docx", "A 61471-2023")</f>
        <v/>
      </c>
      <c r="Y167">
        <f>HYPERLINK("https://klasma.github.io/Logging_2321/tillsynsmail/A 61471-2023 tillsynsbegäran mail.docx", "A 61471-2023")</f>
        <v/>
      </c>
    </row>
    <row r="168" ht="15" customHeight="1">
      <c r="A168" t="inlineStr">
        <is>
          <t>A 64026-2023</t>
        </is>
      </c>
      <c r="B168" s="1" t="n">
        <v>45278</v>
      </c>
      <c r="C168" s="1" t="n">
        <v>45358</v>
      </c>
      <c r="D168" t="inlineStr">
        <is>
          <t>JÄMTLANDS LÄN</t>
        </is>
      </c>
      <c r="E168" t="inlineStr">
        <is>
          <t>ÅRE</t>
        </is>
      </c>
      <c r="F168" t="inlineStr">
        <is>
          <t>Övriga Aktiebolag</t>
        </is>
      </c>
      <c r="G168" t="n">
        <v>9.800000000000001</v>
      </c>
      <c r="H168" t="n">
        <v>0</v>
      </c>
      <c r="I168" t="n">
        <v>1</v>
      </c>
      <c r="J168" t="n">
        <v>0</v>
      </c>
      <c r="K168" t="n">
        <v>0</v>
      </c>
      <c r="L168" t="n">
        <v>0</v>
      </c>
      <c r="M168" t="n">
        <v>0</v>
      </c>
      <c r="N168" t="n">
        <v>0</v>
      </c>
      <c r="O168" t="n">
        <v>0</v>
      </c>
      <c r="P168" t="n">
        <v>0</v>
      </c>
      <c r="Q168" t="n">
        <v>1</v>
      </c>
      <c r="R168" s="2" t="inlineStr">
        <is>
          <t>Svavelriska</t>
        </is>
      </c>
      <c r="S168">
        <f>HYPERLINK("https://klasma.github.io/Logging_2321/artfynd/A 64026-2023 artfynd.xlsx", "A 64026-2023")</f>
        <v/>
      </c>
      <c r="T168">
        <f>HYPERLINK("https://klasma.github.io/Logging_2321/kartor/A 64026-2023 karta.png", "A 64026-2023")</f>
        <v/>
      </c>
      <c r="V168">
        <f>HYPERLINK("https://klasma.github.io/Logging_2321/klagomål/A 64026-2023 FSC-klagomål.docx", "A 64026-2023")</f>
        <v/>
      </c>
      <c r="W168">
        <f>HYPERLINK("https://klasma.github.io/Logging_2321/klagomålsmail/A 64026-2023 FSC-klagomål mail.docx", "A 64026-2023")</f>
        <v/>
      </c>
      <c r="X168">
        <f>HYPERLINK("https://klasma.github.io/Logging_2321/tillsyn/A 64026-2023 tillsynsbegäran.docx", "A 64026-2023")</f>
        <v/>
      </c>
      <c r="Y168">
        <f>HYPERLINK("https://klasma.github.io/Logging_2321/tillsynsmail/A 64026-2023 tillsynsbegäran mail.docx", "A 64026-2023")</f>
        <v/>
      </c>
    </row>
    <row r="169" ht="15" customHeight="1">
      <c r="A169" t="inlineStr">
        <is>
          <t>A 36231-2018</t>
        </is>
      </c>
      <c r="B169" s="1" t="n">
        <v>43328</v>
      </c>
      <c r="C169" s="1" t="n">
        <v>45358</v>
      </c>
      <c r="D169" t="inlineStr">
        <is>
          <t>JÄMTLANDS LÄN</t>
        </is>
      </c>
      <c r="E169" t="inlineStr">
        <is>
          <t>ÅRE</t>
        </is>
      </c>
      <c r="G169" t="n">
        <v>7.1</v>
      </c>
      <c r="H169" t="n">
        <v>0</v>
      </c>
      <c r="I169" t="n">
        <v>0</v>
      </c>
      <c r="J169" t="n">
        <v>0</v>
      </c>
      <c r="K169" t="n">
        <v>0</v>
      </c>
      <c r="L169" t="n">
        <v>0</v>
      </c>
      <c r="M169" t="n">
        <v>0</v>
      </c>
      <c r="N169" t="n">
        <v>0</v>
      </c>
      <c r="O169" t="n">
        <v>0</v>
      </c>
      <c r="P169" t="n">
        <v>0</v>
      </c>
      <c r="Q169" t="n">
        <v>0</v>
      </c>
      <c r="R169" s="2" t="inlineStr"/>
    </row>
    <row r="170" ht="15" customHeight="1">
      <c r="A170" t="inlineStr">
        <is>
          <t>A 43244-2018</t>
        </is>
      </c>
      <c r="B170" s="1" t="n">
        <v>43353</v>
      </c>
      <c r="C170" s="1" t="n">
        <v>45358</v>
      </c>
      <c r="D170" t="inlineStr">
        <is>
          <t>JÄMTLANDS LÄN</t>
        </is>
      </c>
      <c r="E170" t="inlineStr">
        <is>
          <t>ÅRE</t>
        </is>
      </c>
      <c r="F170" t="inlineStr">
        <is>
          <t>Övriga statliga verk och myndigheter</t>
        </is>
      </c>
      <c r="G170" t="n">
        <v>12.9</v>
      </c>
      <c r="H170" t="n">
        <v>0</v>
      </c>
      <c r="I170" t="n">
        <v>0</v>
      </c>
      <c r="J170" t="n">
        <v>0</v>
      </c>
      <c r="K170" t="n">
        <v>0</v>
      </c>
      <c r="L170" t="n">
        <v>0</v>
      </c>
      <c r="M170" t="n">
        <v>0</v>
      </c>
      <c r="N170" t="n">
        <v>0</v>
      </c>
      <c r="O170" t="n">
        <v>0</v>
      </c>
      <c r="P170" t="n">
        <v>0</v>
      </c>
      <c r="Q170" t="n">
        <v>0</v>
      </c>
      <c r="R170" s="2" t="inlineStr"/>
    </row>
    <row r="171" ht="15" customHeight="1">
      <c r="A171" t="inlineStr">
        <is>
          <t>A 44507-2018</t>
        </is>
      </c>
      <c r="B171" s="1" t="n">
        <v>43355</v>
      </c>
      <c r="C171" s="1" t="n">
        <v>45358</v>
      </c>
      <c r="D171" t="inlineStr">
        <is>
          <t>JÄMTLANDS LÄN</t>
        </is>
      </c>
      <c r="E171" t="inlineStr">
        <is>
          <t>ÅRE</t>
        </is>
      </c>
      <c r="G171" t="n">
        <v>7.2</v>
      </c>
      <c r="H171" t="n">
        <v>0</v>
      </c>
      <c r="I171" t="n">
        <v>0</v>
      </c>
      <c r="J171" t="n">
        <v>0</v>
      </c>
      <c r="K171" t="n">
        <v>0</v>
      </c>
      <c r="L171" t="n">
        <v>0</v>
      </c>
      <c r="M171" t="n">
        <v>0</v>
      </c>
      <c r="N171" t="n">
        <v>0</v>
      </c>
      <c r="O171" t="n">
        <v>0</v>
      </c>
      <c r="P171" t="n">
        <v>0</v>
      </c>
      <c r="Q171" t="n">
        <v>0</v>
      </c>
      <c r="R171" s="2" t="inlineStr"/>
    </row>
    <row r="172" ht="15" customHeight="1">
      <c r="A172" t="inlineStr">
        <is>
          <t>A 44558-2018</t>
        </is>
      </c>
      <c r="B172" s="1" t="n">
        <v>43355</v>
      </c>
      <c r="C172" s="1" t="n">
        <v>45358</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43661-2018</t>
        </is>
      </c>
      <c r="B173" s="1" t="n">
        <v>43357</v>
      </c>
      <c r="C173" s="1" t="n">
        <v>45358</v>
      </c>
      <c r="D173" t="inlineStr">
        <is>
          <t>JÄMTLANDS LÄN</t>
        </is>
      </c>
      <c r="E173" t="inlineStr">
        <is>
          <t>ÅRE</t>
        </is>
      </c>
      <c r="F173" t="inlineStr">
        <is>
          <t>Övriga Aktiebolag</t>
        </is>
      </c>
      <c r="G173" t="n">
        <v>21.3</v>
      </c>
      <c r="H173" t="n">
        <v>0</v>
      </c>
      <c r="I173" t="n">
        <v>0</v>
      </c>
      <c r="J173" t="n">
        <v>0</v>
      </c>
      <c r="K173" t="n">
        <v>0</v>
      </c>
      <c r="L173" t="n">
        <v>0</v>
      </c>
      <c r="M173" t="n">
        <v>0</v>
      </c>
      <c r="N173" t="n">
        <v>0</v>
      </c>
      <c r="O173" t="n">
        <v>0</v>
      </c>
      <c r="P173" t="n">
        <v>0</v>
      </c>
      <c r="Q173" t="n">
        <v>0</v>
      </c>
      <c r="R173" s="2" t="inlineStr"/>
    </row>
    <row r="174" ht="15" customHeight="1">
      <c r="A174" t="inlineStr">
        <is>
          <t>A 46640-2018</t>
        </is>
      </c>
      <c r="B174" s="1" t="n">
        <v>43368</v>
      </c>
      <c r="C174" s="1" t="n">
        <v>45358</v>
      </c>
      <c r="D174" t="inlineStr">
        <is>
          <t>JÄMTLANDS LÄN</t>
        </is>
      </c>
      <c r="E174" t="inlineStr">
        <is>
          <t>ÅRE</t>
        </is>
      </c>
      <c r="G174" t="n">
        <v>1.8</v>
      </c>
      <c r="H174" t="n">
        <v>0</v>
      </c>
      <c r="I174" t="n">
        <v>0</v>
      </c>
      <c r="J174" t="n">
        <v>0</v>
      </c>
      <c r="K174" t="n">
        <v>0</v>
      </c>
      <c r="L174" t="n">
        <v>0</v>
      </c>
      <c r="M174" t="n">
        <v>0</v>
      </c>
      <c r="N174" t="n">
        <v>0</v>
      </c>
      <c r="O174" t="n">
        <v>0</v>
      </c>
      <c r="P174" t="n">
        <v>0</v>
      </c>
      <c r="Q174" t="n">
        <v>0</v>
      </c>
      <c r="R174" s="2" t="inlineStr"/>
    </row>
    <row r="175" ht="15" customHeight="1">
      <c r="A175" t="inlineStr">
        <is>
          <t>A 47303-2018</t>
        </is>
      </c>
      <c r="B175" s="1" t="n">
        <v>43369</v>
      </c>
      <c r="C175" s="1" t="n">
        <v>45358</v>
      </c>
      <c r="D175" t="inlineStr">
        <is>
          <t>JÄMTLANDS LÄN</t>
        </is>
      </c>
      <c r="E175" t="inlineStr">
        <is>
          <t>ÅRE</t>
        </is>
      </c>
      <c r="G175" t="n">
        <v>14.5</v>
      </c>
      <c r="H175" t="n">
        <v>0</v>
      </c>
      <c r="I175" t="n">
        <v>0</v>
      </c>
      <c r="J175" t="n">
        <v>0</v>
      </c>
      <c r="K175" t="n">
        <v>0</v>
      </c>
      <c r="L175" t="n">
        <v>0</v>
      </c>
      <c r="M175" t="n">
        <v>0</v>
      </c>
      <c r="N175" t="n">
        <v>0</v>
      </c>
      <c r="O175" t="n">
        <v>0</v>
      </c>
      <c r="P175" t="n">
        <v>0</v>
      </c>
      <c r="Q175" t="n">
        <v>0</v>
      </c>
      <c r="R175" s="2" t="inlineStr"/>
    </row>
    <row r="176" ht="15" customHeight="1">
      <c r="A176" t="inlineStr">
        <is>
          <t>A 50928-2018</t>
        </is>
      </c>
      <c r="B176" s="1" t="n">
        <v>43375</v>
      </c>
      <c r="C176" s="1" t="n">
        <v>45358</v>
      </c>
      <c r="D176" t="inlineStr">
        <is>
          <t>JÄMTLANDS LÄN</t>
        </is>
      </c>
      <c r="E176" t="inlineStr">
        <is>
          <t>ÅRE</t>
        </is>
      </c>
      <c r="G176" t="n">
        <v>8.6</v>
      </c>
      <c r="H176" t="n">
        <v>0</v>
      </c>
      <c r="I176" t="n">
        <v>0</v>
      </c>
      <c r="J176" t="n">
        <v>0</v>
      </c>
      <c r="K176" t="n">
        <v>0</v>
      </c>
      <c r="L176" t="n">
        <v>0</v>
      </c>
      <c r="M176" t="n">
        <v>0</v>
      </c>
      <c r="N176" t="n">
        <v>0</v>
      </c>
      <c r="O176" t="n">
        <v>0</v>
      </c>
      <c r="P176" t="n">
        <v>0</v>
      </c>
      <c r="Q176" t="n">
        <v>0</v>
      </c>
      <c r="R176" s="2" t="inlineStr"/>
    </row>
    <row r="177" ht="15" customHeight="1">
      <c r="A177" t="inlineStr">
        <is>
          <t>A 51383-2018</t>
        </is>
      </c>
      <c r="B177" s="1" t="n">
        <v>43383</v>
      </c>
      <c r="C177" s="1" t="n">
        <v>45358</v>
      </c>
      <c r="D177" t="inlineStr">
        <is>
          <t>JÄMTLANDS LÄN</t>
        </is>
      </c>
      <c r="E177" t="inlineStr">
        <is>
          <t>ÅRE</t>
        </is>
      </c>
      <c r="G177" t="n">
        <v>1.9</v>
      </c>
      <c r="H177" t="n">
        <v>0</v>
      </c>
      <c r="I177" t="n">
        <v>0</v>
      </c>
      <c r="J177" t="n">
        <v>0</v>
      </c>
      <c r="K177" t="n">
        <v>0</v>
      </c>
      <c r="L177" t="n">
        <v>0</v>
      </c>
      <c r="M177" t="n">
        <v>0</v>
      </c>
      <c r="N177" t="n">
        <v>0</v>
      </c>
      <c r="O177" t="n">
        <v>0</v>
      </c>
      <c r="P177" t="n">
        <v>0</v>
      </c>
      <c r="Q177" t="n">
        <v>0</v>
      </c>
      <c r="R177" s="2" t="inlineStr"/>
    </row>
    <row r="178" ht="15" customHeight="1">
      <c r="A178" t="inlineStr">
        <is>
          <t>A 52842-2018</t>
        </is>
      </c>
      <c r="B178" s="1" t="n">
        <v>43384</v>
      </c>
      <c r="C178" s="1" t="n">
        <v>45358</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52573-2018</t>
        </is>
      </c>
      <c r="B179" s="1" t="n">
        <v>43388</v>
      </c>
      <c r="C179" s="1" t="n">
        <v>45358</v>
      </c>
      <c r="D179" t="inlineStr">
        <is>
          <t>JÄMTLANDS LÄN</t>
        </is>
      </c>
      <c r="E179" t="inlineStr">
        <is>
          <t>ÅRE</t>
        </is>
      </c>
      <c r="G179" t="n">
        <v>4.4</v>
      </c>
      <c r="H179" t="n">
        <v>0</v>
      </c>
      <c r="I179" t="n">
        <v>0</v>
      </c>
      <c r="J179" t="n">
        <v>0</v>
      </c>
      <c r="K179" t="n">
        <v>0</v>
      </c>
      <c r="L179" t="n">
        <v>0</v>
      </c>
      <c r="M179" t="n">
        <v>0</v>
      </c>
      <c r="N179" t="n">
        <v>0</v>
      </c>
      <c r="O179" t="n">
        <v>0</v>
      </c>
      <c r="P179" t="n">
        <v>0</v>
      </c>
      <c r="Q179" t="n">
        <v>0</v>
      </c>
      <c r="R179" s="2" t="inlineStr"/>
    </row>
    <row r="180" ht="15" customHeight="1">
      <c r="A180" t="inlineStr">
        <is>
          <t>A 52615-2018</t>
        </is>
      </c>
      <c r="B180" s="1" t="n">
        <v>43389</v>
      </c>
      <c r="C180" s="1" t="n">
        <v>45358</v>
      </c>
      <c r="D180" t="inlineStr">
        <is>
          <t>JÄMTLANDS LÄN</t>
        </is>
      </c>
      <c r="E180" t="inlineStr">
        <is>
          <t>ÅRE</t>
        </is>
      </c>
      <c r="F180" t="inlineStr">
        <is>
          <t>Övriga Aktiebolag</t>
        </is>
      </c>
      <c r="G180" t="n">
        <v>65.90000000000001</v>
      </c>
      <c r="H180" t="n">
        <v>0</v>
      </c>
      <c r="I180" t="n">
        <v>0</v>
      </c>
      <c r="J180" t="n">
        <v>0</v>
      </c>
      <c r="K180" t="n">
        <v>0</v>
      </c>
      <c r="L180" t="n">
        <v>0</v>
      </c>
      <c r="M180" t="n">
        <v>0</v>
      </c>
      <c r="N180" t="n">
        <v>0</v>
      </c>
      <c r="O180" t="n">
        <v>0</v>
      </c>
      <c r="P180" t="n">
        <v>0</v>
      </c>
      <c r="Q180" t="n">
        <v>0</v>
      </c>
      <c r="R180" s="2" t="inlineStr"/>
    </row>
    <row r="181" ht="15" customHeight="1">
      <c r="A181" t="inlineStr">
        <is>
          <t>A 53430-2018</t>
        </is>
      </c>
      <c r="B181" s="1" t="n">
        <v>43391</v>
      </c>
      <c r="C181" s="1" t="n">
        <v>45358</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54859-2018</t>
        </is>
      </c>
      <c r="B182" s="1" t="n">
        <v>43396</v>
      </c>
      <c r="C182" s="1" t="n">
        <v>45358</v>
      </c>
      <c r="D182" t="inlineStr">
        <is>
          <t>JÄMTLANDS LÄN</t>
        </is>
      </c>
      <c r="E182" t="inlineStr">
        <is>
          <t>ÅRE</t>
        </is>
      </c>
      <c r="G182" t="n">
        <v>2.1</v>
      </c>
      <c r="H182" t="n">
        <v>0</v>
      </c>
      <c r="I182" t="n">
        <v>0</v>
      </c>
      <c r="J182" t="n">
        <v>0</v>
      </c>
      <c r="K182" t="n">
        <v>0</v>
      </c>
      <c r="L182" t="n">
        <v>0</v>
      </c>
      <c r="M182" t="n">
        <v>0</v>
      </c>
      <c r="N182" t="n">
        <v>0</v>
      </c>
      <c r="O182" t="n">
        <v>0</v>
      </c>
      <c r="P182" t="n">
        <v>0</v>
      </c>
      <c r="Q182" t="n">
        <v>0</v>
      </c>
      <c r="R182" s="2" t="inlineStr"/>
    </row>
    <row r="183" ht="15" customHeight="1">
      <c r="A183" t="inlineStr">
        <is>
          <t>A 57752-2018</t>
        </is>
      </c>
      <c r="B183" s="1" t="n">
        <v>43397</v>
      </c>
      <c r="C183" s="1" t="n">
        <v>45358</v>
      </c>
      <c r="D183" t="inlineStr">
        <is>
          <t>JÄMTLANDS LÄN</t>
        </is>
      </c>
      <c r="E183" t="inlineStr">
        <is>
          <t>ÅRE</t>
        </is>
      </c>
      <c r="G183" t="n">
        <v>0.7</v>
      </c>
      <c r="H183" t="n">
        <v>0</v>
      </c>
      <c r="I183" t="n">
        <v>0</v>
      </c>
      <c r="J183" t="n">
        <v>0</v>
      </c>
      <c r="K183" t="n">
        <v>0</v>
      </c>
      <c r="L183" t="n">
        <v>0</v>
      </c>
      <c r="M183" t="n">
        <v>0</v>
      </c>
      <c r="N183" t="n">
        <v>0</v>
      </c>
      <c r="O183" t="n">
        <v>0</v>
      </c>
      <c r="P183" t="n">
        <v>0</v>
      </c>
      <c r="Q183" t="n">
        <v>0</v>
      </c>
      <c r="R183" s="2" t="inlineStr"/>
    </row>
    <row r="184" ht="15" customHeight="1">
      <c r="A184" t="inlineStr">
        <is>
          <t>A 56780-2018</t>
        </is>
      </c>
      <c r="B184" s="1" t="n">
        <v>43402</v>
      </c>
      <c r="C184" s="1" t="n">
        <v>45358</v>
      </c>
      <c r="D184" t="inlineStr">
        <is>
          <t>JÄMTLANDS LÄN</t>
        </is>
      </c>
      <c r="E184" t="inlineStr">
        <is>
          <t>ÅRE</t>
        </is>
      </c>
      <c r="G184" t="n">
        <v>45.1</v>
      </c>
      <c r="H184" t="n">
        <v>0</v>
      </c>
      <c r="I184" t="n">
        <v>0</v>
      </c>
      <c r="J184" t="n">
        <v>0</v>
      </c>
      <c r="K184" t="n">
        <v>0</v>
      </c>
      <c r="L184" t="n">
        <v>0</v>
      </c>
      <c r="M184" t="n">
        <v>0</v>
      </c>
      <c r="N184" t="n">
        <v>0</v>
      </c>
      <c r="O184" t="n">
        <v>0</v>
      </c>
      <c r="P184" t="n">
        <v>0</v>
      </c>
      <c r="Q184" t="n">
        <v>0</v>
      </c>
      <c r="R184" s="2" t="inlineStr"/>
    </row>
    <row r="185" ht="15" customHeight="1">
      <c r="A185" t="inlineStr">
        <is>
          <t>A 61015-2018</t>
        </is>
      </c>
      <c r="B185" s="1" t="n">
        <v>43423</v>
      </c>
      <c r="C185" s="1" t="n">
        <v>45358</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61054-2018</t>
        </is>
      </c>
      <c r="B186" s="1" t="n">
        <v>43423</v>
      </c>
      <c r="C186" s="1" t="n">
        <v>45358</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61002-2018</t>
        </is>
      </c>
      <c r="B187" s="1" t="n">
        <v>43423</v>
      </c>
      <c r="C187" s="1" t="n">
        <v>45358</v>
      </c>
      <c r="D187" t="inlineStr">
        <is>
          <t>JÄMTLANDS LÄN</t>
        </is>
      </c>
      <c r="E187" t="inlineStr">
        <is>
          <t>ÅRE</t>
        </is>
      </c>
      <c r="G187" t="n">
        <v>3.5</v>
      </c>
      <c r="H187" t="n">
        <v>0</v>
      </c>
      <c r="I187" t="n">
        <v>0</v>
      </c>
      <c r="J187" t="n">
        <v>0</v>
      </c>
      <c r="K187" t="n">
        <v>0</v>
      </c>
      <c r="L187" t="n">
        <v>0</v>
      </c>
      <c r="M187" t="n">
        <v>0</v>
      </c>
      <c r="N187" t="n">
        <v>0</v>
      </c>
      <c r="O187" t="n">
        <v>0</v>
      </c>
      <c r="P187" t="n">
        <v>0</v>
      </c>
      <c r="Q187" t="n">
        <v>0</v>
      </c>
      <c r="R187" s="2" t="inlineStr"/>
    </row>
    <row r="188" ht="15" customHeight="1">
      <c r="A188" t="inlineStr">
        <is>
          <t>A 61032-2018</t>
        </is>
      </c>
      <c r="B188" s="1" t="n">
        <v>43423</v>
      </c>
      <c r="C188" s="1" t="n">
        <v>45358</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61198-2018</t>
        </is>
      </c>
      <c r="B189" s="1" t="n">
        <v>43423</v>
      </c>
      <c r="C189" s="1" t="n">
        <v>45358</v>
      </c>
      <c r="D189" t="inlineStr">
        <is>
          <t>JÄMTLANDS LÄN</t>
        </is>
      </c>
      <c r="E189" t="inlineStr">
        <is>
          <t>ÅRE</t>
        </is>
      </c>
      <c r="G189" t="n">
        <v>4.2</v>
      </c>
      <c r="H189" t="n">
        <v>0</v>
      </c>
      <c r="I189" t="n">
        <v>0</v>
      </c>
      <c r="J189" t="n">
        <v>0</v>
      </c>
      <c r="K189" t="n">
        <v>0</v>
      </c>
      <c r="L189" t="n">
        <v>0</v>
      </c>
      <c r="M189" t="n">
        <v>0</v>
      </c>
      <c r="N189" t="n">
        <v>0</v>
      </c>
      <c r="O189" t="n">
        <v>0</v>
      </c>
      <c r="P189" t="n">
        <v>0</v>
      </c>
      <c r="Q189" t="n">
        <v>0</v>
      </c>
      <c r="R189" s="2" t="inlineStr"/>
    </row>
    <row r="190" ht="15" customHeight="1">
      <c r="A190" t="inlineStr">
        <is>
          <t>A 61062-2018</t>
        </is>
      </c>
      <c r="B190" s="1" t="n">
        <v>43423</v>
      </c>
      <c r="C190" s="1" t="n">
        <v>45358</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61508-2018</t>
        </is>
      </c>
      <c r="B191" s="1" t="n">
        <v>43424</v>
      </c>
      <c r="C191" s="1" t="n">
        <v>45358</v>
      </c>
      <c r="D191" t="inlineStr">
        <is>
          <t>JÄMTLANDS LÄN</t>
        </is>
      </c>
      <c r="E191" t="inlineStr">
        <is>
          <t>ÅRE</t>
        </is>
      </c>
      <c r="G191" t="n">
        <v>1.9</v>
      </c>
      <c r="H191" t="n">
        <v>0</v>
      </c>
      <c r="I191" t="n">
        <v>0</v>
      </c>
      <c r="J191" t="n">
        <v>0</v>
      </c>
      <c r="K191" t="n">
        <v>0</v>
      </c>
      <c r="L191" t="n">
        <v>0</v>
      </c>
      <c r="M191" t="n">
        <v>0</v>
      </c>
      <c r="N191" t="n">
        <v>0</v>
      </c>
      <c r="O191" t="n">
        <v>0</v>
      </c>
      <c r="P191" t="n">
        <v>0</v>
      </c>
      <c r="Q191" t="n">
        <v>0</v>
      </c>
      <c r="R191" s="2" t="inlineStr"/>
    </row>
    <row r="192" ht="15" customHeight="1">
      <c r="A192" t="inlineStr">
        <is>
          <t>A 61499-2018</t>
        </is>
      </c>
      <c r="B192" s="1" t="n">
        <v>43424</v>
      </c>
      <c r="C192" s="1" t="n">
        <v>45358</v>
      </c>
      <c r="D192" t="inlineStr">
        <is>
          <t>JÄMTLANDS LÄN</t>
        </is>
      </c>
      <c r="E192" t="inlineStr">
        <is>
          <t>ÅRE</t>
        </is>
      </c>
      <c r="G192" t="n">
        <v>20.6</v>
      </c>
      <c r="H192" t="n">
        <v>0</v>
      </c>
      <c r="I192" t="n">
        <v>0</v>
      </c>
      <c r="J192" t="n">
        <v>0</v>
      </c>
      <c r="K192" t="n">
        <v>0</v>
      </c>
      <c r="L192" t="n">
        <v>0</v>
      </c>
      <c r="M192" t="n">
        <v>0</v>
      </c>
      <c r="N192" t="n">
        <v>0</v>
      </c>
      <c r="O192" t="n">
        <v>0</v>
      </c>
      <c r="P192" t="n">
        <v>0</v>
      </c>
      <c r="Q192" t="n">
        <v>0</v>
      </c>
      <c r="R192" s="2" t="inlineStr"/>
    </row>
    <row r="193" ht="15" customHeight="1">
      <c r="A193" t="inlineStr">
        <is>
          <t>A 62167-2018</t>
        </is>
      </c>
      <c r="B193" s="1" t="n">
        <v>43425</v>
      </c>
      <c r="C193" s="1" t="n">
        <v>45358</v>
      </c>
      <c r="D193" t="inlineStr">
        <is>
          <t>JÄMTLANDS LÄN</t>
        </is>
      </c>
      <c r="E193" t="inlineStr">
        <is>
          <t>ÅRE</t>
        </is>
      </c>
      <c r="G193" t="n">
        <v>9</v>
      </c>
      <c r="H193" t="n">
        <v>0</v>
      </c>
      <c r="I193" t="n">
        <v>0</v>
      </c>
      <c r="J193" t="n">
        <v>0</v>
      </c>
      <c r="K193" t="n">
        <v>0</v>
      </c>
      <c r="L193" t="n">
        <v>0</v>
      </c>
      <c r="M193" t="n">
        <v>0</v>
      </c>
      <c r="N193" t="n">
        <v>0</v>
      </c>
      <c r="O193" t="n">
        <v>0</v>
      </c>
      <c r="P193" t="n">
        <v>0</v>
      </c>
      <c r="Q193" t="n">
        <v>0</v>
      </c>
      <c r="R193" s="2" t="inlineStr"/>
    </row>
    <row r="194" ht="15" customHeight="1">
      <c r="A194" t="inlineStr">
        <is>
          <t>A 61897-2018</t>
        </is>
      </c>
      <c r="B194" s="1" t="n">
        <v>43425</v>
      </c>
      <c r="C194" s="1" t="n">
        <v>45358</v>
      </c>
      <c r="D194" t="inlineStr">
        <is>
          <t>JÄMTLANDS LÄN</t>
        </is>
      </c>
      <c r="E194" t="inlineStr">
        <is>
          <t>ÅRE</t>
        </is>
      </c>
      <c r="G194" t="n">
        <v>2.5</v>
      </c>
      <c r="H194" t="n">
        <v>0</v>
      </c>
      <c r="I194" t="n">
        <v>0</v>
      </c>
      <c r="J194" t="n">
        <v>0</v>
      </c>
      <c r="K194" t="n">
        <v>0</v>
      </c>
      <c r="L194" t="n">
        <v>0</v>
      </c>
      <c r="M194" t="n">
        <v>0</v>
      </c>
      <c r="N194" t="n">
        <v>0</v>
      </c>
      <c r="O194" t="n">
        <v>0</v>
      </c>
      <c r="P194" t="n">
        <v>0</v>
      </c>
      <c r="Q194" t="n">
        <v>0</v>
      </c>
      <c r="R194" s="2" t="inlineStr"/>
    </row>
    <row r="195" ht="15" customHeight="1">
      <c r="A195" t="inlineStr">
        <is>
          <t>A 63724-2018</t>
        </is>
      </c>
      <c r="B195" s="1" t="n">
        <v>43428</v>
      </c>
      <c r="C195" s="1" t="n">
        <v>45358</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63720-2018</t>
        </is>
      </c>
      <c r="B196" s="1" t="n">
        <v>43428</v>
      </c>
      <c r="C196" s="1" t="n">
        <v>45358</v>
      </c>
      <c r="D196" t="inlineStr">
        <is>
          <t>JÄMTLANDS LÄN</t>
        </is>
      </c>
      <c r="E196" t="inlineStr">
        <is>
          <t>ÅRE</t>
        </is>
      </c>
      <c r="G196" t="n">
        <v>1.5</v>
      </c>
      <c r="H196" t="n">
        <v>0</v>
      </c>
      <c r="I196" t="n">
        <v>0</v>
      </c>
      <c r="J196" t="n">
        <v>0</v>
      </c>
      <c r="K196" t="n">
        <v>0</v>
      </c>
      <c r="L196" t="n">
        <v>0</v>
      </c>
      <c r="M196" t="n">
        <v>0</v>
      </c>
      <c r="N196" t="n">
        <v>0</v>
      </c>
      <c r="O196" t="n">
        <v>0</v>
      </c>
      <c r="P196" t="n">
        <v>0</v>
      </c>
      <c r="Q196" t="n">
        <v>0</v>
      </c>
      <c r="R196" s="2" t="inlineStr"/>
    </row>
    <row r="197" ht="15" customHeight="1">
      <c r="A197" t="inlineStr">
        <is>
          <t>A 63726-2018</t>
        </is>
      </c>
      <c r="B197" s="1" t="n">
        <v>43428</v>
      </c>
      <c r="C197" s="1" t="n">
        <v>45358</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63721-2018</t>
        </is>
      </c>
      <c r="B198" s="1" t="n">
        <v>43428</v>
      </c>
      <c r="C198" s="1" t="n">
        <v>45358</v>
      </c>
      <c r="D198" t="inlineStr">
        <is>
          <t>JÄMTLANDS LÄN</t>
        </is>
      </c>
      <c r="E198" t="inlineStr">
        <is>
          <t>ÅRE</t>
        </is>
      </c>
      <c r="G198" t="n">
        <v>1.3</v>
      </c>
      <c r="H198" t="n">
        <v>0</v>
      </c>
      <c r="I198" t="n">
        <v>0</v>
      </c>
      <c r="J198" t="n">
        <v>0</v>
      </c>
      <c r="K198" t="n">
        <v>0</v>
      </c>
      <c r="L198" t="n">
        <v>0</v>
      </c>
      <c r="M198" t="n">
        <v>0</v>
      </c>
      <c r="N198" t="n">
        <v>0</v>
      </c>
      <c r="O198" t="n">
        <v>0</v>
      </c>
      <c r="P198" t="n">
        <v>0</v>
      </c>
      <c r="Q198" t="n">
        <v>0</v>
      </c>
      <c r="R198" s="2" t="inlineStr"/>
    </row>
    <row r="199" ht="15" customHeight="1">
      <c r="A199" t="inlineStr">
        <is>
          <t>A 63725-2018</t>
        </is>
      </c>
      <c r="B199" s="1" t="n">
        <v>43428</v>
      </c>
      <c r="C199" s="1" t="n">
        <v>45358</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64630-2018</t>
        </is>
      </c>
      <c r="B200" s="1" t="n">
        <v>43431</v>
      </c>
      <c r="C200" s="1" t="n">
        <v>45358</v>
      </c>
      <c r="D200" t="inlineStr">
        <is>
          <t>JÄMTLANDS LÄN</t>
        </is>
      </c>
      <c r="E200" t="inlineStr">
        <is>
          <t>ÅRE</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65264-2018</t>
        </is>
      </c>
      <c r="B201" s="1" t="n">
        <v>43432</v>
      </c>
      <c r="C201" s="1" t="n">
        <v>45358</v>
      </c>
      <c r="D201" t="inlineStr">
        <is>
          <t>JÄMTLANDS LÄN</t>
        </is>
      </c>
      <c r="E201" t="inlineStr">
        <is>
          <t>ÅRE</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65243-2018</t>
        </is>
      </c>
      <c r="B202" s="1" t="n">
        <v>43432</v>
      </c>
      <c r="C202" s="1" t="n">
        <v>45358</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67305-2018</t>
        </is>
      </c>
      <c r="B203" s="1" t="n">
        <v>43439</v>
      </c>
      <c r="C203" s="1" t="n">
        <v>45358</v>
      </c>
      <c r="D203" t="inlineStr">
        <is>
          <t>JÄMTLANDS LÄN</t>
        </is>
      </c>
      <c r="E203" t="inlineStr">
        <is>
          <t>ÅRE</t>
        </is>
      </c>
      <c r="G203" t="n">
        <v>15.8</v>
      </c>
      <c r="H203" t="n">
        <v>0</v>
      </c>
      <c r="I203" t="n">
        <v>0</v>
      </c>
      <c r="J203" t="n">
        <v>0</v>
      </c>
      <c r="K203" t="n">
        <v>0</v>
      </c>
      <c r="L203" t="n">
        <v>0</v>
      </c>
      <c r="M203" t="n">
        <v>0</v>
      </c>
      <c r="N203" t="n">
        <v>0</v>
      </c>
      <c r="O203" t="n">
        <v>0</v>
      </c>
      <c r="P203" t="n">
        <v>0</v>
      </c>
      <c r="Q203" t="n">
        <v>0</v>
      </c>
      <c r="R203" s="2" t="inlineStr"/>
    </row>
    <row r="204" ht="15" customHeight="1">
      <c r="A204" t="inlineStr">
        <is>
          <t>A 68616-2018</t>
        </is>
      </c>
      <c r="B204" s="1" t="n">
        <v>43444</v>
      </c>
      <c r="C204" s="1" t="n">
        <v>45358</v>
      </c>
      <c r="D204" t="inlineStr">
        <is>
          <t>JÄMTLANDS LÄN</t>
        </is>
      </c>
      <c r="E204" t="inlineStr">
        <is>
          <t>ÅRE</t>
        </is>
      </c>
      <c r="G204" t="n">
        <v>4.2</v>
      </c>
      <c r="H204" t="n">
        <v>0</v>
      </c>
      <c r="I204" t="n">
        <v>0</v>
      </c>
      <c r="J204" t="n">
        <v>0</v>
      </c>
      <c r="K204" t="n">
        <v>0</v>
      </c>
      <c r="L204" t="n">
        <v>0</v>
      </c>
      <c r="M204" t="n">
        <v>0</v>
      </c>
      <c r="N204" t="n">
        <v>0</v>
      </c>
      <c r="O204" t="n">
        <v>0</v>
      </c>
      <c r="P204" t="n">
        <v>0</v>
      </c>
      <c r="Q204" t="n">
        <v>0</v>
      </c>
      <c r="R204" s="2" t="inlineStr"/>
    </row>
    <row r="205" ht="15" customHeight="1">
      <c r="A205" t="inlineStr">
        <is>
          <t>A 68659-2018</t>
        </is>
      </c>
      <c r="B205" s="1" t="n">
        <v>43444</v>
      </c>
      <c r="C205" s="1" t="n">
        <v>45358</v>
      </c>
      <c r="D205" t="inlineStr">
        <is>
          <t>JÄMTLANDS LÄN</t>
        </is>
      </c>
      <c r="E205" t="inlineStr">
        <is>
          <t>ÅRE</t>
        </is>
      </c>
      <c r="G205" t="n">
        <v>1.7</v>
      </c>
      <c r="H205" t="n">
        <v>0</v>
      </c>
      <c r="I205" t="n">
        <v>0</v>
      </c>
      <c r="J205" t="n">
        <v>0</v>
      </c>
      <c r="K205" t="n">
        <v>0</v>
      </c>
      <c r="L205" t="n">
        <v>0</v>
      </c>
      <c r="M205" t="n">
        <v>0</v>
      </c>
      <c r="N205" t="n">
        <v>0</v>
      </c>
      <c r="O205" t="n">
        <v>0</v>
      </c>
      <c r="P205" t="n">
        <v>0</v>
      </c>
      <c r="Q205" t="n">
        <v>0</v>
      </c>
      <c r="R205" s="2" t="inlineStr"/>
    </row>
    <row r="206" ht="15" customHeight="1">
      <c r="A206" t="inlineStr">
        <is>
          <t>A 68655-2018</t>
        </is>
      </c>
      <c r="B206" s="1" t="n">
        <v>43444</v>
      </c>
      <c r="C206" s="1" t="n">
        <v>45358</v>
      </c>
      <c r="D206" t="inlineStr">
        <is>
          <t>JÄMTLANDS LÄN</t>
        </is>
      </c>
      <c r="E206" t="inlineStr">
        <is>
          <t>ÅRE</t>
        </is>
      </c>
      <c r="G206" t="n">
        <v>1.5</v>
      </c>
      <c r="H206" t="n">
        <v>0</v>
      </c>
      <c r="I206" t="n">
        <v>0</v>
      </c>
      <c r="J206" t="n">
        <v>0</v>
      </c>
      <c r="K206" t="n">
        <v>0</v>
      </c>
      <c r="L206" t="n">
        <v>0</v>
      </c>
      <c r="M206" t="n">
        <v>0</v>
      </c>
      <c r="N206" t="n">
        <v>0</v>
      </c>
      <c r="O206" t="n">
        <v>0</v>
      </c>
      <c r="P206" t="n">
        <v>0</v>
      </c>
      <c r="Q206" t="n">
        <v>0</v>
      </c>
      <c r="R206" s="2" t="inlineStr"/>
    </row>
    <row r="207" ht="15" customHeight="1">
      <c r="A207" t="inlineStr">
        <is>
          <t>A 69427-2018</t>
        </is>
      </c>
      <c r="B207" s="1" t="n">
        <v>43446</v>
      </c>
      <c r="C207" s="1" t="n">
        <v>45358</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80-2019</t>
        </is>
      </c>
      <c r="B208" s="1" t="n">
        <v>43467</v>
      </c>
      <c r="C208" s="1" t="n">
        <v>45358</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250-2019</t>
        </is>
      </c>
      <c r="B209" s="1" t="n">
        <v>43468</v>
      </c>
      <c r="C209" s="1" t="n">
        <v>45358</v>
      </c>
      <c r="D209" t="inlineStr">
        <is>
          <t>JÄMTLANDS LÄN</t>
        </is>
      </c>
      <c r="E209" t="inlineStr">
        <is>
          <t>ÅRE</t>
        </is>
      </c>
      <c r="G209" t="n">
        <v>6.2</v>
      </c>
      <c r="H209" t="n">
        <v>0</v>
      </c>
      <c r="I209" t="n">
        <v>0</v>
      </c>
      <c r="J209" t="n">
        <v>0</v>
      </c>
      <c r="K209" t="n">
        <v>0</v>
      </c>
      <c r="L209" t="n">
        <v>0</v>
      </c>
      <c r="M209" t="n">
        <v>0</v>
      </c>
      <c r="N209" t="n">
        <v>0</v>
      </c>
      <c r="O209" t="n">
        <v>0</v>
      </c>
      <c r="P209" t="n">
        <v>0</v>
      </c>
      <c r="Q209" t="n">
        <v>0</v>
      </c>
      <c r="R209" s="2" t="inlineStr"/>
    </row>
    <row r="210" ht="15" customHeight="1">
      <c r="A210" t="inlineStr">
        <is>
          <t>A 685-2019</t>
        </is>
      </c>
      <c r="B210" s="1" t="n">
        <v>43469</v>
      </c>
      <c r="C210" s="1" t="n">
        <v>45358</v>
      </c>
      <c r="D210" t="inlineStr">
        <is>
          <t>JÄMTLANDS LÄN</t>
        </is>
      </c>
      <c r="E210" t="inlineStr">
        <is>
          <t>ÅRE</t>
        </is>
      </c>
      <c r="G210" t="n">
        <v>4.5</v>
      </c>
      <c r="H210" t="n">
        <v>0</v>
      </c>
      <c r="I210" t="n">
        <v>0</v>
      </c>
      <c r="J210" t="n">
        <v>0</v>
      </c>
      <c r="K210" t="n">
        <v>0</v>
      </c>
      <c r="L210" t="n">
        <v>0</v>
      </c>
      <c r="M210" t="n">
        <v>0</v>
      </c>
      <c r="N210" t="n">
        <v>0</v>
      </c>
      <c r="O210" t="n">
        <v>0</v>
      </c>
      <c r="P210" t="n">
        <v>0</v>
      </c>
      <c r="Q210" t="n">
        <v>0</v>
      </c>
      <c r="R210" s="2" t="inlineStr"/>
    </row>
    <row r="211" ht="15" customHeight="1">
      <c r="A211" t="inlineStr">
        <is>
          <t>A 2126-2019</t>
        </is>
      </c>
      <c r="B211" s="1" t="n">
        <v>43475</v>
      </c>
      <c r="C211" s="1" t="n">
        <v>45358</v>
      </c>
      <c r="D211" t="inlineStr">
        <is>
          <t>JÄMTLANDS LÄN</t>
        </is>
      </c>
      <c r="E211" t="inlineStr">
        <is>
          <t>ÅRE</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5930-2019</t>
        </is>
      </c>
      <c r="B212" s="1" t="n">
        <v>43490</v>
      </c>
      <c r="C212" s="1" t="n">
        <v>45358</v>
      </c>
      <c r="D212" t="inlineStr">
        <is>
          <t>JÄMTLANDS LÄN</t>
        </is>
      </c>
      <c r="E212" t="inlineStr">
        <is>
          <t>ÅRE</t>
        </is>
      </c>
      <c r="G212" t="n">
        <v>0.9</v>
      </c>
      <c r="H212" t="n">
        <v>0</v>
      </c>
      <c r="I212" t="n">
        <v>0</v>
      </c>
      <c r="J212" t="n">
        <v>0</v>
      </c>
      <c r="K212" t="n">
        <v>0</v>
      </c>
      <c r="L212" t="n">
        <v>0</v>
      </c>
      <c r="M212" t="n">
        <v>0</v>
      </c>
      <c r="N212" t="n">
        <v>0</v>
      </c>
      <c r="O212" t="n">
        <v>0</v>
      </c>
      <c r="P212" t="n">
        <v>0</v>
      </c>
      <c r="Q212" t="n">
        <v>0</v>
      </c>
      <c r="R212" s="2" t="inlineStr"/>
    </row>
    <row r="213" ht="15" customHeight="1">
      <c r="A213" t="inlineStr">
        <is>
          <t>A 5929-2019</t>
        </is>
      </c>
      <c r="B213" s="1" t="n">
        <v>43490</v>
      </c>
      <c r="C213" s="1" t="n">
        <v>45358</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5914-2019</t>
        </is>
      </c>
      <c r="B214" s="1" t="n">
        <v>43490</v>
      </c>
      <c r="C214" s="1" t="n">
        <v>45358</v>
      </c>
      <c r="D214" t="inlineStr">
        <is>
          <t>JÄMTLANDS LÄN</t>
        </is>
      </c>
      <c r="E214" t="inlineStr">
        <is>
          <t>ÅRE</t>
        </is>
      </c>
      <c r="G214" t="n">
        <v>3.5</v>
      </c>
      <c r="H214" t="n">
        <v>0</v>
      </c>
      <c r="I214" t="n">
        <v>0</v>
      </c>
      <c r="J214" t="n">
        <v>0</v>
      </c>
      <c r="K214" t="n">
        <v>0</v>
      </c>
      <c r="L214" t="n">
        <v>0</v>
      </c>
      <c r="M214" t="n">
        <v>0</v>
      </c>
      <c r="N214" t="n">
        <v>0</v>
      </c>
      <c r="O214" t="n">
        <v>0</v>
      </c>
      <c r="P214" t="n">
        <v>0</v>
      </c>
      <c r="Q214" t="n">
        <v>0</v>
      </c>
      <c r="R214" s="2" t="inlineStr"/>
    </row>
    <row r="215" ht="15" customHeight="1">
      <c r="A215" t="inlineStr">
        <is>
          <t>A 8001-2019</t>
        </is>
      </c>
      <c r="B215" s="1" t="n">
        <v>43501</v>
      </c>
      <c r="C215" s="1" t="n">
        <v>45358</v>
      </c>
      <c r="D215" t="inlineStr">
        <is>
          <t>JÄMTLANDS LÄN</t>
        </is>
      </c>
      <c r="E215" t="inlineStr">
        <is>
          <t>ÅRE</t>
        </is>
      </c>
      <c r="G215" t="n">
        <v>20.3</v>
      </c>
      <c r="H215" t="n">
        <v>0</v>
      </c>
      <c r="I215" t="n">
        <v>0</v>
      </c>
      <c r="J215" t="n">
        <v>0</v>
      </c>
      <c r="K215" t="n">
        <v>0</v>
      </c>
      <c r="L215" t="n">
        <v>0</v>
      </c>
      <c r="M215" t="n">
        <v>0</v>
      </c>
      <c r="N215" t="n">
        <v>0</v>
      </c>
      <c r="O215" t="n">
        <v>0</v>
      </c>
      <c r="P215" t="n">
        <v>0</v>
      </c>
      <c r="Q215" t="n">
        <v>0</v>
      </c>
      <c r="R215" s="2" t="inlineStr"/>
    </row>
    <row r="216" ht="15" customHeight="1">
      <c r="A216" t="inlineStr">
        <is>
          <t>A 8006-2019</t>
        </is>
      </c>
      <c r="B216" s="1" t="n">
        <v>43501</v>
      </c>
      <c r="C216" s="1" t="n">
        <v>45358</v>
      </c>
      <c r="D216" t="inlineStr">
        <is>
          <t>JÄMTLANDS LÄN</t>
        </is>
      </c>
      <c r="E216" t="inlineStr">
        <is>
          <t>ÅRE</t>
        </is>
      </c>
      <c r="G216" t="n">
        <v>23.8</v>
      </c>
      <c r="H216" t="n">
        <v>0</v>
      </c>
      <c r="I216" t="n">
        <v>0</v>
      </c>
      <c r="J216" t="n">
        <v>0</v>
      </c>
      <c r="K216" t="n">
        <v>0</v>
      </c>
      <c r="L216" t="n">
        <v>0</v>
      </c>
      <c r="M216" t="n">
        <v>0</v>
      </c>
      <c r="N216" t="n">
        <v>0</v>
      </c>
      <c r="O216" t="n">
        <v>0</v>
      </c>
      <c r="P216" t="n">
        <v>0</v>
      </c>
      <c r="Q216" t="n">
        <v>0</v>
      </c>
      <c r="R216" s="2" t="inlineStr"/>
    </row>
    <row r="217" ht="15" customHeight="1">
      <c r="A217" t="inlineStr">
        <is>
          <t>A 8931-2019</t>
        </is>
      </c>
      <c r="B217" s="1" t="n">
        <v>43503</v>
      </c>
      <c r="C217" s="1" t="n">
        <v>45358</v>
      </c>
      <c r="D217" t="inlineStr">
        <is>
          <t>JÄMTLANDS LÄN</t>
        </is>
      </c>
      <c r="E217" t="inlineStr">
        <is>
          <t>ÅRE</t>
        </is>
      </c>
      <c r="G217" t="n">
        <v>7.7</v>
      </c>
      <c r="H217" t="n">
        <v>0</v>
      </c>
      <c r="I217" t="n">
        <v>0</v>
      </c>
      <c r="J217" t="n">
        <v>0</v>
      </c>
      <c r="K217" t="n">
        <v>0</v>
      </c>
      <c r="L217" t="n">
        <v>0</v>
      </c>
      <c r="M217" t="n">
        <v>0</v>
      </c>
      <c r="N217" t="n">
        <v>0</v>
      </c>
      <c r="O217" t="n">
        <v>0</v>
      </c>
      <c r="P217" t="n">
        <v>0</v>
      </c>
      <c r="Q217" t="n">
        <v>0</v>
      </c>
      <c r="R217" s="2" t="inlineStr"/>
    </row>
    <row r="218" ht="15" customHeight="1">
      <c r="A218" t="inlineStr">
        <is>
          <t>A 8930-2019</t>
        </is>
      </c>
      <c r="B218" s="1" t="n">
        <v>43503</v>
      </c>
      <c r="C218" s="1" t="n">
        <v>45358</v>
      </c>
      <c r="D218" t="inlineStr">
        <is>
          <t>JÄMTLANDS LÄN</t>
        </is>
      </c>
      <c r="E218" t="inlineStr">
        <is>
          <t>ÅRE</t>
        </is>
      </c>
      <c r="G218" t="n">
        <v>1.7</v>
      </c>
      <c r="H218" t="n">
        <v>0</v>
      </c>
      <c r="I218" t="n">
        <v>0</v>
      </c>
      <c r="J218" t="n">
        <v>0</v>
      </c>
      <c r="K218" t="n">
        <v>0</v>
      </c>
      <c r="L218" t="n">
        <v>0</v>
      </c>
      <c r="M218" t="n">
        <v>0</v>
      </c>
      <c r="N218" t="n">
        <v>0</v>
      </c>
      <c r="O218" t="n">
        <v>0</v>
      </c>
      <c r="P218" t="n">
        <v>0</v>
      </c>
      <c r="Q218" t="n">
        <v>0</v>
      </c>
      <c r="R218" s="2" t="inlineStr"/>
    </row>
    <row r="219" ht="15" customHeight="1">
      <c r="A219" t="inlineStr">
        <is>
          <t>A 10106-2019</t>
        </is>
      </c>
      <c r="B219" s="1" t="n">
        <v>43510</v>
      </c>
      <c r="C219" s="1" t="n">
        <v>45358</v>
      </c>
      <c r="D219" t="inlineStr">
        <is>
          <t>JÄMTLANDS LÄN</t>
        </is>
      </c>
      <c r="E219" t="inlineStr">
        <is>
          <t>ÅRE</t>
        </is>
      </c>
      <c r="G219" t="n">
        <v>0.9</v>
      </c>
      <c r="H219" t="n">
        <v>0</v>
      </c>
      <c r="I219" t="n">
        <v>0</v>
      </c>
      <c r="J219" t="n">
        <v>0</v>
      </c>
      <c r="K219" t="n">
        <v>0</v>
      </c>
      <c r="L219" t="n">
        <v>0</v>
      </c>
      <c r="M219" t="n">
        <v>0</v>
      </c>
      <c r="N219" t="n">
        <v>0</v>
      </c>
      <c r="O219" t="n">
        <v>0</v>
      </c>
      <c r="P219" t="n">
        <v>0</v>
      </c>
      <c r="Q219" t="n">
        <v>0</v>
      </c>
      <c r="R219" s="2" t="inlineStr"/>
    </row>
    <row r="220" ht="15" customHeight="1">
      <c r="A220" t="inlineStr">
        <is>
          <t>A 10111-2019</t>
        </is>
      </c>
      <c r="B220" s="1" t="n">
        <v>43510</v>
      </c>
      <c r="C220" s="1" t="n">
        <v>45358</v>
      </c>
      <c r="D220" t="inlineStr">
        <is>
          <t>JÄMTLANDS LÄN</t>
        </is>
      </c>
      <c r="E220" t="inlineStr">
        <is>
          <t>ÅRE</t>
        </is>
      </c>
      <c r="G220" t="n">
        <v>2.8</v>
      </c>
      <c r="H220" t="n">
        <v>0</v>
      </c>
      <c r="I220" t="n">
        <v>0</v>
      </c>
      <c r="J220" t="n">
        <v>0</v>
      </c>
      <c r="K220" t="n">
        <v>0</v>
      </c>
      <c r="L220" t="n">
        <v>0</v>
      </c>
      <c r="M220" t="n">
        <v>0</v>
      </c>
      <c r="N220" t="n">
        <v>0</v>
      </c>
      <c r="O220" t="n">
        <v>0</v>
      </c>
      <c r="P220" t="n">
        <v>0</v>
      </c>
      <c r="Q220" t="n">
        <v>0</v>
      </c>
      <c r="R220" s="2" t="inlineStr"/>
    </row>
    <row r="221" ht="15" customHeight="1">
      <c r="A221" t="inlineStr">
        <is>
          <t>A 11983-2019</t>
        </is>
      </c>
      <c r="B221" s="1" t="n">
        <v>43521</v>
      </c>
      <c r="C221" s="1" t="n">
        <v>45358</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14394-2019</t>
        </is>
      </c>
      <c r="B222" s="1" t="n">
        <v>43536</v>
      </c>
      <c r="C222" s="1" t="n">
        <v>45358</v>
      </c>
      <c r="D222" t="inlineStr">
        <is>
          <t>JÄMTLANDS LÄN</t>
        </is>
      </c>
      <c r="E222" t="inlineStr">
        <is>
          <t>ÅRE</t>
        </is>
      </c>
      <c r="G222" t="n">
        <v>0.5</v>
      </c>
      <c r="H222" t="n">
        <v>0</v>
      </c>
      <c r="I222" t="n">
        <v>0</v>
      </c>
      <c r="J222" t="n">
        <v>0</v>
      </c>
      <c r="K222" t="n">
        <v>0</v>
      </c>
      <c r="L222" t="n">
        <v>0</v>
      </c>
      <c r="M222" t="n">
        <v>0</v>
      </c>
      <c r="N222" t="n">
        <v>0</v>
      </c>
      <c r="O222" t="n">
        <v>0</v>
      </c>
      <c r="P222" t="n">
        <v>0</v>
      </c>
      <c r="Q222" t="n">
        <v>0</v>
      </c>
      <c r="R222" s="2" t="inlineStr"/>
    </row>
    <row r="223" ht="15" customHeight="1">
      <c r="A223" t="inlineStr">
        <is>
          <t>A 17404-2019</t>
        </is>
      </c>
      <c r="B223" s="1" t="n">
        <v>43552</v>
      </c>
      <c r="C223" s="1" t="n">
        <v>45358</v>
      </c>
      <c r="D223" t="inlineStr">
        <is>
          <t>JÄMTLANDS LÄN</t>
        </is>
      </c>
      <c r="E223" t="inlineStr">
        <is>
          <t>ÅRE</t>
        </is>
      </c>
      <c r="G223" t="n">
        <v>2.2</v>
      </c>
      <c r="H223" t="n">
        <v>0</v>
      </c>
      <c r="I223" t="n">
        <v>0</v>
      </c>
      <c r="J223" t="n">
        <v>0</v>
      </c>
      <c r="K223" t="n">
        <v>0</v>
      </c>
      <c r="L223" t="n">
        <v>0</v>
      </c>
      <c r="M223" t="n">
        <v>0</v>
      </c>
      <c r="N223" t="n">
        <v>0</v>
      </c>
      <c r="O223" t="n">
        <v>0</v>
      </c>
      <c r="P223" t="n">
        <v>0</v>
      </c>
      <c r="Q223" t="n">
        <v>0</v>
      </c>
      <c r="R223" s="2" t="inlineStr"/>
    </row>
    <row r="224" ht="15" customHeight="1">
      <c r="A224" t="inlineStr">
        <is>
          <t>A 21532-2019</t>
        </is>
      </c>
      <c r="B224" s="1" t="n">
        <v>43580</v>
      </c>
      <c r="C224" s="1" t="n">
        <v>45358</v>
      </c>
      <c r="D224" t="inlineStr">
        <is>
          <t>JÄMTLANDS LÄN</t>
        </is>
      </c>
      <c r="E224" t="inlineStr">
        <is>
          <t>ÅRE</t>
        </is>
      </c>
      <c r="G224" t="n">
        <v>20.1</v>
      </c>
      <c r="H224" t="n">
        <v>0</v>
      </c>
      <c r="I224" t="n">
        <v>0</v>
      </c>
      <c r="J224" t="n">
        <v>0</v>
      </c>
      <c r="K224" t="n">
        <v>0</v>
      </c>
      <c r="L224" t="n">
        <v>0</v>
      </c>
      <c r="M224" t="n">
        <v>0</v>
      </c>
      <c r="N224" t="n">
        <v>0</v>
      </c>
      <c r="O224" t="n">
        <v>0</v>
      </c>
      <c r="P224" t="n">
        <v>0</v>
      </c>
      <c r="Q224" t="n">
        <v>0</v>
      </c>
      <c r="R224" s="2" t="inlineStr"/>
    </row>
    <row r="225" ht="15" customHeight="1">
      <c r="A225" t="inlineStr">
        <is>
          <t>A 21883-2019</t>
        </is>
      </c>
      <c r="B225" s="1" t="n">
        <v>43584</v>
      </c>
      <c r="C225" s="1" t="n">
        <v>45358</v>
      </c>
      <c r="D225" t="inlineStr">
        <is>
          <t>JÄMTLANDS LÄN</t>
        </is>
      </c>
      <c r="E225" t="inlineStr">
        <is>
          <t>ÅRE</t>
        </is>
      </c>
      <c r="G225" t="n">
        <v>2.6</v>
      </c>
      <c r="H225" t="n">
        <v>0</v>
      </c>
      <c r="I225" t="n">
        <v>0</v>
      </c>
      <c r="J225" t="n">
        <v>0</v>
      </c>
      <c r="K225" t="n">
        <v>0</v>
      </c>
      <c r="L225" t="n">
        <v>0</v>
      </c>
      <c r="M225" t="n">
        <v>0</v>
      </c>
      <c r="N225" t="n">
        <v>0</v>
      </c>
      <c r="O225" t="n">
        <v>0</v>
      </c>
      <c r="P225" t="n">
        <v>0</v>
      </c>
      <c r="Q225" t="n">
        <v>0</v>
      </c>
      <c r="R225" s="2" t="inlineStr"/>
    </row>
    <row r="226" ht="15" customHeight="1">
      <c r="A226" t="inlineStr">
        <is>
          <t>A 22558-2019</t>
        </is>
      </c>
      <c r="B226" s="1" t="n">
        <v>43587</v>
      </c>
      <c r="C226" s="1" t="n">
        <v>45358</v>
      </c>
      <c r="D226" t="inlineStr">
        <is>
          <t>JÄMTLANDS LÄN</t>
        </is>
      </c>
      <c r="E226" t="inlineStr">
        <is>
          <t>ÅRE</t>
        </is>
      </c>
      <c r="G226" t="n">
        <v>79.09999999999999</v>
      </c>
      <c r="H226" t="n">
        <v>0</v>
      </c>
      <c r="I226" t="n">
        <v>0</v>
      </c>
      <c r="J226" t="n">
        <v>0</v>
      </c>
      <c r="K226" t="n">
        <v>0</v>
      </c>
      <c r="L226" t="n">
        <v>0</v>
      </c>
      <c r="M226" t="n">
        <v>0</v>
      </c>
      <c r="N226" t="n">
        <v>0</v>
      </c>
      <c r="O226" t="n">
        <v>0</v>
      </c>
      <c r="P226" t="n">
        <v>0</v>
      </c>
      <c r="Q226" t="n">
        <v>0</v>
      </c>
      <c r="R226" s="2" t="inlineStr"/>
    </row>
    <row r="227" ht="15" customHeight="1">
      <c r="A227" t="inlineStr">
        <is>
          <t>A 25099-2019</t>
        </is>
      </c>
      <c r="B227" s="1" t="n">
        <v>43605</v>
      </c>
      <c r="C227" s="1" t="n">
        <v>45358</v>
      </c>
      <c r="D227" t="inlineStr">
        <is>
          <t>JÄMTLANDS LÄN</t>
        </is>
      </c>
      <c r="E227" t="inlineStr">
        <is>
          <t>ÅRE</t>
        </is>
      </c>
      <c r="G227" t="n">
        <v>8.9</v>
      </c>
      <c r="H227" t="n">
        <v>0</v>
      </c>
      <c r="I227" t="n">
        <v>0</v>
      </c>
      <c r="J227" t="n">
        <v>0</v>
      </c>
      <c r="K227" t="n">
        <v>0</v>
      </c>
      <c r="L227" t="n">
        <v>0</v>
      </c>
      <c r="M227" t="n">
        <v>0</v>
      </c>
      <c r="N227" t="n">
        <v>0</v>
      </c>
      <c r="O227" t="n">
        <v>0</v>
      </c>
      <c r="P227" t="n">
        <v>0</v>
      </c>
      <c r="Q227" t="n">
        <v>0</v>
      </c>
      <c r="R227" s="2" t="inlineStr"/>
    </row>
    <row r="228" ht="15" customHeight="1">
      <c r="A228" t="inlineStr">
        <is>
          <t>A 26624-2019</t>
        </is>
      </c>
      <c r="B228" s="1" t="n">
        <v>43612</v>
      </c>
      <c r="C228" s="1" t="n">
        <v>45358</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26626-2019</t>
        </is>
      </c>
      <c r="B229" s="1" t="n">
        <v>43612</v>
      </c>
      <c r="C229" s="1" t="n">
        <v>45358</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28793-2019</t>
        </is>
      </c>
      <c r="B230" s="1" t="n">
        <v>43627</v>
      </c>
      <c r="C230" s="1" t="n">
        <v>45358</v>
      </c>
      <c r="D230" t="inlineStr">
        <is>
          <t>JÄMTLANDS LÄN</t>
        </is>
      </c>
      <c r="E230" t="inlineStr">
        <is>
          <t>ÅRE</t>
        </is>
      </c>
      <c r="G230" t="n">
        <v>7.8</v>
      </c>
      <c r="H230" t="n">
        <v>0</v>
      </c>
      <c r="I230" t="n">
        <v>0</v>
      </c>
      <c r="J230" t="n">
        <v>0</v>
      </c>
      <c r="K230" t="n">
        <v>0</v>
      </c>
      <c r="L230" t="n">
        <v>0</v>
      </c>
      <c r="M230" t="n">
        <v>0</v>
      </c>
      <c r="N230" t="n">
        <v>0</v>
      </c>
      <c r="O230" t="n">
        <v>0</v>
      </c>
      <c r="P230" t="n">
        <v>0</v>
      </c>
      <c r="Q230" t="n">
        <v>0</v>
      </c>
      <c r="R230" s="2" t="inlineStr"/>
    </row>
    <row r="231" ht="15" customHeight="1">
      <c r="A231" t="inlineStr">
        <is>
          <t>A 29272-2019</t>
        </is>
      </c>
      <c r="B231" s="1" t="n">
        <v>43629</v>
      </c>
      <c r="C231" s="1" t="n">
        <v>45358</v>
      </c>
      <c r="D231" t="inlineStr">
        <is>
          <t>JÄMTLANDS LÄN</t>
        </is>
      </c>
      <c r="E231" t="inlineStr">
        <is>
          <t>ÅRE</t>
        </is>
      </c>
      <c r="G231" t="n">
        <v>10.9</v>
      </c>
      <c r="H231" t="n">
        <v>0</v>
      </c>
      <c r="I231" t="n">
        <v>0</v>
      </c>
      <c r="J231" t="n">
        <v>0</v>
      </c>
      <c r="K231" t="n">
        <v>0</v>
      </c>
      <c r="L231" t="n">
        <v>0</v>
      </c>
      <c r="M231" t="n">
        <v>0</v>
      </c>
      <c r="N231" t="n">
        <v>0</v>
      </c>
      <c r="O231" t="n">
        <v>0</v>
      </c>
      <c r="P231" t="n">
        <v>0</v>
      </c>
      <c r="Q231" t="n">
        <v>0</v>
      </c>
      <c r="R231" s="2" t="inlineStr"/>
    </row>
    <row r="232" ht="15" customHeight="1">
      <c r="A232" t="inlineStr">
        <is>
          <t>A 29769-2019</t>
        </is>
      </c>
      <c r="B232" s="1" t="n">
        <v>43632</v>
      </c>
      <c r="C232" s="1" t="n">
        <v>45358</v>
      </c>
      <c r="D232" t="inlineStr">
        <is>
          <t>JÄMTLANDS LÄN</t>
        </is>
      </c>
      <c r="E232" t="inlineStr">
        <is>
          <t>ÅRE</t>
        </is>
      </c>
      <c r="G232" t="n">
        <v>1.8</v>
      </c>
      <c r="H232" t="n">
        <v>0</v>
      </c>
      <c r="I232" t="n">
        <v>0</v>
      </c>
      <c r="J232" t="n">
        <v>0</v>
      </c>
      <c r="K232" t="n">
        <v>0</v>
      </c>
      <c r="L232" t="n">
        <v>0</v>
      </c>
      <c r="M232" t="n">
        <v>0</v>
      </c>
      <c r="N232" t="n">
        <v>0</v>
      </c>
      <c r="O232" t="n">
        <v>0</v>
      </c>
      <c r="P232" t="n">
        <v>0</v>
      </c>
      <c r="Q232" t="n">
        <v>0</v>
      </c>
      <c r="R232" s="2" t="inlineStr"/>
    </row>
    <row r="233" ht="15" customHeight="1">
      <c r="A233" t="inlineStr">
        <is>
          <t>A 29916-2019</t>
        </is>
      </c>
      <c r="B233" s="1" t="n">
        <v>43633</v>
      </c>
      <c r="C233" s="1" t="n">
        <v>45358</v>
      </c>
      <c r="D233" t="inlineStr">
        <is>
          <t>JÄMTLANDS LÄN</t>
        </is>
      </c>
      <c r="E233" t="inlineStr">
        <is>
          <t>ÅRE</t>
        </is>
      </c>
      <c r="G233" t="n">
        <v>2.5</v>
      </c>
      <c r="H233" t="n">
        <v>0</v>
      </c>
      <c r="I233" t="n">
        <v>0</v>
      </c>
      <c r="J233" t="n">
        <v>0</v>
      </c>
      <c r="K233" t="n">
        <v>0</v>
      </c>
      <c r="L233" t="n">
        <v>0</v>
      </c>
      <c r="M233" t="n">
        <v>0</v>
      </c>
      <c r="N233" t="n">
        <v>0</v>
      </c>
      <c r="O233" t="n">
        <v>0</v>
      </c>
      <c r="P233" t="n">
        <v>0</v>
      </c>
      <c r="Q233" t="n">
        <v>0</v>
      </c>
      <c r="R233" s="2" t="inlineStr"/>
    </row>
    <row r="234" ht="15" customHeight="1">
      <c r="A234" t="inlineStr">
        <is>
          <t>A 30384-2019</t>
        </is>
      </c>
      <c r="B234" s="1" t="n">
        <v>43634</v>
      </c>
      <c r="C234" s="1" t="n">
        <v>45358</v>
      </c>
      <c r="D234" t="inlineStr">
        <is>
          <t>JÄMTLANDS LÄN</t>
        </is>
      </c>
      <c r="E234" t="inlineStr">
        <is>
          <t>ÅRE</t>
        </is>
      </c>
      <c r="G234" t="n">
        <v>19</v>
      </c>
      <c r="H234" t="n">
        <v>0</v>
      </c>
      <c r="I234" t="n">
        <v>0</v>
      </c>
      <c r="J234" t="n">
        <v>0</v>
      </c>
      <c r="K234" t="n">
        <v>0</v>
      </c>
      <c r="L234" t="n">
        <v>0</v>
      </c>
      <c r="M234" t="n">
        <v>0</v>
      </c>
      <c r="N234" t="n">
        <v>0</v>
      </c>
      <c r="O234" t="n">
        <v>0</v>
      </c>
      <c r="P234" t="n">
        <v>0</v>
      </c>
      <c r="Q234" t="n">
        <v>0</v>
      </c>
      <c r="R234" s="2" t="inlineStr"/>
    </row>
    <row r="235" ht="15" customHeight="1">
      <c r="A235" t="inlineStr">
        <is>
          <t>A 33856-2019</t>
        </is>
      </c>
      <c r="B235" s="1" t="n">
        <v>43652</v>
      </c>
      <c r="C235" s="1" t="n">
        <v>45358</v>
      </c>
      <c r="D235" t="inlineStr">
        <is>
          <t>JÄMTLANDS LÄN</t>
        </is>
      </c>
      <c r="E235" t="inlineStr">
        <is>
          <t>ÅRE</t>
        </is>
      </c>
      <c r="G235" t="n">
        <v>9.6</v>
      </c>
      <c r="H235" t="n">
        <v>0</v>
      </c>
      <c r="I235" t="n">
        <v>0</v>
      </c>
      <c r="J235" t="n">
        <v>0</v>
      </c>
      <c r="K235" t="n">
        <v>0</v>
      </c>
      <c r="L235" t="n">
        <v>0</v>
      </c>
      <c r="M235" t="n">
        <v>0</v>
      </c>
      <c r="N235" t="n">
        <v>0</v>
      </c>
      <c r="O235" t="n">
        <v>0</v>
      </c>
      <c r="P235" t="n">
        <v>0</v>
      </c>
      <c r="Q235" t="n">
        <v>0</v>
      </c>
      <c r="R235" s="2" t="inlineStr"/>
    </row>
    <row r="236" ht="15" customHeight="1">
      <c r="A236" t="inlineStr">
        <is>
          <t>A 35391-2019</t>
        </is>
      </c>
      <c r="B236" s="1" t="n">
        <v>43661</v>
      </c>
      <c r="C236" s="1" t="n">
        <v>45358</v>
      </c>
      <c r="D236" t="inlineStr">
        <is>
          <t>JÄMTLANDS LÄN</t>
        </is>
      </c>
      <c r="E236" t="inlineStr">
        <is>
          <t>ÅRE</t>
        </is>
      </c>
      <c r="G236" t="n">
        <v>19.7</v>
      </c>
      <c r="H236" t="n">
        <v>0</v>
      </c>
      <c r="I236" t="n">
        <v>0</v>
      </c>
      <c r="J236" t="n">
        <v>0</v>
      </c>
      <c r="K236" t="n">
        <v>0</v>
      </c>
      <c r="L236" t="n">
        <v>0</v>
      </c>
      <c r="M236" t="n">
        <v>0</v>
      </c>
      <c r="N236" t="n">
        <v>0</v>
      </c>
      <c r="O236" t="n">
        <v>0</v>
      </c>
      <c r="P236" t="n">
        <v>0</v>
      </c>
      <c r="Q236" t="n">
        <v>0</v>
      </c>
      <c r="R236" s="2" t="inlineStr"/>
    </row>
    <row r="237" ht="15" customHeight="1">
      <c r="A237" t="inlineStr">
        <is>
          <t>A 35485-2019</t>
        </is>
      </c>
      <c r="B237" s="1" t="n">
        <v>43661</v>
      </c>
      <c r="C237" s="1" t="n">
        <v>45358</v>
      </c>
      <c r="D237" t="inlineStr">
        <is>
          <t>JÄMTLANDS LÄN</t>
        </is>
      </c>
      <c r="E237" t="inlineStr">
        <is>
          <t>ÅRE</t>
        </is>
      </c>
      <c r="G237" t="n">
        <v>5.5</v>
      </c>
      <c r="H237" t="n">
        <v>0</v>
      </c>
      <c r="I237" t="n">
        <v>0</v>
      </c>
      <c r="J237" t="n">
        <v>0</v>
      </c>
      <c r="K237" t="n">
        <v>0</v>
      </c>
      <c r="L237" t="n">
        <v>0</v>
      </c>
      <c r="M237" t="n">
        <v>0</v>
      </c>
      <c r="N237" t="n">
        <v>0</v>
      </c>
      <c r="O237" t="n">
        <v>0</v>
      </c>
      <c r="P237" t="n">
        <v>0</v>
      </c>
      <c r="Q237" t="n">
        <v>0</v>
      </c>
      <c r="R237" s="2" t="inlineStr"/>
    </row>
    <row r="238" ht="15" customHeight="1">
      <c r="A238" t="inlineStr">
        <is>
          <t>A 36975-2019</t>
        </is>
      </c>
      <c r="B238" s="1" t="n">
        <v>43676</v>
      </c>
      <c r="C238" s="1" t="n">
        <v>45358</v>
      </c>
      <c r="D238" t="inlineStr">
        <is>
          <t>JÄMTLANDS LÄN</t>
        </is>
      </c>
      <c r="E238" t="inlineStr">
        <is>
          <t>ÅRE</t>
        </is>
      </c>
      <c r="F238" t="inlineStr">
        <is>
          <t>Sveaskog</t>
        </is>
      </c>
      <c r="G238" t="n">
        <v>3.4</v>
      </c>
      <c r="H238" t="n">
        <v>0</v>
      </c>
      <c r="I238" t="n">
        <v>0</v>
      </c>
      <c r="J238" t="n">
        <v>0</v>
      </c>
      <c r="K238" t="n">
        <v>0</v>
      </c>
      <c r="L238" t="n">
        <v>0</v>
      </c>
      <c r="M238" t="n">
        <v>0</v>
      </c>
      <c r="N238" t="n">
        <v>0</v>
      </c>
      <c r="O238" t="n">
        <v>0</v>
      </c>
      <c r="P238" t="n">
        <v>0</v>
      </c>
      <c r="Q238" t="n">
        <v>0</v>
      </c>
      <c r="R238" s="2" t="inlineStr"/>
    </row>
    <row r="239" ht="15" customHeight="1">
      <c r="A239" t="inlineStr">
        <is>
          <t>A 41107-2019</t>
        </is>
      </c>
      <c r="B239" s="1" t="n">
        <v>43698</v>
      </c>
      <c r="C239" s="1" t="n">
        <v>45358</v>
      </c>
      <c r="D239" t="inlineStr">
        <is>
          <t>JÄMTLANDS LÄN</t>
        </is>
      </c>
      <c r="E239" t="inlineStr">
        <is>
          <t>ÅRE</t>
        </is>
      </c>
      <c r="G239" t="n">
        <v>1.9</v>
      </c>
      <c r="H239" t="n">
        <v>0</v>
      </c>
      <c r="I239" t="n">
        <v>0</v>
      </c>
      <c r="J239" t="n">
        <v>0</v>
      </c>
      <c r="K239" t="n">
        <v>0</v>
      </c>
      <c r="L239" t="n">
        <v>0</v>
      </c>
      <c r="M239" t="n">
        <v>0</v>
      </c>
      <c r="N239" t="n">
        <v>0</v>
      </c>
      <c r="O239" t="n">
        <v>0</v>
      </c>
      <c r="P239" t="n">
        <v>0</v>
      </c>
      <c r="Q239" t="n">
        <v>0</v>
      </c>
      <c r="R239" s="2" t="inlineStr"/>
    </row>
    <row r="240" ht="15" customHeight="1">
      <c r="A240" t="inlineStr">
        <is>
          <t>A 42311-2019</t>
        </is>
      </c>
      <c r="B240" s="1" t="n">
        <v>43699</v>
      </c>
      <c r="C240" s="1" t="n">
        <v>45358</v>
      </c>
      <c r="D240" t="inlineStr">
        <is>
          <t>JÄMTLANDS LÄN</t>
        </is>
      </c>
      <c r="E240" t="inlineStr">
        <is>
          <t>ÅRE</t>
        </is>
      </c>
      <c r="G240" t="n">
        <v>13.7</v>
      </c>
      <c r="H240" t="n">
        <v>0</v>
      </c>
      <c r="I240" t="n">
        <v>0</v>
      </c>
      <c r="J240" t="n">
        <v>0</v>
      </c>
      <c r="K240" t="n">
        <v>0</v>
      </c>
      <c r="L240" t="n">
        <v>0</v>
      </c>
      <c r="M240" t="n">
        <v>0</v>
      </c>
      <c r="N240" t="n">
        <v>0</v>
      </c>
      <c r="O240" t="n">
        <v>0</v>
      </c>
      <c r="P240" t="n">
        <v>0</v>
      </c>
      <c r="Q240" t="n">
        <v>0</v>
      </c>
      <c r="R240" s="2" t="inlineStr"/>
    </row>
    <row r="241" ht="15" customHeight="1">
      <c r="A241" t="inlineStr">
        <is>
          <t>A 43678-2019</t>
        </is>
      </c>
      <c r="B241" s="1" t="n">
        <v>43707</v>
      </c>
      <c r="C241" s="1" t="n">
        <v>45358</v>
      </c>
      <c r="D241" t="inlineStr">
        <is>
          <t>JÄMTLANDS LÄN</t>
        </is>
      </c>
      <c r="E241" t="inlineStr">
        <is>
          <t>ÅRE</t>
        </is>
      </c>
      <c r="G241" t="n">
        <v>7.9</v>
      </c>
      <c r="H241" t="n">
        <v>0</v>
      </c>
      <c r="I241" t="n">
        <v>0</v>
      </c>
      <c r="J241" t="n">
        <v>0</v>
      </c>
      <c r="K241" t="n">
        <v>0</v>
      </c>
      <c r="L241" t="n">
        <v>0</v>
      </c>
      <c r="M241" t="n">
        <v>0</v>
      </c>
      <c r="N241" t="n">
        <v>0</v>
      </c>
      <c r="O241" t="n">
        <v>0</v>
      </c>
      <c r="P241" t="n">
        <v>0</v>
      </c>
      <c r="Q241" t="n">
        <v>0</v>
      </c>
      <c r="R241" s="2" t="inlineStr"/>
    </row>
    <row r="242" ht="15" customHeight="1">
      <c r="A242" t="inlineStr">
        <is>
          <t>A 43683-2019</t>
        </is>
      </c>
      <c r="B242" s="1" t="n">
        <v>43707</v>
      </c>
      <c r="C242" s="1" t="n">
        <v>45358</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44329-2019</t>
        </is>
      </c>
      <c r="B243" s="1" t="n">
        <v>43710</v>
      </c>
      <c r="C243" s="1" t="n">
        <v>45358</v>
      </c>
      <c r="D243" t="inlineStr">
        <is>
          <t>JÄMTLANDS LÄN</t>
        </is>
      </c>
      <c r="E243" t="inlineStr">
        <is>
          <t>ÅRE</t>
        </is>
      </c>
      <c r="G243" t="n">
        <v>2.1</v>
      </c>
      <c r="H243" t="n">
        <v>0</v>
      </c>
      <c r="I243" t="n">
        <v>0</v>
      </c>
      <c r="J243" t="n">
        <v>0</v>
      </c>
      <c r="K243" t="n">
        <v>0</v>
      </c>
      <c r="L243" t="n">
        <v>0</v>
      </c>
      <c r="M243" t="n">
        <v>0</v>
      </c>
      <c r="N243" t="n">
        <v>0</v>
      </c>
      <c r="O243" t="n">
        <v>0</v>
      </c>
      <c r="P243" t="n">
        <v>0</v>
      </c>
      <c r="Q243" t="n">
        <v>0</v>
      </c>
      <c r="R243" s="2" t="inlineStr"/>
    </row>
    <row r="244" ht="15" customHeight="1">
      <c r="A244" t="inlineStr">
        <is>
          <t>A 45794-2019</t>
        </is>
      </c>
      <c r="B244" s="1" t="n">
        <v>43717</v>
      </c>
      <c r="C244" s="1" t="n">
        <v>45358</v>
      </c>
      <c r="D244" t="inlineStr">
        <is>
          <t>JÄMTLANDS LÄN</t>
        </is>
      </c>
      <c r="E244" t="inlineStr">
        <is>
          <t>ÅRE</t>
        </is>
      </c>
      <c r="G244" t="n">
        <v>37.7</v>
      </c>
      <c r="H244" t="n">
        <v>0</v>
      </c>
      <c r="I244" t="n">
        <v>0</v>
      </c>
      <c r="J244" t="n">
        <v>0</v>
      </c>
      <c r="K244" t="n">
        <v>0</v>
      </c>
      <c r="L244" t="n">
        <v>0</v>
      </c>
      <c r="M244" t="n">
        <v>0</v>
      </c>
      <c r="N244" t="n">
        <v>0</v>
      </c>
      <c r="O244" t="n">
        <v>0</v>
      </c>
      <c r="P244" t="n">
        <v>0</v>
      </c>
      <c r="Q244" t="n">
        <v>0</v>
      </c>
      <c r="R244" s="2" t="inlineStr"/>
    </row>
    <row r="245" ht="15" customHeight="1">
      <c r="A245" t="inlineStr">
        <is>
          <t>A 45798-2019</t>
        </is>
      </c>
      <c r="B245" s="1" t="n">
        <v>43717</v>
      </c>
      <c r="C245" s="1" t="n">
        <v>45358</v>
      </c>
      <c r="D245" t="inlineStr">
        <is>
          <t>JÄMTLANDS LÄN</t>
        </is>
      </c>
      <c r="E245" t="inlineStr">
        <is>
          <t>ÅRE</t>
        </is>
      </c>
      <c r="G245" t="n">
        <v>14.6</v>
      </c>
      <c r="H245" t="n">
        <v>0</v>
      </c>
      <c r="I245" t="n">
        <v>0</v>
      </c>
      <c r="J245" t="n">
        <v>0</v>
      </c>
      <c r="K245" t="n">
        <v>0</v>
      </c>
      <c r="L245" t="n">
        <v>0</v>
      </c>
      <c r="M245" t="n">
        <v>0</v>
      </c>
      <c r="N245" t="n">
        <v>0</v>
      </c>
      <c r="O245" t="n">
        <v>0</v>
      </c>
      <c r="P245" t="n">
        <v>0</v>
      </c>
      <c r="Q245" t="n">
        <v>0</v>
      </c>
      <c r="R245" s="2" t="inlineStr"/>
    </row>
    <row r="246" ht="15" customHeight="1">
      <c r="A246" t="inlineStr">
        <is>
          <t>A 47259-2019</t>
        </is>
      </c>
      <c r="B246" s="1" t="n">
        <v>43721</v>
      </c>
      <c r="C246" s="1" t="n">
        <v>45358</v>
      </c>
      <c r="D246" t="inlineStr">
        <is>
          <t>JÄMTLANDS LÄN</t>
        </is>
      </c>
      <c r="E246" t="inlineStr">
        <is>
          <t>ÅRE</t>
        </is>
      </c>
      <c r="G246" t="n">
        <v>12.7</v>
      </c>
      <c r="H246" t="n">
        <v>0</v>
      </c>
      <c r="I246" t="n">
        <v>0</v>
      </c>
      <c r="J246" t="n">
        <v>0</v>
      </c>
      <c r="K246" t="n">
        <v>0</v>
      </c>
      <c r="L246" t="n">
        <v>0</v>
      </c>
      <c r="M246" t="n">
        <v>0</v>
      </c>
      <c r="N246" t="n">
        <v>0</v>
      </c>
      <c r="O246" t="n">
        <v>0</v>
      </c>
      <c r="P246" t="n">
        <v>0</v>
      </c>
      <c r="Q246" t="n">
        <v>0</v>
      </c>
      <c r="R246" s="2" t="inlineStr"/>
    </row>
    <row r="247" ht="15" customHeight="1">
      <c r="A247" t="inlineStr">
        <is>
          <t>A 48291-2019</t>
        </is>
      </c>
      <c r="B247" s="1" t="n">
        <v>43726</v>
      </c>
      <c r="C247" s="1" t="n">
        <v>45358</v>
      </c>
      <c r="D247" t="inlineStr">
        <is>
          <t>JÄMTLANDS LÄN</t>
        </is>
      </c>
      <c r="E247" t="inlineStr">
        <is>
          <t>ÅRE</t>
        </is>
      </c>
      <c r="G247" t="n">
        <v>1.7</v>
      </c>
      <c r="H247" t="n">
        <v>0</v>
      </c>
      <c r="I247" t="n">
        <v>0</v>
      </c>
      <c r="J247" t="n">
        <v>0</v>
      </c>
      <c r="K247" t="n">
        <v>0</v>
      </c>
      <c r="L247" t="n">
        <v>0</v>
      </c>
      <c r="M247" t="n">
        <v>0</v>
      </c>
      <c r="N247" t="n">
        <v>0</v>
      </c>
      <c r="O247" t="n">
        <v>0</v>
      </c>
      <c r="P247" t="n">
        <v>0</v>
      </c>
      <c r="Q247" t="n">
        <v>0</v>
      </c>
      <c r="R247" s="2" t="inlineStr"/>
    </row>
    <row r="248" ht="15" customHeight="1">
      <c r="A248" t="inlineStr">
        <is>
          <t>A 49867-2019</t>
        </is>
      </c>
      <c r="B248" s="1" t="n">
        <v>43733</v>
      </c>
      <c r="C248" s="1" t="n">
        <v>45358</v>
      </c>
      <c r="D248" t="inlineStr">
        <is>
          <t>JÄMTLANDS LÄN</t>
        </is>
      </c>
      <c r="E248" t="inlineStr">
        <is>
          <t>ÅRE</t>
        </is>
      </c>
      <c r="G248" t="n">
        <v>1.5</v>
      </c>
      <c r="H248" t="n">
        <v>0</v>
      </c>
      <c r="I248" t="n">
        <v>0</v>
      </c>
      <c r="J248" t="n">
        <v>0</v>
      </c>
      <c r="K248" t="n">
        <v>0</v>
      </c>
      <c r="L248" t="n">
        <v>0</v>
      </c>
      <c r="M248" t="n">
        <v>0</v>
      </c>
      <c r="N248" t="n">
        <v>0</v>
      </c>
      <c r="O248" t="n">
        <v>0</v>
      </c>
      <c r="P248" t="n">
        <v>0</v>
      </c>
      <c r="Q248" t="n">
        <v>0</v>
      </c>
      <c r="R248" s="2" t="inlineStr"/>
    </row>
    <row r="249" ht="15" customHeight="1">
      <c r="A249" t="inlineStr">
        <is>
          <t>A 49863-2019</t>
        </is>
      </c>
      <c r="B249" s="1" t="n">
        <v>43733</v>
      </c>
      <c r="C249" s="1" t="n">
        <v>45358</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49858-2019</t>
        </is>
      </c>
      <c r="B250" s="1" t="n">
        <v>43733</v>
      </c>
      <c r="C250" s="1" t="n">
        <v>45358</v>
      </c>
      <c r="D250" t="inlineStr">
        <is>
          <t>JÄMTLANDS LÄN</t>
        </is>
      </c>
      <c r="E250" t="inlineStr">
        <is>
          <t>ÅRE</t>
        </is>
      </c>
      <c r="G250" t="n">
        <v>0.9</v>
      </c>
      <c r="H250" t="n">
        <v>0</v>
      </c>
      <c r="I250" t="n">
        <v>0</v>
      </c>
      <c r="J250" t="n">
        <v>0</v>
      </c>
      <c r="K250" t="n">
        <v>0</v>
      </c>
      <c r="L250" t="n">
        <v>0</v>
      </c>
      <c r="M250" t="n">
        <v>0</v>
      </c>
      <c r="N250" t="n">
        <v>0</v>
      </c>
      <c r="O250" t="n">
        <v>0</v>
      </c>
      <c r="P250" t="n">
        <v>0</v>
      </c>
      <c r="Q250" t="n">
        <v>0</v>
      </c>
      <c r="R250" s="2" t="inlineStr"/>
    </row>
    <row r="251" ht="15" customHeight="1">
      <c r="A251" t="inlineStr">
        <is>
          <t>A 50012-2019</t>
        </is>
      </c>
      <c r="B251" s="1" t="n">
        <v>43733</v>
      </c>
      <c r="C251" s="1" t="n">
        <v>45358</v>
      </c>
      <c r="D251" t="inlineStr">
        <is>
          <t>JÄMTLANDS LÄN</t>
        </is>
      </c>
      <c r="E251" t="inlineStr">
        <is>
          <t>ÅRE</t>
        </is>
      </c>
      <c r="G251" t="n">
        <v>5.8</v>
      </c>
      <c r="H251" t="n">
        <v>0</v>
      </c>
      <c r="I251" t="n">
        <v>0</v>
      </c>
      <c r="J251" t="n">
        <v>0</v>
      </c>
      <c r="K251" t="n">
        <v>0</v>
      </c>
      <c r="L251" t="n">
        <v>0</v>
      </c>
      <c r="M251" t="n">
        <v>0</v>
      </c>
      <c r="N251" t="n">
        <v>0</v>
      </c>
      <c r="O251" t="n">
        <v>0</v>
      </c>
      <c r="P251" t="n">
        <v>0</v>
      </c>
      <c r="Q251" t="n">
        <v>0</v>
      </c>
      <c r="R251" s="2" t="inlineStr"/>
    </row>
    <row r="252" ht="15" customHeight="1">
      <c r="A252" t="inlineStr">
        <is>
          <t>A 52056-2019</t>
        </is>
      </c>
      <c r="B252" s="1" t="n">
        <v>43734</v>
      </c>
      <c r="C252" s="1" t="n">
        <v>45358</v>
      </c>
      <c r="D252" t="inlineStr">
        <is>
          <t>JÄMTLANDS LÄN</t>
        </is>
      </c>
      <c r="E252" t="inlineStr">
        <is>
          <t>ÅRE</t>
        </is>
      </c>
      <c r="G252" t="n">
        <v>3</v>
      </c>
      <c r="H252" t="n">
        <v>0</v>
      </c>
      <c r="I252" t="n">
        <v>0</v>
      </c>
      <c r="J252" t="n">
        <v>0</v>
      </c>
      <c r="K252" t="n">
        <v>0</v>
      </c>
      <c r="L252" t="n">
        <v>0</v>
      </c>
      <c r="M252" t="n">
        <v>0</v>
      </c>
      <c r="N252" t="n">
        <v>0</v>
      </c>
      <c r="O252" t="n">
        <v>0</v>
      </c>
      <c r="P252" t="n">
        <v>0</v>
      </c>
      <c r="Q252" t="n">
        <v>0</v>
      </c>
      <c r="R252" s="2" t="inlineStr"/>
    </row>
    <row r="253" ht="15" customHeight="1">
      <c r="A253" t="inlineStr">
        <is>
          <t>A 52047-2019</t>
        </is>
      </c>
      <c r="B253" s="1" t="n">
        <v>43734</v>
      </c>
      <c r="C253" s="1" t="n">
        <v>45358</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51818-2019</t>
        </is>
      </c>
      <c r="B254" s="1" t="n">
        <v>43741</v>
      </c>
      <c r="C254" s="1" t="n">
        <v>45358</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55358-2019</t>
        </is>
      </c>
      <c r="B255" s="1" t="n">
        <v>43756</v>
      </c>
      <c r="C255" s="1" t="n">
        <v>45358</v>
      </c>
      <c r="D255" t="inlineStr">
        <is>
          <t>JÄMTLANDS LÄN</t>
        </is>
      </c>
      <c r="E255" t="inlineStr">
        <is>
          <t>ÅRE</t>
        </is>
      </c>
      <c r="G255" t="n">
        <v>4.9</v>
      </c>
      <c r="H255" t="n">
        <v>0</v>
      </c>
      <c r="I255" t="n">
        <v>0</v>
      </c>
      <c r="J255" t="n">
        <v>0</v>
      </c>
      <c r="K255" t="n">
        <v>0</v>
      </c>
      <c r="L255" t="n">
        <v>0</v>
      </c>
      <c r="M255" t="n">
        <v>0</v>
      </c>
      <c r="N255" t="n">
        <v>0</v>
      </c>
      <c r="O255" t="n">
        <v>0</v>
      </c>
      <c r="P255" t="n">
        <v>0</v>
      </c>
      <c r="Q255" t="n">
        <v>0</v>
      </c>
      <c r="R255" s="2" t="inlineStr"/>
    </row>
    <row r="256" ht="15" customHeight="1">
      <c r="A256" t="inlineStr">
        <is>
          <t>A 57825-2019</t>
        </is>
      </c>
      <c r="B256" s="1" t="n">
        <v>43768</v>
      </c>
      <c r="C256" s="1" t="n">
        <v>45358</v>
      </c>
      <c r="D256" t="inlineStr">
        <is>
          <t>JÄMTLANDS LÄN</t>
        </is>
      </c>
      <c r="E256" t="inlineStr">
        <is>
          <t>ÅRE</t>
        </is>
      </c>
      <c r="G256" t="n">
        <v>3.1</v>
      </c>
      <c r="H256" t="n">
        <v>0</v>
      </c>
      <c r="I256" t="n">
        <v>0</v>
      </c>
      <c r="J256" t="n">
        <v>0</v>
      </c>
      <c r="K256" t="n">
        <v>0</v>
      </c>
      <c r="L256" t="n">
        <v>0</v>
      </c>
      <c r="M256" t="n">
        <v>0</v>
      </c>
      <c r="N256" t="n">
        <v>0</v>
      </c>
      <c r="O256" t="n">
        <v>0</v>
      </c>
      <c r="P256" t="n">
        <v>0</v>
      </c>
      <c r="Q256" t="n">
        <v>0</v>
      </c>
      <c r="R256" s="2" t="inlineStr"/>
    </row>
    <row r="257" ht="15" customHeight="1">
      <c r="A257" t="inlineStr">
        <is>
          <t>A 59815-2019</t>
        </is>
      </c>
      <c r="B257" s="1" t="n">
        <v>43774</v>
      </c>
      <c r="C257" s="1" t="n">
        <v>45358</v>
      </c>
      <c r="D257" t="inlineStr">
        <is>
          <t>JÄMTLANDS LÄN</t>
        </is>
      </c>
      <c r="E257" t="inlineStr">
        <is>
          <t>ÅRE</t>
        </is>
      </c>
      <c r="G257" t="n">
        <v>2.8</v>
      </c>
      <c r="H257" t="n">
        <v>0</v>
      </c>
      <c r="I257" t="n">
        <v>0</v>
      </c>
      <c r="J257" t="n">
        <v>0</v>
      </c>
      <c r="K257" t="n">
        <v>0</v>
      </c>
      <c r="L257" t="n">
        <v>0</v>
      </c>
      <c r="M257" t="n">
        <v>0</v>
      </c>
      <c r="N257" t="n">
        <v>0</v>
      </c>
      <c r="O257" t="n">
        <v>0</v>
      </c>
      <c r="P257" t="n">
        <v>0</v>
      </c>
      <c r="Q257" t="n">
        <v>0</v>
      </c>
      <c r="R257" s="2" t="inlineStr"/>
    </row>
    <row r="258" ht="15" customHeight="1">
      <c r="A258" t="inlineStr">
        <is>
          <t>A 60093-2019</t>
        </is>
      </c>
      <c r="B258" s="1" t="n">
        <v>43777</v>
      </c>
      <c r="C258" s="1" t="n">
        <v>45358</v>
      </c>
      <c r="D258" t="inlineStr">
        <is>
          <t>JÄMTLANDS LÄN</t>
        </is>
      </c>
      <c r="E258" t="inlineStr">
        <is>
          <t>ÅRE</t>
        </is>
      </c>
      <c r="G258" t="n">
        <v>8.6</v>
      </c>
      <c r="H258" t="n">
        <v>0</v>
      </c>
      <c r="I258" t="n">
        <v>0</v>
      </c>
      <c r="J258" t="n">
        <v>0</v>
      </c>
      <c r="K258" t="n">
        <v>0</v>
      </c>
      <c r="L258" t="n">
        <v>0</v>
      </c>
      <c r="M258" t="n">
        <v>0</v>
      </c>
      <c r="N258" t="n">
        <v>0</v>
      </c>
      <c r="O258" t="n">
        <v>0</v>
      </c>
      <c r="P258" t="n">
        <v>0</v>
      </c>
      <c r="Q258" t="n">
        <v>0</v>
      </c>
      <c r="R258" s="2" t="inlineStr"/>
    </row>
    <row r="259" ht="15" customHeight="1">
      <c r="A259" t="inlineStr">
        <is>
          <t>A 62359-2019</t>
        </is>
      </c>
      <c r="B259" s="1" t="n">
        <v>43788</v>
      </c>
      <c r="C259" s="1" t="n">
        <v>45358</v>
      </c>
      <c r="D259" t="inlineStr">
        <is>
          <t>JÄMTLANDS LÄN</t>
        </is>
      </c>
      <c r="E259" t="inlineStr">
        <is>
          <t>ÅRE</t>
        </is>
      </c>
      <c r="F259" t="inlineStr">
        <is>
          <t>Övriga Aktiebolag</t>
        </is>
      </c>
      <c r="G259" t="n">
        <v>7</v>
      </c>
      <c r="H259" t="n">
        <v>0</v>
      </c>
      <c r="I259" t="n">
        <v>0</v>
      </c>
      <c r="J259" t="n">
        <v>0</v>
      </c>
      <c r="K259" t="n">
        <v>0</v>
      </c>
      <c r="L259" t="n">
        <v>0</v>
      </c>
      <c r="M259" t="n">
        <v>0</v>
      </c>
      <c r="N259" t="n">
        <v>0</v>
      </c>
      <c r="O259" t="n">
        <v>0</v>
      </c>
      <c r="P259" t="n">
        <v>0</v>
      </c>
      <c r="Q259" t="n">
        <v>0</v>
      </c>
      <c r="R259" s="2" t="inlineStr"/>
    </row>
    <row r="260" ht="15" customHeight="1">
      <c r="A260" t="inlineStr">
        <is>
          <t>A 62326-2019</t>
        </is>
      </c>
      <c r="B260" s="1" t="n">
        <v>43788</v>
      </c>
      <c r="C260" s="1" t="n">
        <v>45358</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63729-2019</t>
        </is>
      </c>
      <c r="B261" s="1" t="n">
        <v>43788</v>
      </c>
      <c r="C261" s="1" t="n">
        <v>45358</v>
      </c>
      <c r="D261" t="inlineStr">
        <is>
          <t>JÄMTLANDS LÄN</t>
        </is>
      </c>
      <c r="E261" t="inlineStr">
        <is>
          <t>ÅRE</t>
        </is>
      </c>
      <c r="F261" t="inlineStr">
        <is>
          <t>Övriga Aktiebolag</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65986-2019</t>
        </is>
      </c>
      <c r="B262" s="1" t="n">
        <v>43801</v>
      </c>
      <c r="C262" s="1" t="n">
        <v>45358</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66395-2019</t>
        </is>
      </c>
      <c r="B263" s="1" t="n">
        <v>43808</v>
      </c>
      <c r="C263" s="1" t="n">
        <v>45358</v>
      </c>
      <c r="D263" t="inlineStr">
        <is>
          <t>JÄMTLANDS LÄN</t>
        </is>
      </c>
      <c r="E263" t="inlineStr">
        <is>
          <t>ÅRE</t>
        </is>
      </c>
      <c r="G263" t="n">
        <v>1.6</v>
      </c>
      <c r="H263" t="n">
        <v>0</v>
      </c>
      <c r="I263" t="n">
        <v>0</v>
      </c>
      <c r="J263" t="n">
        <v>0</v>
      </c>
      <c r="K263" t="n">
        <v>0</v>
      </c>
      <c r="L263" t="n">
        <v>0</v>
      </c>
      <c r="M263" t="n">
        <v>0</v>
      </c>
      <c r="N263" t="n">
        <v>0</v>
      </c>
      <c r="O263" t="n">
        <v>0</v>
      </c>
      <c r="P263" t="n">
        <v>0</v>
      </c>
      <c r="Q263" t="n">
        <v>0</v>
      </c>
      <c r="R263" s="2" t="inlineStr"/>
    </row>
    <row r="264" ht="15" customHeight="1">
      <c r="A264" t="inlineStr">
        <is>
          <t>A 66774-2019</t>
        </is>
      </c>
      <c r="B264" s="1" t="n">
        <v>43810</v>
      </c>
      <c r="C264" s="1" t="n">
        <v>45358</v>
      </c>
      <c r="D264" t="inlineStr">
        <is>
          <t>JÄMTLANDS LÄN</t>
        </is>
      </c>
      <c r="E264" t="inlineStr">
        <is>
          <t>ÅRE</t>
        </is>
      </c>
      <c r="G264" t="n">
        <v>7.4</v>
      </c>
      <c r="H264" t="n">
        <v>0</v>
      </c>
      <c r="I264" t="n">
        <v>0</v>
      </c>
      <c r="J264" t="n">
        <v>0</v>
      </c>
      <c r="K264" t="n">
        <v>0</v>
      </c>
      <c r="L264" t="n">
        <v>0</v>
      </c>
      <c r="M264" t="n">
        <v>0</v>
      </c>
      <c r="N264" t="n">
        <v>0</v>
      </c>
      <c r="O264" t="n">
        <v>0</v>
      </c>
      <c r="P264" t="n">
        <v>0</v>
      </c>
      <c r="Q264" t="n">
        <v>0</v>
      </c>
      <c r="R264" s="2" t="inlineStr"/>
    </row>
    <row r="265" ht="15" customHeight="1">
      <c r="A265" t="inlineStr">
        <is>
          <t>A 66787-2019</t>
        </is>
      </c>
      <c r="B265" s="1" t="n">
        <v>43810</v>
      </c>
      <c r="C265" s="1" t="n">
        <v>45358</v>
      </c>
      <c r="D265" t="inlineStr">
        <is>
          <t>JÄMTLANDS LÄN</t>
        </is>
      </c>
      <c r="E265" t="inlineStr">
        <is>
          <t>ÅRE</t>
        </is>
      </c>
      <c r="G265" t="n">
        <v>2.7</v>
      </c>
      <c r="H265" t="n">
        <v>0</v>
      </c>
      <c r="I265" t="n">
        <v>0</v>
      </c>
      <c r="J265" t="n">
        <v>0</v>
      </c>
      <c r="K265" t="n">
        <v>0</v>
      </c>
      <c r="L265" t="n">
        <v>0</v>
      </c>
      <c r="M265" t="n">
        <v>0</v>
      </c>
      <c r="N265" t="n">
        <v>0</v>
      </c>
      <c r="O265" t="n">
        <v>0</v>
      </c>
      <c r="P265" t="n">
        <v>0</v>
      </c>
      <c r="Q265" t="n">
        <v>0</v>
      </c>
      <c r="R265" s="2" t="inlineStr"/>
    </row>
    <row r="266" ht="15" customHeight="1">
      <c r="A266" t="inlineStr">
        <is>
          <t>A 67988-2019</t>
        </is>
      </c>
      <c r="B266" s="1" t="n">
        <v>43811</v>
      </c>
      <c r="C266" s="1" t="n">
        <v>45358</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68076-2019</t>
        </is>
      </c>
      <c r="B267" s="1" t="n">
        <v>43816</v>
      </c>
      <c r="C267" s="1" t="n">
        <v>45358</v>
      </c>
      <c r="D267" t="inlineStr">
        <is>
          <t>JÄMTLANDS LÄN</t>
        </is>
      </c>
      <c r="E267" t="inlineStr">
        <is>
          <t>ÅRE</t>
        </is>
      </c>
      <c r="G267" t="n">
        <v>1.5</v>
      </c>
      <c r="H267" t="n">
        <v>0</v>
      </c>
      <c r="I267" t="n">
        <v>0</v>
      </c>
      <c r="J267" t="n">
        <v>0</v>
      </c>
      <c r="K267" t="n">
        <v>0</v>
      </c>
      <c r="L267" t="n">
        <v>0</v>
      </c>
      <c r="M267" t="n">
        <v>0</v>
      </c>
      <c r="N267" t="n">
        <v>0</v>
      </c>
      <c r="O267" t="n">
        <v>0</v>
      </c>
      <c r="P267" t="n">
        <v>0</v>
      </c>
      <c r="Q267" t="n">
        <v>0</v>
      </c>
      <c r="R267" s="2" t="inlineStr"/>
    </row>
    <row r="268" ht="15" customHeight="1">
      <c r="A268" t="inlineStr">
        <is>
          <t>A 68315-2019</t>
        </is>
      </c>
      <c r="B268" s="1" t="n">
        <v>43817</v>
      </c>
      <c r="C268" s="1" t="n">
        <v>45358</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824-2020</t>
        </is>
      </c>
      <c r="B269" s="1" t="n">
        <v>43818</v>
      </c>
      <c r="C269" s="1" t="n">
        <v>45358</v>
      </c>
      <c r="D269" t="inlineStr">
        <is>
          <t>JÄMTLANDS LÄN</t>
        </is>
      </c>
      <c r="E269" t="inlineStr">
        <is>
          <t>ÅRE</t>
        </is>
      </c>
      <c r="G269" t="n">
        <v>1.8</v>
      </c>
      <c r="H269" t="n">
        <v>0</v>
      </c>
      <c r="I269" t="n">
        <v>0</v>
      </c>
      <c r="J269" t="n">
        <v>0</v>
      </c>
      <c r="K269" t="n">
        <v>0</v>
      </c>
      <c r="L269" t="n">
        <v>0</v>
      </c>
      <c r="M269" t="n">
        <v>0</v>
      </c>
      <c r="N269" t="n">
        <v>0</v>
      </c>
      <c r="O269" t="n">
        <v>0</v>
      </c>
      <c r="P269" t="n">
        <v>0</v>
      </c>
      <c r="Q269" t="n">
        <v>0</v>
      </c>
      <c r="R269" s="2" t="inlineStr"/>
    </row>
    <row r="270" ht="15" customHeight="1">
      <c r="A270" t="inlineStr">
        <is>
          <t>A 70-2020</t>
        </is>
      </c>
      <c r="B270" s="1" t="n">
        <v>43832</v>
      </c>
      <c r="C270" s="1" t="n">
        <v>45358</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72-2020</t>
        </is>
      </c>
      <c r="B271" s="1" t="n">
        <v>43832</v>
      </c>
      <c r="C271" s="1" t="n">
        <v>45358</v>
      </c>
      <c r="D271" t="inlineStr">
        <is>
          <t>JÄMTLANDS LÄN</t>
        </is>
      </c>
      <c r="E271" t="inlineStr">
        <is>
          <t>ÅRE</t>
        </is>
      </c>
      <c r="G271" t="n">
        <v>4.7</v>
      </c>
      <c r="H271" t="n">
        <v>0</v>
      </c>
      <c r="I271" t="n">
        <v>0</v>
      </c>
      <c r="J271" t="n">
        <v>0</v>
      </c>
      <c r="K271" t="n">
        <v>0</v>
      </c>
      <c r="L271" t="n">
        <v>0</v>
      </c>
      <c r="M271" t="n">
        <v>0</v>
      </c>
      <c r="N271" t="n">
        <v>0</v>
      </c>
      <c r="O271" t="n">
        <v>0</v>
      </c>
      <c r="P271" t="n">
        <v>0</v>
      </c>
      <c r="Q271" t="n">
        <v>0</v>
      </c>
      <c r="R271" s="2" t="inlineStr"/>
    </row>
    <row r="272" ht="15" customHeight="1">
      <c r="A272" t="inlineStr">
        <is>
          <t>A 67-2020</t>
        </is>
      </c>
      <c r="B272" s="1" t="n">
        <v>43832</v>
      </c>
      <c r="C272" s="1" t="n">
        <v>45358</v>
      </c>
      <c r="D272" t="inlineStr">
        <is>
          <t>JÄMTLANDS LÄN</t>
        </is>
      </c>
      <c r="E272" t="inlineStr">
        <is>
          <t>ÅRE</t>
        </is>
      </c>
      <c r="G272" t="n">
        <v>0.4</v>
      </c>
      <c r="H272" t="n">
        <v>0</v>
      </c>
      <c r="I272" t="n">
        <v>0</v>
      </c>
      <c r="J272" t="n">
        <v>0</v>
      </c>
      <c r="K272" t="n">
        <v>0</v>
      </c>
      <c r="L272" t="n">
        <v>0</v>
      </c>
      <c r="M272" t="n">
        <v>0</v>
      </c>
      <c r="N272" t="n">
        <v>0</v>
      </c>
      <c r="O272" t="n">
        <v>0</v>
      </c>
      <c r="P272" t="n">
        <v>0</v>
      </c>
      <c r="Q272" t="n">
        <v>0</v>
      </c>
      <c r="R272" s="2" t="inlineStr"/>
    </row>
    <row r="273" ht="15" customHeight="1">
      <c r="A273" t="inlineStr">
        <is>
          <t>A 1819-2020</t>
        </is>
      </c>
      <c r="B273" s="1" t="n">
        <v>43833</v>
      </c>
      <c r="C273" s="1" t="n">
        <v>45358</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3838-2020</t>
        </is>
      </c>
      <c r="B274" s="1" t="n">
        <v>43854</v>
      </c>
      <c r="C274" s="1" t="n">
        <v>45358</v>
      </c>
      <c r="D274" t="inlineStr">
        <is>
          <t>JÄMTLANDS LÄN</t>
        </is>
      </c>
      <c r="E274" t="inlineStr">
        <is>
          <t>ÅRE</t>
        </is>
      </c>
      <c r="G274" t="n">
        <v>3.2</v>
      </c>
      <c r="H274" t="n">
        <v>0</v>
      </c>
      <c r="I274" t="n">
        <v>0</v>
      </c>
      <c r="J274" t="n">
        <v>0</v>
      </c>
      <c r="K274" t="n">
        <v>0</v>
      </c>
      <c r="L274" t="n">
        <v>0</v>
      </c>
      <c r="M274" t="n">
        <v>0</v>
      </c>
      <c r="N274" t="n">
        <v>0</v>
      </c>
      <c r="O274" t="n">
        <v>0</v>
      </c>
      <c r="P274" t="n">
        <v>0</v>
      </c>
      <c r="Q274" t="n">
        <v>0</v>
      </c>
      <c r="R274" s="2" t="inlineStr"/>
    </row>
    <row r="275" ht="15" customHeight="1">
      <c r="A275" t="inlineStr">
        <is>
          <t>A 13402-2020</t>
        </is>
      </c>
      <c r="B275" s="1" t="n">
        <v>43902</v>
      </c>
      <c r="C275" s="1" t="n">
        <v>45358</v>
      </c>
      <c r="D275" t="inlineStr">
        <is>
          <t>JÄMTLANDS LÄN</t>
        </is>
      </c>
      <c r="E275" t="inlineStr">
        <is>
          <t>ÅRE</t>
        </is>
      </c>
      <c r="G275" t="n">
        <v>0.7</v>
      </c>
      <c r="H275" t="n">
        <v>0</v>
      </c>
      <c r="I275" t="n">
        <v>0</v>
      </c>
      <c r="J275" t="n">
        <v>0</v>
      </c>
      <c r="K275" t="n">
        <v>0</v>
      </c>
      <c r="L275" t="n">
        <v>0</v>
      </c>
      <c r="M275" t="n">
        <v>0</v>
      </c>
      <c r="N275" t="n">
        <v>0</v>
      </c>
      <c r="O275" t="n">
        <v>0</v>
      </c>
      <c r="P275" t="n">
        <v>0</v>
      </c>
      <c r="Q275" t="n">
        <v>0</v>
      </c>
      <c r="R275" s="2" t="inlineStr"/>
    </row>
    <row r="276" ht="15" customHeight="1">
      <c r="A276" t="inlineStr">
        <is>
          <t>A 13408-2020</t>
        </is>
      </c>
      <c r="B276" s="1" t="n">
        <v>43902</v>
      </c>
      <c r="C276" s="1" t="n">
        <v>45358</v>
      </c>
      <c r="D276" t="inlineStr">
        <is>
          <t>JÄMTLANDS LÄN</t>
        </is>
      </c>
      <c r="E276" t="inlineStr">
        <is>
          <t>ÅRE</t>
        </is>
      </c>
      <c r="G276" t="n">
        <v>0.6</v>
      </c>
      <c r="H276" t="n">
        <v>0</v>
      </c>
      <c r="I276" t="n">
        <v>0</v>
      </c>
      <c r="J276" t="n">
        <v>0</v>
      </c>
      <c r="K276" t="n">
        <v>0</v>
      </c>
      <c r="L276" t="n">
        <v>0</v>
      </c>
      <c r="M276" t="n">
        <v>0</v>
      </c>
      <c r="N276" t="n">
        <v>0</v>
      </c>
      <c r="O276" t="n">
        <v>0</v>
      </c>
      <c r="P276" t="n">
        <v>0</v>
      </c>
      <c r="Q276" t="n">
        <v>0</v>
      </c>
      <c r="R276" s="2" t="inlineStr"/>
    </row>
    <row r="277" ht="15" customHeight="1">
      <c r="A277" t="inlineStr">
        <is>
          <t>A 14753-2020</t>
        </is>
      </c>
      <c r="B277" s="1" t="n">
        <v>43909</v>
      </c>
      <c r="C277" s="1" t="n">
        <v>45358</v>
      </c>
      <c r="D277" t="inlineStr">
        <is>
          <t>JÄMTLANDS LÄN</t>
        </is>
      </c>
      <c r="E277" t="inlineStr">
        <is>
          <t>ÅRE</t>
        </is>
      </c>
      <c r="G277" t="n">
        <v>1.6</v>
      </c>
      <c r="H277" t="n">
        <v>0</v>
      </c>
      <c r="I277" t="n">
        <v>0</v>
      </c>
      <c r="J277" t="n">
        <v>0</v>
      </c>
      <c r="K277" t="n">
        <v>0</v>
      </c>
      <c r="L277" t="n">
        <v>0</v>
      </c>
      <c r="M277" t="n">
        <v>0</v>
      </c>
      <c r="N277" t="n">
        <v>0</v>
      </c>
      <c r="O277" t="n">
        <v>0</v>
      </c>
      <c r="P277" t="n">
        <v>0</v>
      </c>
      <c r="Q277" t="n">
        <v>0</v>
      </c>
      <c r="R277" s="2" t="inlineStr"/>
    </row>
    <row r="278" ht="15" customHeight="1">
      <c r="A278" t="inlineStr">
        <is>
          <t>A 20538-2020</t>
        </is>
      </c>
      <c r="B278" s="1" t="n">
        <v>43948</v>
      </c>
      <c r="C278" s="1" t="n">
        <v>45358</v>
      </c>
      <c r="D278" t="inlineStr">
        <is>
          <t>JÄMTLANDS LÄN</t>
        </is>
      </c>
      <c r="E278" t="inlineStr">
        <is>
          <t>ÅRE</t>
        </is>
      </c>
      <c r="G278" t="n">
        <v>3.7</v>
      </c>
      <c r="H278" t="n">
        <v>0</v>
      </c>
      <c r="I278" t="n">
        <v>0</v>
      </c>
      <c r="J278" t="n">
        <v>0</v>
      </c>
      <c r="K278" t="n">
        <v>0</v>
      </c>
      <c r="L278" t="n">
        <v>0</v>
      </c>
      <c r="M278" t="n">
        <v>0</v>
      </c>
      <c r="N278" t="n">
        <v>0</v>
      </c>
      <c r="O278" t="n">
        <v>0</v>
      </c>
      <c r="P278" t="n">
        <v>0</v>
      </c>
      <c r="Q278" t="n">
        <v>0</v>
      </c>
      <c r="R278" s="2" t="inlineStr"/>
    </row>
    <row r="279" ht="15" customHeight="1">
      <c r="A279" t="inlineStr">
        <is>
          <t>A 21448-2020</t>
        </is>
      </c>
      <c r="B279" s="1" t="n">
        <v>43956</v>
      </c>
      <c r="C279" s="1" t="n">
        <v>45358</v>
      </c>
      <c r="D279" t="inlineStr">
        <is>
          <t>JÄMTLANDS LÄN</t>
        </is>
      </c>
      <c r="E279" t="inlineStr">
        <is>
          <t>ÅRE</t>
        </is>
      </c>
      <c r="G279" t="n">
        <v>0.8</v>
      </c>
      <c r="H279" t="n">
        <v>0</v>
      </c>
      <c r="I279" t="n">
        <v>0</v>
      </c>
      <c r="J279" t="n">
        <v>0</v>
      </c>
      <c r="K279" t="n">
        <v>0</v>
      </c>
      <c r="L279" t="n">
        <v>0</v>
      </c>
      <c r="M279" t="n">
        <v>0</v>
      </c>
      <c r="N279" t="n">
        <v>0</v>
      </c>
      <c r="O279" t="n">
        <v>0</v>
      </c>
      <c r="P279" t="n">
        <v>0</v>
      </c>
      <c r="Q279" t="n">
        <v>0</v>
      </c>
      <c r="R279" s="2" t="inlineStr"/>
    </row>
    <row r="280" ht="15" customHeight="1">
      <c r="A280" t="inlineStr">
        <is>
          <t>A 23393-2020</t>
        </is>
      </c>
      <c r="B280" s="1" t="n">
        <v>43968</v>
      </c>
      <c r="C280" s="1" t="n">
        <v>45358</v>
      </c>
      <c r="D280" t="inlineStr">
        <is>
          <t>JÄMTLANDS LÄN</t>
        </is>
      </c>
      <c r="E280" t="inlineStr">
        <is>
          <t>ÅRE</t>
        </is>
      </c>
      <c r="G280" t="n">
        <v>5</v>
      </c>
      <c r="H280" t="n">
        <v>0</v>
      </c>
      <c r="I280" t="n">
        <v>0</v>
      </c>
      <c r="J280" t="n">
        <v>0</v>
      </c>
      <c r="K280" t="n">
        <v>0</v>
      </c>
      <c r="L280" t="n">
        <v>0</v>
      </c>
      <c r="M280" t="n">
        <v>0</v>
      </c>
      <c r="N280" t="n">
        <v>0</v>
      </c>
      <c r="O280" t="n">
        <v>0</v>
      </c>
      <c r="P280" t="n">
        <v>0</v>
      </c>
      <c r="Q280" t="n">
        <v>0</v>
      </c>
      <c r="R280" s="2" t="inlineStr"/>
    </row>
    <row r="281" ht="15" customHeight="1">
      <c r="A281" t="inlineStr">
        <is>
          <t>A 24436-2020</t>
        </is>
      </c>
      <c r="B281" s="1" t="n">
        <v>43976</v>
      </c>
      <c r="C281" s="1" t="n">
        <v>45358</v>
      </c>
      <c r="D281" t="inlineStr">
        <is>
          <t>JÄMTLANDS LÄN</t>
        </is>
      </c>
      <c r="E281" t="inlineStr">
        <is>
          <t>ÅRE</t>
        </is>
      </c>
      <c r="G281" t="n">
        <v>3.3</v>
      </c>
      <c r="H281" t="n">
        <v>0</v>
      </c>
      <c r="I281" t="n">
        <v>0</v>
      </c>
      <c r="J281" t="n">
        <v>0</v>
      </c>
      <c r="K281" t="n">
        <v>0</v>
      </c>
      <c r="L281" t="n">
        <v>0</v>
      </c>
      <c r="M281" t="n">
        <v>0</v>
      </c>
      <c r="N281" t="n">
        <v>0</v>
      </c>
      <c r="O281" t="n">
        <v>0</v>
      </c>
      <c r="P281" t="n">
        <v>0</v>
      </c>
      <c r="Q281" t="n">
        <v>0</v>
      </c>
      <c r="R281" s="2" t="inlineStr"/>
    </row>
    <row r="282" ht="15" customHeight="1">
      <c r="A282" t="inlineStr">
        <is>
          <t>A 25587-2020</t>
        </is>
      </c>
      <c r="B282" s="1" t="n">
        <v>43983</v>
      </c>
      <c r="C282" s="1" t="n">
        <v>45358</v>
      </c>
      <c r="D282" t="inlineStr">
        <is>
          <t>JÄMTLANDS LÄN</t>
        </is>
      </c>
      <c r="E282" t="inlineStr">
        <is>
          <t>ÅRE</t>
        </is>
      </c>
      <c r="G282" t="n">
        <v>10.3</v>
      </c>
      <c r="H282" t="n">
        <v>0</v>
      </c>
      <c r="I282" t="n">
        <v>0</v>
      </c>
      <c r="J282" t="n">
        <v>0</v>
      </c>
      <c r="K282" t="n">
        <v>0</v>
      </c>
      <c r="L282" t="n">
        <v>0</v>
      </c>
      <c r="M282" t="n">
        <v>0</v>
      </c>
      <c r="N282" t="n">
        <v>0</v>
      </c>
      <c r="O282" t="n">
        <v>0</v>
      </c>
      <c r="P282" t="n">
        <v>0</v>
      </c>
      <c r="Q282" t="n">
        <v>0</v>
      </c>
      <c r="R282" s="2" t="inlineStr"/>
    </row>
    <row r="283" ht="15" customHeight="1">
      <c r="A283" t="inlineStr">
        <is>
          <t>A 25592-2020</t>
        </is>
      </c>
      <c r="B283" s="1" t="n">
        <v>43983</v>
      </c>
      <c r="C283" s="1" t="n">
        <v>45358</v>
      </c>
      <c r="D283" t="inlineStr">
        <is>
          <t>JÄMTLANDS LÄN</t>
        </is>
      </c>
      <c r="E283" t="inlineStr">
        <is>
          <t>ÅRE</t>
        </is>
      </c>
      <c r="G283" t="n">
        <v>6.6</v>
      </c>
      <c r="H283" t="n">
        <v>0</v>
      </c>
      <c r="I283" t="n">
        <v>0</v>
      </c>
      <c r="J283" t="n">
        <v>0</v>
      </c>
      <c r="K283" t="n">
        <v>0</v>
      </c>
      <c r="L283" t="n">
        <v>0</v>
      </c>
      <c r="M283" t="n">
        <v>0</v>
      </c>
      <c r="N283" t="n">
        <v>0</v>
      </c>
      <c r="O283" t="n">
        <v>0</v>
      </c>
      <c r="P283" t="n">
        <v>0</v>
      </c>
      <c r="Q283" t="n">
        <v>0</v>
      </c>
      <c r="R283" s="2" t="inlineStr"/>
    </row>
    <row r="284" ht="15" customHeight="1">
      <c r="A284" t="inlineStr">
        <is>
          <t>A 27292-2020</t>
        </is>
      </c>
      <c r="B284" s="1" t="n">
        <v>43992</v>
      </c>
      <c r="C284" s="1" t="n">
        <v>45358</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27369-2020</t>
        </is>
      </c>
      <c r="B285" s="1" t="n">
        <v>43992</v>
      </c>
      <c r="C285" s="1" t="n">
        <v>45358</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28422-2020</t>
        </is>
      </c>
      <c r="B286" s="1" t="n">
        <v>43998</v>
      </c>
      <c r="C286" s="1" t="n">
        <v>45358</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28385-2020</t>
        </is>
      </c>
      <c r="B287" s="1" t="n">
        <v>43998</v>
      </c>
      <c r="C287" s="1" t="n">
        <v>45358</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28869-2020</t>
        </is>
      </c>
      <c r="B288" s="1" t="n">
        <v>44000</v>
      </c>
      <c r="C288" s="1" t="n">
        <v>45358</v>
      </c>
      <c r="D288" t="inlineStr">
        <is>
          <t>JÄMTLANDS LÄN</t>
        </is>
      </c>
      <c r="E288" t="inlineStr">
        <is>
          <t>ÅRE</t>
        </is>
      </c>
      <c r="F288" t="inlineStr">
        <is>
          <t>Kyrkan</t>
        </is>
      </c>
      <c r="G288" t="n">
        <v>1.7</v>
      </c>
      <c r="H288" t="n">
        <v>0</v>
      </c>
      <c r="I288" t="n">
        <v>0</v>
      </c>
      <c r="J288" t="n">
        <v>0</v>
      </c>
      <c r="K288" t="n">
        <v>0</v>
      </c>
      <c r="L288" t="n">
        <v>0</v>
      </c>
      <c r="M288" t="n">
        <v>0</v>
      </c>
      <c r="N288" t="n">
        <v>0</v>
      </c>
      <c r="O288" t="n">
        <v>0</v>
      </c>
      <c r="P288" t="n">
        <v>0</v>
      </c>
      <c r="Q288" t="n">
        <v>0</v>
      </c>
      <c r="R288" s="2" t="inlineStr"/>
    </row>
    <row r="289" ht="15" customHeight="1">
      <c r="A289" t="inlineStr">
        <is>
          <t>A 29083-2020</t>
        </is>
      </c>
      <c r="B289" s="1" t="n">
        <v>44002</v>
      </c>
      <c r="C289" s="1" t="n">
        <v>45358</v>
      </c>
      <c r="D289" t="inlineStr">
        <is>
          <t>JÄMTLANDS LÄN</t>
        </is>
      </c>
      <c r="E289" t="inlineStr">
        <is>
          <t>ÅRE</t>
        </is>
      </c>
      <c r="G289" t="n">
        <v>0.9</v>
      </c>
      <c r="H289" t="n">
        <v>0</v>
      </c>
      <c r="I289" t="n">
        <v>0</v>
      </c>
      <c r="J289" t="n">
        <v>0</v>
      </c>
      <c r="K289" t="n">
        <v>0</v>
      </c>
      <c r="L289" t="n">
        <v>0</v>
      </c>
      <c r="M289" t="n">
        <v>0</v>
      </c>
      <c r="N289" t="n">
        <v>0</v>
      </c>
      <c r="O289" t="n">
        <v>0</v>
      </c>
      <c r="P289" t="n">
        <v>0</v>
      </c>
      <c r="Q289" t="n">
        <v>0</v>
      </c>
      <c r="R289" s="2" t="inlineStr"/>
    </row>
    <row r="290" ht="15" customHeight="1">
      <c r="A290" t="inlineStr">
        <is>
          <t>A 29080-2020</t>
        </is>
      </c>
      <c r="B290" s="1" t="n">
        <v>44002</v>
      </c>
      <c r="C290" s="1" t="n">
        <v>45358</v>
      </c>
      <c r="D290" t="inlineStr">
        <is>
          <t>JÄMTLANDS LÄN</t>
        </is>
      </c>
      <c r="E290" t="inlineStr">
        <is>
          <t>ÅRE</t>
        </is>
      </c>
      <c r="G290" t="n">
        <v>2.5</v>
      </c>
      <c r="H290" t="n">
        <v>0</v>
      </c>
      <c r="I290" t="n">
        <v>0</v>
      </c>
      <c r="J290" t="n">
        <v>0</v>
      </c>
      <c r="K290" t="n">
        <v>0</v>
      </c>
      <c r="L290" t="n">
        <v>0</v>
      </c>
      <c r="M290" t="n">
        <v>0</v>
      </c>
      <c r="N290" t="n">
        <v>0</v>
      </c>
      <c r="O290" t="n">
        <v>0</v>
      </c>
      <c r="P290" t="n">
        <v>0</v>
      </c>
      <c r="Q290" t="n">
        <v>0</v>
      </c>
      <c r="R290" s="2" t="inlineStr"/>
    </row>
    <row r="291" ht="15" customHeight="1">
      <c r="A291" t="inlineStr">
        <is>
          <t>A 33239-2020</t>
        </is>
      </c>
      <c r="B291" s="1" t="n">
        <v>44022</v>
      </c>
      <c r="C291" s="1" t="n">
        <v>45358</v>
      </c>
      <c r="D291" t="inlineStr">
        <is>
          <t>JÄMTLANDS LÄN</t>
        </is>
      </c>
      <c r="E291" t="inlineStr">
        <is>
          <t>ÅRE</t>
        </is>
      </c>
      <c r="G291" t="n">
        <v>3</v>
      </c>
      <c r="H291" t="n">
        <v>0</v>
      </c>
      <c r="I291" t="n">
        <v>0</v>
      </c>
      <c r="J291" t="n">
        <v>0</v>
      </c>
      <c r="K291" t="n">
        <v>0</v>
      </c>
      <c r="L291" t="n">
        <v>0</v>
      </c>
      <c r="M291" t="n">
        <v>0</v>
      </c>
      <c r="N291" t="n">
        <v>0</v>
      </c>
      <c r="O291" t="n">
        <v>0</v>
      </c>
      <c r="P291" t="n">
        <v>0</v>
      </c>
      <c r="Q291" t="n">
        <v>0</v>
      </c>
      <c r="R291" s="2" t="inlineStr"/>
    </row>
    <row r="292" ht="15" customHeight="1">
      <c r="A292" t="inlineStr">
        <is>
          <t>A 33530-2020</t>
        </is>
      </c>
      <c r="B292" s="1" t="n">
        <v>44025</v>
      </c>
      <c r="C292" s="1" t="n">
        <v>45358</v>
      </c>
      <c r="D292" t="inlineStr">
        <is>
          <t>JÄMTLANDS LÄN</t>
        </is>
      </c>
      <c r="E292" t="inlineStr">
        <is>
          <t>ÅRE</t>
        </is>
      </c>
      <c r="G292" t="n">
        <v>3.1</v>
      </c>
      <c r="H292" t="n">
        <v>0</v>
      </c>
      <c r="I292" t="n">
        <v>0</v>
      </c>
      <c r="J292" t="n">
        <v>0</v>
      </c>
      <c r="K292" t="n">
        <v>0</v>
      </c>
      <c r="L292" t="n">
        <v>0</v>
      </c>
      <c r="M292" t="n">
        <v>0</v>
      </c>
      <c r="N292" t="n">
        <v>0</v>
      </c>
      <c r="O292" t="n">
        <v>0</v>
      </c>
      <c r="P292" t="n">
        <v>0</v>
      </c>
      <c r="Q292" t="n">
        <v>0</v>
      </c>
      <c r="R292" s="2" t="inlineStr"/>
    </row>
    <row r="293" ht="15" customHeight="1">
      <c r="A293" t="inlineStr">
        <is>
          <t>A 34013-2020</t>
        </is>
      </c>
      <c r="B293" s="1" t="n">
        <v>44028</v>
      </c>
      <c r="C293" s="1" t="n">
        <v>45358</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34207-2020</t>
        </is>
      </c>
      <c r="B294" s="1" t="n">
        <v>44029</v>
      </c>
      <c r="C294" s="1" t="n">
        <v>45358</v>
      </c>
      <c r="D294" t="inlineStr">
        <is>
          <t>JÄMTLANDS LÄN</t>
        </is>
      </c>
      <c r="E294" t="inlineStr">
        <is>
          <t>ÅRE</t>
        </is>
      </c>
      <c r="G294" t="n">
        <v>10.2</v>
      </c>
      <c r="H294" t="n">
        <v>0</v>
      </c>
      <c r="I294" t="n">
        <v>0</v>
      </c>
      <c r="J294" t="n">
        <v>0</v>
      </c>
      <c r="K294" t="n">
        <v>0</v>
      </c>
      <c r="L294" t="n">
        <v>0</v>
      </c>
      <c r="M294" t="n">
        <v>0</v>
      </c>
      <c r="N294" t="n">
        <v>0</v>
      </c>
      <c r="O294" t="n">
        <v>0</v>
      </c>
      <c r="P294" t="n">
        <v>0</v>
      </c>
      <c r="Q294" t="n">
        <v>0</v>
      </c>
      <c r="R294" s="2" t="inlineStr"/>
    </row>
    <row r="295" ht="15" customHeight="1">
      <c r="A295" t="inlineStr">
        <is>
          <t>A 34529-2020</t>
        </is>
      </c>
      <c r="B295" s="1" t="n">
        <v>44033</v>
      </c>
      <c r="C295" s="1" t="n">
        <v>45358</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34678-2020</t>
        </is>
      </c>
      <c r="B296" s="1" t="n">
        <v>44033</v>
      </c>
      <c r="C296" s="1" t="n">
        <v>45358</v>
      </c>
      <c r="D296" t="inlineStr">
        <is>
          <t>JÄMTLANDS LÄN</t>
        </is>
      </c>
      <c r="E296" t="inlineStr">
        <is>
          <t>ÅRE</t>
        </is>
      </c>
      <c r="G296" t="n">
        <v>2.8</v>
      </c>
      <c r="H296" t="n">
        <v>0</v>
      </c>
      <c r="I296" t="n">
        <v>0</v>
      </c>
      <c r="J296" t="n">
        <v>0</v>
      </c>
      <c r="K296" t="n">
        <v>0</v>
      </c>
      <c r="L296" t="n">
        <v>0</v>
      </c>
      <c r="M296" t="n">
        <v>0</v>
      </c>
      <c r="N296" t="n">
        <v>0</v>
      </c>
      <c r="O296" t="n">
        <v>0</v>
      </c>
      <c r="P296" t="n">
        <v>0</v>
      </c>
      <c r="Q296" t="n">
        <v>0</v>
      </c>
      <c r="R296" s="2" t="inlineStr"/>
    </row>
    <row r="297" ht="15" customHeight="1">
      <c r="A297" t="inlineStr">
        <is>
          <t>A 34640-2020</t>
        </is>
      </c>
      <c r="B297" s="1" t="n">
        <v>44034</v>
      </c>
      <c r="C297" s="1" t="n">
        <v>45358</v>
      </c>
      <c r="D297" t="inlineStr">
        <is>
          <t>JÄMTLANDS LÄN</t>
        </is>
      </c>
      <c r="E297" t="inlineStr">
        <is>
          <t>ÅRE</t>
        </is>
      </c>
      <c r="G297" t="n">
        <v>9.4</v>
      </c>
      <c r="H297" t="n">
        <v>0</v>
      </c>
      <c r="I297" t="n">
        <v>0</v>
      </c>
      <c r="J297" t="n">
        <v>0</v>
      </c>
      <c r="K297" t="n">
        <v>0</v>
      </c>
      <c r="L297" t="n">
        <v>0</v>
      </c>
      <c r="M297" t="n">
        <v>0</v>
      </c>
      <c r="N297" t="n">
        <v>0</v>
      </c>
      <c r="O297" t="n">
        <v>0</v>
      </c>
      <c r="P297" t="n">
        <v>0</v>
      </c>
      <c r="Q297" t="n">
        <v>0</v>
      </c>
      <c r="R297" s="2" t="inlineStr"/>
    </row>
    <row r="298" ht="15" customHeight="1">
      <c r="A298" t="inlineStr">
        <is>
          <t>A 35849-2020</t>
        </is>
      </c>
      <c r="B298" s="1" t="n">
        <v>44047</v>
      </c>
      <c r="C298" s="1" t="n">
        <v>45358</v>
      </c>
      <c r="D298" t="inlineStr">
        <is>
          <t>JÄMTLANDS LÄN</t>
        </is>
      </c>
      <c r="E298" t="inlineStr">
        <is>
          <t>ÅRE</t>
        </is>
      </c>
      <c r="G298" t="n">
        <v>21.3</v>
      </c>
      <c r="H298" t="n">
        <v>0</v>
      </c>
      <c r="I298" t="n">
        <v>0</v>
      </c>
      <c r="J298" t="n">
        <v>0</v>
      </c>
      <c r="K298" t="n">
        <v>0</v>
      </c>
      <c r="L298" t="n">
        <v>0</v>
      </c>
      <c r="M298" t="n">
        <v>0</v>
      </c>
      <c r="N298" t="n">
        <v>0</v>
      </c>
      <c r="O298" t="n">
        <v>0</v>
      </c>
      <c r="P298" t="n">
        <v>0</v>
      </c>
      <c r="Q298" t="n">
        <v>0</v>
      </c>
      <c r="R298" s="2" t="inlineStr"/>
    </row>
    <row r="299" ht="15" customHeight="1">
      <c r="A299" t="inlineStr">
        <is>
          <t>A 36506-2020</t>
        </is>
      </c>
      <c r="B299" s="1" t="n">
        <v>44050</v>
      </c>
      <c r="C299" s="1" t="n">
        <v>45358</v>
      </c>
      <c r="D299" t="inlineStr">
        <is>
          <t>JÄMTLANDS LÄN</t>
        </is>
      </c>
      <c r="E299" t="inlineStr">
        <is>
          <t>ÅRE</t>
        </is>
      </c>
      <c r="G299" t="n">
        <v>0.1</v>
      </c>
      <c r="H299" t="n">
        <v>0</v>
      </c>
      <c r="I299" t="n">
        <v>0</v>
      </c>
      <c r="J299" t="n">
        <v>0</v>
      </c>
      <c r="K299" t="n">
        <v>0</v>
      </c>
      <c r="L299" t="n">
        <v>0</v>
      </c>
      <c r="M299" t="n">
        <v>0</v>
      </c>
      <c r="N299" t="n">
        <v>0</v>
      </c>
      <c r="O299" t="n">
        <v>0</v>
      </c>
      <c r="P299" t="n">
        <v>0</v>
      </c>
      <c r="Q299" t="n">
        <v>0</v>
      </c>
      <c r="R299" s="2" t="inlineStr"/>
    </row>
    <row r="300" ht="15" customHeight="1">
      <c r="A300" t="inlineStr">
        <is>
          <t>A 36501-2020</t>
        </is>
      </c>
      <c r="B300" s="1" t="n">
        <v>44050</v>
      </c>
      <c r="C300" s="1" t="n">
        <v>45358</v>
      </c>
      <c r="D300" t="inlineStr">
        <is>
          <t>JÄMTLANDS LÄN</t>
        </is>
      </c>
      <c r="E300" t="inlineStr">
        <is>
          <t>ÅRE</t>
        </is>
      </c>
      <c r="G300" t="n">
        <v>5.1</v>
      </c>
      <c r="H300" t="n">
        <v>0</v>
      </c>
      <c r="I300" t="n">
        <v>0</v>
      </c>
      <c r="J300" t="n">
        <v>0</v>
      </c>
      <c r="K300" t="n">
        <v>0</v>
      </c>
      <c r="L300" t="n">
        <v>0</v>
      </c>
      <c r="M300" t="n">
        <v>0</v>
      </c>
      <c r="N300" t="n">
        <v>0</v>
      </c>
      <c r="O300" t="n">
        <v>0</v>
      </c>
      <c r="P300" t="n">
        <v>0</v>
      </c>
      <c r="Q300" t="n">
        <v>0</v>
      </c>
      <c r="R300" s="2" t="inlineStr"/>
    </row>
    <row r="301" ht="15" customHeight="1">
      <c r="A301" t="inlineStr">
        <is>
          <t>A 38454-2020</t>
        </is>
      </c>
      <c r="B301" s="1" t="n">
        <v>44060</v>
      </c>
      <c r="C301" s="1" t="n">
        <v>45358</v>
      </c>
      <c r="D301" t="inlineStr">
        <is>
          <t>JÄMTLANDS LÄN</t>
        </is>
      </c>
      <c r="E301" t="inlineStr">
        <is>
          <t>ÅRE</t>
        </is>
      </c>
      <c r="G301" t="n">
        <v>6.9</v>
      </c>
      <c r="H301" t="n">
        <v>0</v>
      </c>
      <c r="I301" t="n">
        <v>0</v>
      </c>
      <c r="J301" t="n">
        <v>0</v>
      </c>
      <c r="K301" t="n">
        <v>0</v>
      </c>
      <c r="L301" t="n">
        <v>0</v>
      </c>
      <c r="M301" t="n">
        <v>0</v>
      </c>
      <c r="N301" t="n">
        <v>0</v>
      </c>
      <c r="O301" t="n">
        <v>0</v>
      </c>
      <c r="P301" t="n">
        <v>0</v>
      </c>
      <c r="Q301" t="n">
        <v>0</v>
      </c>
      <c r="R301" s="2" t="inlineStr"/>
    </row>
    <row r="302" ht="15" customHeight="1">
      <c r="A302" t="inlineStr">
        <is>
          <t>A 38455-2020</t>
        </is>
      </c>
      <c r="B302" s="1" t="n">
        <v>44060</v>
      </c>
      <c r="C302" s="1" t="n">
        <v>45358</v>
      </c>
      <c r="D302" t="inlineStr">
        <is>
          <t>JÄMTLANDS LÄN</t>
        </is>
      </c>
      <c r="E302" t="inlineStr">
        <is>
          <t>ÅRE</t>
        </is>
      </c>
      <c r="G302" t="n">
        <v>2.1</v>
      </c>
      <c r="H302" t="n">
        <v>0</v>
      </c>
      <c r="I302" t="n">
        <v>0</v>
      </c>
      <c r="J302" t="n">
        <v>0</v>
      </c>
      <c r="K302" t="n">
        <v>0</v>
      </c>
      <c r="L302" t="n">
        <v>0</v>
      </c>
      <c r="M302" t="n">
        <v>0</v>
      </c>
      <c r="N302" t="n">
        <v>0</v>
      </c>
      <c r="O302" t="n">
        <v>0</v>
      </c>
      <c r="P302" t="n">
        <v>0</v>
      </c>
      <c r="Q302" t="n">
        <v>0</v>
      </c>
      <c r="R302" s="2" t="inlineStr"/>
    </row>
    <row r="303" ht="15" customHeight="1">
      <c r="A303" t="inlineStr">
        <is>
          <t>A 40148-2020</t>
        </is>
      </c>
      <c r="B303" s="1" t="n">
        <v>44068</v>
      </c>
      <c r="C303" s="1" t="n">
        <v>45358</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42337-2020</t>
        </is>
      </c>
      <c r="B304" s="1" t="n">
        <v>44076</v>
      </c>
      <c r="C304" s="1" t="n">
        <v>45358</v>
      </c>
      <c r="D304" t="inlineStr">
        <is>
          <t>JÄMTLANDS LÄN</t>
        </is>
      </c>
      <c r="E304" t="inlineStr">
        <is>
          <t>ÅRE</t>
        </is>
      </c>
      <c r="G304" t="n">
        <v>3.6</v>
      </c>
      <c r="H304" t="n">
        <v>0</v>
      </c>
      <c r="I304" t="n">
        <v>0</v>
      </c>
      <c r="J304" t="n">
        <v>0</v>
      </c>
      <c r="K304" t="n">
        <v>0</v>
      </c>
      <c r="L304" t="n">
        <v>0</v>
      </c>
      <c r="M304" t="n">
        <v>0</v>
      </c>
      <c r="N304" t="n">
        <v>0</v>
      </c>
      <c r="O304" t="n">
        <v>0</v>
      </c>
      <c r="P304" t="n">
        <v>0</v>
      </c>
      <c r="Q304" t="n">
        <v>0</v>
      </c>
      <c r="R304" s="2" t="inlineStr"/>
    </row>
    <row r="305" ht="15" customHeight="1">
      <c r="A305" t="inlineStr">
        <is>
          <t>A 42643-2020</t>
        </is>
      </c>
      <c r="B305" s="1" t="n">
        <v>44077</v>
      </c>
      <c r="C305" s="1" t="n">
        <v>45358</v>
      </c>
      <c r="D305" t="inlineStr">
        <is>
          <t>JÄMTLANDS LÄN</t>
        </is>
      </c>
      <c r="E305" t="inlineStr">
        <is>
          <t>ÅRE</t>
        </is>
      </c>
      <c r="G305" t="n">
        <v>7.5</v>
      </c>
      <c r="H305" t="n">
        <v>0</v>
      </c>
      <c r="I305" t="n">
        <v>0</v>
      </c>
      <c r="J305" t="n">
        <v>0</v>
      </c>
      <c r="K305" t="n">
        <v>0</v>
      </c>
      <c r="L305" t="n">
        <v>0</v>
      </c>
      <c r="M305" t="n">
        <v>0</v>
      </c>
      <c r="N305" t="n">
        <v>0</v>
      </c>
      <c r="O305" t="n">
        <v>0</v>
      </c>
      <c r="P305" t="n">
        <v>0</v>
      </c>
      <c r="Q305" t="n">
        <v>0</v>
      </c>
      <c r="R305" s="2" t="inlineStr"/>
    </row>
    <row r="306" ht="15" customHeight="1">
      <c r="A306" t="inlineStr">
        <is>
          <t>A 42634-2020</t>
        </is>
      </c>
      <c r="B306" s="1" t="n">
        <v>44077</v>
      </c>
      <c r="C306" s="1" t="n">
        <v>45358</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43167-2020</t>
        </is>
      </c>
      <c r="B307" s="1" t="n">
        <v>44077</v>
      </c>
      <c r="C307" s="1" t="n">
        <v>45358</v>
      </c>
      <c r="D307" t="inlineStr">
        <is>
          <t>JÄMTLANDS LÄN</t>
        </is>
      </c>
      <c r="E307" t="inlineStr">
        <is>
          <t>ÅRE</t>
        </is>
      </c>
      <c r="G307" t="n">
        <v>0.6</v>
      </c>
      <c r="H307" t="n">
        <v>0</v>
      </c>
      <c r="I307" t="n">
        <v>0</v>
      </c>
      <c r="J307" t="n">
        <v>0</v>
      </c>
      <c r="K307" t="n">
        <v>0</v>
      </c>
      <c r="L307" t="n">
        <v>0</v>
      </c>
      <c r="M307" t="n">
        <v>0</v>
      </c>
      <c r="N307" t="n">
        <v>0</v>
      </c>
      <c r="O307" t="n">
        <v>0</v>
      </c>
      <c r="P307" t="n">
        <v>0</v>
      </c>
      <c r="Q307" t="n">
        <v>0</v>
      </c>
      <c r="R307" s="2" t="inlineStr"/>
    </row>
    <row r="308" ht="15" customHeight="1">
      <c r="A308" t="inlineStr">
        <is>
          <t>A 42650-2020</t>
        </is>
      </c>
      <c r="B308" s="1" t="n">
        <v>44077</v>
      </c>
      <c r="C308" s="1" t="n">
        <v>45358</v>
      </c>
      <c r="D308" t="inlineStr">
        <is>
          <t>JÄMTLANDS LÄN</t>
        </is>
      </c>
      <c r="E308" t="inlineStr">
        <is>
          <t>ÅRE</t>
        </is>
      </c>
      <c r="G308" t="n">
        <v>1.4</v>
      </c>
      <c r="H308" t="n">
        <v>0</v>
      </c>
      <c r="I308" t="n">
        <v>0</v>
      </c>
      <c r="J308" t="n">
        <v>0</v>
      </c>
      <c r="K308" t="n">
        <v>0</v>
      </c>
      <c r="L308" t="n">
        <v>0</v>
      </c>
      <c r="M308" t="n">
        <v>0</v>
      </c>
      <c r="N308" t="n">
        <v>0</v>
      </c>
      <c r="O308" t="n">
        <v>0</v>
      </c>
      <c r="P308" t="n">
        <v>0</v>
      </c>
      <c r="Q308" t="n">
        <v>0</v>
      </c>
      <c r="R308" s="2" t="inlineStr"/>
    </row>
    <row r="309" ht="15" customHeight="1">
      <c r="A309" t="inlineStr">
        <is>
          <t>A 46982-2020</t>
        </is>
      </c>
      <c r="B309" s="1" t="n">
        <v>44096</v>
      </c>
      <c r="C309" s="1" t="n">
        <v>45358</v>
      </c>
      <c r="D309" t="inlineStr">
        <is>
          <t>JÄMTLANDS LÄN</t>
        </is>
      </c>
      <c r="E309" t="inlineStr">
        <is>
          <t>ÅRE</t>
        </is>
      </c>
      <c r="G309" t="n">
        <v>2</v>
      </c>
      <c r="H309" t="n">
        <v>0</v>
      </c>
      <c r="I309" t="n">
        <v>0</v>
      </c>
      <c r="J309" t="n">
        <v>0</v>
      </c>
      <c r="K309" t="n">
        <v>0</v>
      </c>
      <c r="L309" t="n">
        <v>0</v>
      </c>
      <c r="M309" t="n">
        <v>0</v>
      </c>
      <c r="N309" t="n">
        <v>0</v>
      </c>
      <c r="O309" t="n">
        <v>0</v>
      </c>
      <c r="P309" t="n">
        <v>0</v>
      </c>
      <c r="Q309" t="n">
        <v>0</v>
      </c>
      <c r="R309" s="2" t="inlineStr"/>
    </row>
    <row r="310" ht="15" customHeight="1">
      <c r="A310" t="inlineStr">
        <is>
          <t>A 48177-2020</t>
        </is>
      </c>
      <c r="B310" s="1" t="n">
        <v>44102</v>
      </c>
      <c r="C310" s="1" t="n">
        <v>45358</v>
      </c>
      <c r="D310" t="inlineStr">
        <is>
          <t>JÄMTLANDS LÄN</t>
        </is>
      </c>
      <c r="E310" t="inlineStr">
        <is>
          <t>ÅRE</t>
        </is>
      </c>
      <c r="G310" t="n">
        <v>1.5</v>
      </c>
      <c r="H310" t="n">
        <v>0</v>
      </c>
      <c r="I310" t="n">
        <v>0</v>
      </c>
      <c r="J310" t="n">
        <v>0</v>
      </c>
      <c r="K310" t="n">
        <v>0</v>
      </c>
      <c r="L310" t="n">
        <v>0</v>
      </c>
      <c r="M310" t="n">
        <v>0</v>
      </c>
      <c r="N310" t="n">
        <v>0</v>
      </c>
      <c r="O310" t="n">
        <v>0</v>
      </c>
      <c r="P310" t="n">
        <v>0</v>
      </c>
      <c r="Q310" t="n">
        <v>0</v>
      </c>
      <c r="R310" s="2" t="inlineStr"/>
    </row>
    <row r="311" ht="15" customHeight="1">
      <c r="A311" t="inlineStr">
        <is>
          <t>A 49661-2020</t>
        </is>
      </c>
      <c r="B311" s="1" t="n">
        <v>44105</v>
      </c>
      <c r="C311" s="1" t="n">
        <v>45358</v>
      </c>
      <c r="D311" t="inlineStr">
        <is>
          <t>JÄMTLANDS LÄN</t>
        </is>
      </c>
      <c r="E311" t="inlineStr">
        <is>
          <t>ÅRE</t>
        </is>
      </c>
      <c r="F311" t="inlineStr">
        <is>
          <t>Övriga Aktiebolag</t>
        </is>
      </c>
      <c r="G311" t="n">
        <v>24.4</v>
      </c>
      <c r="H311" t="n">
        <v>0</v>
      </c>
      <c r="I311" t="n">
        <v>0</v>
      </c>
      <c r="J311" t="n">
        <v>0</v>
      </c>
      <c r="K311" t="n">
        <v>0</v>
      </c>
      <c r="L311" t="n">
        <v>0</v>
      </c>
      <c r="M311" t="n">
        <v>0</v>
      </c>
      <c r="N311" t="n">
        <v>0</v>
      </c>
      <c r="O311" t="n">
        <v>0</v>
      </c>
      <c r="P311" t="n">
        <v>0</v>
      </c>
      <c r="Q311" t="n">
        <v>0</v>
      </c>
      <c r="R311" s="2" t="inlineStr"/>
    </row>
    <row r="312" ht="15" customHeight="1">
      <c r="A312" t="inlineStr">
        <is>
          <t>A 49744-2020</t>
        </is>
      </c>
      <c r="B312" s="1" t="n">
        <v>44106</v>
      </c>
      <c r="C312" s="1" t="n">
        <v>45358</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49748-2020</t>
        </is>
      </c>
      <c r="B313" s="1" t="n">
        <v>44106</v>
      </c>
      <c r="C313" s="1" t="n">
        <v>45358</v>
      </c>
      <c r="D313" t="inlineStr">
        <is>
          <t>JÄMTLANDS LÄN</t>
        </is>
      </c>
      <c r="E313" t="inlineStr">
        <is>
          <t>ÅRE</t>
        </is>
      </c>
      <c r="G313" t="n">
        <v>13.4</v>
      </c>
      <c r="H313" t="n">
        <v>0</v>
      </c>
      <c r="I313" t="n">
        <v>0</v>
      </c>
      <c r="J313" t="n">
        <v>0</v>
      </c>
      <c r="K313" t="n">
        <v>0</v>
      </c>
      <c r="L313" t="n">
        <v>0</v>
      </c>
      <c r="M313" t="n">
        <v>0</v>
      </c>
      <c r="N313" t="n">
        <v>0</v>
      </c>
      <c r="O313" t="n">
        <v>0</v>
      </c>
      <c r="P313" t="n">
        <v>0</v>
      </c>
      <c r="Q313" t="n">
        <v>0</v>
      </c>
      <c r="R313" s="2" t="inlineStr"/>
    </row>
    <row r="314" ht="15" customHeight="1">
      <c r="A314" t="inlineStr">
        <is>
          <t>A 49747-2020</t>
        </is>
      </c>
      <c r="B314" s="1" t="n">
        <v>44106</v>
      </c>
      <c r="C314" s="1" t="n">
        <v>45358</v>
      </c>
      <c r="D314" t="inlineStr">
        <is>
          <t>JÄMTLANDS LÄN</t>
        </is>
      </c>
      <c r="E314" t="inlineStr">
        <is>
          <t>ÅRE</t>
        </is>
      </c>
      <c r="G314" t="n">
        <v>9.4</v>
      </c>
      <c r="H314" t="n">
        <v>0</v>
      </c>
      <c r="I314" t="n">
        <v>0</v>
      </c>
      <c r="J314" t="n">
        <v>0</v>
      </c>
      <c r="K314" t="n">
        <v>0</v>
      </c>
      <c r="L314" t="n">
        <v>0</v>
      </c>
      <c r="M314" t="n">
        <v>0</v>
      </c>
      <c r="N314" t="n">
        <v>0</v>
      </c>
      <c r="O314" t="n">
        <v>0</v>
      </c>
      <c r="P314" t="n">
        <v>0</v>
      </c>
      <c r="Q314" t="n">
        <v>0</v>
      </c>
      <c r="R314" s="2" t="inlineStr"/>
    </row>
    <row r="315" ht="15" customHeight="1">
      <c r="A315" t="inlineStr">
        <is>
          <t>A 52548-2020</t>
        </is>
      </c>
      <c r="B315" s="1" t="n">
        <v>44116</v>
      </c>
      <c r="C315" s="1" t="n">
        <v>45358</v>
      </c>
      <c r="D315" t="inlineStr">
        <is>
          <t>JÄMTLANDS LÄN</t>
        </is>
      </c>
      <c r="E315" t="inlineStr">
        <is>
          <t>ÅRE</t>
        </is>
      </c>
      <c r="G315" t="n">
        <v>7.5</v>
      </c>
      <c r="H315" t="n">
        <v>0</v>
      </c>
      <c r="I315" t="n">
        <v>0</v>
      </c>
      <c r="J315" t="n">
        <v>0</v>
      </c>
      <c r="K315" t="n">
        <v>0</v>
      </c>
      <c r="L315" t="n">
        <v>0</v>
      </c>
      <c r="M315" t="n">
        <v>0</v>
      </c>
      <c r="N315" t="n">
        <v>0</v>
      </c>
      <c r="O315" t="n">
        <v>0</v>
      </c>
      <c r="P315" t="n">
        <v>0</v>
      </c>
      <c r="Q315" t="n">
        <v>0</v>
      </c>
      <c r="R315" s="2" t="inlineStr"/>
    </row>
    <row r="316" ht="15" customHeight="1">
      <c r="A316" t="inlineStr">
        <is>
          <t>A 53042-2020</t>
        </is>
      </c>
      <c r="B316" s="1" t="n">
        <v>44120</v>
      </c>
      <c r="C316" s="1" t="n">
        <v>45358</v>
      </c>
      <c r="D316" t="inlineStr">
        <is>
          <t>JÄMTLANDS LÄN</t>
        </is>
      </c>
      <c r="E316" t="inlineStr">
        <is>
          <t>ÅRE</t>
        </is>
      </c>
      <c r="G316" t="n">
        <v>17.1</v>
      </c>
      <c r="H316" t="n">
        <v>0</v>
      </c>
      <c r="I316" t="n">
        <v>0</v>
      </c>
      <c r="J316" t="n">
        <v>0</v>
      </c>
      <c r="K316" t="n">
        <v>0</v>
      </c>
      <c r="L316" t="n">
        <v>0</v>
      </c>
      <c r="M316" t="n">
        <v>0</v>
      </c>
      <c r="N316" t="n">
        <v>0</v>
      </c>
      <c r="O316" t="n">
        <v>0</v>
      </c>
      <c r="P316" t="n">
        <v>0</v>
      </c>
      <c r="Q316" t="n">
        <v>0</v>
      </c>
      <c r="R316" s="2" t="inlineStr"/>
    </row>
    <row r="317" ht="15" customHeight="1">
      <c r="A317" t="inlineStr">
        <is>
          <t>A 54015-2020</t>
        </is>
      </c>
      <c r="B317" s="1" t="n">
        <v>44125</v>
      </c>
      <c r="C317" s="1" t="n">
        <v>45358</v>
      </c>
      <c r="D317" t="inlineStr">
        <is>
          <t>JÄMTLANDS LÄN</t>
        </is>
      </c>
      <c r="E317" t="inlineStr">
        <is>
          <t>ÅRE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54945-2020</t>
        </is>
      </c>
      <c r="B318" s="1" t="n">
        <v>44129</v>
      </c>
      <c r="C318" s="1" t="n">
        <v>45358</v>
      </c>
      <c r="D318" t="inlineStr">
        <is>
          <t>JÄMTLANDS LÄN</t>
        </is>
      </c>
      <c r="E318" t="inlineStr">
        <is>
          <t>ÅRE</t>
        </is>
      </c>
      <c r="G318" t="n">
        <v>0.7</v>
      </c>
      <c r="H318" t="n">
        <v>0</v>
      </c>
      <c r="I318" t="n">
        <v>0</v>
      </c>
      <c r="J318" t="n">
        <v>0</v>
      </c>
      <c r="K318" t="n">
        <v>0</v>
      </c>
      <c r="L318" t="n">
        <v>0</v>
      </c>
      <c r="M318" t="n">
        <v>0</v>
      </c>
      <c r="N318" t="n">
        <v>0</v>
      </c>
      <c r="O318" t="n">
        <v>0</v>
      </c>
      <c r="P318" t="n">
        <v>0</v>
      </c>
      <c r="Q318" t="n">
        <v>0</v>
      </c>
      <c r="R318" s="2" t="inlineStr"/>
    </row>
    <row r="319" ht="15" customHeight="1">
      <c r="A319" t="inlineStr">
        <is>
          <t>A 54944-2020</t>
        </is>
      </c>
      <c r="B319" s="1" t="n">
        <v>44129</v>
      </c>
      <c r="C319" s="1" t="n">
        <v>45358</v>
      </c>
      <c r="D319" t="inlineStr">
        <is>
          <t>JÄMTLANDS LÄN</t>
        </is>
      </c>
      <c r="E319" t="inlineStr">
        <is>
          <t>ÅRE</t>
        </is>
      </c>
      <c r="G319" t="n">
        <v>0.3</v>
      </c>
      <c r="H319" t="n">
        <v>0</v>
      </c>
      <c r="I319" t="n">
        <v>0</v>
      </c>
      <c r="J319" t="n">
        <v>0</v>
      </c>
      <c r="K319" t="n">
        <v>0</v>
      </c>
      <c r="L319" t="n">
        <v>0</v>
      </c>
      <c r="M319" t="n">
        <v>0</v>
      </c>
      <c r="N319" t="n">
        <v>0</v>
      </c>
      <c r="O319" t="n">
        <v>0</v>
      </c>
      <c r="P319" t="n">
        <v>0</v>
      </c>
      <c r="Q319" t="n">
        <v>0</v>
      </c>
      <c r="R319" s="2" t="inlineStr"/>
    </row>
    <row r="320" ht="15" customHeight="1">
      <c r="A320" t="inlineStr">
        <is>
          <t>A 56352-2020</t>
        </is>
      </c>
      <c r="B320" s="1" t="n">
        <v>44135</v>
      </c>
      <c r="C320" s="1" t="n">
        <v>45358</v>
      </c>
      <c r="D320" t="inlineStr">
        <is>
          <t>JÄMTLANDS LÄN</t>
        </is>
      </c>
      <c r="E320" t="inlineStr">
        <is>
          <t>ÅRE</t>
        </is>
      </c>
      <c r="G320" t="n">
        <v>95.09999999999999</v>
      </c>
      <c r="H320" t="n">
        <v>0</v>
      </c>
      <c r="I320" t="n">
        <v>0</v>
      </c>
      <c r="J320" t="n">
        <v>0</v>
      </c>
      <c r="K320" t="n">
        <v>0</v>
      </c>
      <c r="L320" t="n">
        <v>0</v>
      </c>
      <c r="M320" t="n">
        <v>0</v>
      </c>
      <c r="N320" t="n">
        <v>0</v>
      </c>
      <c r="O320" t="n">
        <v>0</v>
      </c>
      <c r="P320" t="n">
        <v>0</v>
      </c>
      <c r="Q320" t="n">
        <v>0</v>
      </c>
      <c r="R320" s="2" t="inlineStr"/>
    </row>
    <row r="321" ht="15" customHeight="1">
      <c r="A321" t="inlineStr">
        <is>
          <t>A 57578-2020</t>
        </is>
      </c>
      <c r="B321" s="1" t="n">
        <v>44140</v>
      </c>
      <c r="C321" s="1" t="n">
        <v>45358</v>
      </c>
      <c r="D321" t="inlineStr">
        <is>
          <t>JÄMTLANDS LÄN</t>
        </is>
      </c>
      <c r="E321" t="inlineStr">
        <is>
          <t>ÅRE</t>
        </is>
      </c>
      <c r="G321" t="n">
        <v>94.40000000000001</v>
      </c>
      <c r="H321" t="n">
        <v>0</v>
      </c>
      <c r="I321" t="n">
        <v>0</v>
      </c>
      <c r="J321" t="n">
        <v>0</v>
      </c>
      <c r="K321" t="n">
        <v>0</v>
      </c>
      <c r="L321" t="n">
        <v>0</v>
      </c>
      <c r="M321" t="n">
        <v>0</v>
      </c>
      <c r="N321" t="n">
        <v>0</v>
      </c>
      <c r="O321" t="n">
        <v>0</v>
      </c>
      <c r="P321" t="n">
        <v>0</v>
      </c>
      <c r="Q321" t="n">
        <v>0</v>
      </c>
      <c r="R321" s="2" t="inlineStr"/>
    </row>
    <row r="322" ht="15" customHeight="1">
      <c r="A322" t="inlineStr">
        <is>
          <t>A 57594-2020</t>
        </is>
      </c>
      <c r="B322" s="1" t="n">
        <v>44140</v>
      </c>
      <c r="C322" s="1" t="n">
        <v>45358</v>
      </c>
      <c r="D322" t="inlineStr">
        <is>
          <t>JÄMTLANDS LÄN</t>
        </is>
      </c>
      <c r="E322" t="inlineStr">
        <is>
          <t>ÅRE</t>
        </is>
      </c>
      <c r="G322" t="n">
        <v>14.9</v>
      </c>
      <c r="H322" t="n">
        <v>0</v>
      </c>
      <c r="I322" t="n">
        <v>0</v>
      </c>
      <c r="J322" t="n">
        <v>0</v>
      </c>
      <c r="K322" t="n">
        <v>0</v>
      </c>
      <c r="L322" t="n">
        <v>0</v>
      </c>
      <c r="M322" t="n">
        <v>0</v>
      </c>
      <c r="N322" t="n">
        <v>0</v>
      </c>
      <c r="O322" t="n">
        <v>0</v>
      </c>
      <c r="P322" t="n">
        <v>0</v>
      </c>
      <c r="Q322" t="n">
        <v>0</v>
      </c>
      <c r="R322" s="2" t="inlineStr"/>
    </row>
    <row r="323" ht="15" customHeight="1">
      <c r="A323" t="inlineStr">
        <is>
          <t>A 57586-2020</t>
        </is>
      </c>
      <c r="B323" s="1" t="n">
        <v>44140</v>
      </c>
      <c r="C323" s="1" t="n">
        <v>45358</v>
      </c>
      <c r="D323" t="inlineStr">
        <is>
          <t>JÄMTLANDS LÄN</t>
        </is>
      </c>
      <c r="E323" t="inlineStr">
        <is>
          <t>ÅRE</t>
        </is>
      </c>
      <c r="G323" t="n">
        <v>9.5</v>
      </c>
      <c r="H323" t="n">
        <v>0</v>
      </c>
      <c r="I323" t="n">
        <v>0</v>
      </c>
      <c r="J323" t="n">
        <v>0</v>
      </c>
      <c r="K323" t="n">
        <v>0</v>
      </c>
      <c r="L323" t="n">
        <v>0</v>
      </c>
      <c r="M323" t="n">
        <v>0</v>
      </c>
      <c r="N323" t="n">
        <v>0</v>
      </c>
      <c r="O323" t="n">
        <v>0</v>
      </c>
      <c r="P323" t="n">
        <v>0</v>
      </c>
      <c r="Q323" t="n">
        <v>0</v>
      </c>
      <c r="R323" s="2" t="inlineStr"/>
    </row>
    <row r="324" ht="15" customHeight="1">
      <c r="A324" t="inlineStr">
        <is>
          <t>A 58960-2020</t>
        </is>
      </c>
      <c r="B324" s="1" t="n">
        <v>44146</v>
      </c>
      <c r="C324" s="1" t="n">
        <v>45358</v>
      </c>
      <c r="D324" t="inlineStr">
        <is>
          <t>JÄMTLANDS LÄN</t>
        </is>
      </c>
      <c r="E324" t="inlineStr">
        <is>
          <t>ÅRE</t>
        </is>
      </c>
      <c r="G324" t="n">
        <v>5.5</v>
      </c>
      <c r="H324" t="n">
        <v>0</v>
      </c>
      <c r="I324" t="n">
        <v>0</v>
      </c>
      <c r="J324" t="n">
        <v>0</v>
      </c>
      <c r="K324" t="n">
        <v>0</v>
      </c>
      <c r="L324" t="n">
        <v>0</v>
      </c>
      <c r="M324" t="n">
        <v>0</v>
      </c>
      <c r="N324" t="n">
        <v>0</v>
      </c>
      <c r="O324" t="n">
        <v>0</v>
      </c>
      <c r="P324" t="n">
        <v>0</v>
      </c>
      <c r="Q324" t="n">
        <v>0</v>
      </c>
      <c r="R324" s="2" t="inlineStr"/>
    </row>
    <row r="325" ht="15" customHeight="1">
      <c r="A325" t="inlineStr">
        <is>
          <t>A 60016-2020</t>
        </is>
      </c>
      <c r="B325" s="1" t="n">
        <v>44151</v>
      </c>
      <c r="C325" s="1" t="n">
        <v>45358</v>
      </c>
      <c r="D325" t="inlineStr">
        <is>
          <t>JÄMTLANDS LÄN</t>
        </is>
      </c>
      <c r="E325" t="inlineStr">
        <is>
          <t>ÅRE</t>
        </is>
      </c>
      <c r="G325" t="n">
        <v>14.7</v>
      </c>
      <c r="H325" t="n">
        <v>0</v>
      </c>
      <c r="I325" t="n">
        <v>0</v>
      </c>
      <c r="J325" t="n">
        <v>0</v>
      </c>
      <c r="K325" t="n">
        <v>0</v>
      </c>
      <c r="L325" t="n">
        <v>0</v>
      </c>
      <c r="M325" t="n">
        <v>0</v>
      </c>
      <c r="N325" t="n">
        <v>0</v>
      </c>
      <c r="O325" t="n">
        <v>0</v>
      </c>
      <c r="P325" t="n">
        <v>0</v>
      </c>
      <c r="Q325" t="n">
        <v>0</v>
      </c>
      <c r="R325" s="2" t="inlineStr"/>
    </row>
    <row r="326" ht="15" customHeight="1">
      <c r="A326" t="inlineStr">
        <is>
          <t>A 61347-2020</t>
        </is>
      </c>
      <c r="B326" s="1" t="n">
        <v>44155</v>
      </c>
      <c r="C326" s="1" t="n">
        <v>45358</v>
      </c>
      <c r="D326" t="inlineStr">
        <is>
          <t>JÄMTLANDS LÄN</t>
        </is>
      </c>
      <c r="E326" t="inlineStr">
        <is>
          <t>ÅRE</t>
        </is>
      </c>
      <c r="G326" t="n">
        <v>3.1</v>
      </c>
      <c r="H326" t="n">
        <v>0</v>
      </c>
      <c r="I326" t="n">
        <v>0</v>
      </c>
      <c r="J326" t="n">
        <v>0</v>
      </c>
      <c r="K326" t="n">
        <v>0</v>
      </c>
      <c r="L326" t="n">
        <v>0</v>
      </c>
      <c r="M326" t="n">
        <v>0</v>
      </c>
      <c r="N326" t="n">
        <v>0</v>
      </c>
      <c r="O326" t="n">
        <v>0</v>
      </c>
      <c r="P326" t="n">
        <v>0</v>
      </c>
      <c r="Q326" t="n">
        <v>0</v>
      </c>
      <c r="R326" s="2" t="inlineStr"/>
    </row>
    <row r="327" ht="15" customHeight="1">
      <c r="A327" t="inlineStr">
        <is>
          <t>A 61595-2020</t>
        </is>
      </c>
      <c r="B327" s="1" t="n">
        <v>44158</v>
      </c>
      <c r="C327" s="1" t="n">
        <v>45358</v>
      </c>
      <c r="D327" t="inlineStr">
        <is>
          <t>JÄMTLANDS LÄN</t>
        </is>
      </c>
      <c r="E327" t="inlineStr">
        <is>
          <t>ÅRE</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61510-2020</t>
        </is>
      </c>
      <c r="B328" s="1" t="n">
        <v>44158</v>
      </c>
      <c r="C328" s="1" t="n">
        <v>45358</v>
      </c>
      <c r="D328" t="inlineStr">
        <is>
          <t>JÄMTLANDS LÄN</t>
        </is>
      </c>
      <c r="E328" t="inlineStr">
        <is>
          <t>ÅRE</t>
        </is>
      </c>
      <c r="F328" t="inlineStr">
        <is>
          <t>Övriga Aktiebolag</t>
        </is>
      </c>
      <c r="G328" t="n">
        <v>5.9</v>
      </c>
      <c r="H328" t="n">
        <v>0</v>
      </c>
      <c r="I328" t="n">
        <v>0</v>
      </c>
      <c r="J328" t="n">
        <v>0</v>
      </c>
      <c r="K328" t="n">
        <v>0</v>
      </c>
      <c r="L328" t="n">
        <v>0</v>
      </c>
      <c r="M328" t="n">
        <v>0</v>
      </c>
      <c r="N328" t="n">
        <v>0</v>
      </c>
      <c r="O328" t="n">
        <v>0</v>
      </c>
      <c r="P328" t="n">
        <v>0</v>
      </c>
      <c r="Q328" t="n">
        <v>0</v>
      </c>
      <c r="R328" s="2" t="inlineStr"/>
    </row>
    <row r="329" ht="15" customHeight="1">
      <c r="A329" t="inlineStr">
        <is>
          <t>A 64355-2020</t>
        </is>
      </c>
      <c r="B329" s="1" t="n">
        <v>44168</v>
      </c>
      <c r="C329" s="1" t="n">
        <v>45358</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66083-2020</t>
        </is>
      </c>
      <c r="B330" s="1" t="n">
        <v>44172</v>
      </c>
      <c r="C330" s="1" t="n">
        <v>45358</v>
      </c>
      <c r="D330" t="inlineStr">
        <is>
          <t>JÄMTLANDS LÄN</t>
        </is>
      </c>
      <c r="E330" t="inlineStr">
        <is>
          <t>ÅRE</t>
        </is>
      </c>
      <c r="G330" t="n">
        <v>563.3</v>
      </c>
      <c r="H330" t="n">
        <v>0</v>
      </c>
      <c r="I330" t="n">
        <v>0</v>
      </c>
      <c r="J330" t="n">
        <v>0</v>
      </c>
      <c r="K330" t="n">
        <v>0</v>
      </c>
      <c r="L330" t="n">
        <v>0</v>
      </c>
      <c r="M330" t="n">
        <v>0</v>
      </c>
      <c r="N330" t="n">
        <v>0</v>
      </c>
      <c r="O330" t="n">
        <v>0</v>
      </c>
      <c r="P330" t="n">
        <v>0</v>
      </c>
      <c r="Q330" t="n">
        <v>0</v>
      </c>
      <c r="R330" s="2" t="inlineStr"/>
    </row>
    <row r="331" ht="15" customHeight="1">
      <c r="A331" t="inlineStr">
        <is>
          <t>A 65439-2020</t>
        </is>
      </c>
      <c r="B331" s="1" t="n">
        <v>44173</v>
      </c>
      <c r="C331" s="1" t="n">
        <v>45358</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65512-2020</t>
        </is>
      </c>
      <c r="B332" s="1" t="n">
        <v>44173</v>
      </c>
      <c r="C332" s="1" t="n">
        <v>45358</v>
      </c>
      <c r="D332" t="inlineStr">
        <is>
          <t>JÄMTLANDS LÄN</t>
        </is>
      </c>
      <c r="E332" t="inlineStr">
        <is>
          <t>ÅRE</t>
        </is>
      </c>
      <c r="G332" t="n">
        <v>5.6</v>
      </c>
      <c r="H332" t="n">
        <v>0</v>
      </c>
      <c r="I332" t="n">
        <v>0</v>
      </c>
      <c r="J332" t="n">
        <v>0</v>
      </c>
      <c r="K332" t="n">
        <v>0</v>
      </c>
      <c r="L332" t="n">
        <v>0</v>
      </c>
      <c r="M332" t="n">
        <v>0</v>
      </c>
      <c r="N332" t="n">
        <v>0</v>
      </c>
      <c r="O332" t="n">
        <v>0</v>
      </c>
      <c r="P332" t="n">
        <v>0</v>
      </c>
      <c r="Q332" t="n">
        <v>0</v>
      </c>
      <c r="R332" s="2" t="inlineStr"/>
    </row>
    <row r="333" ht="15" customHeight="1">
      <c r="A333" t="inlineStr">
        <is>
          <t>A 65519-2020</t>
        </is>
      </c>
      <c r="B333" s="1" t="n">
        <v>44173</v>
      </c>
      <c r="C333" s="1" t="n">
        <v>45358</v>
      </c>
      <c r="D333" t="inlineStr">
        <is>
          <t>JÄMTLANDS LÄN</t>
        </is>
      </c>
      <c r="E333" t="inlineStr">
        <is>
          <t>ÅRE</t>
        </is>
      </c>
      <c r="G333" t="n">
        <v>1.1</v>
      </c>
      <c r="H333" t="n">
        <v>0</v>
      </c>
      <c r="I333" t="n">
        <v>0</v>
      </c>
      <c r="J333" t="n">
        <v>0</v>
      </c>
      <c r="K333" t="n">
        <v>0</v>
      </c>
      <c r="L333" t="n">
        <v>0</v>
      </c>
      <c r="M333" t="n">
        <v>0</v>
      </c>
      <c r="N333" t="n">
        <v>0</v>
      </c>
      <c r="O333" t="n">
        <v>0</v>
      </c>
      <c r="P333" t="n">
        <v>0</v>
      </c>
      <c r="Q333" t="n">
        <v>0</v>
      </c>
      <c r="R333" s="2" t="inlineStr"/>
    </row>
    <row r="334" ht="15" customHeight="1">
      <c r="A334" t="inlineStr">
        <is>
          <t>A 66755-2020</t>
        </is>
      </c>
      <c r="B334" s="1" t="n">
        <v>44179</v>
      </c>
      <c r="C334" s="1" t="n">
        <v>45358</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66790-2020</t>
        </is>
      </c>
      <c r="B335" s="1" t="n">
        <v>44179</v>
      </c>
      <c r="C335" s="1" t="n">
        <v>45358</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67270-2020</t>
        </is>
      </c>
      <c r="B336" s="1" t="n">
        <v>44179</v>
      </c>
      <c r="C336" s="1" t="n">
        <v>45358</v>
      </c>
      <c r="D336" t="inlineStr">
        <is>
          <t>JÄMTLANDS LÄN</t>
        </is>
      </c>
      <c r="E336" t="inlineStr">
        <is>
          <t>ÅRE</t>
        </is>
      </c>
      <c r="G336" t="n">
        <v>4.2</v>
      </c>
      <c r="H336" t="n">
        <v>0</v>
      </c>
      <c r="I336" t="n">
        <v>0</v>
      </c>
      <c r="J336" t="n">
        <v>0</v>
      </c>
      <c r="K336" t="n">
        <v>0</v>
      </c>
      <c r="L336" t="n">
        <v>0</v>
      </c>
      <c r="M336" t="n">
        <v>0</v>
      </c>
      <c r="N336" t="n">
        <v>0</v>
      </c>
      <c r="O336" t="n">
        <v>0</v>
      </c>
      <c r="P336" t="n">
        <v>0</v>
      </c>
      <c r="Q336" t="n">
        <v>0</v>
      </c>
      <c r="R336" s="2" t="inlineStr"/>
    </row>
    <row r="337" ht="15" customHeight="1">
      <c r="A337" t="inlineStr">
        <is>
          <t>A 67972-2020</t>
        </is>
      </c>
      <c r="B337" s="1" t="n">
        <v>44182</v>
      </c>
      <c r="C337" s="1" t="n">
        <v>45358</v>
      </c>
      <c r="D337" t="inlineStr">
        <is>
          <t>JÄMTLANDS LÄN</t>
        </is>
      </c>
      <c r="E337" t="inlineStr">
        <is>
          <t>ÅRE</t>
        </is>
      </c>
      <c r="G337" t="n">
        <v>6</v>
      </c>
      <c r="H337" t="n">
        <v>0</v>
      </c>
      <c r="I337" t="n">
        <v>0</v>
      </c>
      <c r="J337" t="n">
        <v>0</v>
      </c>
      <c r="K337" t="n">
        <v>0</v>
      </c>
      <c r="L337" t="n">
        <v>0</v>
      </c>
      <c r="M337" t="n">
        <v>0</v>
      </c>
      <c r="N337" t="n">
        <v>0</v>
      </c>
      <c r="O337" t="n">
        <v>0</v>
      </c>
      <c r="P337" t="n">
        <v>0</v>
      </c>
      <c r="Q337" t="n">
        <v>0</v>
      </c>
      <c r="R337" s="2" t="inlineStr"/>
    </row>
    <row r="338" ht="15" customHeight="1">
      <c r="A338" t="inlineStr">
        <is>
          <t>A 68545-2020</t>
        </is>
      </c>
      <c r="B338" s="1" t="n">
        <v>44186</v>
      </c>
      <c r="C338" s="1" t="n">
        <v>45358</v>
      </c>
      <c r="D338" t="inlineStr">
        <is>
          <t>JÄMTLANDS LÄN</t>
        </is>
      </c>
      <c r="E338" t="inlineStr">
        <is>
          <t>ÅRE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68537-2020</t>
        </is>
      </c>
      <c r="B339" s="1" t="n">
        <v>44186</v>
      </c>
      <c r="C339" s="1" t="n">
        <v>45358</v>
      </c>
      <c r="D339" t="inlineStr">
        <is>
          <t>JÄMTLANDS LÄN</t>
        </is>
      </c>
      <c r="E339" t="inlineStr">
        <is>
          <t>ÅRE</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68518-2020</t>
        </is>
      </c>
      <c r="B340" s="1" t="n">
        <v>44186</v>
      </c>
      <c r="C340" s="1" t="n">
        <v>45358</v>
      </c>
      <c r="D340" t="inlineStr">
        <is>
          <t>JÄMTLANDS LÄN</t>
        </is>
      </c>
      <c r="E340" t="inlineStr">
        <is>
          <t>ÅRE</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68594-2020</t>
        </is>
      </c>
      <c r="B341" s="1" t="n">
        <v>44186</v>
      </c>
      <c r="C341" s="1" t="n">
        <v>45358</v>
      </c>
      <c r="D341" t="inlineStr">
        <is>
          <t>JÄMTLANDS LÄN</t>
        </is>
      </c>
      <c r="E341" t="inlineStr">
        <is>
          <t>ÅRE</t>
        </is>
      </c>
      <c r="G341" t="n">
        <v>2.8</v>
      </c>
      <c r="H341" t="n">
        <v>0</v>
      </c>
      <c r="I341" t="n">
        <v>0</v>
      </c>
      <c r="J341" t="n">
        <v>0</v>
      </c>
      <c r="K341" t="n">
        <v>0</v>
      </c>
      <c r="L341" t="n">
        <v>0</v>
      </c>
      <c r="M341" t="n">
        <v>0</v>
      </c>
      <c r="N341" t="n">
        <v>0</v>
      </c>
      <c r="O341" t="n">
        <v>0</v>
      </c>
      <c r="P341" t="n">
        <v>0</v>
      </c>
      <c r="Q341" t="n">
        <v>0</v>
      </c>
      <c r="R341" s="2" t="inlineStr"/>
    </row>
    <row r="342" ht="15" customHeight="1">
      <c r="A342" t="inlineStr">
        <is>
          <t>A 1339-2021</t>
        </is>
      </c>
      <c r="B342" s="1" t="n">
        <v>44208</v>
      </c>
      <c r="C342" s="1" t="n">
        <v>45358</v>
      </c>
      <c r="D342" t="inlineStr">
        <is>
          <t>JÄMTLANDS LÄN</t>
        </is>
      </c>
      <c r="E342" t="inlineStr">
        <is>
          <t>ÅRE</t>
        </is>
      </c>
      <c r="G342" t="n">
        <v>0.9</v>
      </c>
      <c r="H342" t="n">
        <v>0</v>
      </c>
      <c r="I342" t="n">
        <v>0</v>
      </c>
      <c r="J342" t="n">
        <v>0</v>
      </c>
      <c r="K342" t="n">
        <v>0</v>
      </c>
      <c r="L342" t="n">
        <v>0</v>
      </c>
      <c r="M342" t="n">
        <v>0</v>
      </c>
      <c r="N342" t="n">
        <v>0</v>
      </c>
      <c r="O342" t="n">
        <v>0</v>
      </c>
      <c r="P342" t="n">
        <v>0</v>
      </c>
      <c r="Q342" t="n">
        <v>0</v>
      </c>
      <c r="R342" s="2" t="inlineStr"/>
    </row>
    <row r="343" ht="15" customHeight="1">
      <c r="A343" t="inlineStr">
        <is>
          <t>A 4838-2021</t>
        </is>
      </c>
      <c r="B343" s="1" t="n">
        <v>44225</v>
      </c>
      <c r="C343" s="1" t="n">
        <v>45358</v>
      </c>
      <c r="D343" t="inlineStr">
        <is>
          <t>JÄMTLANDS LÄN</t>
        </is>
      </c>
      <c r="E343" t="inlineStr">
        <is>
          <t>ÅRE</t>
        </is>
      </c>
      <c r="G343" t="n">
        <v>12.4</v>
      </c>
      <c r="H343" t="n">
        <v>0</v>
      </c>
      <c r="I343" t="n">
        <v>0</v>
      </c>
      <c r="J343" t="n">
        <v>0</v>
      </c>
      <c r="K343" t="n">
        <v>0</v>
      </c>
      <c r="L343" t="n">
        <v>0</v>
      </c>
      <c r="M343" t="n">
        <v>0</v>
      </c>
      <c r="N343" t="n">
        <v>0</v>
      </c>
      <c r="O343" t="n">
        <v>0</v>
      </c>
      <c r="P343" t="n">
        <v>0</v>
      </c>
      <c r="Q343" t="n">
        <v>0</v>
      </c>
      <c r="R343" s="2" t="inlineStr"/>
    </row>
    <row r="344" ht="15" customHeight="1">
      <c r="A344" t="inlineStr">
        <is>
          <t>A 4870-2021</t>
        </is>
      </c>
      <c r="B344" s="1" t="n">
        <v>44225</v>
      </c>
      <c r="C344" s="1" t="n">
        <v>45358</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5401-2021</t>
        </is>
      </c>
      <c r="B345" s="1" t="n">
        <v>44229</v>
      </c>
      <c r="C345" s="1" t="n">
        <v>45358</v>
      </c>
      <c r="D345" t="inlineStr">
        <is>
          <t>JÄMTLANDS LÄN</t>
        </is>
      </c>
      <c r="E345" t="inlineStr">
        <is>
          <t>ÅRE</t>
        </is>
      </c>
      <c r="G345" t="n">
        <v>10</v>
      </c>
      <c r="H345" t="n">
        <v>0</v>
      </c>
      <c r="I345" t="n">
        <v>0</v>
      </c>
      <c r="J345" t="n">
        <v>0</v>
      </c>
      <c r="K345" t="n">
        <v>0</v>
      </c>
      <c r="L345" t="n">
        <v>0</v>
      </c>
      <c r="M345" t="n">
        <v>0</v>
      </c>
      <c r="N345" t="n">
        <v>0</v>
      </c>
      <c r="O345" t="n">
        <v>0</v>
      </c>
      <c r="P345" t="n">
        <v>0</v>
      </c>
      <c r="Q345" t="n">
        <v>0</v>
      </c>
      <c r="R345" s="2" t="inlineStr"/>
    </row>
    <row r="346" ht="15" customHeight="1">
      <c r="A346" t="inlineStr">
        <is>
          <t>A 5753-2021</t>
        </is>
      </c>
      <c r="B346" s="1" t="n">
        <v>44230</v>
      </c>
      <c r="C346" s="1" t="n">
        <v>45358</v>
      </c>
      <c r="D346" t="inlineStr">
        <is>
          <t>JÄMTLANDS LÄN</t>
        </is>
      </c>
      <c r="E346" t="inlineStr">
        <is>
          <t>ÅRE</t>
        </is>
      </c>
      <c r="G346" t="n">
        <v>1</v>
      </c>
      <c r="H346" t="n">
        <v>0</v>
      </c>
      <c r="I346" t="n">
        <v>0</v>
      </c>
      <c r="J346" t="n">
        <v>0</v>
      </c>
      <c r="K346" t="n">
        <v>0</v>
      </c>
      <c r="L346" t="n">
        <v>0</v>
      </c>
      <c r="M346" t="n">
        <v>0</v>
      </c>
      <c r="N346" t="n">
        <v>0</v>
      </c>
      <c r="O346" t="n">
        <v>0</v>
      </c>
      <c r="P346" t="n">
        <v>0</v>
      </c>
      <c r="Q346" t="n">
        <v>0</v>
      </c>
      <c r="R346" s="2" t="inlineStr"/>
    </row>
    <row r="347" ht="15" customHeight="1">
      <c r="A347" t="inlineStr">
        <is>
          <t>A 8983-2021</t>
        </is>
      </c>
      <c r="B347" s="1" t="n">
        <v>44231</v>
      </c>
      <c r="C347" s="1" t="n">
        <v>45358</v>
      </c>
      <c r="D347" t="inlineStr">
        <is>
          <t>JÄMTLANDS LÄN</t>
        </is>
      </c>
      <c r="E347" t="inlineStr">
        <is>
          <t>ÅRE</t>
        </is>
      </c>
      <c r="G347" t="n">
        <v>4.1</v>
      </c>
      <c r="H347" t="n">
        <v>0</v>
      </c>
      <c r="I347" t="n">
        <v>0</v>
      </c>
      <c r="J347" t="n">
        <v>0</v>
      </c>
      <c r="K347" t="n">
        <v>0</v>
      </c>
      <c r="L347" t="n">
        <v>0</v>
      </c>
      <c r="M347" t="n">
        <v>0</v>
      </c>
      <c r="N347" t="n">
        <v>0</v>
      </c>
      <c r="O347" t="n">
        <v>0</v>
      </c>
      <c r="P347" t="n">
        <v>0</v>
      </c>
      <c r="Q347" t="n">
        <v>0</v>
      </c>
      <c r="R347" s="2" t="inlineStr"/>
    </row>
    <row r="348" ht="15" customHeight="1">
      <c r="A348" t="inlineStr">
        <is>
          <t>A 6232-2021</t>
        </is>
      </c>
      <c r="B348" s="1" t="n">
        <v>44231</v>
      </c>
      <c r="C348" s="1" t="n">
        <v>45358</v>
      </c>
      <c r="D348" t="inlineStr">
        <is>
          <t>JÄMTLANDS LÄN</t>
        </is>
      </c>
      <c r="E348" t="inlineStr">
        <is>
          <t>ÅRE</t>
        </is>
      </c>
      <c r="G348" t="n">
        <v>11.9</v>
      </c>
      <c r="H348" t="n">
        <v>0</v>
      </c>
      <c r="I348" t="n">
        <v>0</v>
      </c>
      <c r="J348" t="n">
        <v>0</v>
      </c>
      <c r="K348" t="n">
        <v>0</v>
      </c>
      <c r="L348" t="n">
        <v>0</v>
      </c>
      <c r="M348" t="n">
        <v>0</v>
      </c>
      <c r="N348" t="n">
        <v>0</v>
      </c>
      <c r="O348" t="n">
        <v>0</v>
      </c>
      <c r="P348" t="n">
        <v>0</v>
      </c>
      <c r="Q348" t="n">
        <v>0</v>
      </c>
      <c r="R348" s="2" t="inlineStr"/>
    </row>
    <row r="349" ht="15" customHeight="1">
      <c r="A349" t="inlineStr">
        <is>
          <t>A 8294-2021</t>
        </is>
      </c>
      <c r="B349" s="1" t="n">
        <v>44243</v>
      </c>
      <c r="C349" s="1" t="n">
        <v>45358</v>
      </c>
      <c r="D349" t="inlineStr">
        <is>
          <t>JÄMTLANDS LÄN</t>
        </is>
      </c>
      <c r="E349" t="inlineStr">
        <is>
          <t>ÅRE</t>
        </is>
      </c>
      <c r="G349" t="n">
        <v>16.5</v>
      </c>
      <c r="H349" t="n">
        <v>0</v>
      </c>
      <c r="I349" t="n">
        <v>0</v>
      </c>
      <c r="J349" t="n">
        <v>0</v>
      </c>
      <c r="K349" t="n">
        <v>0</v>
      </c>
      <c r="L349" t="n">
        <v>0</v>
      </c>
      <c r="M349" t="n">
        <v>0</v>
      </c>
      <c r="N349" t="n">
        <v>0</v>
      </c>
      <c r="O349" t="n">
        <v>0</v>
      </c>
      <c r="P349" t="n">
        <v>0</v>
      </c>
      <c r="Q349" t="n">
        <v>0</v>
      </c>
      <c r="R349" s="2" t="inlineStr"/>
    </row>
    <row r="350" ht="15" customHeight="1">
      <c r="A350" t="inlineStr">
        <is>
          <t>A 8217-2021</t>
        </is>
      </c>
      <c r="B350" s="1" t="n">
        <v>44244</v>
      </c>
      <c r="C350" s="1" t="n">
        <v>45358</v>
      </c>
      <c r="D350" t="inlineStr">
        <is>
          <t>JÄMTLANDS LÄN</t>
        </is>
      </c>
      <c r="E350" t="inlineStr">
        <is>
          <t>ÅRE</t>
        </is>
      </c>
      <c r="G350" t="n">
        <v>51.8</v>
      </c>
      <c r="H350" t="n">
        <v>0</v>
      </c>
      <c r="I350" t="n">
        <v>0</v>
      </c>
      <c r="J350" t="n">
        <v>0</v>
      </c>
      <c r="K350" t="n">
        <v>0</v>
      </c>
      <c r="L350" t="n">
        <v>0</v>
      </c>
      <c r="M350" t="n">
        <v>0</v>
      </c>
      <c r="N350" t="n">
        <v>0</v>
      </c>
      <c r="O350" t="n">
        <v>0</v>
      </c>
      <c r="P350" t="n">
        <v>0</v>
      </c>
      <c r="Q350" t="n">
        <v>0</v>
      </c>
      <c r="R350" s="2" t="inlineStr"/>
    </row>
    <row r="351" ht="15" customHeight="1">
      <c r="A351" t="inlineStr">
        <is>
          <t>A 8668-2021</t>
        </is>
      </c>
      <c r="B351" s="1" t="n">
        <v>44246</v>
      </c>
      <c r="C351" s="1" t="n">
        <v>45358</v>
      </c>
      <c r="D351" t="inlineStr">
        <is>
          <t>JÄMTLANDS LÄN</t>
        </is>
      </c>
      <c r="E351" t="inlineStr">
        <is>
          <t>ÅRE</t>
        </is>
      </c>
      <c r="G351" t="n">
        <v>19.5</v>
      </c>
      <c r="H351" t="n">
        <v>0</v>
      </c>
      <c r="I351" t="n">
        <v>0</v>
      </c>
      <c r="J351" t="n">
        <v>0</v>
      </c>
      <c r="K351" t="n">
        <v>0</v>
      </c>
      <c r="L351" t="n">
        <v>0</v>
      </c>
      <c r="M351" t="n">
        <v>0</v>
      </c>
      <c r="N351" t="n">
        <v>0</v>
      </c>
      <c r="O351" t="n">
        <v>0</v>
      </c>
      <c r="P351" t="n">
        <v>0</v>
      </c>
      <c r="Q351" t="n">
        <v>0</v>
      </c>
      <c r="R351" s="2" t="inlineStr"/>
    </row>
    <row r="352" ht="15" customHeight="1">
      <c r="A352" t="inlineStr">
        <is>
          <t>A 9613-2021</t>
        </is>
      </c>
      <c r="B352" s="1" t="n">
        <v>44251</v>
      </c>
      <c r="C352" s="1" t="n">
        <v>45358</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9777-2021</t>
        </is>
      </c>
      <c r="B353" s="1" t="n">
        <v>44252</v>
      </c>
      <c r="C353" s="1" t="n">
        <v>45358</v>
      </c>
      <c r="D353" t="inlineStr">
        <is>
          <t>JÄMTLANDS LÄN</t>
        </is>
      </c>
      <c r="E353" t="inlineStr">
        <is>
          <t>ÅRE</t>
        </is>
      </c>
      <c r="G353" t="n">
        <v>4.2</v>
      </c>
      <c r="H353" t="n">
        <v>0</v>
      </c>
      <c r="I353" t="n">
        <v>0</v>
      </c>
      <c r="J353" t="n">
        <v>0</v>
      </c>
      <c r="K353" t="n">
        <v>0</v>
      </c>
      <c r="L353" t="n">
        <v>0</v>
      </c>
      <c r="M353" t="n">
        <v>0</v>
      </c>
      <c r="N353" t="n">
        <v>0</v>
      </c>
      <c r="O353" t="n">
        <v>0</v>
      </c>
      <c r="P353" t="n">
        <v>0</v>
      </c>
      <c r="Q353" t="n">
        <v>0</v>
      </c>
      <c r="R353" s="2" t="inlineStr"/>
    </row>
    <row r="354" ht="15" customHeight="1">
      <c r="A354" t="inlineStr">
        <is>
          <t>A 10191-2021</t>
        </is>
      </c>
      <c r="B354" s="1" t="n">
        <v>44256</v>
      </c>
      <c r="C354" s="1" t="n">
        <v>45358</v>
      </c>
      <c r="D354" t="inlineStr">
        <is>
          <t>JÄMTLANDS LÄN</t>
        </is>
      </c>
      <c r="E354" t="inlineStr">
        <is>
          <t>ÅRE</t>
        </is>
      </c>
      <c r="G354" t="n">
        <v>2.3</v>
      </c>
      <c r="H354" t="n">
        <v>0</v>
      </c>
      <c r="I354" t="n">
        <v>0</v>
      </c>
      <c r="J354" t="n">
        <v>0</v>
      </c>
      <c r="K354" t="n">
        <v>0</v>
      </c>
      <c r="L354" t="n">
        <v>0</v>
      </c>
      <c r="M354" t="n">
        <v>0</v>
      </c>
      <c r="N354" t="n">
        <v>0</v>
      </c>
      <c r="O354" t="n">
        <v>0</v>
      </c>
      <c r="P354" t="n">
        <v>0</v>
      </c>
      <c r="Q354" t="n">
        <v>0</v>
      </c>
      <c r="R354" s="2" t="inlineStr"/>
    </row>
    <row r="355" ht="15" customHeight="1">
      <c r="A355" t="inlineStr">
        <is>
          <t>A 10285-2021</t>
        </is>
      </c>
      <c r="B355" s="1" t="n">
        <v>44257</v>
      </c>
      <c r="C355" s="1" t="n">
        <v>45358</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10283-2021</t>
        </is>
      </c>
      <c r="B356" s="1" t="n">
        <v>44257</v>
      </c>
      <c r="C356" s="1" t="n">
        <v>45358</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12387-2021</t>
        </is>
      </c>
      <c r="B357" s="1" t="n">
        <v>44267</v>
      </c>
      <c r="C357" s="1" t="n">
        <v>45358</v>
      </c>
      <c r="D357" t="inlineStr">
        <is>
          <t>JÄMTLANDS LÄN</t>
        </is>
      </c>
      <c r="E357" t="inlineStr">
        <is>
          <t>ÅRE</t>
        </is>
      </c>
      <c r="G357" t="n">
        <v>3.4</v>
      </c>
      <c r="H357" t="n">
        <v>0</v>
      </c>
      <c r="I357" t="n">
        <v>0</v>
      </c>
      <c r="J357" t="n">
        <v>0</v>
      </c>
      <c r="K357" t="n">
        <v>0</v>
      </c>
      <c r="L357" t="n">
        <v>0</v>
      </c>
      <c r="M357" t="n">
        <v>0</v>
      </c>
      <c r="N357" t="n">
        <v>0</v>
      </c>
      <c r="O357" t="n">
        <v>0</v>
      </c>
      <c r="P357" t="n">
        <v>0</v>
      </c>
      <c r="Q357" t="n">
        <v>0</v>
      </c>
      <c r="R357" s="2" t="inlineStr"/>
    </row>
    <row r="358" ht="15" customHeight="1">
      <c r="A358" t="inlineStr">
        <is>
          <t>A 12857-2021</t>
        </is>
      </c>
      <c r="B358" s="1" t="n">
        <v>44270</v>
      </c>
      <c r="C358" s="1" t="n">
        <v>45358</v>
      </c>
      <c r="D358" t="inlineStr">
        <is>
          <t>JÄMTLANDS LÄN</t>
        </is>
      </c>
      <c r="E358" t="inlineStr">
        <is>
          <t>ÅRE</t>
        </is>
      </c>
      <c r="F358" t="inlineStr">
        <is>
          <t>Kommuner</t>
        </is>
      </c>
      <c r="G358" t="n">
        <v>17.2</v>
      </c>
      <c r="H358" t="n">
        <v>0</v>
      </c>
      <c r="I358" t="n">
        <v>0</v>
      </c>
      <c r="J358" t="n">
        <v>0</v>
      </c>
      <c r="K358" t="n">
        <v>0</v>
      </c>
      <c r="L358" t="n">
        <v>0</v>
      </c>
      <c r="M358" t="n">
        <v>0</v>
      </c>
      <c r="N358" t="n">
        <v>0</v>
      </c>
      <c r="O358" t="n">
        <v>0</v>
      </c>
      <c r="P358" t="n">
        <v>0</v>
      </c>
      <c r="Q358" t="n">
        <v>0</v>
      </c>
      <c r="R358" s="2" t="inlineStr"/>
    </row>
    <row r="359" ht="15" customHeight="1">
      <c r="A359" t="inlineStr">
        <is>
          <t>A 12827-2021</t>
        </is>
      </c>
      <c r="B359" s="1" t="n">
        <v>44271</v>
      </c>
      <c r="C359" s="1" t="n">
        <v>45358</v>
      </c>
      <c r="D359" t="inlineStr">
        <is>
          <t>JÄMTLANDS LÄN</t>
        </is>
      </c>
      <c r="E359" t="inlineStr">
        <is>
          <t>ÅRE</t>
        </is>
      </c>
      <c r="G359" t="n">
        <v>1.5</v>
      </c>
      <c r="H359" t="n">
        <v>0</v>
      </c>
      <c r="I359" t="n">
        <v>0</v>
      </c>
      <c r="J359" t="n">
        <v>0</v>
      </c>
      <c r="K359" t="n">
        <v>0</v>
      </c>
      <c r="L359" t="n">
        <v>0</v>
      </c>
      <c r="M359" t="n">
        <v>0</v>
      </c>
      <c r="N359" t="n">
        <v>0</v>
      </c>
      <c r="O359" t="n">
        <v>0</v>
      </c>
      <c r="P359" t="n">
        <v>0</v>
      </c>
      <c r="Q359" t="n">
        <v>0</v>
      </c>
      <c r="R359" s="2" t="inlineStr"/>
    </row>
    <row r="360" ht="15" customHeight="1">
      <c r="A360" t="inlineStr">
        <is>
          <t>A 14202-2021</t>
        </is>
      </c>
      <c r="B360" s="1" t="n">
        <v>44278</v>
      </c>
      <c r="C360" s="1" t="n">
        <v>45358</v>
      </c>
      <c r="D360" t="inlineStr">
        <is>
          <t>JÄMTLANDS LÄN</t>
        </is>
      </c>
      <c r="E360" t="inlineStr">
        <is>
          <t>ÅRE</t>
        </is>
      </c>
      <c r="G360" t="n">
        <v>17.8</v>
      </c>
      <c r="H360" t="n">
        <v>0</v>
      </c>
      <c r="I360" t="n">
        <v>0</v>
      </c>
      <c r="J360" t="n">
        <v>0</v>
      </c>
      <c r="K360" t="n">
        <v>0</v>
      </c>
      <c r="L360" t="n">
        <v>0</v>
      </c>
      <c r="M360" t="n">
        <v>0</v>
      </c>
      <c r="N360" t="n">
        <v>0</v>
      </c>
      <c r="O360" t="n">
        <v>0</v>
      </c>
      <c r="P360" t="n">
        <v>0</v>
      </c>
      <c r="Q360" t="n">
        <v>0</v>
      </c>
      <c r="R360" s="2" t="inlineStr"/>
    </row>
    <row r="361" ht="15" customHeight="1">
      <c r="A361" t="inlineStr">
        <is>
          <t>A 14210-2021</t>
        </is>
      </c>
      <c r="B361" s="1" t="n">
        <v>44278</v>
      </c>
      <c r="C361" s="1" t="n">
        <v>45358</v>
      </c>
      <c r="D361" t="inlineStr">
        <is>
          <t>JÄMTLANDS LÄN</t>
        </is>
      </c>
      <c r="E361" t="inlineStr">
        <is>
          <t>ÅRE</t>
        </is>
      </c>
      <c r="G361" t="n">
        <v>5.3</v>
      </c>
      <c r="H361" t="n">
        <v>0</v>
      </c>
      <c r="I361" t="n">
        <v>0</v>
      </c>
      <c r="J361" t="n">
        <v>0</v>
      </c>
      <c r="K361" t="n">
        <v>0</v>
      </c>
      <c r="L361" t="n">
        <v>0</v>
      </c>
      <c r="M361" t="n">
        <v>0</v>
      </c>
      <c r="N361" t="n">
        <v>0</v>
      </c>
      <c r="O361" t="n">
        <v>0</v>
      </c>
      <c r="P361" t="n">
        <v>0</v>
      </c>
      <c r="Q361" t="n">
        <v>0</v>
      </c>
      <c r="R361" s="2" t="inlineStr"/>
    </row>
    <row r="362" ht="15" customHeight="1">
      <c r="A362" t="inlineStr">
        <is>
          <t>A 14204-2021</t>
        </is>
      </c>
      <c r="B362" s="1" t="n">
        <v>44278</v>
      </c>
      <c r="C362" s="1" t="n">
        <v>45358</v>
      </c>
      <c r="D362" t="inlineStr">
        <is>
          <t>JÄMTLANDS LÄN</t>
        </is>
      </c>
      <c r="E362" t="inlineStr">
        <is>
          <t>ÅRE</t>
        </is>
      </c>
      <c r="G362" t="n">
        <v>24.6</v>
      </c>
      <c r="H362" t="n">
        <v>0</v>
      </c>
      <c r="I362" t="n">
        <v>0</v>
      </c>
      <c r="J362" t="n">
        <v>0</v>
      </c>
      <c r="K362" t="n">
        <v>0</v>
      </c>
      <c r="L362" t="n">
        <v>0</v>
      </c>
      <c r="M362" t="n">
        <v>0</v>
      </c>
      <c r="N362" t="n">
        <v>0</v>
      </c>
      <c r="O362" t="n">
        <v>0</v>
      </c>
      <c r="P362" t="n">
        <v>0</v>
      </c>
      <c r="Q362" t="n">
        <v>0</v>
      </c>
      <c r="R362" s="2" t="inlineStr"/>
    </row>
    <row r="363" ht="15" customHeight="1">
      <c r="A363" t="inlineStr">
        <is>
          <t>A 14826-2021</t>
        </is>
      </c>
      <c r="B363" s="1" t="n">
        <v>44280</v>
      </c>
      <c r="C363" s="1" t="n">
        <v>45358</v>
      </c>
      <c r="D363" t="inlineStr">
        <is>
          <t>JÄMTLANDS LÄN</t>
        </is>
      </c>
      <c r="E363" t="inlineStr">
        <is>
          <t>ÅRE</t>
        </is>
      </c>
      <c r="G363" t="n">
        <v>1.1</v>
      </c>
      <c r="H363" t="n">
        <v>0</v>
      </c>
      <c r="I363" t="n">
        <v>0</v>
      </c>
      <c r="J363" t="n">
        <v>0</v>
      </c>
      <c r="K363" t="n">
        <v>0</v>
      </c>
      <c r="L363" t="n">
        <v>0</v>
      </c>
      <c r="M363" t="n">
        <v>0</v>
      </c>
      <c r="N363" t="n">
        <v>0</v>
      </c>
      <c r="O363" t="n">
        <v>0</v>
      </c>
      <c r="P363" t="n">
        <v>0</v>
      </c>
      <c r="Q363" t="n">
        <v>0</v>
      </c>
      <c r="R363" s="2" t="inlineStr"/>
    </row>
    <row r="364" ht="15" customHeight="1">
      <c r="A364" t="inlineStr">
        <is>
          <t>A 15305-2021</t>
        </is>
      </c>
      <c r="B364" s="1" t="n">
        <v>44284</v>
      </c>
      <c r="C364" s="1" t="n">
        <v>45358</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16625-2021</t>
        </is>
      </c>
      <c r="B365" s="1" t="n">
        <v>44294</v>
      </c>
      <c r="C365" s="1" t="n">
        <v>45358</v>
      </c>
      <c r="D365" t="inlineStr">
        <is>
          <t>JÄMTLANDS LÄN</t>
        </is>
      </c>
      <c r="E365" t="inlineStr">
        <is>
          <t>ÅRE</t>
        </is>
      </c>
      <c r="F365" t="inlineStr">
        <is>
          <t>Övriga Aktiebolag</t>
        </is>
      </c>
      <c r="G365" t="n">
        <v>0.1</v>
      </c>
      <c r="H365" t="n">
        <v>0</v>
      </c>
      <c r="I365" t="n">
        <v>0</v>
      </c>
      <c r="J365" t="n">
        <v>0</v>
      </c>
      <c r="K365" t="n">
        <v>0</v>
      </c>
      <c r="L365" t="n">
        <v>0</v>
      </c>
      <c r="M365" t="n">
        <v>0</v>
      </c>
      <c r="N365" t="n">
        <v>0</v>
      </c>
      <c r="O365" t="n">
        <v>0</v>
      </c>
      <c r="P365" t="n">
        <v>0</v>
      </c>
      <c r="Q365" t="n">
        <v>0</v>
      </c>
      <c r="R365" s="2" t="inlineStr"/>
    </row>
    <row r="366" ht="15" customHeight="1">
      <c r="A366" t="inlineStr">
        <is>
          <t>A 17883-2021</t>
        </is>
      </c>
      <c r="B366" s="1" t="n">
        <v>44301</v>
      </c>
      <c r="C366" s="1" t="n">
        <v>45358</v>
      </c>
      <c r="D366" t="inlineStr">
        <is>
          <t>JÄMTLANDS LÄN</t>
        </is>
      </c>
      <c r="E366" t="inlineStr">
        <is>
          <t>ÅRE</t>
        </is>
      </c>
      <c r="F366" t="inlineStr">
        <is>
          <t>Övriga Aktiebolag</t>
        </is>
      </c>
      <c r="G366" t="n">
        <v>6.7</v>
      </c>
      <c r="H366" t="n">
        <v>0</v>
      </c>
      <c r="I366" t="n">
        <v>0</v>
      </c>
      <c r="J366" t="n">
        <v>0</v>
      </c>
      <c r="K366" t="n">
        <v>0</v>
      </c>
      <c r="L366" t="n">
        <v>0</v>
      </c>
      <c r="M366" t="n">
        <v>0</v>
      </c>
      <c r="N366" t="n">
        <v>0</v>
      </c>
      <c r="O366" t="n">
        <v>0</v>
      </c>
      <c r="P366" t="n">
        <v>0</v>
      </c>
      <c r="Q366" t="n">
        <v>0</v>
      </c>
      <c r="R366" s="2" t="inlineStr"/>
    </row>
    <row r="367" ht="15" customHeight="1">
      <c r="A367" t="inlineStr">
        <is>
          <t>A 18374-2021</t>
        </is>
      </c>
      <c r="B367" s="1" t="n">
        <v>44305</v>
      </c>
      <c r="C367" s="1" t="n">
        <v>45358</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18531-2021</t>
        </is>
      </c>
      <c r="B368" s="1" t="n">
        <v>44306</v>
      </c>
      <c r="C368" s="1" t="n">
        <v>45358</v>
      </c>
      <c r="D368" t="inlineStr">
        <is>
          <t>JÄMTLANDS LÄN</t>
        </is>
      </c>
      <c r="E368" t="inlineStr">
        <is>
          <t>ÅRE</t>
        </is>
      </c>
      <c r="G368" t="n">
        <v>4</v>
      </c>
      <c r="H368" t="n">
        <v>0</v>
      </c>
      <c r="I368" t="n">
        <v>0</v>
      </c>
      <c r="J368" t="n">
        <v>0</v>
      </c>
      <c r="K368" t="n">
        <v>0</v>
      </c>
      <c r="L368" t="n">
        <v>0</v>
      </c>
      <c r="M368" t="n">
        <v>0</v>
      </c>
      <c r="N368" t="n">
        <v>0</v>
      </c>
      <c r="O368" t="n">
        <v>0</v>
      </c>
      <c r="P368" t="n">
        <v>0</v>
      </c>
      <c r="Q368" t="n">
        <v>0</v>
      </c>
      <c r="R368" s="2" t="inlineStr"/>
    </row>
    <row r="369" ht="15" customHeight="1">
      <c r="A369" t="inlineStr">
        <is>
          <t>A 18792-2021</t>
        </is>
      </c>
      <c r="B369" s="1" t="n">
        <v>44307</v>
      </c>
      <c r="C369" s="1" t="n">
        <v>45358</v>
      </c>
      <c r="D369" t="inlineStr">
        <is>
          <t>JÄMTLANDS LÄN</t>
        </is>
      </c>
      <c r="E369" t="inlineStr">
        <is>
          <t>ÅRE</t>
        </is>
      </c>
      <c r="G369" t="n">
        <v>16.6</v>
      </c>
      <c r="H369" t="n">
        <v>0</v>
      </c>
      <c r="I369" t="n">
        <v>0</v>
      </c>
      <c r="J369" t="n">
        <v>0</v>
      </c>
      <c r="K369" t="n">
        <v>0</v>
      </c>
      <c r="L369" t="n">
        <v>0</v>
      </c>
      <c r="M369" t="n">
        <v>0</v>
      </c>
      <c r="N369" t="n">
        <v>0</v>
      </c>
      <c r="O369" t="n">
        <v>0</v>
      </c>
      <c r="P369" t="n">
        <v>0</v>
      </c>
      <c r="Q369" t="n">
        <v>0</v>
      </c>
      <c r="R369" s="2" t="inlineStr"/>
    </row>
    <row r="370" ht="15" customHeight="1">
      <c r="A370" t="inlineStr">
        <is>
          <t>A 19275-2021</t>
        </is>
      </c>
      <c r="B370" s="1" t="n">
        <v>44309</v>
      </c>
      <c r="C370" s="1" t="n">
        <v>45358</v>
      </c>
      <c r="D370" t="inlineStr">
        <is>
          <t>JÄMTLANDS LÄN</t>
        </is>
      </c>
      <c r="E370" t="inlineStr">
        <is>
          <t>ÅRE</t>
        </is>
      </c>
      <c r="G370" t="n">
        <v>16.4</v>
      </c>
      <c r="H370" t="n">
        <v>0</v>
      </c>
      <c r="I370" t="n">
        <v>0</v>
      </c>
      <c r="J370" t="n">
        <v>0</v>
      </c>
      <c r="K370" t="n">
        <v>0</v>
      </c>
      <c r="L370" t="n">
        <v>0</v>
      </c>
      <c r="M370" t="n">
        <v>0</v>
      </c>
      <c r="N370" t="n">
        <v>0</v>
      </c>
      <c r="O370" t="n">
        <v>0</v>
      </c>
      <c r="P370" t="n">
        <v>0</v>
      </c>
      <c r="Q370" t="n">
        <v>0</v>
      </c>
      <c r="R370" s="2" t="inlineStr"/>
    </row>
    <row r="371" ht="15" customHeight="1">
      <c r="A371" t="inlineStr">
        <is>
          <t>A 20501-2021</t>
        </is>
      </c>
      <c r="B371" s="1" t="n">
        <v>44315</v>
      </c>
      <c r="C371" s="1" t="n">
        <v>45358</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21897-2021</t>
        </is>
      </c>
      <c r="B372" s="1" t="n">
        <v>44322</v>
      </c>
      <c r="C372" s="1" t="n">
        <v>45358</v>
      </c>
      <c r="D372" t="inlineStr">
        <is>
          <t>JÄMTLANDS LÄN</t>
        </is>
      </c>
      <c r="E372" t="inlineStr">
        <is>
          <t>ÅRE</t>
        </is>
      </c>
      <c r="G372" t="n">
        <v>41.4</v>
      </c>
      <c r="H372" t="n">
        <v>0</v>
      </c>
      <c r="I372" t="n">
        <v>0</v>
      </c>
      <c r="J372" t="n">
        <v>0</v>
      </c>
      <c r="K372" t="n">
        <v>0</v>
      </c>
      <c r="L372" t="n">
        <v>0</v>
      </c>
      <c r="M372" t="n">
        <v>0</v>
      </c>
      <c r="N372" t="n">
        <v>0</v>
      </c>
      <c r="O372" t="n">
        <v>0</v>
      </c>
      <c r="P372" t="n">
        <v>0</v>
      </c>
      <c r="Q372" t="n">
        <v>0</v>
      </c>
      <c r="R372" s="2" t="inlineStr"/>
    </row>
    <row r="373" ht="15" customHeight="1">
      <c r="A373" t="inlineStr">
        <is>
          <t>A 21905-2021</t>
        </is>
      </c>
      <c r="B373" s="1" t="n">
        <v>44322</v>
      </c>
      <c r="C373" s="1" t="n">
        <v>45358</v>
      </c>
      <c r="D373" t="inlineStr">
        <is>
          <t>JÄMTLANDS LÄN</t>
        </is>
      </c>
      <c r="E373" t="inlineStr">
        <is>
          <t>ÅRE</t>
        </is>
      </c>
      <c r="G373" t="n">
        <v>14.3</v>
      </c>
      <c r="H373" t="n">
        <v>0</v>
      </c>
      <c r="I373" t="n">
        <v>0</v>
      </c>
      <c r="J373" t="n">
        <v>0</v>
      </c>
      <c r="K373" t="n">
        <v>0</v>
      </c>
      <c r="L373" t="n">
        <v>0</v>
      </c>
      <c r="M373" t="n">
        <v>0</v>
      </c>
      <c r="N373" t="n">
        <v>0</v>
      </c>
      <c r="O373" t="n">
        <v>0</v>
      </c>
      <c r="P373" t="n">
        <v>0</v>
      </c>
      <c r="Q373" t="n">
        <v>0</v>
      </c>
      <c r="R373" s="2" t="inlineStr"/>
    </row>
    <row r="374" ht="15" customHeight="1">
      <c r="A374" t="inlineStr">
        <is>
          <t>A 22707-2021</t>
        </is>
      </c>
      <c r="B374" s="1" t="n">
        <v>44323</v>
      </c>
      <c r="C374" s="1" t="n">
        <v>45358</v>
      </c>
      <c r="D374" t="inlineStr">
        <is>
          <t>JÄMTLANDS LÄN</t>
        </is>
      </c>
      <c r="E374" t="inlineStr">
        <is>
          <t>ÅRE</t>
        </is>
      </c>
      <c r="G374" t="n">
        <v>6.3</v>
      </c>
      <c r="H374" t="n">
        <v>0</v>
      </c>
      <c r="I374" t="n">
        <v>0</v>
      </c>
      <c r="J374" t="n">
        <v>0</v>
      </c>
      <c r="K374" t="n">
        <v>0</v>
      </c>
      <c r="L374" t="n">
        <v>0</v>
      </c>
      <c r="M374" t="n">
        <v>0</v>
      </c>
      <c r="N374" t="n">
        <v>0</v>
      </c>
      <c r="O374" t="n">
        <v>0</v>
      </c>
      <c r="P374" t="n">
        <v>0</v>
      </c>
      <c r="Q374" t="n">
        <v>0</v>
      </c>
      <c r="R374" s="2" t="inlineStr"/>
    </row>
    <row r="375" ht="15" customHeight="1">
      <c r="A375" t="inlineStr">
        <is>
          <t>A 22505-2021</t>
        </is>
      </c>
      <c r="B375" s="1" t="n">
        <v>44326</v>
      </c>
      <c r="C375" s="1" t="n">
        <v>45358</v>
      </c>
      <c r="D375" t="inlineStr">
        <is>
          <t>JÄMTLANDS LÄN</t>
        </is>
      </c>
      <c r="E375" t="inlineStr">
        <is>
          <t>ÅRE</t>
        </is>
      </c>
      <c r="G375" t="n">
        <v>0.6</v>
      </c>
      <c r="H375" t="n">
        <v>0</v>
      </c>
      <c r="I375" t="n">
        <v>0</v>
      </c>
      <c r="J375" t="n">
        <v>0</v>
      </c>
      <c r="K375" t="n">
        <v>0</v>
      </c>
      <c r="L375" t="n">
        <v>0</v>
      </c>
      <c r="M375" t="n">
        <v>0</v>
      </c>
      <c r="N375" t="n">
        <v>0</v>
      </c>
      <c r="O375" t="n">
        <v>0</v>
      </c>
      <c r="P375" t="n">
        <v>0</v>
      </c>
      <c r="Q375" t="n">
        <v>0</v>
      </c>
      <c r="R375" s="2" t="inlineStr"/>
    </row>
    <row r="376" ht="15" customHeight="1">
      <c r="A376" t="inlineStr">
        <is>
          <t>A 23561-2021</t>
        </is>
      </c>
      <c r="B376" s="1" t="n">
        <v>44334</v>
      </c>
      <c r="C376" s="1" t="n">
        <v>45358</v>
      </c>
      <c r="D376" t="inlineStr">
        <is>
          <t>JÄMTLANDS LÄN</t>
        </is>
      </c>
      <c r="E376" t="inlineStr">
        <is>
          <t>ÅRE</t>
        </is>
      </c>
      <c r="G376" t="n">
        <v>8.5</v>
      </c>
      <c r="H376" t="n">
        <v>0</v>
      </c>
      <c r="I376" t="n">
        <v>0</v>
      </c>
      <c r="J376" t="n">
        <v>0</v>
      </c>
      <c r="K376" t="n">
        <v>0</v>
      </c>
      <c r="L376" t="n">
        <v>0</v>
      </c>
      <c r="M376" t="n">
        <v>0</v>
      </c>
      <c r="N376" t="n">
        <v>0</v>
      </c>
      <c r="O376" t="n">
        <v>0</v>
      </c>
      <c r="P376" t="n">
        <v>0</v>
      </c>
      <c r="Q376" t="n">
        <v>0</v>
      </c>
      <c r="R376" s="2" t="inlineStr"/>
    </row>
    <row r="377" ht="15" customHeight="1">
      <c r="A377" t="inlineStr">
        <is>
          <t>A 24201-2021</t>
        </is>
      </c>
      <c r="B377" s="1" t="n">
        <v>44336</v>
      </c>
      <c r="C377" s="1" t="n">
        <v>45358</v>
      </c>
      <c r="D377" t="inlineStr">
        <is>
          <t>JÄMTLANDS LÄN</t>
        </is>
      </c>
      <c r="E377" t="inlineStr">
        <is>
          <t>ÅRE</t>
        </is>
      </c>
      <c r="G377" t="n">
        <v>23.1</v>
      </c>
      <c r="H377" t="n">
        <v>0</v>
      </c>
      <c r="I377" t="n">
        <v>0</v>
      </c>
      <c r="J377" t="n">
        <v>0</v>
      </c>
      <c r="K377" t="n">
        <v>0</v>
      </c>
      <c r="L377" t="n">
        <v>0</v>
      </c>
      <c r="M377" t="n">
        <v>0</v>
      </c>
      <c r="N377" t="n">
        <v>0</v>
      </c>
      <c r="O377" t="n">
        <v>0</v>
      </c>
      <c r="P377" t="n">
        <v>0</v>
      </c>
      <c r="Q377" t="n">
        <v>0</v>
      </c>
      <c r="R377" s="2" t="inlineStr"/>
    </row>
    <row r="378" ht="15" customHeight="1">
      <c r="A378" t="inlineStr">
        <is>
          <t>A 24585-2021</t>
        </is>
      </c>
      <c r="B378" s="1" t="n">
        <v>44337</v>
      </c>
      <c r="C378" s="1" t="n">
        <v>45358</v>
      </c>
      <c r="D378" t="inlineStr">
        <is>
          <t>JÄMTLANDS LÄN</t>
        </is>
      </c>
      <c r="E378" t="inlineStr">
        <is>
          <t>ÅRE</t>
        </is>
      </c>
      <c r="G378" t="n">
        <v>1.9</v>
      </c>
      <c r="H378" t="n">
        <v>0</v>
      </c>
      <c r="I378" t="n">
        <v>0</v>
      </c>
      <c r="J378" t="n">
        <v>0</v>
      </c>
      <c r="K378" t="n">
        <v>0</v>
      </c>
      <c r="L378" t="n">
        <v>0</v>
      </c>
      <c r="M378" t="n">
        <v>0</v>
      </c>
      <c r="N378" t="n">
        <v>0</v>
      </c>
      <c r="O378" t="n">
        <v>0</v>
      </c>
      <c r="P378" t="n">
        <v>0</v>
      </c>
      <c r="Q378" t="n">
        <v>0</v>
      </c>
      <c r="R378" s="2" t="inlineStr"/>
    </row>
    <row r="379" ht="15" customHeight="1">
      <c r="A379" t="inlineStr">
        <is>
          <t>A 26722-2021</t>
        </is>
      </c>
      <c r="B379" s="1" t="n">
        <v>44349</v>
      </c>
      <c r="C379" s="1" t="n">
        <v>45358</v>
      </c>
      <c r="D379" t="inlineStr">
        <is>
          <t>JÄMTLANDS LÄN</t>
        </is>
      </c>
      <c r="E379" t="inlineStr">
        <is>
          <t>ÅRE</t>
        </is>
      </c>
      <c r="G379" t="n">
        <v>11.4</v>
      </c>
      <c r="H379" t="n">
        <v>0</v>
      </c>
      <c r="I379" t="n">
        <v>0</v>
      </c>
      <c r="J379" t="n">
        <v>0</v>
      </c>
      <c r="K379" t="n">
        <v>0</v>
      </c>
      <c r="L379" t="n">
        <v>0</v>
      </c>
      <c r="M379" t="n">
        <v>0</v>
      </c>
      <c r="N379" t="n">
        <v>0</v>
      </c>
      <c r="O379" t="n">
        <v>0</v>
      </c>
      <c r="P379" t="n">
        <v>0</v>
      </c>
      <c r="Q379" t="n">
        <v>0</v>
      </c>
      <c r="R379" s="2" t="inlineStr"/>
    </row>
    <row r="380" ht="15" customHeight="1">
      <c r="A380" t="inlineStr">
        <is>
          <t>A 27010-2021</t>
        </is>
      </c>
      <c r="B380" s="1" t="n">
        <v>44350</v>
      </c>
      <c r="C380" s="1" t="n">
        <v>45358</v>
      </c>
      <c r="D380" t="inlineStr">
        <is>
          <t>JÄMTLANDS LÄN</t>
        </is>
      </c>
      <c r="E380" t="inlineStr">
        <is>
          <t>ÅRE</t>
        </is>
      </c>
      <c r="G380" t="n">
        <v>1.6</v>
      </c>
      <c r="H380" t="n">
        <v>0</v>
      </c>
      <c r="I380" t="n">
        <v>0</v>
      </c>
      <c r="J380" t="n">
        <v>0</v>
      </c>
      <c r="K380" t="n">
        <v>0</v>
      </c>
      <c r="L380" t="n">
        <v>0</v>
      </c>
      <c r="M380" t="n">
        <v>0</v>
      </c>
      <c r="N380" t="n">
        <v>0</v>
      </c>
      <c r="O380" t="n">
        <v>0</v>
      </c>
      <c r="P380" t="n">
        <v>0</v>
      </c>
      <c r="Q380" t="n">
        <v>0</v>
      </c>
      <c r="R380" s="2" t="inlineStr"/>
    </row>
    <row r="381" ht="15" customHeight="1">
      <c r="A381" t="inlineStr">
        <is>
          <t>A 27375-2021</t>
        </is>
      </c>
      <c r="B381" s="1" t="n">
        <v>44351</v>
      </c>
      <c r="C381" s="1" t="n">
        <v>45358</v>
      </c>
      <c r="D381" t="inlineStr">
        <is>
          <t>JÄMTLANDS LÄN</t>
        </is>
      </c>
      <c r="E381" t="inlineStr">
        <is>
          <t>ÅRE</t>
        </is>
      </c>
      <c r="G381" t="n">
        <v>7.4</v>
      </c>
      <c r="H381" t="n">
        <v>0</v>
      </c>
      <c r="I381" t="n">
        <v>0</v>
      </c>
      <c r="J381" t="n">
        <v>0</v>
      </c>
      <c r="K381" t="n">
        <v>0</v>
      </c>
      <c r="L381" t="n">
        <v>0</v>
      </c>
      <c r="M381" t="n">
        <v>0</v>
      </c>
      <c r="N381" t="n">
        <v>0</v>
      </c>
      <c r="O381" t="n">
        <v>0</v>
      </c>
      <c r="P381" t="n">
        <v>0</v>
      </c>
      <c r="Q381" t="n">
        <v>0</v>
      </c>
      <c r="R381" s="2" t="inlineStr"/>
    </row>
    <row r="382" ht="15" customHeight="1">
      <c r="A382" t="inlineStr">
        <is>
          <t>A 27390-2021</t>
        </is>
      </c>
      <c r="B382" s="1" t="n">
        <v>44351</v>
      </c>
      <c r="C382" s="1" t="n">
        <v>45358</v>
      </c>
      <c r="D382" t="inlineStr">
        <is>
          <t>JÄMTLANDS LÄN</t>
        </is>
      </c>
      <c r="E382" t="inlineStr">
        <is>
          <t>ÅRE</t>
        </is>
      </c>
      <c r="G382" t="n">
        <v>14.9</v>
      </c>
      <c r="H382" t="n">
        <v>0</v>
      </c>
      <c r="I382" t="n">
        <v>0</v>
      </c>
      <c r="J382" t="n">
        <v>0</v>
      </c>
      <c r="K382" t="n">
        <v>0</v>
      </c>
      <c r="L382" t="n">
        <v>0</v>
      </c>
      <c r="M382" t="n">
        <v>0</v>
      </c>
      <c r="N382" t="n">
        <v>0</v>
      </c>
      <c r="O382" t="n">
        <v>0</v>
      </c>
      <c r="P382" t="n">
        <v>0</v>
      </c>
      <c r="Q382" t="n">
        <v>0</v>
      </c>
      <c r="R382" s="2" t="inlineStr"/>
    </row>
    <row r="383" ht="15" customHeight="1">
      <c r="A383" t="inlineStr">
        <is>
          <t>A 27946-2021</t>
        </is>
      </c>
      <c r="B383" s="1" t="n">
        <v>44354</v>
      </c>
      <c r="C383" s="1" t="n">
        <v>45358</v>
      </c>
      <c r="D383" t="inlineStr">
        <is>
          <t>JÄMTLANDS LÄN</t>
        </is>
      </c>
      <c r="E383" t="inlineStr">
        <is>
          <t>ÅRE</t>
        </is>
      </c>
      <c r="G383" t="n">
        <v>0.3</v>
      </c>
      <c r="H383" t="n">
        <v>0</v>
      </c>
      <c r="I383" t="n">
        <v>0</v>
      </c>
      <c r="J383" t="n">
        <v>0</v>
      </c>
      <c r="K383" t="n">
        <v>0</v>
      </c>
      <c r="L383" t="n">
        <v>0</v>
      </c>
      <c r="M383" t="n">
        <v>0</v>
      </c>
      <c r="N383" t="n">
        <v>0</v>
      </c>
      <c r="O383" t="n">
        <v>0</v>
      </c>
      <c r="P383" t="n">
        <v>0</v>
      </c>
      <c r="Q383" t="n">
        <v>0</v>
      </c>
      <c r="R383" s="2" t="inlineStr"/>
    </row>
    <row r="384" ht="15" customHeight="1">
      <c r="A384" t="inlineStr">
        <is>
          <t>A 28881-2021</t>
        </is>
      </c>
      <c r="B384" s="1" t="n">
        <v>44357</v>
      </c>
      <c r="C384" s="1" t="n">
        <v>45358</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28817-2021</t>
        </is>
      </c>
      <c r="B385" s="1" t="n">
        <v>44357</v>
      </c>
      <c r="C385" s="1" t="n">
        <v>45358</v>
      </c>
      <c r="D385" t="inlineStr">
        <is>
          <t>JÄMTLANDS LÄN</t>
        </is>
      </c>
      <c r="E385" t="inlineStr">
        <is>
          <t>ÅRE</t>
        </is>
      </c>
      <c r="G385" t="n">
        <v>21.4</v>
      </c>
      <c r="H385" t="n">
        <v>0</v>
      </c>
      <c r="I385" t="n">
        <v>0</v>
      </c>
      <c r="J385" t="n">
        <v>0</v>
      </c>
      <c r="K385" t="n">
        <v>0</v>
      </c>
      <c r="L385" t="n">
        <v>0</v>
      </c>
      <c r="M385" t="n">
        <v>0</v>
      </c>
      <c r="N385" t="n">
        <v>0</v>
      </c>
      <c r="O385" t="n">
        <v>0</v>
      </c>
      <c r="P385" t="n">
        <v>0</v>
      </c>
      <c r="Q385" t="n">
        <v>0</v>
      </c>
      <c r="R385" s="2" t="inlineStr"/>
    </row>
    <row r="386" ht="15" customHeight="1">
      <c r="A386" t="inlineStr">
        <is>
          <t>A 31388-2021</t>
        </is>
      </c>
      <c r="B386" s="1" t="n">
        <v>44369</v>
      </c>
      <c r="C386" s="1" t="n">
        <v>45358</v>
      </c>
      <c r="D386" t="inlineStr">
        <is>
          <t>JÄMTLANDS LÄN</t>
        </is>
      </c>
      <c r="E386" t="inlineStr">
        <is>
          <t>ÅRE</t>
        </is>
      </c>
      <c r="G386" t="n">
        <v>2</v>
      </c>
      <c r="H386" t="n">
        <v>0</v>
      </c>
      <c r="I386" t="n">
        <v>0</v>
      </c>
      <c r="J386" t="n">
        <v>0</v>
      </c>
      <c r="K386" t="n">
        <v>0</v>
      </c>
      <c r="L386" t="n">
        <v>0</v>
      </c>
      <c r="M386" t="n">
        <v>0</v>
      </c>
      <c r="N386" t="n">
        <v>0</v>
      </c>
      <c r="O386" t="n">
        <v>0</v>
      </c>
      <c r="P386" t="n">
        <v>0</v>
      </c>
      <c r="Q386" t="n">
        <v>0</v>
      </c>
      <c r="R386" s="2" t="inlineStr"/>
    </row>
    <row r="387" ht="15" customHeight="1">
      <c r="A387" t="inlineStr">
        <is>
          <t>A 32241-2021</t>
        </is>
      </c>
      <c r="B387" s="1" t="n">
        <v>44371</v>
      </c>
      <c r="C387" s="1" t="n">
        <v>45358</v>
      </c>
      <c r="D387" t="inlineStr">
        <is>
          <t>JÄMTLANDS LÄN</t>
        </is>
      </c>
      <c r="E387" t="inlineStr">
        <is>
          <t>ÅRE</t>
        </is>
      </c>
      <c r="G387" t="n">
        <v>2.3</v>
      </c>
      <c r="H387" t="n">
        <v>0</v>
      </c>
      <c r="I387" t="n">
        <v>0</v>
      </c>
      <c r="J387" t="n">
        <v>0</v>
      </c>
      <c r="K387" t="n">
        <v>0</v>
      </c>
      <c r="L387" t="n">
        <v>0</v>
      </c>
      <c r="M387" t="n">
        <v>0</v>
      </c>
      <c r="N387" t="n">
        <v>0</v>
      </c>
      <c r="O387" t="n">
        <v>0</v>
      </c>
      <c r="P387" t="n">
        <v>0</v>
      </c>
      <c r="Q387" t="n">
        <v>0</v>
      </c>
      <c r="R387" s="2" t="inlineStr"/>
    </row>
    <row r="388" ht="15" customHeight="1">
      <c r="A388" t="inlineStr">
        <is>
          <t>A 34357-2021</t>
        </is>
      </c>
      <c r="B388" s="1" t="n">
        <v>44379</v>
      </c>
      <c r="C388" s="1" t="n">
        <v>45358</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36868-2021</t>
        </is>
      </c>
      <c r="B389" s="1" t="n">
        <v>44393</v>
      </c>
      <c r="C389" s="1" t="n">
        <v>45358</v>
      </c>
      <c r="D389" t="inlineStr">
        <is>
          <t>JÄMTLANDS LÄN</t>
        </is>
      </c>
      <c r="E389" t="inlineStr">
        <is>
          <t>ÅRE</t>
        </is>
      </c>
      <c r="G389" t="n">
        <v>2.5</v>
      </c>
      <c r="H389" t="n">
        <v>0</v>
      </c>
      <c r="I389" t="n">
        <v>0</v>
      </c>
      <c r="J389" t="n">
        <v>0</v>
      </c>
      <c r="K389" t="n">
        <v>0</v>
      </c>
      <c r="L389" t="n">
        <v>0</v>
      </c>
      <c r="M389" t="n">
        <v>0</v>
      </c>
      <c r="N389" t="n">
        <v>0</v>
      </c>
      <c r="O389" t="n">
        <v>0</v>
      </c>
      <c r="P389" t="n">
        <v>0</v>
      </c>
      <c r="Q389" t="n">
        <v>0</v>
      </c>
      <c r="R389" s="2" t="inlineStr"/>
    </row>
    <row r="390" ht="15" customHeight="1">
      <c r="A390" t="inlineStr">
        <is>
          <t>A 37086-2021</t>
        </is>
      </c>
      <c r="B390" s="1" t="n">
        <v>44395</v>
      </c>
      <c r="C390" s="1" t="n">
        <v>45358</v>
      </c>
      <c r="D390" t="inlineStr">
        <is>
          <t>JÄMTLANDS LÄN</t>
        </is>
      </c>
      <c r="E390" t="inlineStr">
        <is>
          <t>ÅRE</t>
        </is>
      </c>
      <c r="G390" t="n">
        <v>34.1</v>
      </c>
      <c r="H390" t="n">
        <v>0</v>
      </c>
      <c r="I390" t="n">
        <v>0</v>
      </c>
      <c r="J390" t="n">
        <v>0</v>
      </c>
      <c r="K390" t="n">
        <v>0</v>
      </c>
      <c r="L390" t="n">
        <v>0</v>
      </c>
      <c r="M390" t="n">
        <v>0</v>
      </c>
      <c r="N390" t="n">
        <v>0</v>
      </c>
      <c r="O390" t="n">
        <v>0</v>
      </c>
      <c r="P390" t="n">
        <v>0</v>
      </c>
      <c r="Q390" t="n">
        <v>0</v>
      </c>
      <c r="R390" s="2" t="inlineStr"/>
    </row>
    <row r="391" ht="15" customHeight="1">
      <c r="A391" t="inlineStr">
        <is>
          <t>A 37156-2021</t>
        </is>
      </c>
      <c r="B391" s="1" t="n">
        <v>44396</v>
      </c>
      <c r="C391" s="1" t="n">
        <v>45358</v>
      </c>
      <c r="D391" t="inlineStr">
        <is>
          <t>JÄMTLANDS LÄN</t>
        </is>
      </c>
      <c r="E391" t="inlineStr">
        <is>
          <t>ÅRE</t>
        </is>
      </c>
      <c r="G391" t="n">
        <v>16.5</v>
      </c>
      <c r="H391" t="n">
        <v>0</v>
      </c>
      <c r="I391" t="n">
        <v>0</v>
      </c>
      <c r="J391" t="n">
        <v>0</v>
      </c>
      <c r="K391" t="n">
        <v>0</v>
      </c>
      <c r="L391" t="n">
        <v>0</v>
      </c>
      <c r="M391" t="n">
        <v>0</v>
      </c>
      <c r="N391" t="n">
        <v>0</v>
      </c>
      <c r="O391" t="n">
        <v>0</v>
      </c>
      <c r="P391" t="n">
        <v>0</v>
      </c>
      <c r="Q391" t="n">
        <v>0</v>
      </c>
      <c r="R391" s="2" t="inlineStr"/>
    </row>
    <row r="392" ht="15" customHeight="1">
      <c r="A392" t="inlineStr">
        <is>
          <t>A 37461-2021</t>
        </is>
      </c>
      <c r="B392" s="1" t="n">
        <v>44398</v>
      </c>
      <c r="C392" s="1" t="n">
        <v>45358</v>
      </c>
      <c r="D392" t="inlineStr">
        <is>
          <t>JÄMTLANDS LÄN</t>
        </is>
      </c>
      <c r="E392" t="inlineStr">
        <is>
          <t>ÅRE</t>
        </is>
      </c>
      <c r="G392" t="n">
        <v>11.7</v>
      </c>
      <c r="H392" t="n">
        <v>0</v>
      </c>
      <c r="I392" t="n">
        <v>0</v>
      </c>
      <c r="J392" t="n">
        <v>0</v>
      </c>
      <c r="K392" t="n">
        <v>0</v>
      </c>
      <c r="L392" t="n">
        <v>0</v>
      </c>
      <c r="M392" t="n">
        <v>0</v>
      </c>
      <c r="N392" t="n">
        <v>0</v>
      </c>
      <c r="O392" t="n">
        <v>0</v>
      </c>
      <c r="P392" t="n">
        <v>0</v>
      </c>
      <c r="Q392" t="n">
        <v>0</v>
      </c>
      <c r="R392" s="2" t="inlineStr"/>
    </row>
    <row r="393" ht="15" customHeight="1">
      <c r="A393" t="inlineStr">
        <is>
          <t>A 38450-2021</t>
        </is>
      </c>
      <c r="B393" s="1" t="n">
        <v>44406</v>
      </c>
      <c r="C393" s="1" t="n">
        <v>45358</v>
      </c>
      <c r="D393" t="inlineStr">
        <is>
          <t>JÄMTLANDS LÄN</t>
        </is>
      </c>
      <c r="E393" t="inlineStr">
        <is>
          <t>ÅRE</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38456-2021</t>
        </is>
      </c>
      <c r="B394" s="1" t="n">
        <v>44406</v>
      </c>
      <c r="C394" s="1" t="n">
        <v>45358</v>
      </c>
      <c r="D394" t="inlineStr">
        <is>
          <t>JÄMTLANDS LÄN</t>
        </is>
      </c>
      <c r="E394" t="inlineStr">
        <is>
          <t>ÅRE</t>
        </is>
      </c>
      <c r="G394" t="n">
        <v>19.8</v>
      </c>
      <c r="H394" t="n">
        <v>0</v>
      </c>
      <c r="I394" t="n">
        <v>0</v>
      </c>
      <c r="J394" t="n">
        <v>0</v>
      </c>
      <c r="K394" t="n">
        <v>0</v>
      </c>
      <c r="L394" t="n">
        <v>0</v>
      </c>
      <c r="M394" t="n">
        <v>0</v>
      </c>
      <c r="N394" t="n">
        <v>0</v>
      </c>
      <c r="O394" t="n">
        <v>0</v>
      </c>
      <c r="P394" t="n">
        <v>0</v>
      </c>
      <c r="Q394" t="n">
        <v>0</v>
      </c>
      <c r="R394" s="2" t="inlineStr"/>
    </row>
    <row r="395" ht="15" customHeight="1">
      <c r="A395" t="inlineStr">
        <is>
          <t>A 40336-2021</t>
        </is>
      </c>
      <c r="B395" s="1" t="n">
        <v>44419</v>
      </c>
      <c r="C395" s="1" t="n">
        <v>45358</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40339-2021</t>
        </is>
      </c>
      <c r="B396" s="1" t="n">
        <v>44419</v>
      </c>
      <c r="C396" s="1" t="n">
        <v>45358</v>
      </c>
      <c r="D396" t="inlineStr">
        <is>
          <t>JÄMTLANDS LÄN</t>
        </is>
      </c>
      <c r="E396" t="inlineStr">
        <is>
          <t>ÅRE</t>
        </is>
      </c>
      <c r="G396" t="n">
        <v>6.4</v>
      </c>
      <c r="H396" t="n">
        <v>0</v>
      </c>
      <c r="I396" t="n">
        <v>0</v>
      </c>
      <c r="J396" t="n">
        <v>0</v>
      </c>
      <c r="K396" t="n">
        <v>0</v>
      </c>
      <c r="L396" t="n">
        <v>0</v>
      </c>
      <c r="M396" t="n">
        <v>0</v>
      </c>
      <c r="N396" t="n">
        <v>0</v>
      </c>
      <c r="O396" t="n">
        <v>0</v>
      </c>
      <c r="P396" t="n">
        <v>0</v>
      </c>
      <c r="Q396" t="n">
        <v>0</v>
      </c>
      <c r="R396" s="2" t="inlineStr"/>
    </row>
    <row r="397" ht="15" customHeight="1">
      <c r="A397" t="inlineStr">
        <is>
          <t>A 40341-2021</t>
        </is>
      </c>
      <c r="B397" s="1" t="n">
        <v>44419</v>
      </c>
      <c r="C397" s="1" t="n">
        <v>45358</v>
      </c>
      <c r="D397" t="inlineStr">
        <is>
          <t>JÄMTLANDS LÄN</t>
        </is>
      </c>
      <c r="E397" t="inlineStr">
        <is>
          <t>ÅRE</t>
        </is>
      </c>
      <c r="G397" t="n">
        <v>3</v>
      </c>
      <c r="H397" t="n">
        <v>0</v>
      </c>
      <c r="I397" t="n">
        <v>0</v>
      </c>
      <c r="J397" t="n">
        <v>0</v>
      </c>
      <c r="K397" t="n">
        <v>0</v>
      </c>
      <c r="L397" t="n">
        <v>0</v>
      </c>
      <c r="M397" t="n">
        <v>0</v>
      </c>
      <c r="N397" t="n">
        <v>0</v>
      </c>
      <c r="O397" t="n">
        <v>0</v>
      </c>
      <c r="P397" t="n">
        <v>0</v>
      </c>
      <c r="Q397" t="n">
        <v>0</v>
      </c>
      <c r="R397" s="2" t="inlineStr"/>
    </row>
    <row r="398" ht="15" customHeight="1">
      <c r="A398" t="inlineStr">
        <is>
          <t>A 50099-2021</t>
        </is>
      </c>
      <c r="B398" s="1" t="n">
        <v>44456</v>
      </c>
      <c r="C398" s="1" t="n">
        <v>45358</v>
      </c>
      <c r="D398" t="inlineStr">
        <is>
          <t>JÄMTLANDS LÄN</t>
        </is>
      </c>
      <c r="E398" t="inlineStr">
        <is>
          <t>ÅRE</t>
        </is>
      </c>
      <c r="G398" t="n">
        <v>6.2</v>
      </c>
      <c r="H398" t="n">
        <v>0</v>
      </c>
      <c r="I398" t="n">
        <v>0</v>
      </c>
      <c r="J398" t="n">
        <v>0</v>
      </c>
      <c r="K398" t="n">
        <v>0</v>
      </c>
      <c r="L398" t="n">
        <v>0</v>
      </c>
      <c r="M398" t="n">
        <v>0</v>
      </c>
      <c r="N398" t="n">
        <v>0</v>
      </c>
      <c r="O398" t="n">
        <v>0</v>
      </c>
      <c r="P398" t="n">
        <v>0</v>
      </c>
      <c r="Q398" t="n">
        <v>0</v>
      </c>
      <c r="R398" s="2" t="inlineStr"/>
    </row>
    <row r="399" ht="15" customHeight="1">
      <c r="A399" t="inlineStr">
        <is>
          <t>A 51042-2021</t>
        </is>
      </c>
      <c r="B399" s="1" t="n">
        <v>44461</v>
      </c>
      <c r="C399" s="1" t="n">
        <v>45358</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51040-2021</t>
        </is>
      </c>
      <c r="B400" s="1" t="n">
        <v>44461</v>
      </c>
      <c r="C400" s="1" t="n">
        <v>45358</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52427-2021</t>
        </is>
      </c>
      <c r="B401" s="1" t="n">
        <v>44466</v>
      </c>
      <c r="C401" s="1" t="n">
        <v>45358</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56197-2021</t>
        </is>
      </c>
      <c r="B402" s="1" t="n">
        <v>44478</v>
      </c>
      <c r="C402" s="1" t="n">
        <v>45358</v>
      </c>
      <c r="D402" t="inlineStr">
        <is>
          <t>JÄMTLANDS LÄN</t>
        </is>
      </c>
      <c r="E402" t="inlineStr">
        <is>
          <t>ÅRE</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56192-2021</t>
        </is>
      </c>
      <c r="B403" s="1" t="n">
        <v>44477</v>
      </c>
      <c r="C403" s="1" t="n">
        <v>45358</v>
      </c>
      <c r="D403" t="inlineStr">
        <is>
          <t>JÄMTLANDS LÄN</t>
        </is>
      </c>
      <c r="E403" t="inlineStr">
        <is>
          <t>ÅRE</t>
        </is>
      </c>
      <c r="F403" t="inlineStr">
        <is>
          <t>Övriga Aktiebolag</t>
        </is>
      </c>
      <c r="G403" t="n">
        <v>21.5</v>
      </c>
      <c r="H403" t="n">
        <v>0</v>
      </c>
      <c r="I403" t="n">
        <v>0</v>
      </c>
      <c r="J403" t="n">
        <v>0</v>
      </c>
      <c r="K403" t="n">
        <v>0</v>
      </c>
      <c r="L403" t="n">
        <v>0</v>
      </c>
      <c r="M403" t="n">
        <v>0</v>
      </c>
      <c r="N403" t="n">
        <v>0</v>
      </c>
      <c r="O403" t="n">
        <v>0</v>
      </c>
      <c r="P403" t="n">
        <v>0</v>
      </c>
      <c r="Q403" t="n">
        <v>0</v>
      </c>
      <c r="R403" s="2" t="inlineStr"/>
    </row>
    <row r="404" ht="15" customHeight="1">
      <c r="A404" t="inlineStr">
        <is>
          <t>A 57150-2021</t>
        </is>
      </c>
      <c r="B404" s="1" t="n">
        <v>44482</v>
      </c>
      <c r="C404" s="1" t="n">
        <v>45358</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57158-2021</t>
        </is>
      </c>
      <c r="B405" s="1" t="n">
        <v>44482</v>
      </c>
      <c r="C405" s="1" t="n">
        <v>45358</v>
      </c>
      <c r="D405" t="inlineStr">
        <is>
          <t>JÄMTLANDS LÄN</t>
        </is>
      </c>
      <c r="E405" t="inlineStr">
        <is>
          <t>ÅRE</t>
        </is>
      </c>
      <c r="G405" t="n">
        <v>0.4</v>
      </c>
      <c r="H405" t="n">
        <v>0</v>
      </c>
      <c r="I405" t="n">
        <v>0</v>
      </c>
      <c r="J405" t="n">
        <v>0</v>
      </c>
      <c r="K405" t="n">
        <v>0</v>
      </c>
      <c r="L405" t="n">
        <v>0</v>
      </c>
      <c r="M405" t="n">
        <v>0</v>
      </c>
      <c r="N405" t="n">
        <v>0</v>
      </c>
      <c r="O405" t="n">
        <v>0</v>
      </c>
      <c r="P405" t="n">
        <v>0</v>
      </c>
      <c r="Q405" t="n">
        <v>0</v>
      </c>
      <c r="R405" s="2" t="inlineStr"/>
    </row>
    <row r="406" ht="15" customHeight="1">
      <c r="A406" t="inlineStr">
        <is>
          <t>A 57512-2021</t>
        </is>
      </c>
      <c r="B406" s="1" t="n">
        <v>44483</v>
      </c>
      <c r="C406" s="1" t="n">
        <v>45358</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57710-2021</t>
        </is>
      </c>
      <c r="B407" s="1" t="n">
        <v>44484</v>
      </c>
      <c r="C407" s="1" t="n">
        <v>45358</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58230-2021</t>
        </is>
      </c>
      <c r="B408" s="1" t="n">
        <v>44487</v>
      </c>
      <c r="C408" s="1" t="n">
        <v>45358</v>
      </c>
      <c r="D408" t="inlineStr">
        <is>
          <t>JÄMTLANDS LÄN</t>
        </is>
      </c>
      <c r="E408" t="inlineStr">
        <is>
          <t>ÅRE</t>
        </is>
      </c>
      <c r="G408" t="n">
        <v>19.3</v>
      </c>
      <c r="H408" t="n">
        <v>0</v>
      </c>
      <c r="I408" t="n">
        <v>0</v>
      </c>
      <c r="J408" t="n">
        <v>0</v>
      </c>
      <c r="K408" t="n">
        <v>0</v>
      </c>
      <c r="L408" t="n">
        <v>0</v>
      </c>
      <c r="M408" t="n">
        <v>0</v>
      </c>
      <c r="N408" t="n">
        <v>0</v>
      </c>
      <c r="O408" t="n">
        <v>0</v>
      </c>
      <c r="P408" t="n">
        <v>0</v>
      </c>
      <c r="Q408" t="n">
        <v>0</v>
      </c>
      <c r="R408" s="2" t="inlineStr"/>
    </row>
    <row r="409" ht="15" customHeight="1">
      <c r="A409" t="inlineStr">
        <is>
          <t>A 58232-2021</t>
        </is>
      </c>
      <c r="B409" s="1" t="n">
        <v>44487</v>
      </c>
      <c r="C409" s="1" t="n">
        <v>45358</v>
      </c>
      <c r="D409" t="inlineStr">
        <is>
          <t>JÄMTLANDS LÄN</t>
        </is>
      </c>
      <c r="E409" t="inlineStr">
        <is>
          <t>ÅRE</t>
        </is>
      </c>
      <c r="G409" t="n">
        <v>43.7</v>
      </c>
      <c r="H409" t="n">
        <v>0</v>
      </c>
      <c r="I409" t="n">
        <v>0</v>
      </c>
      <c r="J409" t="n">
        <v>0</v>
      </c>
      <c r="K409" t="n">
        <v>0</v>
      </c>
      <c r="L409" t="n">
        <v>0</v>
      </c>
      <c r="M409" t="n">
        <v>0</v>
      </c>
      <c r="N409" t="n">
        <v>0</v>
      </c>
      <c r="O409" t="n">
        <v>0</v>
      </c>
      <c r="P409" t="n">
        <v>0</v>
      </c>
      <c r="Q409" t="n">
        <v>0</v>
      </c>
      <c r="R409" s="2" t="inlineStr"/>
    </row>
    <row r="410" ht="15" customHeight="1">
      <c r="A410" t="inlineStr">
        <is>
          <t>A 58228-2021</t>
        </is>
      </c>
      <c r="B410" s="1" t="n">
        <v>44487</v>
      </c>
      <c r="C410" s="1" t="n">
        <v>45358</v>
      </c>
      <c r="D410" t="inlineStr">
        <is>
          <t>JÄMTLANDS LÄN</t>
        </is>
      </c>
      <c r="E410" t="inlineStr">
        <is>
          <t>ÅRE</t>
        </is>
      </c>
      <c r="G410" t="n">
        <v>46.2</v>
      </c>
      <c r="H410" t="n">
        <v>0</v>
      </c>
      <c r="I410" t="n">
        <v>0</v>
      </c>
      <c r="J410" t="n">
        <v>0</v>
      </c>
      <c r="K410" t="n">
        <v>0</v>
      </c>
      <c r="L410" t="n">
        <v>0</v>
      </c>
      <c r="M410" t="n">
        <v>0</v>
      </c>
      <c r="N410" t="n">
        <v>0</v>
      </c>
      <c r="O410" t="n">
        <v>0</v>
      </c>
      <c r="P410" t="n">
        <v>0</v>
      </c>
      <c r="Q410" t="n">
        <v>0</v>
      </c>
      <c r="R410" s="2" t="inlineStr"/>
    </row>
    <row r="411" ht="15" customHeight="1">
      <c r="A411" t="inlineStr">
        <is>
          <t>A 58940-2021</t>
        </is>
      </c>
      <c r="B411" s="1" t="n">
        <v>44489</v>
      </c>
      <c r="C411" s="1" t="n">
        <v>45358</v>
      </c>
      <c r="D411" t="inlineStr">
        <is>
          <t>JÄMTLANDS LÄN</t>
        </is>
      </c>
      <c r="E411" t="inlineStr">
        <is>
          <t>ÅRE</t>
        </is>
      </c>
      <c r="G411" t="n">
        <v>5.8</v>
      </c>
      <c r="H411" t="n">
        <v>0</v>
      </c>
      <c r="I411" t="n">
        <v>0</v>
      </c>
      <c r="J411" t="n">
        <v>0</v>
      </c>
      <c r="K411" t="n">
        <v>0</v>
      </c>
      <c r="L411" t="n">
        <v>0</v>
      </c>
      <c r="M411" t="n">
        <v>0</v>
      </c>
      <c r="N411" t="n">
        <v>0</v>
      </c>
      <c r="O411" t="n">
        <v>0</v>
      </c>
      <c r="P411" t="n">
        <v>0</v>
      </c>
      <c r="Q411" t="n">
        <v>0</v>
      </c>
      <c r="R411" s="2" t="inlineStr"/>
    </row>
    <row r="412" ht="15" customHeight="1">
      <c r="A412" t="inlineStr">
        <is>
          <t>A 59352-2021</t>
        </is>
      </c>
      <c r="B412" s="1" t="n">
        <v>44490</v>
      </c>
      <c r="C412" s="1" t="n">
        <v>45358</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59397-2021</t>
        </is>
      </c>
      <c r="B413" s="1" t="n">
        <v>44491</v>
      </c>
      <c r="C413" s="1" t="n">
        <v>45358</v>
      </c>
      <c r="D413" t="inlineStr">
        <is>
          <t>JÄMTLANDS LÄN</t>
        </is>
      </c>
      <c r="E413" t="inlineStr">
        <is>
          <t>ÅRE</t>
        </is>
      </c>
      <c r="F413" t="inlineStr">
        <is>
          <t>Övriga Aktiebolag</t>
        </is>
      </c>
      <c r="G413" t="n">
        <v>7.6</v>
      </c>
      <c r="H413" t="n">
        <v>0</v>
      </c>
      <c r="I413" t="n">
        <v>0</v>
      </c>
      <c r="J413" t="n">
        <v>0</v>
      </c>
      <c r="K413" t="n">
        <v>0</v>
      </c>
      <c r="L413" t="n">
        <v>0</v>
      </c>
      <c r="M413" t="n">
        <v>0</v>
      </c>
      <c r="N413" t="n">
        <v>0</v>
      </c>
      <c r="O413" t="n">
        <v>0</v>
      </c>
      <c r="P413" t="n">
        <v>0</v>
      </c>
      <c r="Q413" t="n">
        <v>0</v>
      </c>
      <c r="R413" s="2" t="inlineStr"/>
    </row>
    <row r="414" ht="15" customHeight="1">
      <c r="A414" t="inlineStr">
        <is>
          <t>A 60132-2021</t>
        </is>
      </c>
      <c r="B414" s="1" t="n">
        <v>44495</v>
      </c>
      <c r="C414" s="1" t="n">
        <v>45358</v>
      </c>
      <c r="D414" t="inlineStr">
        <is>
          <t>JÄMTLANDS LÄN</t>
        </is>
      </c>
      <c r="E414" t="inlineStr">
        <is>
          <t>ÅRE</t>
        </is>
      </c>
      <c r="G414" t="n">
        <v>3.7</v>
      </c>
      <c r="H414" t="n">
        <v>0</v>
      </c>
      <c r="I414" t="n">
        <v>0</v>
      </c>
      <c r="J414" t="n">
        <v>0</v>
      </c>
      <c r="K414" t="n">
        <v>0</v>
      </c>
      <c r="L414" t="n">
        <v>0</v>
      </c>
      <c r="M414" t="n">
        <v>0</v>
      </c>
      <c r="N414" t="n">
        <v>0</v>
      </c>
      <c r="O414" t="n">
        <v>0</v>
      </c>
      <c r="P414" t="n">
        <v>0</v>
      </c>
      <c r="Q414" t="n">
        <v>0</v>
      </c>
      <c r="R414" s="2" t="inlineStr"/>
    </row>
    <row r="415" ht="15" customHeight="1">
      <c r="A415" t="inlineStr">
        <is>
          <t>A 60122-2021</t>
        </is>
      </c>
      <c r="B415" s="1" t="n">
        <v>44495</v>
      </c>
      <c r="C415" s="1" t="n">
        <v>45358</v>
      </c>
      <c r="D415" t="inlineStr">
        <is>
          <t>JÄMTLANDS LÄN</t>
        </is>
      </c>
      <c r="E415" t="inlineStr">
        <is>
          <t>ÅRE</t>
        </is>
      </c>
      <c r="G415" t="n">
        <v>46.7</v>
      </c>
      <c r="H415" t="n">
        <v>0</v>
      </c>
      <c r="I415" t="n">
        <v>0</v>
      </c>
      <c r="J415" t="n">
        <v>0</v>
      </c>
      <c r="K415" t="n">
        <v>0</v>
      </c>
      <c r="L415" t="n">
        <v>0</v>
      </c>
      <c r="M415" t="n">
        <v>0</v>
      </c>
      <c r="N415" t="n">
        <v>0</v>
      </c>
      <c r="O415" t="n">
        <v>0</v>
      </c>
      <c r="P415" t="n">
        <v>0</v>
      </c>
      <c r="Q415" t="n">
        <v>0</v>
      </c>
      <c r="R415" s="2" t="inlineStr"/>
    </row>
    <row r="416" ht="15" customHeight="1">
      <c r="A416" t="inlineStr">
        <is>
          <t>A 61566-2021</t>
        </is>
      </c>
      <c r="B416" s="1" t="n">
        <v>44496</v>
      </c>
      <c r="C416" s="1" t="n">
        <v>45358</v>
      </c>
      <c r="D416" t="inlineStr">
        <is>
          <t>JÄMTLANDS LÄN</t>
        </is>
      </c>
      <c r="E416" t="inlineStr">
        <is>
          <t>ÅRE</t>
        </is>
      </c>
      <c r="F416" t="inlineStr">
        <is>
          <t>Övriga statliga verk och myndigheter</t>
        </is>
      </c>
      <c r="G416" t="n">
        <v>10.9</v>
      </c>
      <c r="H416" t="n">
        <v>0</v>
      </c>
      <c r="I416" t="n">
        <v>0</v>
      </c>
      <c r="J416" t="n">
        <v>0</v>
      </c>
      <c r="K416" t="n">
        <v>0</v>
      </c>
      <c r="L416" t="n">
        <v>0</v>
      </c>
      <c r="M416" t="n">
        <v>0</v>
      </c>
      <c r="N416" t="n">
        <v>0</v>
      </c>
      <c r="O416" t="n">
        <v>0</v>
      </c>
      <c r="P416" t="n">
        <v>0</v>
      </c>
      <c r="Q416" t="n">
        <v>0</v>
      </c>
      <c r="R416" s="2" t="inlineStr"/>
    </row>
    <row r="417" ht="15" customHeight="1">
      <c r="A417" t="inlineStr">
        <is>
          <t>A 61524-2021</t>
        </is>
      </c>
      <c r="B417" s="1" t="n">
        <v>44496</v>
      </c>
      <c r="C417" s="1" t="n">
        <v>45358</v>
      </c>
      <c r="D417" t="inlineStr">
        <is>
          <t>JÄMTLANDS LÄN</t>
        </is>
      </c>
      <c r="E417" t="inlineStr">
        <is>
          <t>ÅRE</t>
        </is>
      </c>
      <c r="F417" t="inlineStr">
        <is>
          <t>Övriga statliga verk och myndigheter</t>
        </is>
      </c>
      <c r="G417" t="n">
        <v>15</v>
      </c>
      <c r="H417" t="n">
        <v>0</v>
      </c>
      <c r="I417" t="n">
        <v>0</v>
      </c>
      <c r="J417" t="n">
        <v>0</v>
      </c>
      <c r="K417" t="n">
        <v>0</v>
      </c>
      <c r="L417" t="n">
        <v>0</v>
      </c>
      <c r="M417" t="n">
        <v>0</v>
      </c>
      <c r="N417" t="n">
        <v>0</v>
      </c>
      <c r="O417" t="n">
        <v>0</v>
      </c>
      <c r="P417" t="n">
        <v>0</v>
      </c>
      <c r="Q417" t="n">
        <v>0</v>
      </c>
      <c r="R417" s="2" t="inlineStr"/>
    </row>
    <row r="418" ht="15" customHeight="1">
      <c r="A418" t="inlineStr">
        <is>
          <t>A 61331-2021</t>
        </is>
      </c>
      <c r="B418" s="1" t="n">
        <v>44498</v>
      </c>
      <c r="C418" s="1" t="n">
        <v>45358</v>
      </c>
      <c r="D418" t="inlineStr">
        <is>
          <t>JÄMTLANDS LÄN</t>
        </is>
      </c>
      <c r="E418" t="inlineStr">
        <is>
          <t>ÅRE</t>
        </is>
      </c>
      <c r="G418" t="n">
        <v>8.4</v>
      </c>
      <c r="H418" t="n">
        <v>0</v>
      </c>
      <c r="I418" t="n">
        <v>0</v>
      </c>
      <c r="J418" t="n">
        <v>0</v>
      </c>
      <c r="K418" t="n">
        <v>0</v>
      </c>
      <c r="L418" t="n">
        <v>0</v>
      </c>
      <c r="M418" t="n">
        <v>0</v>
      </c>
      <c r="N418" t="n">
        <v>0</v>
      </c>
      <c r="O418" t="n">
        <v>0</v>
      </c>
      <c r="P418" t="n">
        <v>0</v>
      </c>
      <c r="Q418" t="n">
        <v>0</v>
      </c>
      <c r="R418" s="2" t="inlineStr"/>
    </row>
    <row r="419" ht="15" customHeight="1">
      <c r="A419" t="inlineStr">
        <is>
          <t>A 61803-2021</t>
        </is>
      </c>
      <c r="B419" s="1" t="n">
        <v>44498</v>
      </c>
      <c r="C419" s="1" t="n">
        <v>45358</v>
      </c>
      <c r="D419" t="inlineStr">
        <is>
          <t>JÄMTLANDS LÄN</t>
        </is>
      </c>
      <c r="E419" t="inlineStr">
        <is>
          <t>ÅRE</t>
        </is>
      </c>
      <c r="G419" t="n">
        <v>0.9</v>
      </c>
      <c r="H419" t="n">
        <v>0</v>
      </c>
      <c r="I419" t="n">
        <v>0</v>
      </c>
      <c r="J419" t="n">
        <v>0</v>
      </c>
      <c r="K419" t="n">
        <v>0</v>
      </c>
      <c r="L419" t="n">
        <v>0</v>
      </c>
      <c r="M419" t="n">
        <v>0</v>
      </c>
      <c r="N419" t="n">
        <v>0</v>
      </c>
      <c r="O419" t="n">
        <v>0</v>
      </c>
      <c r="P419" t="n">
        <v>0</v>
      </c>
      <c r="Q419" t="n">
        <v>0</v>
      </c>
      <c r="R419" s="2" t="inlineStr"/>
    </row>
    <row r="420" ht="15" customHeight="1">
      <c r="A420" t="inlineStr">
        <is>
          <t>A 61806-2021</t>
        </is>
      </c>
      <c r="B420" s="1" t="n">
        <v>44498</v>
      </c>
      <c r="C420" s="1" t="n">
        <v>45358</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61815-2021</t>
        </is>
      </c>
      <c r="B421" s="1" t="n">
        <v>44498</v>
      </c>
      <c r="C421" s="1" t="n">
        <v>45358</v>
      </c>
      <c r="D421" t="inlineStr">
        <is>
          <t>JÄMTLANDS LÄN</t>
        </is>
      </c>
      <c r="E421" t="inlineStr">
        <is>
          <t>ÅRE</t>
        </is>
      </c>
      <c r="G421" t="n">
        <v>7.4</v>
      </c>
      <c r="H421" t="n">
        <v>0</v>
      </c>
      <c r="I421" t="n">
        <v>0</v>
      </c>
      <c r="J421" t="n">
        <v>0</v>
      </c>
      <c r="K421" t="n">
        <v>0</v>
      </c>
      <c r="L421" t="n">
        <v>0</v>
      </c>
      <c r="M421" t="n">
        <v>0</v>
      </c>
      <c r="N421" t="n">
        <v>0</v>
      </c>
      <c r="O421" t="n">
        <v>0</v>
      </c>
      <c r="P421" t="n">
        <v>0</v>
      </c>
      <c r="Q421" t="n">
        <v>0</v>
      </c>
      <c r="R421" s="2" t="inlineStr"/>
    </row>
    <row r="422" ht="15" customHeight="1">
      <c r="A422" t="inlineStr">
        <is>
          <t>A 61375-2021</t>
        </is>
      </c>
      <c r="B422" s="1" t="n">
        <v>44499</v>
      </c>
      <c r="C422" s="1" t="n">
        <v>45358</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62183-2021</t>
        </is>
      </c>
      <c r="B423" s="1" t="n">
        <v>44502</v>
      </c>
      <c r="C423" s="1" t="n">
        <v>45358</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62352-2021</t>
        </is>
      </c>
      <c r="B424" s="1" t="n">
        <v>44502</v>
      </c>
      <c r="C424" s="1" t="n">
        <v>45358</v>
      </c>
      <c r="D424" t="inlineStr">
        <is>
          <t>JÄMTLANDS LÄN</t>
        </is>
      </c>
      <c r="E424" t="inlineStr">
        <is>
          <t>ÅRE</t>
        </is>
      </c>
      <c r="F424" t="inlineStr">
        <is>
          <t>Övriga statliga verk och myndigheter</t>
        </is>
      </c>
      <c r="G424" t="n">
        <v>64.90000000000001</v>
      </c>
      <c r="H424" t="n">
        <v>0</v>
      </c>
      <c r="I424" t="n">
        <v>0</v>
      </c>
      <c r="J424" t="n">
        <v>0</v>
      </c>
      <c r="K424" t="n">
        <v>0</v>
      </c>
      <c r="L424" t="n">
        <v>0</v>
      </c>
      <c r="M424" t="n">
        <v>0</v>
      </c>
      <c r="N424" t="n">
        <v>0</v>
      </c>
      <c r="O424" t="n">
        <v>0</v>
      </c>
      <c r="P424" t="n">
        <v>0</v>
      </c>
      <c r="Q424" t="n">
        <v>0</v>
      </c>
      <c r="R424" s="2" t="inlineStr"/>
    </row>
    <row r="425" ht="15" customHeight="1">
      <c r="A425" t="inlineStr">
        <is>
          <t>A 63226-2021</t>
        </is>
      </c>
      <c r="B425" s="1" t="n">
        <v>44504</v>
      </c>
      <c r="C425" s="1" t="n">
        <v>45358</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64196-2021</t>
        </is>
      </c>
      <c r="B426" s="1" t="n">
        <v>44510</v>
      </c>
      <c r="C426" s="1" t="n">
        <v>45358</v>
      </c>
      <c r="D426" t="inlineStr">
        <is>
          <t>JÄMTLANDS LÄN</t>
        </is>
      </c>
      <c r="E426" t="inlineStr">
        <is>
          <t>ÅRE</t>
        </is>
      </c>
      <c r="G426" t="n">
        <v>0.8</v>
      </c>
      <c r="H426" t="n">
        <v>0</v>
      </c>
      <c r="I426" t="n">
        <v>0</v>
      </c>
      <c r="J426" t="n">
        <v>0</v>
      </c>
      <c r="K426" t="n">
        <v>0</v>
      </c>
      <c r="L426" t="n">
        <v>0</v>
      </c>
      <c r="M426" t="n">
        <v>0</v>
      </c>
      <c r="N426" t="n">
        <v>0</v>
      </c>
      <c r="O426" t="n">
        <v>0</v>
      </c>
      <c r="P426" t="n">
        <v>0</v>
      </c>
      <c r="Q426" t="n">
        <v>0</v>
      </c>
      <c r="R426" s="2" t="inlineStr"/>
    </row>
    <row r="427" ht="15" customHeight="1">
      <c r="A427" t="inlineStr">
        <is>
          <t>A 64237-2021</t>
        </is>
      </c>
      <c r="B427" s="1" t="n">
        <v>44510</v>
      </c>
      <c r="C427" s="1" t="n">
        <v>45358</v>
      </c>
      <c r="D427" t="inlineStr">
        <is>
          <t>JÄMTLANDS LÄN</t>
        </is>
      </c>
      <c r="E427" t="inlineStr">
        <is>
          <t>ÅRE</t>
        </is>
      </c>
      <c r="G427" t="n">
        <v>2.7</v>
      </c>
      <c r="H427" t="n">
        <v>0</v>
      </c>
      <c r="I427" t="n">
        <v>0</v>
      </c>
      <c r="J427" t="n">
        <v>0</v>
      </c>
      <c r="K427" t="n">
        <v>0</v>
      </c>
      <c r="L427" t="n">
        <v>0</v>
      </c>
      <c r="M427" t="n">
        <v>0</v>
      </c>
      <c r="N427" t="n">
        <v>0</v>
      </c>
      <c r="O427" t="n">
        <v>0</v>
      </c>
      <c r="P427" t="n">
        <v>0</v>
      </c>
      <c r="Q427" t="n">
        <v>0</v>
      </c>
      <c r="R427" s="2" t="inlineStr"/>
    </row>
    <row r="428" ht="15" customHeight="1">
      <c r="A428" t="inlineStr">
        <is>
          <t>A 64219-2021</t>
        </is>
      </c>
      <c r="B428" s="1" t="n">
        <v>44510</v>
      </c>
      <c r="C428" s="1" t="n">
        <v>45358</v>
      </c>
      <c r="D428" t="inlineStr">
        <is>
          <t>JÄMTLANDS LÄN</t>
        </is>
      </c>
      <c r="E428" t="inlineStr">
        <is>
          <t>ÅRE</t>
        </is>
      </c>
      <c r="G428" t="n">
        <v>5.1</v>
      </c>
      <c r="H428" t="n">
        <v>0</v>
      </c>
      <c r="I428" t="n">
        <v>0</v>
      </c>
      <c r="J428" t="n">
        <v>0</v>
      </c>
      <c r="K428" t="n">
        <v>0</v>
      </c>
      <c r="L428" t="n">
        <v>0</v>
      </c>
      <c r="M428" t="n">
        <v>0</v>
      </c>
      <c r="N428" t="n">
        <v>0</v>
      </c>
      <c r="O428" t="n">
        <v>0</v>
      </c>
      <c r="P428" t="n">
        <v>0</v>
      </c>
      <c r="Q428" t="n">
        <v>0</v>
      </c>
      <c r="R428" s="2" t="inlineStr"/>
    </row>
    <row r="429" ht="15" customHeight="1">
      <c r="A429" t="inlineStr">
        <is>
          <t>A 64245-2021</t>
        </is>
      </c>
      <c r="B429" s="1" t="n">
        <v>44510</v>
      </c>
      <c r="C429" s="1" t="n">
        <v>45358</v>
      </c>
      <c r="D429" t="inlineStr">
        <is>
          <t>JÄMTLANDS LÄN</t>
        </is>
      </c>
      <c r="E429" t="inlineStr">
        <is>
          <t>ÅRE</t>
        </is>
      </c>
      <c r="G429" t="n">
        <v>1.8</v>
      </c>
      <c r="H429" t="n">
        <v>0</v>
      </c>
      <c r="I429" t="n">
        <v>0</v>
      </c>
      <c r="J429" t="n">
        <v>0</v>
      </c>
      <c r="K429" t="n">
        <v>0</v>
      </c>
      <c r="L429" t="n">
        <v>0</v>
      </c>
      <c r="M429" t="n">
        <v>0</v>
      </c>
      <c r="N429" t="n">
        <v>0</v>
      </c>
      <c r="O429" t="n">
        <v>0</v>
      </c>
      <c r="P429" t="n">
        <v>0</v>
      </c>
      <c r="Q429" t="n">
        <v>0</v>
      </c>
      <c r="R429" s="2" t="inlineStr"/>
    </row>
    <row r="430" ht="15" customHeight="1">
      <c r="A430" t="inlineStr">
        <is>
          <t>A 65239-2021</t>
        </is>
      </c>
      <c r="B430" s="1" t="n">
        <v>44515</v>
      </c>
      <c r="C430" s="1" t="n">
        <v>45358</v>
      </c>
      <c r="D430" t="inlineStr">
        <is>
          <t>JÄMTLANDS LÄN</t>
        </is>
      </c>
      <c r="E430" t="inlineStr">
        <is>
          <t>ÅRE</t>
        </is>
      </c>
      <c r="G430" t="n">
        <v>0</v>
      </c>
      <c r="H430" t="n">
        <v>0</v>
      </c>
      <c r="I430" t="n">
        <v>0</v>
      </c>
      <c r="J430" t="n">
        <v>0</v>
      </c>
      <c r="K430" t="n">
        <v>0</v>
      </c>
      <c r="L430" t="n">
        <v>0</v>
      </c>
      <c r="M430" t="n">
        <v>0</v>
      </c>
      <c r="N430" t="n">
        <v>0</v>
      </c>
      <c r="O430" t="n">
        <v>0</v>
      </c>
      <c r="P430" t="n">
        <v>0</v>
      </c>
      <c r="Q430" t="n">
        <v>0</v>
      </c>
      <c r="R430" s="2" t="inlineStr"/>
    </row>
    <row r="431" ht="15" customHeight="1">
      <c r="A431" t="inlineStr">
        <is>
          <t>A 65415-2021</t>
        </is>
      </c>
      <c r="B431" s="1" t="n">
        <v>44515</v>
      </c>
      <c r="C431" s="1" t="n">
        <v>45358</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65782-2021</t>
        </is>
      </c>
      <c r="B432" s="1" t="n">
        <v>44516</v>
      </c>
      <c r="C432" s="1" t="n">
        <v>45358</v>
      </c>
      <c r="D432" t="inlineStr">
        <is>
          <t>JÄMTLANDS LÄN</t>
        </is>
      </c>
      <c r="E432" t="inlineStr">
        <is>
          <t>ÅRE</t>
        </is>
      </c>
      <c r="G432" t="n">
        <v>0.5</v>
      </c>
      <c r="H432" t="n">
        <v>0</v>
      </c>
      <c r="I432" t="n">
        <v>0</v>
      </c>
      <c r="J432" t="n">
        <v>0</v>
      </c>
      <c r="K432" t="n">
        <v>0</v>
      </c>
      <c r="L432" t="n">
        <v>0</v>
      </c>
      <c r="M432" t="n">
        <v>0</v>
      </c>
      <c r="N432" t="n">
        <v>0</v>
      </c>
      <c r="O432" t="n">
        <v>0</v>
      </c>
      <c r="P432" t="n">
        <v>0</v>
      </c>
      <c r="Q432" t="n">
        <v>0</v>
      </c>
      <c r="R432" s="2" t="inlineStr"/>
    </row>
    <row r="433" ht="15" customHeight="1">
      <c r="A433" t="inlineStr">
        <is>
          <t>A 65784-2021</t>
        </is>
      </c>
      <c r="B433" s="1" t="n">
        <v>44516</v>
      </c>
      <c r="C433" s="1" t="n">
        <v>45358</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67541-2021</t>
        </is>
      </c>
      <c r="B434" s="1" t="n">
        <v>44524</v>
      </c>
      <c r="C434" s="1" t="n">
        <v>45358</v>
      </c>
      <c r="D434" t="inlineStr">
        <is>
          <t>JÄMTLANDS LÄN</t>
        </is>
      </c>
      <c r="E434" t="inlineStr">
        <is>
          <t>ÅRE</t>
        </is>
      </c>
      <c r="G434" t="n">
        <v>3</v>
      </c>
      <c r="H434" t="n">
        <v>0</v>
      </c>
      <c r="I434" t="n">
        <v>0</v>
      </c>
      <c r="J434" t="n">
        <v>0</v>
      </c>
      <c r="K434" t="n">
        <v>0</v>
      </c>
      <c r="L434" t="n">
        <v>0</v>
      </c>
      <c r="M434" t="n">
        <v>0</v>
      </c>
      <c r="N434" t="n">
        <v>0</v>
      </c>
      <c r="O434" t="n">
        <v>0</v>
      </c>
      <c r="P434" t="n">
        <v>0</v>
      </c>
      <c r="Q434" t="n">
        <v>0</v>
      </c>
      <c r="R434" s="2" t="inlineStr"/>
    </row>
    <row r="435" ht="15" customHeight="1">
      <c r="A435" t="inlineStr">
        <is>
          <t>A 69170-2021</t>
        </is>
      </c>
      <c r="B435" s="1" t="n">
        <v>44529</v>
      </c>
      <c r="C435" s="1" t="n">
        <v>45358</v>
      </c>
      <c r="D435" t="inlineStr">
        <is>
          <t>JÄMTLANDS LÄN</t>
        </is>
      </c>
      <c r="E435" t="inlineStr">
        <is>
          <t>ÅRE</t>
        </is>
      </c>
      <c r="G435" t="n">
        <v>114.4</v>
      </c>
      <c r="H435" t="n">
        <v>0</v>
      </c>
      <c r="I435" t="n">
        <v>0</v>
      </c>
      <c r="J435" t="n">
        <v>0</v>
      </c>
      <c r="K435" t="n">
        <v>0</v>
      </c>
      <c r="L435" t="n">
        <v>0</v>
      </c>
      <c r="M435" t="n">
        <v>0</v>
      </c>
      <c r="N435" t="n">
        <v>0</v>
      </c>
      <c r="O435" t="n">
        <v>0</v>
      </c>
      <c r="P435" t="n">
        <v>0</v>
      </c>
      <c r="Q435" t="n">
        <v>0</v>
      </c>
      <c r="R435" s="2" t="inlineStr"/>
    </row>
    <row r="436" ht="15" customHeight="1">
      <c r="A436" t="inlineStr">
        <is>
          <t>A 69568-2021</t>
        </is>
      </c>
      <c r="B436" s="1" t="n">
        <v>44531</v>
      </c>
      <c r="C436" s="1" t="n">
        <v>45358</v>
      </c>
      <c r="D436" t="inlineStr">
        <is>
          <t>JÄMTLANDS LÄN</t>
        </is>
      </c>
      <c r="E436" t="inlineStr">
        <is>
          <t>ÅRE</t>
        </is>
      </c>
      <c r="G436" t="n">
        <v>2.9</v>
      </c>
      <c r="H436" t="n">
        <v>0</v>
      </c>
      <c r="I436" t="n">
        <v>0</v>
      </c>
      <c r="J436" t="n">
        <v>0</v>
      </c>
      <c r="K436" t="n">
        <v>0</v>
      </c>
      <c r="L436" t="n">
        <v>0</v>
      </c>
      <c r="M436" t="n">
        <v>0</v>
      </c>
      <c r="N436" t="n">
        <v>0</v>
      </c>
      <c r="O436" t="n">
        <v>0</v>
      </c>
      <c r="P436" t="n">
        <v>0</v>
      </c>
      <c r="Q436" t="n">
        <v>0</v>
      </c>
      <c r="R436" s="2" t="inlineStr"/>
    </row>
    <row r="437" ht="15" customHeight="1">
      <c r="A437" t="inlineStr">
        <is>
          <t>A 69592-2021</t>
        </is>
      </c>
      <c r="B437" s="1" t="n">
        <v>44531</v>
      </c>
      <c r="C437" s="1" t="n">
        <v>45358</v>
      </c>
      <c r="D437" t="inlineStr">
        <is>
          <t>JÄMTLANDS LÄN</t>
        </is>
      </c>
      <c r="E437" t="inlineStr">
        <is>
          <t>ÅRE</t>
        </is>
      </c>
      <c r="G437" t="n">
        <v>4.7</v>
      </c>
      <c r="H437" t="n">
        <v>0</v>
      </c>
      <c r="I437" t="n">
        <v>0</v>
      </c>
      <c r="J437" t="n">
        <v>0</v>
      </c>
      <c r="K437" t="n">
        <v>0</v>
      </c>
      <c r="L437" t="n">
        <v>0</v>
      </c>
      <c r="M437" t="n">
        <v>0</v>
      </c>
      <c r="N437" t="n">
        <v>0</v>
      </c>
      <c r="O437" t="n">
        <v>0</v>
      </c>
      <c r="P437" t="n">
        <v>0</v>
      </c>
      <c r="Q437" t="n">
        <v>0</v>
      </c>
      <c r="R437" s="2" t="inlineStr"/>
    </row>
    <row r="438" ht="15" customHeight="1">
      <c r="A438" t="inlineStr">
        <is>
          <t>A 69801-2021</t>
        </is>
      </c>
      <c r="B438" s="1" t="n">
        <v>44532</v>
      </c>
      <c r="C438" s="1" t="n">
        <v>45358</v>
      </c>
      <c r="D438" t="inlineStr">
        <is>
          <t>JÄMTLANDS LÄN</t>
        </is>
      </c>
      <c r="E438" t="inlineStr">
        <is>
          <t>ÅRE</t>
        </is>
      </c>
      <c r="G438" t="n">
        <v>4</v>
      </c>
      <c r="H438" t="n">
        <v>0</v>
      </c>
      <c r="I438" t="n">
        <v>0</v>
      </c>
      <c r="J438" t="n">
        <v>0</v>
      </c>
      <c r="K438" t="n">
        <v>0</v>
      </c>
      <c r="L438" t="n">
        <v>0</v>
      </c>
      <c r="M438" t="n">
        <v>0</v>
      </c>
      <c r="N438" t="n">
        <v>0</v>
      </c>
      <c r="O438" t="n">
        <v>0</v>
      </c>
      <c r="P438" t="n">
        <v>0</v>
      </c>
      <c r="Q438" t="n">
        <v>0</v>
      </c>
      <c r="R438" s="2" t="inlineStr"/>
    </row>
    <row r="439" ht="15" customHeight="1">
      <c r="A439" t="inlineStr">
        <is>
          <t>A 70523-2021</t>
        </is>
      </c>
      <c r="B439" s="1" t="n">
        <v>44536</v>
      </c>
      <c r="C439" s="1" t="n">
        <v>45358</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70522-2021</t>
        </is>
      </c>
      <c r="B440" s="1" t="n">
        <v>44536</v>
      </c>
      <c r="C440" s="1" t="n">
        <v>45358</v>
      </c>
      <c r="D440" t="inlineStr">
        <is>
          <t>JÄMTLANDS LÄN</t>
        </is>
      </c>
      <c r="E440" t="inlineStr">
        <is>
          <t>ÅRE</t>
        </is>
      </c>
      <c r="G440" t="n">
        <v>0.8</v>
      </c>
      <c r="H440" t="n">
        <v>0</v>
      </c>
      <c r="I440" t="n">
        <v>0</v>
      </c>
      <c r="J440" t="n">
        <v>0</v>
      </c>
      <c r="K440" t="n">
        <v>0</v>
      </c>
      <c r="L440" t="n">
        <v>0</v>
      </c>
      <c r="M440" t="n">
        <v>0</v>
      </c>
      <c r="N440" t="n">
        <v>0</v>
      </c>
      <c r="O440" t="n">
        <v>0</v>
      </c>
      <c r="P440" t="n">
        <v>0</v>
      </c>
      <c r="Q440" t="n">
        <v>0</v>
      </c>
      <c r="R440" s="2" t="inlineStr"/>
    </row>
    <row r="441" ht="15" customHeight="1">
      <c r="A441" t="inlineStr">
        <is>
          <t>A 71005-2021</t>
        </is>
      </c>
      <c r="B441" s="1" t="n">
        <v>44538</v>
      </c>
      <c r="C441" s="1" t="n">
        <v>45358</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71043-2021</t>
        </is>
      </c>
      <c r="B442" s="1" t="n">
        <v>44538</v>
      </c>
      <c r="C442" s="1" t="n">
        <v>45358</v>
      </c>
      <c r="D442" t="inlineStr">
        <is>
          <t>JÄMTLANDS LÄN</t>
        </is>
      </c>
      <c r="E442" t="inlineStr">
        <is>
          <t>ÅRE</t>
        </is>
      </c>
      <c r="G442" t="n">
        <v>0.4</v>
      </c>
      <c r="H442" t="n">
        <v>0</v>
      </c>
      <c r="I442" t="n">
        <v>0</v>
      </c>
      <c r="J442" t="n">
        <v>0</v>
      </c>
      <c r="K442" t="n">
        <v>0</v>
      </c>
      <c r="L442" t="n">
        <v>0</v>
      </c>
      <c r="M442" t="n">
        <v>0</v>
      </c>
      <c r="N442" t="n">
        <v>0</v>
      </c>
      <c r="O442" t="n">
        <v>0</v>
      </c>
      <c r="P442" t="n">
        <v>0</v>
      </c>
      <c r="Q442" t="n">
        <v>0</v>
      </c>
      <c r="R442" s="2" t="inlineStr"/>
    </row>
    <row r="443" ht="15" customHeight="1">
      <c r="A443" t="inlineStr">
        <is>
          <t>A 71968-2021</t>
        </is>
      </c>
      <c r="B443" s="1" t="n">
        <v>44540</v>
      </c>
      <c r="C443" s="1" t="n">
        <v>45358</v>
      </c>
      <c r="D443" t="inlineStr">
        <is>
          <t>JÄMTLANDS LÄN</t>
        </is>
      </c>
      <c r="E443" t="inlineStr">
        <is>
          <t>ÅRE</t>
        </is>
      </c>
      <c r="G443" t="n">
        <v>7</v>
      </c>
      <c r="H443" t="n">
        <v>0</v>
      </c>
      <c r="I443" t="n">
        <v>0</v>
      </c>
      <c r="J443" t="n">
        <v>0</v>
      </c>
      <c r="K443" t="n">
        <v>0</v>
      </c>
      <c r="L443" t="n">
        <v>0</v>
      </c>
      <c r="M443" t="n">
        <v>0</v>
      </c>
      <c r="N443" t="n">
        <v>0</v>
      </c>
      <c r="O443" t="n">
        <v>0</v>
      </c>
      <c r="P443" t="n">
        <v>0</v>
      </c>
      <c r="Q443" t="n">
        <v>0</v>
      </c>
      <c r="R443" s="2" t="inlineStr"/>
    </row>
    <row r="444" ht="15" customHeight="1">
      <c r="A444" t="inlineStr">
        <is>
          <t>A 71900-2021</t>
        </is>
      </c>
      <c r="B444" s="1" t="n">
        <v>44543</v>
      </c>
      <c r="C444" s="1" t="n">
        <v>45358</v>
      </c>
      <c r="D444" t="inlineStr">
        <is>
          <t>JÄMTLANDS LÄN</t>
        </is>
      </c>
      <c r="E444" t="inlineStr">
        <is>
          <t>ÅRE</t>
        </is>
      </c>
      <c r="G444" t="n">
        <v>7.7</v>
      </c>
      <c r="H444" t="n">
        <v>0</v>
      </c>
      <c r="I444" t="n">
        <v>0</v>
      </c>
      <c r="J444" t="n">
        <v>0</v>
      </c>
      <c r="K444" t="n">
        <v>0</v>
      </c>
      <c r="L444" t="n">
        <v>0</v>
      </c>
      <c r="M444" t="n">
        <v>0</v>
      </c>
      <c r="N444" t="n">
        <v>0</v>
      </c>
      <c r="O444" t="n">
        <v>0</v>
      </c>
      <c r="P444" t="n">
        <v>0</v>
      </c>
      <c r="Q444" t="n">
        <v>0</v>
      </c>
      <c r="R444" s="2" t="inlineStr"/>
    </row>
    <row r="445" ht="15" customHeight="1">
      <c r="A445" t="inlineStr">
        <is>
          <t>A 72214-2021</t>
        </is>
      </c>
      <c r="B445" s="1" t="n">
        <v>44544</v>
      </c>
      <c r="C445" s="1" t="n">
        <v>45358</v>
      </c>
      <c r="D445" t="inlineStr">
        <is>
          <t>JÄMTLANDS LÄN</t>
        </is>
      </c>
      <c r="E445" t="inlineStr">
        <is>
          <t>ÅRE</t>
        </is>
      </c>
      <c r="G445" t="n">
        <v>14.1</v>
      </c>
      <c r="H445" t="n">
        <v>0</v>
      </c>
      <c r="I445" t="n">
        <v>0</v>
      </c>
      <c r="J445" t="n">
        <v>0</v>
      </c>
      <c r="K445" t="n">
        <v>0</v>
      </c>
      <c r="L445" t="n">
        <v>0</v>
      </c>
      <c r="M445" t="n">
        <v>0</v>
      </c>
      <c r="N445" t="n">
        <v>0</v>
      </c>
      <c r="O445" t="n">
        <v>0</v>
      </c>
      <c r="P445" t="n">
        <v>0</v>
      </c>
      <c r="Q445" t="n">
        <v>0</v>
      </c>
      <c r="R445" s="2" t="inlineStr"/>
    </row>
    <row r="446" ht="15" customHeight="1">
      <c r="A446" t="inlineStr">
        <is>
          <t>A 72215-2021</t>
        </is>
      </c>
      <c r="B446" s="1" t="n">
        <v>44544</v>
      </c>
      <c r="C446" s="1" t="n">
        <v>45358</v>
      </c>
      <c r="D446" t="inlineStr">
        <is>
          <t>JÄMTLANDS LÄN</t>
        </is>
      </c>
      <c r="E446" t="inlineStr">
        <is>
          <t>ÅRE</t>
        </is>
      </c>
      <c r="G446" t="n">
        <v>3.9</v>
      </c>
      <c r="H446" t="n">
        <v>0</v>
      </c>
      <c r="I446" t="n">
        <v>0</v>
      </c>
      <c r="J446" t="n">
        <v>0</v>
      </c>
      <c r="K446" t="n">
        <v>0</v>
      </c>
      <c r="L446" t="n">
        <v>0</v>
      </c>
      <c r="M446" t="n">
        <v>0</v>
      </c>
      <c r="N446" t="n">
        <v>0</v>
      </c>
      <c r="O446" t="n">
        <v>0</v>
      </c>
      <c r="P446" t="n">
        <v>0</v>
      </c>
      <c r="Q446" t="n">
        <v>0</v>
      </c>
      <c r="R446" s="2" t="inlineStr"/>
    </row>
    <row r="447" ht="15" customHeight="1">
      <c r="A447" t="inlineStr">
        <is>
          <t>A 73086-2021</t>
        </is>
      </c>
      <c r="B447" s="1" t="n">
        <v>44550</v>
      </c>
      <c r="C447" s="1" t="n">
        <v>45358</v>
      </c>
      <c r="D447" t="inlineStr">
        <is>
          <t>JÄMTLANDS LÄN</t>
        </is>
      </c>
      <c r="E447" t="inlineStr">
        <is>
          <t>ÅRE</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73738-2021</t>
        </is>
      </c>
      <c r="B448" s="1" t="n">
        <v>44551</v>
      </c>
      <c r="C448" s="1" t="n">
        <v>45358</v>
      </c>
      <c r="D448" t="inlineStr">
        <is>
          <t>JÄMTLANDS LÄN</t>
        </is>
      </c>
      <c r="E448" t="inlineStr">
        <is>
          <t>ÅRE</t>
        </is>
      </c>
      <c r="G448" t="n">
        <v>1.4</v>
      </c>
      <c r="H448" t="n">
        <v>0</v>
      </c>
      <c r="I448" t="n">
        <v>0</v>
      </c>
      <c r="J448" t="n">
        <v>0</v>
      </c>
      <c r="K448" t="n">
        <v>0</v>
      </c>
      <c r="L448" t="n">
        <v>0</v>
      </c>
      <c r="M448" t="n">
        <v>0</v>
      </c>
      <c r="N448" t="n">
        <v>0</v>
      </c>
      <c r="O448" t="n">
        <v>0</v>
      </c>
      <c r="P448" t="n">
        <v>0</v>
      </c>
      <c r="Q448" t="n">
        <v>0</v>
      </c>
      <c r="R448" s="2" t="inlineStr"/>
    </row>
    <row r="449" ht="15" customHeight="1">
      <c r="A449" t="inlineStr">
        <is>
          <t>A 73629-2021</t>
        </is>
      </c>
      <c r="B449" s="1" t="n">
        <v>44552</v>
      </c>
      <c r="C449" s="1" t="n">
        <v>45358</v>
      </c>
      <c r="D449" t="inlineStr">
        <is>
          <t>JÄMTLANDS LÄN</t>
        </is>
      </c>
      <c r="E449" t="inlineStr">
        <is>
          <t>ÅRE</t>
        </is>
      </c>
      <c r="G449" t="n">
        <v>1.1</v>
      </c>
      <c r="H449" t="n">
        <v>0</v>
      </c>
      <c r="I449" t="n">
        <v>0</v>
      </c>
      <c r="J449" t="n">
        <v>0</v>
      </c>
      <c r="K449" t="n">
        <v>0</v>
      </c>
      <c r="L449" t="n">
        <v>0</v>
      </c>
      <c r="M449" t="n">
        <v>0</v>
      </c>
      <c r="N449" t="n">
        <v>0</v>
      </c>
      <c r="O449" t="n">
        <v>0</v>
      </c>
      <c r="P449" t="n">
        <v>0</v>
      </c>
      <c r="Q449" t="n">
        <v>0</v>
      </c>
      <c r="R449" s="2" t="inlineStr"/>
    </row>
    <row r="450" ht="15" customHeight="1">
      <c r="A450" t="inlineStr">
        <is>
          <t>A 73800-2021</t>
        </is>
      </c>
      <c r="B450" s="1" t="n">
        <v>44552</v>
      </c>
      <c r="C450" s="1" t="n">
        <v>45358</v>
      </c>
      <c r="D450" t="inlineStr">
        <is>
          <t>JÄMTLANDS LÄN</t>
        </is>
      </c>
      <c r="E450" t="inlineStr">
        <is>
          <t>ÅRE</t>
        </is>
      </c>
      <c r="G450" t="n">
        <v>8.6</v>
      </c>
      <c r="H450" t="n">
        <v>0</v>
      </c>
      <c r="I450" t="n">
        <v>0</v>
      </c>
      <c r="J450" t="n">
        <v>0</v>
      </c>
      <c r="K450" t="n">
        <v>0</v>
      </c>
      <c r="L450" t="n">
        <v>0</v>
      </c>
      <c r="M450" t="n">
        <v>0</v>
      </c>
      <c r="N450" t="n">
        <v>0</v>
      </c>
      <c r="O450" t="n">
        <v>0</v>
      </c>
      <c r="P450" t="n">
        <v>0</v>
      </c>
      <c r="Q450" t="n">
        <v>0</v>
      </c>
      <c r="R450" s="2" t="inlineStr"/>
    </row>
    <row r="451" ht="15" customHeight="1">
      <c r="A451" t="inlineStr">
        <is>
          <t>A 73798-2021</t>
        </is>
      </c>
      <c r="B451" s="1" t="n">
        <v>44552</v>
      </c>
      <c r="C451" s="1" t="n">
        <v>45358</v>
      </c>
      <c r="D451" t="inlineStr">
        <is>
          <t>JÄMTLANDS LÄN</t>
        </is>
      </c>
      <c r="E451" t="inlineStr">
        <is>
          <t>ÅRE</t>
        </is>
      </c>
      <c r="G451" t="n">
        <v>2.5</v>
      </c>
      <c r="H451" t="n">
        <v>0</v>
      </c>
      <c r="I451" t="n">
        <v>0</v>
      </c>
      <c r="J451" t="n">
        <v>0</v>
      </c>
      <c r="K451" t="n">
        <v>0</v>
      </c>
      <c r="L451" t="n">
        <v>0</v>
      </c>
      <c r="M451" t="n">
        <v>0</v>
      </c>
      <c r="N451" t="n">
        <v>0</v>
      </c>
      <c r="O451" t="n">
        <v>0</v>
      </c>
      <c r="P451" t="n">
        <v>0</v>
      </c>
      <c r="Q451" t="n">
        <v>0</v>
      </c>
      <c r="R451" s="2" t="inlineStr"/>
    </row>
    <row r="452" ht="15" customHeight="1">
      <c r="A452" t="inlineStr">
        <is>
          <t>A 74046-2021</t>
        </is>
      </c>
      <c r="B452" s="1" t="n">
        <v>44553</v>
      </c>
      <c r="C452" s="1" t="n">
        <v>45358</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911-2022</t>
        </is>
      </c>
      <c r="B453" s="1" t="n">
        <v>44570</v>
      </c>
      <c r="C453" s="1" t="n">
        <v>45358</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2230-2022</t>
        </is>
      </c>
      <c r="B454" s="1" t="n">
        <v>44578</v>
      </c>
      <c r="C454" s="1" t="n">
        <v>45358</v>
      </c>
      <c r="D454" t="inlineStr">
        <is>
          <t>JÄMTLANDS LÄN</t>
        </is>
      </c>
      <c r="E454" t="inlineStr">
        <is>
          <t>ÅRE</t>
        </is>
      </c>
      <c r="G454" t="n">
        <v>1.6</v>
      </c>
      <c r="H454" t="n">
        <v>0</v>
      </c>
      <c r="I454" t="n">
        <v>0</v>
      </c>
      <c r="J454" t="n">
        <v>0</v>
      </c>
      <c r="K454" t="n">
        <v>0</v>
      </c>
      <c r="L454" t="n">
        <v>0</v>
      </c>
      <c r="M454" t="n">
        <v>0</v>
      </c>
      <c r="N454" t="n">
        <v>0</v>
      </c>
      <c r="O454" t="n">
        <v>0</v>
      </c>
      <c r="P454" t="n">
        <v>0</v>
      </c>
      <c r="Q454" t="n">
        <v>0</v>
      </c>
      <c r="R454" s="2" t="inlineStr"/>
    </row>
    <row r="455" ht="15" customHeight="1">
      <c r="A455" t="inlineStr">
        <is>
          <t>A 2571-2022</t>
        </is>
      </c>
      <c r="B455" s="1" t="n">
        <v>44580</v>
      </c>
      <c r="C455" s="1" t="n">
        <v>45358</v>
      </c>
      <c r="D455" t="inlineStr">
        <is>
          <t>JÄMTLANDS LÄN</t>
        </is>
      </c>
      <c r="E455" t="inlineStr">
        <is>
          <t>ÅRE</t>
        </is>
      </c>
      <c r="G455" t="n">
        <v>3.7</v>
      </c>
      <c r="H455" t="n">
        <v>0</v>
      </c>
      <c r="I455" t="n">
        <v>0</v>
      </c>
      <c r="J455" t="n">
        <v>0</v>
      </c>
      <c r="K455" t="n">
        <v>0</v>
      </c>
      <c r="L455" t="n">
        <v>0</v>
      </c>
      <c r="M455" t="n">
        <v>0</v>
      </c>
      <c r="N455" t="n">
        <v>0</v>
      </c>
      <c r="O455" t="n">
        <v>0</v>
      </c>
      <c r="P455" t="n">
        <v>0</v>
      </c>
      <c r="Q455" t="n">
        <v>0</v>
      </c>
      <c r="R455" s="2" t="inlineStr"/>
    </row>
    <row r="456" ht="15" customHeight="1">
      <c r="A456" t="inlineStr">
        <is>
          <t>A 5160-2022</t>
        </is>
      </c>
      <c r="B456" s="1" t="n">
        <v>44593</v>
      </c>
      <c r="C456" s="1" t="n">
        <v>45358</v>
      </c>
      <c r="D456" t="inlineStr">
        <is>
          <t>JÄMTLANDS LÄN</t>
        </is>
      </c>
      <c r="E456" t="inlineStr">
        <is>
          <t>ÅRE</t>
        </is>
      </c>
      <c r="G456" t="n">
        <v>11.4</v>
      </c>
      <c r="H456" t="n">
        <v>0</v>
      </c>
      <c r="I456" t="n">
        <v>0</v>
      </c>
      <c r="J456" t="n">
        <v>0</v>
      </c>
      <c r="K456" t="n">
        <v>0</v>
      </c>
      <c r="L456" t="n">
        <v>0</v>
      </c>
      <c r="M456" t="n">
        <v>0</v>
      </c>
      <c r="N456" t="n">
        <v>0</v>
      </c>
      <c r="O456" t="n">
        <v>0</v>
      </c>
      <c r="P456" t="n">
        <v>0</v>
      </c>
      <c r="Q456" t="n">
        <v>0</v>
      </c>
      <c r="R456" s="2" t="inlineStr"/>
    </row>
    <row r="457" ht="15" customHeight="1">
      <c r="A457" t="inlineStr">
        <is>
          <t>A 5250-2022</t>
        </is>
      </c>
      <c r="B457" s="1" t="n">
        <v>44594</v>
      </c>
      <c r="C457" s="1" t="n">
        <v>45358</v>
      </c>
      <c r="D457" t="inlineStr">
        <is>
          <t>JÄMTLANDS LÄN</t>
        </is>
      </c>
      <c r="E457" t="inlineStr">
        <is>
          <t>ÅRE</t>
        </is>
      </c>
      <c r="G457" t="n">
        <v>2.1</v>
      </c>
      <c r="H457" t="n">
        <v>0</v>
      </c>
      <c r="I457" t="n">
        <v>0</v>
      </c>
      <c r="J457" t="n">
        <v>0</v>
      </c>
      <c r="K457" t="n">
        <v>0</v>
      </c>
      <c r="L457" t="n">
        <v>0</v>
      </c>
      <c r="M457" t="n">
        <v>0</v>
      </c>
      <c r="N457" t="n">
        <v>0</v>
      </c>
      <c r="O457" t="n">
        <v>0</v>
      </c>
      <c r="P457" t="n">
        <v>0</v>
      </c>
      <c r="Q457" t="n">
        <v>0</v>
      </c>
      <c r="R457" s="2" t="inlineStr"/>
    </row>
    <row r="458" ht="15" customHeight="1">
      <c r="A458" t="inlineStr">
        <is>
          <t>A 5923-2022</t>
        </is>
      </c>
      <c r="B458" s="1" t="n">
        <v>44598</v>
      </c>
      <c r="C458" s="1" t="n">
        <v>45358</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11112-2022</t>
        </is>
      </c>
      <c r="B459" s="1" t="n">
        <v>44628</v>
      </c>
      <c r="C459" s="1" t="n">
        <v>45358</v>
      </c>
      <c r="D459" t="inlineStr">
        <is>
          <t>JÄMTLANDS LÄN</t>
        </is>
      </c>
      <c r="E459" t="inlineStr">
        <is>
          <t>ÅRE</t>
        </is>
      </c>
      <c r="G459" t="n">
        <v>6.6</v>
      </c>
      <c r="H459" t="n">
        <v>0</v>
      </c>
      <c r="I459" t="n">
        <v>0</v>
      </c>
      <c r="J459" t="n">
        <v>0</v>
      </c>
      <c r="K459" t="n">
        <v>0</v>
      </c>
      <c r="L459" t="n">
        <v>0</v>
      </c>
      <c r="M459" t="n">
        <v>0</v>
      </c>
      <c r="N459" t="n">
        <v>0</v>
      </c>
      <c r="O459" t="n">
        <v>0</v>
      </c>
      <c r="P459" t="n">
        <v>0</v>
      </c>
      <c r="Q459" t="n">
        <v>0</v>
      </c>
      <c r="R459" s="2" t="inlineStr"/>
    </row>
    <row r="460" ht="15" customHeight="1">
      <c r="A460" t="inlineStr">
        <is>
          <t>A 11500-2022</t>
        </is>
      </c>
      <c r="B460" s="1" t="n">
        <v>44631</v>
      </c>
      <c r="C460" s="1" t="n">
        <v>45358</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13383-2022</t>
        </is>
      </c>
      <c r="B461" s="1" t="n">
        <v>44637</v>
      </c>
      <c r="C461" s="1" t="n">
        <v>45358</v>
      </c>
      <c r="D461" t="inlineStr">
        <is>
          <t>JÄMTLANDS LÄN</t>
        </is>
      </c>
      <c r="E461" t="inlineStr">
        <is>
          <t>ÅRE</t>
        </is>
      </c>
      <c r="G461" t="n">
        <v>2.2</v>
      </c>
      <c r="H461" t="n">
        <v>0</v>
      </c>
      <c r="I461" t="n">
        <v>0</v>
      </c>
      <c r="J461" t="n">
        <v>0</v>
      </c>
      <c r="K461" t="n">
        <v>0</v>
      </c>
      <c r="L461" t="n">
        <v>0</v>
      </c>
      <c r="M461" t="n">
        <v>0</v>
      </c>
      <c r="N461" t="n">
        <v>0</v>
      </c>
      <c r="O461" t="n">
        <v>0</v>
      </c>
      <c r="P461" t="n">
        <v>0</v>
      </c>
      <c r="Q461" t="n">
        <v>0</v>
      </c>
      <c r="R461" s="2" t="inlineStr"/>
    </row>
    <row r="462" ht="15" customHeight="1">
      <c r="A462" t="inlineStr">
        <is>
          <t>A 13221-2022</t>
        </is>
      </c>
      <c r="B462" s="1" t="n">
        <v>44644</v>
      </c>
      <c r="C462" s="1" t="n">
        <v>45358</v>
      </c>
      <c r="D462" t="inlineStr">
        <is>
          <t>JÄMTLANDS LÄN</t>
        </is>
      </c>
      <c r="E462" t="inlineStr">
        <is>
          <t>ÅRE</t>
        </is>
      </c>
      <c r="F462" t="inlineStr">
        <is>
          <t>Övriga Aktiebolag</t>
        </is>
      </c>
      <c r="G462" t="n">
        <v>13.7</v>
      </c>
      <c r="H462" t="n">
        <v>0</v>
      </c>
      <c r="I462" t="n">
        <v>0</v>
      </c>
      <c r="J462" t="n">
        <v>0</v>
      </c>
      <c r="K462" t="n">
        <v>0</v>
      </c>
      <c r="L462" t="n">
        <v>0</v>
      </c>
      <c r="M462" t="n">
        <v>0</v>
      </c>
      <c r="N462" t="n">
        <v>0</v>
      </c>
      <c r="O462" t="n">
        <v>0</v>
      </c>
      <c r="P462" t="n">
        <v>0</v>
      </c>
      <c r="Q462" t="n">
        <v>0</v>
      </c>
      <c r="R462" s="2" t="inlineStr"/>
    </row>
    <row r="463" ht="15" customHeight="1">
      <c r="A463" t="inlineStr">
        <is>
          <t>A 13324-2022</t>
        </is>
      </c>
      <c r="B463" s="1" t="n">
        <v>44645</v>
      </c>
      <c r="C463" s="1" t="n">
        <v>45358</v>
      </c>
      <c r="D463" t="inlineStr">
        <is>
          <t>JÄMTLANDS LÄN</t>
        </is>
      </c>
      <c r="E463" t="inlineStr">
        <is>
          <t>ÅRE</t>
        </is>
      </c>
      <c r="G463" t="n">
        <v>2.7</v>
      </c>
      <c r="H463" t="n">
        <v>0</v>
      </c>
      <c r="I463" t="n">
        <v>0</v>
      </c>
      <c r="J463" t="n">
        <v>0</v>
      </c>
      <c r="K463" t="n">
        <v>0</v>
      </c>
      <c r="L463" t="n">
        <v>0</v>
      </c>
      <c r="M463" t="n">
        <v>0</v>
      </c>
      <c r="N463" t="n">
        <v>0</v>
      </c>
      <c r="O463" t="n">
        <v>0</v>
      </c>
      <c r="P463" t="n">
        <v>0</v>
      </c>
      <c r="Q463" t="n">
        <v>0</v>
      </c>
      <c r="R463" s="2" t="inlineStr"/>
    </row>
    <row r="464" ht="15" customHeight="1">
      <c r="A464" t="inlineStr">
        <is>
          <t>A 18443-2022</t>
        </is>
      </c>
      <c r="B464" s="1" t="n">
        <v>44686</v>
      </c>
      <c r="C464" s="1" t="n">
        <v>45358</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18849-2022</t>
        </is>
      </c>
      <c r="B465" s="1" t="n">
        <v>44690</v>
      </c>
      <c r="C465" s="1" t="n">
        <v>45358</v>
      </c>
      <c r="D465" t="inlineStr">
        <is>
          <t>JÄMTLANDS LÄN</t>
        </is>
      </c>
      <c r="E465" t="inlineStr">
        <is>
          <t>ÅRE</t>
        </is>
      </c>
      <c r="G465" t="n">
        <v>12.8</v>
      </c>
      <c r="H465" t="n">
        <v>0</v>
      </c>
      <c r="I465" t="n">
        <v>0</v>
      </c>
      <c r="J465" t="n">
        <v>0</v>
      </c>
      <c r="K465" t="n">
        <v>0</v>
      </c>
      <c r="L465" t="n">
        <v>0</v>
      </c>
      <c r="M465" t="n">
        <v>0</v>
      </c>
      <c r="N465" t="n">
        <v>0</v>
      </c>
      <c r="O465" t="n">
        <v>0</v>
      </c>
      <c r="P465" t="n">
        <v>0</v>
      </c>
      <c r="Q465" t="n">
        <v>0</v>
      </c>
      <c r="R465" s="2" t="inlineStr"/>
    </row>
    <row r="466" ht="15" customHeight="1">
      <c r="A466" t="inlineStr">
        <is>
          <t>A 20827-2022</t>
        </is>
      </c>
      <c r="B466" s="1" t="n">
        <v>44700</v>
      </c>
      <c r="C466" s="1" t="n">
        <v>45358</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20816-2022</t>
        </is>
      </c>
      <c r="B467" s="1" t="n">
        <v>44700</v>
      </c>
      <c r="C467" s="1" t="n">
        <v>45358</v>
      </c>
      <c r="D467" t="inlineStr">
        <is>
          <t>JÄMTLANDS LÄN</t>
        </is>
      </c>
      <c r="E467" t="inlineStr">
        <is>
          <t>ÅRE</t>
        </is>
      </c>
      <c r="G467" t="n">
        <v>1</v>
      </c>
      <c r="H467" t="n">
        <v>0</v>
      </c>
      <c r="I467" t="n">
        <v>0</v>
      </c>
      <c r="J467" t="n">
        <v>0</v>
      </c>
      <c r="K467" t="n">
        <v>0</v>
      </c>
      <c r="L467" t="n">
        <v>0</v>
      </c>
      <c r="M467" t="n">
        <v>0</v>
      </c>
      <c r="N467" t="n">
        <v>0</v>
      </c>
      <c r="O467" t="n">
        <v>0</v>
      </c>
      <c r="P467" t="n">
        <v>0</v>
      </c>
      <c r="Q467" t="n">
        <v>0</v>
      </c>
      <c r="R467" s="2" t="inlineStr"/>
    </row>
    <row r="468" ht="15" customHeight="1">
      <c r="A468" t="inlineStr">
        <is>
          <t>A 21464-2022</t>
        </is>
      </c>
      <c r="B468" s="1" t="n">
        <v>44706</v>
      </c>
      <c r="C468" s="1" t="n">
        <v>45358</v>
      </c>
      <c r="D468" t="inlineStr">
        <is>
          <t>JÄMTLANDS LÄN</t>
        </is>
      </c>
      <c r="E468" t="inlineStr">
        <is>
          <t>ÅRE</t>
        </is>
      </c>
      <c r="G468" t="n">
        <v>10.9</v>
      </c>
      <c r="H468" t="n">
        <v>0</v>
      </c>
      <c r="I468" t="n">
        <v>0</v>
      </c>
      <c r="J468" t="n">
        <v>0</v>
      </c>
      <c r="K468" t="n">
        <v>0</v>
      </c>
      <c r="L468" t="n">
        <v>0</v>
      </c>
      <c r="M468" t="n">
        <v>0</v>
      </c>
      <c r="N468" t="n">
        <v>0</v>
      </c>
      <c r="O468" t="n">
        <v>0</v>
      </c>
      <c r="P468" t="n">
        <v>0</v>
      </c>
      <c r="Q468" t="n">
        <v>0</v>
      </c>
      <c r="R468" s="2" t="inlineStr"/>
    </row>
    <row r="469" ht="15" customHeight="1">
      <c r="A469" t="inlineStr">
        <is>
          <t>A 22473-2022</t>
        </is>
      </c>
      <c r="B469" s="1" t="n">
        <v>44713</v>
      </c>
      <c r="C469" s="1" t="n">
        <v>45358</v>
      </c>
      <c r="D469" t="inlineStr">
        <is>
          <t>JÄMTLANDS LÄN</t>
        </is>
      </c>
      <c r="E469" t="inlineStr">
        <is>
          <t>ÅRE</t>
        </is>
      </c>
      <c r="F469" t="inlineStr">
        <is>
          <t>Sveaskog</t>
        </is>
      </c>
      <c r="G469" t="n">
        <v>2.1</v>
      </c>
      <c r="H469" t="n">
        <v>0</v>
      </c>
      <c r="I469" t="n">
        <v>0</v>
      </c>
      <c r="J469" t="n">
        <v>0</v>
      </c>
      <c r="K469" t="n">
        <v>0</v>
      </c>
      <c r="L469" t="n">
        <v>0</v>
      </c>
      <c r="M469" t="n">
        <v>0</v>
      </c>
      <c r="N469" t="n">
        <v>0</v>
      </c>
      <c r="O469" t="n">
        <v>0</v>
      </c>
      <c r="P469" t="n">
        <v>0</v>
      </c>
      <c r="Q469" t="n">
        <v>0</v>
      </c>
      <c r="R469" s="2" t="inlineStr"/>
    </row>
    <row r="470" ht="15" customHeight="1">
      <c r="A470" t="inlineStr">
        <is>
          <t>A 23117-2022</t>
        </is>
      </c>
      <c r="B470" s="1" t="n">
        <v>44719</v>
      </c>
      <c r="C470" s="1" t="n">
        <v>45358</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23118-2022</t>
        </is>
      </c>
      <c r="B471" s="1" t="n">
        <v>44719</v>
      </c>
      <c r="C471" s="1" t="n">
        <v>45358</v>
      </c>
      <c r="D471" t="inlineStr">
        <is>
          <t>JÄMTLANDS LÄN</t>
        </is>
      </c>
      <c r="E471" t="inlineStr">
        <is>
          <t>ÅRE</t>
        </is>
      </c>
      <c r="G471" t="n">
        <v>3.5</v>
      </c>
      <c r="H471" t="n">
        <v>0</v>
      </c>
      <c r="I471" t="n">
        <v>0</v>
      </c>
      <c r="J471" t="n">
        <v>0</v>
      </c>
      <c r="K471" t="n">
        <v>0</v>
      </c>
      <c r="L471" t="n">
        <v>0</v>
      </c>
      <c r="M471" t="n">
        <v>0</v>
      </c>
      <c r="N471" t="n">
        <v>0</v>
      </c>
      <c r="O471" t="n">
        <v>0</v>
      </c>
      <c r="P471" t="n">
        <v>0</v>
      </c>
      <c r="Q471" t="n">
        <v>0</v>
      </c>
      <c r="R471" s="2" t="inlineStr"/>
    </row>
    <row r="472" ht="15" customHeight="1">
      <c r="A472" t="inlineStr">
        <is>
          <t>A 24539-2022</t>
        </is>
      </c>
      <c r="B472" s="1" t="n">
        <v>44727</v>
      </c>
      <c r="C472" s="1" t="n">
        <v>45358</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25122-2022</t>
        </is>
      </c>
      <c r="B473" s="1" t="n">
        <v>44729</v>
      </c>
      <c r="C473" s="1" t="n">
        <v>45358</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25248-2022</t>
        </is>
      </c>
      <c r="B474" s="1" t="n">
        <v>44729</v>
      </c>
      <c r="C474" s="1" t="n">
        <v>45358</v>
      </c>
      <c r="D474" t="inlineStr">
        <is>
          <t>JÄMTLANDS LÄN</t>
        </is>
      </c>
      <c r="E474" t="inlineStr">
        <is>
          <t>ÅRE</t>
        </is>
      </c>
      <c r="G474" t="n">
        <v>18</v>
      </c>
      <c r="H474" t="n">
        <v>0</v>
      </c>
      <c r="I474" t="n">
        <v>0</v>
      </c>
      <c r="J474" t="n">
        <v>0</v>
      </c>
      <c r="K474" t="n">
        <v>0</v>
      </c>
      <c r="L474" t="n">
        <v>0</v>
      </c>
      <c r="M474" t="n">
        <v>0</v>
      </c>
      <c r="N474" t="n">
        <v>0</v>
      </c>
      <c r="O474" t="n">
        <v>0</v>
      </c>
      <c r="P474" t="n">
        <v>0</v>
      </c>
      <c r="Q474" t="n">
        <v>0</v>
      </c>
      <c r="R474" s="2" t="inlineStr"/>
    </row>
    <row r="475" ht="15" customHeight="1">
      <c r="A475" t="inlineStr">
        <is>
          <t>A 26533-2022</t>
        </is>
      </c>
      <c r="B475" s="1" t="n">
        <v>44739</v>
      </c>
      <c r="C475" s="1" t="n">
        <v>45358</v>
      </c>
      <c r="D475" t="inlineStr">
        <is>
          <t>JÄMTLANDS LÄN</t>
        </is>
      </c>
      <c r="E475" t="inlineStr">
        <is>
          <t>ÅRE</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26546-2022</t>
        </is>
      </c>
      <c r="B476" s="1" t="n">
        <v>44739</v>
      </c>
      <c r="C476" s="1" t="n">
        <v>45358</v>
      </c>
      <c r="D476" t="inlineStr">
        <is>
          <t>JÄMTLANDS LÄN</t>
        </is>
      </c>
      <c r="E476" t="inlineStr">
        <is>
          <t>ÅRE</t>
        </is>
      </c>
      <c r="F476" t="inlineStr">
        <is>
          <t>Övriga Aktiebolag</t>
        </is>
      </c>
      <c r="G476" t="n">
        <v>7</v>
      </c>
      <c r="H476" t="n">
        <v>0</v>
      </c>
      <c r="I476" t="n">
        <v>0</v>
      </c>
      <c r="J476" t="n">
        <v>0</v>
      </c>
      <c r="K476" t="n">
        <v>0</v>
      </c>
      <c r="L476" t="n">
        <v>0</v>
      </c>
      <c r="M476" t="n">
        <v>0</v>
      </c>
      <c r="N476" t="n">
        <v>0</v>
      </c>
      <c r="O476" t="n">
        <v>0</v>
      </c>
      <c r="P476" t="n">
        <v>0</v>
      </c>
      <c r="Q476" t="n">
        <v>0</v>
      </c>
      <c r="R476" s="2" t="inlineStr"/>
    </row>
    <row r="477" ht="15" customHeight="1">
      <c r="A477" t="inlineStr">
        <is>
          <t>A 27805-2022</t>
        </is>
      </c>
      <c r="B477" s="1" t="n">
        <v>44743</v>
      </c>
      <c r="C477" s="1" t="n">
        <v>45358</v>
      </c>
      <c r="D477" t="inlineStr">
        <is>
          <t>JÄMTLANDS LÄN</t>
        </is>
      </c>
      <c r="E477" t="inlineStr">
        <is>
          <t>ÅRE</t>
        </is>
      </c>
      <c r="G477" t="n">
        <v>106.2</v>
      </c>
      <c r="H477" t="n">
        <v>0</v>
      </c>
      <c r="I477" t="n">
        <v>0</v>
      </c>
      <c r="J477" t="n">
        <v>0</v>
      </c>
      <c r="K477" t="n">
        <v>0</v>
      </c>
      <c r="L477" t="n">
        <v>0</v>
      </c>
      <c r="M477" t="n">
        <v>0</v>
      </c>
      <c r="N477" t="n">
        <v>0</v>
      </c>
      <c r="O477" t="n">
        <v>0</v>
      </c>
      <c r="P477" t="n">
        <v>0</v>
      </c>
      <c r="Q477" t="n">
        <v>0</v>
      </c>
      <c r="R477" s="2" t="inlineStr"/>
    </row>
    <row r="478" ht="15" customHeight="1">
      <c r="A478" t="inlineStr">
        <is>
          <t>A 29385-2022</t>
        </is>
      </c>
      <c r="B478" s="1" t="n">
        <v>44753</v>
      </c>
      <c r="C478" s="1" t="n">
        <v>45358</v>
      </c>
      <c r="D478" t="inlineStr">
        <is>
          <t>JÄMTLANDS LÄN</t>
        </is>
      </c>
      <c r="E478" t="inlineStr">
        <is>
          <t>ÅRE</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29383-2022</t>
        </is>
      </c>
      <c r="B479" s="1" t="n">
        <v>44753</v>
      </c>
      <c r="C479" s="1" t="n">
        <v>45358</v>
      </c>
      <c r="D479" t="inlineStr">
        <is>
          <t>JÄMTLANDS LÄN</t>
        </is>
      </c>
      <c r="E479" t="inlineStr">
        <is>
          <t>ÅRE</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31776-2022</t>
        </is>
      </c>
      <c r="B480" s="1" t="n">
        <v>44776</v>
      </c>
      <c r="C480" s="1" t="n">
        <v>45358</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32212-2022</t>
        </is>
      </c>
      <c r="B481" s="1" t="n">
        <v>44781</v>
      </c>
      <c r="C481" s="1" t="n">
        <v>45358</v>
      </c>
      <c r="D481" t="inlineStr">
        <is>
          <t>JÄMTLANDS LÄN</t>
        </is>
      </c>
      <c r="E481" t="inlineStr">
        <is>
          <t>ÅRE</t>
        </is>
      </c>
      <c r="G481" t="n">
        <v>7</v>
      </c>
      <c r="H481" t="n">
        <v>0</v>
      </c>
      <c r="I481" t="n">
        <v>0</v>
      </c>
      <c r="J481" t="n">
        <v>0</v>
      </c>
      <c r="K481" t="n">
        <v>0</v>
      </c>
      <c r="L481" t="n">
        <v>0</v>
      </c>
      <c r="M481" t="n">
        <v>0</v>
      </c>
      <c r="N481" t="n">
        <v>0</v>
      </c>
      <c r="O481" t="n">
        <v>0</v>
      </c>
      <c r="P481" t="n">
        <v>0</v>
      </c>
      <c r="Q481" t="n">
        <v>0</v>
      </c>
      <c r="R481" s="2" t="inlineStr"/>
    </row>
    <row r="482" ht="15" customHeight="1">
      <c r="A482" t="inlineStr">
        <is>
          <t>A 32210-2022</t>
        </is>
      </c>
      <c r="B482" s="1" t="n">
        <v>44781</v>
      </c>
      <c r="C482" s="1" t="n">
        <v>45358</v>
      </c>
      <c r="D482" t="inlineStr">
        <is>
          <t>JÄMTLANDS LÄN</t>
        </is>
      </c>
      <c r="E482" t="inlineStr">
        <is>
          <t>ÅRE</t>
        </is>
      </c>
      <c r="G482" t="n">
        <v>17.3</v>
      </c>
      <c r="H482" t="n">
        <v>0</v>
      </c>
      <c r="I482" t="n">
        <v>0</v>
      </c>
      <c r="J482" t="n">
        <v>0</v>
      </c>
      <c r="K482" t="n">
        <v>0</v>
      </c>
      <c r="L482" t="n">
        <v>0</v>
      </c>
      <c r="M482" t="n">
        <v>0</v>
      </c>
      <c r="N482" t="n">
        <v>0</v>
      </c>
      <c r="O482" t="n">
        <v>0</v>
      </c>
      <c r="P482" t="n">
        <v>0</v>
      </c>
      <c r="Q482" t="n">
        <v>0</v>
      </c>
      <c r="R482" s="2" t="inlineStr"/>
    </row>
    <row r="483" ht="15" customHeight="1">
      <c r="A483" t="inlineStr">
        <is>
          <t>A 32758-2022</t>
        </is>
      </c>
      <c r="B483" s="1" t="n">
        <v>44783</v>
      </c>
      <c r="C483" s="1" t="n">
        <v>45358</v>
      </c>
      <c r="D483" t="inlineStr">
        <is>
          <t>JÄMTLANDS LÄN</t>
        </is>
      </c>
      <c r="E483" t="inlineStr">
        <is>
          <t>ÅRE</t>
        </is>
      </c>
      <c r="G483" t="n">
        <v>8.4</v>
      </c>
      <c r="H483" t="n">
        <v>0</v>
      </c>
      <c r="I483" t="n">
        <v>0</v>
      </c>
      <c r="J483" t="n">
        <v>0</v>
      </c>
      <c r="K483" t="n">
        <v>0</v>
      </c>
      <c r="L483" t="n">
        <v>0</v>
      </c>
      <c r="M483" t="n">
        <v>0</v>
      </c>
      <c r="N483" t="n">
        <v>0</v>
      </c>
      <c r="O483" t="n">
        <v>0</v>
      </c>
      <c r="P483" t="n">
        <v>0</v>
      </c>
      <c r="Q483" t="n">
        <v>0</v>
      </c>
      <c r="R483" s="2" t="inlineStr"/>
    </row>
    <row r="484" ht="15" customHeight="1">
      <c r="A484" t="inlineStr">
        <is>
          <t>A 33023-2022</t>
        </is>
      </c>
      <c r="B484" s="1" t="n">
        <v>44784</v>
      </c>
      <c r="C484" s="1" t="n">
        <v>45358</v>
      </c>
      <c r="D484" t="inlineStr">
        <is>
          <t>JÄMTLANDS LÄN</t>
        </is>
      </c>
      <c r="E484" t="inlineStr">
        <is>
          <t>ÅRE</t>
        </is>
      </c>
      <c r="G484" t="n">
        <v>2.5</v>
      </c>
      <c r="H484" t="n">
        <v>0</v>
      </c>
      <c r="I484" t="n">
        <v>0</v>
      </c>
      <c r="J484" t="n">
        <v>0</v>
      </c>
      <c r="K484" t="n">
        <v>0</v>
      </c>
      <c r="L484" t="n">
        <v>0</v>
      </c>
      <c r="M484" t="n">
        <v>0</v>
      </c>
      <c r="N484" t="n">
        <v>0</v>
      </c>
      <c r="O484" t="n">
        <v>0</v>
      </c>
      <c r="P484" t="n">
        <v>0</v>
      </c>
      <c r="Q484" t="n">
        <v>0</v>
      </c>
      <c r="R484" s="2" t="inlineStr"/>
    </row>
    <row r="485" ht="15" customHeight="1">
      <c r="A485" t="inlineStr">
        <is>
          <t>A 33003-2022</t>
        </is>
      </c>
      <c r="B485" s="1" t="n">
        <v>44784</v>
      </c>
      <c r="C485" s="1" t="n">
        <v>45358</v>
      </c>
      <c r="D485" t="inlineStr">
        <is>
          <t>JÄMTLANDS LÄN</t>
        </is>
      </c>
      <c r="E485" t="inlineStr">
        <is>
          <t>ÅRE</t>
        </is>
      </c>
      <c r="G485" t="n">
        <v>6.1</v>
      </c>
      <c r="H485" t="n">
        <v>0</v>
      </c>
      <c r="I485" t="n">
        <v>0</v>
      </c>
      <c r="J485" t="n">
        <v>0</v>
      </c>
      <c r="K485" t="n">
        <v>0</v>
      </c>
      <c r="L485" t="n">
        <v>0</v>
      </c>
      <c r="M485" t="n">
        <v>0</v>
      </c>
      <c r="N485" t="n">
        <v>0</v>
      </c>
      <c r="O485" t="n">
        <v>0</v>
      </c>
      <c r="P485" t="n">
        <v>0</v>
      </c>
      <c r="Q485" t="n">
        <v>0</v>
      </c>
      <c r="R485" s="2" t="inlineStr"/>
    </row>
    <row r="486" ht="15" customHeight="1">
      <c r="A486" t="inlineStr">
        <is>
          <t>A 33015-2022</t>
        </is>
      </c>
      <c r="B486" s="1" t="n">
        <v>44784</v>
      </c>
      <c r="C486" s="1" t="n">
        <v>45358</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33479-2022</t>
        </is>
      </c>
      <c r="B487" s="1" t="n">
        <v>44788</v>
      </c>
      <c r="C487" s="1" t="n">
        <v>45358</v>
      </c>
      <c r="D487" t="inlineStr">
        <is>
          <t>JÄMTLANDS LÄN</t>
        </is>
      </c>
      <c r="E487" t="inlineStr">
        <is>
          <t>ÅRE</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33480-2022</t>
        </is>
      </c>
      <c r="B488" s="1" t="n">
        <v>44788</v>
      </c>
      <c r="C488" s="1" t="n">
        <v>45358</v>
      </c>
      <c r="D488" t="inlineStr">
        <is>
          <t>JÄMTLANDS LÄN</t>
        </is>
      </c>
      <c r="E488" t="inlineStr">
        <is>
          <t>ÅRE</t>
        </is>
      </c>
      <c r="F488" t="inlineStr">
        <is>
          <t>Sveaskog</t>
        </is>
      </c>
      <c r="G488" t="n">
        <v>4</v>
      </c>
      <c r="H488" t="n">
        <v>0</v>
      </c>
      <c r="I488" t="n">
        <v>0</v>
      </c>
      <c r="J488" t="n">
        <v>0</v>
      </c>
      <c r="K488" t="n">
        <v>0</v>
      </c>
      <c r="L488" t="n">
        <v>0</v>
      </c>
      <c r="M488" t="n">
        <v>0</v>
      </c>
      <c r="N488" t="n">
        <v>0</v>
      </c>
      <c r="O488" t="n">
        <v>0</v>
      </c>
      <c r="P488" t="n">
        <v>0</v>
      </c>
      <c r="Q488" t="n">
        <v>0</v>
      </c>
      <c r="R488" s="2" t="inlineStr"/>
    </row>
    <row r="489" ht="15" customHeight="1">
      <c r="A489" t="inlineStr">
        <is>
          <t>A 33625-2022</t>
        </is>
      </c>
      <c r="B489" s="1" t="n">
        <v>44789</v>
      </c>
      <c r="C489" s="1" t="n">
        <v>45358</v>
      </c>
      <c r="D489" t="inlineStr">
        <is>
          <t>JÄMTLANDS LÄN</t>
        </is>
      </c>
      <c r="E489" t="inlineStr">
        <is>
          <t>ÅRE</t>
        </is>
      </c>
      <c r="G489" t="n">
        <v>20.7</v>
      </c>
      <c r="H489" t="n">
        <v>0</v>
      </c>
      <c r="I489" t="n">
        <v>0</v>
      </c>
      <c r="J489" t="n">
        <v>0</v>
      </c>
      <c r="K489" t="n">
        <v>0</v>
      </c>
      <c r="L489" t="n">
        <v>0</v>
      </c>
      <c r="M489" t="n">
        <v>0</v>
      </c>
      <c r="N489" t="n">
        <v>0</v>
      </c>
      <c r="O489" t="n">
        <v>0</v>
      </c>
      <c r="P489" t="n">
        <v>0</v>
      </c>
      <c r="Q489" t="n">
        <v>0</v>
      </c>
      <c r="R489" s="2" t="inlineStr"/>
    </row>
    <row r="490" ht="15" customHeight="1">
      <c r="A490" t="inlineStr">
        <is>
          <t>A 33565-2022</t>
        </is>
      </c>
      <c r="B490" s="1" t="n">
        <v>44789</v>
      </c>
      <c r="C490" s="1" t="n">
        <v>45358</v>
      </c>
      <c r="D490" t="inlineStr">
        <is>
          <t>JÄMTLANDS LÄN</t>
        </is>
      </c>
      <c r="E490" t="inlineStr">
        <is>
          <t>ÅRE</t>
        </is>
      </c>
      <c r="G490" t="n">
        <v>0.6</v>
      </c>
      <c r="H490" t="n">
        <v>0</v>
      </c>
      <c r="I490" t="n">
        <v>0</v>
      </c>
      <c r="J490" t="n">
        <v>0</v>
      </c>
      <c r="K490" t="n">
        <v>0</v>
      </c>
      <c r="L490" t="n">
        <v>0</v>
      </c>
      <c r="M490" t="n">
        <v>0</v>
      </c>
      <c r="N490" t="n">
        <v>0</v>
      </c>
      <c r="O490" t="n">
        <v>0</v>
      </c>
      <c r="P490" t="n">
        <v>0</v>
      </c>
      <c r="Q490" t="n">
        <v>0</v>
      </c>
      <c r="R490" s="2" t="inlineStr"/>
    </row>
    <row r="491" ht="15" customHeight="1">
      <c r="A491" t="inlineStr">
        <is>
          <t>A 34033-2022</t>
        </is>
      </c>
      <c r="B491" s="1" t="n">
        <v>44790</v>
      </c>
      <c r="C491" s="1" t="n">
        <v>45358</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34916-2022</t>
        </is>
      </c>
      <c r="B492" s="1" t="n">
        <v>44796</v>
      </c>
      <c r="C492" s="1" t="n">
        <v>45358</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36219-2022</t>
        </is>
      </c>
      <c r="B493" s="1" t="n">
        <v>44803</v>
      </c>
      <c r="C493" s="1" t="n">
        <v>45358</v>
      </c>
      <c r="D493" t="inlineStr">
        <is>
          <t>JÄMTLANDS LÄN</t>
        </is>
      </c>
      <c r="E493" t="inlineStr">
        <is>
          <t>ÅRE</t>
        </is>
      </c>
      <c r="G493" t="n">
        <v>0.4</v>
      </c>
      <c r="H493" t="n">
        <v>0</v>
      </c>
      <c r="I493" t="n">
        <v>0</v>
      </c>
      <c r="J493" t="n">
        <v>0</v>
      </c>
      <c r="K493" t="n">
        <v>0</v>
      </c>
      <c r="L493" t="n">
        <v>0</v>
      </c>
      <c r="M493" t="n">
        <v>0</v>
      </c>
      <c r="N493" t="n">
        <v>0</v>
      </c>
      <c r="O493" t="n">
        <v>0</v>
      </c>
      <c r="P493" t="n">
        <v>0</v>
      </c>
      <c r="Q493" t="n">
        <v>0</v>
      </c>
      <c r="R493" s="2" t="inlineStr"/>
    </row>
    <row r="494" ht="15" customHeight="1">
      <c r="A494" t="inlineStr">
        <is>
          <t>A 37645-2022</t>
        </is>
      </c>
      <c r="B494" s="1" t="n">
        <v>44810</v>
      </c>
      <c r="C494" s="1" t="n">
        <v>45358</v>
      </c>
      <c r="D494" t="inlineStr">
        <is>
          <t>JÄMTLANDS LÄN</t>
        </is>
      </c>
      <c r="E494" t="inlineStr">
        <is>
          <t>ÅRE</t>
        </is>
      </c>
      <c r="G494" t="n">
        <v>5.3</v>
      </c>
      <c r="H494" t="n">
        <v>0</v>
      </c>
      <c r="I494" t="n">
        <v>0</v>
      </c>
      <c r="J494" t="n">
        <v>0</v>
      </c>
      <c r="K494" t="n">
        <v>0</v>
      </c>
      <c r="L494" t="n">
        <v>0</v>
      </c>
      <c r="M494" t="n">
        <v>0</v>
      </c>
      <c r="N494" t="n">
        <v>0</v>
      </c>
      <c r="O494" t="n">
        <v>0</v>
      </c>
      <c r="P494" t="n">
        <v>0</v>
      </c>
      <c r="Q494" t="n">
        <v>0</v>
      </c>
      <c r="R494" s="2" t="inlineStr"/>
    </row>
    <row r="495" ht="15" customHeight="1">
      <c r="A495" t="inlineStr">
        <is>
          <t>A 38265-2022</t>
        </is>
      </c>
      <c r="B495" s="1" t="n">
        <v>44812</v>
      </c>
      <c r="C495" s="1" t="n">
        <v>45358</v>
      </c>
      <c r="D495" t="inlineStr">
        <is>
          <t>JÄMTLANDS LÄN</t>
        </is>
      </c>
      <c r="E495" t="inlineStr">
        <is>
          <t>ÅRE</t>
        </is>
      </c>
      <c r="G495" t="n">
        <v>0.6</v>
      </c>
      <c r="H495" t="n">
        <v>0</v>
      </c>
      <c r="I495" t="n">
        <v>0</v>
      </c>
      <c r="J495" t="n">
        <v>0</v>
      </c>
      <c r="K495" t="n">
        <v>0</v>
      </c>
      <c r="L495" t="n">
        <v>0</v>
      </c>
      <c r="M495" t="n">
        <v>0</v>
      </c>
      <c r="N495" t="n">
        <v>0</v>
      </c>
      <c r="O495" t="n">
        <v>0</v>
      </c>
      <c r="P495" t="n">
        <v>0</v>
      </c>
      <c r="Q495" t="n">
        <v>0</v>
      </c>
      <c r="R495" s="2" t="inlineStr"/>
    </row>
    <row r="496" ht="15" customHeight="1">
      <c r="A496" t="inlineStr">
        <is>
          <t>A 40159-2022</t>
        </is>
      </c>
      <c r="B496" s="1" t="n">
        <v>44818</v>
      </c>
      <c r="C496" s="1" t="n">
        <v>45358</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40653-2022</t>
        </is>
      </c>
      <c r="B497" s="1" t="n">
        <v>44818</v>
      </c>
      <c r="C497" s="1" t="n">
        <v>45358</v>
      </c>
      <c r="D497" t="inlineStr">
        <is>
          <t>JÄMTLANDS LÄN</t>
        </is>
      </c>
      <c r="E497" t="inlineStr">
        <is>
          <t>ÅRE</t>
        </is>
      </c>
      <c r="G497" t="n">
        <v>1.4</v>
      </c>
      <c r="H497" t="n">
        <v>0</v>
      </c>
      <c r="I497" t="n">
        <v>0</v>
      </c>
      <c r="J497" t="n">
        <v>0</v>
      </c>
      <c r="K497" t="n">
        <v>0</v>
      </c>
      <c r="L497" t="n">
        <v>0</v>
      </c>
      <c r="M497" t="n">
        <v>0</v>
      </c>
      <c r="N497" t="n">
        <v>0</v>
      </c>
      <c r="O497" t="n">
        <v>0</v>
      </c>
      <c r="P497" t="n">
        <v>0</v>
      </c>
      <c r="Q497" t="n">
        <v>0</v>
      </c>
      <c r="R497" s="2" t="inlineStr"/>
    </row>
    <row r="498" ht="15" customHeight="1">
      <c r="A498" t="inlineStr">
        <is>
          <t>A 39713-2022</t>
        </is>
      </c>
      <c r="B498" s="1" t="n">
        <v>44819</v>
      </c>
      <c r="C498" s="1" t="n">
        <v>45358</v>
      </c>
      <c r="D498" t="inlineStr">
        <is>
          <t>JÄMTLANDS LÄN</t>
        </is>
      </c>
      <c r="E498" t="inlineStr">
        <is>
          <t>ÅRE</t>
        </is>
      </c>
      <c r="G498" t="n">
        <v>10.4</v>
      </c>
      <c r="H498" t="n">
        <v>0</v>
      </c>
      <c r="I498" t="n">
        <v>0</v>
      </c>
      <c r="J498" t="n">
        <v>0</v>
      </c>
      <c r="K498" t="n">
        <v>0</v>
      </c>
      <c r="L498" t="n">
        <v>0</v>
      </c>
      <c r="M498" t="n">
        <v>0</v>
      </c>
      <c r="N498" t="n">
        <v>0</v>
      </c>
      <c r="O498" t="n">
        <v>0</v>
      </c>
      <c r="P498" t="n">
        <v>0</v>
      </c>
      <c r="Q498" t="n">
        <v>0</v>
      </c>
      <c r="R498" s="2" t="inlineStr"/>
    </row>
    <row r="499" ht="15" customHeight="1">
      <c r="A499" t="inlineStr">
        <is>
          <t>A 41015-2022</t>
        </is>
      </c>
      <c r="B499" s="1" t="n">
        <v>44820</v>
      </c>
      <c r="C499" s="1" t="n">
        <v>45358</v>
      </c>
      <c r="D499" t="inlineStr">
        <is>
          <t>JÄMTLANDS LÄN</t>
        </is>
      </c>
      <c r="E499" t="inlineStr">
        <is>
          <t>ÅRE</t>
        </is>
      </c>
      <c r="F499" t="inlineStr">
        <is>
          <t>Övriga statliga verk och myndigheter</t>
        </is>
      </c>
      <c r="G499" t="n">
        <v>8</v>
      </c>
      <c r="H499" t="n">
        <v>0</v>
      </c>
      <c r="I499" t="n">
        <v>0</v>
      </c>
      <c r="J499" t="n">
        <v>0</v>
      </c>
      <c r="K499" t="n">
        <v>0</v>
      </c>
      <c r="L499" t="n">
        <v>0</v>
      </c>
      <c r="M499" t="n">
        <v>0</v>
      </c>
      <c r="N499" t="n">
        <v>0</v>
      </c>
      <c r="O499" t="n">
        <v>0</v>
      </c>
      <c r="P499" t="n">
        <v>0</v>
      </c>
      <c r="Q499" t="n">
        <v>0</v>
      </c>
      <c r="R499" s="2" t="inlineStr"/>
    </row>
    <row r="500" ht="15" customHeight="1">
      <c r="A500" t="inlineStr">
        <is>
          <t>A 41162-2022</t>
        </is>
      </c>
      <c r="B500" s="1" t="n">
        <v>44825</v>
      </c>
      <c r="C500" s="1" t="n">
        <v>45358</v>
      </c>
      <c r="D500" t="inlineStr">
        <is>
          <t>JÄMTLANDS LÄN</t>
        </is>
      </c>
      <c r="E500" t="inlineStr">
        <is>
          <t>ÅRE</t>
        </is>
      </c>
      <c r="G500" t="n">
        <v>11.3</v>
      </c>
      <c r="H500" t="n">
        <v>0</v>
      </c>
      <c r="I500" t="n">
        <v>0</v>
      </c>
      <c r="J500" t="n">
        <v>0</v>
      </c>
      <c r="K500" t="n">
        <v>0</v>
      </c>
      <c r="L500" t="n">
        <v>0</v>
      </c>
      <c r="M500" t="n">
        <v>0</v>
      </c>
      <c r="N500" t="n">
        <v>0</v>
      </c>
      <c r="O500" t="n">
        <v>0</v>
      </c>
      <c r="P500" t="n">
        <v>0</v>
      </c>
      <c r="Q500" t="n">
        <v>0</v>
      </c>
      <c r="R500" s="2" t="inlineStr"/>
    </row>
    <row r="501" ht="15" customHeight="1">
      <c r="A501" t="inlineStr">
        <is>
          <t>A 41655-2022</t>
        </is>
      </c>
      <c r="B501" s="1" t="n">
        <v>44827</v>
      </c>
      <c r="C501" s="1" t="n">
        <v>45358</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41654-2022</t>
        </is>
      </c>
      <c r="B502" s="1" t="n">
        <v>44827</v>
      </c>
      <c r="C502" s="1" t="n">
        <v>45358</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41657-2022</t>
        </is>
      </c>
      <c r="B503" s="1" t="n">
        <v>44827</v>
      </c>
      <c r="C503" s="1" t="n">
        <v>45358</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42136-2022</t>
        </is>
      </c>
      <c r="B504" s="1" t="n">
        <v>44830</v>
      </c>
      <c r="C504" s="1" t="n">
        <v>45358</v>
      </c>
      <c r="D504" t="inlineStr">
        <is>
          <t>JÄMTLANDS LÄN</t>
        </is>
      </c>
      <c r="E504" t="inlineStr">
        <is>
          <t>ÅRE</t>
        </is>
      </c>
      <c r="F504" t="inlineStr">
        <is>
          <t>Bergvik skog öst AB</t>
        </is>
      </c>
      <c r="G504" t="n">
        <v>3.1</v>
      </c>
      <c r="H504" t="n">
        <v>0</v>
      </c>
      <c r="I504" t="n">
        <v>0</v>
      </c>
      <c r="J504" t="n">
        <v>0</v>
      </c>
      <c r="K504" t="n">
        <v>0</v>
      </c>
      <c r="L504" t="n">
        <v>0</v>
      </c>
      <c r="M504" t="n">
        <v>0</v>
      </c>
      <c r="N504" t="n">
        <v>0</v>
      </c>
      <c r="O504" t="n">
        <v>0</v>
      </c>
      <c r="P504" t="n">
        <v>0</v>
      </c>
      <c r="Q504" t="n">
        <v>0</v>
      </c>
      <c r="R504" s="2" t="inlineStr"/>
    </row>
    <row r="505" ht="15" customHeight="1">
      <c r="A505" t="inlineStr">
        <is>
          <t>A 43180-2022</t>
        </is>
      </c>
      <c r="B505" s="1" t="n">
        <v>44833</v>
      </c>
      <c r="C505" s="1" t="n">
        <v>45358</v>
      </c>
      <c r="D505" t="inlineStr">
        <is>
          <t>JÄMTLANDS LÄN</t>
        </is>
      </c>
      <c r="E505" t="inlineStr">
        <is>
          <t>ÅRE</t>
        </is>
      </c>
      <c r="G505" t="n">
        <v>17.9</v>
      </c>
      <c r="H505" t="n">
        <v>0</v>
      </c>
      <c r="I505" t="n">
        <v>0</v>
      </c>
      <c r="J505" t="n">
        <v>0</v>
      </c>
      <c r="K505" t="n">
        <v>0</v>
      </c>
      <c r="L505" t="n">
        <v>0</v>
      </c>
      <c r="M505" t="n">
        <v>0</v>
      </c>
      <c r="N505" t="n">
        <v>0</v>
      </c>
      <c r="O505" t="n">
        <v>0</v>
      </c>
      <c r="P505" t="n">
        <v>0</v>
      </c>
      <c r="Q505" t="n">
        <v>0</v>
      </c>
      <c r="R505" s="2" t="inlineStr"/>
    </row>
    <row r="506" ht="15" customHeight="1">
      <c r="A506" t="inlineStr">
        <is>
          <t>A 43324-2022</t>
        </is>
      </c>
      <c r="B506" s="1" t="n">
        <v>44834</v>
      </c>
      <c r="C506" s="1" t="n">
        <v>45358</v>
      </c>
      <c r="D506" t="inlineStr">
        <is>
          <t>JÄMTLANDS LÄN</t>
        </is>
      </c>
      <c r="E506" t="inlineStr">
        <is>
          <t>ÅRE</t>
        </is>
      </c>
      <c r="F506" t="inlineStr">
        <is>
          <t>Bergvik skog öst AB</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43583-2022</t>
        </is>
      </c>
      <c r="B507" s="1" t="n">
        <v>44834</v>
      </c>
      <c r="C507" s="1" t="n">
        <v>45358</v>
      </c>
      <c r="D507" t="inlineStr">
        <is>
          <t>JÄMTLANDS LÄN</t>
        </is>
      </c>
      <c r="E507" t="inlineStr">
        <is>
          <t>ÅRE</t>
        </is>
      </c>
      <c r="G507" t="n">
        <v>6.7</v>
      </c>
      <c r="H507" t="n">
        <v>0</v>
      </c>
      <c r="I507" t="n">
        <v>0</v>
      </c>
      <c r="J507" t="n">
        <v>0</v>
      </c>
      <c r="K507" t="n">
        <v>0</v>
      </c>
      <c r="L507" t="n">
        <v>0</v>
      </c>
      <c r="M507" t="n">
        <v>0</v>
      </c>
      <c r="N507" t="n">
        <v>0</v>
      </c>
      <c r="O507" t="n">
        <v>0</v>
      </c>
      <c r="P507" t="n">
        <v>0</v>
      </c>
      <c r="Q507" t="n">
        <v>0</v>
      </c>
      <c r="R507" s="2" t="inlineStr"/>
    </row>
    <row r="508" ht="15" customHeight="1">
      <c r="A508" t="inlineStr">
        <is>
          <t>A 44502-2022</t>
        </is>
      </c>
      <c r="B508" s="1" t="n">
        <v>44840</v>
      </c>
      <c r="C508" s="1" t="n">
        <v>45358</v>
      </c>
      <c r="D508" t="inlineStr">
        <is>
          <t>JÄMTLANDS LÄN</t>
        </is>
      </c>
      <c r="E508" t="inlineStr">
        <is>
          <t>ÅRE</t>
        </is>
      </c>
      <c r="G508" t="n">
        <v>2.6</v>
      </c>
      <c r="H508" t="n">
        <v>0</v>
      </c>
      <c r="I508" t="n">
        <v>0</v>
      </c>
      <c r="J508" t="n">
        <v>0</v>
      </c>
      <c r="K508" t="n">
        <v>0</v>
      </c>
      <c r="L508" t="n">
        <v>0</v>
      </c>
      <c r="M508" t="n">
        <v>0</v>
      </c>
      <c r="N508" t="n">
        <v>0</v>
      </c>
      <c r="O508" t="n">
        <v>0</v>
      </c>
      <c r="P508" t="n">
        <v>0</v>
      </c>
      <c r="Q508" t="n">
        <v>0</v>
      </c>
      <c r="R508" s="2" t="inlineStr"/>
    </row>
    <row r="509" ht="15" customHeight="1">
      <c r="A509" t="inlineStr">
        <is>
          <t>A 45461-2022</t>
        </is>
      </c>
      <c r="B509" s="1" t="n">
        <v>44841</v>
      </c>
      <c r="C509" s="1" t="n">
        <v>45358</v>
      </c>
      <c r="D509" t="inlineStr">
        <is>
          <t>JÄMTLANDS LÄN</t>
        </is>
      </c>
      <c r="E509" t="inlineStr">
        <is>
          <t>ÅRE</t>
        </is>
      </c>
      <c r="G509" t="n">
        <v>1</v>
      </c>
      <c r="H509" t="n">
        <v>0</v>
      </c>
      <c r="I509" t="n">
        <v>0</v>
      </c>
      <c r="J509" t="n">
        <v>0</v>
      </c>
      <c r="K509" t="n">
        <v>0</v>
      </c>
      <c r="L509" t="n">
        <v>0</v>
      </c>
      <c r="M509" t="n">
        <v>0</v>
      </c>
      <c r="N509" t="n">
        <v>0</v>
      </c>
      <c r="O509" t="n">
        <v>0</v>
      </c>
      <c r="P509" t="n">
        <v>0</v>
      </c>
      <c r="Q509" t="n">
        <v>0</v>
      </c>
      <c r="R509" s="2" t="inlineStr"/>
    </row>
    <row r="510" ht="15" customHeight="1">
      <c r="A510" t="inlineStr">
        <is>
          <t>A 45660-2022</t>
        </is>
      </c>
      <c r="B510" s="1" t="n">
        <v>44845</v>
      </c>
      <c r="C510" s="1" t="n">
        <v>45358</v>
      </c>
      <c r="D510" t="inlineStr">
        <is>
          <t>JÄMTLANDS LÄN</t>
        </is>
      </c>
      <c r="E510" t="inlineStr">
        <is>
          <t>ÅRE</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46491-2022</t>
        </is>
      </c>
      <c r="B511" s="1" t="n">
        <v>44848</v>
      </c>
      <c r="C511" s="1" t="n">
        <v>45358</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46497-2022</t>
        </is>
      </c>
      <c r="B512" s="1" t="n">
        <v>44848</v>
      </c>
      <c r="C512" s="1" t="n">
        <v>45358</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46488-2022</t>
        </is>
      </c>
      <c r="B513" s="1" t="n">
        <v>44848</v>
      </c>
      <c r="C513" s="1" t="n">
        <v>45358</v>
      </c>
      <c r="D513" t="inlineStr">
        <is>
          <t>JÄMTLANDS LÄN</t>
        </is>
      </c>
      <c r="E513" t="inlineStr">
        <is>
          <t>ÅRE</t>
        </is>
      </c>
      <c r="G513" t="n">
        <v>2</v>
      </c>
      <c r="H513" t="n">
        <v>0</v>
      </c>
      <c r="I513" t="n">
        <v>0</v>
      </c>
      <c r="J513" t="n">
        <v>0</v>
      </c>
      <c r="K513" t="n">
        <v>0</v>
      </c>
      <c r="L513" t="n">
        <v>0</v>
      </c>
      <c r="M513" t="n">
        <v>0</v>
      </c>
      <c r="N513" t="n">
        <v>0</v>
      </c>
      <c r="O513" t="n">
        <v>0</v>
      </c>
      <c r="P513" t="n">
        <v>0</v>
      </c>
      <c r="Q513" t="n">
        <v>0</v>
      </c>
      <c r="R513" s="2" t="inlineStr"/>
    </row>
    <row r="514" ht="15" customHeight="1">
      <c r="A514" t="inlineStr">
        <is>
          <t>A 46494-2022</t>
        </is>
      </c>
      <c r="B514" s="1" t="n">
        <v>44848</v>
      </c>
      <c r="C514" s="1" t="n">
        <v>45358</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46744-2022</t>
        </is>
      </c>
      <c r="B515" s="1" t="n">
        <v>44851</v>
      </c>
      <c r="C515" s="1" t="n">
        <v>45358</v>
      </c>
      <c r="D515" t="inlineStr">
        <is>
          <t>JÄMTLANDS LÄN</t>
        </is>
      </c>
      <c r="E515" t="inlineStr">
        <is>
          <t>ÅRE</t>
        </is>
      </c>
      <c r="F515" t="inlineStr">
        <is>
          <t>Övriga Aktiebolag</t>
        </is>
      </c>
      <c r="G515" t="n">
        <v>3.1</v>
      </c>
      <c r="H515" t="n">
        <v>0</v>
      </c>
      <c r="I515" t="n">
        <v>0</v>
      </c>
      <c r="J515" t="n">
        <v>0</v>
      </c>
      <c r="K515" t="n">
        <v>0</v>
      </c>
      <c r="L515" t="n">
        <v>0</v>
      </c>
      <c r="M515" t="n">
        <v>0</v>
      </c>
      <c r="N515" t="n">
        <v>0</v>
      </c>
      <c r="O515" t="n">
        <v>0</v>
      </c>
      <c r="P515" t="n">
        <v>0</v>
      </c>
      <c r="Q515" t="n">
        <v>0</v>
      </c>
      <c r="R515" s="2" t="inlineStr"/>
    </row>
    <row r="516" ht="15" customHeight="1">
      <c r="A516" t="inlineStr">
        <is>
          <t>A 47052-2022</t>
        </is>
      </c>
      <c r="B516" s="1" t="n">
        <v>44851</v>
      </c>
      <c r="C516" s="1" t="n">
        <v>45358</v>
      </c>
      <c r="D516" t="inlineStr">
        <is>
          <t>JÄMTLANDS LÄN</t>
        </is>
      </c>
      <c r="E516" t="inlineStr">
        <is>
          <t>ÅRE</t>
        </is>
      </c>
      <c r="G516" t="n">
        <v>90.8</v>
      </c>
      <c r="H516" t="n">
        <v>0</v>
      </c>
      <c r="I516" t="n">
        <v>0</v>
      </c>
      <c r="J516" t="n">
        <v>0</v>
      </c>
      <c r="K516" t="n">
        <v>0</v>
      </c>
      <c r="L516" t="n">
        <v>0</v>
      </c>
      <c r="M516" t="n">
        <v>0</v>
      </c>
      <c r="N516" t="n">
        <v>0</v>
      </c>
      <c r="O516" t="n">
        <v>0</v>
      </c>
      <c r="P516" t="n">
        <v>0</v>
      </c>
      <c r="Q516" t="n">
        <v>0</v>
      </c>
      <c r="R516" s="2" t="inlineStr"/>
    </row>
    <row r="517" ht="15" customHeight="1">
      <c r="A517" t="inlineStr">
        <is>
          <t>A 47664-2022</t>
        </is>
      </c>
      <c r="B517" s="1" t="n">
        <v>44854</v>
      </c>
      <c r="C517" s="1" t="n">
        <v>45358</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47873-2022</t>
        </is>
      </c>
      <c r="B518" s="1" t="n">
        <v>44855</v>
      </c>
      <c r="C518" s="1" t="n">
        <v>45358</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48898-2022</t>
        </is>
      </c>
      <c r="B519" s="1" t="n">
        <v>44860</v>
      </c>
      <c r="C519" s="1" t="n">
        <v>45358</v>
      </c>
      <c r="D519" t="inlineStr">
        <is>
          <t>JÄMTLANDS LÄN</t>
        </is>
      </c>
      <c r="E519" t="inlineStr">
        <is>
          <t>ÅRE</t>
        </is>
      </c>
      <c r="F519" t="inlineStr">
        <is>
          <t>Övriga Aktiebolag</t>
        </is>
      </c>
      <c r="G519" t="n">
        <v>4.6</v>
      </c>
      <c r="H519" t="n">
        <v>0</v>
      </c>
      <c r="I519" t="n">
        <v>0</v>
      </c>
      <c r="J519" t="n">
        <v>0</v>
      </c>
      <c r="K519" t="n">
        <v>0</v>
      </c>
      <c r="L519" t="n">
        <v>0</v>
      </c>
      <c r="M519" t="n">
        <v>0</v>
      </c>
      <c r="N519" t="n">
        <v>0</v>
      </c>
      <c r="O519" t="n">
        <v>0</v>
      </c>
      <c r="P519" t="n">
        <v>0</v>
      </c>
      <c r="Q519" t="n">
        <v>0</v>
      </c>
      <c r="R519" s="2" t="inlineStr"/>
    </row>
    <row r="520" ht="15" customHeight="1">
      <c r="A520" t="inlineStr">
        <is>
          <t>A 49818-2022</t>
        </is>
      </c>
      <c r="B520" s="1" t="n">
        <v>44859</v>
      </c>
      <c r="C520" s="1" t="n">
        <v>45358</v>
      </c>
      <c r="D520" t="inlineStr">
        <is>
          <t>JÄMTLANDS LÄN</t>
        </is>
      </c>
      <c r="E520" t="inlineStr">
        <is>
          <t>ÅRE</t>
        </is>
      </c>
      <c r="G520" t="n">
        <v>63</v>
      </c>
      <c r="H520" t="n">
        <v>0</v>
      </c>
      <c r="I520" t="n">
        <v>0</v>
      </c>
      <c r="J520" t="n">
        <v>0</v>
      </c>
      <c r="K520" t="n">
        <v>0</v>
      </c>
      <c r="L520" t="n">
        <v>0</v>
      </c>
      <c r="M520" t="n">
        <v>0</v>
      </c>
      <c r="N520" t="n">
        <v>0</v>
      </c>
      <c r="O520" t="n">
        <v>0</v>
      </c>
      <c r="P520" t="n">
        <v>0</v>
      </c>
      <c r="Q520" t="n">
        <v>0</v>
      </c>
      <c r="R520" s="2" t="inlineStr"/>
    </row>
    <row r="521" ht="15" customHeight="1">
      <c r="A521" t="inlineStr">
        <is>
          <t>A 49610-2022</t>
        </is>
      </c>
      <c r="B521" s="1" t="n">
        <v>44859</v>
      </c>
      <c r="C521" s="1" t="n">
        <v>45358</v>
      </c>
      <c r="D521" t="inlineStr">
        <is>
          <t>JÄMTLANDS LÄN</t>
        </is>
      </c>
      <c r="E521" t="inlineStr">
        <is>
          <t>ÅRE</t>
        </is>
      </c>
      <c r="G521" t="n">
        <v>26.2</v>
      </c>
      <c r="H521" t="n">
        <v>0</v>
      </c>
      <c r="I521" t="n">
        <v>0</v>
      </c>
      <c r="J521" t="n">
        <v>0</v>
      </c>
      <c r="K521" t="n">
        <v>0</v>
      </c>
      <c r="L521" t="n">
        <v>0</v>
      </c>
      <c r="M521" t="n">
        <v>0</v>
      </c>
      <c r="N521" t="n">
        <v>0</v>
      </c>
      <c r="O521" t="n">
        <v>0</v>
      </c>
      <c r="P521" t="n">
        <v>0</v>
      </c>
      <c r="Q521" t="n">
        <v>0</v>
      </c>
      <c r="R521" s="2" t="inlineStr"/>
    </row>
    <row r="522" ht="15" customHeight="1">
      <c r="A522" t="inlineStr">
        <is>
          <t>A 50307-2022</t>
        </is>
      </c>
      <c r="B522" s="1" t="n">
        <v>44865</v>
      </c>
      <c r="C522" s="1" t="n">
        <v>45358</v>
      </c>
      <c r="D522" t="inlineStr">
        <is>
          <t>JÄMTLANDS LÄN</t>
        </is>
      </c>
      <c r="E522" t="inlineStr">
        <is>
          <t>ÅRE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52313-2022</t>
        </is>
      </c>
      <c r="B523" s="1" t="n">
        <v>44873</v>
      </c>
      <c r="C523" s="1" t="n">
        <v>45358</v>
      </c>
      <c r="D523" t="inlineStr">
        <is>
          <t>JÄMTLANDS LÄN</t>
        </is>
      </c>
      <c r="E523" t="inlineStr">
        <is>
          <t>ÅRE</t>
        </is>
      </c>
      <c r="G523" t="n">
        <v>3.4</v>
      </c>
      <c r="H523" t="n">
        <v>0</v>
      </c>
      <c r="I523" t="n">
        <v>0</v>
      </c>
      <c r="J523" t="n">
        <v>0</v>
      </c>
      <c r="K523" t="n">
        <v>0</v>
      </c>
      <c r="L523" t="n">
        <v>0</v>
      </c>
      <c r="M523" t="n">
        <v>0</v>
      </c>
      <c r="N523" t="n">
        <v>0</v>
      </c>
      <c r="O523" t="n">
        <v>0</v>
      </c>
      <c r="P523" t="n">
        <v>0</v>
      </c>
      <c r="Q523" t="n">
        <v>0</v>
      </c>
      <c r="R523" s="2" t="inlineStr"/>
    </row>
    <row r="524" ht="15" customHeight="1">
      <c r="A524" t="inlineStr">
        <is>
          <t>A 52470-2022</t>
        </is>
      </c>
      <c r="B524" s="1" t="n">
        <v>44874</v>
      </c>
      <c r="C524" s="1" t="n">
        <v>45358</v>
      </c>
      <c r="D524" t="inlineStr">
        <is>
          <t>JÄMTLANDS LÄN</t>
        </is>
      </c>
      <c r="E524" t="inlineStr">
        <is>
          <t>ÅRE</t>
        </is>
      </c>
      <c r="G524" t="n">
        <v>1.7</v>
      </c>
      <c r="H524" t="n">
        <v>0</v>
      </c>
      <c r="I524" t="n">
        <v>0</v>
      </c>
      <c r="J524" t="n">
        <v>0</v>
      </c>
      <c r="K524" t="n">
        <v>0</v>
      </c>
      <c r="L524" t="n">
        <v>0</v>
      </c>
      <c r="M524" t="n">
        <v>0</v>
      </c>
      <c r="N524" t="n">
        <v>0</v>
      </c>
      <c r="O524" t="n">
        <v>0</v>
      </c>
      <c r="P524" t="n">
        <v>0</v>
      </c>
      <c r="Q524" t="n">
        <v>0</v>
      </c>
      <c r="R524" s="2" t="inlineStr"/>
    </row>
    <row r="525" ht="15" customHeight="1">
      <c r="A525" t="inlineStr">
        <is>
          <t>A 52485-2022</t>
        </is>
      </c>
      <c r="B525" s="1" t="n">
        <v>44874</v>
      </c>
      <c r="C525" s="1" t="n">
        <v>45358</v>
      </c>
      <c r="D525" t="inlineStr">
        <is>
          <t>JÄMTLANDS LÄN</t>
        </is>
      </c>
      <c r="E525" t="inlineStr">
        <is>
          <t>ÅRE</t>
        </is>
      </c>
      <c r="G525" t="n">
        <v>3.2</v>
      </c>
      <c r="H525" t="n">
        <v>0</v>
      </c>
      <c r="I525" t="n">
        <v>0</v>
      </c>
      <c r="J525" t="n">
        <v>0</v>
      </c>
      <c r="K525" t="n">
        <v>0</v>
      </c>
      <c r="L525" t="n">
        <v>0</v>
      </c>
      <c r="M525" t="n">
        <v>0</v>
      </c>
      <c r="N525" t="n">
        <v>0</v>
      </c>
      <c r="O525" t="n">
        <v>0</v>
      </c>
      <c r="P525" t="n">
        <v>0</v>
      </c>
      <c r="Q525" t="n">
        <v>0</v>
      </c>
      <c r="R525" s="2" t="inlineStr"/>
    </row>
    <row r="526" ht="15" customHeight="1">
      <c r="A526" t="inlineStr">
        <is>
          <t>A 52707-2022</t>
        </is>
      </c>
      <c r="B526" s="1" t="n">
        <v>44874</v>
      </c>
      <c r="C526" s="1" t="n">
        <v>45358</v>
      </c>
      <c r="D526" t="inlineStr">
        <is>
          <t>JÄMTLANDS LÄN</t>
        </is>
      </c>
      <c r="E526" t="inlineStr">
        <is>
          <t>ÅRE</t>
        </is>
      </c>
      <c r="F526" t="inlineStr">
        <is>
          <t>Övriga Aktiebolag</t>
        </is>
      </c>
      <c r="G526" t="n">
        <v>2.3</v>
      </c>
      <c r="H526" t="n">
        <v>0</v>
      </c>
      <c r="I526" t="n">
        <v>0</v>
      </c>
      <c r="J526" t="n">
        <v>0</v>
      </c>
      <c r="K526" t="n">
        <v>0</v>
      </c>
      <c r="L526" t="n">
        <v>0</v>
      </c>
      <c r="M526" t="n">
        <v>0</v>
      </c>
      <c r="N526" t="n">
        <v>0</v>
      </c>
      <c r="O526" t="n">
        <v>0</v>
      </c>
      <c r="P526" t="n">
        <v>0</v>
      </c>
      <c r="Q526" t="n">
        <v>0</v>
      </c>
      <c r="R526" s="2" t="inlineStr"/>
    </row>
    <row r="527" ht="15" customHeight="1">
      <c r="A527" t="inlineStr">
        <is>
          <t>A 54615-2022</t>
        </is>
      </c>
      <c r="B527" s="1" t="n">
        <v>44883</v>
      </c>
      <c r="C527" s="1" t="n">
        <v>45358</v>
      </c>
      <c r="D527" t="inlineStr">
        <is>
          <t>JÄMTLANDS LÄN</t>
        </is>
      </c>
      <c r="E527" t="inlineStr">
        <is>
          <t>ÅRE</t>
        </is>
      </c>
      <c r="F527" t="inlineStr">
        <is>
          <t>Övriga Aktiebolag</t>
        </is>
      </c>
      <c r="G527" t="n">
        <v>5.1</v>
      </c>
      <c r="H527" t="n">
        <v>0</v>
      </c>
      <c r="I527" t="n">
        <v>0</v>
      </c>
      <c r="J527" t="n">
        <v>0</v>
      </c>
      <c r="K527" t="n">
        <v>0</v>
      </c>
      <c r="L527" t="n">
        <v>0</v>
      </c>
      <c r="M527" t="n">
        <v>0</v>
      </c>
      <c r="N527" t="n">
        <v>0</v>
      </c>
      <c r="O527" t="n">
        <v>0</v>
      </c>
      <c r="P527" t="n">
        <v>0</v>
      </c>
      <c r="Q527" t="n">
        <v>0</v>
      </c>
      <c r="R527" s="2" t="inlineStr"/>
    </row>
    <row r="528" ht="15" customHeight="1">
      <c r="A528" t="inlineStr">
        <is>
          <t>A 54611-2022</t>
        </is>
      </c>
      <c r="B528" s="1" t="n">
        <v>44883</v>
      </c>
      <c r="C528" s="1" t="n">
        <v>45358</v>
      </c>
      <c r="D528" t="inlineStr">
        <is>
          <t>JÄMTLANDS LÄN</t>
        </is>
      </c>
      <c r="E528" t="inlineStr">
        <is>
          <t>ÅRE</t>
        </is>
      </c>
      <c r="F528" t="inlineStr">
        <is>
          <t>Övriga Aktiebolag</t>
        </is>
      </c>
      <c r="G528" t="n">
        <v>11.7</v>
      </c>
      <c r="H528" t="n">
        <v>0</v>
      </c>
      <c r="I528" t="n">
        <v>0</v>
      </c>
      <c r="J528" t="n">
        <v>0</v>
      </c>
      <c r="K528" t="n">
        <v>0</v>
      </c>
      <c r="L528" t="n">
        <v>0</v>
      </c>
      <c r="M528" t="n">
        <v>0</v>
      </c>
      <c r="N528" t="n">
        <v>0</v>
      </c>
      <c r="O528" t="n">
        <v>0</v>
      </c>
      <c r="P528" t="n">
        <v>0</v>
      </c>
      <c r="Q528" t="n">
        <v>0</v>
      </c>
      <c r="R528" s="2" t="inlineStr"/>
    </row>
    <row r="529" ht="15" customHeight="1">
      <c r="A529" t="inlineStr">
        <is>
          <t>A 54904-2022</t>
        </is>
      </c>
      <c r="B529" s="1" t="n">
        <v>44886</v>
      </c>
      <c r="C529" s="1" t="n">
        <v>45358</v>
      </c>
      <c r="D529" t="inlineStr">
        <is>
          <t>JÄMTLANDS LÄN</t>
        </is>
      </c>
      <c r="E529" t="inlineStr">
        <is>
          <t>ÅRE</t>
        </is>
      </c>
      <c r="F529" t="inlineStr">
        <is>
          <t>Övriga Aktiebolag</t>
        </is>
      </c>
      <c r="G529" t="n">
        <v>12.2</v>
      </c>
      <c r="H529" t="n">
        <v>0</v>
      </c>
      <c r="I529" t="n">
        <v>0</v>
      </c>
      <c r="J529" t="n">
        <v>0</v>
      </c>
      <c r="K529" t="n">
        <v>0</v>
      </c>
      <c r="L529" t="n">
        <v>0</v>
      </c>
      <c r="M529" t="n">
        <v>0</v>
      </c>
      <c r="N529" t="n">
        <v>0</v>
      </c>
      <c r="O529" t="n">
        <v>0</v>
      </c>
      <c r="P529" t="n">
        <v>0</v>
      </c>
      <c r="Q529" t="n">
        <v>0</v>
      </c>
      <c r="R529" s="2" t="inlineStr"/>
    </row>
    <row r="530" ht="15" customHeight="1">
      <c r="A530" t="inlineStr">
        <is>
          <t>A 55194-2022</t>
        </is>
      </c>
      <c r="B530" s="1" t="n">
        <v>44886</v>
      </c>
      <c r="C530" s="1" t="n">
        <v>45358</v>
      </c>
      <c r="D530" t="inlineStr">
        <is>
          <t>JÄMTLANDS LÄN</t>
        </is>
      </c>
      <c r="E530" t="inlineStr">
        <is>
          <t>ÅRE</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45358</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45358</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45358</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45358</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45358</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45358</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45358</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45358</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45358</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45358</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45358</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45358</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45358</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45358</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45358</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45358</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45358</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45358</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45358</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45358</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45358</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45358</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45358</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45358</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45358</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45358</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45358</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45358</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45358</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45358</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45358</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45358</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45358</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45358</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45358</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45358</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45358</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45358</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45358</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45358</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45358</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45358</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45358</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45358</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45358</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45358</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45358</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45358</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45358</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45358</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45358</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45358</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45358</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45358</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45358</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45358</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45358</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45358</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45358</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45358</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45358</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45358</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45358</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45358</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45358</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45358</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45358</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45358</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45358</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45358</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45358</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45358</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45358</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45358</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45358</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45358</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45358</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45358</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5611-2023</t>
        </is>
      </c>
      <c r="B609" s="1" t="n">
        <v>44958</v>
      </c>
      <c r="C609" s="1" t="n">
        <v>45358</v>
      </c>
      <c r="D609" t="inlineStr">
        <is>
          <t>JÄMTLANDS LÄN</t>
        </is>
      </c>
      <c r="E609" t="inlineStr">
        <is>
          <t>ÅRE</t>
        </is>
      </c>
      <c r="G609" t="n">
        <v>10.5</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45358</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45358</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45358</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45358</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45358</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45358</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45358</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45358</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45358</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45358</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45358</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45358</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45358</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45358</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45358</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45358</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45358</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45358</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45358</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45358</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45358</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45358</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45358</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45358</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45358</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45358</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45358</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45358</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45358</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45358</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45358</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45358</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45358</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45358</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45358</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45358</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45358</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45358</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45358</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45358</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45358</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45358</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45358</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45358</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45358</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45358</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45358</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45358</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45358</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45358</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45358</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45358</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45358</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45358</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45358</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45358</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45358</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45358</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45358</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45358</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45358</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45358</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45358</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45358</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45358</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45358</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45358</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45358</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45358</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45358</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45358</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45358</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45358</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45358</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45358</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45358</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45358</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45358</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45358</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45358</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45358</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45358</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45358</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45358</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45358</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45358</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45358</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45358</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45358</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45358</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45358</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45358</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45358</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45358</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45358</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45358</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45358</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45358</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45358</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45358</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45358</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45358</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45358</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45358</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54128-2023</t>
        </is>
      </c>
      <c r="B714" s="1" t="n">
        <v>45232</v>
      </c>
      <c r="C714" s="1" t="n">
        <v>45358</v>
      </c>
      <c r="D714" t="inlineStr">
        <is>
          <t>JÄMTLANDS LÄN</t>
        </is>
      </c>
      <c r="E714" t="inlineStr">
        <is>
          <t>ÅRE</t>
        </is>
      </c>
      <c r="G714" t="n">
        <v>3.9</v>
      </c>
      <c r="H714" t="n">
        <v>0</v>
      </c>
      <c r="I714" t="n">
        <v>0</v>
      </c>
      <c r="J714" t="n">
        <v>0</v>
      </c>
      <c r="K714" t="n">
        <v>0</v>
      </c>
      <c r="L714" t="n">
        <v>0</v>
      </c>
      <c r="M714" t="n">
        <v>0</v>
      </c>
      <c r="N714" t="n">
        <v>0</v>
      </c>
      <c r="O714" t="n">
        <v>0</v>
      </c>
      <c r="P714" t="n">
        <v>0</v>
      </c>
      <c r="Q714" t="n">
        <v>0</v>
      </c>
      <c r="R714" s="2" t="inlineStr"/>
    </row>
    <row r="715" ht="15" customHeight="1">
      <c r="A715" t="inlineStr">
        <is>
          <t>A 54175-2023</t>
        </is>
      </c>
      <c r="B715" s="1" t="n">
        <v>45232</v>
      </c>
      <c r="C715" s="1" t="n">
        <v>45358</v>
      </c>
      <c r="D715" t="inlineStr">
        <is>
          <t>JÄMTLANDS LÄN</t>
        </is>
      </c>
      <c r="E715" t="inlineStr">
        <is>
          <t>ÅRE</t>
        </is>
      </c>
      <c r="G715" t="n">
        <v>0.1</v>
      </c>
      <c r="H715" t="n">
        <v>0</v>
      </c>
      <c r="I715" t="n">
        <v>0</v>
      </c>
      <c r="J715" t="n">
        <v>0</v>
      </c>
      <c r="K715" t="n">
        <v>0</v>
      </c>
      <c r="L715" t="n">
        <v>0</v>
      </c>
      <c r="M715" t="n">
        <v>0</v>
      </c>
      <c r="N715" t="n">
        <v>0</v>
      </c>
      <c r="O715" t="n">
        <v>0</v>
      </c>
      <c r="P715" t="n">
        <v>0</v>
      </c>
      <c r="Q715" t="n">
        <v>0</v>
      </c>
      <c r="R715" s="2" t="inlineStr"/>
    </row>
    <row r="716" ht="15" customHeight="1">
      <c r="A716" t="inlineStr">
        <is>
          <t>A 56044-2023</t>
        </is>
      </c>
      <c r="B716" s="1" t="n">
        <v>45233</v>
      </c>
      <c r="C716" s="1" t="n">
        <v>45358</v>
      </c>
      <c r="D716" t="inlineStr">
        <is>
          <t>JÄMTLANDS LÄN</t>
        </is>
      </c>
      <c r="E716" t="inlineStr">
        <is>
          <t>ÅRE</t>
        </is>
      </c>
      <c r="G716" t="n">
        <v>5.3</v>
      </c>
      <c r="H716" t="n">
        <v>0</v>
      </c>
      <c r="I716" t="n">
        <v>0</v>
      </c>
      <c r="J716" t="n">
        <v>0</v>
      </c>
      <c r="K716" t="n">
        <v>0</v>
      </c>
      <c r="L716" t="n">
        <v>0</v>
      </c>
      <c r="M716" t="n">
        <v>0</v>
      </c>
      <c r="N716" t="n">
        <v>0</v>
      </c>
      <c r="O716" t="n">
        <v>0</v>
      </c>
      <c r="P716" t="n">
        <v>0</v>
      </c>
      <c r="Q716" t="n">
        <v>0</v>
      </c>
      <c r="R716" s="2" t="inlineStr"/>
    </row>
    <row r="717" ht="15" customHeight="1">
      <c r="A717" t="inlineStr">
        <is>
          <t>A 54385-2023</t>
        </is>
      </c>
      <c r="B717" s="1" t="n">
        <v>45233</v>
      </c>
      <c r="C717" s="1" t="n">
        <v>45358</v>
      </c>
      <c r="D717" t="inlineStr">
        <is>
          <t>JÄMTLANDS LÄN</t>
        </is>
      </c>
      <c r="E717" t="inlineStr">
        <is>
          <t>ÅRE</t>
        </is>
      </c>
      <c r="G717" t="n">
        <v>3.7</v>
      </c>
      <c r="H717" t="n">
        <v>0</v>
      </c>
      <c r="I717" t="n">
        <v>0</v>
      </c>
      <c r="J717" t="n">
        <v>0</v>
      </c>
      <c r="K717" t="n">
        <v>0</v>
      </c>
      <c r="L717" t="n">
        <v>0</v>
      </c>
      <c r="M717" t="n">
        <v>0</v>
      </c>
      <c r="N717" t="n">
        <v>0</v>
      </c>
      <c r="O717" t="n">
        <v>0</v>
      </c>
      <c r="P717" t="n">
        <v>0</v>
      </c>
      <c r="Q717" t="n">
        <v>0</v>
      </c>
      <c r="R717" s="2" t="inlineStr"/>
    </row>
    <row r="718" ht="15" customHeight="1">
      <c r="A718" t="inlineStr">
        <is>
          <t>A 54377-2023</t>
        </is>
      </c>
      <c r="B718" s="1" t="n">
        <v>45233</v>
      </c>
      <c r="C718" s="1" t="n">
        <v>45358</v>
      </c>
      <c r="D718" t="inlineStr">
        <is>
          <t>JÄMTLANDS LÄN</t>
        </is>
      </c>
      <c r="E718" t="inlineStr">
        <is>
          <t>ÅRE</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54373-2023</t>
        </is>
      </c>
      <c r="B719" s="1" t="n">
        <v>45233</v>
      </c>
      <c r="C719" s="1" t="n">
        <v>45358</v>
      </c>
      <c r="D719" t="inlineStr">
        <is>
          <t>JÄMTLANDS LÄN</t>
        </is>
      </c>
      <c r="E719" t="inlineStr">
        <is>
          <t>ÅRE</t>
        </is>
      </c>
      <c r="G719" t="n">
        <v>9.199999999999999</v>
      </c>
      <c r="H719" t="n">
        <v>0</v>
      </c>
      <c r="I719" t="n">
        <v>0</v>
      </c>
      <c r="J719" t="n">
        <v>0</v>
      </c>
      <c r="K719" t="n">
        <v>0</v>
      </c>
      <c r="L719" t="n">
        <v>0</v>
      </c>
      <c r="M719" t="n">
        <v>0</v>
      </c>
      <c r="N719" t="n">
        <v>0</v>
      </c>
      <c r="O719" t="n">
        <v>0</v>
      </c>
      <c r="P719" t="n">
        <v>0</v>
      </c>
      <c r="Q719" t="n">
        <v>0</v>
      </c>
      <c r="R719" s="2" t="inlineStr"/>
    </row>
    <row r="720" ht="15" customHeight="1">
      <c r="A720" t="inlineStr">
        <is>
          <t>A 54781-2023</t>
        </is>
      </c>
      <c r="B720" s="1" t="n">
        <v>45236</v>
      </c>
      <c r="C720" s="1" t="n">
        <v>45358</v>
      </c>
      <c r="D720" t="inlineStr">
        <is>
          <t>JÄMTLANDS LÄN</t>
        </is>
      </c>
      <c r="E720" t="inlineStr">
        <is>
          <t>ÅRE</t>
        </is>
      </c>
      <c r="G720" t="n">
        <v>3.5</v>
      </c>
      <c r="H720" t="n">
        <v>0</v>
      </c>
      <c r="I720" t="n">
        <v>0</v>
      </c>
      <c r="J720" t="n">
        <v>0</v>
      </c>
      <c r="K720" t="n">
        <v>0</v>
      </c>
      <c r="L720" t="n">
        <v>0</v>
      </c>
      <c r="M720" t="n">
        <v>0</v>
      </c>
      <c r="N720" t="n">
        <v>0</v>
      </c>
      <c r="O720" t="n">
        <v>0</v>
      </c>
      <c r="P720" t="n">
        <v>0</v>
      </c>
      <c r="Q720" t="n">
        <v>0</v>
      </c>
      <c r="R720" s="2" t="inlineStr"/>
    </row>
    <row r="721" ht="15" customHeight="1">
      <c r="A721" t="inlineStr">
        <is>
          <t>A 54796-2023</t>
        </is>
      </c>
      <c r="B721" s="1" t="n">
        <v>45236</v>
      </c>
      <c r="C721" s="1" t="n">
        <v>45358</v>
      </c>
      <c r="D721" t="inlineStr">
        <is>
          <t>JÄMTLANDS LÄN</t>
        </is>
      </c>
      <c r="E721" t="inlineStr">
        <is>
          <t>ÅRE</t>
        </is>
      </c>
      <c r="G721" t="n">
        <v>9.1</v>
      </c>
      <c r="H721" t="n">
        <v>0</v>
      </c>
      <c r="I721" t="n">
        <v>0</v>
      </c>
      <c r="J721" t="n">
        <v>0</v>
      </c>
      <c r="K721" t="n">
        <v>0</v>
      </c>
      <c r="L721" t="n">
        <v>0</v>
      </c>
      <c r="M721" t="n">
        <v>0</v>
      </c>
      <c r="N721" t="n">
        <v>0</v>
      </c>
      <c r="O721" t="n">
        <v>0</v>
      </c>
      <c r="P721" t="n">
        <v>0</v>
      </c>
      <c r="Q721" t="n">
        <v>0</v>
      </c>
      <c r="R721" s="2" t="inlineStr"/>
    </row>
    <row r="722" ht="15" customHeight="1">
      <c r="A722" t="inlineStr">
        <is>
          <t>A 54898-2023</t>
        </is>
      </c>
      <c r="B722" s="1" t="n">
        <v>45236</v>
      </c>
      <c r="C722" s="1" t="n">
        <v>45358</v>
      </c>
      <c r="D722" t="inlineStr">
        <is>
          <t>JÄMTLANDS LÄN</t>
        </is>
      </c>
      <c r="E722" t="inlineStr">
        <is>
          <t>ÅRE</t>
        </is>
      </c>
      <c r="G722" t="n">
        <v>2.7</v>
      </c>
      <c r="H722" t="n">
        <v>0</v>
      </c>
      <c r="I722" t="n">
        <v>0</v>
      </c>
      <c r="J722" t="n">
        <v>0</v>
      </c>
      <c r="K722" t="n">
        <v>0</v>
      </c>
      <c r="L722" t="n">
        <v>0</v>
      </c>
      <c r="M722" t="n">
        <v>0</v>
      </c>
      <c r="N722" t="n">
        <v>0</v>
      </c>
      <c r="O722" t="n">
        <v>0</v>
      </c>
      <c r="P722" t="n">
        <v>0</v>
      </c>
      <c r="Q722" t="n">
        <v>0</v>
      </c>
      <c r="R722" s="2" t="inlineStr"/>
    </row>
    <row r="723" ht="15" customHeight="1">
      <c r="A723" t="inlineStr">
        <is>
          <t>A 54907-2023</t>
        </is>
      </c>
      <c r="B723" s="1" t="n">
        <v>45236</v>
      </c>
      <c r="C723" s="1" t="n">
        <v>45358</v>
      </c>
      <c r="D723" t="inlineStr">
        <is>
          <t>JÄMTLANDS LÄN</t>
        </is>
      </c>
      <c r="E723" t="inlineStr">
        <is>
          <t>ÅRE</t>
        </is>
      </c>
      <c r="F723" t="inlineStr">
        <is>
          <t>Övriga Aktiebolag</t>
        </is>
      </c>
      <c r="G723" t="n">
        <v>2.6</v>
      </c>
      <c r="H723" t="n">
        <v>0</v>
      </c>
      <c r="I723" t="n">
        <v>0</v>
      </c>
      <c r="J723" t="n">
        <v>0</v>
      </c>
      <c r="K723" t="n">
        <v>0</v>
      </c>
      <c r="L723" t="n">
        <v>0</v>
      </c>
      <c r="M723" t="n">
        <v>0</v>
      </c>
      <c r="N723" t="n">
        <v>0</v>
      </c>
      <c r="O723" t="n">
        <v>0</v>
      </c>
      <c r="P723" t="n">
        <v>0</v>
      </c>
      <c r="Q723" t="n">
        <v>0</v>
      </c>
      <c r="R723" s="2" t="inlineStr"/>
    </row>
    <row r="724" ht="15" customHeight="1">
      <c r="A724" t="inlineStr">
        <is>
          <t>A 55860-2023</t>
        </is>
      </c>
      <c r="B724" s="1" t="n">
        <v>45239</v>
      </c>
      <c r="C724" s="1" t="n">
        <v>45358</v>
      </c>
      <c r="D724" t="inlineStr">
        <is>
          <t>JÄMTLANDS LÄN</t>
        </is>
      </c>
      <c r="E724" t="inlineStr">
        <is>
          <t>ÅRE</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56609-2023</t>
        </is>
      </c>
      <c r="B725" s="1" t="n">
        <v>45243</v>
      </c>
      <c r="C725" s="1" t="n">
        <v>45358</v>
      </c>
      <c r="D725" t="inlineStr">
        <is>
          <t>JÄMTLANDS LÄN</t>
        </is>
      </c>
      <c r="E725" t="inlineStr">
        <is>
          <t>ÅRE</t>
        </is>
      </c>
      <c r="G725" t="n">
        <v>17.9</v>
      </c>
      <c r="H725" t="n">
        <v>0</v>
      </c>
      <c r="I725" t="n">
        <v>0</v>
      </c>
      <c r="J725" t="n">
        <v>0</v>
      </c>
      <c r="K725" t="n">
        <v>0</v>
      </c>
      <c r="L725" t="n">
        <v>0</v>
      </c>
      <c r="M725" t="n">
        <v>0</v>
      </c>
      <c r="N725" t="n">
        <v>0</v>
      </c>
      <c r="O725" t="n">
        <v>0</v>
      </c>
      <c r="P725" t="n">
        <v>0</v>
      </c>
      <c r="Q725" t="n">
        <v>0</v>
      </c>
      <c r="R725" s="2" t="inlineStr"/>
    </row>
    <row r="726" ht="15" customHeight="1">
      <c r="A726" t="inlineStr">
        <is>
          <t>A 56679-2023</t>
        </is>
      </c>
      <c r="B726" s="1" t="n">
        <v>45243</v>
      </c>
      <c r="C726" s="1" t="n">
        <v>45358</v>
      </c>
      <c r="D726" t="inlineStr">
        <is>
          <t>JÄMTLANDS LÄN</t>
        </is>
      </c>
      <c r="E726" t="inlineStr">
        <is>
          <t>ÅRE</t>
        </is>
      </c>
      <c r="G726" t="n">
        <v>4.3</v>
      </c>
      <c r="H726" t="n">
        <v>0</v>
      </c>
      <c r="I726" t="n">
        <v>0</v>
      </c>
      <c r="J726" t="n">
        <v>0</v>
      </c>
      <c r="K726" t="n">
        <v>0</v>
      </c>
      <c r="L726" t="n">
        <v>0</v>
      </c>
      <c r="M726" t="n">
        <v>0</v>
      </c>
      <c r="N726" t="n">
        <v>0</v>
      </c>
      <c r="O726" t="n">
        <v>0</v>
      </c>
      <c r="P726" t="n">
        <v>0</v>
      </c>
      <c r="Q726" t="n">
        <v>0</v>
      </c>
      <c r="R726" s="2" t="inlineStr"/>
    </row>
    <row r="727" ht="15" customHeight="1">
      <c r="A727" t="inlineStr">
        <is>
          <t>A 56736-2023</t>
        </is>
      </c>
      <c r="B727" s="1" t="n">
        <v>45244</v>
      </c>
      <c r="C727" s="1" t="n">
        <v>45358</v>
      </c>
      <c r="D727" t="inlineStr">
        <is>
          <t>JÄMTLANDS LÄN</t>
        </is>
      </c>
      <c r="E727" t="inlineStr">
        <is>
          <t>ÅRE</t>
        </is>
      </c>
      <c r="F727" t="inlineStr">
        <is>
          <t>Övriga Aktiebolag</t>
        </is>
      </c>
      <c r="G727" t="n">
        <v>10.7</v>
      </c>
      <c r="H727" t="n">
        <v>0</v>
      </c>
      <c r="I727" t="n">
        <v>0</v>
      </c>
      <c r="J727" t="n">
        <v>0</v>
      </c>
      <c r="K727" t="n">
        <v>0</v>
      </c>
      <c r="L727" t="n">
        <v>0</v>
      </c>
      <c r="M727" t="n">
        <v>0</v>
      </c>
      <c r="N727" t="n">
        <v>0</v>
      </c>
      <c r="O727" t="n">
        <v>0</v>
      </c>
      <c r="P727" t="n">
        <v>0</v>
      </c>
      <c r="Q727" t="n">
        <v>0</v>
      </c>
      <c r="R727" s="2" t="inlineStr"/>
    </row>
    <row r="728" ht="15" customHeight="1">
      <c r="A728" t="inlineStr">
        <is>
          <t>A 56976-2023</t>
        </is>
      </c>
      <c r="B728" s="1" t="n">
        <v>45244</v>
      </c>
      <c r="C728" s="1" t="n">
        <v>45358</v>
      </c>
      <c r="D728" t="inlineStr">
        <is>
          <t>JÄMTLANDS LÄN</t>
        </is>
      </c>
      <c r="E728" t="inlineStr">
        <is>
          <t>ÅRE</t>
        </is>
      </c>
      <c r="F728" t="inlineStr">
        <is>
          <t>Övriga Aktiebolag</t>
        </is>
      </c>
      <c r="G728" t="n">
        <v>4.9</v>
      </c>
      <c r="H728" t="n">
        <v>0</v>
      </c>
      <c r="I728" t="n">
        <v>0</v>
      </c>
      <c r="J728" t="n">
        <v>0</v>
      </c>
      <c r="K728" t="n">
        <v>0</v>
      </c>
      <c r="L728" t="n">
        <v>0</v>
      </c>
      <c r="M728" t="n">
        <v>0</v>
      </c>
      <c r="N728" t="n">
        <v>0</v>
      </c>
      <c r="O728" t="n">
        <v>0</v>
      </c>
      <c r="P728" t="n">
        <v>0</v>
      </c>
      <c r="Q728" t="n">
        <v>0</v>
      </c>
      <c r="R728" s="2" t="inlineStr"/>
    </row>
    <row r="729" ht="15" customHeight="1">
      <c r="A729" t="inlineStr">
        <is>
          <t>A 57448-2023</t>
        </is>
      </c>
      <c r="B729" s="1" t="n">
        <v>45246</v>
      </c>
      <c r="C729" s="1" t="n">
        <v>45358</v>
      </c>
      <c r="D729" t="inlineStr">
        <is>
          <t>JÄMTLANDS LÄN</t>
        </is>
      </c>
      <c r="E729" t="inlineStr">
        <is>
          <t>ÅRE</t>
        </is>
      </c>
      <c r="G729" t="n">
        <v>11.9</v>
      </c>
      <c r="H729" t="n">
        <v>0</v>
      </c>
      <c r="I729" t="n">
        <v>0</v>
      </c>
      <c r="J729" t="n">
        <v>0</v>
      </c>
      <c r="K729" t="n">
        <v>0</v>
      </c>
      <c r="L729" t="n">
        <v>0</v>
      </c>
      <c r="M729" t="n">
        <v>0</v>
      </c>
      <c r="N729" t="n">
        <v>0</v>
      </c>
      <c r="O729" t="n">
        <v>0</v>
      </c>
      <c r="P729" t="n">
        <v>0</v>
      </c>
      <c r="Q729" t="n">
        <v>0</v>
      </c>
      <c r="R729" s="2" t="inlineStr"/>
    </row>
    <row r="730" ht="15" customHeight="1">
      <c r="A730" t="inlineStr">
        <is>
          <t>A 57772-2023</t>
        </is>
      </c>
      <c r="B730" s="1" t="n">
        <v>45246</v>
      </c>
      <c r="C730" s="1" t="n">
        <v>45358</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57770-2023</t>
        </is>
      </c>
      <c r="B731" s="1" t="n">
        <v>45246</v>
      </c>
      <c r="C731" s="1" t="n">
        <v>45358</v>
      </c>
      <c r="D731" t="inlineStr">
        <is>
          <t>JÄMTLANDS LÄN</t>
        </is>
      </c>
      <c r="E731" t="inlineStr">
        <is>
          <t>ÅRE</t>
        </is>
      </c>
      <c r="G731" t="n">
        <v>0.9</v>
      </c>
      <c r="H731" t="n">
        <v>0</v>
      </c>
      <c r="I731" t="n">
        <v>0</v>
      </c>
      <c r="J731" t="n">
        <v>0</v>
      </c>
      <c r="K731" t="n">
        <v>0</v>
      </c>
      <c r="L731" t="n">
        <v>0</v>
      </c>
      <c r="M731" t="n">
        <v>0</v>
      </c>
      <c r="N731" t="n">
        <v>0</v>
      </c>
      <c r="O731" t="n">
        <v>0</v>
      </c>
      <c r="P731" t="n">
        <v>0</v>
      </c>
      <c r="Q731" t="n">
        <v>0</v>
      </c>
      <c r="R731" s="2" t="inlineStr"/>
    </row>
    <row r="732" ht="15" customHeight="1">
      <c r="A732" t="inlineStr">
        <is>
          <t>A 58508-2023</t>
        </is>
      </c>
      <c r="B732" s="1" t="n">
        <v>45246</v>
      </c>
      <c r="C732" s="1" t="n">
        <v>45358</v>
      </c>
      <c r="D732" t="inlineStr">
        <is>
          <t>JÄMTLANDS LÄN</t>
        </is>
      </c>
      <c r="E732" t="inlineStr">
        <is>
          <t>ÅRE</t>
        </is>
      </c>
      <c r="G732" t="n">
        <v>21.8</v>
      </c>
      <c r="H732" t="n">
        <v>0</v>
      </c>
      <c r="I732" t="n">
        <v>0</v>
      </c>
      <c r="J732" t="n">
        <v>0</v>
      </c>
      <c r="K732" t="n">
        <v>0</v>
      </c>
      <c r="L732" t="n">
        <v>0</v>
      </c>
      <c r="M732" t="n">
        <v>0</v>
      </c>
      <c r="N732" t="n">
        <v>0</v>
      </c>
      <c r="O732" t="n">
        <v>0</v>
      </c>
      <c r="P732" t="n">
        <v>0</v>
      </c>
      <c r="Q732" t="n">
        <v>0</v>
      </c>
      <c r="R732" s="2" t="inlineStr"/>
    </row>
    <row r="733" ht="15" customHeight="1">
      <c r="A733" t="inlineStr">
        <is>
          <t>A 58178-2023</t>
        </is>
      </c>
      <c r="B733" s="1" t="n">
        <v>45250</v>
      </c>
      <c r="C733" s="1" t="n">
        <v>45358</v>
      </c>
      <c r="D733" t="inlineStr">
        <is>
          <t>JÄMTLANDS LÄN</t>
        </is>
      </c>
      <c r="E733" t="inlineStr">
        <is>
          <t>ÅRE</t>
        </is>
      </c>
      <c r="G733" t="n">
        <v>2.9</v>
      </c>
      <c r="H733" t="n">
        <v>0</v>
      </c>
      <c r="I733" t="n">
        <v>0</v>
      </c>
      <c r="J733" t="n">
        <v>0</v>
      </c>
      <c r="K733" t="n">
        <v>0</v>
      </c>
      <c r="L733" t="n">
        <v>0</v>
      </c>
      <c r="M733" t="n">
        <v>0</v>
      </c>
      <c r="N733" t="n">
        <v>0</v>
      </c>
      <c r="O733" t="n">
        <v>0</v>
      </c>
      <c r="P733" t="n">
        <v>0</v>
      </c>
      <c r="Q733" t="n">
        <v>0</v>
      </c>
      <c r="R733" s="2" t="inlineStr"/>
    </row>
    <row r="734" ht="15" customHeight="1">
      <c r="A734" t="inlineStr">
        <is>
          <t>A 58196-2023</t>
        </is>
      </c>
      <c r="B734" s="1" t="n">
        <v>45250</v>
      </c>
      <c r="C734" s="1" t="n">
        <v>45358</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58302-2023</t>
        </is>
      </c>
      <c r="B735" s="1" t="n">
        <v>45250</v>
      </c>
      <c r="C735" s="1" t="n">
        <v>45358</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58296-2023</t>
        </is>
      </c>
      <c r="B736" s="1" t="n">
        <v>45250</v>
      </c>
      <c r="C736" s="1" t="n">
        <v>45358</v>
      </c>
      <c r="D736" t="inlineStr">
        <is>
          <t>JÄMTLANDS LÄN</t>
        </is>
      </c>
      <c r="E736" t="inlineStr">
        <is>
          <t>ÅRE</t>
        </is>
      </c>
      <c r="G736" t="n">
        <v>6.3</v>
      </c>
      <c r="H736" t="n">
        <v>0</v>
      </c>
      <c r="I736" t="n">
        <v>0</v>
      </c>
      <c r="J736" t="n">
        <v>0</v>
      </c>
      <c r="K736" t="n">
        <v>0</v>
      </c>
      <c r="L736" t="n">
        <v>0</v>
      </c>
      <c r="M736" t="n">
        <v>0</v>
      </c>
      <c r="N736" t="n">
        <v>0</v>
      </c>
      <c r="O736" t="n">
        <v>0</v>
      </c>
      <c r="P736" t="n">
        <v>0</v>
      </c>
      <c r="Q736" t="n">
        <v>0</v>
      </c>
      <c r="R736" s="2" t="inlineStr"/>
    </row>
    <row r="737" ht="15" customHeight="1">
      <c r="A737" t="inlineStr">
        <is>
          <t>A 58299-2023</t>
        </is>
      </c>
      <c r="B737" s="1" t="n">
        <v>45250</v>
      </c>
      <c r="C737" s="1" t="n">
        <v>45358</v>
      </c>
      <c r="D737" t="inlineStr">
        <is>
          <t>JÄMTLANDS LÄN</t>
        </is>
      </c>
      <c r="E737" t="inlineStr">
        <is>
          <t>ÅRE</t>
        </is>
      </c>
      <c r="G737" t="n">
        <v>0.7</v>
      </c>
      <c r="H737" t="n">
        <v>0</v>
      </c>
      <c r="I737" t="n">
        <v>0</v>
      </c>
      <c r="J737" t="n">
        <v>0</v>
      </c>
      <c r="K737" t="n">
        <v>0</v>
      </c>
      <c r="L737" t="n">
        <v>0</v>
      </c>
      <c r="M737" t="n">
        <v>0</v>
      </c>
      <c r="N737" t="n">
        <v>0</v>
      </c>
      <c r="O737" t="n">
        <v>0</v>
      </c>
      <c r="P737" t="n">
        <v>0</v>
      </c>
      <c r="Q737" t="n">
        <v>0</v>
      </c>
      <c r="R737" s="2" t="inlineStr"/>
    </row>
    <row r="738" ht="15" customHeight="1">
      <c r="A738" t="inlineStr">
        <is>
          <t>A 58907-2023</t>
        </is>
      </c>
      <c r="B738" s="1" t="n">
        <v>45252</v>
      </c>
      <c r="C738" s="1" t="n">
        <v>45358</v>
      </c>
      <c r="D738" t="inlineStr">
        <is>
          <t>JÄMTLANDS LÄN</t>
        </is>
      </c>
      <c r="E738" t="inlineStr">
        <is>
          <t>ÅRE</t>
        </is>
      </c>
      <c r="G738" t="n">
        <v>5.3</v>
      </c>
      <c r="H738" t="n">
        <v>0</v>
      </c>
      <c r="I738" t="n">
        <v>0</v>
      </c>
      <c r="J738" t="n">
        <v>0</v>
      </c>
      <c r="K738" t="n">
        <v>0</v>
      </c>
      <c r="L738" t="n">
        <v>0</v>
      </c>
      <c r="M738" t="n">
        <v>0</v>
      </c>
      <c r="N738" t="n">
        <v>0</v>
      </c>
      <c r="O738" t="n">
        <v>0</v>
      </c>
      <c r="P738" t="n">
        <v>0</v>
      </c>
      <c r="Q738" t="n">
        <v>0</v>
      </c>
      <c r="R738" s="2" t="inlineStr"/>
    </row>
    <row r="739" ht="15" customHeight="1">
      <c r="A739" t="inlineStr">
        <is>
          <t>A 59267-2023</t>
        </is>
      </c>
      <c r="B739" s="1" t="n">
        <v>45253</v>
      </c>
      <c r="C739" s="1" t="n">
        <v>45358</v>
      </c>
      <c r="D739" t="inlineStr">
        <is>
          <t>JÄMTLANDS LÄN</t>
        </is>
      </c>
      <c r="E739" t="inlineStr">
        <is>
          <t>ÅRE</t>
        </is>
      </c>
      <c r="G739" t="n">
        <v>2.7</v>
      </c>
      <c r="H739" t="n">
        <v>0</v>
      </c>
      <c r="I739" t="n">
        <v>0</v>
      </c>
      <c r="J739" t="n">
        <v>0</v>
      </c>
      <c r="K739" t="n">
        <v>0</v>
      </c>
      <c r="L739" t="n">
        <v>0</v>
      </c>
      <c r="M739" t="n">
        <v>0</v>
      </c>
      <c r="N739" t="n">
        <v>0</v>
      </c>
      <c r="O739" t="n">
        <v>0</v>
      </c>
      <c r="P739" t="n">
        <v>0</v>
      </c>
      <c r="Q739" t="n">
        <v>0</v>
      </c>
      <c r="R739" s="2" t="inlineStr"/>
    </row>
    <row r="740" ht="15" customHeight="1">
      <c r="A740" t="inlineStr">
        <is>
          <t>A 59274-2023</t>
        </is>
      </c>
      <c r="B740" s="1" t="n">
        <v>45253</v>
      </c>
      <c r="C740" s="1" t="n">
        <v>45358</v>
      </c>
      <c r="D740" t="inlineStr">
        <is>
          <t>JÄMTLANDS LÄN</t>
        </is>
      </c>
      <c r="E740" t="inlineStr">
        <is>
          <t>ÅRE</t>
        </is>
      </c>
      <c r="G740" t="n">
        <v>1.5</v>
      </c>
      <c r="H740" t="n">
        <v>0</v>
      </c>
      <c r="I740" t="n">
        <v>0</v>
      </c>
      <c r="J740" t="n">
        <v>0</v>
      </c>
      <c r="K740" t="n">
        <v>0</v>
      </c>
      <c r="L740" t="n">
        <v>0</v>
      </c>
      <c r="M740" t="n">
        <v>0</v>
      </c>
      <c r="N740" t="n">
        <v>0</v>
      </c>
      <c r="O740" t="n">
        <v>0</v>
      </c>
      <c r="P740" t="n">
        <v>0</v>
      </c>
      <c r="Q740" t="n">
        <v>0</v>
      </c>
      <c r="R740" s="2" t="inlineStr"/>
    </row>
    <row r="741" ht="15" customHeight="1">
      <c r="A741" t="inlineStr">
        <is>
          <t>A 59400-2023</t>
        </is>
      </c>
      <c r="B741" s="1" t="n">
        <v>45253</v>
      </c>
      <c r="C741" s="1" t="n">
        <v>45358</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59398-2023</t>
        </is>
      </c>
      <c r="B742" s="1" t="n">
        <v>45253</v>
      </c>
      <c r="C742" s="1" t="n">
        <v>45358</v>
      </c>
      <c r="D742" t="inlineStr">
        <is>
          <t>JÄMTLANDS LÄN</t>
        </is>
      </c>
      <c r="E742" t="inlineStr">
        <is>
          <t>ÅRE</t>
        </is>
      </c>
      <c r="G742" t="n">
        <v>2.3</v>
      </c>
      <c r="H742" t="n">
        <v>0</v>
      </c>
      <c r="I742" t="n">
        <v>0</v>
      </c>
      <c r="J742" t="n">
        <v>0</v>
      </c>
      <c r="K742" t="n">
        <v>0</v>
      </c>
      <c r="L742" t="n">
        <v>0</v>
      </c>
      <c r="M742" t="n">
        <v>0</v>
      </c>
      <c r="N742" t="n">
        <v>0</v>
      </c>
      <c r="O742" t="n">
        <v>0</v>
      </c>
      <c r="P742" t="n">
        <v>0</v>
      </c>
      <c r="Q742" t="n">
        <v>0</v>
      </c>
      <c r="R742" s="2" t="inlineStr"/>
    </row>
    <row r="743" ht="15" customHeight="1">
      <c r="A743" t="inlineStr">
        <is>
          <t>A 59414-2023</t>
        </is>
      </c>
      <c r="B743" s="1" t="n">
        <v>45254</v>
      </c>
      <c r="C743" s="1" t="n">
        <v>45358</v>
      </c>
      <c r="D743" t="inlineStr">
        <is>
          <t>JÄMTLANDS LÄN</t>
        </is>
      </c>
      <c r="E743" t="inlineStr">
        <is>
          <t>ÅRE</t>
        </is>
      </c>
      <c r="G743" t="n">
        <v>3.6</v>
      </c>
      <c r="H743" t="n">
        <v>0</v>
      </c>
      <c r="I743" t="n">
        <v>0</v>
      </c>
      <c r="J743" t="n">
        <v>0</v>
      </c>
      <c r="K743" t="n">
        <v>0</v>
      </c>
      <c r="L743" t="n">
        <v>0</v>
      </c>
      <c r="M743" t="n">
        <v>0</v>
      </c>
      <c r="N743" t="n">
        <v>0</v>
      </c>
      <c r="O743" t="n">
        <v>0</v>
      </c>
      <c r="P743" t="n">
        <v>0</v>
      </c>
      <c r="Q743" t="n">
        <v>0</v>
      </c>
      <c r="R743" s="2" t="inlineStr"/>
    </row>
    <row r="744" ht="15" customHeight="1">
      <c r="A744" t="inlineStr">
        <is>
          <t>A 59413-2023</t>
        </is>
      </c>
      <c r="B744" s="1" t="n">
        <v>45254</v>
      </c>
      <c r="C744" s="1" t="n">
        <v>45358</v>
      </c>
      <c r="D744" t="inlineStr">
        <is>
          <t>JÄMTLANDS LÄN</t>
        </is>
      </c>
      <c r="E744" t="inlineStr">
        <is>
          <t>ÅRE</t>
        </is>
      </c>
      <c r="G744" t="n">
        <v>4</v>
      </c>
      <c r="H744" t="n">
        <v>0</v>
      </c>
      <c r="I744" t="n">
        <v>0</v>
      </c>
      <c r="J744" t="n">
        <v>0</v>
      </c>
      <c r="K744" t="n">
        <v>0</v>
      </c>
      <c r="L744" t="n">
        <v>0</v>
      </c>
      <c r="M744" t="n">
        <v>0</v>
      </c>
      <c r="N744" t="n">
        <v>0</v>
      </c>
      <c r="O744" t="n">
        <v>0</v>
      </c>
      <c r="P744" t="n">
        <v>0</v>
      </c>
      <c r="Q744" t="n">
        <v>0</v>
      </c>
      <c r="R744" s="2" t="inlineStr"/>
    </row>
    <row r="745" ht="15" customHeight="1">
      <c r="A745" t="inlineStr">
        <is>
          <t>A 59666-2023</t>
        </is>
      </c>
      <c r="B745" s="1" t="n">
        <v>45255</v>
      </c>
      <c r="C745" s="1" t="n">
        <v>45358</v>
      </c>
      <c r="D745" t="inlineStr">
        <is>
          <t>JÄMTLANDS LÄN</t>
        </is>
      </c>
      <c r="E745" t="inlineStr">
        <is>
          <t>ÅRE</t>
        </is>
      </c>
      <c r="G745" t="n">
        <v>6.6</v>
      </c>
      <c r="H745" t="n">
        <v>0</v>
      </c>
      <c r="I745" t="n">
        <v>0</v>
      </c>
      <c r="J745" t="n">
        <v>0</v>
      </c>
      <c r="K745" t="n">
        <v>0</v>
      </c>
      <c r="L745" t="n">
        <v>0</v>
      </c>
      <c r="M745" t="n">
        <v>0</v>
      </c>
      <c r="N745" t="n">
        <v>0</v>
      </c>
      <c r="O745" t="n">
        <v>0</v>
      </c>
      <c r="P745" t="n">
        <v>0</v>
      </c>
      <c r="Q745" t="n">
        <v>0</v>
      </c>
      <c r="R745" s="2" t="inlineStr"/>
    </row>
    <row r="746" ht="15" customHeight="1">
      <c r="A746" t="inlineStr">
        <is>
          <t>A 59753-2023</t>
        </is>
      </c>
      <c r="B746" s="1" t="n">
        <v>45254</v>
      </c>
      <c r="C746" s="1" t="n">
        <v>45358</v>
      </c>
      <c r="D746" t="inlineStr">
        <is>
          <t>JÄMTLANDS LÄN</t>
        </is>
      </c>
      <c r="E746" t="inlineStr">
        <is>
          <t>ÅRE</t>
        </is>
      </c>
      <c r="G746" t="n">
        <v>1</v>
      </c>
      <c r="H746" t="n">
        <v>0</v>
      </c>
      <c r="I746" t="n">
        <v>0</v>
      </c>
      <c r="J746" t="n">
        <v>0</v>
      </c>
      <c r="K746" t="n">
        <v>0</v>
      </c>
      <c r="L746" t="n">
        <v>0</v>
      </c>
      <c r="M746" t="n">
        <v>0</v>
      </c>
      <c r="N746" t="n">
        <v>0</v>
      </c>
      <c r="O746" t="n">
        <v>0</v>
      </c>
      <c r="P746" t="n">
        <v>0</v>
      </c>
      <c r="Q746" t="n">
        <v>0</v>
      </c>
      <c r="R746" s="2" t="inlineStr"/>
    </row>
    <row r="747" ht="15" customHeight="1">
      <c r="A747" t="inlineStr">
        <is>
          <t>A 59968-2023</t>
        </is>
      </c>
      <c r="B747" s="1" t="n">
        <v>45254</v>
      </c>
      <c r="C747" s="1" t="n">
        <v>45358</v>
      </c>
      <c r="D747" t="inlineStr">
        <is>
          <t>JÄMTLANDS LÄN</t>
        </is>
      </c>
      <c r="E747" t="inlineStr">
        <is>
          <t>ÅRE</t>
        </is>
      </c>
      <c r="G747" t="n">
        <v>1.7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45358</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45358</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45358</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45358</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60332-2023</t>
        </is>
      </c>
      <c r="B752" s="1" t="n">
        <v>45258</v>
      </c>
      <c r="C752" s="1" t="n">
        <v>45358</v>
      </c>
      <c r="D752" t="inlineStr">
        <is>
          <t>JÄMTLANDS LÄN</t>
        </is>
      </c>
      <c r="E752" t="inlineStr">
        <is>
          <t>ÅRE</t>
        </is>
      </c>
      <c r="G752" t="n">
        <v>12.5</v>
      </c>
      <c r="H752" t="n">
        <v>0</v>
      </c>
      <c r="I752" t="n">
        <v>0</v>
      </c>
      <c r="J752" t="n">
        <v>0</v>
      </c>
      <c r="K752" t="n">
        <v>0</v>
      </c>
      <c r="L752" t="n">
        <v>0</v>
      </c>
      <c r="M752" t="n">
        <v>0</v>
      </c>
      <c r="N752" t="n">
        <v>0</v>
      </c>
      <c r="O752" t="n">
        <v>0</v>
      </c>
      <c r="P752" t="n">
        <v>0</v>
      </c>
      <c r="Q752" t="n">
        <v>0</v>
      </c>
      <c r="R752" s="2" t="inlineStr"/>
    </row>
    <row r="753" ht="15" customHeight="1">
      <c r="A753" t="inlineStr">
        <is>
          <t>A 60808-2023</t>
        </is>
      </c>
      <c r="B753" s="1" t="n">
        <v>45260</v>
      </c>
      <c r="C753" s="1" t="n">
        <v>45358</v>
      </c>
      <c r="D753" t="inlineStr">
        <is>
          <t>JÄMTLANDS LÄN</t>
        </is>
      </c>
      <c r="E753" t="inlineStr">
        <is>
          <t>ÅRE</t>
        </is>
      </c>
      <c r="G753" t="n">
        <v>10.4</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45358</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45358</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61622-2023</t>
        </is>
      </c>
      <c r="B756" s="1" t="n">
        <v>45261</v>
      </c>
      <c r="C756" s="1" t="n">
        <v>45358</v>
      </c>
      <c r="D756" t="inlineStr">
        <is>
          <t>JÄMTLANDS LÄN</t>
        </is>
      </c>
      <c r="E756" t="inlineStr">
        <is>
          <t>ÅRE</t>
        </is>
      </c>
      <c r="G756" t="n">
        <v>1.6</v>
      </c>
      <c r="H756" t="n">
        <v>0</v>
      </c>
      <c r="I756" t="n">
        <v>0</v>
      </c>
      <c r="J756" t="n">
        <v>0</v>
      </c>
      <c r="K756" t="n">
        <v>0</v>
      </c>
      <c r="L756" t="n">
        <v>0</v>
      </c>
      <c r="M756" t="n">
        <v>0</v>
      </c>
      <c r="N756" t="n">
        <v>0</v>
      </c>
      <c r="O756" t="n">
        <v>0</v>
      </c>
      <c r="P756" t="n">
        <v>0</v>
      </c>
      <c r="Q756" t="n">
        <v>0</v>
      </c>
      <c r="R756" s="2" t="inlineStr"/>
    </row>
    <row r="757" ht="15" customHeight="1">
      <c r="A757" t="inlineStr">
        <is>
          <t>A 61183-2023</t>
        </is>
      </c>
      <c r="B757" s="1" t="n">
        <v>45263</v>
      </c>
      <c r="C757" s="1" t="n">
        <v>45358</v>
      </c>
      <c r="D757" t="inlineStr">
        <is>
          <t>JÄMTLANDS LÄN</t>
        </is>
      </c>
      <c r="E757" t="inlineStr">
        <is>
          <t>ÅRE</t>
        </is>
      </c>
      <c r="G757" t="n">
        <v>8.4</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45358</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61480-2023</t>
        </is>
      </c>
      <c r="B759" s="1" t="n">
        <v>45264</v>
      </c>
      <c r="C759" s="1" t="n">
        <v>45358</v>
      </c>
      <c r="D759" t="inlineStr">
        <is>
          <t>JÄMTLANDS LÄN</t>
        </is>
      </c>
      <c r="E759" t="inlineStr">
        <is>
          <t>ÅRE</t>
        </is>
      </c>
      <c r="G759" t="n">
        <v>0.9</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45358</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61828-2023</t>
        </is>
      </c>
      <c r="B761" s="1" t="n">
        <v>45264</v>
      </c>
      <c r="C761" s="1" t="n">
        <v>45358</v>
      </c>
      <c r="D761" t="inlineStr">
        <is>
          <t>JÄMTLANDS LÄN</t>
        </is>
      </c>
      <c r="E761" t="inlineStr">
        <is>
          <t>ÅRE</t>
        </is>
      </c>
      <c r="F761" t="inlineStr">
        <is>
          <t>Övriga Aktiebolag</t>
        </is>
      </c>
      <c r="G761" t="n">
        <v>6.2</v>
      </c>
      <c r="H761" t="n">
        <v>0</v>
      </c>
      <c r="I761" t="n">
        <v>0</v>
      </c>
      <c r="J761" t="n">
        <v>0</v>
      </c>
      <c r="K761" t="n">
        <v>0</v>
      </c>
      <c r="L761" t="n">
        <v>0</v>
      </c>
      <c r="M761" t="n">
        <v>0</v>
      </c>
      <c r="N761" t="n">
        <v>0</v>
      </c>
      <c r="O761" t="n">
        <v>0</v>
      </c>
      <c r="P761" t="n">
        <v>0</v>
      </c>
      <c r="Q761" t="n">
        <v>0</v>
      </c>
      <c r="R761" s="2" t="inlineStr"/>
    </row>
    <row r="762" ht="15" customHeight="1">
      <c r="A762" t="inlineStr">
        <is>
          <t>A 61479-2023</t>
        </is>
      </c>
      <c r="B762" s="1" t="n">
        <v>45264</v>
      </c>
      <c r="C762" s="1" t="n">
        <v>45358</v>
      </c>
      <c r="D762" t="inlineStr">
        <is>
          <t>JÄMTLANDS LÄN</t>
        </is>
      </c>
      <c r="E762" t="inlineStr">
        <is>
          <t>ÅRE</t>
        </is>
      </c>
      <c r="G762" t="n">
        <v>2.5</v>
      </c>
      <c r="H762" t="n">
        <v>0</v>
      </c>
      <c r="I762" t="n">
        <v>0</v>
      </c>
      <c r="J762" t="n">
        <v>0</v>
      </c>
      <c r="K762" t="n">
        <v>0</v>
      </c>
      <c r="L762" t="n">
        <v>0</v>
      </c>
      <c r="M762" t="n">
        <v>0</v>
      </c>
      <c r="N762" t="n">
        <v>0</v>
      </c>
      <c r="O762" t="n">
        <v>0</v>
      </c>
      <c r="P762" t="n">
        <v>0</v>
      </c>
      <c r="Q762" t="n">
        <v>0</v>
      </c>
      <c r="R762" s="2" t="inlineStr"/>
    </row>
    <row r="763" ht="15" customHeight="1">
      <c r="A763" t="inlineStr">
        <is>
          <t>A 61978-2023</t>
        </is>
      </c>
      <c r="B763" s="1" t="n">
        <v>45266</v>
      </c>
      <c r="C763" s="1" t="n">
        <v>45358</v>
      </c>
      <c r="D763" t="inlineStr">
        <is>
          <t>JÄMTLANDS LÄN</t>
        </is>
      </c>
      <c r="E763" t="inlineStr">
        <is>
          <t>ÅRE</t>
        </is>
      </c>
      <c r="G763" t="n">
        <v>5.5</v>
      </c>
      <c r="H763" t="n">
        <v>0</v>
      </c>
      <c r="I763" t="n">
        <v>0</v>
      </c>
      <c r="J763" t="n">
        <v>0</v>
      </c>
      <c r="K763" t="n">
        <v>0</v>
      </c>
      <c r="L763" t="n">
        <v>0</v>
      </c>
      <c r="M763" t="n">
        <v>0</v>
      </c>
      <c r="N763" t="n">
        <v>0</v>
      </c>
      <c r="O763" t="n">
        <v>0</v>
      </c>
      <c r="P763" t="n">
        <v>0</v>
      </c>
      <c r="Q763" t="n">
        <v>0</v>
      </c>
      <c r="R763" s="2" t="inlineStr"/>
    </row>
    <row r="764" ht="15" customHeight="1">
      <c r="A764" t="inlineStr">
        <is>
          <t>A 63906-2023</t>
        </is>
      </c>
      <c r="B764" s="1" t="n">
        <v>45278</v>
      </c>
      <c r="C764" s="1" t="n">
        <v>45358</v>
      </c>
      <c r="D764" t="inlineStr">
        <is>
          <t>JÄMTLANDS LÄN</t>
        </is>
      </c>
      <c r="E764" t="inlineStr">
        <is>
          <t>ÅRE</t>
        </is>
      </c>
      <c r="G764" t="n">
        <v>12</v>
      </c>
      <c r="H764" t="n">
        <v>0</v>
      </c>
      <c r="I764" t="n">
        <v>0</v>
      </c>
      <c r="J764" t="n">
        <v>0</v>
      </c>
      <c r="K764" t="n">
        <v>0</v>
      </c>
      <c r="L764" t="n">
        <v>0</v>
      </c>
      <c r="M764" t="n">
        <v>0</v>
      </c>
      <c r="N764" t="n">
        <v>0</v>
      </c>
      <c r="O764" t="n">
        <v>0</v>
      </c>
      <c r="P764" t="n">
        <v>0</v>
      </c>
      <c r="Q764" t="n">
        <v>0</v>
      </c>
      <c r="R764" s="2" t="inlineStr"/>
    </row>
    <row r="765" ht="15" customHeight="1">
      <c r="A765" t="inlineStr">
        <is>
          <t>A 64312-2023</t>
        </is>
      </c>
      <c r="B765" s="1" t="n">
        <v>45279</v>
      </c>
      <c r="C765" s="1" t="n">
        <v>45358</v>
      </c>
      <c r="D765" t="inlineStr">
        <is>
          <t>JÄMTLANDS LÄN</t>
        </is>
      </c>
      <c r="E765" t="inlineStr">
        <is>
          <t>ÅRE</t>
        </is>
      </c>
      <c r="G765" t="n">
        <v>13.4</v>
      </c>
      <c r="H765" t="n">
        <v>0</v>
      </c>
      <c r="I765" t="n">
        <v>0</v>
      </c>
      <c r="J765" t="n">
        <v>0</v>
      </c>
      <c r="K765" t="n">
        <v>0</v>
      </c>
      <c r="L765" t="n">
        <v>0</v>
      </c>
      <c r="M765" t="n">
        <v>0</v>
      </c>
      <c r="N765" t="n">
        <v>0</v>
      </c>
      <c r="O765" t="n">
        <v>0</v>
      </c>
      <c r="P765" t="n">
        <v>0</v>
      </c>
      <c r="Q765" t="n">
        <v>0</v>
      </c>
      <c r="R765" s="2" t="inlineStr"/>
    </row>
    <row r="766" ht="15" customHeight="1">
      <c r="A766" t="inlineStr">
        <is>
          <t>A 64758-2023</t>
        </is>
      </c>
      <c r="B766" s="1" t="n">
        <v>45281</v>
      </c>
      <c r="C766" s="1" t="n">
        <v>45358</v>
      </c>
      <c r="D766" t="inlineStr">
        <is>
          <t>JÄMTLANDS LÄN</t>
        </is>
      </c>
      <c r="E766" t="inlineStr">
        <is>
          <t>ÅRE</t>
        </is>
      </c>
      <c r="F766" t="inlineStr">
        <is>
          <t>Övriga Aktiebolag</t>
        </is>
      </c>
      <c r="G766" t="n">
        <v>3.4</v>
      </c>
      <c r="H766" t="n">
        <v>0</v>
      </c>
      <c r="I766" t="n">
        <v>0</v>
      </c>
      <c r="J766" t="n">
        <v>0</v>
      </c>
      <c r="K766" t="n">
        <v>0</v>
      </c>
      <c r="L766" t="n">
        <v>0</v>
      </c>
      <c r="M766" t="n">
        <v>0</v>
      </c>
      <c r="N766" t="n">
        <v>0</v>
      </c>
      <c r="O766" t="n">
        <v>0</v>
      </c>
      <c r="P766" t="n">
        <v>0</v>
      </c>
      <c r="Q766" t="n">
        <v>0</v>
      </c>
      <c r="R766" s="2" t="inlineStr"/>
    </row>
    <row r="767" ht="15" customHeight="1">
      <c r="A767" t="inlineStr">
        <is>
          <t>A 65033-2023</t>
        </is>
      </c>
      <c r="B767" s="1" t="n">
        <v>45287</v>
      </c>
      <c r="C767" s="1" t="n">
        <v>45358</v>
      </c>
      <c r="D767" t="inlineStr">
        <is>
          <t>JÄMTLANDS LÄN</t>
        </is>
      </c>
      <c r="E767" t="inlineStr">
        <is>
          <t>ÅRE</t>
        </is>
      </c>
      <c r="G767" t="n">
        <v>2.8</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45358</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45358</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45358</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45358</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45358</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747-2024</t>
        </is>
      </c>
      <c r="B773" s="1" t="n">
        <v>45300</v>
      </c>
      <c r="C773" s="1" t="n">
        <v>45358</v>
      </c>
      <c r="D773" t="inlineStr">
        <is>
          <t>JÄMTLANDS LÄN</t>
        </is>
      </c>
      <c r="E773" t="inlineStr">
        <is>
          <t>ÅRE</t>
        </is>
      </c>
      <c r="G773" t="n">
        <v>4.8</v>
      </c>
      <c r="H773" t="n">
        <v>0</v>
      </c>
      <c r="I773" t="n">
        <v>0</v>
      </c>
      <c r="J773" t="n">
        <v>0</v>
      </c>
      <c r="K773" t="n">
        <v>0</v>
      </c>
      <c r="L773" t="n">
        <v>0</v>
      </c>
      <c r="M773" t="n">
        <v>0</v>
      </c>
      <c r="N773" t="n">
        <v>0</v>
      </c>
      <c r="O773" t="n">
        <v>0</v>
      </c>
      <c r="P773" t="n">
        <v>0</v>
      </c>
      <c r="Q773" t="n">
        <v>0</v>
      </c>
      <c r="R773" s="2" t="inlineStr"/>
    </row>
    <row r="774" ht="15" customHeight="1">
      <c r="A774" t="inlineStr">
        <is>
          <t>A 1050-2024</t>
        </is>
      </c>
      <c r="B774" s="1" t="n">
        <v>45301</v>
      </c>
      <c r="C774" s="1" t="n">
        <v>45358</v>
      </c>
      <c r="D774" t="inlineStr">
        <is>
          <t>JÄMTLANDS LÄN</t>
        </is>
      </c>
      <c r="E774" t="inlineStr">
        <is>
          <t>ÅRE</t>
        </is>
      </c>
      <c r="G774" t="n">
        <v>1.8</v>
      </c>
      <c r="H774" t="n">
        <v>0</v>
      </c>
      <c r="I774" t="n">
        <v>0</v>
      </c>
      <c r="J774" t="n">
        <v>0</v>
      </c>
      <c r="K774" t="n">
        <v>0</v>
      </c>
      <c r="L774" t="n">
        <v>0</v>
      </c>
      <c r="M774" t="n">
        <v>0</v>
      </c>
      <c r="N774" t="n">
        <v>0</v>
      </c>
      <c r="O774" t="n">
        <v>0</v>
      </c>
      <c r="P774" t="n">
        <v>0</v>
      </c>
      <c r="Q774" t="n">
        <v>0</v>
      </c>
      <c r="R774" s="2" t="inlineStr"/>
    </row>
    <row r="775" ht="15" customHeight="1">
      <c r="A775" t="inlineStr">
        <is>
          <t>A 1378-2024</t>
        </is>
      </c>
      <c r="B775" s="1" t="n">
        <v>45303</v>
      </c>
      <c r="C775" s="1" t="n">
        <v>45358</v>
      </c>
      <c r="D775" t="inlineStr">
        <is>
          <t>JÄMTLANDS LÄN</t>
        </is>
      </c>
      <c r="E775" t="inlineStr">
        <is>
          <t>ÅRE</t>
        </is>
      </c>
      <c r="G775" t="n">
        <v>1.2</v>
      </c>
      <c r="H775" t="n">
        <v>0</v>
      </c>
      <c r="I775" t="n">
        <v>0</v>
      </c>
      <c r="J775" t="n">
        <v>0</v>
      </c>
      <c r="K775" t="n">
        <v>0</v>
      </c>
      <c r="L775" t="n">
        <v>0</v>
      </c>
      <c r="M775" t="n">
        <v>0</v>
      </c>
      <c r="N775" t="n">
        <v>0</v>
      </c>
      <c r="O775" t="n">
        <v>0</v>
      </c>
      <c r="P775" t="n">
        <v>0</v>
      </c>
      <c r="Q775" t="n">
        <v>0</v>
      </c>
      <c r="R775" s="2" t="inlineStr"/>
    </row>
    <row r="776" ht="15" customHeight="1">
      <c r="A776" t="inlineStr">
        <is>
          <t>A 1460-2024</t>
        </is>
      </c>
      <c r="B776" s="1" t="n">
        <v>45303</v>
      </c>
      <c r="C776" s="1" t="n">
        <v>45358</v>
      </c>
      <c r="D776" t="inlineStr">
        <is>
          <t>JÄMTLANDS LÄN</t>
        </is>
      </c>
      <c r="E776" t="inlineStr">
        <is>
          <t>ÅRE</t>
        </is>
      </c>
      <c r="F776" t="inlineStr">
        <is>
          <t>Övriga Aktiebolag</t>
        </is>
      </c>
      <c r="G776" t="n">
        <v>1.3</v>
      </c>
      <c r="H776" t="n">
        <v>0</v>
      </c>
      <c r="I776" t="n">
        <v>0</v>
      </c>
      <c r="J776" t="n">
        <v>0</v>
      </c>
      <c r="K776" t="n">
        <v>0</v>
      </c>
      <c r="L776" t="n">
        <v>0</v>
      </c>
      <c r="M776" t="n">
        <v>0</v>
      </c>
      <c r="N776" t="n">
        <v>0</v>
      </c>
      <c r="O776" t="n">
        <v>0</v>
      </c>
      <c r="P776" t="n">
        <v>0</v>
      </c>
      <c r="Q776" t="n">
        <v>0</v>
      </c>
      <c r="R776" s="2" t="inlineStr"/>
    </row>
    <row r="777" ht="15" customHeight="1">
      <c r="A777" t="inlineStr">
        <is>
          <t>A 1491-2024</t>
        </is>
      </c>
      <c r="B777" s="1" t="n">
        <v>45305</v>
      </c>
      <c r="C777" s="1" t="n">
        <v>45358</v>
      </c>
      <c r="D777" t="inlineStr">
        <is>
          <t>JÄMTLANDS LÄN</t>
        </is>
      </c>
      <c r="E777" t="inlineStr">
        <is>
          <t>ÅRE</t>
        </is>
      </c>
      <c r="G777" t="n">
        <v>31.4</v>
      </c>
      <c r="H777" t="n">
        <v>0</v>
      </c>
      <c r="I777" t="n">
        <v>0</v>
      </c>
      <c r="J777" t="n">
        <v>0</v>
      </c>
      <c r="K777" t="n">
        <v>0</v>
      </c>
      <c r="L777" t="n">
        <v>0</v>
      </c>
      <c r="M777" t="n">
        <v>0</v>
      </c>
      <c r="N777" t="n">
        <v>0</v>
      </c>
      <c r="O777" t="n">
        <v>0</v>
      </c>
      <c r="P777" t="n">
        <v>0</v>
      </c>
      <c r="Q777" t="n">
        <v>0</v>
      </c>
      <c r="R777" s="2" t="inlineStr"/>
    </row>
    <row r="778" ht="15" customHeight="1">
      <c r="A778" t="inlineStr">
        <is>
          <t>A 6825-2024</t>
        </is>
      </c>
      <c r="B778" s="1" t="n">
        <v>45342</v>
      </c>
      <c r="C778" s="1" t="n">
        <v>45358</v>
      </c>
      <c r="D778" t="inlineStr">
        <is>
          <t>JÄMTLANDS LÄN</t>
        </is>
      </c>
      <c r="E778" t="inlineStr">
        <is>
          <t>ÅRE</t>
        </is>
      </c>
      <c r="G778" t="n">
        <v>0.7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45358</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7334-2024</t>
        </is>
      </c>
      <c r="B780" s="1" t="n">
        <v>45345</v>
      </c>
      <c r="C780" s="1" t="n">
        <v>45358</v>
      </c>
      <c r="D780" t="inlineStr">
        <is>
          <t>JÄMTLANDS LÄN</t>
        </is>
      </c>
      <c r="E780" t="inlineStr">
        <is>
          <t>ÅRE</t>
        </is>
      </c>
      <c r="G780" t="n">
        <v>12.7</v>
      </c>
      <c r="H780" t="n">
        <v>0</v>
      </c>
      <c r="I780" t="n">
        <v>0</v>
      </c>
      <c r="J780" t="n">
        <v>0</v>
      </c>
      <c r="K780" t="n">
        <v>0</v>
      </c>
      <c r="L780" t="n">
        <v>0</v>
      </c>
      <c r="M780" t="n">
        <v>0</v>
      </c>
      <c r="N780" t="n">
        <v>0</v>
      </c>
      <c r="O780" t="n">
        <v>0</v>
      </c>
      <c r="P780" t="n">
        <v>0</v>
      </c>
      <c r="Q780" t="n">
        <v>0</v>
      </c>
      <c r="R780" s="2" t="inlineStr"/>
    </row>
    <row r="781" ht="15" customHeight="1">
      <c r="A781" t="inlineStr">
        <is>
          <t>A 8131-2024</t>
        </is>
      </c>
      <c r="B781" s="1" t="n">
        <v>45351</v>
      </c>
      <c r="C781" s="1" t="n">
        <v>45358</v>
      </c>
      <c r="D781" t="inlineStr">
        <is>
          <t>JÄMTLANDS LÄN</t>
        </is>
      </c>
      <c r="E781" t="inlineStr">
        <is>
          <t>ÅRE</t>
        </is>
      </c>
      <c r="F781" t="inlineStr">
        <is>
          <t>Övriga Aktiebolag</t>
        </is>
      </c>
      <c r="G781" t="n">
        <v>3.1</v>
      </c>
      <c r="H781" t="n">
        <v>0</v>
      </c>
      <c r="I781" t="n">
        <v>0</v>
      </c>
      <c r="J781" t="n">
        <v>0</v>
      </c>
      <c r="K781" t="n">
        <v>0</v>
      </c>
      <c r="L781" t="n">
        <v>0</v>
      </c>
      <c r="M781" t="n">
        <v>0</v>
      </c>
      <c r="N781" t="n">
        <v>0</v>
      </c>
      <c r="O781" t="n">
        <v>0</v>
      </c>
      <c r="P781" t="n">
        <v>0</v>
      </c>
      <c r="Q781" t="n">
        <v>0</v>
      </c>
      <c r="R781" s="2" t="inlineStr"/>
    </row>
    <row r="782" ht="15" customHeight="1">
      <c r="A782" t="inlineStr">
        <is>
          <t>A 8379-2024</t>
        </is>
      </c>
      <c r="B782" s="1" t="n">
        <v>45352</v>
      </c>
      <c r="C782" s="1" t="n">
        <v>45358</v>
      </c>
      <c r="D782" t="inlineStr">
        <is>
          <t>JÄMTLANDS LÄN</t>
        </is>
      </c>
      <c r="E782" t="inlineStr">
        <is>
          <t>ÅRE</t>
        </is>
      </c>
      <c r="G782" t="n">
        <v>14.9</v>
      </c>
      <c r="H782" t="n">
        <v>0</v>
      </c>
      <c r="I782" t="n">
        <v>0</v>
      </c>
      <c r="J782" t="n">
        <v>0</v>
      </c>
      <c r="K782" t="n">
        <v>0</v>
      </c>
      <c r="L782" t="n">
        <v>0</v>
      </c>
      <c r="M782" t="n">
        <v>0</v>
      </c>
      <c r="N782" t="n">
        <v>0</v>
      </c>
      <c r="O782" t="n">
        <v>0</v>
      </c>
      <c r="P782" t="n">
        <v>0</v>
      </c>
      <c r="Q782" t="n">
        <v>0</v>
      </c>
      <c r="R782" s="2" t="inlineStr"/>
    </row>
    <row r="783">
      <c r="A783" t="inlineStr">
        <is>
          <t>A 8576-2024</t>
        </is>
      </c>
      <c r="B783" s="1" t="n">
        <v>45355</v>
      </c>
      <c r="C783" s="1" t="n">
        <v>45358</v>
      </c>
      <c r="D783" t="inlineStr">
        <is>
          <t>JÄMTLANDS LÄN</t>
        </is>
      </c>
      <c r="E783" t="inlineStr">
        <is>
          <t>ÅRE</t>
        </is>
      </c>
      <c r="G783" t="n">
        <v>21.7</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2024-03-07T13:20:15Z</dcterms:created>
  <dcterms:modified xmlns:dcterms="http://purl.org/dc/terms/" xmlns:xsi="http://www.w3.org/2001/XMLSchema-instance" xsi:type="dcterms:W3CDTF">2024-03-07T13:20:16Z</dcterms:modified>
</cp:coreProperties>
</file>