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46277</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46277</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46277</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46277</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46277</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46277</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46277</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46277</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46277</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46277</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46277</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46277</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46277</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46277</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46277</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46277</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46277</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46277</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46277</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46277</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46277</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46277</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46277</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46277</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46277</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46277</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46277</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46277</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46277</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46277</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46277</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46277</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46277</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46277</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46277</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46277</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46277</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46277</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46277</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46277</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46277</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46277</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46277</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46277</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46277</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46277</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46277</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46277</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46277</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46277</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46277</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46277</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46277</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46277</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46277</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46277</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7034-2026</t>
        </is>
      </c>
      <c r="B58" t="inlineStr">
        <is>
          <t>avverkningsanmälan</t>
        </is>
      </c>
      <c r="C58" t="inlineStr">
        <is>
          <t>Föryngringsavverkning</t>
        </is>
      </c>
      <c r="D58" s="1" t="n">
        <v>46057</v>
      </c>
      <c r="E58" s="1" t="n">
        <v>46277</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53500-2024</t>
        </is>
      </c>
      <c r="B59" t="inlineStr">
        <is>
          <t>avverkningsanmälan</t>
        </is>
      </c>
      <c r="C59" t="inlineStr">
        <is>
          <t>Föryngringsavverkning</t>
        </is>
      </c>
      <c r="D59" s="1" t="n">
        <v>45614</v>
      </c>
      <c r="E59" s="1" t="n">
        <v>46277</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46277</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46277</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46277</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46277</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30035-2024</t>
        </is>
      </c>
      <c r="B64" t="inlineStr">
        <is>
          <t>avverkningsanmälan</t>
        </is>
      </c>
      <c r="C64" t="inlineStr">
        <is>
          <t>Föryngringsavverkning</t>
        </is>
      </c>
      <c r="D64" s="1" t="n">
        <v>45485</v>
      </c>
      <c r="E64" s="1" t="n">
        <v>46277</v>
      </c>
      <c r="F64" t="inlineStr">
        <is>
          <t>JÄMTLANDS LÄN</t>
        </is>
      </c>
      <c r="G64" t="inlineStr">
        <is>
          <t>ÅRE</t>
        </is>
      </c>
      <c r="I64" t="n">
        <v>16.7</v>
      </c>
      <c r="J64" t="n">
        <v>1</v>
      </c>
      <c r="K64" t="n">
        <v>2</v>
      </c>
      <c r="L64" t="n">
        <v>4</v>
      </c>
      <c r="M64" t="n">
        <v>0</v>
      </c>
      <c r="N64" t="n">
        <v>0</v>
      </c>
      <c r="O64" t="n">
        <v>0</v>
      </c>
      <c r="P64" t="n">
        <v>0</v>
      </c>
      <c r="Q64" t="n">
        <v>4</v>
      </c>
      <c r="R64" t="n">
        <v>0</v>
      </c>
      <c r="S64" t="n">
        <v>6</v>
      </c>
      <c r="T64" t="n">
        <v>9</v>
      </c>
      <c r="U64" t="n">
        <v>1</v>
      </c>
      <c r="V64" s="2" t="inlineStr">
        <is>
          <t>Kötticka
Skrovellav
Tretåig hackspett
Vitgrynig nållav
Blåmossa
Stuplav</t>
        </is>
      </c>
      <c r="W64">
        <f>HYPERLINK("https://klasma.github.io/Logging_2321/artfynd/A 30035-2024 artfynd.xlsx", "A 30035-2024")</f>
        <v/>
      </c>
      <c r="X64">
        <f>HYPERLINK("https://klasma.github.io/Logging_2321/kartor/A 30035-2024 karta.png", "A 30035-2024")</f>
        <v/>
      </c>
      <c r="Y64">
        <f>HYPERLINK("https://klasma.github.io/Logging_2321/kartor_geotiff/A 30035-2024 georefererad karta.tif", "A 30035-2024")</f>
        <v/>
      </c>
      <c r="AA64">
        <f>HYPERLINK("https://klasma.github.io/Logging_2321/klagomål/A 30035-2024 FSC-klagomål.docx", "A 30035-2024")</f>
        <v/>
      </c>
      <c r="AB64">
        <f>HYPERLINK("https://klasma.github.io/Logging_2321/klagomålsmail/A 30035-2024 FSC-klagomål mail.docx", "A 30035-2024")</f>
        <v/>
      </c>
      <c r="AC64">
        <f>HYPERLINK("https://klasma.github.io/Logging_2321/tillsyn/A 30035-2024 tillsynsbegäran.docx", "A 30035-2024")</f>
        <v/>
      </c>
      <c r="AD64">
        <f>HYPERLINK("https://klasma.github.io/Logging_2321/tillsynsmail/A 30035-2024 tillsynsbegäran mail.docx", "A 30035-2024")</f>
        <v/>
      </c>
      <c r="AE64">
        <f>HYPERLINK("https://klasma.github.io/Logging_2321/fåglar/A 30035-2024 prioriterade fågelarter.docx", "A 30035-2024")</f>
        <v/>
      </c>
    </row>
    <row r="65" ht="15" customHeight="1">
      <c r="A65" t="inlineStr">
        <is>
          <t>A 30034-2024</t>
        </is>
      </c>
      <c r="B65" t="inlineStr">
        <is>
          <t>avverkningsanmälan</t>
        </is>
      </c>
      <c r="C65" t="inlineStr">
        <is>
          <t>Föryngringsavverkning</t>
        </is>
      </c>
      <c r="D65" s="1" t="n">
        <v>45485</v>
      </c>
      <c r="E65" s="1" t="n">
        <v>46277</v>
      </c>
      <c r="F65" t="inlineStr">
        <is>
          <t>JÄMTLANDS LÄN</t>
        </is>
      </c>
      <c r="G65" t="inlineStr">
        <is>
          <t>ÅRE</t>
        </is>
      </c>
      <c r="I65" t="n">
        <v>25.9</v>
      </c>
      <c r="J65" t="n">
        <v>1</v>
      </c>
      <c r="K65" t="n">
        <v>3</v>
      </c>
      <c r="L65" t="n">
        <v>2</v>
      </c>
      <c r="M65" t="n">
        <v>0</v>
      </c>
      <c r="N65" t="n">
        <v>0</v>
      </c>
      <c r="O65" t="n">
        <v>0</v>
      </c>
      <c r="P65" t="n">
        <v>0</v>
      </c>
      <c r="Q65" t="n">
        <v>2</v>
      </c>
      <c r="R65" t="n">
        <v>0</v>
      </c>
      <c r="S65" t="n">
        <v>6</v>
      </c>
      <c r="T65" t="n">
        <v>9</v>
      </c>
      <c r="U65" t="n">
        <v>3</v>
      </c>
      <c r="V65" s="2" t="inlineStr">
        <is>
          <t>Skrovellav
Ullticka
Spindelblomster
Stuplav
Tibast
Sälg</t>
        </is>
      </c>
      <c r="W65">
        <f>HYPERLINK("https://klasma.github.io/Logging_2321/artfynd/A 30034-2024 artfynd.xlsx", "A 30034-2024")</f>
        <v/>
      </c>
      <c r="X65">
        <f>HYPERLINK("https://klasma.github.io/Logging_2321/kartor/A 30034-2024 karta.png", "A 30034-2024")</f>
        <v/>
      </c>
      <c r="Y65">
        <f>HYPERLINK("https://klasma.github.io/Logging_2321/kartor_geotiff/A 30034-2024 georefererad karta.tif", "A 30034-2024")</f>
        <v/>
      </c>
      <c r="AA65">
        <f>HYPERLINK("https://klasma.github.io/Logging_2321/klagomål/A 30034-2024 FSC-klagomål.docx", "A 30034-2024")</f>
        <v/>
      </c>
      <c r="AB65">
        <f>HYPERLINK("https://klasma.github.io/Logging_2321/klagomålsmail/A 30034-2024 FSC-klagomål mail.docx", "A 30034-2024")</f>
        <v/>
      </c>
      <c r="AC65">
        <f>HYPERLINK("https://klasma.github.io/Logging_2321/tillsyn/A 30034-2024 tillsynsbegäran.docx", "A 30034-2024")</f>
        <v/>
      </c>
      <c r="AD65">
        <f>HYPERLINK("https://klasma.github.io/Logging_2321/tillsynsmail/A 30034-2024 tillsynsbegäran mail.docx", "A 30034-2024")</f>
        <v/>
      </c>
    </row>
    <row r="66" ht="15" customHeight="1">
      <c r="A66" t="inlineStr">
        <is>
          <t>A 4938-2025</t>
        </is>
      </c>
      <c r="B66" t="inlineStr">
        <is>
          <t>avverkningsanmälan</t>
        </is>
      </c>
      <c r="C66" t="inlineStr">
        <is>
          <t>Föryngringsavverkning</t>
        </is>
      </c>
      <c r="D66" s="1" t="n">
        <v>45688</v>
      </c>
      <c r="E66" s="1" t="n">
        <v>46277</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16667-2025</t>
        </is>
      </c>
      <c r="B67" t="inlineStr">
        <is>
          <t>avverkningsanmälan</t>
        </is>
      </c>
      <c r="C67" t="inlineStr">
        <is>
          <t>Föryngringsavverkning</t>
        </is>
      </c>
      <c r="D67" s="1" t="n">
        <v>45754</v>
      </c>
      <c r="E67" s="1" t="n">
        <v>46277</v>
      </c>
      <c r="F67" t="inlineStr">
        <is>
          <t>JÄMTLANDS LÄN</t>
        </is>
      </c>
      <c r="G67" t="inlineStr">
        <is>
          <t>ÅRE</t>
        </is>
      </c>
      <c r="I67" t="n">
        <v>9.5</v>
      </c>
      <c r="J67" t="n">
        <v>0</v>
      </c>
      <c r="K67" t="n">
        <v>2</v>
      </c>
      <c r="L67" t="n">
        <v>3</v>
      </c>
      <c r="M67" t="n">
        <v>1</v>
      </c>
      <c r="N67" t="n">
        <v>0</v>
      </c>
      <c r="O67" t="n">
        <v>0</v>
      </c>
      <c r="P67" t="n">
        <v>0</v>
      </c>
      <c r="Q67" t="n">
        <v>4</v>
      </c>
      <c r="R67" t="n">
        <v>1</v>
      </c>
      <c r="S67" t="n">
        <v>6</v>
      </c>
      <c r="T67" t="n">
        <v>6</v>
      </c>
      <c r="U67" t="n">
        <v>6</v>
      </c>
      <c r="V67" s="2" t="inlineStr">
        <is>
          <t>Garnlav
Gammelgransskål
Skrovellav
Vitgrynig nållav
Granriska
Svavelriska</t>
        </is>
      </c>
      <c r="W67">
        <f>HYPERLINK("https://klasma.github.io/Logging_2321/artfynd/A 16667-2025 artfynd.xlsx", "A 16667-2025")</f>
        <v/>
      </c>
      <c r="X67">
        <f>HYPERLINK("https://klasma.github.io/Logging_2321/kartor/A 16667-2025 karta.png", "A 16667-2025")</f>
        <v/>
      </c>
      <c r="Y67">
        <f>HYPERLINK("https://klasma.github.io/Logging_2321/kartor_geotiff/A 16667-2025 georefererad karta.tif", "A 16667-2025")</f>
        <v/>
      </c>
      <c r="AA67">
        <f>HYPERLINK("https://klasma.github.io/Logging_2321/klagomål/A 16667-2025 FSC-klagomål.docx", "A 16667-2025")</f>
        <v/>
      </c>
      <c r="AB67">
        <f>HYPERLINK("https://klasma.github.io/Logging_2321/klagomålsmail/A 16667-2025 FSC-klagomål mail.docx", "A 16667-2025")</f>
        <v/>
      </c>
      <c r="AC67">
        <f>HYPERLINK("https://klasma.github.io/Logging_2321/tillsyn/A 16667-2025 tillsynsbegäran.docx", "A 16667-2025")</f>
        <v/>
      </c>
      <c r="AD67">
        <f>HYPERLINK("https://klasma.github.io/Logging_2321/tillsynsmail/A 16667-2025 tillsynsbegäran mail.docx", "A 16667-2025")</f>
        <v/>
      </c>
    </row>
    <row r="68" ht="15" customHeight="1">
      <c r="A68" t="inlineStr">
        <is>
          <t>A 22601-2024</t>
        </is>
      </c>
      <c r="B68" t="inlineStr">
        <is>
          <t>avverkningsanmälan</t>
        </is>
      </c>
      <c r="C68" t="inlineStr">
        <is>
          <t>Föryngringsavverkning</t>
        </is>
      </c>
      <c r="D68" s="1" t="n">
        <v>45447</v>
      </c>
      <c r="E68" s="1" t="n">
        <v>46277</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57417-2025</t>
        </is>
      </c>
      <c r="B69" t="inlineStr">
        <is>
          <t>avverkningsanmälan</t>
        </is>
      </c>
      <c r="C69" t="inlineStr">
        <is>
          <t>Föryngringsavverkning</t>
        </is>
      </c>
      <c r="D69" s="1" t="n">
        <v>45980</v>
      </c>
      <c r="E69" s="1" t="n">
        <v>46277</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46277</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46277</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54374-2025</t>
        </is>
      </c>
      <c r="B72" t="inlineStr">
        <is>
          <t>avverkningsanmälan</t>
        </is>
      </c>
      <c r="C72" t="inlineStr">
        <is>
          <t>Föryngringsavverkning</t>
        </is>
      </c>
      <c r="D72" s="1" t="n">
        <v>45965</v>
      </c>
      <c r="E72" s="1" t="n">
        <v>46277</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46277</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46277</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46277</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46277</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46277</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46277</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46259-2024</t>
        </is>
      </c>
      <c r="B79" t="inlineStr">
        <is>
          <t>avverkningsanmälan</t>
        </is>
      </c>
      <c r="C79" t="inlineStr">
        <is>
          <t>Föryngringsavverkning</t>
        </is>
      </c>
      <c r="D79" s="1" t="n">
        <v>45581</v>
      </c>
      <c r="E79" s="1" t="n">
        <v>46277</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63363-2025</t>
        </is>
      </c>
      <c r="B80" t="inlineStr">
        <is>
          <t>avverkningsanmälan</t>
        </is>
      </c>
      <c r="C80" t="inlineStr">
        <is>
          <t>Föryngringsavverkning</t>
        </is>
      </c>
      <c r="D80" s="1" t="n">
        <v>46010</v>
      </c>
      <c r="E80" s="1" t="n">
        <v>46277</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42565-2024</t>
        </is>
      </c>
      <c r="B81" t="inlineStr">
        <is>
          <t>avverkningsanmälan</t>
        </is>
      </c>
      <c r="C81" t="inlineStr">
        <is>
          <t>Föryngringsavverkning</t>
        </is>
      </c>
      <c r="D81" s="1" t="n">
        <v>45565</v>
      </c>
      <c r="E81" s="1" t="n">
        <v>46277</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20124-2023</t>
        </is>
      </c>
      <c r="B82" t="inlineStr">
        <is>
          <t>avverkningsanmälan</t>
        </is>
      </c>
      <c r="C82" t="inlineStr">
        <is>
          <t>Föryngringsavverkning</t>
        </is>
      </c>
      <c r="D82" s="1" t="n">
        <v>45055</v>
      </c>
      <c r="E82" s="1" t="n">
        <v>46277</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25122-2022</t>
        </is>
      </c>
      <c r="B83" t="inlineStr">
        <is>
          <t>avverkningsanmälan</t>
        </is>
      </c>
      <c r="C83" t="inlineStr">
        <is>
          <t>Avverkning för annat ändamål</t>
        </is>
      </c>
      <c r="D83" s="1" t="n">
        <v>44729</v>
      </c>
      <c r="E83" s="1" t="n">
        <v>46277</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12271-2022</t>
        </is>
      </c>
      <c r="B84" t="inlineStr">
        <is>
          <t>avverkningsanmälan</t>
        </is>
      </c>
      <c r="C84" t="inlineStr">
        <is>
          <t>Föryngringsavverkning</t>
        </is>
      </c>
      <c r="D84" s="1" t="n">
        <v>44637</v>
      </c>
      <c r="E84" s="1" t="n">
        <v>46277</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32097-2025</t>
        </is>
      </c>
      <c r="B85" t="inlineStr">
        <is>
          <t>avverkningsanmälan</t>
        </is>
      </c>
      <c r="C85" t="inlineStr">
        <is>
          <t>Föryngringsavverkning</t>
        </is>
      </c>
      <c r="D85" s="1" t="n">
        <v>45835</v>
      </c>
      <c r="E85" s="1" t="n">
        <v>46277</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t="n">
        <v>4</v>
      </c>
      <c r="V85" s="2" t="inlineStr">
        <is>
          <t>Lunglav
Spindelblomster
Stuplav
Tvåblad</t>
        </is>
      </c>
      <c r="W85">
        <f>HYPERLINK("https://klasma.github.io/Logging_2321/artfynd/A 32097-2025 artfynd.xlsx", "A 32097-2025")</f>
        <v/>
      </c>
      <c r="X85">
        <f>HYPERLINK("https://klasma.github.io/Logging_2321/kartor/A 32097-2025 karta.png", "A 32097-2025")</f>
        <v/>
      </c>
      <c r="Y85">
        <f>HYPERLINK("https://klasma.github.io/Logging_2321/kartor_geotiff/A 32097-2025 georefererad karta.tif", "A 32097-2025")</f>
        <v/>
      </c>
      <c r="AA85">
        <f>HYPERLINK("https://klasma.github.io/Logging_2321/klagomål/A 32097-2025 FSC-klagomål.docx", "A 32097-2025")</f>
        <v/>
      </c>
      <c r="AB85">
        <f>HYPERLINK("https://klasma.github.io/Logging_2321/klagomålsmail/A 32097-2025 FSC-klagomål mail.docx", "A 32097-2025")</f>
        <v/>
      </c>
      <c r="AC85">
        <f>HYPERLINK("https://klasma.github.io/Logging_2321/tillsyn/A 32097-2025 tillsynsbegäran.docx", "A 32097-2025")</f>
        <v/>
      </c>
      <c r="AD85">
        <f>HYPERLINK("https://klasma.github.io/Logging_2321/tillsynsmail/A 32097-2025 tillsynsbegäran mail.docx", "A 32097-2025")</f>
        <v/>
      </c>
    </row>
    <row r="86" ht="15" customHeight="1">
      <c r="A86" t="inlineStr">
        <is>
          <t>A 21006-2022</t>
        </is>
      </c>
      <c r="B86" t="inlineStr">
        <is>
          <t>avverkningsanmälan</t>
        </is>
      </c>
      <c r="C86" t="inlineStr">
        <is>
          <t>Föryngringsavverkning</t>
        </is>
      </c>
      <c r="D86" s="1" t="n">
        <v>44701</v>
      </c>
      <c r="E86" s="1" t="n">
        <v>46277</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t="n">
        <v>9</v>
      </c>
      <c r="V86" s="2" t="inlineStr">
        <is>
          <t>Gammelgransskål
Lavskrika
Tretåig hackspett
Älg</t>
        </is>
      </c>
      <c r="W86">
        <f>HYPERLINK("https://klasma.github.io/Logging_2321/artfynd/A 21006-2022 artfynd.xlsx", "A 21006-2022")</f>
        <v/>
      </c>
      <c r="X86">
        <f>HYPERLINK("https://klasma.github.io/Logging_2321/kartor/A 21006-2022 karta.png", "A 21006-2022")</f>
        <v/>
      </c>
      <c r="Y86">
        <f>HYPERLINK("https://klasma.github.io/Logging_2321/kartor_geotiff/A 21006-2022 georefererad karta.tif", "A 21006-2022")</f>
        <v/>
      </c>
      <c r="AA86">
        <f>HYPERLINK("https://klasma.github.io/Logging_2321/klagomål/A 21006-2022 FSC-klagomål.docx", "A 21006-2022")</f>
        <v/>
      </c>
      <c r="AB86">
        <f>HYPERLINK("https://klasma.github.io/Logging_2321/klagomålsmail/A 21006-2022 FSC-klagomål mail.docx", "A 21006-2022")</f>
        <v/>
      </c>
      <c r="AC86">
        <f>HYPERLINK("https://klasma.github.io/Logging_2321/tillsyn/A 21006-2022 tillsynsbegäran.docx", "A 21006-2022")</f>
        <v/>
      </c>
      <c r="AD86">
        <f>HYPERLINK("https://klasma.github.io/Logging_2321/tillsynsmail/A 21006-2022 tillsynsbegäran mail.docx", "A 21006-2022")</f>
        <v/>
      </c>
      <c r="AE86">
        <f>HYPERLINK("https://klasma.github.io/Logging_2321/fåglar/A 21006-2022 prioriterade fågelarter.docx", "A 21006-2022")</f>
        <v/>
      </c>
    </row>
    <row r="87" ht="15" customHeight="1">
      <c r="A87" t="inlineStr">
        <is>
          <t>A 61014-2024</t>
        </is>
      </c>
      <c r="B87" t="inlineStr">
        <is>
          <t>avverkningsanmälan</t>
        </is>
      </c>
      <c r="C87" t="inlineStr">
        <is>
          <t>Föryngringsavverkning</t>
        </is>
      </c>
      <c r="D87" s="1" t="n">
        <v>45645</v>
      </c>
      <c r="E87" s="1" t="n">
        <v>46277</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t="n">
        <v>4</v>
      </c>
      <c r="V87" s="2" t="inlineStr">
        <is>
          <t>Spinnfingersvamp
Gulnål
Skogstimmia
Ögonpyrola</t>
        </is>
      </c>
      <c r="W87">
        <f>HYPERLINK("https://klasma.github.io/Logging_2321/artfynd/A 61014-2024 artfynd.xlsx", "A 61014-2024")</f>
        <v/>
      </c>
      <c r="X87">
        <f>HYPERLINK("https://klasma.github.io/Logging_2321/kartor/A 61014-2024 karta.png", "A 61014-2024")</f>
        <v/>
      </c>
      <c r="Y87">
        <f>HYPERLINK("https://klasma.github.io/Logging_2321/kartor_geotiff/A 61014-2024 georefererad karta.tif", "A 61014-2024")</f>
        <v/>
      </c>
      <c r="AA87">
        <f>HYPERLINK("https://klasma.github.io/Logging_2321/klagomål/A 61014-2024 FSC-klagomål.docx", "A 61014-2024")</f>
        <v/>
      </c>
      <c r="AB87">
        <f>HYPERLINK("https://klasma.github.io/Logging_2321/klagomålsmail/A 61014-2024 FSC-klagomål mail.docx", "A 61014-2024")</f>
        <v/>
      </c>
      <c r="AC87">
        <f>HYPERLINK("https://klasma.github.io/Logging_2321/tillsyn/A 61014-2024 tillsynsbegäran.docx", "A 61014-2024")</f>
        <v/>
      </c>
      <c r="AD87">
        <f>HYPERLINK("https://klasma.github.io/Logging_2321/tillsynsmail/A 61014-2024 tillsynsbegäran mail.docx", "A 61014-2024")</f>
        <v/>
      </c>
    </row>
    <row r="88" ht="15" customHeight="1">
      <c r="A88" t="inlineStr">
        <is>
          <t>A 48189-2025</t>
        </is>
      </c>
      <c r="B88" t="inlineStr">
        <is>
          <t>avverkningsanmälan</t>
        </is>
      </c>
      <c r="C88" t="inlineStr">
        <is>
          <t>Avverkning för att bevara och utveckla /försöksver</t>
        </is>
      </c>
      <c r="D88" s="1" t="n">
        <v>45931</v>
      </c>
      <c r="E88" s="1" t="n">
        <v>46277</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46277</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33625-2022</t>
        </is>
      </c>
      <c r="B90" t="inlineStr">
        <is>
          <t>avverkningsanmälan</t>
        </is>
      </c>
      <c r="C90" t="inlineStr">
        <is>
          <t>Föryngringsavverkning</t>
        </is>
      </c>
      <c r="D90" s="1" t="n">
        <v>44789</v>
      </c>
      <c r="E90" s="1" t="n">
        <v>46277</v>
      </c>
      <c r="F90" t="inlineStr">
        <is>
          <t>JÄMTLANDS LÄN</t>
        </is>
      </c>
      <c r="G90" t="inlineStr">
        <is>
          <t>ÅRE</t>
        </is>
      </c>
      <c r="I90" t="n">
        <v>20.7</v>
      </c>
      <c r="J90" t="n">
        <v>3</v>
      </c>
      <c r="K90" t="n">
        <v>1</v>
      </c>
      <c r="L90" t="n">
        <v>1</v>
      </c>
      <c r="M90" t="n">
        <v>1</v>
      </c>
      <c r="N90" t="n">
        <v>0</v>
      </c>
      <c r="O90" t="n">
        <v>0</v>
      </c>
      <c r="P90" t="n">
        <v>0</v>
      </c>
      <c r="Q90" t="n">
        <v>2</v>
      </c>
      <c r="R90" t="n">
        <v>1</v>
      </c>
      <c r="S90" t="n">
        <v>4</v>
      </c>
      <c r="T90" t="n">
        <v>4</v>
      </c>
      <c r="U90" t="n">
        <v>2</v>
      </c>
      <c r="V90" s="2" t="inlineStr">
        <is>
          <t>Garnlav
Lavskrika
Tvåblad
Brudsporre</t>
        </is>
      </c>
      <c r="W90">
        <f>HYPERLINK("https://klasma.github.io/Logging_2321/artfynd/A 33625-2022 artfynd.xlsx", "A 33625-2022")</f>
        <v/>
      </c>
      <c r="X90">
        <f>HYPERLINK("https://klasma.github.io/Logging_2321/kartor/A 33625-2022 karta.png", "A 33625-2022")</f>
        <v/>
      </c>
      <c r="Y90">
        <f>HYPERLINK("https://klasma.github.io/Logging_2321/kartor_geotiff/A 33625-2022 georefererad karta.tif", "A 33625-2022")</f>
        <v/>
      </c>
      <c r="AA90">
        <f>HYPERLINK("https://klasma.github.io/Logging_2321/klagomål/A 33625-2022 FSC-klagomål.docx", "A 33625-2022")</f>
        <v/>
      </c>
      <c r="AB90">
        <f>HYPERLINK("https://klasma.github.io/Logging_2321/klagomålsmail/A 33625-2022 FSC-klagomål mail.docx", "A 33625-2022")</f>
        <v/>
      </c>
      <c r="AC90">
        <f>HYPERLINK("https://klasma.github.io/Logging_2321/tillsyn/A 33625-2022 tillsynsbegäran.docx", "A 33625-2022")</f>
        <v/>
      </c>
      <c r="AD90">
        <f>HYPERLINK("https://klasma.github.io/Logging_2321/tillsynsmail/A 33625-2022 tillsynsbegäran mail.docx", "A 33625-2022")</f>
        <v/>
      </c>
      <c r="AE90">
        <f>HYPERLINK("https://klasma.github.io/Logging_2321/fåglar/A 33625-2022 prioriterade fågelarter.docx", "A 33625-2022")</f>
        <v/>
      </c>
    </row>
    <row r="91" ht="15" customHeight="1">
      <c r="A91" t="inlineStr">
        <is>
          <t>A 40245-2023</t>
        </is>
      </c>
      <c r="B91" t="inlineStr">
        <is>
          <t>avverkningsanmälan</t>
        </is>
      </c>
      <c r="C91" t="inlineStr">
        <is>
          <t>Föryngringsavverkning</t>
        </is>
      </c>
      <c r="D91" s="1" t="n">
        <v>45167</v>
      </c>
      <c r="E91" s="1" t="n">
        <v>46277</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17482-2026</t>
        </is>
      </c>
      <c r="B92" t="inlineStr">
        <is>
          <t>avverkningsanmälan</t>
        </is>
      </c>
      <c r="C92" t="inlineStr">
        <is>
          <t>Föryngringsavverkning</t>
        </is>
      </c>
      <c r="D92" s="1" t="n">
        <v>46120</v>
      </c>
      <c r="E92" s="1" t="n">
        <v>46277</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6108-2023</t>
        </is>
      </c>
      <c r="B93" t="inlineStr">
        <is>
          <t>avverkningsanmälan</t>
        </is>
      </c>
      <c r="C93" t="inlineStr">
        <is>
          <t>Föryngringsavverkning</t>
        </is>
      </c>
      <c r="D93" s="1" t="n">
        <v>44964</v>
      </c>
      <c r="E93" s="1" t="n">
        <v>46277</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56873-2025</t>
        </is>
      </c>
      <c r="B94" t="inlineStr">
        <is>
          <t>avverkningsanmälan</t>
        </is>
      </c>
      <c r="C94" t="inlineStr">
        <is>
          <t>Föryngringsavverkning</t>
        </is>
      </c>
      <c r="D94" s="1" t="n">
        <v>45978</v>
      </c>
      <c r="E94" s="1" t="n">
        <v>46277</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36260-2023</t>
        </is>
      </c>
      <c r="B95" t="inlineStr">
        <is>
          <t>avverkningsanmälan</t>
        </is>
      </c>
      <c r="C95" t="inlineStr">
        <is>
          <t>Föryngringsavverkning</t>
        </is>
      </c>
      <c r="D95" s="1" t="n">
        <v>45151</v>
      </c>
      <c r="E95" s="1" t="n">
        <v>46277</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46277</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46277</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46277</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46277</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11377-2025</t>
        </is>
      </c>
      <c r="B100" t="inlineStr">
        <is>
          <t>avverkningsanmälan</t>
        </is>
      </c>
      <c r="C100" t="inlineStr">
        <is>
          <t>Avverkning för annat ändamål</t>
        </is>
      </c>
      <c r="D100" s="1" t="n">
        <v>45726</v>
      </c>
      <c r="E100" s="1" t="n">
        <v>46277</v>
      </c>
      <c r="F100" t="inlineStr">
        <is>
          <t>JÄMTLANDS LÄN</t>
        </is>
      </c>
      <c r="G100" t="inlineStr">
        <is>
          <t>ÅRE</t>
        </is>
      </c>
      <c r="I100" t="n">
        <v>7.1</v>
      </c>
      <c r="J100" t="n">
        <v>0</v>
      </c>
      <c r="K100" t="n">
        <v>0</v>
      </c>
      <c r="L100" t="n">
        <v>3</v>
      </c>
      <c r="M100" t="n">
        <v>0</v>
      </c>
      <c r="N100" t="n">
        <v>0</v>
      </c>
      <c r="O100" t="n">
        <v>0</v>
      </c>
      <c r="P100" t="n">
        <v>0</v>
      </c>
      <c r="Q100" t="n">
        <v>3</v>
      </c>
      <c r="R100" t="n">
        <v>0</v>
      </c>
      <c r="S100" t="n">
        <v>3</v>
      </c>
      <c r="T100" t="n">
        <v>3</v>
      </c>
      <c r="U100" t="n">
        <v>3</v>
      </c>
      <c r="V100" s="2" t="inlineStr">
        <is>
          <t>Gammelgransskål
Liten svartspik
Vitgrynig nållav</t>
        </is>
      </c>
      <c r="W100">
        <f>HYPERLINK("https://klasma.github.io/Logging_2321/artfynd/A 11377-2025 artfynd.xlsx", "A 11377-2025")</f>
        <v/>
      </c>
      <c r="X100">
        <f>HYPERLINK("https://klasma.github.io/Logging_2321/kartor/A 11377-2025 karta.png", "A 11377-2025")</f>
        <v/>
      </c>
      <c r="Y100">
        <f>HYPERLINK("https://klasma.github.io/Logging_2321/kartor_geotiff/A 11377-2025 georefererad karta.tif", "A 11377-2025")</f>
        <v/>
      </c>
      <c r="AA100">
        <f>HYPERLINK("https://klasma.github.io/Logging_2321/klagomål/A 11377-2025 FSC-klagomål.docx", "A 11377-2025")</f>
        <v/>
      </c>
      <c r="AB100">
        <f>HYPERLINK("https://klasma.github.io/Logging_2321/klagomålsmail/A 11377-2025 FSC-klagomål mail.docx", "A 11377-2025")</f>
        <v/>
      </c>
      <c r="AC100">
        <f>HYPERLINK("https://klasma.github.io/Logging_2321/tillsyn/A 11377-2025 tillsynsbegäran.docx", "A 11377-2025")</f>
        <v/>
      </c>
      <c r="AD100">
        <f>HYPERLINK("https://klasma.github.io/Logging_2321/tillsynsmail/A 11377-2025 tillsynsbegäran mail.docx", "A 11377-2025")</f>
        <v/>
      </c>
    </row>
    <row r="101" ht="15" customHeight="1">
      <c r="A101" t="inlineStr">
        <is>
          <t>A 56549-2025</t>
        </is>
      </c>
      <c r="B101" t="inlineStr">
        <is>
          <t>avverkningsanmälan</t>
        </is>
      </c>
      <c r="C101" t="inlineStr">
        <is>
          <t>Föryngringsavverkning</t>
        </is>
      </c>
      <c r="D101" s="1" t="n">
        <v>45975</v>
      </c>
      <c r="E101" s="1" t="n">
        <v>46277</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52707-2022</t>
        </is>
      </c>
      <c r="B102" t="inlineStr">
        <is>
          <t>avverkningsanmälan</t>
        </is>
      </c>
      <c r="C102" t="inlineStr">
        <is>
          <t>Avverkning för annat ändamål</t>
        </is>
      </c>
      <c r="D102" s="1" t="n">
        <v>44874</v>
      </c>
      <c r="E102" s="1" t="n">
        <v>46277</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t="n">
        <v>0</v>
      </c>
      <c r="V102" s="2" t="inlineStr">
        <is>
          <t>Rosenticka
Ullticka
Luddlav</t>
        </is>
      </c>
      <c r="W102">
        <f>HYPERLINK("https://klasma.github.io/Logging_2321/artfynd/A 52707-2022 artfynd.xlsx", "A 52707-2022")</f>
        <v/>
      </c>
      <c r="X102">
        <f>HYPERLINK("https://klasma.github.io/Logging_2321/kartor/A 52707-2022 karta.png", "A 52707-2022")</f>
        <v/>
      </c>
      <c r="Y102">
        <f>HYPERLINK("https://klasma.github.io/Logging_2321/kartor_geotiff/A 52707-2022 georefererad karta.tif", "A 52707-2022")</f>
        <v/>
      </c>
      <c r="AA102">
        <f>HYPERLINK("https://klasma.github.io/Logging_2321/klagomål/A 52707-2022 FSC-klagomål.docx", "A 52707-2022")</f>
        <v/>
      </c>
      <c r="AB102">
        <f>HYPERLINK("https://klasma.github.io/Logging_2321/klagomålsmail/A 52707-2022 FSC-klagomål mail.docx", "A 52707-2022")</f>
        <v/>
      </c>
      <c r="AC102">
        <f>HYPERLINK("https://klasma.github.io/Logging_2321/tillsyn/A 52707-2022 tillsynsbegäran.docx", "A 52707-2022")</f>
        <v/>
      </c>
      <c r="AD102">
        <f>HYPERLINK("https://klasma.github.io/Logging_2321/tillsynsmail/A 52707-2022 tillsynsbegäran mail.docx", "A 52707-2022")</f>
        <v/>
      </c>
    </row>
    <row r="103" ht="15" customHeight="1">
      <c r="A103" t="inlineStr">
        <is>
          <t>A 52427-2021</t>
        </is>
      </c>
      <c r="B103" t="inlineStr">
        <is>
          <t>avverkningsanmälan</t>
        </is>
      </c>
      <c r="C103" t="inlineStr">
        <is>
          <t>Föryngringsavverkning</t>
        </is>
      </c>
      <c r="D103" s="1" t="n">
        <v>44466</v>
      </c>
      <c r="E103" s="1" t="n">
        <v>46277</v>
      </c>
      <c r="F103" t="inlineStr">
        <is>
          <t>JÄMTLANDS LÄN</t>
        </is>
      </c>
      <c r="G103" t="inlineStr">
        <is>
          <t>ÅRE</t>
        </is>
      </c>
      <c r="I103" t="n">
        <v>4</v>
      </c>
      <c r="J103" t="n">
        <v>1</v>
      </c>
      <c r="K103" t="n">
        <v>0</v>
      </c>
      <c r="L103" t="n">
        <v>2</v>
      </c>
      <c r="M103" t="n">
        <v>1</v>
      </c>
      <c r="N103" t="n">
        <v>0</v>
      </c>
      <c r="O103" t="n">
        <v>0</v>
      </c>
      <c r="P103" t="n">
        <v>0</v>
      </c>
      <c r="Q103" t="n">
        <v>3</v>
      </c>
      <c r="R103" t="n">
        <v>1</v>
      </c>
      <c r="S103" t="n">
        <v>3</v>
      </c>
      <c r="T103" t="n">
        <v>5</v>
      </c>
      <c r="U103" t="n">
        <v>5</v>
      </c>
      <c r="V103" s="2" t="inlineStr">
        <is>
          <t>Garnlav
Harticka
Tretåig hackspett</t>
        </is>
      </c>
      <c r="W103">
        <f>HYPERLINK("https://klasma.github.io/Logging_2321/artfynd/A 52427-2021 artfynd.xlsx", "A 52427-2021")</f>
        <v/>
      </c>
      <c r="X103">
        <f>HYPERLINK("https://klasma.github.io/Logging_2321/kartor/A 52427-2021 karta.png", "A 52427-2021")</f>
        <v/>
      </c>
      <c r="Y103">
        <f>HYPERLINK("https://klasma.github.io/Logging_2321/kartor_geotiff/A 52427-2021 georefererad karta.tif", "A 52427-2021")</f>
        <v/>
      </c>
      <c r="AA103">
        <f>HYPERLINK("https://klasma.github.io/Logging_2321/klagomål/A 52427-2021 FSC-klagomål.docx", "A 52427-2021")</f>
        <v/>
      </c>
      <c r="AB103">
        <f>HYPERLINK("https://klasma.github.io/Logging_2321/klagomålsmail/A 52427-2021 FSC-klagomål mail.docx", "A 52427-2021")</f>
        <v/>
      </c>
      <c r="AC103">
        <f>HYPERLINK("https://klasma.github.io/Logging_2321/tillsyn/A 52427-2021 tillsynsbegäran.docx", "A 52427-2021")</f>
        <v/>
      </c>
      <c r="AD103">
        <f>HYPERLINK("https://klasma.github.io/Logging_2321/tillsynsmail/A 52427-2021 tillsynsbegäran mail.docx", "A 52427-2021")</f>
        <v/>
      </c>
      <c r="AE103">
        <f>HYPERLINK("https://klasma.github.io/Logging_2321/fåglar/A 52427-2021 prioriterade fågelarter.docx", "A 52427-2021")</f>
        <v/>
      </c>
    </row>
    <row r="104" ht="15" customHeight="1">
      <c r="A104" t="inlineStr">
        <is>
          <t>A 47988-2025</t>
        </is>
      </c>
      <c r="B104" t="inlineStr">
        <is>
          <t>avverkningsanmälan</t>
        </is>
      </c>
      <c r="C104" t="inlineStr">
        <is>
          <t>Avverkning för att bevara och utveckla /försöksver</t>
        </is>
      </c>
      <c r="D104" s="1" t="n">
        <v>45931</v>
      </c>
      <c r="E104" s="1" t="n">
        <v>46277</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62273-2025</t>
        </is>
      </c>
      <c r="B105" t="inlineStr">
        <is>
          <t>avverkningsanmälan</t>
        </is>
      </c>
      <c r="C105" t="inlineStr">
        <is>
          <t>Föryngringsavverkning</t>
        </is>
      </c>
      <c r="D105" s="1" t="n">
        <v>46006</v>
      </c>
      <c r="E105" s="1" t="n">
        <v>46277</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62522-2025</t>
        </is>
      </c>
      <c r="B106" t="inlineStr">
        <is>
          <t>avverkningsanmälan</t>
        </is>
      </c>
      <c r="C106" t="inlineStr">
        <is>
          <t>Föryngringsavverkning</t>
        </is>
      </c>
      <c r="D106" s="1" t="n">
        <v>46007</v>
      </c>
      <c r="E106" s="1" t="n">
        <v>46277</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52588-2024</t>
        </is>
      </c>
      <c r="B107" t="inlineStr">
        <is>
          <t>avverkningsanmälan</t>
        </is>
      </c>
      <c r="C107" t="inlineStr">
        <is>
          <t>Föryngringsavverkning</t>
        </is>
      </c>
      <c r="D107" s="1" t="n">
        <v>45609</v>
      </c>
      <c r="E107" s="1" t="n">
        <v>46277</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10627-2023</t>
        </is>
      </c>
      <c r="B108" t="inlineStr">
        <is>
          <t>avverkningsanmälan</t>
        </is>
      </c>
      <c r="C108" t="inlineStr">
        <is>
          <t>Föryngringsavverkning</t>
        </is>
      </c>
      <c r="D108" s="1" t="n">
        <v>44984</v>
      </c>
      <c r="E108" s="1" t="n">
        <v>46277</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54376-2025</t>
        </is>
      </c>
      <c r="B109" t="inlineStr">
        <is>
          <t>avverkningsanmälan</t>
        </is>
      </c>
      <c r="C109" t="inlineStr">
        <is>
          <t>Föryngringsavverkning</t>
        </is>
      </c>
      <c r="D109" s="1" t="n">
        <v>45965</v>
      </c>
      <c r="E109" s="1" t="n">
        <v>46277</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58082-2022</t>
        </is>
      </c>
      <c r="B110" t="inlineStr">
        <is>
          <t>avverkningsanmälan</t>
        </is>
      </c>
      <c r="C110" t="inlineStr">
        <is>
          <t>Föryngringsavverkning</t>
        </is>
      </c>
      <c r="D110" s="1" t="n">
        <v>44900</v>
      </c>
      <c r="E110" s="1" t="n">
        <v>46277</v>
      </c>
      <c r="F110" t="inlineStr">
        <is>
          <t>JÄMTLANDS LÄN</t>
        </is>
      </c>
      <c r="G110" t="inlineStr">
        <is>
          <t>ÅRE</t>
        </is>
      </c>
      <c r="I110" t="n">
        <v>28.2</v>
      </c>
      <c r="J110" t="n">
        <v>2</v>
      </c>
      <c r="K110" t="n">
        <v>1</v>
      </c>
      <c r="L110" t="n">
        <v>1</v>
      </c>
      <c r="M110" t="n">
        <v>0</v>
      </c>
      <c r="N110" t="n">
        <v>0</v>
      </c>
      <c r="O110" t="n">
        <v>0</v>
      </c>
      <c r="P110" t="n">
        <v>0</v>
      </c>
      <c r="Q110" t="n">
        <v>1</v>
      </c>
      <c r="R110" t="n">
        <v>0</v>
      </c>
      <c r="S110" t="n">
        <v>3</v>
      </c>
      <c r="T110" t="n">
        <v>7</v>
      </c>
      <c r="U110" t="n">
        <v>5</v>
      </c>
      <c r="V110" s="2" t="inlineStr">
        <is>
          <t>Tretåig hackspett
Kambräken
Spillkråka</t>
        </is>
      </c>
      <c r="W110">
        <f>HYPERLINK("https://klasma.github.io/Logging_2321/artfynd/A 58082-2022 artfynd.xlsx", "A 58082-2022")</f>
        <v/>
      </c>
      <c r="X110">
        <f>HYPERLINK("https://klasma.github.io/Logging_2321/kartor/A 58082-2022 karta.png", "A 58082-2022")</f>
        <v/>
      </c>
      <c r="Y110">
        <f>HYPERLINK("https://klasma.github.io/Logging_2321/kartor_geotiff/A 58082-2022 georefererad karta.tif", "A 58082-2022")</f>
        <v/>
      </c>
      <c r="AA110">
        <f>HYPERLINK("https://klasma.github.io/Logging_2321/klagomål/A 58082-2022 FSC-klagomål.docx", "A 58082-2022")</f>
        <v/>
      </c>
      <c r="AB110">
        <f>HYPERLINK("https://klasma.github.io/Logging_2321/klagomålsmail/A 58082-2022 FSC-klagomål mail.docx", "A 58082-2022")</f>
        <v/>
      </c>
      <c r="AC110">
        <f>HYPERLINK("https://klasma.github.io/Logging_2321/tillsyn/A 58082-2022 tillsynsbegäran.docx", "A 58082-2022")</f>
        <v/>
      </c>
      <c r="AD110">
        <f>HYPERLINK("https://klasma.github.io/Logging_2321/tillsynsmail/A 58082-2022 tillsynsbegäran mail.docx", "A 58082-2022")</f>
        <v/>
      </c>
      <c r="AE110">
        <f>HYPERLINK("https://klasma.github.io/Logging_2321/fåglar/A 58082-2022 prioriterade fågelarter.docx", "A 58082-2022")</f>
        <v/>
      </c>
    </row>
    <row r="111" ht="15" customHeight="1">
      <c r="A111" t="inlineStr">
        <is>
          <t>A 57537-2024</t>
        </is>
      </c>
      <c r="B111" t="inlineStr">
        <is>
          <t>avverkningsanmälan</t>
        </is>
      </c>
      <c r="C111" t="inlineStr">
        <is>
          <t>Föryngringsavverkning</t>
        </is>
      </c>
      <c r="D111" s="1" t="n">
        <v>45630</v>
      </c>
      <c r="E111" s="1" t="n">
        <v>46277</v>
      </c>
      <c r="F111" t="inlineStr">
        <is>
          <t>JÄMTLANDS LÄN</t>
        </is>
      </c>
      <c r="G111" t="inlineStr">
        <is>
          <t>ÅRE</t>
        </is>
      </c>
      <c r="I111" t="n">
        <v>19.1</v>
      </c>
      <c r="J111" t="n">
        <v>1</v>
      </c>
      <c r="K111" t="n">
        <v>0</v>
      </c>
      <c r="L111" t="n">
        <v>2</v>
      </c>
      <c r="M111" t="n">
        <v>1</v>
      </c>
      <c r="N111" t="n">
        <v>0</v>
      </c>
      <c r="O111" t="n">
        <v>0</v>
      </c>
      <c r="P111" t="n">
        <v>0</v>
      </c>
      <c r="Q111" t="n">
        <v>3</v>
      </c>
      <c r="R111" t="n">
        <v>1</v>
      </c>
      <c r="S111" t="n">
        <v>3</v>
      </c>
      <c r="T111" t="n">
        <v>12</v>
      </c>
      <c r="U111" t="n">
        <v>8</v>
      </c>
      <c r="V111" s="2" t="inlineStr">
        <is>
          <t>Garnlav
Tretåig hackspett
Ullticka</t>
        </is>
      </c>
      <c r="W111">
        <f>HYPERLINK("https://klasma.github.io/Logging_2321/artfynd/A 57537-2024 artfynd.xlsx", "A 57537-2024")</f>
        <v/>
      </c>
      <c r="X111">
        <f>HYPERLINK("https://klasma.github.io/Logging_2321/kartor/A 57537-2024 karta.png", "A 57537-2024")</f>
        <v/>
      </c>
      <c r="Y111">
        <f>HYPERLINK("https://klasma.github.io/Logging_2321/kartor_geotiff/A 57537-2024 georefererad karta.tif", "A 57537-2024")</f>
        <v/>
      </c>
      <c r="AA111">
        <f>HYPERLINK("https://klasma.github.io/Logging_2321/klagomål/A 57537-2024 FSC-klagomål.docx", "A 57537-2024")</f>
        <v/>
      </c>
      <c r="AB111">
        <f>HYPERLINK("https://klasma.github.io/Logging_2321/klagomålsmail/A 57537-2024 FSC-klagomål mail.docx", "A 57537-2024")</f>
        <v/>
      </c>
      <c r="AC111">
        <f>HYPERLINK("https://klasma.github.io/Logging_2321/tillsyn/A 57537-2024 tillsynsbegäran.docx", "A 57537-2024")</f>
        <v/>
      </c>
      <c r="AD111">
        <f>HYPERLINK("https://klasma.github.io/Logging_2321/tillsynsmail/A 57537-2024 tillsynsbegäran mail.docx", "A 57537-2024")</f>
        <v/>
      </c>
      <c r="AE111">
        <f>HYPERLINK("https://klasma.github.io/Logging_2321/fåglar/A 57537-2024 prioriterade fågelarter.docx", "A 57537-2024")</f>
        <v/>
      </c>
    </row>
    <row r="112" ht="15" customHeight="1">
      <c r="A112" t="inlineStr">
        <is>
          <t>A 13625-2023</t>
        </is>
      </c>
      <c r="B112" t="inlineStr">
        <is>
          <t>avverkningsanmälan</t>
        </is>
      </c>
      <c r="C112" t="inlineStr">
        <is>
          <t>Föryngringsavverkning</t>
        </is>
      </c>
      <c r="D112" s="1" t="n">
        <v>45006</v>
      </c>
      <c r="E112" s="1" t="n">
        <v>46277</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62621-2025</t>
        </is>
      </c>
      <c r="B113" t="inlineStr">
        <is>
          <t>avverkningsanmälan</t>
        </is>
      </c>
      <c r="C113" t="inlineStr">
        <is>
          <t>Föryngringsavverkning</t>
        </is>
      </c>
      <c r="D113" s="1" t="n">
        <v>46008</v>
      </c>
      <c r="E113" s="1" t="n">
        <v>46277</v>
      </c>
      <c r="F113" t="inlineStr">
        <is>
          <t>JÄMTLANDS LÄN</t>
        </is>
      </c>
      <c r="G113" t="inlineStr">
        <is>
          <t>ÅRE</t>
        </is>
      </c>
      <c r="I113" t="n">
        <v>7.4</v>
      </c>
      <c r="J113" t="n">
        <v>2</v>
      </c>
      <c r="K113" t="n">
        <v>0</v>
      </c>
      <c r="L113" t="n">
        <v>2</v>
      </c>
      <c r="M113" t="n">
        <v>1</v>
      </c>
      <c r="N113" t="n">
        <v>0</v>
      </c>
      <c r="O113" t="n">
        <v>0</v>
      </c>
      <c r="P113" t="n">
        <v>0</v>
      </c>
      <c r="Q113" t="n">
        <v>3</v>
      </c>
      <c r="R113" t="n">
        <v>1</v>
      </c>
      <c r="S113" t="n">
        <v>3</v>
      </c>
      <c r="T113" t="n">
        <v>17</v>
      </c>
      <c r="U113" t="n">
        <v>17</v>
      </c>
      <c r="V113" s="2" t="inlineStr">
        <is>
          <t>Garnlav
Lavskrika
Tretåig hackspett</t>
        </is>
      </c>
      <c r="W113">
        <f>HYPERLINK("https://klasma.github.io/Logging_2321/artfynd/A 62621-2025 artfynd.xlsx", "A 62621-2025")</f>
        <v/>
      </c>
      <c r="X113">
        <f>HYPERLINK("https://klasma.github.io/Logging_2321/kartor/A 62621-2025 karta.png", "A 62621-2025")</f>
        <v/>
      </c>
      <c r="Y113">
        <f>HYPERLINK("https://klasma.github.io/Logging_2321/kartor_geotiff/A 62621-2025 georefererad karta.tif", "A 62621-2025")</f>
        <v/>
      </c>
      <c r="AA113">
        <f>HYPERLINK("https://klasma.github.io/Logging_2321/klagomål/A 62621-2025 FSC-klagomål.docx", "A 62621-2025")</f>
        <v/>
      </c>
      <c r="AB113">
        <f>HYPERLINK("https://klasma.github.io/Logging_2321/klagomålsmail/A 62621-2025 FSC-klagomål mail.docx", "A 62621-2025")</f>
        <v/>
      </c>
      <c r="AC113">
        <f>HYPERLINK("https://klasma.github.io/Logging_2321/tillsyn/A 62621-2025 tillsynsbegäran.docx", "A 62621-2025")</f>
        <v/>
      </c>
      <c r="AD113">
        <f>HYPERLINK("https://klasma.github.io/Logging_2321/tillsynsmail/A 62621-2025 tillsynsbegäran mail.docx", "A 62621-2025")</f>
        <v/>
      </c>
      <c r="AE113">
        <f>HYPERLINK("https://klasma.github.io/Logging_2321/fåglar/A 62621-2025 prioriterade fågelarter.docx", "A 62621-2025")</f>
        <v/>
      </c>
    </row>
    <row r="114" ht="15" customHeight="1">
      <c r="A114" t="inlineStr">
        <is>
          <t>A 58387-2023</t>
        </is>
      </c>
      <c r="B114" t="inlineStr">
        <is>
          <t>avverkningsanmälan</t>
        </is>
      </c>
      <c r="C114" t="inlineStr">
        <is>
          <t>Föryngringsavverkning</t>
        </is>
      </c>
      <c r="D114" s="1" t="n">
        <v>45250</v>
      </c>
      <c r="E114" s="1" t="n">
        <v>46277</v>
      </c>
      <c r="F114" t="inlineStr">
        <is>
          <t>JÄMTLANDS LÄN</t>
        </is>
      </c>
      <c r="G114" t="inlineStr">
        <is>
          <t>ÅRE</t>
        </is>
      </c>
      <c r="I114" t="n">
        <v>24.7</v>
      </c>
      <c r="J114" t="n">
        <v>3</v>
      </c>
      <c r="K114" t="n">
        <v>0</v>
      </c>
      <c r="L114" t="n">
        <v>2</v>
      </c>
      <c r="M114" t="n">
        <v>0</v>
      </c>
      <c r="N114" t="n">
        <v>0</v>
      </c>
      <c r="O114" t="n">
        <v>0</v>
      </c>
      <c r="P114" t="n">
        <v>0</v>
      </c>
      <c r="Q114" t="n">
        <v>2</v>
      </c>
      <c r="R114" t="n">
        <v>0</v>
      </c>
      <c r="S114" t="n">
        <v>3</v>
      </c>
      <c r="T114" t="n">
        <v>11</v>
      </c>
      <c r="U114" t="n">
        <v>11</v>
      </c>
      <c r="V114" s="2" t="inlineStr">
        <is>
          <t>Lavskrika
Tretåig hackspett
Spillkråka</t>
        </is>
      </c>
      <c r="W114">
        <f>HYPERLINK("https://klasma.github.io/Logging_2321/artfynd/A 58387-2023 artfynd.xlsx", "A 58387-2023")</f>
        <v/>
      </c>
      <c r="X114">
        <f>HYPERLINK("https://klasma.github.io/Logging_2321/kartor/A 58387-2023 karta.png", "A 58387-2023")</f>
        <v/>
      </c>
      <c r="Y114">
        <f>HYPERLINK("https://klasma.github.io/Logging_2321/kartor_geotiff/A 58387-2023 georefererad karta.tif", "A 58387-2023")</f>
        <v/>
      </c>
      <c r="AA114">
        <f>HYPERLINK("https://klasma.github.io/Logging_2321/klagomål/A 58387-2023 FSC-klagomål.docx", "A 58387-2023")</f>
        <v/>
      </c>
      <c r="AB114">
        <f>HYPERLINK("https://klasma.github.io/Logging_2321/klagomålsmail/A 58387-2023 FSC-klagomål mail.docx", "A 58387-2023")</f>
        <v/>
      </c>
      <c r="AC114">
        <f>HYPERLINK("https://klasma.github.io/Logging_2321/tillsyn/A 58387-2023 tillsynsbegäran.docx", "A 58387-2023")</f>
        <v/>
      </c>
      <c r="AD114">
        <f>HYPERLINK("https://klasma.github.io/Logging_2321/tillsynsmail/A 58387-2023 tillsynsbegäran mail.docx", "A 58387-2023")</f>
        <v/>
      </c>
      <c r="AE114">
        <f>HYPERLINK("https://klasma.github.io/Logging_2321/fåglar/A 58387-2023 prioriterade fågelarter.docx", "A 58387-2023")</f>
        <v/>
      </c>
    </row>
    <row r="115" ht="15" customHeight="1">
      <c r="A115" t="inlineStr">
        <is>
          <t>S 39-2025</t>
        </is>
      </c>
      <c r="B115" t="inlineStr">
        <is>
          <t>samrådsanmälan</t>
        </is>
      </c>
      <c r="C115" t="inlineStr">
        <is>
          <t>Annan skogsbruksåtgärd</t>
        </is>
      </c>
      <c r="D115" s="1" t="n">
        <v>45666</v>
      </c>
      <c r="E115" s="1" t="n">
        <v>46277</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46277</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58232-2021</t>
        </is>
      </c>
      <c r="B117" t="inlineStr">
        <is>
          <t>avverkningsanmälan</t>
        </is>
      </c>
      <c r="C117" t="inlineStr">
        <is>
          <t>Föryngringsavverkning</t>
        </is>
      </c>
      <c r="D117" s="1" t="n">
        <v>44487</v>
      </c>
      <c r="E117" s="1" t="n">
        <v>46277</v>
      </c>
      <c r="F117" t="inlineStr">
        <is>
          <t>JÄMTLANDS LÄN</t>
        </is>
      </c>
      <c r="G117" t="inlineStr">
        <is>
          <t>ÅRE</t>
        </is>
      </c>
      <c r="I117" t="n">
        <v>43.7</v>
      </c>
      <c r="J117" t="n">
        <v>0</v>
      </c>
      <c r="K117" t="n">
        <v>0</v>
      </c>
      <c r="L117" t="n">
        <v>1</v>
      </c>
      <c r="M117" t="n">
        <v>1</v>
      </c>
      <c r="N117" t="n">
        <v>0</v>
      </c>
      <c r="O117" t="n">
        <v>0</v>
      </c>
      <c r="P117" t="n">
        <v>0</v>
      </c>
      <c r="Q117" t="n">
        <v>2</v>
      </c>
      <c r="R117" t="n">
        <v>1</v>
      </c>
      <c r="S117" t="n">
        <v>2</v>
      </c>
      <c r="T117" t="n">
        <v>2</v>
      </c>
      <c r="U117" t="n">
        <v>0</v>
      </c>
      <c r="V117" s="2" t="inlineStr">
        <is>
          <t>Liten sotlav
Vitgrynig nållav</t>
        </is>
      </c>
      <c r="W117">
        <f>HYPERLINK("https://klasma.github.io/Logging_2321/artfynd/A 58232-2021 artfynd.xlsx", "A 58232-2021")</f>
        <v/>
      </c>
      <c r="X117">
        <f>HYPERLINK("https://klasma.github.io/Logging_2321/kartor/A 58232-2021 karta.png", "A 58232-2021")</f>
        <v/>
      </c>
      <c r="Y117">
        <f>HYPERLINK("https://klasma.github.io/Logging_2321/kartor_geotiff/A 58232-2021 georefererad karta.tif", "A 58232-2021")</f>
        <v/>
      </c>
      <c r="AA117">
        <f>HYPERLINK("https://klasma.github.io/Logging_2321/klagomål/A 58232-2021 FSC-klagomål.docx", "A 58232-2021")</f>
        <v/>
      </c>
      <c r="AB117">
        <f>HYPERLINK("https://klasma.github.io/Logging_2321/klagomålsmail/A 58232-2021 FSC-klagomål mail.docx", "A 58232-2021")</f>
        <v/>
      </c>
      <c r="AC117">
        <f>HYPERLINK("https://klasma.github.io/Logging_2321/tillsyn/A 58232-2021 tillsynsbegäran.docx", "A 58232-2021")</f>
        <v/>
      </c>
      <c r="AD117">
        <f>HYPERLINK("https://klasma.github.io/Logging_2321/tillsynsmail/A 58232-2021 tillsynsbegäran mail.docx", "A 58232-2021")</f>
        <v/>
      </c>
    </row>
    <row r="118" ht="15" customHeight="1">
      <c r="A118" t="inlineStr">
        <is>
          <t>A 58226-2021</t>
        </is>
      </c>
      <c r="B118" t="inlineStr">
        <is>
          <t>avverkningsanmälan</t>
        </is>
      </c>
      <c r="C118" t="inlineStr">
        <is>
          <t>Föryngringsavverkning</t>
        </is>
      </c>
      <c r="D118" s="1" t="n">
        <v>44487</v>
      </c>
      <c r="E118" s="1" t="n">
        <v>46277</v>
      </c>
      <c r="F118" t="inlineStr">
        <is>
          <t>JÄMTLANDS LÄN</t>
        </is>
      </c>
      <c r="G118" t="inlineStr">
        <is>
          <t>ÅRE</t>
        </is>
      </c>
      <c r="I118" t="n">
        <v>62.3</v>
      </c>
      <c r="J118" t="n">
        <v>1</v>
      </c>
      <c r="K118" t="n">
        <v>1</v>
      </c>
      <c r="L118" t="n">
        <v>1</v>
      </c>
      <c r="M118" t="n">
        <v>0</v>
      </c>
      <c r="N118" t="n">
        <v>0</v>
      </c>
      <c r="O118" t="n">
        <v>0</v>
      </c>
      <c r="P118" t="n">
        <v>0</v>
      </c>
      <c r="Q118" t="n">
        <v>1</v>
      </c>
      <c r="R118" t="n">
        <v>0</v>
      </c>
      <c r="S118" t="n">
        <v>2</v>
      </c>
      <c r="T118" t="n">
        <v>2</v>
      </c>
      <c r="U118" t="n">
        <v>2</v>
      </c>
      <c r="V118" s="2" t="inlineStr">
        <is>
          <t>Tretåig hackspett
Kambräken</t>
        </is>
      </c>
      <c r="W118">
        <f>HYPERLINK("https://klasma.github.io/Logging_2321/artfynd/A 58226-2021 artfynd.xlsx", "A 58226-2021")</f>
        <v/>
      </c>
      <c r="X118">
        <f>HYPERLINK("https://klasma.github.io/Logging_2321/kartor/A 58226-2021 karta.png", "A 58226-2021")</f>
        <v/>
      </c>
      <c r="Y118">
        <f>HYPERLINK("https://klasma.github.io/Logging_2321/kartor_geotiff/A 58226-2021 georefererad karta.tif", "A 58226-2021")</f>
        <v/>
      </c>
      <c r="AA118">
        <f>HYPERLINK("https://klasma.github.io/Logging_2321/klagomål/A 58226-2021 FSC-klagomål.docx", "A 58226-2021")</f>
        <v/>
      </c>
      <c r="AB118">
        <f>HYPERLINK("https://klasma.github.io/Logging_2321/klagomålsmail/A 58226-2021 FSC-klagomål mail.docx", "A 58226-2021")</f>
        <v/>
      </c>
      <c r="AC118">
        <f>HYPERLINK("https://klasma.github.io/Logging_2321/tillsyn/A 58226-2021 tillsynsbegäran.docx", "A 58226-2021")</f>
        <v/>
      </c>
      <c r="AD118">
        <f>HYPERLINK("https://klasma.github.io/Logging_2321/tillsynsmail/A 58226-2021 tillsynsbegäran mail.docx", "A 58226-2021")</f>
        <v/>
      </c>
      <c r="AE118">
        <f>HYPERLINK("https://klasma.github.io/Logging_2321/fåglar/A 58226-2021 prioriterade fågelarter.docx", "A 58226-2021")</f>
        <v/>
      </c>
    </row>
    <row r="119" ht="15" customHeight="1">
      <c r="A119" t="inlineStr">
        <is>
          <t>A 55194-2022</t>
        </is>
      </c>
      <c r="B119" t="inlineStr">
        <is>
          <t>avverkningsanmälan</t>
        </is>
      </c>
      <c r="C119" t="inlineStr">
        <is>
          <t>Avverkning för annat ändamål</t>
        </is>
      </c>
      <c r="D119" s="1" t="n">
        <v>44886</v>
      </c>
      <c r="E119" s="1" t="n">
        <v>46277</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54055-2023</t>
        </is>
      </c>
      <c r="B120" t="inlineStr">
        <is>
          <t>avverkningsanmälan</t>
        </is>
      </c>
      <c r="C120" t="inlineStr">
        <is>
          <t>Föryngringsavverkning</t>
        </is>
      </c>
      <c r="D120" s="1" t="n">
        <v>45231</v>
      </c>
      <c r="E120" s="1" t="n">
        <v>46277</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t="n">
        <v>15</v>
      </c>
      <c r="V120" s="2" t="inlineStr">
        <is>
          <t>Tretåig hackspett
Ullticka</t>
        </is>
      </c>
      <c r="W120">
        <f>HYPERLINK("https://klasma.github.io/Logging_2321/artfynd/A 54055-2023 artfynd.xlsx", "A 54055-2023")</f>
        <v/>
      </c>
      <c r="X120">
        <f>HYPERLINK("https://klasma.github.io/Logging_2321/kartor/A 54055-2023 karta.png", "A 54055-2023")</f>
        <v/>
      </c>
      <c r="Y120">
        <f>HYPERLINK("https://klasma.github.io/Logging_2321/kartor_geotiff/A 54055-2023 georefererad karta.tif", "A 54055-2023")</f>
        <v/>
      </c>
      <c r="AA120">
        <f>HYPERLINK("https://klasma.github.io/Logging_2321/klagomål/A 54055-2023 FSC-klagomål.docx", "A 54055-2023")</f>
        <v/>
      </c>
      <c r="AB120">
        <f>HYPERLINK("https://klasma.github.io/Logging_2321/klagomålsmail/A 54055-2023 FSC-klagomål mail.docx", "A 54055-2023")</f>
        <v/>
      </c>
      <c r="AC120">
        <f>HYPERLINK("https://klasma.github.io/Logging_2321/tillsyn/A 54055-2023 tillsynsbegäran.docx", "A 54055-2023")</f>
        <v/>
      </c>
      <c r="AD120">
        <f>HYPERLINK("https://klasma.github.io/Logging_2321/tillsynsmail/A 54055-2023 tillsynsbegäran mail.docx", "A 54055-2023")</f>
        <v/>
      </c>
      <c r="AE120">
        <f>HYPERLINK("https://klasma.github.io/Logging_2321/fåglar/A 54055-2023 prioriterade fågelarter.docx", "A 54055-2023")</f>
        <v/>
      </c>
    </row>
    <row r="121" ht="15" customHeight="1">
      <c r="A121" t="inlineStr">
        <is>
          <t>A 32114-2025</t>
        </is>
      </c>
      <c r="B121" t="inlineStr">
        <is>
          <t>avverkningsanmälan</t>
        </is>
      </c>
      <c r="C121" t="inlineStr">
        <is>
          <t>Föryngringsavverkning</t>
        </is>
      </c>
      <c r="D121" s="1" t="n">
        <v>45835</v>
      </c>
      <c r="E121" s="1" t="n">
        <v>46277</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32207-2022</t>
        </is>
      </c>
      <c r="B122" t="inlineStr">
        <is>
          <t>avverkningsanmälan</t>
        </is>
      </c>
      <c r="C122" t="inlineStr">
        <is>
          <t>Föryngringsavverkning</t>
        </is>
      </c>
      <c r="D122" s="1" t="n">
        <v>44781</v>
      </c>
      <c r="E122" s="1" t="n">
        <v>46277</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46277</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23729-2023</t>
        </is>
      </c>
      <c r="B124" t="inlineStr">
        <is>
          <t>avverkningsanmälan</t>
        </is>
      </c>
      <c r="C124" t="inlineStr">
        <is>
          <t>Föryngringsavverkning</t>
        </is>
      </c>
      <c r="D124" s="1" t="n">
        <v>45072</v>
      </c>
      <c r="E124" s="1" t="n">
        <v>46277</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10501-2024</t>
        </is>
      </c>
      <c r="B125" t="inlineStr">
        <is>
          <t>avverkningsanmälan</t>
        </is>
      </c>
      <c r="C125" t="inlineStr">
        <is>
          <t>Föryngringsavverkning</t>
        </is>
      </c>
      <c r="D125" s="1" t="n">
        <v>45366</v>
      </c>
      <c r="E125" s="1" t="n">
        <v>46277</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46277</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59237-2022</t>
        </is>
      </c>
      <c r="B127" t="inlineStr">
        <is>
          <t>avverkningsanmälan</t>
        </is>
      </c>
      <c r="C127" t="inlineStr">
        <is>
          <t>Föryngringsavverkning</t>
        </is>
      </c>
      <c r="D127" s="1" t="n">
        <v>44904</v>
      </c>
      <c r="E127" s="1" t="n">
        <v>46277</v>
      </c>
      <c r="F127" t="inlineStr">
        <is>
          <t>JÄMTLANDS LÄN</t>
        </is>
      </c>
      <c r="G127" t="inlineStr">
        <is>
          <t>ÅRE</t>
        </is>
      </c>
      <c r="I127" t="n">
        <v>33.7</v>
      </c>
      <c r="J127" t="n">
        <v>1</v>
      </c>
      <c r="K127" t="n">
        <v>0</v>
      </c>
      <c r="L127" t="n">
        <v>2</v>
      </c>
      <c r="M127" t="n">
        <v>0</v>
      </c>
      <c r="N127" t="n">
        <v>0</v>
      </c>
      <c r="O127" t="n">
        <v>0</v>
      </c>
      <c r="P127" t="n">
        <v>0</v>
      </c>
      <c r="Q127" t="n">
        <v>2</v>
      </c>
      <c r="R127" t="n">
        <v>0</v>
      </c>
      <c r="S127" t="n">
        <v>2</v>
      </c>
      <c r="T127" t="n">
        <v>17</v>
      </c>
      <c r="U127" t="n">
        <v>16</v>
      </c>
      <c r="V127" s="2" t="inlineStr">
        <is>
          <t>Tretåig hackspett
Vitgrynig nållav</t>
        </is>
      </c>
      <c r="W127">
        <f>HYPERLINK("https://klasma.github.io/Logging_2321/artfynd/A 59237-2022 artfynd.xlsx", "A 59237-2022")</f>
        <v/>
      </c>
      <c r="X127">
        <f>HYPERLINK("https://klasma.github.io/Logging_2321/kartor/A 59237-2022 karta.png", "A 59237-2022")</f>
        <v/>
      </c>
      <c r="Y127">
        <f>HYPERLINK("https://klasma.github.io/Logging_2321/kartor_geotiff/A 59237-2022 georefererad karta.tif", "A 59237-2022")</f>
        <v/>
      </c>
      <c r="AA127">
        <f>HYPERLINK("https://klasma.github.io/Logging_2321/klagomål/A 59237-2022 FSC-klagomål.docx", "A 59237-2022")</f>
        <v/>
      </c>
      <c r="AB127">
        <f>HYPERLINK("https://klasma.github.io/Logging_2321/klagomålsmail/A 59237-2022 FSC-klagomål mail.docx", "A 59237-2022")</f>
        <v/>
      </c>
      <c r="AC127">
        <f>HYPERLINK("https://klasma.github.io/Logging_2321/tillsyn/A 59237-2022 tillsynsbegäran.docx", "A 59237-2022")</f>
        <v/>
      </c>
      <c r="AD127">
        <f>HYPERLINK("https://klasma.github.io/Logging_2321/tillsynsmail/A 59237-2022 tillsynsbegäran mail.docx", "A 59237-2022")</f>
        <v/>
      </c>
      <c r="AE127">
        <f>HYPERLINK("https://klasma.github.io/Logging_2321/fåglar/A 59237-2022 prioriterade fågelarter.docx", "A 59237-2022")</f>
        <v/>
      </c>
    </row>
    <row r="128" ht="15" customHeight="1">
      <c r="A128" t="inlineStr">
        <is>
          <t>A 60533-2022</t>
        </is>
      </c>
      <c r="B128" t="inlineStr">
        <is>
          <t>avverkningsanmälan</t>
        </is>
      </c>
      <c r="C128" t="inlineStr">
        <is>
          <t>Föryngringsavverkning</t>
        </is>
      </c>
      <c r="D128" s="1" t="n">
        <v>44904</v>
      </c>
      <c r="E128" s="1" t="n">
        <v>46277</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11380-2026</t>
        </is>
      </c>
      <c r="B129" t="inlineStr">
        <is>
          <t>avverkningsanmälan</t>
        </is>
      </c>
      <c r="C129" t="inlineStr">
        <is>
          <t>Föryngringsavverkning</t>
        </is>
      </c>
      <c r="D129" s="1" t="n">
        <v>46083</v>
      </c>
      <c r="E129" s="1" t="n">
        <v>46277</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24576-2026</t>
        </is>
      </c>
      <c r="B130" t="inlineStr">
        <is>
          <t>avverkningsanmälan</t>
        </is>
      </c>
      <c r="C130" t="inlineStr">
        <is>
          <t>Föryngringsavverkning</t>
        </is>
      </c>
      <c r="D130" s="1" t="n">
        <v>46170</v>
      </c>
      <c r="E130" s="1" t="n">
        <v>46277</v>
      </c>
      <c r="F130" t="inlineStr">
        <is>
          <t>JÄMTLANDS LÄN</t>
        </is>
      </c>
      <c r="G130" t="inlineStr">
        <is>
          <t>ÅRE</t>
        </is>
      </c>
      <c r="I130" t="n">
        <v>20.8</v>
      </c>
      <c r="J130" t="n">
        <v>0</v>
      </c>
      <c r="K130" t="n">
        <v>0</v>
      </c>
      <c r="L130" t="n">
        <v>2</v>
      </c>
      <c r="M130" t="n">
        <v>0</v>
      </c>
      <c r="N130" t="n">
        <v>0</v>
      </c>
      <c r="O130" t="n">
        <v>0</v>
      </c>
      <c r="P130" t="n">
        <v>0</v>
      </c>
      <c r="Q130" t="n">
        <v>2</v>
      </c>
      <c r="R130" t="n">
        <v>0</v>
      </c>
      <c r="S130" t="n">
        <v>2</v>
      </c>
      <c r="T130" t="n">
        <v>2</v>
      </c>
      <c r="U130" t="n">
        <v>0</v>
      </c>
      <c r="V130" s="2" t="inlineStr">
        <is>
          <t>Knottrig blåslav
Skarp dropptaggsvamp</t>
        </is>
      </c>
      <c r="W130">
        <f>HYPERLINK("https://klasma.github.io/Logging_2321/artfynd/A 24576-2026 artfynd.xlsx", "A 24576-2026")</f>
        <v/>
      </c>
      <c r="X130">
        <f>HYPERLINK("https://klasma.github.io/Logging_2321/kartor/A 24576-2026 karta.png", "A 24576-2026")</f>
        <v/>
      </c>
      <c r="Y130">
        <f>HYPERLINK("https://klasma.github.io/Logging_2321/kartor_geotiff/A 24576-2026 georefererad karta.tif", "A 24576-2026")</f>
        <v/>
      </c>
      <c r="AA130">
        <f>HYPERLINK("https://klasma.github.io/Logging_2321/klagomål/A 24576-2026 FSC-klagomål.docx", "A 24576-2026")</f>
        <v/>
      </c>
      <c r="AB130">
        <f>HYPERLINK("https://klasma.github.io/Logging_2321/klagomålsmail/A 24576-2026 FSC-klagomål mail.docx", "A 24576-2026")</f>
        <v/>
      </c>
      <c r="AC130">
        <f>HYPERLINK("https://klasma.github.io/Logging_2321/tillsyn/A 24576-2026 tillsynsbegäran.docx", "A 24576-2026")</f>
        <v/>
      </c>
      <c r="AD130">
        <f>HYPERLINK("https://klasma.github.io/Logging_2321/tillsynsmail/A 24576-2026 tillsynsbegäran mail.docx", "A 24576-2026")</f>
        <v/>
      </c>
    </row>
    <row r="131" ht="15" customHeight="1">
      <c r="A131" t="inlineStr">
        <is>
          <t>A 18851-2022</t>
        </is>
      </c>
      <c r="B131" t="inlineStr">
        <is>
          <t>avverkningsanmälan</t>
        </is>
      </c>
      <c r="C131" t="inlineStr">
        <is>
          <t>Föryngringsavverkning</t>
        </is>
      </c>
      <c r="D131" s="1" t="n">
        <v>44690</v>
      </c>
      <c r="E131" s="1" t="n">
        <v>46277</v>
      </c>
      <c r="F131" t="inlineStr">
        <is>
          <t>JÄMTLANDS LÄN</t>
        </is>
      </c>
      <c r="G131" t="inlineStr">
        <is>
          <t>ÅRE</t>
        </is>
      </c>
      <c r="I131" t="n">
        <v>10.4</v>
      </c>
      <c r="J131" t="n">
        <v>1</v>
      </c>
      <c r="K131" t="n">
        <v>0</v>
      </c>
      <c r="L131" t="n">
        <v>0</v>
      </c>
      <c r="M131" t="n">
        <v>1</v>
      </c>
      <c r="N131" t="n">
        <v>0</v>
      </c>
      <c r="O131" t="n">
        <v>0</v>
      </c>
      <c r="P131" t="n">
        <v>0</v>
      </c>
      <c r="Q131" t="n">
        <v>1</v>
      </c>
      <c r="R131" t="n">
        <v>1</v>
      </c>
      <c r="S131" t="n">
        <v>2</v>
      </c>
      <c r="T131" t="n">
        <v>2</v>
      </c>
      <c r="U131" t="n">
        <v>1</v>
      </c>
      <c r="V131" s="2" t="inlineStr">
        <is>
          <t>Garnlav
Orre</t>
        </is>
      </c>
      <c r="W131">
        <f>HYPERLINK("https://klasma.github.io/Logging_2321/artfynd/A 18851-2022 artfynd.xlsx", "A 18851-2022")</f>
        <v/>
      </c>
      <c r="X131">
        <f>HYPERLINK("https://klasma.github.io/Logging_2321/kartor/A 18851-2022 karta.png", "A 18851-2022")</f>
        <v/>
      </c>
      <c r="Y131">
        <f>HYPERLINK("https://klasma.github.io/Logging_2321/kartor_geotiff/A 18851-2022 georefererad karta.tif", "A 18851-2022")</f>
        <v/>
      </c>
      <c r="AA131">
        <f>HYPERLINK("https://klasma.github.io/Logging_2321/klagomål/A 18851-2022 FSC-klagomål.docx", "A 18851-2022")</f>
        <v/>
      </c>
      <c r="AB131">
        <f>HYPERLINK("https://klasma.github.io/Logging_2321/klagomålsmail/A 18851-2022 FSC-klagomål mail.docx", "A 18851-2022")</f>
        <v/>
      </c>
      <c r="AC131">
        <f>HYPERLINK("https://klasma.github.io/Logging_2321/tillsyn/A 18851-2022 tillsynsbegäran.docx", "A 18851-2022")</f>
        <v/>
      </c>
      <c r="AD131">
        <f>HYPERLINK("https://klasma.github.io/Logging_2321/tillsynsmail/A 18851-2022 tillsynsbegäran mail.docx", "A 18851-2022")</f>
        <v/>
      </c>
      <c r="AE131">
        <f>HYPERLINK("https://klasma.github.io/Logging_2321/fåglar/A 18851-2022 prioriterade fågelarter.docx", "A 18851-2022")</f>
        <v/>
      </c>
    </row>
    <row r="132" ht="15" customHeight="1">
      <c r="A132" t="inlineStr">
        <is>
          <t>A 54128-2023</t>
        </is>
      </c>
      <c r="B132" t="inlineStr">
        <is>
          <t>avverkningsanmälan</t>
        </is>
      </c>
      <c r="C132" t="inlineStr">
        <is>
          <t>Föryngringsavverkning</t>
        </is>
      </c>
      <c r="D132" s="1" t="n">
        <v>45232</v>
      </c>
      <c r="E132" s="1" t="n">
        <v>46277</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3147-2023</t>
        </is>
      </c>
      <c r="B133" t="inlineStr">
        <is>
          <t>avverkningsanmälan</t>
        </is>
      </c>
      <c r="C133" t="inlineStr">
        <is>
          <t>Föryngringsavverkning</t>
        </is>
      </c>
      <c r="D133" s="1" t="n">
        <v>44946</v>
      </c>
      <c r="E133" s="1" t="n">
        <v>46277</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46277</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t="n">
        <v>10</v>
      </c>
      <c r="V134" s="2" t="inlineStr">
        <is>
          <t>Garnlav
Tretåig hackspett</t>
        </is>
      </c>
      <c r="W134">
        <f>HYPERLINK("https://klasma.github.io/Logging_2321/artfynd/A 23638-2023 artfynd.xlsx", "A 23638-2023")</f>
        <v/>
      </c>
      <c r="X134">
        <f>HYPERLINK("https://klasma.github.io/Logging_2321/kartor/A 23638-2023 karta.png", "A 23638-2023")</f>
        <v/>
      </c>
      <c r="Y134">
        <f>HYPERLINK("https://klasma.github.io/Logging_2321/kartor_geotiff/A 23638-2023 georefererad karta.tif", "A 23638-2023")</f>
        <v/>
      </c>
      <c r="AA134">
        <f>HYPERLINK("https://klasma.github.io/Logging_2321/klagomål/A 23638-2023 FSC-klagomål.docx", "A 23638-2023")</f>
        <v/>
      </c>
      <c r="AB134">
        <f>HYPERLINK("https://klasma.github.io/Logging_2321/klagomålsmail/A 23638-2023 FSC-klagomål mail.docx", "A 23638-2023")</f>
        <v/>
      </c>
      <c r="AC134">
        <f>HYPERLINK("https://klasma.github.io/Logging_2321/tillsyn/A 23638-2023 tillsynsbegäran.docx", "A 23638-2023")</f>
        <v/>
      </c>
      <c r="AD134">
        <f>HYPERLINK("https://klasma.github.io/Logging_2321/tillsynsmail/A 23638-2023 tillsynsbegäran mail.docx", "A 23638-2023")</f>
        <v/>
      </c>
      <c r="AE134">
        <f>HYPERLINK("https://klasma.github.io/Logging_2321/fåglar/A 23638-2023 prioriterade fågelarter.docx", "A 23638-2023")</f>
        <v/>
      </c>
    </row>
    <row r="135" ht="15" customHeight="1">
      <c r="A135" t="inlineStr">
        <is>
          <t>A 41280-2025</t>
        </is>
      </c>
      <c r="B135" t="inlineStr">
        <is>
          <t>avverkningsanmälan</t>
        </is>
      </c>
      <c r="C135" t="inlineStr">
        <is>
          <t>Föryngringsavverkning</t>
        </is>
      </c>
      <c r="D135" s="1" t="n">
        <v>45898</v>
      </c>
      <c r="E135" s="1" t="n">
        <v>46277</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58239-2021</t>
        </is>
      </c>
      <c r="B136" t="inlineStr">
        <is>
          <t>avverkningsanmälan</t>
        </is>
      </c>
      <c r="C136" t="inlineStr">
        <is>
          <t>Föryngringsavverkning</t>
        </is>
      </c>
      <c r="D136" s="1" t="n">
        <v>44487</v>
      </c>
      <c r="E136" s="1" t="n">
        <v>46277</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57158-2021</t>
        </is>
      </c>
      <c r="B137" t="inlineStr">
        <is>
          <t>avverkningsanmälan</t>
        </is>
      </c>
      <c r="C137" t="inlineStr">
        <is>
          <t>Föryngringsavverkning</t>
        </is>
      </c>
      <c r="D137" s="1" t="n">
        <v>44482</v>
      </c>
      <c r="E137" s="1" t="n">
        <v>46277</v>
      </c>
      <c r="F137" t="inlineStr">
        <is>
          <t>JÄMTLANDS LÄN</t>
        </is>
      </c>
      <c r="G137" t="inlineStr">
        <is>
          <t>ÅRE</t>
        </is>
      </c>
      <c r="I137" t="n">
        <v>0.4</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HYPERLINK("https://klasma.github.io/Logging_2321/artfynd/A 57158-2021 artfynd.xlsx", "A 57158-2021")</f>
        <v/>
      </c>
      <c r="X137">
        <f>HYPERLINK("https://klasma.github.io/Logging_2321/kartor/A 57158-2021 karta.png", "A 57158-2021")</f>
        <v/>
      </c>
      <c r="Y137">
        <f>HYPERLINK("https://klasma.github.io/Logging_2321/kartor_geotiff/A 57158-2021 georefererad karta.tif", "A 57158-2021")</f>
        <v/>
      </c>
      <c r="AA137">
        <f>HYPERLINK("https://klasma.github.io/Logging_2321/klagomål/A 57158-2021 FSC-klagomål.docx", "A 57158-2021")</f>
        <v/>
      </c>
      <c r="AB137">
        <f>HYPERLINK("https://klasma.github.io/Logging_2321/klagomålsmail/A 57158-2021 FSC-klagomål mail.docx", "A 57158-2021")</f>
        <v/>
      </c>
      <c r="AC137">
        <f>HYPERLINK("https://klasma.github.io/Logging_2321/tillsyn/A 57158-2021 tillsynsbegäran.docx", "A 57158-2021")</f>
        <v/>
      </c>
      <c r="AD137">
        <f>HYPERLINK("https://klasma.github.io/Logging_2321/tillsynsmail/A 57158-2021 tillsynsbegäran mail.docx", "A 57158-2021")</f>
        <v/>
      </c>
      <c r="AE137">
        <f>HYPERLINK("https://klasma.github.io/Logging_2321/fåglar/A 57158-2021 prioriterade fågelarter.docx", "A 57158-2021")</f>
        <v/>
      </c>
    </row>
    <row r="138" ht="15" customHeight="1">
      <c r="A138" t="inlineStr">
        <is>
          <t>A 10632-2023</t>
        </is>
      </c>
      <c r="B138" t="inlineStr">
        <is>
          <t>avverkningsanmälan</t>
        </is>
      </c>
      <c r="C138" t="inlineStr">
        <is>
          <t>Föryngringsavverkning</t>
        </is>
      </c>
      <c r="D138" s="1" t="n">
        <v>44984</v>
      </c>
      <c r="E138" s="1" t="n">
        <v>46277</v>
      </c>
      <c r="F138" t="inlineStr">
        <is>
          <t>JÄMTLANDS LÄN</t>
        </is>
      </c>
      <c r="G138" t="inlineStr">
        <is>
          <t>ÅRE</t>
        </is>
      </c>
      <c r="I138" t="n">
        <v>5.4</v>
      </c>
      <c r="J138" t="n">
        <v>1</v>
      </c>
      <c r="K138" t="n">
        <v>0</v>
      </c>
      <c r="L138" t="n">
        <v>1</v>
      </c>
      <c r="M138" t="n">
        <v>0</v>
      </c>
      <c r="N138" t="n">
        <v>0</v>
      </c>
      <c r="O138" t="n">
        <v>0</v>
      </c>
      <c r="P138" t="n">
        <v>0</v>
      </c>
      <c r="Q138" t="n">
        <v>1</v>
      </c>
      <c r="R138" t="n">
        <v>0</v>
      </c>
      <c r="S138" t="n">
        <v>1</v>
      </c>
      <c r="T138" t="n">
        <v>8</v>
      </c>
      <c r="U138" t="n">
        <v>8</v>
      </c>
      <c r="V138" s="2" t="inlineStr">
        <is>
          <t>Tretåig hackspett</t>
        </is>
      </c>
      <c r="W138">
        <f>HYPERLINK("https://klasma.github.io/Logging_2321/artfynd/A 10632-2023 artfynd.xlsx", "A 10632-2023")</f>
        <v/>
      </c>
      <c r="X138">
        <f>HYPERLINK("https://klasma.github.io/Logging_2321/kartor/A 10632-2023 karta.png", "A 10632-2023")</f>
        <v/>
      </c>
      <c r="Y138">
        <f>HYPERLINK("https://klasma.github.io/Logging_2321/kartor_geotiff/A 10632-2023 georefererad karta.tif", "A 10632-2023")</f>
        <v/>
      </c>
      <c r="AA138">
        <f>HYPERLINK("https://klasma.github.io/Logging_2321/klagomål/A 10632-2023 FSC-klagomål.docx", "A 10632-2023")</f>
        <v/>
      </c>
      <c r="AB138">
        <f>HYPERLINK("https://klasma.github.io/Logging_2321/klagomålsmail/A 10632-2023 FSC-klagomål mail.docx", "A 10632-2023")</f>
        <v/>
      </c>
      <c r="AC138">
        <f>HYPERLINK("https://klasma.github.io/Logging_2321/tillsyn/A 10632-2023 tillsynsbegäran.docx", "A 10632-2023")</f>
        <v/>
      </c>
      <c r="AD138">
        <f>HYPERLINK("https://klasma.github.io/Logging_2321/tillsynsmail/A 10632-2023 tillsynsbegäran mail.docx", "A 10632-2023")</f>
        <v/>
      </c>
      <c r="AE138">
        <f>HYPERLINK("https://klasma.github.io/Logging_2321/fåglar/A 10632-2023 prioriterade fågelarter.docx", "A 10632-2023")</f>
        <v/>
      </c>
    </row>
    <row r="139" ht="15" customHeight="1">
      <c r="A139" t="inlineStr">
        <is>
          <t>A 30032-2024</t>
        </is>
      </c>
      <c r="B139" t="inlineStr">
        <is>
          <t>avverkningsanmälan</t>
        </is>
      </c>
      <c r="C139" t="inlineStr">
        <is>
          <t>Föryngringsavverkning</t>
        </is>
      </c>
      <c r="D139" s="1" t="n">
        <v>45485</v>
      </c>
      <c r="E139" s="1" t="n">
        <v>46277</v>
      </c>
      <c r="F139" t="inlineStr">
        <is>
          <t>JÄMTLANDS LÄN</t>
        </is>
      </c>
      <c r="G139" t="inlineStr">
        <is>
          <t>ÅRE</t>
        </is>
      </c>
      <c r="I139" t="n">
        <v>20.5</v>
      </c>
      <c r="J139" t="n">
        <v>1</v>
      </c>
      <c r="K139" t="n">
        <v>1</v>
      </c>
      <c r="L139" t="n">
        <v>0</v>
      </c>
      <c r="M139" t="n">
        <v>0</v>
      </c>
      <c r="N139" t="n">
        <v>0</v>
      </c>
      <c r="O139" t="n">
        <v>0</v>
      </c>
      <c r="P139" t="n">
        <v>0</v>
      </c>
      <c r="Q139" t="n">
        <v>0</v>
      </c>
      <c r="R139" t="n">
        <v>0</v>
      </c>
      <c r="S139" t="n">
        <v>1</v>
      </c>
      <c r="T139" t="n">
        <v>1</v>
      </c>
      <c r="U139" t="n">
        <v>0</v>
      </c>
      <c r="V139" s="2" t="inlineStr">
        <is>
          <t>Spindelblomster</t>
        </is>
      </c>
      <c r="W139">
        <f>HYPERLINK("https://klasma.github.io/Logging_2321/artfynd/A 30032-2024 artfynd.xlsx", "A 30032-2024")</f>
        <v/>
      </c>
      <c r="X139">
        <f>HYPERLINK("https://klasma.github.io/Logging_2321/kartor/A 30032-2024 karta.png", "A 30032-2024")</f>
        <v/>
      </c>
      <c r="Y139">
        <f>HYPERLINK("https://klasma.github.io/Logging_2321/kartor_geotiff/A 30032-2024 georefererad karta.tif", "A 30032-2024")</f>
        <v/>
      </c>
      <c r="AA139">
        <f>HYPERLINK("https://klasma.github.io/Logging_2321/klagomål/A 30032-2024 FSC-klagomål.docx", "A 30032-2024")</f>
        <v/>
      </c>
      <c r="AB139">
        <f>HYPERLINK("https://klasma.github.io/Logging_2321/klagomålsmail/A 30032-2024 FSC-klagomål mail.docx", "A 30032-2024")</f>
        <v/>
      </c>
      <c r="AC139">
        <f>HYPERLINK("https://klasma.github.io/Logging_2321/tillsyn/A 30032-2024 tillsynsbegäran.docx", "A 30032-2024")</f>
        <v/>
      </c>
      <c r="AD139">
        <f>HYPERLINK("https://klasma.github.io/Logging_2321/tillsynsmail/A 30032-2024 tillsynsbegäran mail.docx", "A 30032-2024")</f>
        <v/>
      </c>
    </row>
    <row r="140" ht="15" customHeight="1">
      <c r="A140" t="inlineStr">
        <is>
          <t>A 14245-2025</t>
        </is>
      </c>
      <c r="B140" t="inlineStr">
        <is>
          <t>avverkningsanmälan</t>
        </is>
      </c>
      <c r="C140" t="inlineStr">
        <is>
          <t>Föryngringsavverkning</t>
        </is>
      </c>
      <c r="D140" s="1" t="n">
        <v>45740</v>
      </c>
      <c r="E140" s="1" t="n">
        <v>46277</v>
      </c>
      <c r="F140" t="inlineStr">
        <is>
          <t>JÄMTLANDS LÄN</t>
        </is>
      </c>
      <c r="G140" t="inlineStr">
        <is>
          <t>ÅRE</t>
        </is>
      </c>
      <c r="I140" t="n">
        <v>15.4</v>
      </c>
      <c r="J140" t="n">
        <v>1</v>
      </c>
      <c r="K140" t="n">
        <v>0</v>
      </c>
      <c r="L140" t="n">
        <v>1</v>
      </c>
      <c r="M140" t="n">
        <v>0</v>
      </c>
      <c r="N140" t="n">
        <v>0</v>
      </c>
      <c r="O140" t="n">
        <v>0</v>
      </c>
      <c r="P140" t="n">
        <v>0</v>
      </c>
      <c r="Q140" t="n">
        <v>1</v>
      </c>
      <c r="R140" t="n">
        <v>0</v>
      </c>
      <c r="S140" t="n">
        <v>1</v>
      </c>
      <c r="T140" t="n">
        <v>4</v>
      </c>
      <c r="U140" t="n">
        <v>0</v>
      </c>
      <c r="V140" s="2" t="inlineStr">
        <is>
          <t>Tretåig hackspett</t>
        </is>
      </c>
      <c r="W140">
        <f>HYPERLINK("https://klasma.github.io/Logging_2321/artfynd/A 14245-2025 artfynd.xlsx", "A 14245-2025")</f>
        <v/>
      </c>
      <c r="X140">
        <f>HYPERLINK("https://klasma.github.io/Logging_2321/kartor/A 14245-2025 karta.png", "A 14245-2025")</f>
        <v/>
      </c>
      <c r="Y140">
        <f>HYPERLINK("https://klasma.github.io/Logging_2321/kartor_geotiff/A 14245-2025 georefererad karta.tif", "A 14245-2025")</f>
        <v/>
      </c>
      <c r="AA140">
        <f>HYPERLINK("https://klasma.github.io/Logging_2321/klagomål/A 14245-2025 FSC-klagomål.docx", "A 14245-2025")</f>
        <v/>
      </c>
      <c r="AB140">
        <f>HYPERLINK("https://klasma.github.io/Logging_2321/klagomålsmail/A 14245-2025 FSC-klagomål mail.docx", "A 14245-2025")</f>
        <v/>
      </c>
      <c r="AC140">
        <f>HYPERLINK("https://klasma.github.io/Logging_2321/tillsyn/A 14245-2025 tillsynsbegäran.docx", "A 14245-2025")</f>
        <v/>
      </c>
      <c r="AD140">
        <f>HYPERLINK("https://klasma.github.io/Logging_2321/tillsynsmail/A 14245-2025 tillsynsbegäran mail.docx", "A 14245-2025")</f>
        <v/>
      </c>
      <c r="AE140">
        <f>HYPERLINK("https://klasma.github.io/Logging_2321/fåglar/A 14245-2025 prioriterade fågelarter.docx", "A 14245-2025")</f>
        <v/>
      </c>
    </row>
    <row r="141" ht="15" customHeight="1">
      <c r="A141" t="inlineStr">
        <is>
          <t>A 45144-2024</t>
        </is>
      </c>
      <c r="B141" t="inlineStr">
        <is>
          <t>avverkningsanmälan</t>
        </is>
      </c>
      <c r="C141" t="inlineStr">
        <is>
          <t>Föryngringsavverkning</t>
        </is>
      </c>
      <c r="D141" s="1" t="n">
        <v>45575</v>
      </c>
      <c r="E141" s="1" t="n">
        <v>46277</v>
      </c>
      <c r="F141" t="inlineStr">
        <is>
          <t>JÄMTLANDS LÄN</t>
        </is>
      </c>
      <c r="G141" t="inlineStr">
        <is>
          <t>ÅRE</t>
        </is>
      </c>
      <c r="H141" t="inlineStr">
        <is>
          <t>Övriga Aktiebolag</t>
        </is>
      </c>
      <c r="I141" t="n">
        <v>14.7</v>
      </c>
      <c r="J141" t="n">
        <v>0</v>
      </c>
      <c r="K141" t="n">
        <v>0</v>
      </c>
      <c r="L141" t="n">
        <v>0</v>
      </c>
      <c r="M141" t="n">
        <v>1</v>
      </c>
      <c r="N141" t="n">
        <v>0</v>
      </c>
      <c r="O141" t="n">
        <v>0</v>
      </c>
      <c r="P141" t="n">
        <v>0</v>
      </c>
      <c r="Q141" t="n">
        <v>1</v>
      </c>
      <c r="R141" t="n">
        <v>1</v>
      </c>
      <c r="S141" t="n">
        <v>1</v>
      </c>
      <c r="T141" t="n">
        <v>2</v>
      </c>
      <c r="U141" t="n">
        <v>0</v>
      </c>
      <c r="V141" s="2" t="inlineStr">
        <is>
          <t>Garnlav</t>
        </is>
      </c>
      <c r="W141">
        <f>HYPERLINK("https://klasma.github.io/Logging_2321/artfynd/A 45144-2024 artfynd.xlsx", "A 45144-2024")</f>
        <v/>
      </c>
      <c r="X141">
        <f>HYPERLINK("https://klasma.github.io/Logging_2321/kartor/A 45144-2024 karta.png", "A 45144-2024")</f>
        <v/>
      </c>
      <c r="Y141">
        <f>HYPERLINK("https://klasma.github.io/Logging_2321/kartor_geotiff/A 45144-2024 georefererad karta.tif", "A 45144-2024")</f>
        <v/>
      </c>
      <c r="AA141">
        <f>HYPERLINK("https://klasma.github.io/Logging_2321/klagomål/A 45144-2024 FSC-klagomål.docx", "A 45144-2024")</f>
        <v/>
      </c>
      <c r="AB141">
        <f>HYPERLINK("https://klasma.github.io/Logging_2321/klagomålsmail/A 45144-2024 FSC-klagomål mail.docx", "A 45144-2024")</f>
        <v/>
      </c>
      <c r="AC141">
        <f>HYPERLINK("https://klasma.github.io/Logging_2321/tillsyn/A 45144-2024 tillsynsbegäran.docx", "A 45144-2024")</f>
        <v/>
      </c>
      <c r="AD141">
        <f>HYPERLINK("https://klasma.github.io/Logging_2321/tillsynsmail/A 45144-2024 tillsynsbegäran mail.docx", "A 45144-2024")</f>
        <v/>
      </c>
    </row>
    <row r="142" ht="15" customHeight="1">
      <c r="A142" t="inlineStr">
        <is>
          <t>A 4777-2025</t>
        </is>
      </c>
      <c r="B142" t="inlineStr">
        <is>
          <t>avverkningsanmälan</t>
        </is>
      </c>
      <c r="C142" t="inlineStr">
        <is>
          <t>Föryngringsavverkning</t>
        </is>
      </c>
      <c r="D142" s="1" t="n">
        <v>45688</v>
      </c>
      <c r="E142" s="1" t="n">
        <v>46277</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44889-2023</t>
        </is>
      </c>
      <c r="B143" t="inlineStr">
        <is>
          <t>avverkningsanmälan</t>
        </is>
      </c>
      <c r="C143" t="inlineStr">
        <is>
          <t>Avverkning för annat ändamål</t>
        </is>
      </c>
      <c r="D143" s="1" t="n">
        <v>45190</v>
      </c>
      <c r="E143" s="1" t="n">
        <v>46277</v>
      </c>
      <c r="F143" t="inlineStr">
        <is>
          <t>JÄMTLANDS LÄN</t>
        </is>
      </c>
      <c r="G143" t="inlineStr">
        <is>
          <t>ÅRE</t>
        </is>
      </c>
      <c r="I143" t="n">
        <v>1.3</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44889-2023 artfynd.xlsx", "A 44889-2023")</f>
        <v/>
      </c>
      <c r="X143">
        <f>HYPERLINK("https://klasma.github.io/Logging_2321/kartor/A 44889-2023 karta.png", "A 44889-2023")</f>
        <v/>
      </c>
      <c r="Y143">
        <f>HYPERLINK("https://klasma.github.io/Logging_2321/kartor_geotiff/A 44889-2023 georefererad karta.tif", "A 44889-2023")</f>
        <v/>
      </c>
      <c r="AA143">
        <f>HYPERLINK("https://klasma.github.io/Logging_2321/klagomål/A 44889-2023 FSC-klagomål.docx", "A 44889-2023")</f>
        <v/>
      </c>
      <c r="AB143">
        <f>HYPERLINK("https://klasma.github.io/Logging_2321/klagomålsmail/A 44889-2023 FSC-klagomål mail.docx", "A 44889-2023")</f>
        <v/>
      </c>
      <c r="AC143">
        <f>HYPERLINK("https://klasma.github.io/Logging_2321/tillsyn/A 44889-2023 tillsynsbegäran.docx", "A 44889-2023")</f>
        <v/>
      </c>
      <c r="AD143">
        <f>HYPERLINK("https://klasma.github.io/Logging_2321/tillsynsmail/A 44889-2023 tillsynsbegäran mail.docx", "A 44889-2023")</f>
        <v/>
      </c>
      <c r="AE143">
        <f>HYPERLINK("https://klasma.github.io/Logging_2321/fåglar/A 44889-2023 prioriterade fågelarter.docx", "A 44889-2023")</f>
        <v/>
      </c>
    </row>
    <row r="144" ht="15" customHeight="1">
      <c r="A144" t="inlineStr">
        <is>
          <t>A 17260-2026</t>
        </is>
      </c>
      <c r="B144" t="inlineStr">
        <is>
          <t>avverkningsanmälan</t>
        </is>
      </c>
      <c r="C144" t="inlineStr">
        <is>
          <t>Föryngringsavverkning</t>
        </is>
      </c>
      <c r="D144" s="1" t="n">
        <v>46119</v>
      </c>
      <c r="E144" s="1" t="n">
        <v>46277</v>
      </c>
      <c r="F144" t="inlineStr">
        <is>
          <t>JÄMTLANDS LÄN</t>
        </is>
      </c>
      <c r="G144" t="inlineStr">
        <is>
          <t>ÅRE</t>
        </is>
      </c>
      <c r="H144" t="inlineStr">
        <is>
          <t>Övriga Aktiebolag</t>
        </is>
      </c>
      <c r="I144" t="n">
        <v>12.4</v>
      </c>
      <c r="J144" t="n">
        <v>1</v>
      </c>
      <c r="K144" t="n">
        <v>0</v>
      </c>
      <c r="L144" t="n">
        <v>1</v>
      </c>
      <c r="M144" t="n">
        <v>0</v>
      </c>
      <c r="N144" t="n">
        <v>0</v>
      </c>
      <c r="O144" t="n">
        <v>0</v>
      </c>
      <c r="P144" t="n">
        <v>0</v>
      </c>
      <c r="Q144" t="n">
        <v>1</v>
      </c>
      <c r="R144" t="n">
        <v>0</v>
      </c>
      <c r="S144" t="n">
        <v>1</v>
      </c>
      <c r="T144" t="n">
        <v>2</v>
      </c>
      <c r="U144" t="n">
        <v>0</v>
      </c>
      <c r="V144" s="2" t="inlineStr">
        <is>
          <t>Tretåig hackspett</t>
        </is>
      </c>
      <c r="W144">
        <f>HYPERLINK("https://klasma.github.io/Logging_2321/artfynd/A 17260-2026 artfynd.xlsx", "A 17260-2026")</f>
        <v/>
      </c>
      <c r="X144">
        <f>HYPERLINK("https://klasma.github.io/Logging_2321/kartor/A 17260-2026 karta.png", "A 17260-2026")</f>
        <v/>
      </c>
      <c r="Y144">
        <f>HYPERLINK("https://klasma.github.io/Logging_2321/kartor_geotiff/A 17260-2026 georefererad karta.tif", "A 17260-2026")</f>
        <v/>
      </c>
      <c r="AA144">
        <f>HYPERLINK("https://klasma.github.io/Logging_2321/klagomål/A 17260-2026 FSC-klagomål.docx", "A 17260-2026")</f>
        <v/>
      </c>
      <c r="AB144">
        <f>HYPERLINK("https://klasma.github.io/Logging_2321/klagomålsmail/A 17260-2026 FSC-klagomål mail.docx", "A 17260-2026")</f>
        <v/>
      </c>
      <c r="AC144">
        <f>HYPERLINK("https://klasma.github.io/Logging_2321/tillsyn/A 17260-2026 tillsynsbegäran.docx", "A 17260-2026")</f>
        <v/>
      </c>
      <c r="AD144">
        <f>HYPERLINK("https://klasma.github.io/Logging_2321/tillsynsmail/A 17260-2026 tillsynsbegäran mail.docx", "A 17260-2026")</f>
        <v/>
      </c>
      <c r="AE144">
        <f>HYPERLINK("https://klasma.github.io/Logging_2321/fåglar/A 17260-2026 prioriterade fågelarter.docx", "A 17260-2026")</f>
        <v/>
      </c>
    </row>
    <row r="145" ht="15" customHeight="1">
      <c r="A145" t="inlineStr">
        <is>
          <t>A 23706-2023</t>
        </is>
      </c>
      <c r="B145" t="inlineStr">
        <is>
          <t>avverkningsanmälan</t>
        </is>
      </c>
      <c r="C145" t="inlineStr">
        <is>
          <t>Föryngringsavverkning</t>
        </is>
      </c>
      <c r="D145" s="1" t="n">
        <v>45072</v>
      </c>
      <c r="E145" s="1" t="n">
        <v>46277</v>
      </c>
      <c r="F145" t="inlineStr">
        <is>
          <t>JÄMTLANDS LÄN</t>
        </is>
      </c>
      <c r="G145" t="inlineStr">
        <is>
          <t>ÅRE</t>
        </is>
      </c>
      <c r="I145" t="n">
        <v>8.1</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23706-2023 artfynd.xlsx", "A 23706-2023")</f>
        <v/>
      </c>
      <c r="X145">
        <f>HYPERLINK("https://klasma.github.io/Logging_2321/kartor/A 23706-2023 karta.png", "A 23706-2023")</f>
        <v/>
      </c>
      <c r="Y145">
        <f>HYPERLINK("https://klasma.github.io/Logging_2321/kartor_geotiff/A 23706-2023 georefererad karta.tif", "A 23706-2023")</f>
        <v/>
      </c>
      <c r="AA145">
        <f>HYPERLINK("https://klasma.github.io/Logging_2321/klagomål/A 23706-2023 FSC-klagomål.docx", "A 23706-2023")</f>
        <v/>
      </c>
      <c r="AB145">
        <f>HYPERLINK("https://klasma.github.io/Logging_2321/klagomålsmail/A 23706-2023 FSC-klagomål mail.docx", "A 23706-2023")</f>
        <v/>
      </c>
      <c r="AC145">
        <f>HYPERLINK("https://klasma.github.io/Logging_2321/tillsyn/A 23706-2023 tillsynsbegäran.docx", "A 23706-2023")</f>
        <v/>
      </c>
      <c r="AD145">
        <f>HYPERLINK("https://klasma.github.io/Logging_2321/tillsynsmail/A 23706-2023 tillsynsbegäran mail.docx", "A 23706-2023")</f>
        <v/>
      </c>
      <c r="AE145">
        <f>HYPERLINK("https://klasma.github.io/Logging_2321/fåglar/A 23706-2023 prioriterade fågelarter.docx", "A 23706-2023")</f>
        <v/>
      </c>
    </row>
    <row r="146" ht="15" customHeight="1">
      <c r="A146" t="inlineStr">
        <is>
          <t>A 20305-2026</t>
        </is>
      </c>
      <c r="B146" t="inlineStr">
        <is>
          <t>avverkningsanmälan</t>
        </is>
      </c>
      <c r="C146" t="inlineStr">
        <is>
          <t>Föryngringsavverkning</t>
        </is>
      </c>
      <c r="D146" s="1" t="n">
        <v>46136</v>
      </c>
      <c r="E146" s="1" t="n">
        <v>46277</v>
      </c>
      <c r="F146" t="inlineStr">
        <is>
          <t>JÄMTLANDS LÄN</t>
        </is>
      </c>
      <c r="G146" t="inlineStr">
        <is>
          <t>ÅRE</t>
        </is>
      </c>
      <c r="I146" t="n">
        <v>29.7</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20305-2026 artfynd.xlsx", "A 20305-2026")</f>
        <v/>
      </c>
      <c r="X146">
        <f>HYPERLINK("https://klasma.github.io/Logging_2321/kartor/A 20305-2026 karta.png", "A 20305-2026")</f>
        <v/>
      </c>
      <c r="Y146">
        <f>HYPERLINK("https://klasma.github.io/Logging_2321/kartor_geotiff/A 20305-2026 georefererad karta.tif", "A 20305-2026")</f>
        <v/>
      </c>
      <c r="AA146">
        <f>HYPERLINK("https://klasma.github.io/Logging_2321/klagomål/A 20305-2026 FSC-klagomål.docx", "A 20305-2026")</f>
        <v/>
      </c>
      <c r="AB146">
        <f>HYPERLINK("https://klasma.github.io/Logging_2321/klagomålsmail/A 20305-2026 FSC-klagomål mail.docx", "A 20305-2026")</f>
        <v/>
      </c>
      <c r="AC146">
        <f>HYPERLINK("https://klasma.github.io/Logging_2321/tillsyn/A 20305-2026 tillsynsbegäran.docx", "A 20305-2026")</f>
        <v/>
      </c>
      <c r="AD146">
        <f>HYPERLINK("https://klasma.github.io/Logging_2321/tillsynsmail/A 20305-2026 tillsynsbegäran mail.docx", "A 20305-2026")</f>
        <v/>
      </c>
    </row>
    <row r="147" ht="15" customHeight="1">
      <c r="A147" t="inlineStr">
        <is>
          <t>A 46444-2024</t>
        </is>
      </c>
      <c r="B147" t="inlineStr">
        <is>
          <t>avverkningsanmälan</t>
        </is>
      </c>
      <c r="C147" t="inlineStr">
        <is>
          <t>Föryngringsavverkning</t>
        </is>
      </c>
      <c r="D147" s="1" t="n">
        <v>45582</v>
      </c>
      <c r="E147" s="1" t="n">
        <v>46277</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911-2022</t>
        </is>
      </c>
      <c r="B148" t="inlineStr">
        <is>
          <t>avverkningsanmälan</t>
        </is>
      </c>
      <c r="C148" t="inlineStr">
        <is>
          <t>Avverkning för annat ändamål</t>
        </is>
      </c>
      <c r="D148" s="1" t="n">
        <v>44570</v>
      </c>
      <c r="E148" s="1" t="n">
        <v>46277</v>
      </c>
      <c r="F148" t="inlineStr">
        <is>
          <t>JÄMTLANDS LÄN</t>
        </is>
      </c>
      <c r="G148" t="inlineStr">
        <is>
          <t>ÅRE</t>
        </is>
      </c>
      <c r="I148" t="n">
        <v>1.2</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HYPERLINK("https://klasma.github.io/Logging_2321/artfynd/A 911-2022 artfynd.xlsx", "A 911-2022")</f>
        <v/>
      </c>
      <c r="X148">
        <f>HYPERLINK("https://klasma.github.io/Logging_2321/kartor/A 911-2022 karta.png", "A 911-2022")</f>
        <v/>
      </c>
      <c r="Y148">
        <f>HYPERLINK("https://klasma.github.io/Logging_2321/kartor_geotiff/A 911-2022 georefererad karta.tif", "A 911-2022")</f>
        <v/>
      </c>
      <c r="AA148">
        <f>HYPERLINK("https://klasma.github.io/Logging_2321/klagomål/A 911-2022 FSC-klagomål.docx", "A 911-2022")</f>
        <v/>
      </c>
      <c r="AB148">
        <f>HYPERLINK("https://klasma.github.io/Logging_2321/klagomålsmail/A 911-2022 FSC-klagomål mail.docx", "A 911-2022")</f>
        <v/>
      </c>
      <c r="AC148">
        <f>HYPERLINK("https://klasma.github.io/Logging_2321/tillsyn/A 911-2022 tillsynsbegäran.docx", "A 911-2022")</f>
        <v/>
      </c>
      <c r="AD148">
        <f>HYPERLINK("https://klasma.github.io/Logging_2321/tillsynsmail/A 911-2022 tillsynsbegäran mail.docx", "A 911-2022")</f>
        <v/>
      </c>
    </row>
    <row r="149" ht="15" customHeight="1">
      <c r="A149" t="inlineStr">
        <is>
          <t>A 59014-2025</t>
        </is>
      </c>
      <c r="B149" t="inlineStr">
        <is>
          <t>avverkningsanmälan</t>
        </is>
      </c>
      <c r="C149" t="inlineStr">
        <is>
          <t>Avverkning för annat ändamål</t>
        </is>
      </c>
      <c r="D149" s="1" t="n">
        <v>45987</v>
      </c>
      <c r="E149" s="1" t="n">
        <v>46277</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58872-2025</t>
        </is>
      </c>
      <c r="B150" t="inlineStr">
        <is>
          <t>avverkningsanmälan</t>
        </is>
      </c>
      <c r="C150" t="inlineStr">
        <is>
          <t>Föryngringsavverkning</t>
        </is>
      </c>
      <c r="D150" s="1" t="n">
        <v>45987</v>
      </c>
      <c r="E150" s="1" t="n">
        <v>46277</v>
      </c>
      <c r="F150" t="inlineStr">
        <is>
          <t>JÄMTLANDS LÄN</t>
        </is>
      </c>
      <c r="G150" t="inlineStr">
        <is>
          <t>ÅRE</t>
        </is>
      </c>
      <c r="I150" t="n">
        <v>8</v>
      </c>
      <c r="J150" t="n">
        <v>0</v>
      </c>
      <c r="K150" t="n">
        <v>1</v>
      </c>
      <c r="L150" t="n">
        <v>0</v>
      </c>
      <c r="M150" t="n">
        <v>0</v>
      </c>
      <c r="N150" t="n">
        <v>0</v>
      </c>
      <c r="O150" t="n">
        <v>0</v>
      </c>
      <c r="P150" t="n">
        <v>0</v>
      </c>
      <c r="Q150" t="n">
        <v>0</v>
      </c>
      <c r="R150" t="n">
        <v>0</v>
      </c>
      <c r="S150" t="n">
        <v>1</v>
      </c>
      <c r="T150" t="n">
        <v>1</v>
      </c>
      <c r="U150" t="n">
        <v>1</v>
      </c>
      <c r="V150" s="2" t="inlineStr">
        <is>
          <t>Ögonpyrola</t>
        </is>
      </c>
      <c r="W150">
        <f>HYPERLINK("https://klasma.github.io/Logging_2321/artfynd/A 58872-2025 artfynd.xlsx", "A 58872-2025")</f>
        <v/>
      </c>
      <c r="X150">
        <f>HYPERLINK("https://klasma.github.io/Logging_2321/kartor/A 58872-2025 karta.png", "A 58872-2025")</f>
        <v/>
      </c>
      <c r="Y150">
        <f>HYPERLINK("https://klasma.github.io/Logging_2321/kartor_geotiff/A 58872-2025 georefererad karta.tif", "A 58872-2025")</f>
        <v/>
      </c>
      <c r="AA150">
        <f>HYPERLINK("https://klasma.github.io/Logging_2321/klagomål/A 58872-2025 FSC-klagomål.docx", "A 58872-2025")</f>
        <v/>
      </c>
      <c r="AB150">
        <f>HYPERLINK("https://klasma.github.io/Logging_2321/klagomålsmail/A 58872-2025 FSC-klagomål mail.docx", "A 58872-2025")</f>
        <v/>
      </c>
      <c r="AC150">
        <f>HYPERLINK("https://klasma.github.io/Logging_2321/tillsyn/A 58872-2025 tillsynsbegäran.docx", "A 58872-2025")</f>
        <v/>
      </c>
      <c r="AD150">
        <f>HYPERLINK("https://klasma.github.io/Logging_2321/tillsynsmail/A 58872-2025 tillsynsbegäran mail.docx", "A 58872-2025")</f>
        <v/>
      </c>
    </row>
    <row r="151" ht="15" customHeight="1">
      <c r="A151" t="inlineStr">
        <is>
          <t>A 63225-2025</t>
        </is>
      </c>
      <c r="B151" t="inlineStr">
        <is>
          <t>avverkningsanmälan</t>
        </is>
      </c>
      <c r="C151" t="inlineStr">
        <is>
          <t>Föryngringsavverkning</t>
        </is>
      </c>
      <c r="D151" s="1" t="n">
        <v>46010</v>
      </c>
      <c r="E151" s="1" t="n">
        <v>46277</v>
      </c>
      <c r="F151" t="inlineStr">
        <is>
          <t>JÄMTLANDS LÄN</t>
        </is>
      </c>
      <c r="G151" t="inlineStr">
        <is>
          <t>ÅRE</t>
        </is>
      </c>
      <c r="H151" t="inlineStr">
        <is>
          <t>Övriga Aktiebolag</t>
        </is>
      </c>
      <c r="I151" t="n">
        <v>12.1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HYPERLINK("https://klasma.github.io/Logging_2321/artfynd/A 63225-2025 artfynd.xlsx", "A 63225-2025")</f>
        <v/>
      </c>
      <c r="X151">
        <f>HYPERLINK("https://klasma.github.io/Logging_2321/kartor/A 63225-2025 karta.png", "A 63225-2025")</f>
        <v/>
      </c>
      <c r="Y151">
        <f>HYPERLINK("https://klasma.github.io/Logging_2321/kartor_geotiff/A 63225-2025 georefererad karta.tif", "A 63225-2025")</f>
        <v/>
      </c>
      <c r="AA151">
        <f>HYPERLINK("https://klasma.github.io/Logging_2321/klagomål/A 63225-2025 FSC-klagomål.docx", "A 63225-2025")</f>
        <v/>
      </c>
      <c r="AB151">
        <f>HYPERLINK("https://klasma.github.io/Logging_2321/klagomålsmail/A 63225-2025 FSC-klagomål mail.docx", "A 63225-2025")</f>
        <v/>
      </c>
      <c r="AC151">
        <f>HYPERLINK("https://klasma.github.io/Logging_2321/tillsyn/A 63225-2025 tillsynsbegäran.docx", "A 63225-2025")</f>
        <v/>
      </c>
      <c r="AD151">
        <f>HYPERLINK("https://klasma.github.io/Logging_2321/tillsynsmail/A 63225-2025 tillsynsbegäran mail.docx", "A 63225-2025")</f>
        <v/>
      </c>
    </row>
    <row r="152" ht="15" customHeight="1">
      <c r="A152" t="inlineStr">
        <is>
          <t>A 6141-2026</t>
        </is>
      </c>
      <c r="B152" t="inlineStr">
        <is>
          <t>avverkningsanmälan</t>
        </is>
      </c>
      <c r="C152" t="inlineStr">
        <is>
          <t>Föryngringsavverkning</t>
        </is>
      </c>
      <c r="D152" s="1" t="n">
        <v>46054</v>
      </c>
      <c r="E152" s="1" t="n">
        <v>46277</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64668-2021</t>
        </is>
      </c>
      <c r="B153" t="inlineStr">
        <is>
          <t>avverkningsanmälan</t>
        </is>
      </c>
      <c r="C153" t="inlineStr">
        <is>
          <t>Avverkning för annat ändamål</t>
        </is>
      </c>
      <c r="D153" s="1" t="n">
        <v>44512</v>
      </c>
      <c r="E153" s="1" t="n">
        <v>46277</v>
      </c>
      <c r="F153" t="inlineStr">
        <is>
          <t>JÄMTLANDS LÄN</t>
        </is>
      </c>
      <c r="G153" t="inlineStr">
        <is>
          <t>ÅRE</t>
        </is>
      </c>
      <c r="I153" t="n">
        <v>1.9</v>
      </c>
      <c r="J153" t="n">
        <v>1</v>
      </c>
      <c r="K153" t="n">
        <v>0</v>
      </c>
      <c r="L153" t="n">
        <v>1</v>
      </c>
      <c r="M153" t="n">
        <v>0</v>
      </c>
      <c r="N153" t="n">
        <v>0</v>
      </c>
      <c r="O153" t="n">
        <v>0</v>
      </c>
      <c r="P153" t="n">
        <v>0</v>
      </c>
      <c r="Q153" t="n">
        <v>1</v>
      </c>
      <c r="R153" t="n">
        <v>0</v>
      </c>
      <c r="S153" t="n">
        <v>1</v>
      </c>
      <c r="T153" t="n">
        <v>11</v>
      </c>
      <c r="U153" t="n">
        <v>11</v>
      </c>
      <c r="V153" s="2" t="inlineStr">
        <is>
          <t>Tretåig hackspett</t>
        </is>
      </c>
      <c r="W153">
        <f>HYPERLINK("https://klasma.github.io/Logging_2321/artfynd/A 64668-2021 artfynd.xlsx", "A 64668-2021")</f>
        <v/>
      </c>
      <c r="X153">
        <f>HYPERLINK("https://klasma.github.io/Logging_2321/kartor/A 64668-2021 karta.png", "A 64668-2021")</f>
        <v/>
      </c>
      <c r="Y153">
        <f>HYPERLINK("https://klasma.github.io/Logging_2321/kartor_geotiff/A 64668-2021 georefererad karta.tif", "A 64668-2021")</f>
        <v/>
      </c>
      <c r="AA153">
        <f>HYPERLINK("https://klasma.github.io/Logging_2321/klagomål/A 64668-2021 FSC-klagomål.docx", "A 64668-2021")</f>
        <v/>
      </c>
      <c r="AB153">
        <f>HYPERLINK("https://klasma.github.io/Logging_2321/klagomålsmail/A 64668-2021 FSC-klagomål mail.docx", "A 64668-2021")</f>
        <v/>
      </c>
      <c r="AC153">
        <f>HYPERLINK("https://klasma.github.io/Logging_2321/tillsyn/A 64668-2021 tillsynsbegäran.docx", "A 64668-2021")</f>
        <v/>
      </c>
      <c r="AD153">
        <f>HYPERLINK("https://klasma.github.io/Logging_2321/tillsynsmail/A 64668-2021 tillsynsbegäran mail.docx", "A 64668-2021")</f>
        <v/>
      </c>
      <c r="AE153">
        <f>HYPERLINK("https://klasma.github.io/Logging_2321/fåglar/A 64668-2021 prioriterade fågelarter.docx", "A 64668-2021")</f>
        <v/>
      </c>
    </row>
    <row r="154" ht="15" customHeight="1">
      <c r="A154" t="inlineStr">
        <is>
          <t>A 4754-2026</t>
        </is>
      </c>
      <c r="B154" t="inlineStr">
        <is>
          <t>avverkningsanmälan</t>
        </is>
      </c>
      <c r="C154" t="inlineStr">
        <is>
          <t>Föryngringsavverkning</t>
        </is>
      </c>
      <c r="D154" s="1" t="n">
        <v>46048</v>
      </c>
      <c r="E154" s="1" t="n">
        <v>46277</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HYPERLINK("https://klasma.github.io/Logging_2321/artfynd/A 4754-2026 artfynd.xlsx", "A 4754-2026")</f>
        <v/>
      </c>
      <c r="X154">
        <f>HYPERLINK("https://klasma.github.io/Logging_2321/kartor/A 4754-2026 karta.png", "A 4754-2026")</f>
        <v/>
      </c>
      <c r="Y154">
        <f>HYPERLINK("https://klasma.github.io/Logging_2321/kartor_geotiff/A 4754-2026 georefererad karta.tif", "A 4754-2026")</f>
        <v/>
      </c>
      <c r="AA154">
        <f>HYPERLINK("https://klasma.github.io/Logging_2321/klagomål/A 4754-2026 FSC-klagomål.docx", "A 4754-2026")</f>
        <v/>
      </c>
      <c r="AB154">
        <f>HYPERLINK("https://klasma.github.io/Logging_2321/klagomålsmail/A 4754-2026 FSC-klagomål mail.docx", "A 4754-2026")</f>
        <v/>
      </c>
      <c r="AC154">
        <f>HYPERLINK("https://klasma.github.io/Logging_2321/tillsyn/A 4754-2026 tillsynsbegäran.docx", "A 4754-2026")</f>
        <v/>
      </c>
      <c r="AD154">
        <f>HYPERLINK("https://klasma.github.io/Logging_2321/tillsynsmail/A 4754-2026 tillsynsbegäran mail.docx", "A 4754-2026")</f>
        <v/>
      </c>
      <c r="AE154">
        <f>HYPERLINK("https://klasma.github.io/Logging_2321/fåglar/A 4754-2026 prioriterade fågelarter.docx", "A 4754-2026")</f>
        <v/>
      </c>
    </row>
    <row r="155" ht="15" customHeight="1">
      <c r="A155" t="inlineStr">
        <is>
          <t>A 5888-2026</t>
        </is>
      </c>
      <c r="B155" t="inlineStr">
        <is>
          <t>avverkningsanmälan</t>
        </is>
      </c>
      <c r="C155" t="inlineStr">
        <is>
          <t>Föryngringsavverkning</t>
        </is>
      </c>
      <c r="D155" s="1" t="n">
        <v>46052</v>
      </c>
      <c r="E155" s="1" t="n">
        <v>46277</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HYPERLINK("https://klasma.github.io/Logging_2321/artfynd/A 5888-2026 artfynd.xlsx", "A 5888-2026")</f>
        <v/>
      </c>
      <c r="X155">
        <f>HYPERLINK("https://klasma.github.io/Logging_2321/kartor/A 5888-2026 karta.png", "A 5888-2026")</f>
        <v/>
      </c>
      <c r="Y155">
        <f>HYPERLINK("https://klasma.github.io/Logging_2321/kartor_geotiff/A 5888-2026 georefererad karta.tif", "A 5888-2026")</f>
        <v/>
      </c>
      <c r="AA155">
        <f>HYPERLINK("https://klasma.github.io/Logging_2321/klagomål/A 5888-2026 FSC-klagomål.docx", "A 5888-2026")</f>
        <v/>
      </c>
      <c r="AB155">
        <f>HYPERLINK("https://klasma.github.io/Logging_2321/klagomålsmail/A 5888-2026 FSC-klagomål mail.docx", "A 5888-2026")</f>
        <v/>
      </c>
      <c r="AC155">
        <f>HYPERLINK("https://klasma.github.io/Logging_2321/tillsyn/A 5888-2026 tillsynsbegäran.docx", "A 5888-2026")</f>
        <v/>
      </c>
      <c r="AD155">
        <f>HYPERLINK("https://klasma.github.io/Logging_2321/tillsynsmail/A 5888-2026 tillsynsbegäran mail.docx", "A 5888-2026")</f>
        <v/>
      </c>
    </row>
    <row r="156" ht="15" customHeight="1">
      <c r="A156" t="inlineStr">
        <is>
          <t>A 7854-2026</t>
        </is>
      </c>
      <c r="B156" t="inlineStr">
        <is>
          <t>avverkningsanmälan</t>
        </is>
      </c>
      <c r="C156" t="inlineStr">
        <is>
          <t>Föryngringsavverkning</t>
        </is>
      </c>
      <c r="D156" s="1" t="n">
        <v>46062</v>
      </c>
      <c r="E156" s="1" t="n">
        <v>46277</v>
      </c>
      <c r="F156" t="inlineStr">
        <is>
          <t>JÄMTLANDS LÄN</t>
        </is>
      </c>
      <c r="G156" t="inlineStr">
        <is>
          <t>ÅRE</t>
        </is>
      </c>
      <c r="I156" t="n">
        <v>6.5</v>
      </c>
      <c r="J156" t="n">
        <v>1</v>
      </c>
      <c r="K156" t="n">
        <v>0</v>
      </c>
      <c r="L156" t="n">
        <v>1</v>
      </c>
      <c r="M156" t="n">
        <v>0</v>
      </c>
      <c r="N156" t="n">
        <v>0</v>
      </c>
      <c r="O156" t="n">
        <v>0</v>
      </c>
      <c r="P156" t="n">
        <v>0</v>
      </c>
      <c r="Q156" t="n">
        <v>1</v>
      </c>
      <c r="R156" t="n">
        <v>0</v>
      </c>
      <c r="S156" t="n">
        <v>1</v>
      </c>
      <c r="T156" t="n">
        <v>3</v>
      </c>
      <c r="U156" t="n">
        <v>0</v>
      </c>
      <c r="V156" s="2" t="inlineStr">
        <is>
          <t>Tretåig hackspett</t>
        </is>
      </c>
      <c r="W156">
        <f>HYPERLINK("https://klasma.github.io/Logging_2321/artfynd/A 7854-2026 artfynd.xlsx", "A 7854-2026")</f>
        <v/>
      </c>
      <c r="X156">
        <f>HYPERLINK("https://klasma.github.io/Logging_2321/kartor/A 7854-2026 karta.png", "A 7854-2026")</f>
        <v/>
      </c>
      <c r="Y156">
        <f>HYPERLINK("https://klasma.github.io/Logging_2321/kartor_geotiff/A 7854-2026 georefererad karta.tif", "A 7854-2026")</f>
        <v/>
      </c>
      <c r="AA156">
        <f>HYPERLINK("https://klasma.github.io/Logging_2321/klagomål/A 7854-2026 FSC-klagomål.docx", "A 7854-2026")</f>
        <v/>
      </c>
      <c r="AB156">
        <f>HYPERLINK("https://klasma.github.io/Logging_2321/klagomålsmail/A 7854-2026 FSC-klagomål mail.docx", "A 7854-2026")</f>
        <v/>
      </c>
      <c r="AC156">
        <f>HYPERLINK("https://klasma.github.io/Logging_2321/tillsyn/A 7854-2026 tillsynsbegäran.docx", "A 7854-2026")</f>
        <v/>
      </c>
      <c r="AD156">
        <f>HYPERLINK("https://klasma.github.io/Logging_2321/tillsynsmail/A 7854-2026 tillsynsbegäran mail.docx", "A 7854-2026")</f>
        <v/>
      </c>
      <c r="AE156">
        <f>HYPERLINK("https://klasma.github.io/Logging_2321/fåglar/A 7854-2026 prioriterade fågelarter.docx", "A 7854-2026")</f>
        <v/>
      </c>
    </row>
    <row r="157" ht="15" customHeight="1">
      <c r="A157" t="inlineStr">
        <is>
          <t>A 74392-2021</t>
        </is>
      </c>
      <c r="B157" t="inlineStr">
        <is>
          <t>avverkningsanmälan</t>
        </is>
      </c>
      <c r="C157" t="inlineStr">
        <is>
          <t>Föryngringsavverkning</t>
        </is>
      </c>
      <c r="D157" s="1" t="n">
        <v>44559</v>
      </c>
      <c r="E157" s="1" t="n">
        <v>46277</v>
      </c>
      <c r="F157" t="inlineStr">
        <is>
          <t>JÄMTLANDS LÄN</t>
        </is>
      </c>
      <c r="G157" t="inlineStr">
        <is>
          <t>ÅRE</t>
        </is>
      </c>
      <c r="I157" t="n">
        <v>11.6</v>
      </c>
      <c r="J157" t="n">
        <v>0</v>
      </c>
      <c r="K157" t="n">
        <v>0</v>
      </c>
      <c r="L157" t="n">
        <v>1</v>
      </c>
      <c r="M157" t="n">
        <v>0</v>
      </c>
      <c r="N157" t="n">
        <v>0</v>
      </c>
      <c r="O157" t="n">
        <v>0</v>
      </c>
      <c r="P157" t="n">
        <v>0</v>
      </c>
      <c r="Q157" t="n">
        <v>1</v>
      </c>
      <c r="R157" t="n">
        <v>0</v>
      </c>
      <c r="S157" t="n">
        <v>1</v>
      </c>
      <c r="T157" t="n">
        <v>1</v>
      </c>
      <c r="U157" t="n">
        <v>0</v>
      </c>
      <c r="V157" s="2" t="inlineStr">
        <is>
          <t>Skrovellav</t>
        </is>
      </c>
      <c r="W157">
        <f>HYPERLINK("https://klasma.github.io/Logging_2321/artfynd/A 74392-2021 artfynd.xlsx", "A 74392-2021")</f>
        <v/>
      </c>
      <c r="X157">
        <f>HYPERLINK("https://klasma.github.io/Logging_2321/kartor/A 74392-2021 karta.png", "A 74392-2021")</f>
        <v/>
      </c>
      <c r="Y157">
        <f>HYPERLINK("https://klasma.github.io/Logging_2321/kartor_geotiff/A 74392-2021 georefererad karta.tif", "A 74392-2021")</f>
        <v/>
      </c>
      <c r="AA157">
        <f>HYPERLINK("https://klasma.github.io/Logging_2321/klagomål/A 74392-2021 FSC-klagomål.docx", "A 74392-2021")</f>
        <v/>
      </c>
      <c r="AB157">
        <f>HYPERLINK("https://klasma.github.io/Logging_2321/klagomålsmail/A 74392-2021 FSC-klagomål mail.docx", "A 74392-2021")</f>
        <v/>
      </c>
      <c r="AC157">
        <f>HYPERLINK("https://klasma.github.io/Logging_2321/tillsyn/A 74392-2021 tillsynsbegäran.docx", "A 74392-2021")</f>
        <v/>
      </c>
      <c r="AD157">
        <f>HYPERLINK("https://klasma.github.io/Logging_2321/tillsynsmail/A 74392-2021 tillsynsbegäran mail.docx", "A 74392-2021")</f>
        <v/>
      </c>
    </row>
    <row r="158" ht="15" customHeight="1">
      <c r="A158" t="inlineStr">
        <is>
          <t>A 8131-2024</t>
        </is>
      </c>
      <c r="B158" t="inlineStr">
        <is>
          <t>avverkningsanmälan</t>
        </is>
      </c>
      <c r="C158" t="inlineStr">
        <is>
          <t>Föryngringsavverkning</t>
        </is>
      </c>
      <c r="D158" s="1" t="n">
        <v>45351</v>
      </c>
      <c r="E158" s="1" t="n">
        <v>46277</v>
      </c>
      <c r="F158" t="inlineStr">
        <is>
          <t>JÄMTLANDS LÄN</t>
        </is>
      </c>
      <c r="G158" t="inlineStr">
        <is>
          <t>ÅRE</t>
        </is>
      </c>
      <c r="H158" t="inlineStr">
        <is>
          <t>Övriga Aktiebolag</t>
        </is>
      </c>
      <c r="I158" t="n">
        <v>3.1</v>
      </c>
      <c r="J158" t="n">
        <v>0</v>
      </c>
      <c r="K158" t="n">
        <v>0</v>
      </c>
      <c r="L158" t="n">
        <v>0</v>
      </c>
      <c r="M158" t="n">
        <v>1</v>
      </c>
      <c r="N158" t="n">
        <v>0</v>
      </c>
      <c r="O158" t="n">
        <v>0</v>
      </c>
      <c r="P158" t="n">
        <v>0</v>
      </c>
      <c r="Q158" t="n">
        <v>1</v>
      </c>
      <c r="R158" t="n">
        <v>1</v>
      </c>
      <c r="S158" t="n">
        <v>1</v>
      </c>
      <c r="T158" t="n">
        <v>1</v>
      </c>
      <c r="U158" t="n">
        <v>1</v>
      </c>
      <c r="V158" s="2" t="inlineStr">
        <is>
          <t>Gräddporing</t>
        </is>
      </c>
      <c r="W158">
        <f>HYPERLINK("https://klasma.github.io/Logging_2321/artfynd/A 8131-2024 artfynd.xlsx", "A 8131-2024")</f>
        <v/>
      </c>
      <c r="X158">
        <f>HYPERLINK("https://klasma.github.io/Logging_2321/kartor/A 8131-2024 karta.png", "A 8131-2024")</f>
        <v/>
      </c>
      <c r="Y158">
        <f>HYPERLINK("https://klasma.github.io/Logging_2321/kartor_geotiff/A 8131-2024 georefererad karta.tif", "A 8131-2024")</f>
        <v/>
      </c>
      <c r="AA158">
        <f>HYPERLINK("https://klasma.github.io/Logging_2321/klagomål/A 8131-2024 FSC-klagomål.docx", "A 8131-2024")</f>
        <v/>
      </c>
      <c r="AB158">
        <f>HYPERLINK("https://klasma.github.io/Logging_2321/klagomålsmail/A 8131-2024 FSC-klagomål mail.docx", "A 8131-2024")</f>
        <v/>
      </c>
      <c r="AC158">
        <f>HYPERLINK("https://klasma.github.io/Logging_2321/tillsyn/A 8131-2024 tillsynsbegäran.docx", "A 8131-2024")</f>
        <v/>
      </c>
      <c r="AD158">
        <f>HYPERLINK("https://klasma.github.io/Logging_2321/tillsynsmail/A 8131-2024 tillsynsbegäran mail.docx", "A 8131-2024")</f>
        <v/>
      </c>
    </row>
    <row r="159" ht="15" customHeight="1">
      <c r="A159" t="inlineStr">
        <is>
          <t>A 53014-2023</t>
        </is>
      </c>
      <c r="B159" t="inlineStr">
        <is>
          <t>avverkningsanmälan</t>
        </is>
      </c>
      <c r="C159" t="inlineStr">
        <is>
          <t>Föryngringsavverkning</t>
        </is>
      </c>
      <c r="D159" s="1" t="n">
        <v>45226</v>
      </c>
      <c r="E159" s="1" t="n">
        <v>46277</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40653-2022</t>
        </is>
      </c>
      <c r="B160" t="inlineStr">
        <is>
          <t>avverkningsanmälan</t>
        </is>
      </c>
      <c r="C160" t="inlineStr">
        <is>
          <t>Avverkning för annat ändamål</t>
        </is>
      </c>
      <c r="D160" s="1" t="n">
        <v>44818</v>
      </c>
      <c r="E160" s="1" t="n">
        <v>46277</v>
      </c>
      <c r="F160" t="inlineStr">
        <is>
          <t>JÄMTLANDS LÄN</t>
        </is>
      </c>
      <c r="G160" t="inlineStr">
        <is>
          <t>ÅRE</t>
        </is>
      </c>
      <c r="I160" t="n">
        <v>1.4</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HYPERLINK("https://klasma.github.io/Logging_2321/artfynd/A 40653-2022 artfynd.xlsx", "A 40653-2022")</f>
        <v/>
      </c>
      <c r="X160">
        <f>HYPERLINK("https://klasma.github.io/Logging_2321/kartor/A 40653-2022 karta.png", "A 40653-2022")</f>
        <v/>
      </c>
      <c r="Y160">
        <f>HYPERLINK("https://klasma.github.io/Logging_2321/kartor_geotiff/A 40653-2022 georefererad karta.tif", "A 40653-2022")</f>
        <v/>
      </c>
      <c r="AA160">
        <f>HYPERLINK("https://klasma.github.io/Logging_2321/klagomål/A 40653-2022 FSC-klagomål.docx", "A 40653-2022")</f>
        <v/>
      </c>
      <c r="AB160">
        <f>HYPERLINK("https://klasma.github.io/Logging_2321/klagomålsmail/A 40653-2022 FSC-klagomål mail.docx", "A 40653-2022")</f>
        <v/>
      </c>
      <c r="AC160">
        <f>HYPERLINK("https://klasma.github.io/Logging_2321/tillsyn/A 40653-2022 tillsynsbegäran.docx", "A 40653-2022")</f>
        <v/>
      </c>
      <c r="AD160">
        <f>HYPERLINK("https://klasma.github.io/Logging_2321/tillsynsmail/A 40653-2022 tillsynsbegäran mail.docx", "A 40653-2022")</f>
        <v/>
      </c>
      <c r="AE160">
        <f>HYPERLINK("https://klasma.github.io/Logging_2321/fåglar/A 40653-2022 prioriterade fågelarter.docx", "A 40653-2022")</f>
        <v/>
      </c>
    </row>
    <row r="161" ht="15" customHeight="1">
      <c r="A161" t="inlineStr">
        <is>
          <t>A 32216-2022</t>
        </is>
      </c>
      <c r="B161" t="inlineStr">
        <is>
          <t>avverkningsanmälan</t>
        </is>
      </c>
      <c r="C161" t="inlineStr">
        <is>
          <t>Föryngringsavverkning</t>
        </is>
      </c>
      <c r="D161" s="1" t="n">
        <v>44781</v>
      </c>
      <c r="E161" s="1" t="n">
        <v>46277</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29239-2026</t>
        </is>
      </c>
      <c r="B162" t="inlineStr">
        <is>
          <t>avverkningsanmälan</t>
        </is>
      </c>
      <c r="C162" t="inlineStr">
        <is>
          <t>Avverkning för annat ändamål</t>
        </is>
      </c>
      <c r="D162" s="1" t="n">
        <v>46202</v>
      </c>
      <c r="E162" s="1" t="n">
        <v>46277</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6628-2026</t>
        </is>
      </c>
      <c r="B163" t="inlineStr">
        <is>
          <t>avverkningsanmälan</t>
        </is>
      </c>
      <c r="C163" t="inlineStr">
        <is>
          <t>Föryngringsavverkning</t>
        </is>
      </c>
      <c r="D163" s="1" t="n">
        <v>46056</v>
      </c>
      <c r="E163" s="1" t="n">
        <v>46277</v>
      </c>
      <c r="F163" t="inlineStr">
        <is>
          <t>JÄMTLANDS LÄN</t>
        </is>
      </c>
      <c r="G163" t="inlineStr">
        <is>
          <t>ÅRE</t>
        </is>
      </c>
      <c r="I163" t="n">
        <v>33.1</v>
      </c>
      <c r="J163" t="n">
        <v>0</v>
      </c>
      <c r="K163" t="n">
        <v>1</v>
      </c>
      <c r="L163" t="n">
        <v>0</v>
      </c>
      <c r="M163" t="n">
        <v>0</v>
      </c>
      <c r="N163" t="n">
        <v>0</v>
      </c>
      <c r="O163" t="n">
        <v>0</v>
      </c>
      <c r="P163" t="n">
        <v>0</v>
      </c>
      <c r="Q163" t="n">
        <v>0</v>
      </c>
      <c r="R163" t="n">
        <v>0</v>
      </c>
      <c r="S163" t="n">
        <v>1</v>
      </c>
      <c r="T163" t="n">
        <v>1</v>
      </c>
      <c r="U163" t="n">
        <v>0</v>
      </c>
      <c r="V163" s="2" t="inlineStr">
        <is>
          <t>Kransrams</t>
        </is>
      </c>
      <c r="W163">
        <f>HYPERLINK("https://klasma.github.io/Logging_2321/artfynd/A 6628-2026 artfynd.xlsx", "A 6628-2026")</f>
        <v/>
      </c>
      <c r="X163">
        <f>HYPERLINK("https://klasma.github.io/Logging_2321/kartor/A 6628-2026 karta.png", "A 6628-2026")</f>
        <v/>
      </c>
      <c r="Y163">
        <f>HYPERLINK("https://klasma.github.io/Logging_2321/kartor_geotiff/A 6628-2026 georefererad karta.tif", "A 6628-2026")</f>
        <v/>
      </c>
      <c r="AA163">
        <f>HYPERLINK("https://klasma.github.io/Logging_2321/klagomål/A 6628-2026 FSC-klagomål.docx", "A 6628-2026")</f>
        <v/>
      </c>
      <c r="AB163">
        <f>HYPERLINK("https://klasma.github.io/Logging_2321/klagomålsmail/A 6628-2026 FSC-klagomål mail.docx", "A 6628-2026")</f>
        <v/>
      </c>
      <c r="AC163">
        <f>HYPERLINK("https://klasma.github.io/Logging_2321/tillsyn/A 6628-2026 tillsynsbegäran.docx", "A 6628-2026")</f>
        <v/>
      </c>
      <c r="AD163">
        <f>HYPERLINK("https://klasma.github.io/Logging_2321/tillsynsmail/A 6628-2026 tillsynsbegäran mail.docx", "A 6628-2026")</f>
        <v/>
      </c>
    </row>
    <row r="164" ht="15" customHeight="1">
      <c r="A164" t="inlineStr">
        <is>
          <t>A 61471-2023</t>
        </is>
      </c>
      <c r="B164" t="inlineStr">
        <is>
          <t>avverkningsanmälan</t>
        </is>
      </c>
      <c r="C164" t="inlineStr">
        <is>
          <t>Föryngringsavverkning</t>
        </is>
      </c>
      <c r="D164" s="1" t="n">
        <v>45264</v>
      </c>
      <c r="E164" s="1" t="n">
        <v>46277</v>
      </c>
      <c r="F164" t="inlineStr">
        <is>
          <t>JÄMTLANDS LÄN</t>
        </is>
      </c>
      <c r="G164" t="inlineStr">
        <is>
          <t>ÅRE</t>
        </is>
      </c>
      <c r="I164" t="n">
        <v>1</v>
      </c>
      <c r="J164" t="n">
        <v>0</v>
      </c>
      <c r="K164" t="n">
        <v>0</v>
      </c>
      <c r="L164" t="n">
        <v>1</v>
      </c>
      <c r="M164" t="n">
        <v>0</v>
      </c>
      <c r="N164" t="n">
        <v>0</v>
      </c>
      <c r="O164" t="n">
        <v>0</v>
      </c>
      <c r="P164" t="n">
        <v>0</v>
      </c>
      <c r="Q164" t="n">
        <v>1</v>
      </c>
      <c r="R164" t="n">
        <v>0</v>
      </c>
      <c r="S164" t="n">
        <v>1</v>
      </c>
      <c r="T164" t="n">
        <v>2</v>
      </c>
      <c r="U164" t="n">
        <v>0</v>
      </c>
      <c r="V164" s="2" t="inlineStr">
        <is>
          <t>Skrovellav</t>
        </is>
      </c>
      <c r="W164">
        <f>HYPERLINK("https://klasma.github.io/Logging_2321/artfynd/A 61471-2023 artfynd.xlsx", "A 61471-2023")</f>
        <v/>
      </c>
      <c r="X164">
        <f>HYPERLINK("https://klasma.github.io/Logging_2321/kartor/A 61471-2023 karta.png", "A 61471-2023")</f>
        <v/>
      </c>
      <c r="Y164">
        <f>HYPERLINK("https://klasma.github.io/Logging_2321/kartor_geotiff/A 61471-2023 georefererad karta.tif", "A 61471-2023")</f>
        <v/>
      </c>
      <c r="AA164">
        <f>HYPERLINK("https://klasma.github.io/Logging_2321/klagomål/A 61471-2023 FSC-klagomål.docx", "A 61471-2023")</f>
        <v/>
      </c>
      <c r="AB164">
        <f>HYPERLINK("https://klasma.github.io/Logging_2321/klagomålsmail/A 61471-2023 FSC-klagomål mail.docx", "A 61471-2023")</f>
        <v/>
      </c>
      <c r="AC164">
        <f>HYPERLINK("https://klasma.github.io/Logging_2321/tillsyn/A 61471-2023 tillsynsbegäran.docx", "A 61471-2023")</f>
        <v/>
      </c>
      <c r="AD164">
        <f>HYPERLINK("https://klasma.github.io/Logging_2321/tillsynsmail/A 61471-2023 tillsynsbegäran mail.docx", "A 61471-2023")</f>
        <v/>
      </c>
    </row>
    <row r="165" ht="15" customHeight="1">
      <c r="A165" t="inlineStr">
        <is>
          <t>A 15909-2025</t>
        </is>
      </c>
      <c r="B165" t="inlineStr">
        <is>
          <t>avverkningsanmälan</t>
        </is>
      </c>
      <c r="C165" t="inlineStr">
        <is>
          <t>Föryngringsavverkning</t>
        </is>
      </c>
      <c r="D165" s="1" t="n">
        <v>45749</v>
      </c>
      <c r="E165" s="1" t="n">
        <v>46277</v>
      </c>
      <c r="F165" t="inlineStr">
        <is>
          <t>JÄMTLANDS LÄN</t>
        </is>
      </c>
      <c r="G165" t="inlineStr">
        <is>
          <t>ÅRE</t>
        </is>
      </c>
      <c r="I165" t="n">
        <v>23.8</v>
      </c>
      <c r="J165" t="n">
        <v>0</v>
      </c>
      <c r="K165" t="n">
        <v>0</v>
      </c>
      <c r="L165" t="n">
        <v>0</v>
      </c>
      <c r="M165" t="n">
        <v>1</v>
      </c>
      <c r="N165" t="n">
        <v>0</v>
      </c>
      <c r="O165" t="n">
        <v>0</v>
      </c>
      <c r="P165" t="n">
        <v>0</v>
      </c>
      <c r="Q165" t="n">
        <v>1</v>
      </c>
      <c r="R165" t="n">
        <v>1</v>
      </c>
      <c r="S165" t="n">
        <v>1</v>
      </c>
      <c r="T165" t="n">
        <v>1</v>
      </c>
      <c r="U165" t="n">
        <v>1</v>
      </c>
      <c r="V165" s="2" t="inlineStr">
        <is>
          <t>Garnlav</t>
        </is>
      </c>
      <c r="W165">
        <f>HYPERLINK("https://klasma.github.io/Logging_2321/artfynd/A 15909-2025 artfynd.xlsx", "A 15909-2025")</f>
        <v/>
      </c>
      <c r="X165">
        <f>HYPERLINK("https://klasma.github.io/Logging_2321/kartor/A 15909-2025 karta.png", "A 15909-2025")</f>
        <v/>
      </c>
      <c r="Y165">
        <f>HYPERLINK("https://klasma.github.io/Logging_2321/kartor_geotiff/A 15909-2025 georefererad karta.tif", "A 15909-2025")</f>
        <v/>
      </c>
      <c r="AA165">
        <f>HYPERLINK("https://klasma.github.io/Logging_2321/klagomål/A 15909-2025 FSC-klagomål.docx", "A 15909-2025")</f>
        <v/>
      </c>
      <c r="AB165">
        <f>HYPERLINK("https://klasma.github.io/Logging_2321/klagomålsmail/A 15909-2025 FSC-klagomål mail.docx", "A 15909-2025")</f>
        <v/>
      </c>
      <c r="AC165">
        <f>HYPERLINK("https://klasma.github.io/Logging_2321/tillsyn/A 15909-2025 tillsynsbegäran.docx", "A 15909-2025")</f>
        <v/>
      </c>
      <c r="AD165">
        <f>HYPERLINK("https://klasma.github.io/Logging_2321/tillsynsmail/A 15909-2025 tillsynsbegäran mail.docx", "A 15909-2025")</f>
        <v/>
      </c>
    </row>
    <row r="166" ht="15" customHeight="1">
      <c r="A166" t="inlineStr">
        <is>
          <t>A 48223-2025</t>
        </is>
      </c>
      <c r="B166" t="inlineStr">
        <is>
          <t>avverkningsanmälan</t>
        </is>
      </c>
      <c r="C166" t="inlineStr">
        <is>
          <t>Avverkning för att bevara och utveckla /försöksver</t>
        </is>
      </c>
      <c r="D166" s="1" t="n">
        <v>45931</v>
      </c>
      <c r="E166" s="1" t="n">
        <v>46277</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27630-2025</t>
        </is>
      </c>
      <c r="B167" t="inlineStr">
        <is>
          <t>avverkningsanmälan</t>
        </is>
      </c>
      <c r="C167" t="inlineStr">
        <is>
          <t>Föryngringsavverkning</t>
        </is>
      </c>
      <c r="D167" s="1" t="n">
        <v>45813</v>
      </c>
      <c r="E167" s="1" t="n">
        <v>46277</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1112-2025</t>
        </is>
      </c>
      <c r="B168" t="inlineStr">
        <is>
          <t>avverkningsanmälan</t>
        </is>
      </c>
      <c r="C168" t="inlineStr">
        <is>
          <t>Föryngringsavverkning</t>
        </is>
      </c>
      <c r="D168" s="1" t="n">
        <v>45666</v>
      </c>
      <c r="E168" s="1" t="n">
        <v>46277</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69801-2021</t>
        </is>
      </c>
      <c r="B169" t="inlineStr">
        <is>
          <t>avverkningsanmälan</t>
        </is>
      </c>
      <c r="C169" t="inlineStr">
        <is>
          <t>Föryngringsavverkning</t>
        </is>
      </c>
      <c r="D169" s="1" t="n">
        <v>44532</v>
      </c>
      <c r="E169" s="1" t="n">
        <v>46277</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46277</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46277</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46277</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51042-2021</t>
        </is>
      </c>
      <c r="B173" t="inlineStr">
        <is>
          <t>avverkningsanmälan</t>
        </is>
      </c>
      <c r="C173" t="inlineStr">
        <is>
          <t>Avverkning för annat ändamål</t>
        </is>
      </c>
      <c r="D173" s="1" t="n">
        <v>44461</v>
      </c>
      <c r="E173" s="1" t="n">
        <v>46277</v>
      </c>
      <c r="F173" t="inlineStr">
        <is>
          <t>JÄMTLANDS LÄN</t>
        </is>
      </c>
      <c r="G173" t="inlineStr">
        <is>
          <t>ÅRE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46277</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46277</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46277</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46277</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46277</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46277</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46277</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46277</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46277</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46277</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46277</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46277</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46277</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46277</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46277</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46277</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46277</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26533-2022</t>
        </is>
      </c>
      <c r="B191" t="inlineStr">
        <is>
          <t>avverkningsanmälan</t>
        </is>
      </c>
      <c r="C191" t="inlineStr">
        <is>
          <t>Föryngringsavverkning</t>
        </is>
      </c>
      <c r="D191" s="1" t="n">
        <v>44739</v>
      </c>
      <c r="E191" s="1" t="n">
        <v>46277</v>
      </c>
      <c r="F191" t="inlineStr">
        <is>
          <t>JÄMTLANDS LÄN</t>
        </is>
      </c>
      <c r="G191" t="inlineStr">
        <is>
          <t>ÅRE</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70522-2021</t>
        </is>
      </c>
      <c r="B192" t="inlineStr">
        <is>
          <t>avverkningsanmälan</t>
        </is>
      </c>
      <c r="C192" t="inlineStr">
        <is>
          <t>Föryngringsavverkning</t>
        </is>
      </c>
      <c r="D192" s="1" t="n">
        <v>44536</v>
      </c>
      <c r="E192" s="1" t="n">
        <v>46277</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70523-2021</t>
        </is>
      </c>
      <c r="B193" t="inlineStr">
        <is>
          <t>avverkningsanmälan</t>
        </is>
      </c>
      <c r="C193" t="inlineStr">
        <is>
          <t>Föryngringsavverkning</t>
        </is>
      </c>
      <c r="D193" s="1" t="n">
        <v>44536</v>
      </c>
      <c r="E193" s="1" t="n">
        <v>46277</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8576-2024</t>
        </is>
      </c>
      <c r="B194" t="inlineStr">
        <is>
          <t>avverkningsanmälan</t>
        </is>
      </c>
      <c r="C194" t="inlineStr">
        <is>
          <t>Föryngringsavverkning</t>
        </is>
      </c>
      <c r="D194" s="1" t="n">
        <v>45355</v>
      </c>
      <c r="E194" s="1" t="n">
        <v>46277</v>
      </c>
      <c r="F194" t="inlineStr">
        <is>
          <t>JÄMTLANDS LÄN</t>
        </is>
      </c>
      <c r="G194" t="inlineStr">
        <is>
          <t>ÅRE</t>
        </is>
      </c>
      <c r="I194" t="n">
        <v>21.7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54175-2023</t>
        </is>
      </c>
      <c r="B195" t="inlineStr">
        <is>
          <t>avverkningsanmälan</t>
        </is>
      </c>
      <c r="C195" t="inlineStr">
        <is>
          <t>Avverkning för annat ändamål</t>
        </is>
      </c>
      <c r="D195" s="1" t="n">
        <v>45232</v>
      </c>
      <c r="E195" s="1" t="n">
        <v>46277</v>
      </c>
      <c r="F195" t="inlineStr">
        <is>
          <t>JÄMTLANDS LÄN</t>
        </is>
      </c>
      <c r="G195" t="inlineStr">
        <is>
          <t>ÅRE</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54615-2022</t>
        </is>
      </c>
      <c r="B196" t="inlineStr">
        <is>
          <t>avverkningsanmälan</t>
        </is>
      </c>
      <c r="C196" t="inlineStr">
        <is>
          <t>Föryngringsavverkning</t>
        </is>
      </c>
      <c r="D196" s="1" t="n">
        <v>44883</v>
      </c>
      <c r="E196" s="1" t="n">
        <v>46277</v>
      </c>
      <c r="F196" t="inlineStr">
        <is>
          <t>JÄMTLANDS LÄN</t>
        </is>
      </c>
      <c r="G196" t="inlineStr">
        <is>
          <t>ÅRE</t>
        </is>
      </c>
      <c r="H196" t="inlineStr">
        <is>
          <t>Övriga Aktiebolag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34231-2023</t>
        </is>
      </c>
      <c r="B197" t="inlineStr">
        <is>
          <t>avverkningsanmälan</t>
        </is>
      </c>
      <c r="C197" t="inlineStr">
        <is>
          <t>Föryngringsavverkning</t>
        </is>
      </c>
      <c r="D197" s="1" t="n">
        <v>45127</v>
      </c>
      <c r="E197" s="1" t="n">
        <v>46277</v>
      </c>
      <c r="F197" t="inlineStr">
        <is>
          <t>JÄMTLANDS LÄN</t>
        </is>
      </c>
      <c r="G197" t="inlineStr">
        <is>
          <t>ÅRE</t>
        </is>
      </c>
      <c r="I197" t="n">
        <v>18.3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49818-2022</t>
        </is>
      </c>
      <c r="B198" t="inlineStr">
        <is>
          <t>avverkningsanmälan</t>
        </is>
      </c>
      <c r="C198" t="inlineStr">
        <is>
          <t>Föryngringsavverkning</t>
        </is>
      </c>
      <c r="D198" s="1" t="n">
        <v>44859</v>
      </c>
      <c r="E198" s="1" t="n">
        <v>46277</v>
      </c>
      <c r="F198" t="inlineStr">
        <is>
          <t>JÄMTLANDS LÄN</t>
        </is>
      </c>
      <c r="G198" t="inlineStr">
        <is>
          <t>ÅRE</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56576-2022</t>
        </is>
      </c>
      <c r="B199" t="inlineStr">
        <is>
          <t>avverkningsanmälan</t>
        </is>
      </c>
      <c r="C199" t="inlineStr">
        <is>
          <t>Föryngringsavverkning</t>
        </is>
      </c>
      <c r="D199" s="1" t="n">
        <v>44893</v>
      </c>
      <c r="E199" s="1" t="n">
        <v>46277</v>
      </c>
      <c r="F199" t="inlineStr">
        <is>
          <t>JÄMTLANDS LÄN</t>
        </is>
      </c>
      <c r="G199" t="inlineStr">
        <is>
          <t>ÅRE</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20170-2025</t>
        </is>
      </c>
      <c r="B200" t="inlineStr">
        <is>
          <t>avverkningsanmälan</t>
        </is>
      </c>
      <c r="C200" t="inlineStr">
        <is>
          <t>Avverkning för annat ändamål</t>
        </is>
      </c>
      <c r="D200" s="1" t="n">
        <v>45772</v>
      </c>
      <c r="E200" s="1" t="n">
        <v>46277</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46277</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69170-2021</t>
        </is>
      </c>
      <c r="B202" t="inlineStr">
        <is>
          <t>avverkningsanmälan</t>
        </is>
      </c>
      <c r="C202" t="inlineStr">
        <is>
          <t>Föryngringsavverkning</t>
        </is>
      </c>
      <c r="D202" s="1" t="n">
        <v>44529</v>
      </c>
      <c r="E202" s="1" t="n">
        <v>46277</v>
      </c>
      <c r="F202" t="inlineStr">
        <is>
          <t>JÄMTLANDS LÄN</t>
        </is>
      </c>
      <c r="G202" t="inlineStr">
        <is>
          <t>ÅRE</t>
        </is>
      </c>
      <c r="I202" t="n">
        <v>114.4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59968-2023</t>
        </is>
      </c>
      <c r="B203" t="inlineStr">
        <is>
          <t>avverkningsanmälan</t>
        </is>
      </c>
      <c r="C203" t="inlineStr">
        <is>
          <t>Föryngringsavverkning</t>
        </is>
      </c>
      <c r="D203" s="1" t="n">
        <v>45254</v>
      </c>
      <c r="E203" s="1" t="n">
        <v>46277</v>
      </c>
      <c r="F203" t="inlineStr">
        <is>
          <t>JÄMTLANDS LÄN</t>
        </is>
      </c>
      <c r="G203" t="inlineStr">
        <is>
          <t>ÅRE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64758-2023</t>
        </is>
      </c>
      <c r="B204" t="inlineStr">
        <is>
          <t>avverkningsanmälan</t>
        </is>
      </c>
      <c r="C204" t="inlineStr">
        <is>
          <t>Föryngringsavverkning</t>
        </is>
      </c>
      <c r="D204" s="1" t="n">
        <v>45281</v>
      </c>
      <c r="E204" s="1" t="n">
        <v>46277</v>
      </c>
      <c r="F204" t="inlineStr">
        <is>
          <t>JÄMTLANDS LÄN</t>
        </is>
      </c>
      <c r="G204" t="inlineStr">
        <is>
          <t>ÅRE</t>
        </is>
      </c>
      <c r="H204" t="inlineStr">
        <is>
          <t>Övriga Aktiebolag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64237-2021</t>
        </is>
      </c>
      <c r="B205" t="inlineStr">
        <is>
          <t>avverkningsanmälan</t>
        </is>
      </c>
      <c r="C205" t="inlineStr">
        <is>
          <t>Föryngringsavverkning</t>
        </is>
      </c>
      <c r="D205" s="1" t="n">
        <v>44510</v>
      </c>
      <c r="E205" s="1" t="n">
        <v>46277</v>
      </c>
      <c r="F205" t="inlineStr">
        <is>
          <t>JÄMTLANDS LÄN</t>
        </is>
      </c>
      <c r="G205" t="inlineStr">
        <is>
          <t>ÅRE</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43324-2022</t>
        </is>
      </c>
      <c r="B206" t="inlineStr">
        <is>
          <t>avverkningsanmälan</t>
        </is>
      </c>
      <c r="C206" t="inlineStr">
        <is>
          <t>Föryngringsavverkning</t>
        </is>
      </c>
      <c r="D206" s="1" t="n">
        <v>44834</v>
      </c>
      <c r="E206" s="1" t="n">
        <v>46277</v>
      </c>
      <c r="F206" t="inlineStr">
        <is>
          <t>JÄMTLANDS LÄN</t>
        </is>
      </c>
      <c r="G206" t="inlineStr">
        <is>
          <t>ÅRE</t>
        </is>
      </c>
      <c r="H206" t="inlineStr">
        <is>
          <t>Bergvik skog öst AB</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7970-2023</t>
        </is>
      </c>
      <c r="B207" t="inlineStr">
        <is>
          <t>avverkningsanmälan</t>
        </is>
      </c>
      <c r="C207" t="inlineStr">
        <is>
          <t>Föryngringsavverkning</t>
        </is>
      </c>
      <c r="D207" s="1" t="n">
        <v>44970</v>
      </c>
      <c r="E207" s="1" t="n">
        <v>46277</v>
      </c>
      <c r="F207" t="inlineStr">
        <is>
          <t>JÄMTLANDS LÄN</t>
        </is>
      </c>
      <c r="G207" t="inlineStr">
        <is>
          <t>ÅRE</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61622-2023</t>
        </is>
      </c>
      <c r="B208" t="inlineStr">
        <is>
          <t>avverkningsanmälan</t>
        </is>
      </c>
      <c r="C208" t="inlineStr">
        <is>
          <t>Avverkning för annat ändamål</t>
        </is>
      </c>
      <c r="D208" s="1" t="n">
        <v>45261</v>
      </c>
      <c r="E208" s="1" t="n">
        <v>46277</v>
      </c>
      <c r="F208" t="inlineStr">
        <is>
          <t>JÄMTLANDS LÄN</t>
        </is>
      </c>
      <c r="G208" t="inlineStr">
        <is>
          <t>ÅRE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56736-2023</t>
        </is>
      </c>
      <c r="B209" t="inlineStr">
        <is>
          <t>avverkningsanmälan</t>
        </is>
      </c>
      <c r="C209" t="inlineStr">
        <is>
          <t>Föryngringsavverkning</t>
        </is>
      </c>
      <c r="D209" s="1" t="n">
        <v>45244</v>
      </c>
      <c r="E209" s="1" t="n">
        <v>46277</v>
      </c>
      <c r="F209" t="inlineStr">
        <is>
          <t>JÄMTLANDS LÄN</t>
        </is>
      </c>
      <c r="G209" t="inlineStr">
        <is>
          <t>ÅRE</t>
        </is>
      </c>
      <c r="H209" t="inlineStr">
        <is>
          <t>Övriga Aktiebolag</t>
        </is>
      </c>
      <c r="I209" t="n">
        <v>10.7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41266-2024</t>
        </is>
      </c>
      <c r="B210" t="inlineStr">
        <is>
          <t>avverkningsanmälan</t>
        </is>
      </c>
      <c r="C210" t="inlineStr">
        <is>
          <t>Föryngringsavverkning</t>
        </is>
      </c>
      <c r="D210" s="1" t="n">
        <v>45559</v>
      </c>
      <c r="E210" s="1" t="n">
        <v>46277</v>
      </c>
      <c r="F210" t="inlineStr">
        <is>
          <t>JÄMTLANDS LÄN</t>
        </is>
      </c>
      <c r="G210" t="inlineStr">
        <is>
          <t>ÅRE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9775-2023</t>
        </is>
      </c>
      <c r="B211" t="inlineStr">
        <is>
          <t>avverkningsanmälan</t>
        </is>
      </c>
      <c r="C211" t="inlineStr">
        <is>
          <t>Föryngringsavverkning</t>
        </is>
      </c>
      <c r="D211" s="1" t="n">
        <v>44984</v>
      </c>
      <c r="E211" s="1" t="n">
        <v>46277</v>
      </c>
      <c r="F211" t="inlineStr">
        <is>
          <t>JÄMTLANDS LÄN</t>
        </is>
      </c>
      <c r="G211" t="inlineStr">
        <is>
          <t>ÅRE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1460-2024</t>
        </is>
      </c>
      <c r="B212" t="inlineStr">
        <is>
          <t>avverkningsanmälan</t>
        </is>
      </c>
      <c r="C212" t="inlineStr">
        <is>
          <t>Föryngringsavverkning</t>
        </is>
      </c>
      <c r="D212" s="1" t="n">
        <v>45303</v>
      </c>
      <c r="E212" s="1" t="n">
        <v>46277</v>
      </c>
      <c r="F212" t="inlineStr">
        <is>
          <t>JÄMTLANDS LÄN</t>
        </is>
      </c>
      <c r="G212" t="inlineStr">
        <is>
          <t>ÅRE</t>
        </is>
      </c>
      <c r="H212" t="inlineStr">
        <is>
          <t>Övriga Aktiebolag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60426-2022</t>
        </is>
      </c>
      <c r="B213" t="inlineStr">
        <is>
          <t>avverkningsanmälan</t>
        </is>
      </c>
      <c r="C213" t="inlineStr">
        <is>
          <t>Föryngringsavverkning</t>
        </is>
      </c>
      <c r="D213" s="1" t="n">
        <v>44911</v>
      </c>
      <c r="E213" s="1" t="n">
        <v>46277</v>
      </c>
      <c r="F213" t="inlineStr">
        <is>
          <t>JÄMTLANDS LÄN</t>
        </is>
      </c>
      <c r="G213" t="inlineStr">
        <is>
          <t>ÅRE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54904-2022</t>
        </is>
      </c>
      <c r="B214" t="inlineStr">
        <is>
          <t>avverkningsanmälan</t>
        </is>
      </c>
      <c r="C214" t="inlineStr">
        <is>
          <t>Föryngringsavverkning</t>
        </is>
      </c>
      <c r="D214" s="1" t="n">
        <v>44886</v>
      </c>
      <c r="E214" s="1" t="n">
        <v>46277</v>
      </c>
      <c r="F214" t="inlineStr">
        <is>
          <t>JÄMTLANDS LÄN</t>
        </is>
      </c>
      <c r="G214" t="inlineStr">
        <is>
          <t>ÅRE</t>
        </is>
      </c>
      <c r="H214" t="inlineStr">
        <is>
          <t>Övriga Aktiebolag</t>
        </is>
      </c>
      <c r="I214" t="n">
        <v>12.2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56556-2022</t>
        </is>
      </c>
      <c r="B215" t="inlineStr">
        <is>
          <t>avverkningsanmälan</t>
        </is>
      </c>
      <c r="C215" t="inlineStr">
        <is>
          <t>Föryngringsavverkning</t>
        </is>
      </c>
      <c r="D215" s="1" t="n">
        <v>44893</v>
      </c>
      <c r="E215" s="1" t="n">
        <v>46277</v>
      </c>
      <c r="F215" t="inlineStr">
        <is>
          <t>JÄMTLANDS LÄN</t>
        </is>
      </c>
      <c r="G215" t="inlineStr">
        <is>
          <t>ÅRE</t>
        </is>
      </c>
      <c r="H215" t="inlineStr">
        <is>
          <t>Övriga Aktiebolag</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38268-2024</t>
        </is>
      </c>
      <c r="B216" t="inlineStr">
        <is>
          <t>avverkningsanmälan</t>
        </is>
      </c>
      <c r="C216" t="inlineStr">
        <is>
          <t>Föryngringsavverkning</t>
        </is>
      </c>
      <c r="D216" s="1" t="n">
        <v>45545</v>
      </c>
      <c r="E216" s="1" t="n">
        <v>46277</v>
      </c>
      <c r="F216" t="inlineStr">
        <is>
          <t>JÄMTLANDS LÄN</t>
        </is>
      </c>
      <c r="G216" t="inlineStr">
        <is>
          <t>ÅRE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59352-2021</t>
        </is>
      </c>
      <c r="B217" t="inlineStr">
        <is>
          <t>avverkningsanmälan</t>
        </is>
      </c>
      <c r="C217" t="inlineStr">
        <is>
          <t>Avverkning för annat ändamål</t>
        </is>
      </c>
      <c r="D217" s="1" t="n">
        <v>44490</v>
      </c>
      <c r="E217" s="1" t="n">
        <v>46277</v>
      </c>
      <c r="F217" t="inlineStr">
        <is>
          <t>JÄMTLANDS LÄN</t>
        </is>
      </c>
      <c r="G217" t="inlineStr">
        <is>
          <t>ÅRE</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12242-2022</t>
        </is>
      </c>
      <c r="B218" t="inlineStr">
        <is>
          <t>avverkningsanmälan</t>
        </is>
      </c>
      <c r="C218" t="inlineStr">
        <is>
          <t>Föryngringsavverkning</t>
        </is>
      </c>
      <c r="D218" s="1" t="n">
        <v>44637</v>
      </c>
      <c r="E218" s="1" t="n">
        <v>46277</v>
      </c>
      <c r="F218" t="inlineStr">
        <is>
          <t>JÄMTLANDS LÄN</t>
        </is>
      </c>
      <c r="G218" t="inlineStr">
        <is>
          <t>ÅRE</t>
        </is>
      </c>
      <c r="I218" t="n">
        <v>53.4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61331-2021</t>
        </is>
      </c>
      <c r="B219" t="inlineStr">
        <is>
          <t>avverkningsanmälan</t>
        </is>
      </c>
      <c r="C219" t="inlineStr">
        <is>
          <t>Föryngringsavverkning</t>
        </is>
      </c>
      <c r="D219" s="1" t="n">
        <v>44498</v>
      </c>
      <c r="E219" s="1" t="n">
        <v>46277</v>
      </c>
      <c r="F219" t="inlineStr">
        <is>
          <t>JÄMTLANDS LÄN</t>
        </is>
      </c>
      <c r="G219" t="inlineStr">
        <is>
          <t>ÅRE</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33230-2024</t>
        </is>
      </c>
      <c r="B220" t="inlineStr">
        <is>
          <t>avverkningsanmälan</t>
        </is>
      </c>
      <c r="C220" t="inlineStr">
        <is>
          <t>Avverkning för annat ändamål</t>
        </is>
      </c>
      <c r="D220" s="1" t="n">
        <v>45518</v>
      </c>
      <c r="E220" s="1" t="n">
        <v>46277</v>
      </c>
      <c r="F220" t="inlineStr">
        <is>
          <t>JÄMTLANDS LÄN</t>
        </is>
      </c>
      <c r="G220" t="inlineStr">
        <is>
          <t>ÅRE</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42244-2024</t>
        </is>
      </c>
      <c r="B221" t="inlineStr">
        <is>
          <t>avverkningsanmälan</t>
        </is>
      </c>
      <c r="C221" t="inlineStr">
        <is>
          <t>Föryngringsavverkning</t>
        </is>
      </c>
      <c r="D221" s="1" t="n">
        <v>45562</v>
      </c>
      <c r="E221" s="1" t="n">
        <v>46277</v>
      </c>
      <c r="F221" t="inlineStr">
        <is>
          <t>JÄMTLANDS LÄN</t>
        </is>
      </c>
      <c r="G221" t="inlineStr">
        <is>
          <t>ÅRE</t>
        </is>
      </c>
      <c r="H221" t="inlineStr">
        <is>
          <t>Övriga Aktiebolag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14283-2025</t>
        </is>
      </c>
      <c r="B222" t="inlineStr">
        <is>
          <t>avverkningsanmälan</t>
        </is>
      </c>
      <c r="C222" t="inlineStr">
        <is>
          <t>Föryngringsavverkning</t>
        </is>
      </c>
      <c r="D222" s="1" t="n">
        <v>45740</v>
      </c>
      <c r="E222" s="1" t="n">
        <v>46277</v>
      </c>
      <c r="F222" t="inlineStr">
        <is>
          <t>JÄMTLANDS LÄN</t>
        </is>
      </c>
      <c r="G222" t="inlineStr">
        <is>
          <t>ÅRE</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45453-2024</t>
        </is>
      </c>
      <c r="B223" t="inlineStr">
        <is>
          <t>avverkningsanmälan</t>
        </is>
      </c>
      <c r="C223" t="inlineStr">
        <is>
          <t>Avverkning för annat ändamål</t>
        </is>
      </c>
      <c r="D223" s="1" t="n">
        <v>45576</v>
      </c>
      <c r="E223" s="1" t="n">
        <v>46277</v>
      </c>
      <c r="F223" t="inlineStr">
        <is>
          <t>JÄMTLANDS LÄN</t>
        </is>
      </c>
      <c r="G223" t="inlineStr">
        <is>
          <t>ÅRE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8872-2026</t>
        </is>
      </c>
      <c r="B224" t="inlineStr">
        <is>
          <t>avverkningsanmälan</t>
        </is>
      </c>
      <c r="C224" t="inlineStr">
        <is>
          <t>Avverkning för annat ändamål</t>
        </is>
      </c>
      <c r="D224" s="1" t="n">
        <v>46066</v>
      </c>
      <c r="E224" s="1" t="n">
        <v>46277</v>
      </c>
      <c r="F224" t="inlineStr">
        <is>
          <t>JÄMTLANDS LÄN</t>
        </is>
      </c>
      <c r="G224" t="inlineStr">
        <is>
          <t>ÅRE</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71043-2021</t>
        </is>
      </c>
      <c r="B225" t="inlineStr">
        <is>
          <t>avverkningsanmälan</t>
        </is>
      </c>
      <c r="C225" t="inlineStr">
        <is>
          <t>Avverkning för annat ändamål</t>
        </is>
      </c>
      <c r="D225" s="1" t="n">
        <v>44538</v>
      </c>
      <c r="E225" s="1" t="n">
        <v>46277</v>
      </c>
      <c r="F225" t="inlineStr">
        <is>
          <t>JÄMTLANDS LÄN</t>
        </is>
      </c>
      <c r="G225" t="inlineStr">
        <is>
          <t>ÅRE</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55944-2022</t>
        </is>
      </c>
      <c r="B226" t="inlineStr">
        <is>
          <t>avverkningsanmälan</t>
        </is>
      </c>
      <c r="C226" t="inlineStr">
        <is>
          <t>Föryngringsavverkning</t>
        </is>
      </c>
      <c r="D226" s="1" t="n">
        <v>44889</v>
      </c>
      <c r="E226" s="1" t="n">
        <v>46277</v>
      </c>
      <c r="F226" t="inlineStr">
        <is>
          <t>JÄMTLANDS LÄN</t>
        </is>
      </c>
      <c r="G226" t="inlineStr">
        <is>
          <t>ÅRE</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47075-2024</t>
        </is>
      </c>
      <c r="B227" t="inlineStr">
        <is>
          <t>avverkningsanmälan</t>
        </is>
      </c>
      <c r="C227" t="inlineStr">
        <is>
          <t>Föryngringsavverkning</t>
        </is>
      </c>
      <c r="D227" s="1" t="n">
        <v>45586</v>
      </c>
      <c r="E227" s="1" t="n">
        <v>46277</v>
      </c>
      <c r="F227" t="inlineStr">
        <is>
          <t>JÄMTLANDS LÄN</t>
        </is>
      </c>
      <c r="G227" t="inlineStr">
        <is>
          <t>ÅRE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30081-2024</t>
        </is>
      </c>
      <c r="B228" t="inlineStr">
        <is>
          <t>avverkningsanmälan</t>
        </is>
      </c>
      <c r="C228" t="inlineStr">
        <is>
          <t>Föryngringsavverkning</t>
        </is>
      </c>
      <c r="D228" s="1" t="n">
        <v>45485</v>
      </c>
      <c r="E228" s="1" t="n">
        <v>46277</v>
      </c>
      <c r="F228" t="inlineStr">
        <is>
          <t>JÄMTLANDS LÄN</t>
        </is>
      </c>
      <c r="G228" t="inlineStr">
        <is>
          <t>ÅRE</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30080-2024</t>
        </is>
      </c>
      <c r="B229" t="inlineStr">
        <is>
          <t>avverkningsanmälan</t>
        </is>
      </c>
      <c r="C229" t="inlineStr">
        <is>
          <t>Föryngringsavverkning</t>
        </is>
      </c>
      <c r="D229" s="1" t="n">
        <v>45485</v>
      </c>
      <c r="E229" s="1" t="n">
        <v>46277</v>
      </c>
      <c r="F229" t="inlineStr">
        <is>
          <t>JÄMTLANDS LÄN</t>
        </is>
      </c>
      <c r="G229" t="inlineStr">
        <is>
          <t>ÅRE</t>
        </is>
      </c>
      <c r="I229" t="n">
        <v>24.6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15480-2024</t>
        </is>
      </c>
      <c r="B230" t="inlineStr">
        <is>
          <t>avverkningsanmälan</t>
        </is>
      </c>
      <c r="C230" t="inlineStr">
        <is>
          <t>Föryngringsavverkning</t>
        </is>
      </c>
      <c r="D230" s="1" t="n">
        <v>45401</v>
      </c>
      <c r="E230" s="1" t="n">
        <v>46277</v>
      </c>
      <c r="F230" t="inlineStr">
        <is>
          <t>JÄMTLANDS LÄN</t>
        </is>
      </c>
      <c r="G230" t="inlineStr">
        <is>
          <t>ÅRE</t>
        </is>
      </c>
      <c r="I230" t="n">
        <v>11.8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13301-2024</t>
        </is>
      </c>
      <c r="B231" t="inlineStr">
        <is>
          <t>avverkningsanmälan</t>
        </is>
      </c>
      <c r="C231" t="inlineStr">
        <is>
          <t>Föryngringsavverkning</t>
        </is>
      </c>
      <c r="D231" s="1" t="n">
        <v>45386</v>
      </c>
      <c r="E231" s="1" t="n">
        <v>46277</v>
      </c>
      <c r="F231" t="inlineStr">
        <is>
          <t>JÄMTLANDS LÄN</t>
        </is>
      </c>
      <c r="G231" t="inlineStr">
        <is>
          <t>ÅRE</t>
        </is>
      </c>
      <c r="I231" t="n">
        <v>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43342-2024</t>
        </is>
      </c>
      <c r="B232" t="inlineStr">
        <is>
          <t>avverkningsanmälan</t>
        </is>
      </c>
      <c r="C232" t="inlineStr">
        <is>
          <t>Föryngringsavverkning</t>
        </is>
      </c>
      <c r="D232" s="1" t="n">
        <v>45568</v>
      </c>
      <c r="E232" s="1" t="n">
        <v>46277</v>
      </c>
      <c r="F232" t="inlineStr">
        <is>
          <t>JÄMTLANDS LÄN</t>
        </is>
      </c>
      <c r="G232" t="inlineStr">
        <is>
          <t>ÅRE</t>
        </is>
      </c>
      <c r="H232" t="inlineStr">
        <is>
          <t>Övriga Aktiebolag</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61183-2023</t>
        </is>
      </c>
      <c r="B233" t="inlineStr">
        <is>
          <t>avverkningsanmälan</t>
        </is>
      </c>
      <c r="C233" t="inlineStr">
        <is>
          <t>Föryngringsavverkning</t>
        </is>
      </c>
      <c r="D233" s="1" t="n">
        <v>45263</v>
      </c>
      <c r="E233" s="1" t="n">
        <v>46277</v>
      </c>
      <c r="F233" t="inlineStr">
        <is>
          <t>JÄMTLANDS LÄN</t>
        </is>
      </c>
      <c r="G233" t="inlineStr">
        <is>
          <t>ÅRE</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61481-2022</t>
        </is>
      </c>
      <c r="B234" t="inlineStr">
        <is>
          <t>avverkningsanmälan</t>
        </is>
      </c>
      <c r="C234" t="inlineStr">
        <is>
          <t>Föryngringsavverkning</t>
        </is>
      </c>
      <c r="D234" s="1" t="n">
        <v>44910</v>
      </c>
      <c r="E234" s="1" t="n">
        <v>46277</v>
      </c>
      <c r="F234" t="inlineStr">
        <is>
          <t>JÄMTLANDS LÄN</t>
        </is>
      </c>
      <c r="G234" t="inlineStr">
        <is>
          <t>ÅRE</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43307-2024</t>
        </is>
      </c>
      <c r="B235" t="inlineStr">
        <is>
          <t>avverkningsanmälan</t>
        </is>
      </c>
      <c r="C235" t="inlineStr">
        <is>
          <t>Föryngringsavverkning</t>
        </is>
      </c>
      <c r="D235" s="1" t="n">
        <v>45568</v>
      </c>
      <c r="E235" s="1" t="n">
        <v>46277</v>
      </c>
      <c r="F235" t="inlineStr">
        <is>
          <t>JÄMTLANDS LÄN</t>
        </is>
      </c>
      <c r="G235" t="inlineStr">
        <is>
          <t>ÅRE</t>
        </is>
      </c>
      <c r="H235" t="inlineStr">
        <is>
          <t>Övriga Aktiebolag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9766-2026</t>
        </is>
      </c>
      <c r="B236" t="inlineStr">
        <is>
          <t>avverkningsanmälan</t>
        </is>
      </c>
      <c r="C236" t="inlineStr">
        <is>
          <t>Föryngringsavverkning</t>
        </is>
      </c>
      <c r="D236" s="1" t="n">
        <v>46072</v>
      </c>
      <c r="E236" s="1" t="n">
        <v>46277</v>
      </c>
      <c r="F236" t="inlineStr">
        <is>
          <t>JÄMTLANDS LÄN</t>
        </is>
      </c>
      <c r="G236" t="inlineStr">
        <is>
          <t>ÅRE</t>
        </is>
      </c>
      <c r="H236" t="inlineStr">
        <is>
          <t>Övriga Aktiebolag</t>
        </is>
      </c>
      <c r="I236" t="n">
        <v>14.1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13383-2022</t>
        </is>
      </c>
      <c r="B237" t="inlineStr">
        <is>
          <t>avverkningsanmälan</t>
        </is>
      </c>
      <c r="C237" t="inlineStr">
        <is>
          <t>Föryngringsavverkning</t>
        </is>
      </c>
      <c r="D237" s="1" t="n">
        <v>44637</v>
      </c>
      <c r="E237" s="1" t="n">
        <v>46277</v>
      </c>
      <c r="F237" t="inlineStr">
        <is>
          <t>JÄMTLANDS LÄN</t>
        </is>
      </c>
      <c r="G237" t="inlineStr">
        <is>
          <t>ÅRE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49702-2024</t>
        </is>
      </c>
      <c r="B238" t="inlineStr">
        <is>
          <t>avverkningsanmälan</t>
        </is>
      </c>
      <c r="C238" t="inlineStr">
        <is>
          <t>Föryngringsavverkning</t>
        </is>
      </c>
      <c r="D238" s="1" t="n">
        <v>45596</v>
      </c>
      <c r="E238" s="1" t="n">
        <v>46277</v>
      </c>
      <c r="F238" t="inlineStr">
        <is>
          <t>JÄMTLANDS LÄN</t>
        </is>
      </c>
      <c r="G238" t="inlineStr">
        <is>
          <t>ÅRE</t>
        </is>
      </c>
      <c r="H238" t="inlineStr">
        <is>
          <t>Övriga Aktiebolag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34897-2025</t>
        </is>
      </c>
      <c r="B239" t="inlineStr">
        <is>
          <t>avverkningsanmälan</t>
        </is>
      </c>
      <c r="C239" t="inlineStr">
        <is>
          <t>Föryngringsavverkning</t>
        </is>
      </c>
      <c r="D239" s="1" t="n">
        <v>45849</v>
      </c>
      <c r="E239" s="1" t="n">
        <v>46277</v>
      </c>
      <c r="F239" t="inlineStr">
        <is>
          <t>JÄMTLANDS LÄN</t>
        </is>
      </c>
      <c r="G239" t="inlineStr">
        <is>
          <t>ÅRE</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35054-2025</t>
        </is>
      </c>
      <c r="B240" t="inlineStr">
        <is>
          <t>avverkningsanmälan</t>
        </is>
      </c>
      <c r="C240" t="inlineStr">
        <is>
          <t>Föryngringsavverkning</t>
        </is>
      </c>
      <c r="D240" s="1" t="n">
        <v>45849</v>
      </c>
      <c r="E240" s="1" t="n">
        <v>46277</v>
      </c>
      <c r="F240" t="inlineStr">
        <is>
          <t>JÄMTLANDS LÄN</t>
        </is>
      </c>
      <c r="G240" t="inlineStr">
        <is>
          <t>ÅRE</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2374-2023</t>
        </is>
      </c>
      <c r="B241" t="inlineStr">
        <is>
          <t>avverkningsanmälan</t>
        </is>
      </c>
      <c r="C241" t="inlineStr">
        <is>
          <t>Föryngringsavverkning</t>
        </is>
      </c>
      <c r="D241" s="1" t="n">
        <v>44942</v>
      </c>
      <c r="E241" s="1" t="n">
        <v>46277</v>
      </c>
      <c r="F241" t="inlineStr">
        <is>
          <t>JÄMTLANDS LÄN</t>
        </is>
      </c>
      <c r="G241" t="inlineStr">
        <is>
          <t>ÅRE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36015-2025</t>
        </is>
      </c>
      <c r="B242" t="inlineStr">
        <is>
          <t>avverkningsanmälan</t>
        </is>
      </c>
      <c r="C242" t="inlineStr">
        <is>
          <t>Avverkning för annat ändamål</t>
        </is>
      </c>
      <c r="D242" s="1" t="n">
        <v>45863</v>
      </c>
      <c r="E242" s="1" t="n">
        <v>46277</v>
      </c>
      <c r="F242" t="inlineStr">
        <is>
          <t>JÄMTLANDS LÄN</t>
        </is>
      </c>
      <c r="G242" t="inlineStr">
        <is>
          <t>ÅRE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65239-2021</t>
        </is>
      </c>
      <c r="B243" t="inlineStr">
        <is>
          <t>avverkningsanmälan</t>
        </is>
      </c>
      <c r="C243" t="inlineStr">
        <is>
          <t>Avverkning för annat ändamål</t>
        </is>
      </c>
      <c r="D243" s="1" t="n">
        <v>44515</v>
      </c>
      <c r="E243" s="1" t="n">
        <v>46277</v>
      </c>
      <c r="F243" t="inlineStr">
        <is>
          <t>JÄMTLANDS LÄN</t>
        </is>
      </c>
      <c r="G243" t="inlineStr">
        <is>
          <t>ÅRE</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34931-2025</t>
        </is>
      </c>
      <c r="B244" t="inlineStr">
        <is>
          <t>avverkningsanmälan</t>
        </is>
      </c>
      <c r="C244" t="inlineStr">
        <is>
          <t>Föryngringsavverkning</t>
        </is>
      </c>
      <c r="D244" s="1" t="n">
        <v>45849</v>
      </c>
      <c r="E244" s="1" t="n">
        <v>46277</v>
      </c>
      <c r="F244" t="inlineStr">
        <is>
          <t>JÄMTLANDS LÄN</t>
        </is>
      </c>
      <c r="G244" t="inlineStr">
        <is>
          <t>ÅRE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44251-2025</t>
        </is>
      </c>
      <c r="B245" t="inlineStr">
        <is>
          <t>avverkningsanmälan</t>
        </is>
      </c>
      <c r="C245" t="inlineStr">
        <is>
          <t>Avverkning för annat ändamål</t>
        </is>
      </c>
      <c r="D245" s="1" t="n">
        <v>45915</v>
      </c>
      <c r="E245" s="1" t="n">
        <v>46277</v>
      </c>
      <c r="F245" t="inlineStr">
        <is>
          <t>JÄMTLANDS LÄN</t>
        </is>
      </c>
      <c r="G245" t="inlineStr">
        <is>
          <t>ÅRE</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4937-2025</t>
        </is>
      </c>
      <c r="B246" t="inlineStr">
        <is>
          <t>avverkningsanmälan</t>
        </is>
      </c>
      <c r="C246" t="inlineStr">
        <is>
          <t>Föryngringsavverkning</t>
        </is>
      </c>
      <c r="D246" s="1" t="n">
        <v>45688</v>
      </c>
      <c r="E246" s="1" t="n">
        <v>46277</v>
      </c>
      <c r="F246" t="inlineStr">
        <is>
          <t>JÄMTLANDS LÄN</t>
        </is>
      </c>
      <c r="G246" t="inlineStr">
        <is>
          <t>ÅRE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46789-2024</t>
        </is>
      </c>
      <c r="B247" t="inlineStr">
        <is>
          <t>avverkningsanmälan</t>
        </is>
      </c>
      <c r="C247" t="inlineStr">
        <is>
          <t>Avverkning för annat ändamål</t>
        </is>
      </c>
      <c r="D247" s="1" t="n">
        <v>45583</v>
      </c>
      <c r="E247" s="1" t="n">
        <v>46277</v>
      </c>
      <c r="F247" t="inlineStr">
        <is>
          <t>JÄMTLANDS LÄN</t>
        </is>
      </c>
      <c r="G247" t="inlineStr">
        <is>
          <t>ÅRE</t>
        </is>
      </c>
      <c r="H247" t="inlineStr">
        <is>
          <t>Övriga Aktiebolag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44685-2025</t>
        </is>
      </c>
      <c r="B248" t="inlineStr">
        <is>
          <t>avverkningsanmälan</t>
        </is>
      </c>
      <c r="C248" t="inlineStr">
        <is>
          <t>Föryngringsavverkning</t>
        </is>
      </c>
      <c r="D248" s="1" t="n">
        <v>45917</v>
      </c>
      <c r="E248" s="1" t="n">
        <v>46277</v>
      </c>
      <c r="F248" t="inlineStr">
        <is>
          <t>JÄMTLANDS LÄN</t>
        </is>
      </c>
      <c r="G248" t="inlineStr">
        <is>
          <t>ÅRE</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37178-2025</t>
        </is>
      </c>
      <c r="B249" t="inlineStr">
        <is>
          <t>avverkningsanmälan</t>
        </is>
      </c>
      <c r="C249" t="inlineStr">
        <is>
          <t>Föryngringsavverkning</t>
        </is>
      </c>
      <c r="D249" s="1" t="n">
        <v>45875</v>
      </c>
      <c r="E249" s="1" t="n">
        <v>46277</v>
      </c>
      <c r="F249" t="inlineStr">
        <is>
          <t>JÄMTLANDS LÄN</t>
        </is>
      </c>
      <c r="G249" t="inlineStr">
        <is>
          <t>ÅRE</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37158-2025</t>
        </is>
      </c>
      <c r="B250" t="inlineStr">
        <is>
          <t>avverkningsanmälan</t>
        </is>
      </c>
      <c r="C250" t="inlineStr">
        <is>
          <t>Föryngringsavverkning</t>
        </is>
      </c>
      <c r="D250" s="1" t="n">
        <v>45875</v>
      </c>
      <c r="E250" s="1" t="n">
        <v>46277</v>
      </c>
      <c r="F250" t="inlineStr">
        <is>
          <t>JÄMTLANDS LÄN</t>
        </is>
      </c>
      <c r="G250" t="inlineStr">
        <is>
          <t>ÅRE</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37118-2025</t>
        </is>
      </c>
      <c r="B251" t="inlineStr">
        <is>
          <t>avverkningsanmälan</t>
        </is>
      </c>
      <c r="C251" t="inlineStr">
        <is>
          <t>Avverkning för att bevara och utveckla /försöksver</t>
        </is>
      </c>
      <c r="D251" s="1" t="n">
        <v>45875</v>
      </c>
      <c r="E251" s="1" t="n">
        <v>46277</v>
      </c>
      <c r="F251" t="inlineStr">
        <is>
          <t>JÄMTLANDS LÄN</t>
        </is>
      </c>
      <c r="G251" t="inlineStr">
        <is>
          <t>ÅRE</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37159-2025</t>
        </is>
      </c>
      <c r="B252" t="inlineStr">
        <is>
          <t>avverkningsanmälan</t>
        </is>
      </c>
      <c r="C252" t="inlineStr">
        <is>
          <t>Föryngringsavverkning</t>
        </is>
      </c>
      <c r="D252" s="1" t="n">
        <v>45875</v>
      </c>
      <c r="E252" s="1" t="n">
        <v>46277</v>
      </c>
      <c r="F252" t="inlineStr">
        <is>
          <t>JÄMTLANDS LÄN</t>
        </is>
      </c>
      <c r="G252" t="inlineStr">
        <is>
          <t>ÅRE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13221-2022</t>
        </is>
      </c>
      <c r="B253" t="inlineStr">
        <is>
          <t>avverkningsanmälan</t>
        </is>
      </c>
      <c r="C253" t="inlineStr">
        <is>
          <t>Föryngringsavverkning</t>
        </is>
      </c>
      <c r="D253" s="1" t="n">
        <v>44644</v>
      </c>
      <c r="E253" s="1" t="n">
        <v>46277</v>
      </c>
      <c r="F253" t="inlineStr">
        <is>
          <t>JÄMTLANDS LÄN</t>
        </is>
      </c>
      <c r="G253" t="inlineStr">
        <is>
          <t>ÅRE</t>
        </is>
      </c>
      <c r="H253" t="inlineStr">
        <is>
          <t>Övriga Aktiebolag</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10957-2026</t>
        </is>
      </c>
      <c r="B254" t="inlineStr">
        <is>
          <t>avverkningsanmälan</t>
        </is>
      </c>
      <c r="C254" t="inlineStr">
        <is>
          <t>Föryngringsavverkning</t>
        </is>
      </c>
      <c r="D254" s="1" t="n">
        <v>46079</v>
      </c>
      <c r="E254" s="1" t="n">
        <v>46277</v>
      </c>
      <c r="F254" t="inlineStr">
        <is>
          <t>JÄMTLANDS LÄN</t>
        </is>
      </c>
      <c r="G254" t="inlineStr">
        <is>
          <t>ÅRE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12193-2023</t>
        </is>
      </c>
      <c r="B255" t="inlineStr">
        <is>
          <t>avverkningsanmälan</t>
        </is>
      </c>
      <c r="C255" t="inlineStr">
        <is>
          <t>Föryngringsavverkning</t>
        </is>
      </c>
      <c r="D255" s="1" t="n">
        <v>44998</v>
      </c>
      <c r="E255" s="1" t="n">
        <v>46277</v>
      </c>
      <c r="F255" t="inlineStr">
        <is>
          <t>JÄMTLANDS LÄN</t>
        </is>
      </c>
      <c r="G255" t="inlineStr">
        <is>
          <t>ÅRE</t>
        </is>
      </c>
      <c r="I255" t="n">
        <v>14.7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48211-2025</t>
        </is>
      </c>
      <c r="B256" t="inlineStr">
        <is>
          <t>avverkningsanmälan</t>
        </is>
      </c>
      <c r="C256" t="inlineStr">
        <is>
          <t>Avverkning för att bevara och utveckla /försöksver</t>
        </is>
      </c>
      <c r="D256" s="1" t="n">
        <v>45931</v>
      </c>
      <c r="E256" s="1" t="n">
        <v>46277</v>
      </c>
      <c r="F256" t="inlineStr">
        <is>
          <t>JÄMTLANDS LÄN</t>
        </is>
      </c>
      <c r="G256" t="inlineStr">
        <is>
          <t>ÅRE</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17566-2023</t>
        </is>
      </c>
      <c r="B257" t="inlineStr">
        <is>
          <t>avverkningsanmälan</t>
        </is>
      </c>
      <c r="C257" t="inlineStr">
        <is>
          <t>Föryngringsavverkning</t>
        </is>
      </c>
      <c r="D257" s="1" t="n">
        <v>45034</v>
      </c>
      <c r="E257" s="1" t="n">
        <v>46277</v>
      </c>
      <c r="F257" t="inlineStr">
        <is>
          <t>JÄMTLANDS LÄN</t>
        </is>
      </c>
      <c r="G257" t="inlineStr">
        <is>
          <t>ÅRE</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39202-2025</t>
        </is>
      </c>
      <c r="B258" t="inlineStr">
        <is>
          <t>avverkningsanmälan</t>
        </is>
      </c>
      <c r="C258" t="inlineStr">
        <is>
          <t>Föryngringsavverkning</t>
        </is>
      </c>
      <c r="D258" s="1" t="n">
        <v>45888</v>
      </c>
      <c r="E258" s="1" t="n">
        <v>46277</v>
      </c>
      <c r="F258" t="inlineStr">
        <is>
          <t>JÄMTLANDS LÄN</t>
        </is>
      </c>
      <c r="G258" t="inlineStr">
        <is>
          <t>ÅRE</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39742-2025</t>
        </is>
      </c>
      <c r="B259" t="inlineStr">
        <is>
          <t>avverkningsanmälan</t>
        </is>
      </c>
      <c r="C259" t="inlineStr">
        <is>
          <t>Avverkning för annat ändamål</t>
        </is>
      </c>
      <c r="D259" s="1" t="n">
        <v>45891</v>
      </c>
      <c r="E259" s="1" t="n">
        <v>46277</v>
      </c>
      <c r="F259" t="inlineStr">
        <is>
          <t>JÄMTLANDS LÄN</t>
        </is>
      </c>
      <c r="G259" t="inlineStr">
        <is>
          <t>ÅRE</t>
        </is>
      </c>
      <c r="H259" t="inlineStr">
        <is>
          <t>Övriga statliga verk och myndigheter</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39744-2025</t>
        </is>
      </c>
      <c r="B260" t="inlineStr">
        <is>
          <t>avverkningsanmälan</t>
        </is>
      </c>
      <c r="C260" t="inlineStr">
        <is>
          <t>Avverkning för annat ändamål</t>
        </is>
      </c>
      <c r="D260" s="1" t="n">
        <v>45891</v>
      </c>
      <c r="E260" s="1" t="n">
        <v>46277</v>
      </c>
      <c r="F260" t="inlineStr">
        <is>
          <t>JÄMTLANDS LÄN</t>
        </is>
      </c>
      <c r="G260" t="inlineStr">
        <is>
          <t>ÅRE</t>
        </is>
      </c>
      <c r="H260" t="inlineStr">
        <is>
          <t>Övriga statliga verk och myndigheter</t>
        </is>
      </c>
      <c r="I260" t="n">
        <v>14.4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13082-2025</t>
        </is>
      </c>
      <c r="B261" t="inlineStr">
        <is>
          <t>avverkningsanmälan</t>
        </is>
      </c>
      <c r="C261" t="inlineStr">
        <is>
          <t>Föryngringsavverkning</t>
        </is>
      </c>
      <c r="D261" s="1" t="n">
        <v>45734</v>
      </c>
      <c r="E261" s="1" t="n">
        <v>46277</v>
      </c>
      <c r="F261" t="inlineStr">
        <is>
          <t>JÄMTLANDS LÄN</t>
        </is>
      </c>
      <c r="G261" t="inlineStr">
        <is>
          <t>ÅRE</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13559-2025</t>
        </is>
      </c>
      <c r="B262" t="inlineStr">
        <is>
          <t>avverkningsanmälan</t>
        </is>
      </c>
      <c r="C262" t="inlineStr">
        <is>
          <t>Avverkning för annat ändamål</t>
        </is>
      </c>
      <c r="D262" s="1" t="n">
        <v>45736</v>
      </c>
      <c r="E262" s="1" t="n">
        <v>46277</v>
      </c>
      <c r="F262" t="inlineStr">
        <is>
          <t>JÄMTLANDS LÄN</t>
        </is>
      </c>
      <c r="G262" t="inlineStr">
        <is>
          <t>ÅRE</t>
        </is>
      </c>
      <c r="H262" t="inlineStr">
        <is>
          <t>Övriga statliga verk och myndigheter</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13561-2025</t>
        </is>
      </c>
      <c r="B263" t="inlineStr">
        <is>
          <t>avverkningsanmälan</t>
        </is>
      </c>
      <c r="C263" t="inlineStr">
        <is>
          <t>Avverkning för annat ändamål</t>
        </is>
      </c>
      <c r="D263" s="1" t="n">
        <v>45736</v>
      </c>
      <c r="E263" s="1" t="n">
        <v>46277</v>
      </c>
      <c r="F263" t="inlineStr">
        <is>
          <t>JÄMTLANDS LÄN</t>
        </is>
      </c>
      <c r="G263" t="inlineStr">
        <is>
          <t>ÅRE</t>
        </is>
      </c>
      <c r="H263" t="inlineStr">
        <is>
          <t>Övriga statliga verk och myndigheter</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25379-2024</t>
        </is>
      </c>
      <c r="B264" t="inlineStr">
        <is>
          <t>avverkningsanmälan</t>
        </is>
      </c>
      <c r="C264" t="inlineStr">
        <is>
          <t>Avverkning för att bevara och utveckla /försöksver</t>
        </is>
      </c>
      <c r="D264" s="1" t="n">
        <v>45462</v>
      </c>
      <c r="E264" s="1" t="n">
        <v>46277</v>
      </c>
      <c r="F264" t="inlineStr">
        <is>
          <t>JÄMTLANDS LÄN</t>
        </is>
      </c>
      <c r="G264" t="inlineStr">
        <is>
          <t>ÅRE</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20485-2024</t>
        </is>
      </c>
      <c r="B265" t="inlineStr">
        <is>
          <t>avverkningsanmälan</t>
        </is>
      </c>
      <c r="C265" t="inlineStr">
        <is>
          <t>Föryngringsavverkning</t>
        </is>
      </c>
      <c r="D265" s="1" t="n">
        <v>45435</v>
      </c>
      <c r="E265" s="1" t="n">
        <v>46277</v>
      </c>
      <c r="F265" t="inlineStr">
        <is>
          <t>JÄMTLANDS LÄN</t>
        </is>
      </c>
      <c r="G265" t="inlineStr">
        <is>
          <t>ÅRE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51183-2025</t>
        </is>
      </c>
      <c r="B266" t="inlineStr">
        <is>
          <t>avverkningsanmälan</t>
        </is>
      </c>
      <c r="C266" t="inlineStr">
        <is>
          <t>Avverkning för annat ändamål</t>
        </is>
      </c>
      <c r="D266" s="1" t="n">
        <v>45947</v>
      </c>
      <c r="E266" s="1" t="n">
        <v>46277</v>
      </c>
      <c r="F266" t="inlineStr">
        <is>
          <t>JÄMTLANDS LÄN</t>
        </is>
      </c>
      <c r="G266" t="inlineStr">
        <is>
          <t>ÅRE</t>
        </is>
      </c>
      <c r="H266" t="inlineStr">
        <is>
          <t>Övriga statliga verk och myndigheter</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39115-2025</t>
        </is>
      </c>
      <c r="B267" t="inlineStr">
        <is>
          <t>avverkningsanmälan</t>
        </is>
      </c>
      <c r="C267" t="inlineStr">
        <is>
          <t>Avverkning för annat ändamål</t>
        </is>
      </c>
      <c r="D267" s="1" t="n">
        <v>45888</v>
      </c>
      <c r="E267" s="1" t="n">
        <v>46277</v>
      </c>
      <c r="F267" t="inlineStr">
        <is>
          <t>JÄMTLANDS LÄN</t>
        </is>
      </c>
      <c r="G267" t="inlineStr">
        <is>
          <t>ÅRE</t>
        </is>
      </c>
      <c r="H267" t="inlineStr">
        <is>
          <t>Övriga statliga verk och myndigheter</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46457-2025</t>
        </is>
      </c>
      <c r="B268" t="inlineStr">
        <is>
          <t>avverkningsanmälan</t>
        </is>
      </c>
      <c r="C268" t="inlineStr">
        <is>
          <t>Föryngringsavverkning</t>
        </is>
      </c>
      <c r="D268" s="1" t="n">
        <v>45925</v>
      </c>
      <c r="E268" s="1" t="n">
        <v>46277</v>
      </c>
      <c r="F268" t="inlineStr">
        <is>
          <t>JÄMTLANDS LÄN</t>
        </is>
      </c>
      <c r="G268" t="inlineStr">
        <is>
          <t>ÅRE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46452-2025</t>
        </is>
      </c>
      <c r="B269" t="inlineStr">
        <is>
          <t>avverkningsanmälan</t>
        </is>
      </c>
      <c r="C269" t="inlineStr">
        <is>
          <t>Föryngringsavverkning</t>
        </is>
      </c>
      <c r="D269" s="1" t="n">
        <v>45925</v>
      </c>
      <c r="E269" s="1" t="n">
        <v>46277</v>
      </c>
      <c r="F269" t="inlineStr">
        <is>
          <t>JÄMTLANDS LÄN</t>
        </is>
      </c>
      <c r="G269" t="inlineStr">
        <is>
          <t>ÅRE</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53462-2024</t>
        </is>
      </c>
      <c r="B270" t="inlineStr">
        <is>
          <t>avverkningsanmälan</t>
        </is>
      </c>
      <c r="C270" t="inlineStr">
        <is>
          <t>Föryngringsavverkning</t>
        </is>
      </c>
      <c r="D270" s="1" t="n">
        <v>45614</v>
      </c>
      <c r="E270" s="1" t="n">
        <v>46277</v>
      </c>
      <c r="F270" t="inlineStr">
        <is>
          <t>JÄMTLANDS LÄN</t>
        </is>
      </c>
      <c r="G270" t="inlineStr">
        <is>
          <t>ÅRE</t>
        </is>
      </c>
      <c r="I270" t="n">
        <v>12.8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25710-2024</t>
        </is>
      </c>
      <c r="B271" t="inlineStr">
        <is>
          <t>avverkningsanmälan</t>
        </is>
      </c>
      <c r="C271" t="inlineStr">
        <is>
          <t>Avverkning för att bevara och utveckla /försöksver</t>
        </is>
      </c>
      <c r="D271" s="1" t="n">
        <v>45463</v>
      </c>
      <c r="E271" s="1" t="n">
        <v>46277</v>
      </c>
      <c r="F271" t="inlineStr">
        <is>
          <t>JÄMTLANDS LÄN</t>
        </is>
      </c>
      <c r="G271" t="inlineStr">
        <is>
          <t>ÅRE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37739-2023</t>
        </is>
      </c>
      <c r="B272" t="inlineStr">
        <is>
          <t>avverkningsanmälan</t>
        </is>
      </c>
      <c r="C272" t="inlineStr">
        <is>
          <t>Avverkning för annat ändamål</t>
        </is>
      </c>
      <c r="D272" s="1" t="n">
        <v>45159</v>
      </c>
      <c r="E272" s="1" t="n">
        <v>46277</v>
      </c>
      <c r="F272" t="inlineStr">
        <is>
          <t>JÄMTLANDS LÄN</t>
        </is>
      </c>
      <c r="G272" t="inlineStr">
        <is>
          <t>ÅRE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37758-2023</t>
        </is>
      </c>
      <c r="B273" t="inlineStr">
        <is>
          <t>avverkningsanmälan</t>
        </is>
      </c>
      <c r="C273" t="inlineStr">
        <is>
          <t>Föryngringsavverkning</t>
        </is>
      </c>
      <c r="D273" s="1" t="n">
        <v>45159</v>
      </c>
      <c r="E273" s="1" t="n">
        <v>46277</v>
      </c>
      <c r="F273" t="inlineStr">
        <is>
          <t>JÄMTLANDS LÄN</t>
        </is>
      </c>
      <c r="G273" t="inlineStr">
        <is>
          <t>ÅRE</t>
        </is>
      </c>
      <c r="I273" t="n">
        <v>20.1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12168-2023</t>
        </is>
      </c>
      <c r="B274" t="inlineStr">
        <is>
          <t>avverkningsanmälan</t>
        </is>
      </c>
      <c r="C274" t="inlineStr">
        <is>
          <t>Föryngringsavverkning</t>
        </is>
      </c>
      <c r="D274" s="1" t="n">
        <v>44998</v>
      </c>
      <c r="E274" s="1" t="n">
        <v>46277</v>
      </c>
      <c r="F274" t="inlineStr">
        <is>
          <t>JÄMTLANDS LÄN</t>
        </is>
      </c>
      <c r="G274" t="inlineStr">
        <is>
          <t>ÅRE</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12173-2023</t>
        </is>
      </c>
      <c r="B275" t="inlineStr">
        <is>
          <t>avverkningsanmälan</t>
        </is>
      </c>
      <c r="C275" t="inlineStr">
        <is>
          <t>Föryngringsavverkning</t>
        </is>
      </c>
      <c r="D275" s="1" t="n">
        <v>44998</v>
      </c>
      <c r="E275" s="1" t="n">
        <v>46277</v>
      </c>
      <c r="F275" t="inlineStr">
        <is>
          <t>JÄMTLANDS LÄN</t>
        </is>
      </c>
      <c r="G275" t="inlineStr">
        <is>
          <t>ÅRE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33379-2024</t>
        </is>
      </c>
      <c r="B276" t="inlineStr">
        <is>
          <t>avverkningsanmälan</t>
        </is>
      </c>
      <c r="C276" t="inlineStr">
        <is>
          <t>Avverkning för annat ändamål</t>
        </is>
      </c>
      <c r="D276" s="1" t="n">
        <v>45519</v>
      </c>
      <c r="E276" s="1" t="n">
        <v>46277</v>
      </c>
      <c r="F276" t="inlineStr">
        <is>
          <t>JÄMTLANDS LÄN</t>
        </is>
      </c>
      <c r="G276" t="inlineStr">
        <is>
          <t>ÅRE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49303-2024</t>
        </is>
      </c>
      <c r="B277" t="inlineStr">
        <is>
          <t>avverkningsanmälan</t>
        </is>
      </c>
      <c r="C277" t="inlineStr">
        <is>
          <t>Föryngringsavverkning</t>
        </is>
      </c>
      <c r="D277" s="1" t="n">
        <v>45595</v>
      </c>
      <c r="E277" s="1" t="n">
        <v>46277</v>
      </c>
      <c r="F277" t="inlineStr">
        <is>
          <t>JÄMTLANDS LÄN</t>
        </is>
      </c>
      <c r="G277" t="inlineStr">
        <is>
          <t>ÅRE</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24655-2023</t>
        </is>
      </c>
      <c r="B278" t="inlineStr">
        <is>
          <t>avverkningsanmälan</t>
        </is>
      </c>
      <c r="C278" t="inlineStr">
        <is>
          <t>Föryngringsavverkning</t>
        </is>
      </c>
      <c r="D278" s="1" t="n">
        <v>45084</v>
      </c>
      <c r="E278" s="1" t="n">
        <v>46277</v>
      </c>
      <c r="F278" t="inlineStr">
        <is>
          <t>JÄMTLANDS LÄN</t>
        </is>
      </c>
      <c r="G278" t="inlineStr">
        <is>
          <t>ÅRE</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12669-2023</t>
        </is>
      </c>
      <c r="B279" t="inlineStr">
        <is>
          <t>avverkningsanmälan</t>
        </is>
      </c>
      <c r="C279" t="inlineStr">
        <is>
          <t>Föryngringsavverkning</t>
        </is>
      </c>
      <c r="D279" s="1" t="n">
        <v>45000</v>
      </c>
      <c r="E279" s="1" t="n">
        <v>46277</v>
      </c>
      <c r="F279" t="inlineStr">
        <is>
          <t>JÄMTLANDS LÄN</t>
        </is>
      </c>
      <c r="G279" t="inlineStr">
        <is>
          <t>ÅRE</t>
        </is>
      </c>
      <c r="H279" t="inlineStr">
        <is>
          <t>Övriga Aktiebolag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20312-2026</t>
        </is>
      </c>
      <c r="B280" t="inlineStr">
        <is>
          <t>avverkningsanmälan</t>
        </is>
      </c>
      <c r="C280" t="inlineStr">
        <is>
          <t>Föryngringsavverkning</t>
        </is>
      </c>
      <c r="D280" s="1" t="n">
        <v>46139</v>
      </c>
      <c r="E280" s="1" t="n">
        <v>46277</v>
      </c>
      <c r="F280" t="inlineStr">
        <is>
          <t>JÄMTLANDS LÄN</t>
        </is>
      </c>
      <c r="G280" t="inlineStr">
        <is>
          <t>ÅRE</t>
        </is>
      </c>
      <c r="I280" t="n">
        <v>59.7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6049-2025</t>
        </is>
      </c>
      <c r="B281" t="inlineStr">
        <is>
          <t>avverkningsanmälan</t>
        </is>
      </c>
      <c r="C281" t="inlineStr">
        <is>
          <t>Föryngringsavverkning</t>
        </is>
      </c>
      <c r="D281" s="1" t="n">
        <v>45695</v>
      </c>
      <c r="E281" s="1" t="n">
        <v>46277</v>
      </c>
      <c r="F281" t="inlineStr">
        <is>
          <t>JÄMTLANDS LÄN</t>
        </is>
      </c>
      <c r="G281" t="inlineStr">
        <is>
          <t>ÅRE</t>
        </is>
      </c>
      <c r="I281" t="n">
        <v>58.3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57864-2024</t>
        </is>
      </c>
      <c r="B282" t="inlineStr">
        <is>
          <t>avverkningsanmälan</t>
        </is>
      </c>
      <c r="C282" t="inlineStr">
        <is>
          <t>Föryngringsavverkning</t>
        </is>
      </c>
      <c r="D282" s="1" t="n">
        <v>45631</v>
      </c>
      <c r="E282" s="1" t="n">
        <v>46277</v>
      </c>
      <c r="F282" t="inlineStr">
        <is>
          <t>JÄMTLANDS LÄN</t>
        </is>
      </c>
      <c r="G282" t="inlineStr">
        <is>
          <t>ÅRE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51876-2025</t>
        </is>
      </c>
      <c r="B283" t="inlineStr">
        <is>
          <t>avverkningsanmälan</t>
        </is>
      </c>
      <c r="C283" t="inlineStr">
        <is>
          <t>Avverkning för annat ändamål</t>
        </is>
      </c>
      <c r="D283" s="1" t="n">
        <v>45952</v>
      </c>
      <c r="E283" s="1" t="n">
        <v>46277</v>
      </c>
      <c r="F283" t="inlineStr">
        <is>
          <t>JÄMTLANDS LÄN</t>
        </is>
      </c>
      <c r="G283" t="inlineStr">
        <is>
          <t>ÅRE</t>
        </is>
      </c>
      <c r="H283" t="inlineStr">
        <is>
          <t>Övriga Aktiebolag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52607-2025</t>
        </is>
      </c>
      <c r="B284" t="inlineStr">
        <is>
          <t>avverkningsanmälan</t>
        </is>
      </c>
      <c r="C284" t="inlineStr">
        <is>
          <t>Föryngringsavverkning</t>
        </is>
      </c>
      <c r="D284" s="1" t="n">
        <v>45954</v>
      </c>
      <c r="E284" s="1" t="n">
        <v>46277</v>
      </c>
      <c r="F284" t="inlineStr">
        <is>
          <t>JÄMTLANDS LÄN</t>
        </is>
      </c>
      <c r="G284" t="inlineStr">
        <is>
          <t>ÅRE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47052-2022</t>
        </is>
      </c>
      <c r="B285" t="inlineStr">
        <is>
          <t>avverkningsanmälan</t>
        </is>
      </c>
      <c r="C285" t="inlineStr">
        <is>
          <t>Föryngringsavverkning</t>
        </is>
      </c>
      <c r="D285" s="1" t="n">
        <v>44851</v>
      </c>
      <c r="E285" s="1" t="n">
        <v>46277</v>
      </c>
      <c r="F285" t="inlineStr">
        <is>
          <t>JÄMTLANDS LÄN</t>
        </is>
      </c>
      <c r="G285" t="inlineStr">
        <is>
          <t>ÅRE</t>
        </is>
      </c>
      <c r="I285" t="n">
        <v>90.8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53134-2025</t>
        </is>
      </c>
      <c r="B286" t="inlineStr">
        <is>
          <t>avverkningsanmälan</t>
        </is>
      </c>
      <c r="C286" t="inlineStr">
        <is>
          <t>Föryngringsavverkning</t>
        </is>
      </c>
      <c r="D286" s="1" t="n">
        <v>45958</v>
      </c>
      <c r="E286" s="1" t="n">
        <v>46277</v>
      </c>
      <c r="F286" t="inlineStr">
        <is>
          <t>JÄMTLANDS LÄN</t>
        </is>
      </c>
      <c r="G286" t="inlineStr">
        <is>
          <t>ÅRE</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53133-2025</t>
        </is>
      </c>
      <c r="B287" t="inlineStr">
        <is>
          <t>avverkningsanmälan</t>
        </is>
      </c>
      <c r="C287" t="inlineStr">
        <is>
          <t>Föryngringsavverkning</t>
        </is>
      </c>
      <c r="D287" s="1" t="n">
        <v>45958</v>
      </c>
      <c r="E287" s="1" t="n">
        <v>46277</v>
      </c>
      <c r="F287" t="inlineStr">
        <is>
          <t>JÄMTLANDS LÄN</t>
        </is>
      </c>
      <c r="G287" t="inlineStr">
        <is>
          <t>ÅRE</t>
        </is>
      </c>
      <c r="I287" t="n">
        <v>13.8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21381-2026</t>
        </is>
      </c>
      <c r="B288" t="inlineStr">
        <is>
          <t>avverkningsanmälan</t>
        </is>
      </c>
      <c r="C288" t="inlineStr">
        <is>
          <t>Föryngringsavverkning</t>
        </is>
      </c>
      <c r="D288" s="1" t="n">
        <v>46147</v>
      </c>
      <c r="E288" s="1" t="n">
        <v>46277</v>
      </c>
      <c r="F288" t="inlineStr">
        <is>
          <t>JÄMTLANDS LÄN</t>
        </is>
      </c>
      <c r="G288" t="inlineStr">
        <is>
          <t>ÅRE</t>
        </is>
      </c>
      <c r="I288" t="n">
        <v>13.7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61803-2021</t>
        </is>
      </c>
      <c r="B289" t="inlineStr">
        <is>
          <t>avverkningsanmälan</t>
        </is>
      </c>
      <c r="C289" t="inlineStr">
        <is>
          <t>Föryngringsavverkning</t>
        </is>
      </c>
      <c r="D289" s="1" t="n">
        <v>44498</v>
      </c>
      <c r="E289" s="1" t="n">
        <v>46277</v>
      </c>
      <c r="F289" t="inlineStr">
        <is>
          <t>JÄMTLANDS LÄN</t>
        </is>
      </c>
      <c r="G289" t="inlineStr">
        <is>
          <t>ÅRE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52946-2025</t>
        </is>
      </c>
      <c r="B290" t="inlineStr">
        <is>
          <t>avverkningsanmälan</t>
        </is>
      </c>
      <c r="C290" t="inlineStr">
        <is>
          <t>Föryngringsavverkning</t>
        </is>
      </c>
      <c r="D290" s="1" t="n">
        <v>45957</v>
      </c>
      <c r="E290" s="1" t="n">
        <v>46277</v>
      </c>
      <c r="F290" t="inlineStr">
        <is>
          <t>JÄMTLANDS LÄN</t>
        </is>
      </c>
      <c r="G290" t="inlineStr">
        <is>
          <t>ÅRE</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21373-2026</t>
        </is>
      </c>
      <c r="B291" t="inlineStr">
        <is>
          <t>avverkningsanmälan</t>
        </is>
      </c>
      <c r="C291" t="inlineStr">
        <is>
          <t>Föryngringsavverkning</t>
        </is>
      </c>
      <c r="D291" s="1" t="n">
        <v>46147</v>
      </c>
      <c r="E291" s="1" t="n">
        <v>46277</v>
      </c>
      <c r="F291" t="inlineStr">
        <is>
          <t>JÄMTLANDS LÄN</t>
        </is>
      </c>
      <c r="G291" t="inlineStr">
        <is>
          <t>ÅRE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59397-2021</t>
        </is>
      </c>
      <c r="B292" t="inlineStr">
        <is>
          <t>avverkningsanmälan</t>
        </is>
      </c>
      <c r="C292" t="inlineStr">
        <is>
          <t>Föryngringsavverkning</t>
        </is>
      </c>
      <c r="D292" s="1" t="n">
        <v>44491</v>
      </c>
      <c r="E292" s="1" t="n">
        <v>46277</v>
      </c>
      <c r="F292" t="inlineStr">
        <is>
          <t>JÄMTLANDS LÄN</t>
        </is>
      </c>
      <c r="G292" t="inlineStr">
        <is>
          <t>ÅRE</t>
        </is>
      </c>
      <c r="H292" t="inlineStr">
        <is>
          <t>Övriga Aktiebolag</t>
        </is>
      </c>
      <c r="I292" t="n">
        <v>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50951-2023</t>
        </is>
      </c>
      <c r="B293" t="inlineStr">
        <is>
          <t>avverkningsanmälan</t>
        </is>
      </c>
      <c r="C293" t="inlineStr">
        <is>
          <t>Avverkning för att bevara och utveckla /försöksver</t>
        </is>
      </c>
      <c r="D293" s="1" t="n">
        <v>45218</v>
      </c>
      <c r="E293" s="1" t="n">
        <v>46277</v>
      </c>
      <c r="F293" t="inlineStr">
        <is>
          <t>JÄMTLANDS LÄN</t>
        </is>
      </c>
      <c r="G293" t="inlineStr">
        <is>
          <t>ÅRE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54137-2025</t>
        </is>
      </c>
      <c r="B294" t="inlineStr">
        <is>
          <t>avverkningsanmälan</t>
        </is>
      </c>
      <c r="C294" t="inlineStr">
        <is>
          <t>Föryngringsavverkning</t>
        </is>
      </c>
      <c r="D294" s="1" t="n">
        <v>45964</v>
      </c>
      <c r="E294" s="1" t="n">
        <v>46277</v>
      </c>
      <c r="F294" t="inlineStr">
        <is>
          <t>JÄMTLANDS LÄN</t>
        </is>
      </c>
      <c r="G294" t="inlineStr">
        <is>
          <t>ÅRE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53862-2025</t>
        </is>
      </c>
      <c r="B295" t="inlineStr">
        <is>
          <t>avverkningsanmälan</t>
        </is>
      </c>
      <c r="C295" t="inlineStr">
        <is>
          <t>Avverkning för annat ändamål</t>
        </is>
      </c>
      <c r="D295" s="1" t="n">
        <v>45961</v>
      </c>
      <c r="E295" s="1" t="n">
        <v>46277</v>
      </c>
      <c r="F295" t="inlineStr">
        <is>
          <t>JÄMTLANDS LÄN</t>
        </is>
      </c>
      <c r="G295" t="inlineStr">
        <is>
          <t>ÅRE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53873-2025</t>
        </is>
      </c>
      <c r="B296" t="inlineStr">
        <is>
          <t>avverkningsanmälan</t>
        </is>
      </c>
      <c r="C296" t="inlineStr">
        <is>
          <t>Avverkning för annat ändamål</t>
        </is>
      </c>
      <c r="D296" s="1" t="n">
        <v>45961</v>
      </c>
      <c r="E296" s="1" t="n">
        <v>46277</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54139-2025</t>
        </is>
      </c>
      <c r="B297" t="inlineStr">
        <is>
          <t>avverkningsanmälan</t>
        </is>
      </c>
      <c r="C297" t="inlineStr">
        <is>
          <t>Föryngringsavverkning</t>
        </is>
      </c>
      <c r="D297" s="1" t="n">
        <v>45964</v>
      </c>
      <c r="E297" s="1" t="n">
        <v>46277</v>
      </c>
      <c r="F297" t="inlineStr">
        <is>
          <t>JÄMTLANDS LÄN</t>
        </is>
      </c>
      <c r="G297" t="inlineStr">
        <is>
          <t>ÅRE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54445-2025</t>
        </is>
      </c>
      <c r="B298" t="inlineStr">
        <is>
          <t>avverkningsanmälan</t>
        </is>
      </c>
      <c r="C298" t="inlineStr">
        <is>
          <t>Föryngringsavverkning</t>
        </is>
      </c>
      <c r="D298" s="1" t="n">
        <v>45965</v>
      </c>
      <c r="E298" s="1" t="n">
        <v>46277</v>
      </c>
      <c r="F298" t="inlineStr">
        <is>
          <t>JÄMTLANDS LÄN</t>
        </is>
      </c>
      <c r="G298" t="inlineStr">
        <is>
          <t>ÅRE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54937-2025</t>
        </is>
      </c>
      <c r="B299" t="inlineStr">
        <is>
          <t>avverkningsanmälan</t>
        </is>
      </c>
      <c r="C299" t="inlineStr">
        <is>
          <t>Avverkning för annat ändamål</t>
        </is>
      </c>
      <c r="D299" s="1" t="n">
        <v>45967</v>
      </c>
      <c r="E299" s="1" t="n">
        <v>46277</v>
      </c>
      <c r="F299" t="inlineStr">
        <is>
          <t>JÄMTLANDS LÄN</t>
        </is>
      </c>
      <c r="G299" t="inlineStr">
        <is>
          <t>ÅRE</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56910-2022</t>
        </is>
      </c>
      <c r="B300" t="inlineStr">
        <is>
          <t>avverkningsanmälan</t>
        </is>
      </c>
      <c r="C300" t="inlineStr">
        <is>
          <t>Föryngringsavverkning</t>
        </is>
      </c>
      <c r="D300" s="1" t="n">
        <v>44894</v>
      </c>
      <c r="E300" s="1" t="n">
        <v>46277</v>
      </c>
      <c r="F300" t="inlineStr">
        <is>
          <t>JÄMTLANDS LÄN</t>
        </is>
      </c>
      <c r="G300" t="inlineStr">
        <is>
          <t>ÅRE</t>
        </is>
      </c>
      <c r="H300" t="inlineStr">
        <is>
          <t>Övriga Aktiebolag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56976-2023</t>
        </is>
      </c>
      <c r="B301" t="inlineStr">
        <is>
          <t>avverkningsanmälan</t>
        </is>
      </c>
      <c r="C301" t="inlineStr">
        <is>
          <t>Föryngringsavverkning</t>
        </is>
      </c>
      <c r="D301" s="1" t="n">
        <v>45244</v>
      </c>
      <c r="E301" s="1" t="n">
        <v>46277</v>
      </c>
      <c r="F301" t="inlineStr">
        <is>
          <t>JÄMTLANDS LÄN</t>
        </is>
      </c>
      <c r="G301" t="inlineStr">
        <is>
          <t>ÅRE</t>
        </is>
      </c>
      <c r="H301" t="inlineStr">
        <is>
          <t>Övriga Aktiebolag</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56601-2025</t>
        </is>
      </c>
      <c r="B302" t="inlineStr">
        <is>
          <t>avverkningsanmälan</t>
        </is>
      </c>
      <c r="C302" t="inlineStr">
        <is>
          <t>Föryngringsavverkning</t>
        </is>
      </c>
      <c r="D302" s="1" t="n">
        <v>45975</v>
      </c>
      <c r="E302" s="1" t="n">
        <v>46277</v>
      </c>
      <c r="F302" t="inlineStr">
        <is>
          <t>JÄMTLANDS LÄN</t>
        </is>
      </c>
      <c r="G302" t="inlineStr">
        <is>
          <t>ÅRE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57285-2025</t>
        </is>
      </c>
      <c r="B303" t="inlineStr">
        <is>
          <t>avverkningsanmälan</t>
        </is>
      </c>
      <c r="C303" t="inlineStr">
        <is>
          <t>Avverkning för annat ändamål</t>
        </is>
      </c>
      <c r="D303" s="1" t="n">
        <v>45979</v>
      </c>
      <c r="E303" s="1" t="n">
        <v>46277</v>
      </c>
      <c r="F303" t="inlineStr">
        <is>
          <t>JÄMTLANDS LÄN</t>
        </is>
      </c>
      <c r="G303" t="inlineStr">
        <is>
          <t>ÅRE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57286-2025</t>
        </is>
      </c>
      <c r="B304" t="inlineStr">
        <is>
          <t>avverkningsanmälan</t>
        </is>
      </c>
      <c r="C304" t="inlineStr">
        <is>
          <t>Föryngringsavverkning</t>
        </is>
      </c>
      <c r="D304" s="1" t="n">
        <v>45979</v>
      </c>
      <c r="E304" s="1" t="n">
        <v>46277</v>
      </c>
      <c r="F304" t="inlineStr">
        <is>
          <t>JÄMTLANDS LÄN</t>
        </is>
      </c>
      <c r="G304" t="inlineStr">
        <is>
          <t>ÅRE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57464-2025</t>
        </is>
      </c>
      <c r="B305" t="inlineStr">
        <is>
          <t>avverkningsanmälan</t>
        </is>
      </c>
      <c r="C305" t="inlineStr">
        <is>
          <t>Föryngringsavverkning</t>
        </is>
      </c>
      <c r="D305" s="1" t="n">
        <v>45980</v>
      </c>
      <c r="E305" s="1" t="n">
        <v>46277</v>
      </c>
      <c r="F305" t="inlineStr">
        <is>
          <t>JÄMTLANDS LÄN</t>
        </is>
      </c>
      <c r="G305" t="inlineStr">
        <is>
          <t>ÅRE</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10567-2025</t>
        </is>
      </c>
      <c r="B306" t="inlineStr">
        <is>
          <t>avverkningsanmälan</t>
        </is>
      </c>
      <c r="C306" t="inlineStr">
        <is>
          <t>Föryngringsavverkning</t>
        </is>
      </c>
      <c r="D306" s="1" t="n">
        <v>45714</v>
      </c>
      <c r="E306" s="1" t="n">
        <v>46277</v>
      </c>
      <c r="F306" t="inlineStr">
        <is>
          <t>JÄMTLANDS LÄN</t>
        </is>
      </c>
      <c r="G306" t="inlineStr">
        <is>
          <t>ÅRE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57745-2025</t>
        </is>
      </c>
      <c r="B307" t="inlineStr">
        <is>
          <t>avverkningsanmälan</t>
        </is>
      </c>
      <c r="C307" t="inlineStr">
        <is>
          <t>Föryngringsavverkning</t>
        </is>
      </c>
      <c r="D307" s="1" t="n">
        <v>45981</v>
      </c>
      <c r="E307" s="1" t="n">
        <v>46277</v>
      </c>
      <c r="F307" t="inlineStr">
        <is>
          <t>JÄMTLANDS LÄN</t>
        </is>
      </c>
      <c r="G307" t="inlineStr">
        <is>
          <t>ÅRE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52470-2022</t>
        </is>
      </c>
      <c r="B308" t="inlineStr">
        <is>
          <t>avverkningsanmälan</t>
        </is>
      </c>
      <c r="C308" t="inlineStr">
        <is>
          <t>Föryngringsavverkning</t>
        </is>
      </c>
      <c r="D308" s="1" t="n">
        <v>44874</v>
      </c>
      <c r="E308" s="1" t="n">
        <v>46277</v>
      </c>
      <c r="F308" t="inlineStr">
        <is>
          <t>JÄMTLANDS LÄN</t>
        </is>
      </c>
      <c r="G308" t="inlineStr">
        <is>
          <t>ÅRE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58469-2025</t>
        </is>
      </c>
      <c r="B309" t="inlineStr">
        <is>
          <t>avverkningsanmälan</t>
        </is>
      </c>
      <c r="C309" t="inlineStr">
        <is>
          <t>Avverkning för annat ändamål</t>
        </is>
      </c>
      <c r="D309" s="1" t="n">
        <v>45985</v>
      </c>
      <c r="E309" s="1" t="n">
        <v>46277</v>
      </c>
      <c r="F309" t="inlineStr">
        <is>
          <t>JÄMTLANDS LÄN</t>
        </is>
      </c>
      <c r="G309" t="inlineStr">
        <is>
          <t>ÅRE</t>
        </is>
      </c>
      <c r="H309" t="inlineStr">
        <is>
          <t>Övriga Aktiebolag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3066-2023</t>
        </is>
      </c>
      <c r="B310" t="inlineStr">
        <is>
          <t>avverkningsanmälan</t>
        </is>
      </c>
      <c r="C310" t="inlineStr">
        <is>
          <t>Föryngringsavverkning</t>
        </is>
      </c>
      <c r="D310" s="1" t="n">
        <v>44946</v>
      </c>
      <c r="E310" s="1" t="n">
        <v>46277</v>
      </c>
      <c r="F310" t="inlineStr">
        <is>
          <t>JÄMTLANDS LÄN</t>
        </is>
      </c>
      <c r="G310" t="inlineStr">
        <is>
          <t>ÅRE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3149-2023</t>
        </is>
      </c>
      <c r="B311" t="inlineStr">
        <is>
          <t>avverkningsanmälan</t>
        </is>
      </c>
      <c r="C311" t="inlineStr">
        <is>
          <t>Föryngringsavverkning</t>
        </is>
      </c>
      <c r="D311" s="1" t="n">
        <v>44946</v>
      </c>
      <c r="E311" s="1" t="n">
        <v>46277</v>
      </c>
      <c r="F311" t="inlineStr">
        <is>
          <t>JÄMTLANDS LÄN</t>
        </is>
      </c>
      <c r="G311" t="inlineStr">
        <is>
          <t>ÅRE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18805-2026</t>
        </is>
      </c>
      <c r="B312" t="inlineStr">
        <is>
          <t>avverkningsanmälan</t>
        </is>
      </c>
      <c r="C312" t="inlineStr">
        <is>
          <t>Föryngringsavverkning</t>
        </is>
      </c>
      <c r="D312" s="1" t="n">
        <v>46128</v>
      </c>
      <c r="E312" s="1" t="n">
        <v>46277</v>
      </c>
      <c r="F312" t="inlineStr">
        <is>
          <t>JÄMTLANDS LÄN</t>
        </is>
      </c>
      <c r="G312" t="inlineStr">
        <is>
          <t>ÅRE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58983-2025</t>
        </is>
      </c>
      <c r="B313" t="inlineStr">
        <is>
          <t>avverkningsanmälan</t>
        </is>
      </c>
      <c r="C313" t="inlineStr">
        <is>
          <t>Föryngringsavverkning</t>
        </is>
      </c>
      <c r="D313" s="1" t="n">
        <v>45987</v>
      </c>
      <c r="E313" s="1" t="n">
        <v>46277</v>
      </c>
      <c r="F313" t="inlineStr">
        <is>
          <t>JÄMTLANDS LÄN</t>
        </is>
      </c>
      <c r="G313" t="inlineStr">
        <is>
          <t>ÅRE</t>
        </is>
      </c>
      <c r="I313" t="n">
        <v>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59653-2025</t>
        </is>
      </c>
      <c r="B314" t="inlineStr">
        <is>
          <t>avverkningsanmälan</t>
        </is>
      </c>
      <c r="C314" t="inlineStr">
        <is>
          <t>Föryngringsavverkning</t>
        </is>
      </c>
      <c r="D314" s="1" t="n">
        <v>45992</v>
      </c>
      <c r="E314" s="1" t="n">
        <v>46277</v>
      </c>
      <c r="F314" t="inlineStr">
        <is>
          <t>JÄMTLANDS LÄN</t>
        </is>
      </c>
      <c r="G314" t="inlineStr">
        <is>
          <t>ÅRE</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59823-2025</t>
        </is>
      </c>
      <c r="B315" t="inlineStr">
        <is>
          <t>avverkningsanmälan</t>
        </is>
      </c>
      <c r="C315" t="inlineStr">
        <is>
          <t>Avverkning för annat ändamål</t>
        </is>
      </c>
      <c r="D315" s="1" t="n">
        <v>45992</v>
      </c>
      <c r="E315" s="1" t="n">
        <v>46277</v>
      </c>
      <c r="F315" t="inlineStr">
        <is>
          <t>JÄMTLANDS LÄN</t>
        </is>
      </c>
      <c r="G315" t="inlineStr">
        <is>
          <t>ÅRE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59367-2025</t>
        </is>
      </c>
      <c r="B316" t="inlineStr">
        <is>
          <t>avverkningsanmälan</t>
        </is>
      </c>
      <c r="C316" t="inlineStr">
        <is>
          <t>Föryngringsavverkning</t>
        </is>
      </c>
      <c r="D316" s="1" t="n">
        <v>45989</v>
      </c>
      <c r="E316" s="1" t="n">
        <v>46277</v>
      </c>
      <c r="F316" t="inlineStr">
        <is>
          <t>JÄMTLANDS LÄN</t>
        </is>
      </c>
      <c r="G316" t="inlineStr">
        <is>
          <t>ÅRE</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54164-2023</t>
        </is>
      </c>
      <c r="B317" t="inlineStr">
        <is>
          <t>avverkningsanmälan</t>
        </is>
      </c>
      <c r="C317" t="inlineStr">
        <is>
          <t>Föryngringsavverkning</t>
        </is>
      </c>
      <c r="D317" s="1" t="n">
        <v>45232</v>
      </c>
      <c r="E317" s="1" t="n">
        <v>46277</v>
      </c>
      <c r="F317" t="inlineStr">
        <is>
          <t>JÄMTLANDS LÄN</t>
        </is>
      </c>
      <c r="G317" t="inlineStr">
        <is>
          <t>ÅRE</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39071-2024</t>
        </is>
      </c>
      <c r="B318" t="inlineStr">
        <is>
          <t>avverkningsanmälan</t>
        </is>
      </c>
      <c r="C318" t="inlineStr">
        <is>
          <t>Föryngringsavverkning</t>
        </is>
      </c>
      <c r="D318" s="1" t="n">
        <v>45548</v>
      </c>
      <c r="E318" s="1" t="n">
        <v>46277</v>
      </c>
      <c r="F318" t="inlineStr">
        <is>
          <t>JÄMTLANDS LÄN</t>
        </is>
      </c>
      <c r="G318" t="inlineStr">
        <is>
          <t>ÅRE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60473-2025</t>
        </is>
      </c>
      <c r="B319" t="inlineStr">
        <is>
          <t>avverkningsanmälan</t>
        </is>
      </c>
      <c r="C319" t="inlineStr">
        <is>
          <t>Föryngringsavverkning</t>
        </is>
      </c>
      <c r="D319" s="1" t="n">
        <v>45995</v>
      </c>
      <c r="E319" s="1" t="n">
        <v>46277</v>
      </c>
      <c r="F319" t="inlineStr">
        <is>
          <t>JÄMTLANDS LÄN</t>
        </is>
      </c>
      <c r="G319" t="inlineStr">
        <is>
          <t>ÅRE</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61024-2025</t>
        </is>
      </c>
      <c r="B320" t="inlineStr">
        <is>
          <t>avverkningsanmälan</t>
        </is>
      </c>
      <c r="C320" t="inlineStr">
        <is>
          <t>Föryngringsavverkning</t>
        </is>
      </c>
      <c r="D320" s="1" t="n">
        <v>45999</v>
      </c>
      <c r="E320" s="1" t="n">
        <v>46277</v>
      </c>
      <c r="F320" t="inlineStr">
        <is>
          <t>JÄMTLANDS LÄN</t>
        </is>
      </c>
      <c r="G320" t="inlineStr">
        <is>
          <t>ÅRE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61009-2025</t>
        </is>
      </c>
      <c r="B321" t="inlineStr">
        <is>
          <t>avverkningsanmälan</t>
        </is>
      </c>
      <c r="C321" t="inlineStr">
        <is>
          <t>Föryngringsavverkning</t>
        </is>
      </c>
      <c r="D321" s="1" t="n">
        <v>45999</v>
      </c>
      <c r="E321" s="1" t="n">
        <v>46277</v>
      </c>
      <c r="F321" t="inlineStr">
        <is>
          <t>JÄMTLANDS LÄN</t>
        </is>
      </c>
      <c r="G321" t="inlineStr">
        <is>
          <t>ÅRE</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61032-2025</t>
        </is>
      </c>
      <c r="B322" t="inlineStr">
        <is>
          <t>avverkningsanmälan</t>
        </is>
      </c>
      <c r="C322" t="inlineStr">
        <is>
          <t>Föryngringsavverkning</t>
        </is>
      </c>
      <c r="D322" s="1" t="n">
        <v>45999</v>
      </c>
      <c r="E322" s="1" t="n">
        <v>46277</v>
      </c>
      <c r="F322" t="inlineStr">
        <is>
          <t>JÄMTLANDS LÄN</t>
        </is>
      </c>
      <c r="G322" t="inlineStr">
        <is>
          <t>ÅRE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60783-2025</t>
        </is>
      </c>
      <c r="B323" t="inlineStr">
        <is>
          <t>avverkningsanmälan</t>
        </is>
      </c>
      <c r="C323" t="inlineStr">
        <is>
          <t>Föryngringsavverkning</t>
        </is>
      </c>
      <c r="D323" s="1" t="n">
        <v>45999</v>
      </c>
      <c r="E323" s="1" t="n">
        <v>46277</v>
      </c>
      <c r="F323" t="inlineStr">
        <is>
          <t>JÄMTLANDS LÄN</t>
        </is>
      </c>
      <c r="G323" t="inlineStr">
        <is>
          <t>ÅRE</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47963-2025</t>
        </is>
      </c>
      <c r="B324" t="inlineStr">
        <is>
          <t>avverkningsanmälan</t>
        </is>
      </c>
      <c r="C324" t="inlineStr">
        <is>
          <t>Avverkning för att bevara och utveckla /försöksver</t>
        </is>
      </c>
      <c r="D324" s="1" t="n">
        <v>45931</v>
      </c>
      <c r="E324" s="1" t="n">
        <v>46277</v>
      </c>
      <c r="F324" t="inlineStr">
        <is>
          <t>JÄMTLANDS LÄN</t>
        </is>
      </c>
      <c r="G324" t="inlineStr">
        <is>
          <t>ÅRE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36219-2022</t>
        </is>
      </c>
      <c r="B325" t="inlineStr">
        <is>
          <t>avverkningsanmälan</t>
        </is>
      </c>
      <c r="C325" t="inlineStr">
        <is>
          <t>Avverkning för annat ändamål</t>
        </is>
      </c>
      <c r="D325" s="1" t="n">
        <v>44803</v>
      </c>
      <c r="E325" s="1" t="n">
        <v>46277</v>
      </c>
      <c r="F325" t="inlineStr">
        <is>
          <t>JÄMTLANDS LÄN</t>
        </is>
      </c>
      <c r="G325" t="inlineStr">
        <is>
          <t>ÅRE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33239-2024</t>
        </is>
      </c>
      <c r="B326" t="inlineStr">
        <is>
          <t>avverkningsanmälan</t>
        </is>
      </c>
      <c r="C326" t="inlineStr">
        <is>
          <t>Avverkning för annat ändamål</t>
        </is>
      </c>
      <c r="D326" s="1" t="n">
        <v>45518</v>
      </c>
      <c r="E326" s="1" t="n">
        <v>46277</v>
      </c>
      <c r="F326" t="inlineStr">
        <is>
          <t>JÄMTLANDS LÄN</t>
        </is>
      </c>
      <c r="G326" t="inlineStr">
        <is>
          <t>ÅRE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62189-2025</t>
        </is>
      </c>
      <c r="B327" t="inlineStr">
        <is>
          <t>avverkningsanmälan</t>
        </is>
      </c>
      <c r="C327" t="inlineStr">
        <is>
          <t>Föryngringsavverkning</t>
        </is>
      </c>
      <c r="D327" s="1" t="n">
        <v>46006</v>
      </c>
      <c r="E327" s="1" t="n">
        <v>46277</v>
      </c>
      <c r="F327" t="inlineStr">
        <is>
          <t>JÄMTLANDS LÄN</t>
        </is>
      </c>
      <c r="G327" t="inlineStr">
        <is>
          <t>ÅRE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57710-2021</t>
        </is>
      </c>
      <c r="B328" t="inlineStr">
        <is>
          <t>avverkningsanmälan</t>
        </is>
      </c>
      <c r="C328" t="inlineStr">
        <is>
          <t>Föryngringsavverkning</t>
        </is>
      </c>
      <c r="D328" s="1" t="n">
        <v>44484</v>
      </c>
      <c r="E328" s="1" t="n">
        <v>46277</v>
      </c>
      <c r="F328" t="inlineStr">
        <is>
          <t>JÄMTLANDS LÄN</t>
        </is>
      </c>
      <c r="G328" t="inlineStr">
        <is>
          <t>ÅRE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62259-2025</t>
        </is>
      </c>
      <c r="B329" t="inlineStr">
        <is>
          <t>avverkningsanmälan</t>
        </is>
      </c>
      <c r="C329" t="inlineStr">
        <is>
          <t>Föryngringsavverkning</t>
        </is>
      </c>
      <c r="D329" s="1" t="n">
        <v>46006</v>
      </c>
      <c r="E329" s="1" t="n">
        <v>46277</v>
      </c>
      <c r="F329" t="inlineStr">
        <is>
          <t>JÄMTLANDS LÄN</t>
        </is>
      </c>
      <c r="G329" t="inlineStr">
        <is>
          <t>ÅRE</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62532-2025</t>
        </is>
      </c>
      <c r="B330" t="inlineStr">
        <is>
          <t>avverkningsanmälan</t>
        </is>
      </c>
      <c r="C330" t="inlineStr">
        <is>
          <t>Föryngringsavverkning</t>
        </is>
      </c>
      <c r="D330" s="1" t="n">
        <v>46007</v>
      </c>
      <c r="E330" s="1" t="n">
        <v>46277</v>
      </c>
      <c r="F330" t="inlineStr">
        <is>
          <t>JÄMTLANDS LÄN</t>
        </is>
      </c>
      <c r="G330" t="inlineStr">
        <is>
          <t>ÅRE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62530-2025</t>
        </is>
      </c>
      <c r="B331" t="inlineStr">
        <is>
          <t>avverkningsanmälan</t>
        </is>
      </c>
      <c r="C331" t="inlineStr">
        <is>
          <t>Föryngringsavverkning</t>
        </is>
      </c>
      <c r="D331" s="1" t="n">
        <v>46007</v>
      </c>
      <c r="E331" s="1" t="n">
        <v>46277</v>
      </c>
      <c r="F331" t="inlineStr">
        <is>
          <t>JÄMTLANDS LÄN</t>
        </is>
      </c>
      <c r="G331" t="inlineStr">
        <is>
          <t>ÅRE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62520-2025</t>
        </is>
      </c>
      <c r="B332" t="inlineStr">
        <is>
          <t>avverkningsanmälan</t>
        </is>
      </c>
      <c r="C332" t="inlineStr">
        <is>
          <t>Föryngringsavverkning</t>
        </is>
      </c>
      <c r="D332" s="1" t="n">
        <v>46007</v>
      </c>
      <c r="E332" s="1" t="n">
        <v>46277</v>
      </c>
      <c r="F332" t="inlineStr">
        <is>
          <t>JÄMTLANDS LÄN</t>
        </is>
      </c>
      <c r="G332" t="inlineStr">
        <is>
          <t>ÅRE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62521-2025</t>
        </is>
      </c>
      <c r="B333" t="inlineStr">
        <is>
          <t>avverkningsanmälan</t>
        </is>
      </c>
      <c r="C333" t="inlineStr">
        <is>
          <t>Föryngringsavverkning</t>
        </is>
      </c>
      <c r="D333" s="1" t="n">
        <v>46007</v>
      </c>
      <c r="E333" s="1" t="n">
        <v>46277</v>
      </c>
      <c r="F333" t="inlineStr">
        <is>
          <t>JÄMTLANDS LÄN</t>
        </is>
      </c>
      <c r="G333" t="inlineStr">
        <is>
          <t>ÅRE</t>
        </is>
      </c>
      <c r="H333" t="inlineStr">
        <is>
          <t>Övriga Aktiebolag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63020-2025</t>
        </is>
      </c>
      <c r="B334" t="inlineStr">
        <is>
          <t>avverkningsanmälan</t>
        </is>
      </c>
      <c r="C334" t="inlineStr">
        <is>
          <t>Föryngringsavverkning</t>
        </is>
      </c>
      <c r="D334" s="1" t="n">
        <v>46009</v>
      </c>
      <c r="E334" s="1" t="n">
        <v>46277</v>
      </c>
      <c r="F334" t="inlineStr">
        <is>
          <t>JÄMTLANDS LÄN</t>
        </is>
      </c>
      <c r="G334" t="inlineStr">
        <is>
          <t>ÅRE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53899-2023</t>
        </is>
      </c>
      <c r="B335" t="inlineStr">
        <is>
          <t>avverkningsanmälan</t>
        </is>
      </c>
      <c r="C335" t="inlineStr">
        <is>
          <t>Föryngringsavverkning</t>
        </is>
      </c>
      <c r="D335" s="1" t="n">
        <v>45231</v>
      </c>
      <c r="E335" s="1" t="n">
        <v>46277</v>
      </c>
      <c r="F335" t="inlineStr">
        <is>
          <t>JÄMTLANDS LÄN</t>
        </is>
      </c>
      <c r="G335" t="inlineStr">
        <is>
          <t>ÅRE</t>
        </is>
      </c>
      <c r="I335" t="n">
        <v>20.4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34538-2023</t>
        </is>
      </c>
      <c r="B336" t="inlineStr">
        <is>
          <t>avverkningsanmälan</t>
        </is>
      </c>
      <c r="C336" t="inlineStr">
        <is>
          <t>Föryngringsavverkning</t>
        </is>
      </c>
      <c r="D336" s="1" t="n">
        <v>45134</v>
      </c>
      <c r="E336" s="1" t="n">
        <v>46277</v>
      </c>
      <c r="F336" t="inlineStr">
        <is>
          <t>JÄMTLANDS LÄN</t>
        </is>
      </c>
      <c r="G336" t="inlineStr">
        <is>
          <t>ÅRE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7297-2026</t>
        </is>
      </c>
      <c r="B337" t="inlineStr">
        <is>
          <t>avverkningsanmälan</t>
        </is>
      </c>
      <c r="C337" t="inlineStr">
        <is>
          <t>Föryngringsavverkning</t>
        </is>
      </c>
      <c r="D337" s="1" t="n">
        <v>46058</v>
      </c>
      <c r="E337" s="1" t="n">
        <v>46277</v>
      </c>
      <c r="F337" t="inlineStr">
        <is>
          <t>JÄMTLANDS LÄN</t>
        </is>
      </c>
      <c r="G337" t="inlineStr">
        <is>
          <t>ÅRE</t>
        </is>
      </c>
      <c r="H337" t="inlineStr">
        <is>
          <t>Övriga Aktiebolag</t>
        </is>
      </c>
      <c r="I337" t="n">
        <v>19.1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58889-2022</t>
        </is>
      </c>
      <c r="B338" t="inlineStr">
        <is>
          <t>avverkningsanmälan</t>
        </is>
      </c>
      <c r="C338" t="inlineStr">
        <is>
          <t>Föryngringsavverkning</t>
        </is>
      </c>
      <c r="D338" s="1" t="n">
        <v>44896</v>
      </c>
      <c r="E338" s="1" t="n">
        <v>46277</v>
      </c>
      <c r="F338" t="inlineStr">
        <is>
          <t>JÄMTLANDS LÄN</t>
        </is>
      </c>
      <c r="G338" t="inlineStr">
        <is>
          <t>ÅRE</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9219-2026</t>
        </is>
      </c>
      <c r="B339" t="inlineStr">
        <is>
          <t>avverkningsanmälan</t>
        </is>
      </c>
      <c r="C339" t="inlineStr">
        <is>
          <t>Föryngringsavverkning</t>
        </is>
      </c>
      <c r="D339" s="1" t="n">
        <v>46070</v>
      </c>
      <c r="E339" s="1" t="n">
        <v>46277</v>
      </c>
      <c r="F339" t="inlineStr">
        <is>
          <t>JÄMTLANDS LÄN</t>
        </is>
      </c>
      <c r="G339" t="inlineStr">
        <is>
          <t>ÅRE</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9326-2026</t>
        </is>
      </c>
      <c r="B340" t="inlineStr">
        <is>
          <t>avverkningsanmälan</t>
        </is>
      </c>
      <c r="C340" t="inlineStr">
        <is>
          <t>Föryngringsavverkning</t>
        </is>
      </c>
      <c r="D340" s="1" t="n">
        <v>46070</v>
      </c>
      <c r="E340" s="1" t="n">
        <v>46277</v>
      </c>
      <c r="F340" t="inlineStr">
        <is>
          <t>JÄMTLANDS LÄN</t>
        </is>
      </c>
      <c r="G340" t="inlineStr">
        <is>
          <t>ÅRE</t>
        </is>
      </c>
      <c r="H340" t="inlineStr">
        <is>
          <t>Övriga Aktiebolag</t>
        </is>
      </c>
      <c r="I340" t="n">
        <v>14.2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9212-2026</t>
        </is>
      </c>
      <c r="B341" t="inlineStr">
        <is>
          <t>avverkningsanmälan</t>
        </is>
      </c>
      <c r="C341" t="inlineStr">
        <is>
          <t>Föryngringsavverkning</t>
        </is>
      </c>
      <c r="D341" s="1" t="n">
        <v>46070</v>
      </c>
      <c r="E341" s="1" t="n">
        <v>46277</v>
      </c>
      <c r="F341" t="inlineStr">
        <is>
          <t>JÄMTLANDS LÄN</t>
        </is>
      </c>
      <c r="G341" t="inlineStr">
        <is>
          <t>ÅRE</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9224-2026</t>
        </is>
      </c>
      <c r="B342" t="inlineStr">
        <is>
          <t>avverkningsanmälan</t>
        </is>
      </c>
      <c r="C342" t="inlineStr">
        <is>
          <t>Föryngringsavverkning</t>
        </is>
      </c>
      <c r="D342" s="1" t="n">
        <v>46070</v>
      </c>
      <c r="E342" s="1" t="n">
        <v>46277</v>
      </c>
      <c r="F342" t="inlineStr">
        <is>
          <t>JÄMTLANDS LÄN</t>
        </is>
      </c>
      <c r="G342" t="inlineStr">
        <is>
          <t>ÅRE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61815-2021</t>
        </is>
      </c>
      <c r="B343" t="inlineStr">
        <is>
          <t>avverkningsanmälan</t>
        </is>
      </c>
      <c r="C343" t="inlineStr">
        <is>
          <t>Föryngringsavverkning</t>
        </is>
      </c>
      <c r="D343" s="1" t="n">
        <v>44498</v>
      </c>
      <c r="E343" s="1" t="n">
        <v>46277</v>
      </c>
      <c r="F343" t="inlineStr">
        <is>
          <t>JÄMTLANDS LÄN</t>
        </is>
      </c>
      <c r="G343" t="inlineStr">
        <is>
          <t>ÅRE</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13370-2024</t>
        </is>
      </c>
      <c r="B344" t="inlineStr">
        <is>
          <t>avverkningsanmälan</t>
        </is>
      </c>
      <c r="C344" t="inlineStr">
        <is>
          <t>Föryngringsavverkning</t>
        </is>
      </c>
      <c r="D344" s="1" t="n">
        <v>45387</v>
      </c>
      <c r="E344" s="1" t="n">
        <v>46277</v>
      </c>
      <c r="F344" t="inlineStr">
        <is>
          <t>JÄMTLANDS LÄN</t>
        </is>
      </c>
      <c r="G344" t="inlineStr">
        <is>
          <t>ÅRE</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21464-2022</t>
        </is>
      </c>
      <c r="B345" t="inlineStr">
        <is>
          <t>avverkningsanmälan</t>
        </is>
      </c>
      <c r="C345" t="inlineStr">
        <is>
          <t>Avverkning för annat ändamål</t>
        </is>
      </c>
      <c r="D345" s="1" t="n">
        <v>44706</v>
      </c>
      <c r="E345" s="1" t="n">
        <v>46277</v>
      </c>
      <c r="F345" t="inlineStr">
        <is>
          <t>JÄMTLANDS LÄN</t>
        </is>
      </c>
      <c r="G345" t="inlineStr">
        <is>
          <t>ÅRE</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25275-2025</t>
        </is>
      </c>
      <c r="B346" t="inlineStr">
        <is>
          <t>avverkningsanmälan</t>
        </is>
      </c>
      <c r="C346" t="inlineStr">
        <is>
          <t>Föryngringsavverkning</t>
        </is>
      </c>
      <c r="D346" s="1" t="n">
        <v>45800</v>
      </c>
      <c r="E346" s="1" t="n">
        <v>46277</v>
      </c>
      <c r="F346" t="inlineStr">
        <is>
          <t>JÄMTLANDS LÄN</t>
        </is>
      </c>
      <c r="G346" t="inlineStr">
        <is>
          <t>ÅRE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20210-2026</t>
        </is>
      </c>
      <c r="B347" t="inlineStr">
        <is>
          <t>avverkningsanmälan</t>
        </is>
      </c>
      <c r="C347" t="inlineStr">
        <is>
          <t>Föryngringsavverkning</t>
        </is>
      </c>
      <c r="D347" s="1" t="n">
        <v>46139</v>
      </c>
      <c r="E347" s="1" t="n">
        <v>46277</v>
      </c>
      <c r="F347" t="inlineStr">
        <is>
          <t>JÄMTLANDS LÄN</t>
        </is>
      </c>
      <c r="G347" t="inlineStr">
        <is>
          <t>ÅRE</t>
        </is>
      </c>
      <c r="I347" t="n">
        <v>25.1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30263-2023</t>
        </is>
      </c>
      <c r="B348" t="inlineStr">
        <is>
          <t>avverkningsanmälan</t>
        </is>
      </c>
      <c r="C348" t="inlineStr">
        <is>
          <t>Föryngringsavverkning</t>
        </is>
      </c>
      <c r="D348" s="1" t="n">
        <v>45099</v>
      </c>
      <c r="E348" s="1" t="n">
        <v>46277</v>
      </c>
      <c r="F348" t="inlineStr">
        <is>
          <t>JÄMTLANDS LÄN</t>
        </is>
      </c>
      <c r="G348" t="inlineStr">
        <is>
          <t>ÅRE</t>
        </is>
      </c>
      <c r="I348" t="n">
        <v>15.9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59387-2022</t>
        </is>
      </c>
      <c r="B349" t="inlineStr">
        <is>
          <t>avverkningsanmälan</t>
        </is>
      </c>
      <c r="C349" t="inlineStr">
        <is>
          <t>Avverkning för annat ändamål</t>
        </is>
      </c>
      <c r="D349" s="1" t="n">
        <v>44905</v>
      </c>
      <c r="E349" s="1" t="n">
        <v>46277</v>
      </c>
      <c r="F349" t="inlineStr">
        <is>
          <t>JÄMTLANDS LÄN</t>
        </is>
      </c>
      <c r="G349" t="inlineStr">
        <is>
          <t>ÅRE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1603-2026</t>
        </is>
      </c>
      <c r="B350" t="inlineStr">
        <is>
          <t>avverkningsanmälan</t>
        </is>
      </c>
      <c r="C350" t="inlineStr">
        <is>
          <t>Föryngringsavverkning</t>
        </is>
      </c>
      <c r="D350" s="1" t="n">
        <v>46034</v>
      </c>
      <c r="E350" s="1" t="n">
        <v>46277</v>
      </c>
      <c r="F350" t="inlineStr">
        <is>
          <t>JÄMTLANDS LÄN</t>
        </is>
      </c>
      <c r="G350" t="inlineStr">
        <is>
          <t>ÅRE</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2105-2026</t>
        </is>
      </c>
      <c r="B351" t="inlineStr">
        <is>
          <t>avverkningsanmälan</t>
        </is>
      </c>
      <c r="C351" t="inlineStr">
        <is>
          <t>Föryngringsavverkning</t>
        </is>
      </c>
      <c r="D351" s="1" t="n">
        <v>46036</v>
      </c>
      <c r="E351" s="1" t="n">
        <v>46277</v>
      </c>
      <c r="F351" t="inlineStr">
        <is>
          <t>JÄMTLANDS LÄN</t>
        </is>
      </c>
      <c r="G351" t="inlineStr">
        <is>
          <t>ÅRE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73800-2021</t>
        </is>
      </c>
      <c r="B352" t="inlineStr">
        <is>
          <t>avverkningsanmälan</t>
        </is>
      </c>
      <c r="C352" t="inlineStr">
        <is>
          <t>Föryngringsavverkning</t>
        </is>
      </c>
      <c r="D352" s="1" t="n">
        <v>44552</v>
      </c>
      <c r="E352" s="1" t="n">
        <v>46277</v>
      </c>
      <c r="F352" t="inlineStr">
        <is>
          <t>JÄMTLANDS LÄN</t>
        </is>
      </c>
      <c r="G352" t="inlineStr">
        <is>
          <t>ÅRE</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20359-2026</t>
        </is>
      </c>
      <c r="B353" t="inlineStr">
        <is>
          <t>avverkningsanmälan</t>
        </is>
      </c>
      <c r="C353" t="inlineStr">
        <is>
          <t>Föryngringsavverkning</t>
        </is>
      </c>
      <c r="D353" s="1" t="n">
        <v>46139</v>
      </c>
      <c r="E353" s="1" t="n">
        <v>46277</v>
      </c>
      <c r="F353" t="inlineStr">
        <is>
          <t>JÄMTLANDS LÄN</t>
        </is>
      </c>
      <c r="G353" t="inlineStr">
        <is>
          <t>ÅRE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64245-2021</t>
        </is>
      </c>
      <c r="B354" t="inlineStr">
        <is>
          <t>avverkningsanmälan</t>
        </is>
      </c>
      <c r="C354" t="inlineStr">
        <is>
          <t>Föryngringsavverkning</t>
        </is>
      </c>
      <c r="D354" s="1" t="n">
        <v>44510</v>
      </c>
      <c r="E354" s="1" t="n">
        <v>46277</v>
      </c>
      <c r="F354" t="inlineStr">
        <is>
          <t>JÄMTLANDS LÄN</t>
        </is>
      </c>
      <c r="G354" t="inlineStr">
        <is>
          <t>ÅRE</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2520-2026</t>
        </is>
      </c>
      <c r="B355" t="inlineStr">
        <is>
          <t>avverkningsanmälan</t>
        </is>
      </c>
      <c r="C355" t="inlineStr">
        <is>
          <t>Föryngringsavverkning</t>
        </is>
      </c>
      <c r="D355" s="1" t="n">
        <v>46037</v>
      </c>
      <c r="E355" s="1" t="n">
        <v>46277</v>
      </c>
      <c r="F355" t="inlineStr">
        <is>
          <t>JÄMTLANDS LÄN</t>
        </is>
      </c>
      <c r="G355" t="inlineStr">
        <is>
          <t>ÅRE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3394-2026</t>
        </is>
      </c>
      <c r="B356" t="inlineStr">
        <is>
          <t>avverkningsanmälan</t>
        </is>
      </c>
      <c r="C356" t="inlineStr">
        <is>
          <t>Föryngringsavverkning</t>
        </is>
      </c>
      <c r="D356" s="1" t="n">
        <v>46042</v>
      </c>
      <c r="E356" s="1" t="n">
        <v>46277</v>
      </c>
      <c r="F356" t="inlineStr">
        <is>
          <t>JÄMTLANDS LÄN</t>
        </is>
      </c>
      <c r="G356" t="inlineStr">
        <is>
          <t>ÅRE</t>
        </is>
      </c>
      <c r="H356" t="inlineStr">
        <is>
          <t>Övriga Aktiebolag</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61924-2022</t>
        </is>
      </c>
      <c r="B357" t="inlineStr">
        <is>
          <t>avverkningsanmälan</t>
        </is>
      </c>
      <c r="C357" t="inlineStr">
        <is>
          <t>Föryngringsavverkning</t>
        </is>
      </c>
      <c r="D357" s="1" t="n">
        <v>44917</v>
      </c>
      <c r="E357" s="1" t="n">
        <v>46277</v>
      </c>
      <c r="F357" t="inlineStr">
        <is>
          <t>JÄMTLANDS LÄN</t>
        </is>
      </c>
      <c r="G357" t="inlineStr">
        <is>
          <t>ÅRE</t>
        </is>
      </c>
      <c r="I357" t="n">
        <v>39.8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37729-2023</t>
        </is>
      </c>
      <c r="B358" t="inlineStr">
        <is>
          <t>avverkningsanmälan</t>
        </is>
      </c>
      <c r="C358" t="inlineStr">
        <is>
          <t>Avverkning för annat ändamål</t>
        </is>
      </c>
      <c r="D358" s="1" t="n">
        <v>45159</v>
      </c>
      <c r="E358" s="1" t="n">
        <v>46277</v>
      </c>
      <c r="F358" t="inlineStr">
        <is>
          <t>JÄMTLANDS LÄN</t>
        </is>
      </c>
      <c r="G358" t="inlineStr">
        <is>
          <t>ÅRE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45605-2025</t>
        </is>
      </c>
      <c r="B359" t="inlineStr">
        <is>
          <t>avverkningsanmälan</t>
        </is>
      </c>
      <c r="C359" t="inlineStr">
        <is>
          <t>Föryngringsavverkning</t>
        </is>
      </c>
      <c r="D359" s="1" t="n">
        <v>45922</v>
      </c>
      <c r="E359" s="1" t="n">
        <v>46277</v>
      </c>
      <c r="F359" t="inlineStr">
        <is>
          <t>JÄMTLANDS LÄN</t>
        </is>
      </c>
      <c r="G359" t="inlineStr">
        <is>
          <t>ÅRE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4905-2026</t>
        </is>
      </c>
      <c r="B360" t="inlineStr">
        <is>
          <t>avverkningsanmälan</t>
        </is>
      </c>
      <c r="C360" t="inlineStr">
        <is>
          <t>Avverkning för annat ändamål</t>
        </is>
      </c>
      <c r="D360" s="1" t="n">
        <v>46048</v>
      </c>
      <c r="E360" s="1" t="n">
        <v>46277</v>
      </c>
      <c r="F360" t="inlineStr">
        <is>
          <t>JÄMTLANDS LÄN</t>
        </is>
      </c>
      <c r="G360" t="inlineStr">
        <is>
          <t>ÅRE</t>
        </is>
      </c>
      <c r="H360" t="inlineStr">
        <is>
          <t>Övriga Aktiebolag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50099-2021</t>
        </is>
      </c>
      <c r="B361" t="inlineStr">
        <is>
          <t>avverkningsanmälan</t>
        </is>
      </c>
      <c r="C361" t="inlineStr">
        <is>
          <t>Föryngringsavverkning</t>
        </is>
      </c>
      <c r="D361" s="1" t="n">
        <v>44456</v>
      </c>
      <c r="E361" s="1" t="n">
        <v>46277</v>
      </c>
      <c r="F361" t="inlineStr">
        <is>
          <t>JÄMTLANDS LÄN</t>
        </is>
      </c>
      <c r="G361" t="inlineStr">
        <is>
          <t>ÅRE</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20480-2024</t>
        </is>
      </c>
      <c r="B362" t="inlineStr">
        <is>
          <t>avverkningsanmälan</t>
        </is>
      </c>
      <c r="C362" t="inlineStr">
        <is>
          <t>Föryngringsavverkning</t>
        </is>
      </c>
      <c r="D362" s="1" t="n">
        <v>45435</v>
      </c>
      <c r="E362" s="1" t="n">
        <v>46277</v>
      </c>
      <c r="F362" t="inlineStr">
        <is>
          <t>JÄMTLANDS LÄN</t>
        </is>
      </c>
      <c r="G362" t="inlineStr">
        <is>
          <t>ÅRE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59666-2023</t>
        </is>
      </c>
      <c r="B363" t="inlineStr">
        <is>
          <t>avverkningsanmälan</t>
        </is>
      </c>
      <c r="C363" t="inlineStr">
        <is>
          <t>Avverkning för att bevara och utveckla /försöksver</t>
        </is>
      </c>
      <c r="D363" s="1" t="n">
        <v>45254</v>
      </c>
      <c r="E363" s="1" t="n">
        <v>46277</v>
      </c>
      <c r="F363" t="inlineStr">
        <is>
          <t>JÄMTLANDS LÄN</t>
        </is>
      </c>
      <c r="G363" t="inlineStr">
        <is>
          <t>ÅRE</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36048-2023</t>
        </is>
      </c>
      <c r="B364" t="inlineStr">
        <is>
          <t>avverkningsanmälan</t>
        </is>
      </c>
      <c r="C364" t="inlineStr">
        <is>
          <t>Föryngringsavverkning</t>
        </is>
      </c>
      <c r="D364" s="1" t="n">
        <v>45149</v>
      </c>
      <c r="E364" s="1" t="n">
        <v>46277</v>
      </c>
      <c r="F364" t="inlineStr">
        <is>
          <t>JÄMTLANDS LÄN</t>
        </is>
      </c>
      <c r="G364" t="inlineStr">
        <is>
          <t>ÅRE</t>
        </is>
      </c>
      <c r="I364" t="n">
        <v>11.4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6219-2026</t>
        </is>
      </c>
      <c r="B365" t="inlineStr">
        <is>
          <t>avverkningsanmälan</t>
        </is>
      </c>
      <c r="C365" t="inlineStr">
        <is>
          <t>Föryngringsavverkning</t>
        </is>
      </c>
      <c r="D365" s="1" t="n">
        <v>46055</v>
      </c>
      <c r="E365" s="1" t="n">
        <v>46277</v>
      </c>
      <c r="F365" t="inlineStr">
        <is>
          <t>JÄMTLANDS LÄN</t>
        </is>
      </c>
      <c r="G365" t="inlineStr">
        <is>
          <t>ÅRE</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3154-2023</t>
        </is>
      </c>
      <c r="B366" t="inlineStr">
        <is>
          <t>avverkningsanmälan</t>
        </is>
      </c>
      <c r="C366" t="inlineStr">
        <is>
          <t>Föryngringsavverkning</t>
        </is>
      </c>
      <c r="D366" s="1" t="n">
        <v>44946</v>
      </c>
      <c r="E366" s="1" t="n">
        <v>46277</v>
      </c>
      <c r="F366" t="inlineStr">
        <is>
          <t>JÄMTLANDS LÄN</t>
        </is>
      </c>
      <c r="G366" t="inlineStr">
        <is>
          <t>ÅRE</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7089-2026</t>
        </is>
      </c>
      <c r="B367" t="inlineStr">
        <is>
          <t>avverkningsanmälan</t>
        </is>
      </c>
      <c r="C367" t="inlineStr">
        <is>
          <t>Föryngringsavverkning</t>
        </is>
      </c>
      <c r="D367" s="1" t="n">
        <v>46058</v>
      </c>
      <c r="E367" s="1" t="n">
        <v>46277</v>
      </c>
      <c r="F367" t="inlineStr">
        <is>
          <t>JÄMTLANDS LÄN</t>
        </is>
      </c>
      <c r="G367" t="inlineStr">
        <is>
          <t>ÅRE</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3204-2023</t>
        </is>
      </c>
      <c r="B368" t="inlineStr">
        <is>
          <t>avverkningsanmälan</t>
        </is>
      </c>
      <c r="C368" t="inlineStr">
        <is>
          <t>Föryngringsavverkning</t>
        </is>
      </c>
      <c r="D368" s="1" t="n">
        <v>44946</v>
      </c>
      <c r="E368" s="1" t="n">
        <v>46277</v>
      </c>
      <c r="F368" t="inlineStr">
        <is>
          <t>JÄMTLANDS LÄN</t>
        </is>
      </c>
      <c r="G368" t="inlineStr">
        <is>
          <t>ÅRE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44512-2023</t>
        </is>
      </c>
      <c r="B369" t="inlineStr">
        <is>
          <t>avverkningsanmälan</t>
        </is>
      </c>
      <c r="C369" t="inlineStr">
        <is>
          <t>Föryngringsavverkning</t>
        </is>
      </c>
      <c r="D369" s="1" t="n">
        <v>45184</v>
      </c>
      <c r="E369" s="1" t="n">
        <v>46277</v>
      </c>
      <c r="F369" t="inlineStr">
        <is>
          <t>JÄMTLANDS LÄN</t>
        </is>
      </c>
      <c r="G369" t="inlineStr">
        <is>
          <t>ÅRE</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49313-2024</t>
        </is>
      </c>
      <c r="B370" t="inlineStr">
        <is>
          <t>avverkningsanmälan</t>
        </is>
      </c>
      <c r="C370" t="inlineStr">
        <is>
          <t>Föryngringsavverkning</t>
        </is>
      </c>
      <c r="D370" s="1" t="n">
        <v>45595</v>
      </c>
      <c r="E370" s="1" t="n">
        <v>46277</v>
      </c>
      <c r="F370" t="inlineStr">
        <is>
          <t>JÄMTLANDS LÄN</t>
        </is>
      </c>
      <c r="G370" t="inlineStr">
        <is>
          <t>ÅRE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54247-2024</t>
        </is>
      </c>
      <c r="B371" t="inlineStr">
        <is>
          <t>avverkningsanmälan</t>
        </is>
      </c>
      <c r="C371" t="inlineStr">
        <is>
          <t>Föryngringsavverkning</t>
        </is>
      </c>
      <c r="D371" s="1" t="n">
        <v>45616</v>
      </c>
      <c r="E371" s="1" t="n">
        <v>46277</v>
      </c>
      <c r="F371" t="inlineStr">
        <is>
          <t>JÄMTLANDS LÄN</t>
        </is>
      </c>
      <c r="G371" t="inlineStr">
        <is>
          <t>ÅRE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20809-2026</t>
        </is>
      </c>
      <c r="B372" t="inlineStr">
        <is>
          <t>avverkningsanmälan</t>
        </is>
      </c>
      <c r="C372" t="inlineStr">
        <is>
          <t>Föryngringsavverkning</t>
        </is>
      </c>
      <c r="D372" s="1" t="n">
        <v>46141</v>
      </c>
      <c r="E372" s="1" t="n">
        <v>46277</v>
      </c>
      <c r="F372" t="inlineStr">
        <is>
          <t>JÄMTLANDS LÄN</t>
        </is>
      </c>
      <c r="G372" t="inlineStr">
        <is>
          <t>ÅRE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278-2023</t>
        </is>
      </c>
      <c r="B373" t="inlineStr">
        <is>
          <t>avverkningsanmälan</t>
        </is>
      </c>
      <c r="C373" t="inlineStr">
        <is>
          <t>Avverkning för annat ändamål</t>
        </is>
      </c>
      <c r="D373" s="1" t="n">
        <v>44928</v>
      </c>
      <c r="E373" s="1" t="n">
        <v>46277</v>
      </c>
      <c r="F373" t="inlineStr">
        <is>
          <t>JÄMTLANDS LÄN</t>
        </is>
      </c>
      <c r="G373" t="inlineStr">
        <is>
          <t>ÅRE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60585-2025</t>
        </is>
      </c>
      <c r="B374" t="inlineStr">
        <is>
          <t>avverkningsanmälan</t>
        </is>
      </c>
      <c r="C374" t="inlineStr">
        <is>
          <t>Föryngringsavverkning</t>
        </is>
      </c>
      <c r="D374" s="1" t="n">
        <v>45996</v>
      </c>
      <c r="E374" s="1" t="n">
        <v>46277</v>
      </c>
      <c r="F374" t="inlineStr">
        <is>
          <t>JÄMTLANDS LÄN</t>
        </is>
      </c>
      <c r="G374" t="inlineStr">
        <is>
          <t>ÅRE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15884-2023</t>
        </is>
      </c>
      <c r="B375" t="inlineStr">
        <is>
          <t>avverkningsanmälan</t>
        </is>
      </c>
      <c r="C375" t="inlineStr">
        <is>
          <t>Avverkning för annat ändamål</t>
        </is>
      </c>
      <c r="D375" s="1" t="n">
        <v>45022</v>
      </c>
      <c r="E375" s="1" t="n">
        <v>46277</v>
      </c>
      <c r="F375" t="inlineStr">
        <is>
          <t>JÄMTLANDS LÄN</t>
        </is>
      </c>
      <c r="G375" t="inlineStr">
        <is>
          <t>ÅRE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61355-2025</t>
        </is>
      </c>
      <c r="B376" t="inlineStr">
        <is>
          <t>avverkningsanmälan</t>
        </is>
      </c>
      <c r="C376" t="inlineStr">
        <is>
          <t>Föryngringsavverkning</t>
        </is>
      </c>
      <c r="D376" s="1" t="n">
        <v>46001</v>
      </c>
      <c r="E376" s="1" t="n">
        <v>46277</v>
      </c>
      <c r="F376" t="inlineStr">
        <is>
          <t>JÄMTLANDS LÄN</t>
        </is>
      </c>
      <c r="G376" t="inlineStr">
        <is>
          <t>ÅRE</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6358-2025</t>
        </is>
      </c>
      <c r="B377" t="inlineStr">
        <is>
          <t>avverkningsanmälan</t>
        </is>
      </c>
      <c r="C377" t="inlineStr">
        <is>
          <t>Föryngringsavverkning</t>
        </is>
      </c>
      <c r="D377" s="1" t="n">
        <v>45699</v>
      </c>
      <c r="E377" s="1" t="n">
        <v>46277</v>
      </c>
      <c r="F377" t="inlineStr">
        <is>
          <t>JÄMTLANDS LÄN</t>
        </is>
      </c>
      <c r="G377" t="inlineStr">
        <is>
          <t>ÅRE</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18253-2023</t>
        </is>
      </c>
      <c r="B378" t="inlineStr">
        <is>
          <t>avverkningsanmälan</t>
        </is>
      </c>
      <c r="C378" t="inlineStr">
        <is>
          <t>Föryngringsavverkning</t>
        </is>
      </c>
      <c r="D378" s="1" t="n">
        <v>45041</v>
      </c>
      <c r="E378" s="1" t="n">
        <v>46277</v>
      </c>
      <c r="F378" t="inlineStr">
        <is>
          <t>JÄMTLANDS LÄN</t>
        </is>
      </c>
      <c r="G378" t="inlineStr">
        <is>
          <t>ÅRE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21140-2026</t>
        </is>
      </c>
      <c r="B379" t="inlineStr">
        <is>
          <t>avverkningsanmälan</t>
        </is>
      </c>
      <c r="C379" t="inlineStr">
        <is>
          <t>Föryngringsavverkning</t>
        </is>
      </c>
      <c r="D379" s="1" t="n">
        <v>46146</v>
      </c>
      <c r="E379" s="1" t="n">
        <v>46277</v>
      </c>
      <c r="F379" t="inlineStr">
        <is>
          <t>JÄMTLANDS LÄN</t>
        </is>
      </c>
      <c r="G379" t="inlineStr">
        <is>
          <t>ÅRE</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12286-2023</t>
        </is>
      </c>
      <c r="B380" t="inlineStr">
        <is>
          <t>avverkningsanmälan</t>
        </is>
      </c>
      <c r="C380" t="inlineStr">
        <is>
          <t>Föryngringsavverkning</t>
        </is>
      </c>
      <c r="D380" s="1" t="n">
        <v>44998</v>
      </c>
      <c r="E380" s="1" t="n">
        <v>46277</v>
      </c>
      <c r="F380" t="inlineStr">
        <is>
          <t>JÄMTLANDS LÄN</t>
        </is>
      </c>
      <c r="G380" t="inlineStr">
        <is>
          <t>ÅRE</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45105-2024</t>
        </is>
      </c>
      <c r="B381" t="inlineStr">
        <is>
          <t>avverkningsanmälan</t>
        </is>
      </c>
      <c r="C381" t="inlineStr">
        <is>
          <t>Föryngringsavverkning</t>
        </is>
      </c>
      <c r="D381" s="1" t="n">
        <v>45575</v>
      </c>
      <c r="E381" s="1" t="n">
        <v>46277</v>
      </c>
      <c r="F381" t="inlineStr">
        <is>
          <t>JÄMTLANDS LÄN</t>
        </is>
      </c>
      <c r="G381" t="inlineStr">
        <is>
          <t>ÅRE</t>
        </is>
      </c>
      <c r="H381" t="inlineStr">
        <is>
          <t>Övriga Aktiebolag</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11112-2022</t>
        </is>
      </c>
      <c r="B382" t="inlineStr">
        <is>
          <t>avverkningsanmälan</t>
        </is>
      </c>
      <c r="C382" t="inlineStr">
        <is>
          <t>Föryngringsavverkning</t>
        </is>
      </c>
      <c r="D382" s="1" t="n">
        <v>44628</v>
      </c>
      <c r="E382" s="1" t="n">
        <v>46277</v>
      </c>
      <c r="F382" t="inlineStr">
        <is>
          <t>JÄMTLANDS LÄN</t>
        </is>
      </c>
      <c r="G382" t="inlineStr">
        <is>
          <t>ÅRE</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21312-2026</t>
        </is>
      </c>
      <c r="B383" t="inlineStr">
        <is>
          <t>avverkningsanmälan</t>
        </is>
      </c>
      <c r="C383" t="inlineStr">
        <is>
          <t>Föryngringsavverkning</t>
        </is>
      </c>
      <c r="D383" s="1" t="n">
        <v>46147</v>
      </c>
      <c r="E383" s="1" t="n">
        <v>46277</v>
      </c>
      <c r="F383" t="inlineStr">
        <is>
          <t>JÄMTLANDS LÄN</t>
        </is>
      </c>
      <c r="G383" t="inlineStr">
        <is>
          <t>ÅRE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39195-2024</t>
        </is>
      </c>
      <c r="B384" t="inlineStr">
        <is>
          <t>avverkningsanmälan</t>
        </is>
      </c>
      <c r="C384" t="inlineStr">
        <is>
          <t>Avverkning för annat ändamål</t>
        </is>
      </c>
      <c r="D384" s="1" t="n">
        <v>45548</v>
      </c>
      <c r="E384" s="1" t="n">
        <v>46277</v>
      </c>
      <c r="F384" t="inlineStr">
        <is>
          <t>JÄMTLANDS LÄN</t>
        </is>
      </c>
      <c r="G384" t="inlineStr">
        <is>
          <t>ÅRE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17703-2023</t>
        </is>
      </c>
      <c r="B385" t="inlineStr">
        <is>
          <t>avverkningsanmälan</t>
        </is>
      </c>
      <c r="C385" t="inlineStr">
        <is>
          <t>Föryngringsavverkning</t>
        </is>
      </c>
      <c r="D385" s="1" t="n">
        <v>45037</v>
      </c>
      <c r="E385" s="1" t="n">
        <v>46277</v>
      </c>
      <c r="F385" t="inlineStr">
        <is>
          <t>JÄMTLANDS LÄN</t>
        </is>
      </c>
      <c r="G385" t="inlineStr">
        <is>
          <t>ÅRE</t>
        </is>
      </c>
      <c r="H385" t="inlineStr">
        <is>
          <t>Övriga Aktiebolag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57150-2021</t>
        </is>
      </c>
      <c r="B386" t="inlineStr">
        <is>
          <t>avverkningsanmälan</t>
        </is>
      </c>
      <c r="C386" t="inlineStr">
        <is>
          <t>Avverkning för annat ändamål</t>
        </is>
      </c>
      <c r="D386" s="1" t="n">
        <v>44482</v>
      </c>
      <c r="E386" s="1" t="n">
        <v>46277</v>
      </c>
      <c r="F386" t="inlineStr">
        <is>
          <t>JÄMTLANDS LÄN</t>
        </is>
      </c>
      <c r="G386" t="inlineStr">
        <is>
          <t>ÅRE</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73798-2021</t>
        </is>
      </c>
      <c r="B387" t="inlineStr">
        <is>
          <t>avverkningsanmälan</t>
        </is>
      </c>
      <c r="C387" t="inlineStr">
        <is>
          <t>Föryngringsavverkning</t>
        </is>
      </c>
      <c r="D387" s="1" t="n">
        <v>44552</v>
      </c>
      <c r="E387" s="1" t="n">
        <v>46277</v>
      </c>
      <c r="F387" t="inlineStr">
        <is>
          <t>JÄMTLANDS LÄN</t>
        </is>
      </c>
      <c r="G387" t="inlineStr">
        <is>
          <t>ÅRE</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22689-2026</t>
        </is>
      </c>
      <c r="B388" t="inlineStr">
        <is>
          <t>avverkningsanmälan</t>
        </is>
      </c>
      <c r="C388" t="inlineStr">
        <is>
          <t>Föryngringsavverkning</t>
        </is>
      </c>
      <c r="D388" s="1" t="n">
        <v>46156</v>
      </c>
      <c r="E388" s="1" t="n">
        <v>46277</v>
      </c>
      <c r="F388" t="inlineStr">
        <is>
          <t>JÄMTLANDS LÄN</t>
        </is>
      </c>
      <c r="G388" t="inlineStr">
        <is>
          <t>ÅRE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22891-2026</t>
        </is>
      </c>
      <c r="B389" t="inlineStr">
        <is>
          <t>avverkningsanmälan</t>
        </is>
      </c>
      <c r="C389" t="inlineStr">
        <is>
          <t>Föryngringsavverkning</t>
        </is>
      </c>
      <c r="D389" s="1" t="n">
        <v>46160</v>
      </c>
      <c r="E389" s="1" t="n">
        <v>46277</v>
      </c>
      <c r="F389" t="inlineStr">
        <is>
          <t>JÄMTLANDS LÄN</t>
        </is>
      </c>
      <c r="G389" t="inlineStr">
        <is>
          <t>ÅRE</t>
        </is>
      </c>
      <c r="H389" t="inlineStr">
        <is>
          <t>Övriga Aktiebolag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52676-2023</t>
        </is>
      </c>
      <c r="B390" t="inlineStr">
        <is>
          <t>avverkningsanmälan</t>
        </is>
      </c>
      <c r="C390" t="inlineStr">
        <is>
          <t>Föryngringsavverkning</t>
        </is>
      </c>
      <c r="D390" s="1" t="n">
        <v>45225</v>
      </c>
      <c r="E390" s="1" t="n">
        <v>46277</v>
      </c>
      <c r="F390" t="inlineStr">
        <is>
          <t>JÄMTLANDS LÄN</t>
        </is>
      </c>
      <c r="G390" t="inlineStr">
        <is>
          <t>ÅRE</t>
        </is>
      </c>
      <c r="H390" t="inlineStr">
        <is>
          <t>Övriga Aktiebolag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22904-2026</t>
        </is>
      </c>
      <c r="B391" t="inlineStr">
        <is>
          <t>avverkningsanmälan</t>
        </is>
      </c>
      <c r="C391" t="inlineStr">
        <is>
          <t>Föryngringsavverkning</t>
        </is>
      </c>
      <c r="D391" s="1" t="n">
        <v>46160</v>
      </c>
      <c r="E391" s="1" t="n">
        <v>46277</v>
      </c>
      <c r="F391" t="inlineStr">
        <is>
          <t>JÄMTLANDS LÄN</t>
        </is>
      </c>
      <c r="G391" t="inlineStr">
        <is>
          <t>ÅRE</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12216-2023</t>
        </is>
      </c>
      <c r="B392" t="inlineStr">
        <is>
          <t>avverkningsanmälan</t>
        </is>
      </c>
      <c r="C392" t="inlineStr">
        <is>
          <t>Föryngringsavverkning</t>
        </is>
      </c>
      <c r="D392" s="1" t="n">
        <v>44998</v>
      </c>
      <c r="E392" s="1" t="n">
        <v>46277</v>
      </c>
      <c r="F392" t="inlineStr">
        <is>
          <t>JÄMTLANDS LÄN</t>
        </is>
      </c>
      <c r="G392" t="inlineStr">
        <is>
          <t>ÅRE</t>
        </is>
      </c>
      <c r="I392" t="n">
        <v>11.8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55033-2024</t>
        </is>
      </c>
      <c r="B393" t="inlineStr">
        <is>
          <t>avverkningsanmälan</t>
        </is>
      </c>
      <c r="C393" t="inlineStr">
        <is>
          <t>Föryngringsavverkning</t>
        </is>
      </c>
      <c r="D393" s="1" t="n">
        <v>45621</v>
      </c>
      <c r="E393" s="1" t="n">
        <v>46277</v>
      </c>
      <c r="F393" t="inlineStr">
        <is>
          <t>JÄMTLANDS LÄN</t>
        </is>
      </c>
      <c r="G393" t="inlineStr">
        <is>
          <t>ÅRE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69568-2021</t>
        </is>
      </c>
      <c r="B394" t="inlineStr">
        <is>
          <t>avverkningsanmälan</t>
        </is>
      </c>
      <c r="C394" t="inlineStr">
        <is>
          <t>Föryngringsavverkning</t>
        </is>
      </c>
      <c r="D394" s="1" t="n">
        <v>44531</v>
      </c>
      <c r="E394" s="1" t="n">
        <v>46277</v>
      </c>
      <c r="F394" t="inlineStr">
        <is>
          <t>JÄMTLANDS LÄN</t>
        </is>
      </c>
      <c r="G394" t="inlineStr">
        <is>
          <t>ÅRE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23045-2026</t>
        </is>
      </c>
      <c r="B395" t="inlineStr">
        <is>
          <t>avverkningsanmälan</t>
        </is>
      </c>
      <c r="C395" t="inlineStr">
        <is>
          <t>Föryngringsavverkning</t>
        </is>
      </c>
      <c r="D395" s="1" t="n">
        <v>46161</v>
      </c>
      <c r="E395" s="1" t="n">
        <v>46277</v>
      </c>
      <c r="F395" t="inlineStr">
        <is>
          <t>JÄMTLANDS LÄN</t>
        </is>
      </c>
      <c r="G395" t="inlineStr">
        <is>
          <t>ÅRE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44644-2025</t>
        </is>
      </c>
      <c r="B396" t="inlineStr">
        <is>
          <t>avverkningsanmälan</t>
        </is>
      </c>
      <c r="C396" t="inlineStr">
        <is>
          <t>Föryngringsavverkning</t>
        </is>
      </c>
      <c r="D396" s="1" t="n">
        <v>45917</v>
      </c>
      <c r="E396" s="1" t="n">
        <v>46277</v>
      </c>
      <c r="F396" t="inlineStr">
        <is>
          <t>JÄMTLANDS LÄN</t>
        </is>
      </c>
      <c r="G396" t="inlineStr">
        <is>
          <t>ÅRE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23081-2026</t>
        </is>
      </c>
      <c r="B397" t="inlineStr">
        <is>
          <t>avverkningsanmälan</t>
        </is>
      </c>
      <c r="C397" t="inlineStr">
        <is>
          <t>Föryngringsavverkning</t>
        </is>
      </c>
      <c r="D397" s="1" t="n">
        <v>46161</v>
      </c>
      <c r="E397" s="1" t="n">
        <v>46277</v>
      </c>
      <c r="F397" t="inlineStr">
        <is>
          <t>JÄMTLANDS LÄN</t>
        </is>
      </c>
      <c r="G397" t="inlineStr">
        <is>
          <t>ÅRE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41653-2024</t>
        </is>
      </c>
      <c r="B398" t="inlineStr">
        <is>
          <t>avverkningsanmälan</t>
        </is>
      </c>
      <c r="C398" t="inlineStr">
        <is>
          <t>Avverkning för annat ändamål</t>
        </is>
      </c>
      <c r="D398" s="1" t="n">
        <v>45560</v>
      </c>
      <c r="E398" s="1" t="n">
        <v>46277</v>
      </c>
      <c r="F398" t="inlineStr">
        <is>
          <t>JÄMTLANDS LÄN</t>
        </is>
      </c>
      <c r="G398" t="inlineStr">
        <is>
          <t>ÅRE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41686-2024</t>
        </is>
      </c>
      <c r="B399" t="inlineStr">
        <is>
          <t>avverkningsanmälan</t>
        </is>
      </c>
      <c r="C399" t="inlineStr">
        <is>
          <t>Avverkning för annat ändamål</t>
        </is>
      </c>
      <c r="D399" s="1" t="n">
        <v>45560</v>
      </c>
      <c r="E399" s="1" t="n">
        <v>46277</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50344-2024</t>
        </is>
      </c>
      <c r="B400" t="inlineStr">
        <is>
          <t>avverkningsanmälan</t>
        </is>
      </c>
      <c r="C400" t="inlineStr">
        <is>
          <t>Föryngringsavverkning</t>
        </is>
      </c>
      <c r="D400" s="1" t="n">
        <v>45600</v>
      </c>
      <c r="E400" s="1" t="n">
        <v>46277</v>
      </c>
      <c r="F400" t="inlineStr">
        <is>
          <t>JÄMTLANDS LÄN</t>
        </is>
      </c>
      <c r="G400" t="inlineStr">
        <is>
          <t>ÅRE</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59325-2024</t>
        </is>
      </c>
      <c r="B401" t="inlineStr">
        <is>
          <t>avverkningsanmälan</t>
        </is>
      </c>
      <c r="C401" t="inlineStr">
        <is>
          <t>Avverkning för annat ändamål</t>
        </is>
      </c>
      <c r="D401" s="1" t="n">
        <v>45636</v>
      </c>
      <c r="E401" s="1" t="n">
        <v>46277</v>
      </c>
      <c r="F401" t="inlineStr">
        <is>
          <t>JÄMTLANDS LÄN</t>
        </is>
      </c>
      <c r="G401" t="inlineStr">
        <is>
          <t>ÅRE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4272-2025</t>
        </is>
      </c>
      <c r="B402" t="inlineStr">
        <is>
          <t>avverkningsanmälan</t>
        </is>
      </c>
      <c r="C402" t="inlineStr">
        <is>
          <t>Föryngringsavverkning</t>
        </is>
      </c>
      <c r="D402" s="1" t="n">
        <v>45685</v>
      </c>
      <c r="E402" s="1" t="n">
        <v>46277</v>
      </c>
      <c r="F402" t="inlineStr">
        <is>
          <t>JÄMTLANDS LÄN</t>
        </is>
      </c>
      <c r="G402" t="inlineStr">
        <is>
          <t>ÅRE</t>
        </is>
      </c>
      <c r="H402" t="inlineStr">
        <is>
          <t>Övriga Aktiebolag</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5923-2022</t>
        </is>
      </c>
      <c r="B403" t="inlineStr">
        <is>
          <t>avverkningsanmälan</t>
        </is>
      </c>
      <c r="C403" t="inlineStr">
        <is>
          <t>Föryngringsavverkning</t>
        </is>
      </c>
      <c r="D403" s="1" t="n">
        <v>44598</v>
      </c>
      <c r="E403" s="1" t="n">
        <v>46277</v>
      </c>
      <c r="F403" t="inlineStr">
        <is>
          <t>JÄMTLANDS LÄN</t>
        </is>
      </c>
      <c r="G403" t="inlineStr">
        <is>
          <t>ÅRE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46788-2024</t>
        </is>
      </c>
      <c r="B404" t="inlineStr">
        <is>
          <t>avverkningsanmälan</t>
        </is>
      </c>
      <c r="C404" t="inlineStr">
        <is>
          <t>Avverkning för annat ändamål</t>
        </is>
      </c>
      <c r="D404" s="1" t="n">
        <v>45583</v>
      </c>
      <c r="E404" s="1" t="n">
        <v>46277</v>
      </c>
      <c r="F404" t="inlineStr">
        <is>
          <t>JÄMTLANDS LÄN</t>
        </is>
      </c>
      <c r="G404" t="inlineStr">
        <is>
          <t>ÅRE</t>
        </is>
      </c>
      <c r="H404" t="inlineStr">
        <is>
          <t>Övriga Aktiebolag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60973-2023</t>
        </is>
      </c>
      <c r="B405" t="inlineStr">
        <is>
          <t>avverkningsanmälan</t>
        </is>
      </c>
      <c r="C405" t="inlineStr">
        <is>
          <t>Föryngringsavverkning</t>
        </is>
      </c>
      <c r="D405" s="1" t="n">
        <v>45261</v>
      </c>
      <c r="E405" s="1" t="n">
        <v>46277</v>
      </c>
      <c r="F405" t="inlineStr">
        <is>
          <t>JÄMTLANDS LÄN</t>
        </is>
      </c>
      <c r="G405" t="inlineStr">
        <is>
          <t>ÅRE</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34925-2025</t>
        </is>
      </c>
      <c r="B406" t="inlineStr">
        <is>
          <t>avverkningsanmälan</t>
        </is>
      </c>
      <c r="C406" t="inlineStr">
        <is>
          <t>Föryngringsavverkning</t>
        </is>
      </c>
      <c r="D406" s="1" t="n">
        <v>45849</v>
      </c>
      <c r="E406" s="1" t="n">
        <v>46277</v>
      </c>
      <c r="F406" t="inlineStr">
        <is>
          <t>JÄMTLANDS LÄN</t>
        </is>
      </c>
      <c r="G406" t="inlineStr">
        <is>
          <t>ÅRE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18849-2022</t>
        </is>
      </c>
      <c r="B407" t="inlineStr">
        <is>
          <t>avverkningsanmälan</t>
        </is>
      </c>
      <c r="C407" t="inlineStr">
        <is>
          <t>Föryngringsavverkning</t>
        </is>
      </c>
      <c r="D407" s="1" t="n">
        <v>44690</v>
      </c>
      <c r="E407" s="1" t="n">
        <v>46277</v>
      </c>
      <c r="F407" t="inlineStr">
        <is>
          <t>JÄMTLANDS LÄN</t>
        </is>
      </c>
      <c r="G407" t="inlineStr">
        <is>
          <t>ÅRE</t>
        </is>
      </c>
      <c r="I407" t="n">
        <v>12.8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38285-2025</t>
        </is>
      </c>
      <c r="B408" t="inlineStr">
        <is>
          <t>avverkningsanmälan</t>
        </is>
      </c>
      <c r="C408" t="inlineStr">
        <is>
          <t>Föryngringsavverkning</t>
        </is>
      </c>
      <c r="D408" s="1" t="n">
        <v>45883</v>
      </c>
      <c r="E408" s="1" t="n">
        <v>46277</v>
      </c>
      <c r="F408" t="inlineStr">
        <is>
          <t>JÄMTLANDS LÄN</t>
        </is>
      </c>
      <c r="G408" t="inlineStr">
        <is>
          <t>ÅRE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23118-2022</t>
        </is>
      </c>
      <c r="B409" t="inlineStr">
        <is>
          <t>avverkningsanmälan</t>
        </is>
      </c>
      <c r="C409" t="inlineStr">
        <is>
          <t>Föryngringsavverkning</t>
        </is>
      </c>
      <c r="D409" s="1" t="n">
        <v>44719</v>
      </c>
      <c r="E409" s="1" t="n">
        <v>46277</v>
      </c>
      <c r="F409" t="inlineStr">
        <is>
          <t>JÄMTLANDS LÄN</t>
        </is>
      </c>
      <c r="G409" t="inlineStr">
        <is>
          <t>ÅRE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51452-2024</t>
        </is>
      </c>
      <c r="B410" t="inlineStr">
        <is>
          <t>avverkningsanmälan</t>
        </is>
      </c>
      <c r="C410" t="inlineStr">
        <is>
          <t>Föryngringsavverkning</t>
        </is>
      </c>
      <c r="D410" s="1" t="n">
        <v>45604</v>
      </c>
      <c r="E410" s="1" t="n">
        <v>46277</v>
      </c>
      <c r="F410" t="inlineStr">
        <is>
          <t>JÄMTLANDS LÄN</t>
        </is>
      </c>
      <c r="G410" t="inlineStr">
        <is>
          <t>ÅRE</t>
        </is>
      </c>
      <c r="I410" t="n">
        <v>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51277-2023</t>
        </is>
      </c>
      <c r="B411" t="inlineStr">
        <is>
          <t>avverkningsanmälan</t>
        </is>
      </c>
      <c r="C411" t="inlineStr">
        <is>
          <t>Avverkning för annat ändamål</t>
        </is>
      </c>
      <c r="D411" s="1" t="n">
        <v>45219</v>
      </c>
      <c r="E411" s="1" t="n">
        <v>46277</v>
      </c>
      <c r="F411" t="inlineStr">
        <is>
          <t>JÄMTLANDS LÄN</t>
        </is>
      </c>
      <c r="G411" t="inlineStr">
        <is>
          <t>ÅRE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51282-2023</t>
        </is>
      </c>
      <c r="B412" t="inlineStr">
        <is>
          <t>avverkningsanmälan</t>
        </is>
      </c>
      <c r="C412" t="inlineStr">
        <is>
          <t>Avverkning för annat ändamål</t>
        </is>
      </c>
      <c r="D412" s="1" t="n">
        <v>45219</v>
      </c>
      <c r="E412" s="1" t="n">
        <v>46277</v>
      </c>
      <c r="F412" t="inlineStr">
        <is>
          <t>JÄMTLANDS LÄN</t>
        </is>
      </c>
      <c r="G412" t="inlineStr">
        <is>
          <t>ÅRE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22133-2026</t>
        </is>
      </c>
      <c r="B413" t="inlineStr">
        <is>
          <t>avverkningsanmälan</t>
        </is>
      </c>
      <c r="C413" t="inlineStr">
        <is>
          <t>Avverkning för annat ändamål</t>
        </is>
      </c>
      <c r="D413" s="1" t="n">
        <v>46153</v>
      </c>
      <c r="E413" s="1" t="n">
        <v>46277</v>
      </c>
      <c r="F413" t="inlineStr">
        <is>
          <t>JÄMTLANDS LÄN</t>
        </is>
      </c>
      <c r="G413" t="inlineStr">
        <is>
          <t>ÅRE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36234-2023</t>
        </is>
      </c>
      <c r="B414" t="inlineStr">
        <is>
          <t>avverkningsanmälan</t>
        </is>
      </c>
      <c r="C414" t="inlineStr">
        <is>
          <t>Avverkning för annat ändamål</t>
        </is>
      </c>
      <c r="D414" s="1" t="n">
        <v>45150</v>
      </c>
      <c r="E414" s="1" t="n">
        <v>46277</v>
      </c>
      <c r="F414" t="inlineStr">
        <is>
          <t>JÄMTLANDS LÄN</t>
        </is>
      </c>
      <c r="G414" t="inlineStr">
        <is>
          <t>ÅRE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51444-2024</t>
        </is>
      </c>
      <c r="B415" t="inlineStr">
        <is>
          <t>avverkningsanmälan</t>
        </is>
      </c>
      <c r="C415" t="inlineStr">
        <is>
          <t>Föryngringsavverkning</t>
        </is>
      </c>
      <c r="D415" s="1" t="n">
        <v>45604</v>
      </c>
      <c r="E415" s="1" t="n">
        <v>46277</v>
      </c>
      <c r="F415" t="inlineStr">
        <is>
          <t>JÄMTLANDS LÄN</t>
        </is>
      </c>
      <c r="G415" t="inlineStr">
        <is>
          <t>ÅRE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59916-2023</t>
        </is>
      </c>
      <c r="B416" t="inlineStr">
        <is>
          <t>avverkningsanmälan</t>
        </is>
      </c>
      <c r="C416" t="inlineStr">
        <is>
          <t>Föryngringsavverkning</t>
        </is>
      </c>
      <c r="D416" s="1" t="n">
        <v>45257</v>
      </c>
      <c r="E416" s="1" t="n">
        <v>46277</v>
      </c>
      <c r="F416" t="inlineStr">
        <is>
          <t>JÄMTLANDS LÄN</t>
        </is>
      </c>
      <c r="G416" t="inlineStr">
        <is>
          <t>ÅRE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47664-2022</t>
        </is>
      </c>
      <c r="B417" t="inlineStr">
        <is>
          <t>avverkningsanmälan</t>
        </is>
      </c>
      <c r="C417" t="inlineStr">
        <is>
          <t>Föryngringsavverkning</t>
        </is>
      </c>
      <c r="D417" s="1" t="n">
        <v>44854</v>
      </c>
      <c r="E417" s="1" t="n">
        <v>46277</v>
      </c>
      <c r="F417" t="inlineStr">
        <is>
          <t>JÄMTLANDS LÄN</t>
        </is>
      </c>
      <c r="G417" t="inlineStr">
        <is>
          <t>ÅRE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57448-2023</t>
        </is>
      </c>
      <c r="B418" t="inlineStr">
        <is>
          <t>avverkningsanmälan</t>
        </is>
      </c>
      <c r="C418" t="inlineStr">
        <is>
          <t>Föryngringsavverkning</t>
        </is>
      </c>
      <c r="D418" s="1" t="n">
        <v>45246</v>
      </c>
      <c r="E418" s="1" t="n">
        <v>46277</v>
      </c>
      <c r="F418" t="inlineStr">
        <is>
          <t>JÄMTLANDS LÄN</t>
        </is>
      </c>
      <c r="G418" t="inlineStr">
        <is>
          <t>ÅRE</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42136-2022</t>
        </is>
      </c>
      <c r="B419" t="inlineStr">
        <is>
          <t>avverkningsanmälan</t>
        </is>
      </c>
      <c r="C419" t="inlineStr">
        <is>
          <t>Föryngringsavverkning</t>
        </is>
      </c>
      <c r="D419" s="1" t="n">
        <v>44830</v>
      </c>
      <c r="E419" s="1" t="n">
        <v>46277</v>
      </c>
      <c r="F419" t="inlineStr">
        <is>
          <t>JÄMTLANDS LÄN</t>
        </is>
      </c>
      <c r="G419" t="inlineStr">
        <is>
          <t>ÅRE</t>
        </is>
      </c>
      <c r="H419" t="inlineStr">
        <is>
          <t>Bergvik skog öst AB</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1159-2023</t>
        </is>
      </c>
      <c r="B420" t="inlineStr">
        <is>
          <t>avverkningsanmälan</t>
        </is>
      </c>
      <c r="C420" t="inlineStr">
        <is>
          <t>Föryngringsavverkning</t>
        </is>
      </c>
      <c r="D420" s="1" t="n">
        <v>44935</v>
      </c>
      <c r="E420" s="1" t="n">
        <v>46277</v>
      </c>
      <c r="F420" t="inlineStr">
        <is>
          <t>JÄMTLANDS LÄN</t>
        </is>
      </c>
      <c r="G420" t="inlineStr">
        <is>
          <t>ÅRE</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58508-2023</t>
        </is>
      </c>
      <c r="B421" t="inlineStr">
        <is>
          <t>avverkningsanmälan</t>
        </is>
      </c>
      <c r="C421" t="inlineStr">
        <is>
          <t>Föryngringsavverkning</t>
        </is>
      </c>
      <c r="D421" s="1" t="n">
        <v>45246</v>
      </c>
      <c r="E421" s="1" t="n">
        <v>46277</v>
      </c>
      <c r="F421" t="inlineStr">
        <is>
          <t>JÄMTLANDS LÄN</t>
        </is>
      </c>
      <c r="G421" t="inlineStr">
        <is>
          <t>ÅRE</t>
        </is>
      </c>
      <c r="I421" t="n">
        <v>21.8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26653-2026</t>
        </is>
      </c>
      <c r="B422" t="inlineStr">
        <is>
          <t>avverkningsanmälan</t>
        </is>
      </c>
      <c r="C422" t="inlineStr">
        <is>
          <t>Föryngringsavverkning</t>
        </is>
      </c>
      <c r="D422" s="1" t="n">
        <v>46184</v>
      </c>
      <c r="E422" s="1" t="n">
        <v>46277</v>
      </c>
      <c r="F422" t="inlineStr">
        <is>
          <t>JÄMTLANDS LÄN</t>
        </is>
      </c>
      <c r="G422" t="inlineStr">
        <is>
          <t>ÅRE</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27861-2026</t>
        </is>
      </c>
      <c r="B423" t="inlineStr">
        <is>
          <t>avverkningsanmälan</t>
        </is>
      </c>
      <c r="C423" t="inlineStr">
        <is>
          <t>Föryngringsavverkning</t>
        </is>
      </c>
      <c r="D423" s="1" t="n">
        <v>46189</v>
      </c>
      <c r="E423" s="1" t="n">
        <v>46277</v>
      </c>
      <c r="F423" t="inlineStr">
        <is>
          <t>JÄMTLANDS LÄN</t>
        </is>
      </c>
      <c r="G423" t="inlineStr">
        <is>
          <t>ÅRE</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27866-2026</t>
        </is>
      </c>
      <c r="B424" t="inlineStr">
        <is>
          <t>avverkningsanmälan</t>
        </is>
      </c>
      <c r="C424" t="inlineStr">
        <is>
          <t>Föryngringsavverkning</t>
        </is>
      </c>
      <c r="D424" s="1" t="n">
        <v>46189</v>
      </c>
      <c r="E424" s="1" t="n">
        <v>46277</v>
      </c>
      <c r="F424" t="inlineStr">
        <is>
          <t>JÄMTLANDS LÄN</t>
        </is>
      </c>
      <c r="G424" t="inlineStr">
        <is>
          <t>ÅRE</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12292-2023</t>
        </is>
      </c>
      <c r="B425" t="inlineStr">
        <is>
          <t>avverkningsanmälan</t>
        </is>
      </c>
      <c r="C425" t="inlineStr">
        <is>
          <t>Föryngringsavverkning</t>
        </is>
      </c>
      <c r="D425" s="1" t="n">
        <v>44998</v>
      </c>
      <c r="E425" s="1" t="n">
        <v>46277</v>
      </c>
      <c r="F425" t="inlineStr">
        <is>
          <t>JÄMTLANDS LÄN</t>
        </is>
      </c>
      <c r="G425" t="inlineStr">
        <is>
          <t>ÅRE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12294-2023</t>
        </is>
      </c>
      <c r="B426" t="inlineStr">
        <is>
          <t>avverkningsanmälan</t>
        </is>
      </c>
      <c r="C426" t="inlineStr">
        <is>
          <t>Föryngringsavverkning</t>
        </is>
      </c>
      <c r="D426" s="1" t="n">
        <v>44998</v>
      </c>
      <c r="E426" s="1" t="n">
        <v>46277</v>
      </c>
      <c r="F426" t="inlineStr">
        <is>
          <t>JÄMTLANDS LÄN</t>
        </is>
      </c>
      <c r="G426" t="inlineStr">
        <is>
          <t>ÅRE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32210-2022</t>
        </is>
      </c>
      <c r="B427" t="inlineStr">
        <is>
          <t>avverkningsanmälan</t>
        </is>
      </c>
      <c r="C427" t="inlineStr">
        <is>
          <t>Föryngringsavverkning</t>
        </is>
      </c>
      <c r="D427" s="1" t="n">
        <v>44781</v>
      </c>
      <c r="E427" s="1" t="n">
        <v>46277</v>
      </c>
      <c r="F427" t="inlineStr">
        <is>
          <t>JÄMTLANDS LÄN</t>
        </is>
      </c>
      <c r="G427" t="inlineStr">
        <is>
          <t>ÅRE</t>
        </is>
      </c>
      <c r="I427" t="n">
        <v>17.3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71968-2021</t>
        </is>
      </c>
      <c r="B428" t="inlineStr">
        <is>
          <t>avverkningsanmälan</t>
        </is>
      </c>
      <c r="C428" t="inlineStr">
        <is>
          <t>Föryngringsavverkning</t>
        </is>
      </c>
      <c r="D428" s="1" t="n">
        <v>44540</v>
      </c>
      <c r="E428" s="1" t="n">
        <v>46277</v>
      </c>
      <c r="F428" t="inlineStr">
        <is>
          <t>JÄMTLANDS LÄN</t>
        </is>
      </c>
      <c r="G428" t="inlineStr">
        <is>
          <t>ÅRE</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33003-2022</t>
        </is>
      </c>
      <c r="B429" t="inlineStr">
        <is>
          <t>avverkningsanmälan</t>
        </is>
      </c>
      <c r="C429" t="inlineStr">
        <is>
          <t>Föryngringsavverkning</t>
        </is>
      </c>
      <c r="D429" s="1" t="n">
        <v>44784</v>
      </c>
      <c r="E429" s="1" t="n">
        <v>46277</v>
      </c>
      <c r="F429" t="inlineStr">
        <is>
          <t>JÄMTLANDS LÄN</t>
        </is>
      </c>
      <c r="G429" t="inlineStr">
        <is>
          <t>ÅRE</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54116-2023</t>
        </is>
      </c>
      <c r="B430" t="inlineStr">
        <is>
          <t>avverkningsanmälan</t>
        </is>
      </c>
      <c r="C430" t="inlineStr">
        <is>
          <t>Föryngringsavverkning</t>
        </is>
      </c>
      <c r="D430" s="1" t="n">
        <v>45232</v>
      </c>
      <c r="E430" s="1" t="n">
        <v>46277</v>
      </c>
      <c r="F430" t="inlineStr">
        <is>
          <t>JÄMTLANDS LÄN</t>
        </is>
      </c>
      <c r="G430" t="inlineStr">
        <is>
          <t>ÅRE</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48599-2023</t>
        </is>
      </c>
      <c r="B431" t="inlineStr">
        <is>
          <t>avverkningsanmälan</t>
        </is>
      </c>
      <c r="C431" t="inlineStr">
        <is>
          <t>Avverkning för annat ändamål</t>
        </is>
      </c>
      <c r="D431" s="1" t="n">
        <v>45208</v>
      </c>
      <c r="E431" s="1" t="n">
        <v>46277</v>
      </c>
      <c r="F431" t="inlineStr">
        <is>
          <t>JÄMTLANDS LÄN</t>
        </is>
      </c>
      <c r="G431" t="inlineStr">
        <is>
          <t>ÅRE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32242-2026</t>
        </is>
      </c>
      <c r="B432" t="inlineStr">
        <is>
          <t>avverkningsanmälan</t>
        </is>
      </c>
      <c r="C432" t="inlineStr">
        <is>
          <t>Föryngringsavverkning</t>
        </is>
      </c>
      <c r="D432" s="1" t="n">
        <v>46237</v>
      </c>
      <c r="E432" s="1" t="n">
        <v>46277</v>
      </c>
      <c r="F432" t="inlineStr">
        <is>
          <t>JÄMTLANDS LÄN</t>
        </is>
      </c>
      <c r="G432" t="inlineStr">
        <is>
          <t>ÅRE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20160-2025</t>
        </is>
      </c>
      <c r="B433" t="inlineStr">
        <is>
          <t>avverkningsanmälan</t>
        </is>
      </c>
      <c r="C433" t="inlineStr">
        <is>
          <t>Avverkning för annat ändamål</t>
        </is>
      </c>
      <c r="D433" s="1" t="n">
        <v>45772</v>
      </c>
      <c r="E433" s="1" t="n">
        <v>46277</v>
      </c>
      <c r="F433" t="inlineStr">
        <is>
          <t>JÄMTLANDS LÄN</t>
        </is>
      </c>
      <c r="G433" t="inlineStr">
        <is>
          <t>ÅRE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59215-2024</t>
        </is>
      </c>
      <c r="B434" t="inlineStr">
        <is>
          <t>avverkningsanmälan</t>
        </is>
      </c>
      <c r="C434" t="inlineStr">
        <is>
          <t>Avverkning för annat ändamål</t>
        </is>
      </c>
      <c r="D434" s="1" t="n">
        <v>45636</v>
      </c>
      <c r="E434" s="1" t="n">
        <v>46277</v>
      </c>
      <c r="F434" t="inlineStr">
        <is>
          <t>JÄMTLANDS LÄN</t>
        </is>
      </c>
      <c r="G434" t="inlineStr">
        <is>
          <t>ÅRE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58940-2021</t>
        </is>
      </c>
      <c r="B435" t="inlineStr">
        <is>
          <t>avverkningsanmälan</t>
        </is>
      </c>
      <c r="C435" t="inlineStr">
        <is>
          <t>Föryngringsavverkning</t>
        </is>
      </c>
      <c r="D435" s="1" t="n">
        <v>44489</v>
      </c>
      <c r="E435" s="1" t="n">
        <v>46277</v>
      </c>
      <c r="F435" t="inlineStr">
        <is>
          <t>JÄMTLANDS LÄN</t>
        </is>
      </c>
      <c r="G435" t="inlineStr">
        <is>
          <t>ÅRE</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32492-2026</t>
        </is>
      </c>
      <c r="B436" t="inlineStr">
        <is>
          <t>avverkningsanmälan</t>
        </is>
      </c>
      <c r="C436" t="inlineStr">
        <is>
          <t>Föryngringsavverkning</t>
        </is>
      </c>
      <c r="D436" s="1" t="n">
        <v>46239</v>
      </c>
      <c r="E436" s="1" t="n">
        <v>46277</v>
      </c>
      <c r="F436" t="inlineStr">
        <is>
          <t>JÄMTLANDS LÄN</t>
        </is>
      </c>
      <c r="G436" t="inlineStr">
        <is>
          <t>ÅRE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45378-2025</t>
        </is>
      </c>
      <c r="B437" t="inlineStr">
        <is>
          <t>avverkningsanmälan</t>
        </is>
      </c>
      <c r="C437" t="inlineStr">
        <is>
          <t>Föryngringsavverkning</t>
        </is>
      </c>
      <c r="D437" s="1" t="n">
        <v>45922</v>
      </c>
      <c r="E437" s="1" t="n">
        <v>46277</v>
      </c>
      <c r="F437" t="inlineStr">
        <is>
          <t>JÄMTLANDS LÄN</t>
        </is>
      </c>
      <c r="G437" t="inlineStr">
        <is>
          <t>ÅRE</t>
        </is>
      </c>
      <c r="I437" t="n">
        <v>15.7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12179-2023</t>
        </is>
      </c>
      <c r="B438" t="inlineStr">
        <is>
          <t>avverkningsanmälan</t>
        </is>
      </c>
      <c r="C438" t="inlineStr">
        <is>
          <t>Föryngringsavverkning</t>
        </is>
      </c>
      <c r="D438" s="1" t="n">
        <v>44998</v>
      </c>
      <c r="E438" s="1" t="n">
        <v>46277</v>
      </c>
      <c r="F438" t="inlineStr">
        <is>
          <t>JÄMTLANDS LÄN</t>
        </is>
      </c>
      <c r="G438" t="inlineStr">
        <is>
          <t>ÅRE</t>
        </is>
      </c>
      <c r="I438" t="n">
        <v>8.5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50574-2025</t>
        </is>
      </c>
      <c r="B439" t="inlineStr">
        <is>
          <t>avverkningsanmälan</t>
        </is>
      </c>
      <c r="C439" t="inlineStr">
        <is>
          <t>Föryngringsavverkning</t>
        </is>
      </c>
      <c r="D439" s="1" t="n">
        <v>45945</v>
      </c>
      <c r="E439" s="1" t="n">
        <v>46277</v>
      </c>
      <c r="F439" t="inlineStr">
        <is>
          <t>JÄMTLANDS LÄN</t>
        </is>
      </c>
      <c r="G439" t="inlineStr">
        <is>
          <t>ÅRE</t>
        </is>
      </c>
      <c r="I439" t="n">
        <v>16.1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32491-2026</t>
        </is>
      </c>
      <c r="B440" t="inlineStr">
        <is>
          <t>avverkningsanmälan</t>
        </is>
      </c>
      <c r="C440" t="inlineStr">
        <is>
          <t>Föryngringsavverkning</t>
        </is>
      </c>
      <c r="D440" s="1" t="n">
        <v>46239</v>
      </c>
      <c r="E440" s="1" t="n">
        <v>46277</v>
      </c>
      <c r="F440" t="inlineStr">
        <is>
          <t>JÄMTLANDS LÄN</t>
        </is>
      </c>
      <c r="G440" t="inlineStr">
        <is>
          <t>ÅRE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28363-2026</t>
        </is>
      </c>
      <c r="B441" t="inlineStr">
        <is>
          <t>avverkningsanmälan</t>
        </is>
      </c>
      <c r="C441" t="inlineStr">
        <is>
          <t>Föryngringsavverkning</t>
        </is>
      </c>
      <c r="D441" s="1" t="n">
        <v>46196</v>
      </c>
      <c r="E441" s="1" t="n">
        <v>46277</v>
      </c>
      <c r="F441" t="inlineStr">
        <is>
          <t>JÄMTLANDS LÄN</t>
        </is>
      </c>
      <c r="G441" t="inlineStr">
        <is>
          <t>ÅRE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28372-2026</t>
        </is>
      </c>
      <c r="B442" t="inlineStr">
        <is>
          <t>avverkningsanmälan</t>
        </is>
      </c>
      <c r="C442" t="inlineStr">
        <is>
          <t>Föryngringsavverkning</t>
        </is>
      </c>
      <c r="D442" s="1" t="n">
        <v>46196</v>
      </c>
      <c r="E442" s="1" t="n">
        <v>46277</v>
      </c>
      <c r="F442" t="inlineStr">
        <is>
          <t>JÄMTLANDS LÄN</t>
        </is>
      </c>
      <c r="G442" t="inlineStr">
        <is>
          <t>ÅRE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28367-2026</t>
        </is>
      </c>
      <c r="B443" t="inlineStr">
        <is>
          <t>avverkningsanmälan</t>
        </is>
      </c>
      <c r="C443" t="inlineStr">
        <is>
          <t>Föryngringsavverkning</t>
        </is>
      </c>
      <c r="D443" s="1" t="n">
        <v>46196</v>
      </c>
      <c r="E443" s="1" t="n">
        <v>46277</v>
      </c>
      <c r="F443" t="inlineStr">
        <is>
          <t>JÄMTLANDS LÄN</t>
        </is>
      </c>
      <c r="G443" t="inlineStr">
        <is>
          <t>ÅRE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28239-2026</t>
        </is>
      </c>
      <c r="B444" t="inlineStr">
        <is>
          <t>avverkningsanmälan</t>
        </is>
      </c>
      <c r="C444" t="inlineStr">
        <is>
          <t>Föryngringsavverkning</t>
        </is>
      </c>
      <c r="D444" s="1" t="n">
        <v>46196</v>
      </c>
      <c r="E444" s="1" t="n">
        <v>46277</v>
      </c>
      <c r="F444" t="inlineStr">
        <is>
          <t>JÄMTLANDS LÄN</t>
        </is>
      </c>
      <c r="G444" t="inlineStr">
        <is>
          <t>ÅRE</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32474-2026</t>
        </is>
      </c>
      <c r="B445" t="inlineStr">
        <is>
          <t>avverkningsanmälan</t>
        </is>
      </c>
      <c r="C445" t="inlineStr">
        <is>
          <t>Föryngringsavverkning</t>
        </is>
      </c>
      <c r="D445" s="1" t="n">
        <v>46239</v>
      </c>
      <c r="E445" s="1" t="n">
        <v>46277</v>
      </c>
      <c r="F445" t="inlineStr">
        <is>
          <t>JÄMTLANDS LÄN</t>
        </is>
      </c>
      <c r="G445" t="inlineStr">
        <is>
          <t>ÅRE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32495-2026</t>
        </is>
      </c>
      <c r="B446" t="inlineStr">
        <is>
          <t>avverkningsanmälan</t>
        </is>
      </c>
      <c r="C446" t="inlineStr">
        <is>
          <t>Föryngringsavverkning</t>
        </is>
      </c>
      <c r="D446" s="1" t="n">
        <v>46239</v>
      </c>
      <c r="E446" s="1" t="n">
        <v>46277</v>
      </c>
      <c r="F446" t="inlineStr">
        <is>
          <t>JÄMTLANDS LÄN</t>
        </is>
      </c>
      <c r="G446" t="inlineStr">
        <is>
          <t>ÅRE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61566-2021</t>
        </is>
      </c>
      <c r="B447" t="inlineStr">
        <is>
          <t>avverkningsanmälan</t>
        </is>
      </c>
      <c r="C447" t="inlineStr">
        <is>
          <t>Föryngringsavverkning</t>
        </is>
      </c>
      <c r="D447" s="1" t="n">
        <v>44496</v>
      </c>
      <c r="E447" s="1" t="n">
        <v>46277</v>
      </c>
      <c r="F447" t="inlineStr">
        <is>
          <t>JÄMTLANDS LÄN</t>
        </is>
      </c>
      <c r="G447" t="inlineStr">
        <is>
          <t>ÅRE</t>
        </is>
      </c>
      <c r="H447" t="inlineStr">
        <is>
          <t>Övriga statliga verk och myndigheter</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61340-2022</t>
        </is>
      </c>
      <c r="B448" t="inlineStr">
        <is>
          <t>avverkningsanmälan</t>
        </is>
      </c>
      <c r="C448" t="inlineStr">
        <is>
          <t>Avverkning för annat ändamål</t>
        </is>
      </c>
      <c r="D448" s="1" t="n">
        <v>44909</v>
      </c>
      <c r="E448" s="1" t="n">
        <v>46277</v>
      </c>
      <c r="F448" t="inlineStr">
        <is>
          <t>JÄMTLANDS LÄN</t>
        </is>
      </c>
      <c r="G448" t="inlineStr">
        <is>
          <t>ÅRE</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17599-2026</t>
        </is>
      </c>
      <c r="B449" t="inlineStr">
        <is>
          <t>avverkningsanmälan</t>
        </is>
      </c>
      <c r="C449" t="inlineStr">
        <is>
          <t>Föryngringsavverkning</t>
        </is>
      </c>
      <c r="D449" s="1" t="n">
        <v>46121</v>
      </c>
      <c r="E449" s="1" t="n">
        <v>46277</v>
      </c>
      <c r="F449" t="inlineStr">
        <is>
          <t>JÄMTLANDS LÄN</t>
        </is>
      </c>
      <c r="G449" t="inlineStr">
        <is>
          <t>ÅRE</t>
        </is>
      </c>
      <c r="I449" t="n">
        <v>149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5460-2023</t>
        </is>
      </c>
      <c r="B450" t="inlineStr">
        <is>
          <t>avverkningsanmälan</t>
        </is>
      </c>
      <c r="C450" t="inlineStr">
        <is>
          <t>Föryngringsavverkning</t>
        </is>
      </c>
      <c r="D450" s="1" t="n">
        <v>44960</v>
      </c>
      <c r="E450" s="1" t="n">
        <v>46277</v>
      </c>
      <c r="F450" t="inlineStr">
        <is>
          <t>JÄMTLANDS LÄN</t>
        </is>
      </c>
      <c r="G450" t="inlineStr">
        <is>
          <t>ÅRE</t>
        </is>
      </c>
      <c r="I450" t="n">
        <v>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61926-2022</t>
        </is>
      </c>
      <c r="B451" t="inlineStr">
        <is>
          <t>avverkningsanmälan</t>
        </is>
      </c>
      <c r="C451" t="inlineStr">
        <is>
          <t>Föryngringsavverkning</t>
        </is>
      </c>
      <c r="D451" s="1" t="n">
        <v>44917</v>
      </c>
      <c r="E451" s="1" t="n">
        <v>46277</v>
      </c>
      <c r="F451" t="inlineStr">
        <is>
          <t>JÄMTLANDS LÄN</t>
        </is>
      </c>
      <c r="G451" t="inlineStr">
        <is>
          <t>ÅRE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32260-2026</t>
        </is>
      </c>
      <c r="B452" t="inlineStr">
        <is>
          <t>avverkningsanmälan</t>
        </is>
      </c>
      <c r="C452" t="inlineStr">
        <is>
          <t>Föryngringsavverkning</t>
        </is>
      </c>
      <c r="D452" s="1" t="n">
        <v>46237</v>
      </c>
      <c r="E452" s="1" t="n">
        <v>46277</v>
      </c>
      <c r="F452" t="inlineStr">
        <is>
          <t>JÄMTLANDS LÄN</t>
        </is>
      </c>
      <c r="G452" t="inlineStr">
        <is>
          <t>ÅRE</t>
        </is>
      </c>
      <c r="I452" t="n">
        <v>14.5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45796-2024</t>
        </is>
      </c>
      <c r="B453" t="inlineStr">
        <is>
          <t>avverkningsanmälan</t>
        </is>
      </c>
      <c r="C453" t="inlineStr">
        <is>
          <t>Föryngringsavverkning</t>
        </is>
      </c>
      <c r="D453" s="1" t="n">
        <v>45579</v>
      </c>
      <c r="E453" s="1" t="n">
        <v>46277</v>
      </c>
      <c r="F453" t="inlineStr">
        <is>
          <t>JÄMTLANDS LÄN</t>
        </is>
      </c>
      <c r="G453" t="inlineStr">
        <is>
          <t>ÅRE</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29299-2026</t>
        </is>
      </c>
      <c r="B454" t="inlineStr">
        <is>
          <t>avverkningsanmälan</t>
        </is>
      </c>
      <c r="C454" t="inlineStr">
        <is>
          <t>Föryngringsavverkning</t>
        </is>
      </c>
      <c r="D454" s="1" t="n">
        <v>46202</v>
      </c>
      <c r="E454" s="1" t="n">
        <v>46277</v>
      </c>
      <c r="F454" t="inlineStr">
        <is>
          <t>JÄMTLANDS LÄN</t>
        </is>
      </c>
      <c r="G454" t="inlineStr">
        <is>
          <t>ÅRE</t>
        </is>
      </c>
      <c r="I454" t="n">
        <v>10.3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3263-2023</t>
        </is>
      </c>
      <c r="B455" t="inlineStr">
        <is>
          <t>avverkningsanmälan</t>
        </is>
      </c>
      <c r="C455" t="inlineStr">
        <is>
          <t>Föryngringsavverkning</t>
        </is>
      </c>
      <c r="D455" s="1" t="n">
        <v>44948</v>
      </c>
      <c r="E455" s="1" t="n">
        <v>46277</v>
      </c>
      <c r="F455" t="inlineStr">
        <is>
          <t>JÄMTLANDS LÄN</t>
        </is>
      </c>
      <c r="G455" t="inlineStr">
        <is>
          <t>ÅRE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26032-2023</t>
        </is>
      </c>
      <c r="B456" t="inlineStr">
        <is>
          <t>avverkningsanmälan</t>
        </is>
      </c>
      <c r="C456" t="inlineStr">
        <is>
          <t>Föryngringsavverkning</t>
        </is>
      </c>
      <c r="D456" s="1" t="n">
        <v>45091</v>
      </c>
      <c r="E456" s="1" t="n">
        <v>46277</v>
      </c>
      <c r="F456" t="inlineStr">
        <is>
          <t>JÄMTLANDS LÄN</t>
        </is>
      </c>
      <c r="G456" t="inlineStr">
        <is>
          <t>ÅRE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26033-2023</t>
        </is>
      </c>
      <c r="B457" t="inlineStr">
        <is>
          <t>avverkningsanmälan</t>
        </is>
      </c>
      <c r="C457" t="inlineStr">
        <is>
          <t>Föryngringsavverkning</t>
        </is>
      </c>
      <c r="D457" s="1" t="n">
        <v>45091</v>
      </c>
      <c r="E457" s="1" t="n">
        <v>46277</v>
      </c>
      <c r="F457" t="inlineStr">
        <is>
          <t>JÄMTLANDS LÄN</t>
        </is>
      </c>
      <c r="G457" t="inlineStr">
        <is>
          <t>ÅRE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33568-2026</t>
        </is>
      </c>
      <c r="B458" t="inlineStr">
        <is>
          <t>avverkningsanmälan</t>
        </is>
      </c>
      <c r="C458" t="inlineStr">
        <is>
          <t>Avverkning för annat ändamål</t>
        </is>
      </c>
      <c r="D458" s="1" t="n">
        <v>46248</v>
      </c>
      <c r="E458" s="1" t="n">
        <v>46277</v>
      </c>
      <c r="F458" t="inlineStr">
        <is>
          <t>JÄMTLANDS LÄN</t>
        </is>
      </c>
      <c r="G458" t="inlineStr">
        <is>
          <t>ÅRE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33567-2026</t>
        </is>
      </c>
      <c r="B459" t="inlineStr">
        <is>
          <t>avverkningsanmälan</t>
        </is>
      </c>
      <c r="C459" t="inlineStr">
        <is>
          <t>Avverkning för annat ändamål</t>
        </is>
      </c>
      <c r="D459" s="1" t="n">
        <v>46248</v>
      </c>
      <c r="E459" s="1" t="n">
        <v>46277</v>
      </c>
      <c r="F459" t="inlineStr">
        <is>
          <t>JÄMTLANDS LÄN</t>
        </is>
      </c>
      <c r="G459" t="inlineStr">
        <is>
          <t>ÅRE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61524-2021</t>
        </is>
      </c>
      <c r="B460" t="inlineStr">
        <is>
          <t>avverkningsanmälan</t>
        </is>
      </c>
      <c r="C460" t="inlineStr">
        <is>
          <t>Avverkning för att bevara och utveckla /försöksver</t>
        </is>
      </c>
      <c r="D460" s="1" t="n">
        <v>44496</v>
      </c>
      <c r="E460" s="1" t="n">
        <v>46277</v>
      </c>
      <c r="F460" t="inlineStr">
        <is>
          <t>JÄMTLANDS LÄN</t>
        </is>
      </c>
      <c r="G460" t="inlineStr">
        <is>
          <t>ÅRE</t>
        </is>
      </c>
      <c r="H460" t="inlineStr">
        <is>
          <t>Övriga statliga verk och myndigheter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73086-2021</t>
        </is>
      </c>
      <c r="B461" t="inlineStr">
        <is>
          <t>avverkningsanmälan</t>
        </is>
      </c>
      <c r="C461" t="inlineStr">
        <is>
          <t>Föryngringsavverkning</t>
        </is>
      </c>
      <c r="D461" s="1" t="n">
        <v>44550</v>
      </c>
      <c r="E461" s="1" t="n">
        <v>46277</v>
      </c>
      <c r="F461" t="inlineStr">
        <is>
          <t>JÄMTLANDS LÄN</t>
        </is>
      </c>
      <c r="G461" t="inlineStr">
        <is>
          <t>ÅRE</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61806-2021</t>
        </is>
      </c>
      <c r="B462" t="inlineStr">
        <is>
          <t>avverkningsanmälan</t>
        </is>
      </c>
      <c r="C462" t="inlineStr">
        <is>
          <t>Föryngringsavverkning</t>
        </is>
      </c>
      <c r="D462" s="1" t="n">
        <v>44498</v>
      </c>
      <c r="E462" s="1" t="n">
        <v>46277</v>
      </c>
      <c r="F462" t="inlineStr">
        <is>
          <t>JÄMTLANDS LÄN</t>
        </is>
      </c>
      <c r="G462" t="inlineStr">
        <is>
          <t>ÅRE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54324-2023</t>
        </is>
      </c>
      <c r="B463" t="inlineStr">
        <is>
          <t>avverkningsanmälan</t>
        </is>
      </c>
      <c r="C463" t="inlineStr">
        <is>
          <t>Föryngringsavverkning</t>
        </is>
      </c>
      <c r="D463" s="1" t="n">
        <v>45225</v>
      </c>
      <c r="E463" s="1" t="n">
        <v>46277</v>
      </c>
      <c r="F463" t="inlineStr">
        <is>
          <t>JÄMTLANDS LÄN</t>
        </is>
      </c>
      <c r="G463" t="inlineStr">
        <is>
          <t>ÅRE</t>
        </is>
      </c>
      <c r="I463" t="n">
        <v>9.800000000000001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60935-2022</t>
        </is>
      </c>
      <c r="B464" t="inlineStr">
        <is>
          <t>avverkningsanmälan</t>
        </is>
      </c>
      <c r="C464" t="inlineStr">
        <is>
          <t>Föryngringsavverkning</t>
        </is>
      </c>
      <c r="D464" s="1" t="n">
        <v>44908</v>
      </c>
      <c r="E464" s="1" t="n">
        <v>46277</v>
      </c>
      <c r="F464" t="inlineStr">
        <is>
          <t>JÄMTLANDS LÄN</t>
        </is>
      </c>
      <c r="G464" t="inlineStr">
        <is>
          <t>ÅRE</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30096-2026</t>
        </is>
      </c>
      <c r="B465" t="inlineStr">
        <is>
          <t>avverkningsanmälan</t>
        </is>
      </c>
      <c r="C465" t="inlineStr">
        <is>
          <t>Föryngringsavverkning</t>
        </is>
      </c>
      <c r="D465" s="1" t="n">
        <v>46206</v>
      </c>
      <c r="E465" s="1" t="n">
        <v>46277</v>
      </c>
      <c r="F465" t="inlineStr">
        <is>
          <t>JÄMTLANDS LÄN</t>
        </is>
      </c>
      <c r="G465" t="inlineStr">
        <is>
          <t>ÅRE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30614-2026</t>
        </is>
      </c>
      <c r="B466" t="inlineStr">
        <is>
          <t>avverkningsanmälan</t>
        </is>
      </c>
      <c r="C466" t="inlineStr">
        <is>
          <t>Föryngringsavverkning</t>
        </is>
      </c>
      <c r="D466" s="1" t="n">
        <v>46210</v>
      </c>
      <c r="E466" s="1" t="n">
        <v>46277</v>
      </c>
      <c r="F466" t="inlineStr">
        <is>
          <t>JÄMTLANDS LÄN</t>
        </is>
      </c>
      <c r="G466" t="inlineStr">
        <is>
          <t>ÅRE</t>
        </is>
      </c>
      <c r="I466" t="n">
        <v>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60899-2022</t>
        </is>
      </c>
      <c r="B467" t="inlineStr">
        <is>
          <t>avverkningsanmälan</t>
        </is>
      </c>
      <c r="C467" t="inlineStr">
        <is>
          <t>Avverkning för annat ändamål</t>
        </is>
      </c>
      <c r="D467" s="1" t="n">
        <v>44908</v>
      </c>
      <c r="E467" s="1" t="n">
        <v>46277</v>
      </c>
      <c r="F467" t="inlineStr">
        <is>
          <t>JÄMTLANDS LÄN</t>
        </is>
      </c>
      <c r="G467" t="inlineStr">
        <is>
          <t>ÅRE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59784-2024</t>
        </is>
      </c>
      <c r="B468" t="inlineStr">
        <is>
          <t>avverkningsanmälan</t>
        </is>
      </c>
      <c r="C468" t="inlineStr">
        <is>
          <t>Avverkning för annat ändamål</t>
        </is>
      </c>
      <c r="D468" s="1" t="n">
        <v>45639</v>
      </c>
      <c r="E468" s="1" t="n">
        <v>46277</v>
      </c>
      <c r="F468" t="inlineStr">
        <is>
          <t>JÄMTLANDS LÄN</t>
        </is>
      </c>
      <c r="G468" t="inlineStr">
        <is>
          <t>ÅRE</t>
        </is>
      </c>
      <c r="H468" t="inlineStr">
        <is>
          <t>Övriga Aktiebolag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30598-2026</t>
        </is>
      </c>
      <c r="B469" t="inlineStr">
        <is>
          <t>avverkningsanmälan</t>
        </is>
      </c>
      <c r="C469" t="inlineStr">
        <is>
          <t>Föryngringsavverkning</t>
        </is>
      </c>
      <c r="D469" s="1" t="n">
        <v>46210</v>
      </c>
      <c r="E469" s="1" t="n">
        <v>46277</v>
      </c>
      <c r="F469" t="inlineStr">
        <is>
          <t>JÄMTLANDS LÄN</t>
        </is>
      </c>
      <c r="G469" t="inlineStr">
        <is>
          <t>ÅRE</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53611-2024</t>
        </is>
      </c>
      <c r="B470" t="inlineStr">
        <is>
          <t>avverkningsanmälan</t>
        </is>
      </c>
      <c r="C470" t="inlineStr">
        <is>
          <t>Föryngringsavverkning</t>
        </is>
      </c>
      <c r="D470" s="1" t="n">
        <v>45614</v>
      </c>
      <c r="E470" s="1" t="n">
        <v>46277</v>
      </c>
      <c r="F470" t="inlineStr">
        <is>
          <t>JÄMTLANDS LÄN</t>
        </is>
      </c>
      <c r="G470" t="inlineStr">
        <is>
          <t>ÅRE</t>
        </is>
      </c>
      <c r="H470" t="inlineStr">
        <is>
          <t>Övriga Aktiebolag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13841-2024</t>
        </is>
      </c>
      <c r="B471" t="inlineStr">
        <is>
          <t>avverkningsanmälan</t>
        </is>
      </c>
      <c r="C471" t="inlineStr">
        <is>
          <t>Föryngringsavverkning</t>
        </is>
      </c>
      <c r="D471" s="1" t="n">
        <v>45391</v>
      </c>
      <c r="E471" s="1" t="n">
        <v>46277</v>
      </c>
      <c r="F471" t="inlineStr">
        <is>
          <t>JÄMTLANDS LÄN</t>
        </is>
      </c>
      <c r="G471" t="inlineStr">
        <is>
          <t>ÅRE</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56609-2023</t>
        </is>
      </c>
      <c r="B472" t="inlineStr">
        <is>
          <t>avverkningsanmälan</t>
        </is>
      </c>
      <c r="C472" t="inlineStr">
        <is>
          <t>Föryngringsavverkning</t>
        </is>
      </c>
      <c r="D472" s="1" t="n">
        <v>45243</v>
      </c>
      <c r="E472" s="1" t="n">
        <v>46277</v>
      </c>
      <c r="F472" t="inlineStr">
        <is>
          <t>JÄMTLANDS LÄN</t>
        </is>
      </c>
      <c r="G472" t="inlineStr">
        <is>
          <t>ÅRE</t>
        </is>
      </c>
      <c r="I472" t="n">
        <v>17.9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17576-2024</t>
        </is>
      </c>
      <c r="B473" t="inlineStr">
        <is>
          <t>avverkningsanmälan</t>
        </is>
      </c>
      <c r="C473" t="inlineStr">
        <is>
          <t>Avverkning för annat ändamål</t>
        </is>
      </c>
      <c r="D473" s="1" t="n">
        <v>45415</v>
      </c>
      <c r="E473" s="1" t="n">
        <v>46277</v>
      </c>
      <c r="F473" t="inlineStr">
        <is>
          <t>JÄMTLANDS LÄN</t>
        </is>
      </c>
      <c r="G473" t="inlineStr">
        <is>
          <t>ÅRE</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8443-2023</t>
        </is>
      </c>
      <c r="B474" t="inlineStr">
        <is>
          <t>avverkningsanmälan</t>
        </is>
      </c>
      <c r="C474" t="inlineStr">
        <is>
          <t>Föryngringsavverkning</t>
        </is>
      </c>
      <c r="D474" s="1" t="n">
        <v>44977</v>
      </c>
      <c r="E474" s="1" t="n">
        <v>46277</v>
      </c>
      <c r="F474" t="inlineStr">
        <is>
          <t>JÄMTLANDS LÄN</t>
        </is>
      </c>
      <c r="G474" t="inlineStr">
        <is>
          <t>ÅRE</t>
        </is>
      </c>
      <c r="H474" t="inlineStr">
        <is>
          <t>Övriga Aktiebolag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11500-2022</t>
        </is>
      </c>
      <c r="B475" t="inlineStr">
        <is>
          <t>avverkningsanmälan</t>
        </is>
      </c>
      <c r="C475" t="inlineStr">
        <is>
          <t>Avverkning för annat ändamål</t>
        </is>
      </c>
      <c r="D475" s="1" t="n">
        <v>44631</v>
      </c>
      <c r="E475" s="1" t="n">
        <v>46277</v>
      </c>
      <c r="F475" t="inlineStr">
        <is>
          <t>JÄMTLANDS LÄN</t>
        </is>
      </c>
      <c r="G475" t="inlineStr">
        <is>
          <t>ÅRE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23117-2022</t>
        </is>
      </c>
      <c r="B476" t="inlineStr">
        <is>
          <t>avverkningsanmälan</t>
        </is>
      </c>
      <c r="C476" t="inlineStr">
        <is>
          <t>Föryngringsavverkning</t>
        </is>
      </c>
      <c r="D476" s="1" t="n">
        <v>44719</v>
      </c>
      <c r="E476" s="1" t="n">
        <v>46277</v>
      </c>
      <c r="F476" t="inlineStr">
        <is>
          <t>JÄMTLANDS LÄN</t>
        </is>
      </c>
      <c r="G476" t="inlineStr">
        <is>
          <t>ÅRE</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12182-2023</t>
        </is>
      </c>
      <c r="B477" t="inlineStr">
        <is>
          <t>avverkningsanmälan</t>
        </is>
      </c>
      <c r="C477" t="inlineStr">
        <is>
          <t>Föryngringsavverkning</t>
        </is>
      </c>
      <c r="D477" s="1" t="n">
        <v>44998</v>
      </c>
      <c r="E477" s="1" t="n">
        <v>46277</v>
      </c>
      <c r="F477" t="inlineStr">
        <is>
          <t>JÄMTLANDS LÄN</t>
        </is>
      </c>
      <c r="G477" t="inlineStr">
        <is>
          <t>ÅRE</t>
        </is>
      </c>
      <c r="I477" t="n">
        <v>11.7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25926-2023</t>
        </is>
      </c>
      <c r="B478" t="inlineStr">
        <is>
          <t>avverkningsanmälan</t>
        </is>
      </c>
      <c r="C478" t="inlineStr">
        <is>
          <t>Föryngringsavverkning</t>
        </is>
      </c>
      <c r="D478" s="1" t="n">
        <v>45085</v>
      </c>
      <c r="E478" s="1" t="n">
        <v>46277</v>
      </c>
      <c r="F478" t="inlineStr">
        <is>
          <t>JÄMTLANDS LÄN</t>
        </is>
      </c>
      <c r="G478" t="inlineStr">
        <is>
          <t>ÅRE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56842-2022</t>
        </is>
      </c>
      <c r="B479" t="inlineStr">
        <is>
          <t>avverkningsanmälan</t>
        </is>
      </c>
      <c r="C479" t="inlineStr">
        <is>
          <t>Föryngringsavverkning</t>
        </is>
      </c>
      <c r="D479" s="1" t="n">
        <v>44894</v>
      </c>
      <c r="E479" s="1" t="n">
        <v>46277</v>
      </c>
      <c r="F479" t="inlineStr">
        <is>
          <t>JÄMTLANDS LÄN</t>
        </is>
      </c>
      <c r="G479" t="inlineStr">
        <is>
          <t>ÅRE</t>
        </is>
      </c>
      <c r="H479" t="inlineStr">
        <is>
          <t>Övriga Aktiebolag</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13039-2024</t>
        </is>
      </c>
      <c r="B480" t="inlineStr">
        <is>
          <t>avverkningsanmälan</t>
        </is>
      </c>
      <c r="C480" t="inlineStr">
        <is>
          <t>Föryngringsavverkning</t>
        </is>
      </c>
      <c r="D480" s="1" t="n">
        <v>45385</v>
      </c>
      <c r="E480" s="1" t="n">
        <v>46277</v>
      </c>
      <c r="F480" t="inlineStr">
        <is>
          <t>JÄMTLANDS LÄN</t>
        </is>
      </c>
      <c r="G480" t="inlineStr">
        <is>
          <t>ÅRE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1414-2023</t>
        </is>
      </c>
      <c r="B481" t="inlineStr">
        <is>
          <t>avverkningsanmälan</t>
        </is>
      </c>
      <c r="C481" t="inlineStr">
        <is>
          <t>Föryngringsavverkning</t>
        </is>
      </c>
      <c r="D481" s="1" t="n">
        <v>44936</v>
      </c>
      <c r="E481" s="1" t="n">
        <v>46277</v>
      </c>
      <c r="F481" t="inlineStr">
        <is>
          <t>JÄMTLANDS LÄN</t>
        </is>
      </c>
      <c r="G481" t="inlineStr">
        <is>
          <t>ÅRE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55056-2024</t>
        </is>
      </c>
      <c r="B482" t="inlineStr">
        <is>
          <t>avverkningsanmälan</t>
        </is>
      </c>
      <c r="C482" t="inlineStr">
        <is>
          <t>Föryngringsavverkning</t>
        </is>
      </c>
      <c r="D482" s="1" t="n">
        <v>45621</v>
      </c>
      <c r="E482" s="1" t="n">
        <v>46277</v>
      </c>
      <c r="F482" t="inlineStr">
        <is>
          <t>JÄMTLANDS LÄN</t>
        </is>
      </c>
      <c r="G482" t="inlineStr">
        <is>
          <t>ÅRE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39069-2024</t>
        </is>
      </c>
      <c r="B483" t="inlineStr">
        <is>
          <t>avverkningsanmälan</t>
        </is>
      </c>
      <c r="C483" t="inlineStr">
        <is>
          <t>Föryngringsavverkning</t>
        </is>
      </c>
      <c r="D483" s="1" t="n">
        <v>45548</v>
      </c>
      <c r="E483" s="1" t="n">
        <v>46277</v>
      </c>
      <c r="F483" t="inlineStr">
        <is>
          <t>JÄMTLANDS LÄN</t>
        </is>
      </c>
      <c r="G483" t="inlineStr">
        <is>
          <t>ÅRE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34817-2026</t>
        </is>
      </c>
      <c r="B484" t="inlineStr">
        <is>
          <t>avverkningsanmälan</t>
        </is>
      </c>
      <c r="C484" t="inlineStr">
        <is>
          <t>Avverkning för annat ändamål</t>
        </is>
      </c>
      <c r="D484" s="1" t="n">
        <v>46258</v>
      </c>
      <c r="E484" s="1" t="n">
        <v>46277</v>
      </c>
      <c r="F484" t="inlineStr">
        <is>
          <t>JÄMTLANDS LÄN</t>
        </is>
      </c>
      <c r="G484" t="inlineStr">
        <is>
          <t>ÅRE</t>
        </is>
      </c>
      <c r="I484" t="n">
        <v>13.6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9312-2025</t>
        </is>
      </c>
      <c r="B485" t="inlineStr">
        <is>
          <t>avverkningsanmälan</t>
        </is>
      </c>
      <c r="C485" t="inlineStr">
        <is>
          <t>Föryngringsavverkning</t>
        </is>
      </c>
      <c r="D485" s="1" t="n">
        <v>45714</v>
      </c>
      <c r="E485" s="1" t="n">
        <v>46277</v>
      </c>
      <c r="F485" t="inlineStr">
        <is>
          <t>JÄMTLANDS LÄN</t>
        </is>
      </c>
      <c r="G485" t="inlineStr">
        <is>
          <t>ÅRE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49267-2024</t>
        </is>
      </c>
      <c r="B486" t="inlineStr">
        <is>
          <t>avverkningsanmälan</t>
        </is>
      </c>
      <c r="C486" t="inlineStr">
        <is>
          <t>Föryngringsavverkning</t>
        </is>
      </c>
      <c r="D486" s="1" t="n">
        <v>45595</v>
      </c>
      <c r="E486" s="1" t="n">
        <v>46277</v>
      </c>
      <c r="F486" t="inlineStr">
        <is>
          <t>JÄMTLANDS LÄN</t>
        </is>
      </c>
      <c r="G486" t="inlineStr">
        <is>
          <t>ÅRE</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29294-2023</t>
        </is>
      </c>
      <c r="B487" t="inlineStr">
        <is>
          <t>avverkningsanmälan</t>
        </is>
      </c>
      <c r="C487" t="inlineStr">
        <is>
          <t>Föryngringsavverkning</t>
        </is>
      </c>
      <c r="D487" s="1" t="n">
        <v>45098</v>
      </c>
      <c r="E487" s="1" t="n">
        <v>46277</v>
      </c>
      <c r="F487" t="inlineStr">
        <is>
          <t>JÄMTLANDS LÄN</t>
        </is>
      </c>
      <c r="G487" t="inlineStr">
        <is>
          <t>ÅRE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35489-2026</t>
        </is>
      </c>
      <c r="B488" t="inlineStr">
        <is>
          <t>avverkningsanmälan</t>
        </is>
      </c>
      <c r="C488" t="inlineStr">
        <is>
          <t>Föryngringsavverkning</t>
        </is>
      </c>
      <c r="D488" s="1" t="n">
        <v>46262</v>
      </c>
      <c r="E488" s="1" t="n">
        <v>46277</v>
      </c>
      <c r="F488" t="inlineStr">
        <is>
          <t>JÄMTLANDS LÄN</t>
        </is>
      </c>
      <c r="G488" t="inlineStr">
        <is>
          <t>ÅRE</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35493-2026</t>
        </is>
      </c>
      <c r="B489" t="inlineStr">
        <is>
          <t>avverkningsanmälan</t>
        </is>
      </c>
      <c r="C489" t="inlineStr">
        <is>
          <t>Föryngringsavverkning</t>
        </is>
      </c>
      <c r="D489" s="1" t="n">
        <v>46262</v>
      </c>
      <c r="E489" s="1" t="n">
        <v>46277</v>
      </c>
      <c r="F489" t="inlineStr">
        <is>
          <t>JÄMTLANDS LÄN</t>
        </is>
      </c>
      <c r="G489" t="inlineStr">
        <is>
          <t>ÅRE</t>
        </is>
      </c>
      <c r="I489" t="n">
        <v>11.5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55129-2025</t>
        </is>
      </c>
      <c r="B490" t="inlineStr">
        <is>
          <t>avverkningsanmälan</t>
        </is>
      </c>
      <c r="C490" t="inlineStr">
        <is>
          <t>Föryngringsavverkning</t>
        </is>
      </c>
      <c r="D490" s="1" t="n">
        <v>45968</v>
      </c>
      <c r="E490" s="1" t="n">
        <v>46277</v>
      </c>
      <c r="F490" t="inlineStr">
        <is>
          <t>JÄMTLANDS LÄN</t>
        </is>
      </c>
      <c r="G490" t="inlineStr">
        <is>
          <t>ÅRE</t>
        </is>
      </c>
      <c r="H490" t="inlineStr">
        <is>
          <t>Övriga Aktiebolag</t>
        </is>
      </c>
      <c r="I490" t="n">
        <v>103.3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61978-2023</t>
        </is>
      </c>
      <c r="B491" t="inlineStr">
        <is>
          <t>avverkningsanmälan</t>
        </is>
      </c>
      <c r="C491" t="inlineStr">
        <is>
          <t>Föryngringsavverkning</t>
        </is>
      </c>
      <c r="D491" s="1" t="n">
        <v>45266</v>
      </c>
      <c r="E491" s="1" t="n">
        <v>46277</v>
      </c>
      <c r="F491" t="inlineStr">
        <is>
          <t>JÄMTLANDS LÄN</t>
        </is>
      </c>
      <c r="G491" t="inlineStr">
        <is>
          <t>ÅRE</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33117-2023</t>
        </is>
      </c>
      <c r="B492" t="inlineStr">
        <is>
          <t>avverkningsanmälan</t>
        </is>
      </c>
      <c r="C492" t="inlineStr">
        <is>
          <t>Avverkning för annat ändamål</t>
        </is>
      </c>
      <c r="D492" s="1" t="n">
        <v>45126</v>
      </c>
      <c r="E492" s="1" t="n">
        <v>46277</v>
      </c>
      <c r="F492" t="inlineStr">
        <is>
          <t>JÄMTLANDS LÄN</t>
        </is>
      </c>
      <c r="G492" t="inlineStr">
        <is>
          <t>ÅRE</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35604-2026</t>
        </is>
      </c>
      <c r="B493" t="inlineStr">
        <is>
          <t>avverkningsanmälan</t>
        </is>
      </c>
      <c r="C493" t="inlineStr">
        <is>
          <t>Föryngringsavverkning</t>
        </is>
      </c>
      <c r="D493" s="1" t="n">
        <v>46263</v>
      </c>
      <c r="E493" s="1" t="n">
        <v>46277</v>
      </c>
      <c r="F493" t="inlineStr">
        <is>
          <t>JÄMTLANDS LÄN</t>
        </is>
      </c>
      <c r="G493" t="inlineStr">
        <is>
          <t>ÅRE</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58395-2025</t>
        </is>
      </c>
      <c r="B494" t="inlineStr">
        <is>
          <t>avverkningsanmälan</t>
        </is>
      </c>
      <c r="C494" t="inlineStr">
        <is>
          <t>Föryngringsavverkning</t>
        </is>
      </c>
      <c r="D494" s="1" t="n">
        <v>45985</v>
      </c>
      <c r="E494" s="1" t="n">
        <v>46277</v>
      </c>
      <c r="F494" t="inlineStr">
        <is>
          <t>JÄMTLANDS LÄN</t>
        </is>
      </c>
      <c r="G494" t="inlineStr">
        <is>
          <t>ÅRE</t>
        </is>
      </c>
      <c r="H494" t="inlineStr">
        <is>
          <t>Övriga Aktiebolag</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69592-2021</t>
        </is>
      </c>
      <c r="B495" t="inlineStr">
        <is>
          <t>avverkningsanmälan</t>
        </is>
      </c>
      <c r="C495" t="inlineStr">
        <is>
          <t>Föryngringsavverkning</t>
        </is>
      </c>
      <c r="D495" s="1" t="n">
        <v>44531</v>
      </c>
      <c r="E495" s="1" t="n">
        <v>46277</v>
      </c>
      <c r="F495" t="inlineStr">
        <is>
          <t>JÄMTLANDS LÄN</t>
        </is>
      </c>
      <c r="G495" t="inlineStr">
        <is>
          <t>ÅRE</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54250-2024</t>
        </is>
      </c>
      <c r="B496" t="inlineStr">
        <is>
          <t>avverkningsanmälan</t>
        </is>
      </c>
      <c r="C496" t="inlineStr">
        <is>
          <t>Föryngringsavverkning</t>
        </is>
      </c>
      <c r="D496" s="1" t="n">
        <v>45616</v>
      </c>
      <c r="E496" s="1" t="n">
        <v>46277</v>
      </c>
      <c r="F496" t="inlineStr">
        <is>
          <t>JÄMTLANDS LÄN</t>
        </is>
      </c>
      <c r="G496" t="inlineStr">
        <is>
          <t>ÅRE</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60913-2025</t>
        </is>
      </c>
      <c r="B497" t="inlineStr">
        <is>
          <t>avverkningsanmälan</t>
        </is>
      </c>
      <c r="C497" t="inlineStr">
        <is>
          <t>Föryngringsavverkning</t>
        </is>
      </c>
      <c r="D497" s="1" t="n">
        <v>45999</v>
      </c>
      <c r="E497" s="1" t="n">
        <v>46277</v>
      </c>
      <c r="F497" t="inlineStr">
        <is>
          <t>JÄMTLANDS LÄN</t>
        </is>
      </c>
      <c r="G497" t="inlineStr">
        <is>
          <t>ÅRE</t>
        </is>
      </c>
      <c r="H497" t="inlineStr">
        <is>
          <t>Övriga Aktiebolag</t>
        </is>
      </c>
      <c r="I497" t="n">
        <v>19.9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2376-2023</t>
        </is>
      </c>
      <c r="B498" t="inlineStr">
        <is>
          <t>avverkningsanmälan</t>
        </is>
      </c>
      <c r="C498" t="inlineStr">
        <is>
          <t>Avverkning för annat ändamål</t>
        </is>
      </c>
      <c r="D498" s="1" t="n">
        <v>44942</v>
      </c>
      <c r="E498" s="1" t="n">
        <v>46277</v>
      </c>
      <c r="F498" t="inlineStr">
        <is>
          <t>JÄMTLANDS LÄN</t>
        </is>
      </c>
      <c r="G498" t="inlineStr">
        <is>
          <t>ÅRE</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36285-2026</t>
        </is>
      </c>
      <c r="B499" t="inlineStr">
        <is>
          <t>avverkningsanmälan</t>
        </is>
      </c>
      <c r="C499" t="inlineStr">
        <is>
          <t>Föryngringsavverkning</t>
        </is>
      </c>
      <c r="D499" s="1" t="n">
        <v>46268</v>
      </c>
      <c r="E499" s="1" t="n">
        <v>46277</v>
      </c>
      <c r="F499" t="inlineStr">
        <is>
          <t>JÄMTLANDS LÄN</t>
        </is>
      </c>
      <c r="G499" t="inlineStr">
        <is>
          <t>ÅRE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36181-2026</t>
        </is>
      </c>
      <c r="B500" t="inlineStr">
        <is>
          <t>avverkningsanmälan</t>
        </is>
      </c>
      <c r="C500" t="inlineStr">
        <is>
          <t>Föryngringsavverkning</t>
        </is>
      </c>
      <c r="D500" s="1" t="n">
        <v>46267</v>
      </c>
      <c r="E500" s="1" t="n">
        <v>46277</v>
      </c>
      <c r="F500" t="inlineStr">
        <is>
          <t>JÄMTLANDS LÄN</t>
        </is>
      </c>
      <c r="G500" t="inlineStr">
        <is>
          <t>ÅRE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20999-2024</t>
        </is>
      </c>
      <c r="B501" t="inlineStr">
        <is>
          <t>avverkningsanmälan</t>
        </is>
      </c>
      <c r="C501" t="inlineStr">
        <is>
          <t>Föryngringsavverkning</t>
        </is>
      </c>
      <c r="D501" s="1" t="n">
        <v>45439</v>
      </c>
      <c r="E501" s="1" t="n">
        <v>46277</v>
      </c>
      <c r="F501" t="inlineStr">
        <is>
          <t>JÄMTLANDS LÄN</t>
        </is>
      </c>
      <c r="G501" t="inlineStr">
        <is>
          <t>ÅRE</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35480-2026</t>
        </is>
      </c>
      <c r="B502" t="inlineStr">
        <is>
          <t>avverkningsanmälan</t>
        </is>
      </c>
      <c r="C502" t="inlineStr">
        <is>
          <t>Föryngringsavverkning</t>
        </is>
      </c>
      <c r="D502" s="1" t="n">
        <v>46262</v>
      </c>
      <c r="E502" s="1" t="n">
        <v>46277</v>
      </c>
      <c r="F502" t="inlineStr">
        <is>
          <t>JÄMTLANDS LÄN</t>
        </is>
      </c>
      <c r="G502" t="inlineStr">
        <is>
          <t>ÅRE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45113-2024</t>
        </is>
      </c>
      <c r="B503" t="inlineStr">
        <is>
          <t>avverkningsanmälan</t>
        </is>
      </c>
      <c r="C503" t="inlineStr">
        <is>
          <t>Föryngringsavverkning</t>
        </is>
      </c>
      <c r="D503" s="1" t="n">
        <v>45575</v>
      </c>
      <c r="E503" s="1" t="n">
        <v>46277</v>
      </c>
      <c r="F503" t="inlineStr">
        <is>
          <t>JÄMTLANDS LÄN</t>
        </is>
      </c>
      <c r="G503" t="inlineStr">
        <is>
          <t>ÅRE</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36593-2026</t>
        </is>
      </c>
      <c r="B504" t="inlineStr">
        <is>
          <t>avverkningsanmälan</t>
        </is>
      </c>
      <c r="C504" t="inlineStr">
        <is>
          <t>Föryngringsavverkning</t>
        </is>
      </c>
      <c r="D504" s="1" t="n">
        <v>46269</v>
      </c>
      <c r="E504" s="1" t="n">
        <v>46277</v>
      </c>
      <c r="F504" t="inlineStr">
        <is>
          <t>JÄMTLANDS LÄN</t>
        </is>
      </c>
      <c r="G504" t="inlineStr">
        <is>
          <t>ÅRE</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58917-2022</t>
        </is>
      </c>
      <c r="B505" t="inlineStr">
        <is>
          <t>avverkningsanmälan</t>
        </is>
      </c>
      <c r="C505" t="inlineStr">
        <is>
          <t>Föryngringsavverkning</t>
        </is>
      </c>
      <c r="D505" s="1" t="n">
        <v>44903</v>
      </c>
      <c r="E505" s="1" t="n">
        <v>46277</v>
      </c>
      <c r="F505" t="inlineStr">
        <is>
          <t>JÄMTLANDS LÄN</t>
        </is>
      </c>
      <c r="G505" t="inlineStr">
        <is>
          <t>ÅRE</t>
        </is>
      </c>
      <c r="H505" t="inlineStr">
        <is>
          <t>Övriga Aktiebolag</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22603-2025</t>
        </is>
      </c>
      <c r="B506" t="inlineStr">
        <is>
          <t>avverkningsanmälan</t>
        </is>
      </c>
      <c r="C506" t="inlineStr">
        <is>
          <t>Föryngringsavverkning</t>
        </is>
      </c>
      <c r="D506" s="1" t="n">
        <v>45786</v>
      </c>
      <c r="E506" s="1" t="n">
        <v>46277</v>
      </c>
      <c r="F506" t="inlineStr">
        <is>
          <t>JÄMTLANDS LÄN</t>
        </is>
      </c>
      <c r="G506" t="inlineStr">
        <is>
          <t>ÅRE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37734-2023</t>
        </is>
      </c>
      <c r="B507" t="inlineStr">
        <is>
          <t>avverkningsanmälan</t>
        </is>
      </c>
      <c r="C507" t="inlineStr">
        <is>
          <t>Föryngringsavverkning</t>
        </is>
      </c>
      <c r="D507" s="1" t="n">
        <v>45159</v>
      </c>
      <c r="E507" s="1" t="n">
        <v>46277</v>
      </c>
      <c r="F507" t="inlineStr">
        <is>
          <t>JÄMTLANDS LÄN</t>
        </is>
      </c>
      <c r="G507" t="inlineStr">
        <is>
          <t>ÅRE</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34955-2026</t>
        </is>
      </c>
      <c r="B508" t="inlineStr">
        <is>
          <t>avverkningsanmälan</t>
        </is>
      </c>
      <c r="C508" t="inlineStr">
        <is>
          <t>Avverkning för annat ändamål</t>
        </is>
      </c>
      <c r="D508" s="1" t="n">
        <v>46255</v>
      </c>
      <c r="E508" s="1" t="n">
        <v>46277</v>
      </c>
      <c r="F508" t="inlineStr">
        <is>
          <t>JÄMTLANDS LÄN</t>
        </is>
      </c>
      <c r="G508" t="inlineStr">
        <is>
          <t>ÅRE</t>
        </is>
      </c>
      <c r="H508" t="inlineStr">
        <is>
          <t>Övriga Aktiebolag</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57770-2023</t>
        </is>
      </c>
      <c r="B509" t="inlineStr">
        <is>
          <t>avverkningsanmälan</t>
        </is>
      </c>
      <c r="C509" t="inlineStr">
        <is>
          <t>Föryngringsavverkning</t>
        </is>
      </c>
      <c r="D509" s="1" t="n">
        <v>45246</v>
      </c>
      <c r="E509" s="1" t="n">
        <v>46277</v>
      </c>
      <c r="F509" t="inlineStr">
        <is>
          <t>JÄMTLANDS LÄN</t>
        </is>
      </c>
      <c r="G509" t="inlineStr">
        <is>
          <t>ÅRE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556-2023</t>
        </is>
      </c>
      <c r="B510" t="inlineStr">
        <is>
          <t>avverkningsanmälan</t>
        </is>
      </c>
      <c r="C510" t="inlineStr">
        <is>
          <t>Föryngringsavverkning</t>
        </is>
      </c>
      <c r="D510" s="1" t="n">
        <v>44930</v>
      </c>
      <c r="E510" s="1" t="n">
        <v>46277</v>
      </c>
      <c r="F510" t="inlineStr">
        <is>
          <t>JÄMTLANDS LÄN</t>
        </is>
      </c>
      <c r="G510" t="inlineStr">
        <is>
          <t>ÅRE</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393-2024</t>
        </is>
      </c>
      <c r="B511" t="inlineStr">
        <is>
          <t>avverkningsanmälan</t>
        </is>
      </c>
      <c r="C511" t="inlineStr">
        <is>
          <t>Föryngringsavverkning</t>
        </is>
      </c>
      <c r="D511" s="1" t="n">
        <v>45296</v>
      </c>
      <c r="E511" s="1" t="n">
        <v>46277</v>
      </c>
      <c r="F511" t="inlineStr">
        <is>
          <t>JÄMTLANDS LÄN</t>
        </is>
      </c>
      <c r="G511" t="inlineStr">
        <is>
          <t>ÅRE</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13033-2024</t>
        </is>
      </c>
      <c r="B512" t="inlineStr">
        <is>
          <t>avverkningsanmälan</t>
        </is>
      </c>
      <c r="C512" t="inlineStr">
        <is>
          <t>Föryngringsavverkning</t>
        </is>
      </c>
      <c r="D512" s="1" t="n">
        <v>45385</v>
      </c>
      <c r="E512" s="1" t="n">
        <v>46277</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7573-2023</t>
        </is>
      </c>
      <c r="B513" t="inlineStr">
        <is>
          <t>avverkningsanmälan</t>
        </is>
      </c>
      <c r="C513" t="inlineStr">
        <is>
          <t>Föryngringsavverkning</t>
        </is>
      </c>
      <c r="D513" s="1" t="n">
        <v>44967</v>
      </c>
      <c r="E513" s="1" t="n">
        <v>46277</v>
      </c>
      <c r="F513" t="inlineStr">
        <is>
          <t>JÄMTLANDS LÄN</t>
        </is>
      </c>
      <c r="G513" t="inlineStr">
        <is>
          <t>ÅRE</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45242-2023</t>
        </is>
      </c>
      <c r="B514" t="inlineStr">
        <is>
          <t>avverkningsanmälan</t>
        </is>
      </c>
      <c r="C514" t="inlineStr">
        <is>
          <t>Avverkning för annat ändamål</t>
        </is>
      </c>
      <c r="D514" s="1" t="n">
        <v>45187</v>
      </c>
      <c r="E514" s="1" t="n">
        <v>46277</v>
      </c>
      <c r="F514" t="inlineStr">
        <is>
          <t>JÄMTLANDS LÄN</t>
        </is>
      </c>
      <c r="G514" t="inlineStr">
        <is>
          <t>ÅRE</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1491-2024</t>
        </is>
      </c>
      <c r="B515" t="inlineStr">
        <is>
          <t>avverkningsanmälan</t>
        </is>
      </c>
      <c r="C515" t="inlineStr">
        <is>
          <t>Föryngringsavverkning</t>
        </is>
      </c>
      <c r="D515" s="1" t="n">
        <v>45305</v>
      </c>
      <c r="E515" s="1" t="n">
        <v>46277</v>
      </c>
      <c r="F515" t="inlineStr">
        <is>
          <t>JÄMTLANDS LÄN</t>
        </is>
      </c>
      <c r="G515" t="inlineStr">
        <is>
          <t>ÅRE</t>
        </is>
      </c>
      <c r="I515" t="n">
        <v>31.4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41273-2025</t>
        </is>
      </c>
      <c r="B516" t="inlineStr">
        <is>
          <t>avverkningsanmälan</t>
        </is>
      </c>
      <c r="C516" t="inlineStr">
        <is>
          <t>Föryngringsavverkning</t>
        </is>
      </c>
      <c r="D516" s="1" t="n">
        <v>45898</v>
      </c>
      <c r="E516" s="1" t="n">
        <v>46277</v>
      </c>
      <c r="F516" t="inlineStr">
        <is>
          <t>JÄMTLANDS LÄN</t>
        </is>
      </c>
      <c r="G516" t="inlineStr">
        <is>
          <t>ÅRE</t>
        </is>
      </c>
      <c r="H516" t="inlineStr">
        <is>
          <t>Övriga Aktiebolag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12287-2023</t>
        </is>
      </c>
      <c r="B517" t="inlineStr">
        <is>
          <t>avverkningsanmälan</t>
        </is>
      </c>
      <c r="C517" t="inlineStr">
        <is>
          <t>Föryngringsavverkning</t>
        </is>
      </c>
      <c r="D517" s="1" t="n">
        <v>44998</v>
      </c>
      <c r="E517" s="1" t="n">
        <v>46277</v>
      </c>
      <c r="F517" t="inlineStr">
        <is>
          <t>JÄMTLANDS LÄN</t>
        </is>
      </c>
      <c r="G517" t="inlineStr">
        <is>
          <t>ÅRE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12291-2023</t>
        </is>
      </c>
      <c r="B518" t="inlineStr">
        <is>
          <t>avverkningsanmälan</t>
        </is>
      </c>
      <c r="C518" t="inlineStr">
        <is>
          <t>Föryngringsavverkning</t>
        </is>
      </c>
      <c r="D518" s="1" t="n">
        <v>44998</v>
      </c>
      <c r="E518" s="1" t="n">
        <v>46277</v>
      </c>
      <c r="F518" t="inlineStr">
        <is>
          <t>JÄMTLANDS LÄN</t>
        </is>
      </c>
      <c r="G518" t="inlineStr">
        <is>
          <t>ÅRE</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41677-2024</t>
        </is>
      </c>
      <c r="B519" t="inlineStr">
        <is>
          <t>avverkningsanmälan</t>
        </is>
      </c>
      <c r="C519" t="inlineStr">
        <is>
          <t>Avverkning för annat ändamål</t>
        </is>
      </c>
      <c r="D519" s="1" t="n">
        <v>45560</v>
      </c>
      <c r="E519" s="1" t="n">
        <v>46277</v>
      </c>
      <c r="F519" t="inlineStr">
        <is>
          <t>JÄMTLANDS LÄN</t>
        </is>
      </c>
      <c r="G519" t="inlineStr">
        <is>
          <t>ÅRE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41688-2024</t>
        </is>
      </c>
      <c r="B520" t="inlineStr">
        <is>
          <t>avverkningsanmälan</t>
        </is>
      </c>
      <c r="C520" t="inlineStr">
        <is>
          <t>Avverkning för annat ändamål</t>
        </is>
      </c>
      <c r="D520" s="1" t="n">
        <v>45560</v>
      </c>
      <c r="E520" s="1" t="n">
        <v>46277</v>
      </c>
      <c r="F520" t="inlineStr">
        <is>
          <t>JÄMTLANDS LÄN</t>
        </is>
      </c>
      <c r="G520" t="inlineStr">
        <is>
          <t>ÅRE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4218-2025</t>
        </is>
      </c>
      <c r="B521" t="inlineStr">
        <is>
          <t>avverkningsanmälan</t>
        </is>
      </c>
      <c r="C521" t="inlineStr">
        <is>
          <t>Föryngringsavverkning</t>
        </is>
      </c>
      <c r="D521" s="1" t="n">
        <v>45685</v>
      </c>
      <c r="E521" s="1" t="n">
        <v>46277</v>
      </c>
      <c r="F521" t="inlineStr">
        <is>
          <t>JÄMTLANDS LÄN</t>
        </is>
      </c>
      <c r="G521" t="inlineStr">
        <is>
          <t>ÅRE</t>
        </is>
      </c>
      <c r="H521" t="inlineStr">
        <is>
          <t>Övriga Aktiebolag</t>
        </is>
      </c>
      <c r="I521" t="n">
        <v>10.1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37434-2026</t>
        </is>
      </c>
      <c r="B522" t="inlineStr">
        <is>
          <t>avverkningsanmälan</t>
        </is>
      </c>
      <c r="C522" t="inlineStr">
        <is>
          <t>Avverkning för att bevara och utveckla /försöksver</t>
        </is>
      </c>
      <c r="D522" s="1" t="n">
        <v>46275</v>
      </c>
      <c r="E522" s="1" t="n">
        <v>46277</v>
      </c>
      <c r="F522" t="inlineStr">
        <is>
          <t>JÄMTLANDS LÄN</t>
        </is>
      </c>
      <c r="G522" t="inlineStr">
        <is>
          <t>ÅRE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22602-2025</t>
        </is>
      </c>
      <c r="B523" t="inlineStr">
        <is>
          <t>avverkningsanmälan</t>
        </is>
      </c>
      <c r="C523" t="inlineStr">
        <is>
          <t>Föryngringsavverkning</t>
        </is>
      </c>
      <c r="D523" s="1" t="n">
        <v>45786</v>
      </c>
      <c r="E523" s="1" t="n">
        <v>46277</v>
      </c>
      <c r="F523" t="inlineStr">
        <is>
          <t>JÄMTLANDS LÄN</t>
        </is>
      </c>
      <c r="G523" t="inlineStr">
        <is>
          <t>ÅRE</t>
        </is>
      </c>
      <c r="I523" t="n">
        <v>13.1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61295-2023</t>
        </is>
      </c>
      <c r="B524" t="inlineStr">
        <is>
          <t>avverkningsanmälan</t>
        </is>
      </c>
      <c r="C524" t="inlineStr">
        <is>
          <t>Föryngringsavverkning</t>
        </is>
      </c>
      <c r="D524" s="1" t="n">
        <v>45264</v>
      </c>
      <c r="E524" s="1" t="n">
        <v>46277</v>
      </c>
      <c r="F524" t="inlineStr">
        <is>
          <t>JÄMTLANDS LÄN</t>
        </is>
      </c>
      <c r="G524" t="inlineStr">
        <is>
          <t>ÅRE</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21167-2025</t>
        </is>
      </c>
      <c r="B525" t="inlineStr">
        <is>
          <t>avverkningsanmälan</t>
        </is>
      </c>
      <c r="C525" t="inlineStr">
        <is>
          <t>Avverkning för annat ändamål</t>
        </is>
      </c>
      <c r="D525" s="1" t="n">
        <v>45779</v>
      </c>
      <c r="E525" s="1" t="n">
        <v>46277</v>
      </c>
      <c r="F525" t="inlineStr">
        <is>
          <t>JÄMTLANDS LÄN</t>
        </is>
      </c>
      <c r="G525" t="inlineStr">
        <is>
          <t>ÅRE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46559-2024</t>
        </is>
      </c>
      <c r="B526" t="inlineStr">
        <is>
          <t>avverkningsanmälan</t>
        </is>
      </c>
      <c r="C526" t="inlineStr">
        <is>
          <t>Föryngringsavverkning</t>
        </is>
      </c>
      <c r="D526" s="1" t="n">
        <v>45582</v>
      </c>
      <c r="E526" s="1" t="n">
        <v>46277</v>
      </c>
      <c r="F526" t="inlineStr">
        <is>
          <t>JÄMTLANDS LÄN</t>
        </is>
      </c>
      <c r="G526" t="inlineStr">
        <is>
          <t>ÅRE</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49296-2024</t>
        </is>
      </c>
      <c r="B527" t="inlineStr">
        <is>
          <t>avverkningsanmälan</t>
        </is>
      </c>
      <c r="C527" t="inlineStr">
        <is>
          <t>Föryngringsavverkning</t>
        </is>
      </c>
      <c r="D527" s="1" t="n">
        <v>45595</v>
      </c>
      <c r="E527" s="1" t="n">
        <v>46277</v>
      </c>
      <c r="F527" t="inlineStr">
        <is>
          <t>JÄMTLANDS LÄN</t>
        </is>
      </c>
      <c r="G527" t="inlineStr">
        <is>
          <t>ÅRE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60122-2021</t>
        </is>
      </c>
      <c r="B528" t="inlineStr">
        <is>
          <t>avverkningsanmälan</t>
        </is>
      </c>
      <c r="C528" t="inlineStr">
        <is>
          <t>Föryngringsavverkning</t>
        </is>
      </c>
      <c r="D528" s="1" t="n">
        <v>44495</v>
      </c>
      <c r="E528" s="1" t="n">
        <v>46277</v>
      </c>
      <c r="F528" t="inlineStr">
        <is>
          <t>JÄMTLANDS LÄN</t>
        </is>
      </c>
      <c r="G528" t="inlineStr">
        <is>
          <t>ÅRE</t>
        </is>
      </c>
      <c r="I528" t="n">
        <v>46.7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25224-2025</t>
        </is>
      </c>
      <c r="B529" t="inlineStr">
        <is>
          <t>avverkningsanmälan</t>
        </is>
      </c>
      <c r="C529" t="inlineStr">
        <is>
          <t>Föryngringsavverkning</t>
        </is>
      </c>
      <c r="D529" s="1" t="n">
        <v>45800</v>
      </c>
      <c r="E529" s="1" t="n">
        <v>46277</v>
      </c>
      <c r="F529" t="inlineStr">
        <is>
          <t>JÄMTLANDS LÄN</t>
        </is>
      </c>
      <c r="G529" t="inlineStr">
        <is>
          <t>ÅRE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45834-2024</t>
        </is>
      </c>
      <c r="B530" t="inlineStr">
        <is>
          <t>avverkningsanmälan</t>
        </is>
      </c>
      <c r="C530" t="inlineStr">
        <is>
          <t>Föryngringsavverkning</t>
        </is>
      </c>
      <c r="D530" s="1" t="n">
        <v>45579</v>
      </c>
      <c r="E530" s="1" t="n">
        <v>46277</v>
      </c>
      <c r="F530" t="inlineStr">
        <is>
          <t>JÄMTLANDS LÄN</t>
        </is>
      </c>
      <c r="G530" t="inlineStr">
        <is>
          <t>ÅRE</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5651-2023</t>
        </is>
      </c>
      <c r="B531" t="inlineStr">
        <is>
          <t>avverkningsanmälan</t>
        </is>
      </c>
      <c r="C531" t="inlineStr">
        <is>
          <t>Föryngringsavverkning</t>
        </is>
      </c>
      <c r="D531" s="1" t="n">
        <v>44958</v>
      </c>
      <c r="E531" s="1" t="n">
        <v>46277</v>
      </c>
      <c r="F531" t="inlineStr">
        <is>
          <t>JÄMTLANDS LÄN</t>
        </is>
      </c>
      <c r="G531" t="inlineStr">
        <is>
          <t>ÅRE</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4491-2024</t>
        </is>
      </c>
      <c r="B532" t="inlineStr">
        <is>
          <t>samrådsanmälan</t>
        </is>
      </c>
      <c r="C532" t="inlineStr">
        <is>
          <t>Annan skogsbruksåtgärd</t>
        </is>
      </c>
      <c r="D532" s="1" t="n">
        <v>45595</v>
      </c>
      <c r="E532" s="1" t="n">
        <v>46277</v>
      </c>
      <c r="F532" t="inlineStr">
        <is>
          <t>JÄMTLANDS LÄN</t>
        </is>
      </c>
      <c r="G532" t="inlineStr">
        <is>
          <t>ÅRE</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901-2024</t>
        </is>
      </c>
      <c r="B533" t="inlineStr">
        <is>
          <t>samrådsanmälan</t>
        </is>
      </c>
      <c r="C533" t="inlineStr">
        <is>
          <t>Skogsgödsling</t>
        </is>
      </c>
      <c r="D533" s="1" t="n">
        <v>45376</v>
      </c>
      <c r="E533" s="1" t="n">
        <v>46277</v>
      </c>
      <c r="F533" t="inlineStr">
        <is>
          <t>JÄMTLANDS LÄN</t>
        </is>
      </c>
      <c r="G533" t="inlineStr">
        <is>
          <t>ÅRE</t>
        </is>
      </c>
      <c r="H533" t="inlineStr">
        <is>
          <t>Övriga Aktiebolag</t>
        </is>
      </c>
      <c r="I533" t="n">
        <v>58.3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3926-2024</t>
        </is>
      </c>
      <c r="B534" t="inlineStr">
        <is>
          <t>samrådsanmälan</t>
        </is>
      </c>
      <c r="C534" t="inlineStr">
        <is>
          <t>Annan skogsbruksåtgärd</t>
        </is>
      </c>
      <c r="D534" s="1" t="n">
        <v>45565</v>
      </c>
      <c r="E534" s="1" t="n">
        <v>46277</v>
      </c>
      <c r="F534" t="inlineStr">
        <is>
          <t>JÄMTLANDS LÄN</t>
        </is>
      </c>
      <c r="G534" t="inlineStr">
        <is>
          <t>ÅRE</t>
        </is>
      </c>
      <c r="H534" t="inlineStr">
        <is>
          <t>Övriga Aktiebolag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896-2024</t>
        </is>
      </c>
      <c r="B535" t="inlineStr">
        <is>
          <t>samrådsanmälan</t>
        </is>
      </c>
      <c r="C535" t="inlineStr">
        <is>
          <t>Skogsgödsling</t>
        </is>
      </c>
      <c r="D535" s="1" t="n">
        <v>45376</v>
      </c>
      <c r="E535" s="1" t="n">
        <v>46277</v>
      </c>
      <c r="F535" t="inlineStr">
        <is>
          <t>JÄMTLANDS LÄN</t>
        </is>
      </c>
      <c r="G535" t="inlineStr">
        <is>
          <t>ÅRE</t>
        </is>
      </c>
      <c r="I535" t="n">
        <v>78.09999999999999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3929-2024</t>
        </is>
      </c>
      <c r="B536" t="inlineStr">
        <is>
          <t>samrådsanmälan</t>
        </is>
      </c>
      <c r="C536" t="inlineStr">
        <is>
          <t>Annan skogsbruksåtgärd</t>
        </is>
      </c>
      <c r="D536" s="1" t="n">
        <v>45565</v>
      </c>
      <c r="E536" s="1" t="n">
        <v>46277</v>
      </c>
      <c r="F536" t="inlineStr">
        <is>
          <t>JÄMTLANDS LÄN</t>
        </is>
      </c>
      <c r="G536" t="inlineStr">
        <is>
          <t>ÅRE</t>
        </is>
      </c>
      <c r="H536" t="inlineStr">
        <is>
          <t>Övriga Aktiebolag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987-2023</t>
        </is>
      </c>
      <c r="B537" t="inlineStr">
        <is>
          <t>samrådsanmälan</t>
        </is>
      </c>
      <c r="C537" t="inlineStr">
        <is>
          <t>Annan skogsbruksåtgärd</t>
        </is>
      </c>
      <c r="D537" s="1" t="n">
        <v>45006</v>
      </c>
      <c r="E537" s="1" t="n">
        <v>46277</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1340-2025</t>
        </is>
      </c>
      <c r="B538" t="inlineStr">
        <is>
          <t>samrådsanmälan</t>
        </is>
      </c>
      <c r="C538" t="inlineStr">
        <is>
          <t>Annan skogsbruksåtgärd</t>
        </is>
      </c>
      <c r="D538" s="1" t="n">
        <v>45771</v>
      </c>
      <c r="E538" s="1" t="n">
        <v>46277</v>
      </c>
      <c r="F538" t="inlineStr">
        <is>
          <t>JÄMTLANDS LÄN</t>
        </is>
      </c>
      <c r="G538" t="inlineStr">
        <is>
          <t>ÅRE</t>
        </is>
      </c>
      <c r="H538" t="inlineStr">
        <is>
          <t>Sveaskog</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46277</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46277</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46277</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2026-09-12T02:14:19Z</dcterms:created>
  <dcterms:modified xmlns:dcterms="http://purl.org/dc/terms/" xmlns:xsi="http://www.w3.org/2001/XMLSchema-instance" xsi:type="dcterms:W3CDTF">2026-09-12T02:14:20Z</dcterms:modified>
</cp:coreProperties>
</file>