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46138</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46138</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46138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10605-2026</t>
        </is>
      </c>
      <c r="B7" s="1" t="n">
        <v>46077.77418981482</v>
      </c>
      <c r="C7" s="1" t="n">
        <v>46138</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46138</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40143-2023</t>
        </is>
      </c>
      <c r="B10" s="1" t="n">
        <v>45169.34751157407</v>
      </c>
      <c r="C10" s="1" t="n">
        <v>46138</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46138</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46138</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46138</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46138</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46138</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46138</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46138</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56368-2022</t>
        </is>
      </c>
      <c r="B18" s="1" t="n">
        <v>44887</v>
      </c>
      <c r="C18" s="1" t="n">
        <v>46138</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65292-2021</t>
        </is>
      </c>
      <c r="B19" s="1" t="n">
        <v>44515</v>
      </c>
      <c r="C19" s="1" t="n">
        <v>46138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46138</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46138</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54693-2022</t>
        </is>
      </c>
      <c r="B22" s="1" t="n">
        <v>44883.49158564815</v>
      </c>
      <c r="C22" s="1" t="n">
        <v>46138</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46138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46138</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46138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46138</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46138</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46138</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46138</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17481-2026</t>
        </is>
      </c>
      <c r="B30" s="1" t="n">
        <v>46120.55344907408</v>
      </c>
      <c r="C30" s="1" t="n">
        <v>46138</v>
      </c>
      <c r="D30" t="inlineStr">
        <is>
          <t>JÄMTLANDS LÄN</t>
        </is>
      </c>
      <c r="E30" t="inlineStr">
        <is>
          <t>ÅRE</t>
        </is>
      </c>
      <c r="G30" t="n">
        <v>45.2</v>
      </c>
      <c r="H30" t="n">
        <v>4</v>
      </c>
      <c r="I30" t="n">
        <v>4</v>
      </c>
      <c r="J30" t="n">
        <v>8</v>
      </c>
      <c r="K30" t="n">
        <v>0</v>
      </c>
      <c r="L30" t="n">
        <v>0</v>
      </c>
      <c r="M30" t="n">
        <v>0</v>
      </c>
      <c r="N30" t="n">
        <v>0</v>
      </c>
      <c r="O30" t="n">
        <v>8</v>
      </c>
      <c r="P30" t="n">
        <v>0</v>
      </c>
      <c r="Q30" t="n">
        <v>12</v>
      </c>
      <c r="R30" s="2" t="inlineStr">
        <is>
          <t>Garnlav
Granticka
Järpe
Skrovellav
Spillkråka
Talltita
Tretåig hackspett
Ullticka
Korallblylav
Luddlav
Mörk husmossa
Skinnlav</t>
        </is>
      </c>
      <c r="S30">
        <f>HYPERLINK("https://klasma.github.io/Logging_2321/artfynd/A 17481-2026 artfynd.xlsx", "A 17481-2026")</f>
        <v/>
      </c>
      <c r="T30">
        <f>HYPERLINK("https://klasma.github.io/Logging_2321/kartor/A 17481-2026 karta.png", "A 17481-2026")</f>
        <v/>
      </c>
      <c r="V30">
        <f>HYPERLINK("https://klasma.github.io/Logging_2321/klagomål/A 17481-2026 FSC-klagomål.docx", "A 17481-2026")</f>
        <v/>
      </c>
      <c r="W30">
        <f>HYPERLINK("https://klasma.github.io/Logging_2321/klagomålsmail/A 17481-2026 FSC-klagomål mail.docx", "A 17481-2026")</f>
        <v/>
      </c>
      <c r="X30">
        <f>HYPERLINK("https://klasma.github.io/Logging_2321/tillsyn/A 17481-2026 tillsynsbegäran.docx", "A 17481-2026")</f>
        <v/>
      </c>
      <c r="Y30">
        <f>HYPERLINK("https://klasma.github.io/Logging_2321/tillsynsmail/A 17481-2026 tillsynsbegäran mail.docx", "A 17481-2026")</f>
        <v/>
      </c>
      <c r="Z30">
        <f>HYPERLINK("https://klasma.github.io/Logging_2321/fåglar/A 17481-2026 prioriterade fågelarter.docx", "A 17481-2026")</f>
        <v/>
      </c>
    </row>
    <row r="31" ht="15" customHeight="1">
      <c r="A31" t="inlineStr">
        <is>
          <t>A 10604-2026</t>
        </is>
      </c>
      <c r="B31" s="1" t="n">
        <v>46077.76832175926</v>
      </c>
      <c r="C31" s="1" t="n">
        <v>46138</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58223-2021</t>
        </is>
      </c>
      <c r="B32" s="1" t="n">
        <v>44487</v>
      </c>
      <c r="C32" s="1" t="n">
        <v>46138</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46138</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46138</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46138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46138</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46138</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46138</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46138</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46138</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46138</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63463-2025</t>
        </is>
      </c>
      <c r="B42" s="1" t="n">
        <v>46013.42751157407</v>
      </c>
      <c r="C42" s="1" t="n">
        <v>46138</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27634-2025</t>
        </is>
      </c>
      <c r="B43" s="1" t="n">
        <v>45813</v>
      </c>
      <c r="C43" s="1" t="n">
        <v>46138</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27805-2022</t>
        </is>
      </c>
      <c r="B44" s="1" t="n">
        <v>44743</v>
      </c>
      <c r="C44" s="1" t="n">
        <v>46138</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46138</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46138</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46138</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10619-2023</t>
        </is>
      </c>
      <c r="B48" s="1" t="n">
        <v>44984</v>
      </c>
      <c r="C48" s="1" t="n">
        <v>46138</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46138</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37891-2025</t>
        </is>
      </c>
      <c r="B50" s="1" t="n">
        <v>45881.54024305556</v>
      </c>
      <c r="C50" s="1" t="n">
        <v>46138</v>
      </c>
      <c r="D50" t="inlineStr">
        <is>
          <t>JÄMTLANDS LÄN</t>
        </is>
      </c>
      <c r="E50" t="inlineStr">
        <is>
          <t>ÅRE</t>
        </is>
      </c>
      <c r="G50" t="n">
        <v>8.300000000000001</v>
      </c>
      <c r="H50" t="n">
        <v>5</v>
      </c>
      <c r="I50" t="n">
        <v>1</v>
      </c>
      <c r="J50" t="n">
        <v>4</v>
      </c>
      <c r="K50" t="n">
        <v>0</v>
      </c>
      <c r="L50" t="n">
        <v>1</v>
      </c>
      <c r="M50" t="n">
        <v>0</v>
      </c>
      <c r="N50" t="n">
        <v>0</v>
      </c>
      <c r="O50" t="n">
        <v>5</v>
      </c>
      <c r="P50" t="n">
        <v>1</v>
      </c>
      <c r="Q50" t="n">
        <v>8</v>
      </c>
      <c r="R50" s="2" t="inlineStr">
        <is>
          <t>Grönfink
Grå blåbärsfältmätare
Kråka
Skogshare
Svartvit flugsnappare
Maskfingersvamp
Trana
Vanlig groda</t>
        </is>
      </c>
      <c r="S50">
        <f>HYPERLINK("https://klasma.github.io/Logging_2321/artfynd/A 37891-2025 artfynd.xlsx", "A 37891-2025")</f>
        <v/>
      </c>
      <c r="T50">
        <f>HYPERLINK("https://klasma.github.io/Logging_2321/kartor/A 37891-2025 karta.png", "A 37891-2025")</f>
        <v/>
      </c>
      <c r="V50">
        <f>HYPERLINK("https://klasma.github.io/Logging_2321/klagomål/A 37891-2025 FSC-klagomål.docx", "A 37891-2025")</f>
        <v/>
      </c>
      <c r="W50">
        <f>HYPERLINK("https://klasma.github.io/Logging_2321/klagomålsmail/A 37891-2025 FSC-klagomål mail.docx", "A 37891-2025")</f>
        <v/>
      </c>
      <c r="X50">
        <f>HYPERLINK("https://klasma.github.io/Logging_2321/tillsyn/A 37891-2025 tillsynsbegäran.docx", "A 37891-2025")</f>
        <v/>
      </c>
      <c r="Y50">
        <f>HYPERLINK("https://klasma.github.io/Logging_2321/tillsynsmail/A 37891-2025 tillsynsbegäran mail.docx", "A 37891-2025")</f>
        <v/>
      </c>
      <c r="Z50">
        <f>HYPERLINK("https://klasma.github.io/Logging_2321/fåglar/A 37891-2025 prioriterade fågelarter.docx", "A 37891-2025")</f>
        <v/>
      </c>
    </row>
    <row r="51" ht="15" customHeight="1">
      <c r="A51" t="inlineStr">
        <is>
          <t>A 63179-2025</t>
        </is>
      </c>
      <c r="B51" s="1" t="n">
        <v>46010.42215277778</v>
      </c>
      <c r="C51" s="1" t="n">
        <v>46138</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46138</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46138</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46138</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23822-2024</t>
        </is>
      </c>
      <c r="B55" s="1" t="n">
        <v>45455.46412037037</v>
      </c>
      <c r="C55" s="1" t="n">
        <v>46138</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53500-2024</t>
        </is>
      </c>
      <c r="B56" s="1" t="n">
        <v>45614</v>
      </c>
      <c r="C56" s="1" t="n">
        <v>46138</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31953-2021</t>
        </is>
      </c>
      <c r="B57" s="1" t="n">
        <v>44370</v>
      </c>
      <c r="C57" s="1" t="n">
        <v>46138</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46138</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46138</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46138</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46138</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46138</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46138</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46138</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46138</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46138</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46138</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46138</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46138</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46138</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46138</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46138</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46138</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42565-2024</t>
        </is>
      </c>
      <c r="B74" s="1" t="n">
        <v>45565</v>
      </c>
      <c r="C74" s="1" t="n">
        <v>46138</v>
      </c>
      <c r="D74" t="inlineStr">
        <is>
          <t>JÄMTLANDS LÄN</t>
        </is>
      </c>
      <c r="E74" t="inlineStr">
        <is>
          <t>ÅRE</t>
        </is>
      </c>
      <c r="F74" t="inlineStr">
        <is>
          <t>Övriga Aktiebolag</t>
        </is>
      </c>
      <c r="G74" t="n">
        <v>8.4</v>
      </c>
      <c r="H74" t="n">
        <v>0</v>
      </c>
      <c r="I74" t="n">
        <v>0</v>
      </c>
      <c r="J74" t="n">
        <v>4</v>
      </c>
      <c r="K74" t="n">
        <v>1</v>
      </c>
      <c r="L74" t="n">
        <v>0</v>
      </c>
      <c r="M74" t="n">
        <v>0</v>
      </c>
      <c r="N74" t="n">
        <v>0</v>
      </c>
      <c r="O74" t="n">
        <v>5</v>
      </c>
      <c r="P74" t="n">
        <v>1</v>
      </c>
      <c r="Q74" t="n">
        <v>5</v>
      </c>
      <c r="R74" s="2" t="inlineStr">
        <is>
          <t>Norsk näverlav
Gammelgransskål
Garnlav
Gränsticka
Skrovellav</t>
        </is>
      </c>
      <c r="S74">
        <f>HYPERLINK("https://klasma.github.io/Logging_2321/artfynd/A 42565-2024 artfynd.xlsx", "A 42565-2024")</f>
        <v/>
      </c>
      <c r="T74">
        <f>HYPERLINK("https://klasma.github.io/Logging_2321/kartor/A 42565-2024 karta.png", "A 42565-2024")</f>
        <v/>
      </c>
      <c r="V74">
        <f>HYPERLINK("https://klasma.github.io/Logging_2321/klagomål/A 42565-2024 FSC-klagomål.docx", "A 42565-2024")</f>
        <v/>
      </c>
      <c r="W74">
        <f>HYPERLINK("https://klasma.github.io/Logging_2321/klagomålsmail/A 42565-2024 FSC-klagomål mail.docx", "A 42565-2024")</f>
        <v/>
      </c>
      <c r="X74">
        <f>HYPERLINK("https://klasma.github.io/Logging_2321/tillsyn/A 42565-2024 tillsynsbegäran.docx", "A 42565-2024")</f>
        <v/>
      </c>
      <c r="Y74">
        <f>HYPERLINK("https://klasma.github.io/Logging_2321/tillsynsmail/A 42565-2024 tillsynsbegäran mail.docx", "A 42565-2024")</f>
        <v/>
      </c>
    </row>
    <row r="75" ht="15" customHeight="1">
      <c r="A75" t="inlineStr">
        <is>
          <t>A 10491-2024</t>
        </is>
      </c>
      <c r="B75" s="1" t="n">
        <v>45366</v>
      </c>
      <c r="C75" s="1" t="n">
        <v>46138</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32097-2025</t>
        </is>
      </c>
      <c r="B76" s="1" t="n">
        <v>45835.4641087963</v>
      </c>
      <c r="C76" s="1" t="n">
        <v>46138</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48189-2025</t>
        </is>
      </c>
      <c r="B77" s="1" t="n">
        <v>45931</v>
      </c>
      <c r="C77" s="1" t="n">
        <v>46138</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46138</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63363-2025</t>
        </is>
      </c>
      <c r="B79" s="1" t="n">
        <v>46010.68505787037</v>
      </c>
      <c r="C79" s="1" t="n">
        <v>46138</v>
      </c>
      <c r="D79" t="inlineStr">
        <is>
          <t>JÄMTLANDS LÄN</t>
        </is>
      </c>
      <c r="E79" t="inlineStr">
        <is>
          <t>ÅRE</t>
        </is>
      </c>
      <c r="F79" t="inlineStr">
        <is>
          <t>Övriga Aktiebolag</t>
        </is>
      </c>
      <c r="G79" t="n">
        <v>28.4</v>
      </c>
      <c r="H79" t="n">
        <v>1</v>
      </c>
      <c r="I79" t="n">
        <v>0</v>
      </c>
      <c r="J79" t="n">
        <v>4</v>
      </c>
      <c r="K79" t="n">
        <v>1</v>
      </c>
      <c r="L79" t="n">
        <v>0</v>
      </c>
      <c r="M79" t="n">
        <v>0</v>
      </c>
      <c r="N79" t="n">
        <v>0</v>
      </c>
      <c r="O79" t="n">
        <v>5</v>
      </c>
      <c r="P79" t="n">
        <v>1</v>
      </c>
      <c r="Q79" t="n">
        <v>5</v>
      </c>
      <c r="R79" s="2" t="inlineStr">
        <is>
          <t>Tallbit
Garnlav
Granticka
Lunglav
Mjölig dropplav</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53436-2025</t>
        </is>
      </c>
      <c r="B80" s="1" t="n">
        <v>45959</v>
      </c>
      <c r="C80" s="1" t="n">
        <v>46138</v>
      </c>
      <c r="D80" t="inlineStr">
        <is>
          <t>JÄMTLANDS LÄN</t>
        </is>
      </c>
      <c r="E80" t="inlineStr">
        <is>
          <t>ÅRE</t>
        </is>
      </c>
      <c r="F80" t="inlineStr">
        <is>
          <t>Övriga Aktiebolag</t>
        </is>
      </c>
      <c r="G80" t="n">
        <v>120.6</v>
      </c>
      <c r="H80" t="n">
        <v>0</v>
      </c>
      <c r="I80" t="n">
        <v>1</v>
      </c>
      <c r="J80" t="n">
        <v>4</v>
      </c>
      <c r="K80" t="n">
        <v>0</v>
      </c>
      <c r="L80" t="n">
        <v>0</v>
      </c>
      <c r="M80" t="n">
        <v>0</v>
      </c>
      <c r="N80" t="n">
        <v>0</v>
      </c>
      <c r="O80" t="n">
        <v>4</v>
      </c>
      <c r="P80" t="n">
        <v>0</v>
      </c>
      <c r="Q80" t="n">
        <v>5</v>
      </c>
      <c r="R80" s="2" t="inlineStr">
        <is>
          <t>Brunpudrad nållav
Granticka
Kavernularia
Rödbrun blekspik
Gytterlav</t>
        </is>
      </c>
      <c r="S80">
        <f>HYPERLINK("https://klasma.github.io/Logging_2321/artfynd/A 53436-2025 artfynd.xlsx", "A 53436-2025")</f>
        <v/>
      </c>
      <c r="T80">
        <f>HYPERLINK("https://klasma.github.io/Logging_2321/kartor/A 53436-2025 karta.png", "A 53436-2025")</f>
        <v/>
      </c>
      <c r="V80">
        <f>HYPERLINK("https://klasma.github.io/Logging_2321/klagomål/A 53436-2025 FSC-klagomål.docx", "A 53436-2025")</f>
        <v/>
      </c>
      <c r="W80">
        <f>HYPERLINK("https://klasma.github.io/Logging_2321/klagomålsmail/A 53436-2025 FSC-klagomål mail.docx", "A 53436-2025")</f>
        <v/>
      </c>
      <c r="X80">
        <f>HYPERLINK("https://klasma.github.io/Logging_2321/tillsyn/A 53436-2025 tillsynsbegäran.docx", "A 53436-2025")</f>
        <v/>
      </c>
      <c r="Y80">
        <f>HYPERLINK("https://klasma.github.io/Logging_2321/tillsynsmail/A 53436-2025 tillsynsbegäran mail.docx", "A 53436-2025")</f>
        <v/>
      </c>
    </row>
    <row r="81" ht="15" customHeight="1">
      <c r="A81" t="inlineStr">
        <is>
          <t>A 15371-2026</t>
        </is>
      </c>
      <c r="B81" s="1" t="n">
        <v>46105.87658564815</v>
      </c>
      <c r="C81" s="1" t="n">
        <v>46138</v>
      </c>
      <c r="D81" t="inlineStr">
        <is>
          <t>JÄMTLANDS LÄN</t>
        </is>
      </c>
      <c r="E81" t="inlineStr">
        <is>
          <t>ÅRE</t>
        </is>
      </c>
      <c r="G81" t="n">
        <v>2.3</v>
      </c>
      <c r="H81" t="n">
        <v>2</v>
      </c>
      <c r="I81" t="n">
        <v>0</v>
      </c>
      <c r="J81" t="n">
        <v>5</v>
      </c>
      <c r="K81" t="n">
        <v>0</v>
      </c>
      <c r="L81" t="n">
        <v>0</v>
      </c>
      <c r="M81" t="n">
        <v>0</v>
      </c>
      <c r="N81" t="n">
        <v>0</v>
      </c>
      <c r="O81" t="n">
        <v>5</v>
      </c>
      <c r="P81" t="n">
        <v>0</v>
      </c>
      <c r="Q81" t="n">
        <v>5</v>
      </c>
      <c r="R81" s="2" t="inlineStr">
        <is>
          <t>Granticka
Lunglav
Skrovellav
Spillkråka
Tretåig hackspett</t>
        </is>
      </c>
      <c r="S81">
        <f>HYPERLINK("https://klasma.github.io/Logging_2321/artfynd/A 15371-2026 artfynd.xlsx", "A 15371-2026")</f>
        <v/>
      </c>
      <c r="T81">
        <f>HYPERLINK("https://klasma.github.io/Logging_2321/kartor/A 15371-2026 karta.png", "A 15371-2026")</f>
        <v/>
      </c>
      <c r="V81">
        <f>HYPERLINK("https://klasma.github.io/Logging_2321/klagomål/A 15371-2026 FSC-klagomål.docx", "A 15371-2026")</f>
        <v/>
      </c>
      <c r="W81">
        <f>HYPERLINK("https://klasma.github.io/Logging_2321/klagomålsmail/A 15371-2026 FSC-klagomål mail.docx", "A 15371-2026")</f>
        <v/>
      </c>
      <c r="X81">
        <f>HYPERLINK("https://klasma.github.io/Logging_2321/tillsyn/A 15371-2026 tillsynsbegäran.docx", "A 15371-2026")</f>
        <v/>
      </c>
      <c r="Y81">
        <f>HYPERLINK("https://klasma.github.io/Logging_2321/tillsynsmail/A 15371-2026 tillsynsbegäran mail.docx", "A 15371-2026")</f>
        <v/>
      </c>
      <c r="Z81">
        <f>HYPERLINK("https://klasma.github.io/Logging_2321/fåglar/A 15371-2026 prioriterade fågelarter.docx", "A 15371-2026")</f>
        <v/>
      </c>
    </row>
    <row r="82" ht="15" customHeight="1">
      <c r="A82" t="inlineStr">
        <is>
          <t>A 30034-2024</t>
        </is>
      </c>
      <c r="B82" s="1" t="n">
        <v>45485</v>
      </c>
      <c r="C82" s="1" t="n">
        <v>46138</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19925-2025</t>
        </is>
      </c>
      <c r="B83" s="1" t="n">
        <v>45771.634375</v>
      </c>
      <c r="C83" s="1" t="n">
        <v>46138</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54374-2025</t>
        </is>
      </c>
      <c r="B84" s="1" t="n">
        <v>45965</v>
      </c>
      <c r="C84" s="1" t="n">
        <v>46138</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57537-2024</t>
        </is>
      </c>
      <c r="B85" s="1" t="n">
        <v>45630</v>
      </c>
      <c r="C85" s="1" t="n">
        <v>46138</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46138</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46138</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46138</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46138</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62621-2025</t>
        </is>
      </c>
      <c r="B90" s="1" t="n">
        <v>46008.34428240741</v>
      </c>
      <c r="C90" s="1" t="n">
        <v>46138</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36260-2023</t>
        </is>
      </c>
      <c r="B91" s="1" t="n">
        <v>45151</v>
      </c>
      <c r="C91" s="1" t="n">
        <v>46138</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13625-2023</t>
        </is>
      </c>
      <c r="B92" s="1" t="n">
        <v>45006</v>
      </c>
      <c r="C92" s="1" t="n">
        <v>46138</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Lunglav
Tretåig hackspett
Vitskaftad svartspik</t>
        </is>
      </c>
      <c r="S92">
        <f>HYPERLINK("https://klasma.github.io/Logging_2321/artfynd/A 13625-2023 artfynd.xlsx", "A 13625-2023")</f>
        <v/>
      </c>
      <c r="T92">
        <f>HYPERLINK("https://klasma.github.io/Logging_2321/kartor/A 13625-2023 karta.png", "A 13625-2023")</f>
        <v/>
      </c>
      <c r="V92">
        <f>HYPERLINK("https://klasma.github.io/Logging_2321/klagomål/A 13625-2023 FSC-klagomål.docx", "A 13625-2023")</f>
        <v/>
      </c>
      <c r="W92">
        <f>HYPERLINK("https://klasma.github.io/Logging_2321/klagomålsmail/A 13625-2023 FSC-klagomål mail.docx", "A 13625-2023")</f>
        <v/>
      </c>
      <c r="X92">
        <f>HYPERLINK("https://klasma.github.io/Logging_2321/tillsyn/A 13625-2023 tillsynsbegäran.docx", "A 13625-2023")</f>
        <v/>
      </c>
      <c r="Y92">
        <f>HYPERLINK("https://klasma.github.io/Logging_2321/tillsynsmail/A 13625-2023 tillsynsbegäran mail.docx", "A 13625-2023")</f>
        <v/>
      </c>
      <c r="Z92">
        <f>HYPERLINK("https://klasma.github.io/Logging_2321/fåglar/A 13625-2023 prioriterade fågelarter.docx", "A 13625-2023")</f>
        <v/>
      </c>
    </row>
    <row r="93" ht="15" customHeight="1">
      <c r="A93" t="inlineStr">
        <is>
          <t>A 23729-2023</t>
        </is>
      </c>
      <c r="B93" s="1" t="n">
        <v>45072</v>
      </c>
      <c r="C93" s="1" t="n">
        <v>46138</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72934-2021</t>
        </is>
      </c>
      <c r="B94" s="1" t="n">
        <v>44547</v>
      </c>
      <c r="C94" s="1" t="n">
        <v>46138</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23638-2023</t>
        </is>
      </c>
      <c r="B95" s="1" t="n">
        <v>45072</v>
      </c>
      <c r="C95" s="1" t="n">
        <v>46138</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59237-2022</t>
        </is>
      </c>
      <c r="B96" s="1" t="n">
        <v>44904</v>
      </c>
      <c r="C96" s="1" t="n">
        <v>46138</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22692-2025</t>
        </is>
      </c>
      <c r="B97" s="1" t="n">
        <v>45789.53834490741</v>
      </c>
      <c r="C97" s="1" t="n">
        <v>46138</v>
      </c>
      <c r="D97" t="inlineStr">
        <is>
          <t>JÄMTLANDS LÄN</t>
        </is>
      </c>
      <c r="E97" t="inlineStr">
        <is>
          <t>ÅRE</t>
        </is>
      </c>
      <c r="G97" t="n">
        <v>10.6</v>
      </c>
      <c r="H97" t="n">
        <v>0</v>
      </c>
      <c r="I97" t="n">
        <v>0</v>
      </c>
      <c r="J97" t="n">
        <v>3</v>
      </c>
      <c r="K97" t="n">
        <v>0</v>
      </c>
      <c r="L97" t="n">
        <v>0</v>
      </c>
      <c r="M97" t="n">
        <v>0</v>
      </c>
      <c r="N97" t="n">
        <v>0</v>
      </c>
      <c r="O97" t="n">
        <v>3</v>
      </c>
      <c r="P97" t="n">
        <v>0</v>
      </c>
      <c r="Q97" t="n">
        <v>3</v>
      </c>
      <c r="R97" s="2" t="inlineStr">
        <is>
          <t>Gammelgransskål
Garnlav
Skrovellav</t>
        </is>
      </c>
      <c r="S97">
        <f>HYPERLINK("https://klasma.github.io/Logging_2321/artfynd/A 22692-2025 artfynd.xlsx", "A 22692-2025")</f>
        <v/>
      </c>
      <c r="T97">
        <f>HYPERLINK("https://klasma.github.io/Logging_2321/kartor/A 22692-2025 karta.png", "A 22692-2025")</f>
        <v/>
      </c>
      <c r="V97">
        <f>HYPERLINK("https://klasma.github.io/Logging_2321/klagomål/A 22692-2025 FSC-klagomål.docx", "A 22692-2025")</f>
        <v/>
      </c>
      <c r="W97">
        <f>HYPERLINK("https://klasma.github.io/Logging_2321/klagomålsmail/A 22692-2025 FSC-klagomål mail.docx", "A 22692-2025")</f>
        <v/>
      </c>
      <c r="X97">
        <f>HYPERLINK("https://klasma.github.io/Logging_2321/tillsyn/A 22692-2025 tillsynsbegäran.docx", "A 22692-2025")</f>
        <v/>
      </c>
      <c r="Y97">
        <f>HYPERLINK("https://klasma.github.io/Logging_2321/tillsynsmail/A 22692-2025 tillsynsbegäran mail.docx", "A 22692-2025")</f>
        <v/>
      </c>
    </row>
    <row r="98" ht="15" customHeight="1">
      <c r="A98" t="inlineStr">
        <is>
          <t>A 20124-2023</t>
        </is>
      </c>
      <c r="B98" s="1" t="n">
        <v>45055</v>
      </c>
      <c r="C98" s="1" t="n">
        <v>46138</v>
      </c>
      <c r="D98" t="inlineStr">
        <is>
          <t>JÄMTLANDS LÄN</t>
        </is>
      </c>
      <c r="E98" t="inlineStr">
        <is>
          <t>ÅRE</t>
        </is>
      </c>
      <c r="G98" t="n">
        <v>3.4</v>
      </c>
      <c r="H98" t="n">
        <v>0</v>
      </c>
      <c r="I98" t="n">
        <v>3</v>
      </c>
      <c r="J98" t="n">
        <v>0</v>
      </c>
      <c r="K98" t="n">
        <v>0</v>
      </c>
      <c r="L98" t="n">
        <v>0</v>
      </c>
      <c r="M98" t="n">
        <v>0</v>
      </c>
      <c r="N98" t="n">
        <v>0</v>
      </c>
      <c r="O98" t="n">
        <v>0</v>
      </c>
      <c r="P98" t="n">
        <v>0</v>
      </c>
      <c r="Q98" t="n">
        <v>3</v>
      </c>
      <c r="R98" s="2" t="inlineStr">
        <is>
          <t>Finbräken
Svart trolldruva
Underviol</t>
        </is>
      </c>
      <c r="S98">
        <f>HYPERLINK("https://klasma.github.io/Logging_2321/artfynd/A 20124-2023 artfynd.xlsx", "A 20124-2023")</f>
        <v/>
      </c>
      <c r="T98">
        <f>HYPERLINK("https://klasma.github.io/Logging_2321/kartor/A 20124-2023 karta.png", "A 20124-2023")</f>
        <v/>
      </c>
      <c r="V98">
        <f>HYPERLINK("https://klasma.github.io/Logging_2321/klagomål/A 20124-2023 FSC-klagomål.docx", "A 20124-2023")</f>
        <v/>
      </c>
      <c r="W98">
        <f>HYPERLINK("https://klasma.github.io/Logging_2321/klagomålsmail/A 20124-2023 FSC-klagomål mail.docx", "A 20124-2023")</f>
        <v/>
      </c>
      <c r="X98">
        <f>HYPERLINK("https://klasma.github.io/Logging_2321/tillsyn/A 20124-2023 tillsynsbegäran.docx", "A 20124-2023")</f>
        <v/>
      </c>
      <c r="Y98">
        <f>HYPERLINK("https://klasma.github.io/Logging_2321/tillsynsmail/A 20124-2023 tillsynsbegäran mail.docx", "A 20124-2023")</f>
        <v/>
      </c>
    </row>
    <row r="99" ht="15" customHeight="1">
      <c r="A99" t="inlineStr">
        <is>
          <t>A 58387-2023</t>
        </is>
      </c>
      <c r="B99" s="1" t="n">
        <v>45250</v>
      </c>
      <c r="C99" s="1" t="n">
        <v>46138</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46138</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21006-2022</t>
        </is>
      </c>
      <c r="B101" s="1" t="n">
        <v>44701</v>
      </c>
      <c r="C101" s="1" t="n">
        <v>46138</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22601-2024</t>
        </is>
      </c>
      <c r="B102" s="1" t="n">
        <v>45447</v>
      </c>
      <c r="C102" s="1" t="n">
        <v>46138</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46138</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12269-2022</t>
        </is>
      </c>
      <c r="B104" s="1" t="n">
        <v>44637</v>
      </c>
      <c r="C104" s="1" t="n">
        <v>46138</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40245-2023</t>
        </is>
      </c>
      <c r="B105" s="1" t="n">
        <v>45167</v>
      </c>
      <c r="C105" s="1" t="n">
        <v>46138</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56549-2025</t>
        </is>
      </c>
      <c r="B106" s="1" t="n">
        <v>45975.48099537037</v>
      </c>
      <c r="C106" s="1" t="n">
        <v>46138</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40386-2025</t>
        </is>
      </c>
      <c r="B107" s="1" t="n">
        <v>45895</v>
      </c>
      <c r="C107" s="1" t="n">
        <v>46138</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47988-2025</t>
        </is>
      </c>
      <c r="B108" s="1" t="n">
        <v>45931</v>
      </c>
      <c r="C108" s="1" t="n">
        <v>46138</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10627-2023</t>
        </is>
      </c>
      <c r="B109" s="1" t="n">
        <v>44984</v>
      </c>
      <c r="C109" s="1" t="n">
        <v>46138</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62522-2025</t>
        </is>
      </c>
      <c r="B110" s="1" t="n">
        <v>46007.61512731481</v>
      </c>
      <c r="C110" s="1" t="n">
        <v>46138</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54376-2025</t>
        </is>
      </c>
      <c r="B111" s="1" t="n">
        <v>45965</v>
      </c>
      <c r="C111" s="1" t="n">
        <v>46138</v>
      </c>
      <c r="D111" t="inlineStr">
        <is>
          <t>JÄMTLANDS LÄN</t>
        </is>
      </c>
      <c r="E111" t="inlineStr">
        <is>
          <t>ÅRE</t>
        </is>
      </c>
      <c r="G111" t="n">
        <v>5.3</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54376-2025 artfynd.xlsx", "A 54376-2025")</f>
        <v/>
      </c>
      <c r="T111">
        <f>HYPERLINK("https://klasma.github.io/Logging_2321/kartor/A 54376-2025 karta.png", "A 54376-2025")</f>
        <v/>
      </c>
      <c r="V111">
        <f>HYPERLINK("https://klasma.github.io/Logging_2321/klagomål/A 54376-2025 FSC-klagomål.docx", "A 54376-2025")</f>
        <v/>
      </c>
      <c r="W111">
        <f>HYPERLINK("https://klasma.github.io/Logging_2321/klagomålsmail/A 54376-2025 FSC-klagomål mail.docx", "A 54376-2025")</f>
        <v/>
      </c>
      <c r="X111">
        <f>HYPERLINK("https://klasma.github.io/Logging_2321/tillsyn/A 54376-2025 tillsynsbegäran.docx", "A 54376-2025")</f>
        <v/>
      </c>
      <c r="Y111">
        <f>HYPERLINK("https://klasma.github.io/Logging_2321/tillsynsmail/A 54376-2025 tillsynsbegäran mail.docx", "A 54376-2025")</f>
        <v/>
      </c>
    </row>
    <row r="112" ht="15" customHeight="1">
      <c r="A112" t="inlineStr">
        <is>
          <t>A 58082-2022</t>
        </is>
      </c>
      <c r="B112" s="1" t="n">
        <v>44900</v>
      </c>
      <c r="C112" s="1" t="n">
        <v>46138</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6934-2026</t>
        </is>
      </c>
      <c r="B113" s="1" t="n">
        <v>46057.55797453703</v>
      </c>
      <c r="C113" s="1" t="n">
        <v>46138</v>
      </c>
      <c r="D113" t="inlineStr">
        <is>
          <t>JÄMTLANDS LÄN</t>
        </is>
      </c>
      <c r="E113" t="inlineStr">
        <is>
          <t>ÅRE</t>
        </is>
      </c>
      <c r="G113" t="n">
        <v>3.4</v>
      </c>
      <c r="H113" t="n">
        <v>1</v>
      </c>
      <c r="I113" t="n">
        <v>0</v>
      </c>
      <c r="J113" t="n">
        <v>3</v>
      </c>
      <c r="K113" t="n">
        <v>0</v>
      </c>
      <c r="L113" t="n">
        <v>0</v>
      </c>
      <c r="M113" t="n">
        <v>0</v>
      </c>
      <c r="N113" t="n">
        <v>0</v>
      </c>
      <c r="O113" t="n">
        <v>3</v>
      </c>
      <c r="P113" t="n">
        <v>0</v>
      </c>
      <c r="Q113" t="n">
        <v>3</v>
      </c>
      <c r="R113" s="2" t="inlineStr">
        <is>
          <t>Garnlav
Granticka
Talltita</t>
        </is>
      </c>
      <c r="S113">
        <f>HYPERLINK("https://klasma.github.io/Logging_2321/artfynd/A 6934-2026 artfynd.xlsx", "A 6934-2026")</f>
        <v/>
      </c>
      <c r="T113">
        <f>HYPERLINK("https://klasma.github.io/Logging_2321/kartor/A 6934-2026 karta.png", "A 6934-2026")</f>
        <v/>
      </c>
      <c r="V113">
        <f>HYPERLINK("https://klasma.github.io/Logging_2321/klagomål/A 6934-2026 FSC-klagomål.docx", "A 6934-2026")</f>
        <v/>
      </c>
      <c r="W113">
        <f>HYPERLINK("https://klasma.github.io/Logging_2321/klagomålsmail/A 6934-2026 FSC-klagomål mail.docx", "A 6934-2026")</f>
        <v/>
      </c>
      <c r="X113">
        <f>HYPERLINK("https://klasma.github.io/Logging_2321/tillsyn/A 6934-2026 tillsynsbegäran.docx", "A 6934-2026")</f>
        <v/>
      </c>
      <c r="Y113">
        <f>HYPERLINK("https://klasma.github.io/Logging_2321/tillsynsmail/A 6934-2026 tillsynsbegäran mail.docx", "A 6934-2026")</f>
        <v/>
      </c>
      <c r="Z113">
        <f>HYPERLINK("https://klasma.github.io/Logging_2321/fåglar/A 6934-2026 prioriterade fågelarter.docx", "A 6934-2026")</f>
        <v/>
      </c>
    </row>
    <row r="114" ht="15" customHeight="1">
      <c r="A114" t="inlineStr">
        <is>
          <t>A 52588-2024</t>
        </is>
      </c>
      <c r="B114" s="1" t="n">
        <v>45609.69825231482</v>
      </c>
      <c r="C114" s="1" t="n">
        <v>46138</v>
      </c>
      <c r="D114" t="inlineStr">
        <is>
          <t>JÄMTLANDS LÄN</t>
        </is>
      </c>
      <c r="E114" t="inlineStr">
        <is>
          <t>ÅRE</t>
        </is>
      </c>
      <c r="G114" t="n">
        <v>6.5</v>
      </c>
      <c r="H114" t="n">
        <v>0</v>
      </c>
      <c r="I114" t="n">
        <v>1</v>
      </c>
      <c r="J114" t="n">
        <v>2</v>
      </c>
      <c r="K114" t="n">
        <v>0</v>
      </c>
      <c r="L114" t="n">
        <v>0</v>
      </c>
      <c r="M114" t="n">
        <v>0</v>
      </c>
      <c r="N114" t="n">
        <v>0</v>
      </c>
      <c r="O114" t="n">
        <v>2</v>
      </c>
      <c r="P114" t="n">
        <v>0</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11436-2026</t>
        </is>
      </c>
      <c r="B115" s="1" t="n">
        <v>46083.50047453704</v>
      </c>
      <c r="C115" s="1" t="n">
        <v>46138</v>
      </c>
      <c r="D115" t="inlineStr">
        <is>
          <t>JÄMTLANDS LÄN</t>
        </is>
      </c>
      <c r="E115" t="inlineStr">
        <is>
          <t>ÅRE</t>
        </is>
      </c>
      <c r="G115" t="n">
        <v>4.3</v>
      </c>
      <c r="H115" t="n">
        <v>1</v>
      </c>
      <c r="I115" t="n">
        <v>0</v>
      </c>
      <c r="J115" t="n">
        <v>3</v>
      </c>
      <c r="K115" t="n">
        <v>0</v>
      </c>
      <c r="L115" t="n">
        <v>0</v>
      </c>
      <c r="M115" t="n">
        <v>0</v>
      </c>
      <c r="N115" t="n">
        <v>0</v>
      </c>
      <c r="O115" t="n">
        <v>3</v>
      </c>
      <c r="P115" t="n">
        <v>0</v>
      </c>
      <c r="Q115" t="n">
        <v>3</v>
      </c>
      <c r="R115" s="2" t="inlineStr">
        <is>
          <t>Garnlav
Harticka
Tretåig hackspett</t>
        </is>
      </c>
      <c r="S115">
        <f>HYPERLINK("https://klasma.github.io/Logging_2321/artfynd/A 11436-2026 artfynd.xlsx", "A 11436-2026")</f>
        <v/>
      </c>
      <c r="T115">
        <f>HYPERLINK("https://klasma.github.io/Logging_2321/kartor/A 11436-2026 karta.png", "A 11436-2026")</f>
        <v/>
      </c>
      <c r="V115">
        <f>HYPERLINK("https://klasma.github.io/Logging_2321/klagomål/A 11436-2026 FSC-klagomål.docx", "A 11436-2026")</f>
        <v/>
      </c>
      <c r="W115">
        <f>HYPERLINK("https://klasma.github.io/Logging_2321/klagomålsmail/A 11436-2026 FSC-klagomål mail.docx", "A 11436-2026")</f>
        <v/>
      </c>
      <c r="X115">
        <f>HYPERLINK("https://klasma.github.io/Logging_2321/tillsyn/A 11436-2026 tillsynsbegäran.docx", "A 11436-2026")</f>
        <v/>
      </c>
      <c r="Y115">
        <f>HYPERLINK("https://klasma.github.io/Logging_2321/tillsynsmail/A 11436-2026 tillsynsbegäran mail.docx", "A 11436-2026")</f>
        <v/>
      </c>
      <c r="Z115">
        <f>HYPERLINK("https://klasma.github.io/Logging_2321/fåglar/A 11436-2026 prioriterade fågelarter.docx", "A 11436-2026")</f>
        <v/>
      </c>
    </row>
    <row r="116" ht="15" customHeight="1">
      <c r="A116" t="inlineStr">
        <is>
          <t>A 23572-2021</t>
        </is>
      </c>
      <c r="B116" s="1" t="n">
        <v>44334</v>
      </c>
      <c r="C116" s="1" t="n">
        <v>46138</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52427-2021</t>
        </is>
      </c>
      <c r="B117" s="1" t="n">
        <v>44466.34178240741</v>
      </c>
      <c r="C117" s="1" t="n">
        <v>46138</v>
      </c>
      <c r="D117" t="inlineStr">
        <is>
          <t>JÄMTLANDS LÄN</t>
        </is>
      </c>
      <c r="E117" t="inlineStr">
        <is>
          <t>ÅRE</t>
        </is>
      </c>
      <c r="G117" t="n">
        <v>4</v>
      </c>
      <c r="H117" t="n">
        <v>1</v>
      </c>
      <c r="I117" t="n">
        <v>0</v>
      </c>
      <c r="J117" t="n">
        <v>2</v>
      </c>
      <c r="K117" t="n">
        <v>0</v>
      </c>
      <c r="L117" t="n">
        <v>0</v>
      </c>
      <c r="M117" t="n">
        <v>0</v>
      </c>
      <c r="N117" t="n">
        <v>0</v>
      </c>
      <c r="O117" t="n">
        <v>2</v>
      </c>
      <c r="P117" t="n">
        <v>0</v>
      </c>
      <c r="Q117" t="n">
        <v>2</v>
      </c>
      <c r="R117" s="2" t="inlineStr">
        <is>
          <t>Harticka
Tretåig hackspett</t>
        </is>
      </c>
      <c r="S117">
        <f>HYPERLINK("https://klasma.github.io/Logging_2321/artfynd/A 52427-2021 artfynd.xlsx", "A 52427-2021")</f>
        <v/>
      </c>
      <c r="T117">
        <f>HYPERLINK("https://klasma.github.io/Logging_2321/kartor/A 52427-2021 karta.png", "A 52427-2021")</f>
        <v/>
      </c>
      <c r="V117">
        <f>HYPERLINK("https://klasma.github.io/Logging_2321/klagomål/A 52427-2021 FSC-klagomål.docx", "A 52427-2021")</f>
        <v/>
      </c>
      <c r="W117">
        <f>HYPERLINK("https://klasma.github.io/Logging_2321/klagomålsmail/A 52427-2021 FSC-klagomål mail.docx", "A 52427-2021")</f>
        <v/>
      </c>
      <c r="X117">
        <f>HYPERLINK("https://klasma.github.io/Logging_2321/tillsyn/A 52427-2021 tillsynsbegäran.docx", "A 52427-2021")</f>
        <v/>
      </c>
      <c r="Y117">
        <f>HYPERLINK("https://klasma.github.io/Logging_2321/tillsynsmail/A 52427-2021 tillsynsbegäran mail.docx", "A 52427-2021")</f>
        <v/>
      </c>
      <c r="Z117">
        <f>HYPERLINK("https://klasma.github.io/Logging_2321/fåglar/A 52427-2021 prioriterade fågelarter.docx", "A 52427-2021")</f>
        <v/>
      </c>
    </row>
    <row r="118" ht="15" customHeight="1">
      <c r="A118" t="inlineStr">
        <is>
          <t>A 18851-2022</t>
        </is>
      </c>
      <c r="B118" s="1" t="n">
        <v>44690</v>
      </c>
      <c r="C118" s="1" t="n">
        <v>46138</v>
      </c>
      <c r="D118" t="inlineStr">
        <is>
          <t>JÄMTLANDS LÄN</t>
        </is>
      </c>
      <c r="E118" t="inlineStr">
        <is>
          <t>ÅRE</t>
        </is>
      </c>
      <c r="G118" t="n">
        <v>10.4</v>
      </c>
      <c r="H118" t="n">
        <v>1</v>
      </c>
      <c r="I118" t="n">
        <v>0</v>
      </c>
      <c r="J118" t="n">
        <v>1</v>
      </c>
      <c r="K118" t="n">
        <v>0</v>
      </c>
      <c r="L118" t="n">
        <v>0</v>
      </c>
      <c r="M118" t="n">
        <v>0</v>
      </c>
      <c r="N118" t="n">
        <v>0</v>
      </c>
      <c r="O118" t="n">
        <v>1</v>
      </c>
      <c r="P118" t="n">
        <v>0</v>
      </c>
      <c r="Q118" t="n">
        <v>2</v>
      </c>
      <c r="R118" s="2" t="inlineStr">
        <is>
          <t>Garnlav
Orre</t>
        </is>
      </c>
      <c r="S118">
        <f>HYPERLINK("https://klasma.github.io/Logging_2321/artfynd/A 18851-2022 artfynd.xlsx", "A 18851-2022")</f>
        <v/>
      </c>
      <c r="T118">
        <f>HYPERLINK("https://klasma.github.io/Logging_2321/kartor/A 18851-2022 karta.png", "A 18851-2022")</f>
        <v/>
      </c>
      <c r="V118">
        <f>HYPERLINK("https://klasma.github.io/Logging_2321/klagomål/A 18851-2022 FSC-klagomål.docx", "A 18851-2022")</f>
        <v/>
      </c>
      <c r="W118">
        <f>HYPERLINK("https://klasma.github.io/Logging_2321/klagomålsmail/A 18851-2022 FSC-klagomål mail.docx", "A 18851-2022")</f>
        <v/>
      </c>
      <c r="X118">
        <f>HYPERLINK("https://klasma.github.io/Logging_2321/tillsyn/A 18851-2022 tillsynsbegäran.docx", "A 18851-2022")</f>
        <v/>
      </c>
      <c r="Y118">
        <f>HYPERLINK("https://klasma.github.io/Logging_2321/tillsynsmail/A 18851-2022 tillsynsbegäran mail.docx", "A 18851-2022")</f>
        <v/>
      </c>
      <c r="Z118">
        <f>HYPERLINK("https://klasma.github.io/Logging_2321/fåglar/A 18851-2022 prioriterade fågelarter.docx", "A 18851-2022")</f>
        <v/>
      </c>
    </row>
    <row r="119" ht="15" customHeight="1">
      <c r="A119" t="inlineStr">
        <is>
          <t>A 23706-2023</t>
        </is>
      </c>
      <c r="B119" s="1" t="n">
        <v>45072</v>
      </c>
      <c r="C119" s="1" t="n">
        <v>46138</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23566-2021</t>
        </is>
      </c>
      <c r="B120" s="1" t="n">
        <v>44334</v>
      </c>
      <c r="C120" s="1" t="n">
        <v>46138</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22231-2022</t>
        </is>
      </c>
      <c r="B121" s="1" t="n">
        <v>44712</v>
      </c>
      <c r="C121" s="1" t="n">
        <v>46138</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60533-2022</t>
        </is>
      </c>
      <c r="B122" s="1" t="n">
        <v>44904</v>
      </c>
      <c r="C122" s="1" t="n">
        <v>46138</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32114-2025</t>
        </is>
      </c>
      <c r="B123" s="1" t="n">
        <v>45835.48488425926</v>
      </c>
      <c r="C123" s="1" t="n">
        <v>46138</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5418-2023</t>
        </is>
      </c>
      <c r="B124" s="1" t="n">
        <v>44957</v>
      </c>
      <c r="C124" s="1" t="n">
        <v>46138</v>
      </c>
      <c r="D124" t="inlineStr">
        <is>
          <t>JÄMTLANDS LÄN</t>
        </is>
      </c>
      <c r="E124" t="inlineStr">
        <is>
          <t>ÅRE</t>
        </is>
      </c>
      <c r="G124" t="n">
        <v>5</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5418-2023 artfynd.xlsx", "A 5418-2023")</f>
        <v/>
      </c>
      <c r="T124">
        <f>HYPERLINK("https://klasma.github.io/Logging_2321/kartor/A 5418-2023 karta.png", "A 5418-2023")</f>
        <v/>
      </c>
      <c r="V124">
        <f>HYPERLINK("https://klasma.github.io/Logging_2321/klagomål/A 5418-2023 FSC-klagomål.docx", "A 5418-2023")</f>
        <v/>
      </c>
      <c r="W124">
        <f>HYPERLINK("https://klasma.github.io/Logging_2321/klagomålsmail/A 5418-2023 FSC-klagomål mail.docx", "A 5418-2023")</f>
        <v/>
      </c>
      <c r="X124">
        <f>HYPERLINK("https://klasma.github.io/Logging_2321/tillsyn/A 5418-2023 tillsynsbegäran.docx", "A 5418-2023")</f>
        <v/>
      </c>
      <c r="Y124">
        <f>HYPERLINK("https://klasma.github.io/Logging_2321/tillsynsmail/A 5418-2023 tillsynsbegäran mail.docx", "A 5418-2023")</f>
        <v/>
      </c>
      <c r="Z124">
        <f>HYPERLINK("https://klasma.github.io/Logging_2321/fåglar/A 5418-2023 prioriterade fågelarter.docx", "A 5418-2023")</f>
        <v/>
      </c>
    </row>
    <row r="125" ht="15" customHeight="1">
      <c r="A125" t="inlineStr">
        <is>
          <t>A 54055-2023</t>
        </is>
      </c>
      <c r="B125" s="1" t="n">
        <v>45231</v>
      </c>
      <c r="C125" s="1" t="n">
        <v>46138</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36395-2025</t>
        </is>
      </c>
      <c r="B126" s="1" t="n">
        <v>45868.6211574074</v>
      </c>
      <c r="C126" s="1" t="n">
        <v>46138</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37204-2025</t>
        </is>
      </c>
      <c r="B127" s="1" t="n">
        <v>45875.69826388889</v>
      </c>
      <c r="C127" s="1" t="n">
        <v>46138</v>
      </c>
      <c r="D127" t="inlineStr">
        <is>
          <t>JÄMTLANDS LÄN</t>
        </is>
      </c>
      <c r="E127" t="inlineStr">
        <is>
          <t>ÅRE</t>
        </is>
      </c>
      <c r="G127" t="n">
        <v>2.9</v>
      </c>
      <c r="H127" t="n">
        <v>1</v>
      </c>
      <c r="I127" t="n">
        <v>1</v>
      </c>
      <c r="J127" t="n">
        <v>0</v>
      </c>
      <c r="K127" t="n">
        <v>0</v>
      </c>
      <c r="L127" t="n">
        <v>0</v>
      </c>
      <c r="M127" t="n">
        <v>0</v>
      </c>
      <c r="N127" t="n">
        <v>0</v>
      </c>
      <c r="O127" t="n">
        <v>0</v>
      </c>
      <c r="P127" t="n">
        <v>0</v>
      </c>
      <c r="Q127" t="n">
        <v>2</v>
      </c>
      <c r="R127" s="2" t="inlineStr">
        <is>
          <t>Norrlandslav
Revlummer</t>
        </is>
      </c>
      <c r="S127">
        <f>HYPERLINK("https://klasma.github.io/Logging_2321/artfynd/A 37204-2025 artfynd.xlsx", "A 37204-2025")</f>
        <v/>
      </c>
      <c r="T127">
        <f>HYPERLINK("https://klasma.github.io/Logging_2321/kartor/A 37204-2025 karta.png", "A 37204-2025")</f>
        <v/>
      </c>
      <c r="V127">
        <f>HYPERLINK("https://klasma.github.io/Logging_2321/klagomål/A 37204-2025 FSC-klagomål.docx", "A 37204-2025")</f>
        <v/>
      </c>
      <c r="W127">
        <f>HYPERLINK("https://klasma.github.io/Logging_2321/klagomålsmail/A 37204-2025 FSC-klagomål mail.docx", "A 37204-2025")</f>
        <v/>
      </c>
      <c r="X127">
        <f>HYPERLINK("https://klasma.github.io/Logging_2321/tillsyn/A 37204-2025 tillsynsbegäran.docx", "A 37204-2025")</f>
        <v/>
      </c>
      <c r="Y127">
        <f>HYPERLINK("https://klasma.github.io/Logging_2321/tillsynsmail/A 37204-2025 tillsynsbegäran mail.docx", "A 37204-2025")</f>
        <v/>
      </c>
    </row>
    <row r="128" ht="15" customHeight="1">
      <c r="A128" t="inlineStr">
        <is>
          <t>A 47993-2025</t>
        </is>
      </c>
      <c r="B128" s="1" t="n">
        <v>45931</v>
      </c>
      <c r="C128" s="1" t="n">
        <v>46138</v>
      </c>
      <c r="D128" t="inlineStr">
        <is>
          <t>JÄMTLANDS LÄN</t>
        </is>
      </c>
      <c r="E128" t="inlineStr">
        <is>
          <t>ÅRE</t>
        </is>
      </c>
      <c r="G128" t="n">
        <v>2.1</v>
      </c>
      <c r="H128" t="n">
        <v>0</v>
      </c>
      <c r="I128" t="n">
        <v>1</v>
      </c>
      <c r="J128" t="n">
        <v>1</v>
      </c>
      <c r="K128" t="n">
        <v>0</v>
      </c>
      <c r="L128" t="n">
        <v>0</v>
      </c>
      <c r="M128" t="n">
        <v>0</v>
      </c>
      <c r="N128" t="n">
        <v>0</v>
      </c>
      <c r="O128" t="n">
        <v>1</v>
      </c>
      <c r="P128" t="n">
        <v>0</v>
      </c>
      <c r="Q128" t="n">
        <v>2</v>
      </c>
      <c r="R128" s="2" t="inlineStr">
        <is>
          <t>Ullticka
Svart trolldruva</t>
        </is>
      </c>
      <c r="S128">
        <f>HYPERLINK("https://klasma.github.io/Logging_2321/artfynd/A 47993-2025 artfynd.xlsx", "A 47993-2025")</f>
        <v/>
      </c>
      <c r="T128">
        <f>HYPERLINK("https://klasma.github.io/Logging_2321/kartor/A 47993-2025 karta.png", "A 47993-2025")</f>
        <v/>
      </c>
      <c r="V128">
        <f>HYPERLINK("https://klasma.github.io/Logging_2321/klagomål/A 47993-2025 FSC-klagomål.docx", "A 47993-2025")</f>
        <v/>
      </c>
      <c r="W128">
        <f>HYPERLINK("https://klasma.github.io/Logging_2321/klagomålsmail/A 47993-2025 FSC-klagomål mail.docx", "A 47993-2025")</f>
        <v/>
      </c>
      <c r="X128">
        <f>HYPERLINK("https://klasma.github.io/Logging_2321/tillsyn/A 47993-2025 tillsynsbegäran.docx", "A 47993-2025")</f>
        <v/>
      </c>
      <c r="Y128">
        <f>HYPERLINK("https://klasma.github.io/Logging_2321/tillsynsmail/A 47993-2025 tillsynsbegäran mail.docx", "A 47993-2025")</f>
        <v/>
      </c>
    </row>
    <row r="129" ht="15" customHeight="1">
      <c r="A129" t="inlineStr">
        <is>
          <t>A 41280-2025</t>
        </is>
      </c>
      <c r="B129" s="1" t="n">
        <v>45898</v>
      </c>
      <c r="C129" s="1" t="n">
        <v>46138</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22974-2022</t>
        </is>
      </c>
      <c r="B130" s="1" t="n">
        <v>44716</v>
      </c>
      <c r="C130" s="1" t="n">
        <v>46138</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54128-2023</t>
        </is>
      </c>
      <c r="B131" s="1" t="n">
        <v>45232</v>
      </c>
      <c r="C131" s="1" t="n">
        <v>46138</v>
      </c>
      <c r="D131" t="inlineStr">
        <is>
          <t>JÄMTLANDS LÄN</t>
        </is>
      </c>
      <c r="E131" t="inlineStr">
        <is>
          <t>ÅRE</t>
        </is>
      </c>
      <c r="G131" t="n">
        <v>3.9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54128-2023 artfynd.xlsx", "A 54128-2023")</f>
        <v/>
      </c>
      <c r="T131">
        <f>HYPERLINK("https://klasma.github.io/Logging_2321/kartor/A 54128-2023 karta.png", "A 54128-2023")</f>
        <v/>
      </c>
      <c r="V131">
        <f>HYPERLINK("https://klasma.github.io/Logging_2321/klagomål/A 54128-2023 FSC-klagomål.docx", "A 54128-2023")</f>
        <v/>
      </c>
      <c r="W131">
        <f>HYPERLINK("https://klasma.github.io/Logging_2321/klagomålsmail/A 54128-2023 FSC-klagomål mail.docx", "A 54128-2023")</f>
        <v/>
      </c>
      <c r="X131">
        <f>HYPERLINK("https://klasma.github.io/Logging_2321/tillsyn/A 54128-2023 tillsynsbegäran.docx", "A 54128-2023")</f>
        <v/>
      </c>
      <c r="Y131">
        <f>HYPERLINK("https://klasma.github.io/Logging_2321/tillsynsmail/A 54128-2023 tillsynsbegäran mail.docx", "A 54128-2023")</f>
        <v/>
      </c>
      <c r="Z131">
        <f>HYPERLINK("https://klasma.github.io/Logging_2321/fåglar/A 54128-2023 prioriterade fågelarter.docx", "A 54128-2023")</f>
        <v/>
      </c>
    </row>
    <row r="132" ht="15" customHeight="1">
      <c r="A132" t="inlineStr">
        <is>
          <t>A 64668-2021</t>
        </is>
      </c>
      <c r="B132" s="1" t="n">
        <v>44512</v>
      </c>
      <c r="C132" s="1" t="n">
        <v>46138</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32207-2022</t>
        </is>
      </c>
      <c r="B133" s="1" t="n">
        <v>44781</v>
      </c>
      <c r="C133" s="1" t="n">
        <v>46138</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17482-2026</t>
        </is>
      </c>
      <c r="B134" s="1" t="n">
        <v>46120.55381944445</v>
      </c>
      <c r="C134" s="1" t="n">
        <v>46138</v>
      </c>
      <c r="D134" t="inlineStr">
        <is>
          <t>JÄMTLANDS LÄN</t>
        </is>
      </c>
      <c r="E134" t="inlineStr">
        <is>
          <t>ÅRE</t>
        </is>
      </c>
      <c r="G134" t="n">
        <v>20.2</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17482-2026 artfynd.xlsx", "A 17482-2026")</f>
        <v/>
      </c>
      <c r="T134">
        <f>HYPERLINK("https://klasma.github.io/Logging_2321/kartor/A 17482-2026 karta.png", "A 17482-2026")</f>
        <v/>
      </c>
      <c r="V134">
        <f>HYPERLINK("https://klasma.github.io/Logging_2321/klagomål/A 17482-2026 FSC-klagomål.docx", "A 17482-2026")</f>
        <v/>
      </c>
      <c r="W134">
        <f>HYPERLINK("https://klasma.github.io/Logging_2321/klagomålsmail/A 17482-2026 FSC-klagomål mail.docx", "A 17482-2026")</f>
        <v/>
      </c>
      <c r="X134">
        <f>HYPERLINK("https://klasma.github.io/Logging_2321/tillsyn/A 17482-2026 tillsynsbegäran.docx", "A 17482-2026")</f>
        <v/>
      </c>
      <c r="Y134">
        <f>HYPERLINK("https://klasma.github.io/Logging_2321/tillsynsmail/A 17482-2026 tillsynsbegäran mail.docx", "A 17482-2026")</f>
        <v/>
      </c>
      <c r="Z134">
        <f>HYPERLINK("https://klasma.github.io/Logging_2321/fåglar/A 17482-2026 prioriterade fågelarter.docx", "A 17482-2026")</f>
        <v/>
      </c>
    </row>
    <row r="135" ht="15" customHeight="1">
      <c r="A135" t="inlineStr">
        <is>
          <t>A 5531-2023</t>
        </is>
      </c>
      <c r="B135" s="1" t="n">
        <v>44957</v>
      </c>
      <c r="C135" s="1" t="n">
        <v>46138</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46138</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46138</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11380-2026</t>
        </is>
      </c>
      <c r="B138" s="1" t="n">
        <v>46083.41158564815</v>
      </c>
      <c r="C138" s="1" t="n">
        <v>46138</v>
      </c>
      <c r="D138" t="inlineStr">
        <is>
          <t>JÄMTLANDS LÄN</t>
        </is>
      </c>
      <c r="E138" t="inlineStr">
        <is>
          <t>ÅRE</t>
        </is>
      </c>
      <c r="G138" t="n">
        <v>50.2</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11380-2026 artfynd.xlsx", "A 11380-2026")</f>
        <v/>
      </c>
      <c r="T138">
        <f>HYPERLINK("https://klasma.github.io/Logging_2321/kartor/A 11380-2026 karta.png", "A 11380-2026")</f>
        <v/>
      </c>
      <c r="V138">
        <f>HYPERLINK("https://klasma.github.io/Logging_2321/klagomål/A 11380-2026 FSC-klagomål.docx", "A 11380-2026")</f>
        <v/>
      </c>
      <c r="W138">
        <f>HYPERLINK("https://klasma.github.io/Logging_2321/klagomålsmail/A 11380-2026 FSC-klagomål mail.docx", "A 11380-2026")</f>
        <v/>
      </c>
      <c r="X138">
        <f>HYPERLINK("https://klasma.github.io/Logging_2321/tillsyn/A 11380-2026 tillsynsbegäran.docx", "A 11380-2026")</f>
        <v/>
      </c>
      <c r="Y138">
        <f>HYPERLINK("https://klasma.github.io/Logging_2321/tillsynsmail/A 11380-2026 tillsynsbegäran mail.docx", "A 11380-2026")</f>
        <v/>
      </c>
      <c r="Z138">
        <f>HYPERLINK("https://klasma.github.io/Logging_2321/fåglar/A 11380-2026 prioriterade fågelarter.docx", "A 11380-2026")</f>
        <v/>
      </c>
    </row>
    <row r="139" ht="15" customHeight="1">
      <c r="A139" t="inlineStr">
        <is>
          <t>A 3152-2023</t>
        </is>
      </c>
      <c r="B139" s="1" t="n">
        <v>44946</v>
      </c>
      <c r="C139" s="1" t="n">
        <v>46138</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HYPERLINK("https://klasma.github.io/Logging_2321/artfynd/A 3152-2023 artfynd.xlsx", "A 3152-2023")</f>
        <v/>
      </c>
      <c r="T139">
        <f>HYPERLINK("https://klasma.github.io/Logging_2321/kartor/A 3152-2023 karta.png", "A 3152-2023")</f>
        <v/>
      </c>
      <c r="V139">
        <f>HYPERLINK("https://klasma.github.io/Logging_2321/klagomål/A 3152-2023 FSC-klagomål.docx", "A 3152-2023")</f>
        <v/>
      </c>
      <c r="W139">
        <f>HYPERLINK("https://klasma.github.io/Logging_2321/klagomålsmail/A 3152-2023 FSC-klagomål mail.docx", "A 3152-2023")</f>
        <v/>
      </c>
      <c r="X139">
        <f>HYPERLINK("https://klasma.github.io/Logging_2321/tillsyn/A 3152-2023 tillsynsbegäran.docx", "A 3152-2023")</f>
        <v/>
      </c>
      <c r="Y139">
        <f>HYPERLINK("https://klasma.github.io/Logging_2321/tillsynsmail/A 3152-2023 tillsynsbegäran mail.docx", "A 3152-2023")</f>
        <v/>
      </c>
      <c r="Z139">
        <f>HYPERLINK("https://klasma.github.io/Logging_2321/fåglar/A 3152-2023 prioriterade fågelarter.docx", "A 3152-2023")</f>
        <v/>
      </c>
    </row>
    <row r="140" ht="15" customHeight="1">
      <c r="A140" t="inlineStr">
        <is>
          <t>A 20501-2021</t>
        </is>
      </c>
      <c r="B140" s="1" t="n">
        <v>44315.68802083333</v>
      </c>
      <c r="C140" s="1" t="n">
        <v>46138</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46138</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46138</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46138</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55194-2022</t>
        </is>
      </c>
      <c r="B144" s="1" t="n">
        <v>44886</v>
      </c>
      <c r="C144" s="1" t="n">
        <v>46138</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8131-2024</t>
        </is>
      </c>
      <c r="B145" s="1" t="n">
        <v>45351</v>
      </c>
      <c r="C145" s="1" t="n">
        <v>46138</v>
      </c>
      <c r="D145" t="inlineStr">
        <is>
          <t>JÄMTLANDS LÄN</t>
        </is>
      </c>
      <c r="E145" t="inlineStr">
        <is>
          <t>ÅRE</t>
        </is>
      </c>
      <c r="F145" t="inlineStr">
        <is>
          <t>Övriga Aktiebolag</t>
        </is>
      </c>
      <c r="G145" t="n">
        <v>3.1</v>
      </c>
      <c r="H145" t="n">
        <v>0</v>
      </c>
      <c r="I145" t="n">
        <v>0</v>
      </c>
      <c r="J145" t="n">
        <v>0</v>
      </c>
      <c r="K145" t="n">
        <v>1</v>
      </c>
      <c r="L145" t="n">
        <v>0</v>
      </c>
      <c r="M145" t="n">
        <v>0</v>
      </c>
      <c r="N145" t="n">
        <v>0</v>
      </c>
      <c r="O145" t="n">
        <v>1</v>
      </c>
      <c r="P145" t="n">
        <v>1</v>
      </c>
      <c r="Q145" t="n">
        <v>1</v>
      </c>
      <c r="R145" s="2" t="inlineStr">
        <is>
          <t>Gräddporing</t>
        </is>
      </c>
      <c r="S145">
        <f>HYPERLINK("https://klasma.github.io/Logging_2321/artfynd/A 8131-2024 artfynd.xlsx", "A 8131-2024")</f>
        <v/>
      </c>
      <c r="T145">
        <f>HYPERLINK("https://klasma.github.io/Logging_2321/kartor/A 8131-2024 karta.png", "A 8131-2024")</f>
        <v/>
      </c>
      <c r="V145">
        <f>HYPERLINK("https://klasma.github.io/Logging_2321/klagomål/A 8131-2024 FSC-klagomål.docx", "A 8131-2024")</f>
        <v/>
      </c>
      <c r="W145">
        <f>HYPERLINK("https://klasma.github.io/Logging_2321/klagomålsmail/A 8131-2024 FSC-klagomål mail.docx", "A 8131-2024")</f>
        <v/>
      </c>
      <c r="X145">
        <f>HYPERLINK("https://klasma.github.io/Logging_2321/tillsyn/A 8131-2024 tillsynsbegäran.docx", "A 8131-2024")</f>
        <v/>
      </c>
      <c r="Y145">
        <f>HYPERLINK("https://klasma.github.io/Logging_2321/tillsynsmail/A 8131-2024 tillsynsbegäran mail.docx", "A 8131-2024")</f>
        <v/>
      </c>
    </row>
    <row r="146" ht="15" customHeight="1">
      <c r="A146" t="inlineStr">
        <is>
          <t>A 14245-2025</t>
        </is>
      </c>
      <c r="B146" s="1" t="n">
        <v>45740</v>
      </c>
      <c r="C146" s="1" t="n">
        <v>46138</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10632-2023</t>
        </is>
      </c>
      <c r="B147" s="1" t="n">
        <v>44984</v>
      </c>
      <c r="C147" s="1" t="n">
        <v>46138</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61471-2023</t>
        </is>
      </c>
      <c r="B148" s="1" t="n">
        <v>45264</v>
      </c>
      <c r="C148" s="1" t="n">
        <v>46138</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4937-2025</t>
        </is>
      </c>
      <c r="B149" s="1" t="n">
        <v>45688</v>
      </c>
      <c r="C149" s="1" t="n">
        <v>46138</v>
      </c>
      <c r="D149" t="inlineStr">
        <is>
          <t>JÄMTLANDS LÄN</t>
        </is>
      </c>
      <c r="E149" t="inlineStr">
        <is>
          <t>ÅRE</t>
        </is>
      </c>
      <c r="G149" t="n">
        <v>1.8</v>
      </c>
      <c r="H149" t="n">
        <v>0</v>
      </c>
      <c r="I149" t="n">
        <v>0</v>
      </c>
      <c r="J149" t="n">
        <v>1</v>
      </c>
      <c r="K149" t="n">
        <v>0</v>
      </c>
      <c r="L149" t="n">
        <v>0</v>
      </c>
      <c r="M149" t="n">
        <v>0</v>
      </c>
      <c r="N149" t="n">
        <v>0</v>
      </c>
      <c r="O149" t="n">
        <v>1</v>
      </c>
      <c r="P149" t="n">
        <v>0</v>
      </c>
      <c r="Q149" t="n">
        <v>1</v>
      </c>
      <c r="R149" s="2" t="inlineStr">
        <is>
          <t>Granticka</t>
        </is>
      </c>
      <c r="S149">
        <f>HYPERLINK("https://klasma.github.io/Logging_2321/artfynd/A 4937-2025 artfynd.xlsx", "A 4937-2025")</f>
        <v/>
      </c>
      <c r="T149">
        <f>HYPERLINK("https://klasma.github.io/Logging_2321/kartor/A 4937-2025 karta.png", "A 4937-2025")</f>
        <v/>
      </c>
      <c r="V149">
        <f>HYPERLINK("https://klasma.github.io/Logging_2321/klagomål/A 4937-2025 FSC-klagomål.docx", "A 4937-2025")</f>
        <v/>
      </c>
      <c r="W149">
        <f>HYPERLINK("https://klasma.github.io/Logging_2321/klagomålsmail/A 4937-2025 FSC-klagomål mail.docx", "A 4937-2025")</f>
        <v/>
      </c>
      <c r="X149">
        <f>HYPERLINK("https://klasma.github.io/Logging_2321/tillsyn/A 4937-2025 tillsynsbegäran.docx", "A 4937-2025")</f>
        <v/>
      </c>
      <c r="Y149">
        <f>HYPERLINK("https://klasma.github.io/Logging_2321/tillsynsmail/A 4937-2025 tillsynsbegäran mail.docx", "A 4937-2025")</f>
        <v/>
      </c>
    </row>
    <row r="150" ht="15" customHeight="1">
      <c r="A150" t="inlineStr">
        <is>
          <t>A 23818-2025</t>
        </is>
      </c>
      <c r="B150" s="1" t="n">
        <v>45793.58469907408</v>
      </c>
      <c r="C150" s="1" t="n">
        <v>46138</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53462-2024</t>
        </is>
      </c>
      <c r="B151" s="1" t="n">
        <v>45614.55241898148</v>
      </c>
      <c r="C151" s="1" t="n">
        <v>46138</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12242-2022</t>
        </is>
      </c>
      <c r="B152" s="1" t="n">
        <v>44637</v>
      </c>
      <c r="C152" s="1" t="n">
        <v>46138</v>
      </c>
      <c r="D152" t="inlineStr">
        <is>
          <t>JÄMTLANDS LÄN</t>
        </is>
      </c>
      <c r="E152" t="inlineStr">
        <is>
          <t>ÅRE</t>
        </is>
      </c>
      <c r="G152" t="n">
        <v>53.4</v>
      </c>
      <c r="H152" t="n">
        <v>0</v>
      </c>
      <c r="I152" t="n">
        <v>0</v>
      </c>
      <c r="J152" t="n">
        <v>1</v>
      </c>
      <c r="K152" t="n">
        <v>0</v>
      </c>
      <c r="L152" t="n">
        <v>0</v>
      </c>
      <c r="M152" t="n">
        <v>0</v>
      </c>
      <c r="N152" t="n">
        <v>0</v>
      </c>
      <c r="O152" t="n">
        <v>1</v>
      </c>
      <c r="P152" t="n">
        <v>0</v>
      </c>
      <c r="Q152" t="n">
        <v>1</v>
      </c>
      <c r="R152" s="2" t="inlineStr">
        <is>
          <t>Granticka</t>
        </is>
      </c>
      <c r="S152">
        <f>HYPERLINK("https://klasma.github.io/Logging_2321/artfynd/A 12242-2022 artfynd.xlsx", "A 12242-2022")</f>
        <v/>
      </c>
      <c r="T152">
        <f>HYPERLINK("https://klasma.github.io/Logging_2321/kartor/A 12242-2022 karta.png", "A 12242-2022")</f>
        <v/>
      </c>
      <c r="V152">
        <f>HYPERLINK("https://klasma.github.io/Logging_2321/klagomål/A 12242-2022 FSC-klagomål.docx", "A 12242-2022")</f>
        <v/>
      </c>
      <c r="W152">
        <f>HYPERLINK("https://klasma.github.io/Logging_2321/klagomålsmail/A 12242-2022 FSC-klagomål mail.docx", "A 12242-2022")</f>
        <v/>
      </c>
      <c r="X152">
        <f>HYPERLINK("https://klasma.github.io/Logging_2321/tillsyn/A 12242-2022 tillsynsbegäran.docx", "A 12242-2022")</f>
        <v/>
      </c>
      <c r="Y152">
        <f>HYPERLINK("https://klasma.github.io/Logging_2321/tillsynsmail/A 12242-2022 tillsynsbegäran mail.docx", "A 12242-2022")</f>
        <v/>
      </c>
    </row>
    <row r="153" ht="15" customHeight="1">
      <c r="A153" t="inlineStr">
        <is>
          <t>A 45144-2024</t>
        </is>
      </c>
      <c r="B153" s="1" t="n">
        <v>45575.63767361111</v>
      </c>
      <c r="C153" s="1" t="n">
        <v>46138</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52746-2024</t>
        </is>
      </c>
      <c r="B154" s="1" t="n">
        <v>45610.4809375</v>
      </c>
      <c r="C154" s="1" t="n">
        <v>46138</v>
      </c>
      <c r="D154" t="inlineStr">
        <is>
          <t>JÄMTLANDS LÄN</t>
        </is>
      </c>
      <c r="E154" t="inlineStr">
        <is>
          <t>ÅRE</t>
        </is>
      </c>
      <c r="G154" t="n">
        <v>1.4</v>
      </c>
      <c r="H154" t="n">
        <v>1</v>
      </c>
      <c r="I154" t="n">
        <v>0</v>
      </c>
      <c r="J154" t="n">
        <v>0</v>
      </c>
      <c r="K154" t="n">
        <v>0</v>
      </c>
      <c r="L154" t="n">
        <v>0</v>
      </c>
      <c r="M154" t="n">
        <v>0</v>
      </c>
      <c r="N154" t="n">
        <v>0</v>
      </c>
      <c r="O154" t="n">
        <v>0</v>
      </c>
      <c r="P154" t="n">
        <v>0</v>
      </c>
      <c r="Q154" t="n">
        <v>1</v>
      </c>
      <c r="R154" s="2" t="inlineStr">
        <is>
          <t>Blåsippa</t>
        </is>
      </c>
      <c r="S154">
        <f>HYPERLINK("https://klasma.github.io/Logging_2321/artfynd/A 52746-2024 artfynd.xlsx", "A 52746-2024")</f>
        <v/>
      </c>
      <c r="T154">
        <f>HYPERLINK("https://klasma.github.io/Logging_2321/kartor/A 52746-2024 karta.png", "A 52746-2024")</f>
        <v/>
      </c>
      <c r="V154">
        <f>HYPERLINK("https://klasma.github.io/Logging_2321/klagomål/A 52746-2024 FSC-klagomål.docx", "A 52746-2024")</f>
        <v/>
      </c>
      <c r="W154">
        <f>HYPERLINK("https://klasma.github.io/Logging_2321/klagomålsmail/A 52746-2024 FSC-klagomål mail.docx", "A 52746-2024")</f>
        <v/>
      </c>
      <c r="X154">
        <f>HYPERLINK("https://klasma.github.io/Logging_2321/tillsyn/A 52746-2024 tillsynsbegäran.docx", "A 52746-2024")</f>
        <v/>
      </c>
      <c r="Y154">
        <f>HYPERLINK("https://klasma.github.io/Logging_2321/tillsynsmail/A 52746-2024 tillsynsbegäran mail.docx", "A 52746-2024")</f>
        <v/>
      </c>
    </row>
    <row r="155" ht="15" customHeight="1">
      <c r="A155" t="inlineStr">
        <is>
          <t>A 37082-2021</t>
        </is>
      </c>
      <c r="B155" s="1" t="n">
        <v>44395</v>
      </c>
      <c r="C155" s="1" t="n">
        <v>46138</v>
      </c>
      <c r="D155" t="inlineStr">
        <is>
          <t>JÄMTLANDS LÄN</t>
        </is>
      </c>
      <c r="E155" t="inlineStr">
        <is>
          <t>ÅRE</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37082-2021 artfynd.xlsx", "A 37082-2021")</f>
        <v/>
      </c>
      <c r="T155">
        <f>HYPERLINK("https://klasma.github.io/Logging_2321/kartor/A 37082-2021 karta.png", "A 37082-2021")</f>
        <v/>
      </c>
      <c r="V155">
        <f>HYPERLINK("https://klasma.github.io/Logging_2321/klagomål/A 37082-2021 FSC-klagomål.docx", "A 37082-2021")</f>
        <v/>
      </c>
      <c r="W155">
        <f>HYPERLINK("https://klasma.github.io/Logging_2321/klagomålsmail/A 37082-2021 FSC-klagomål mail.docx", "A 37082-2021")</f>
        <v/>
      </c>
      <c r="X155">
        <f>HYPERLINK("https://klasma.github.io/Logging_2321/tillsyn/A 37082-2021 tillsynsbegäran.docx", "A 37082-2021")</f>
        <v/>
      </c>
      <c r="Y155">
        <f>HYPERLINK("https://klasma.github.io/Logging_2321/tillsynsmail/A 37082-2021 tillsynsbegäran mail.docx", "A 37082-2021")</f>
        <v/>
      </c>
      <c r="Z155">
        <f>HYPERLINK("https://klasma.github.io/Logging_2321/fåglar/A 37082-2021 prioriterade fågelarter.docx", "A 37082-2021")</f>
        <v/>
      </c>
    </row>
    <row r="156" ht="15" customHeight="1">
      <c r="A156" t="inlineStr">
        <is>
          <t>A 55718-2025</t>
        </is>
      </c>
      <c r="B156" s="1" t="n">
        <v>45972.49988425926</v>
      </c>
      <c r="C156" s="1" t="n">
        <v>46138</v>
      </c>
      <c r="D156" t="inlineStr">
        <is>
          <t>JÄMTLANDS LÄN</t>
        </is>
      </c>
      <c r="E156" t="inlineStr">
        <is>
          <t>ÅRE</t>
        </is>
      </c>
      <c r="F156" t="inlineStr">
        <is>
          <t>Övriga Aktiebolag</t>
        </is>
      </c>
      <c r="G156" t="n">
        <v>1.1</v>
      </c>
      <c r="H156" t="n">
        <v>1</v>
      </c>
      <c r="I156" t="n">
        <v>0</v>
      </c>
      <c r="J156" t="n">
        <v>0</v>
      </c>
      <c r="K156" t="n">
        <v>0</v>
      </c>
      <c r="L156" t="n">
        <v>0</v>
      </c>
      <c r="M156" t="n">
        <v>0</v>
      </c>
      <c r="N156" t="n">
        <v>0</v>
      </c>
      <c r="O156" t="n">
        <v>0</v>
      </c>
      <c r="P156" t="n">
        <v>0</v>
      </c>
      <c r="Q156" t="n">
        <v>1</v>
      </c>
      <c r="R156" s="2" t="inlineStr">
        <is>
          <t>Sparvuggla</t>
        </is>
      </c>
      <c r="S156">
        <f>HYPERLINK("https://klasma.github.io/Logging_2321/artfynd/A 55718-2025 artfynd.xlsx", "A 55718-2025")</f>
        <v/>
      </c>
      <c r="T156">
        <f>HYPERLINK("https://klasma.github.io/Logging_2321/kartor/A 55718-2025 karta.png", "A 55718-2025")</f>
        <v/>
      </c>
      <c r="V156">
        <f>HYPERLINK("https://klasma.github.io/Logging_2321/klagomål/A 55718-2025 FSC-klagomål.docx", "A 55718-2025")</f>
        <v/>
      </c>
      <c r="W156">
        <f>HYPERLINK("https://klasma.github.io/Logging_2321/klagomålsmail/A 55718-2025 FSC-klagomål mail.docx", "A 55718-2025")</f>
        <v/>
      </c>
      <c r="X156">
        <f>HYPERLINK("https://klasma.github.io/Logging_2321/tillsyn/A 55718-2025 tillsynsbegäran.docx", "A 55718-2025")</f>
        <v/>
      </c>
      <c r="Y156">
        <f>HYPERLINK("https://klasma.github.io/Logging_2321/tillsynsmail/A 55718-2025 tillsynsbegäran mail.docx", "A 55718-2025")</f>
        <v/>
      </c>
      <c r="Z156">
        <f>HYPERLINK("https://klasma.github.io/Logging_2321/fåglar/A 55718-2025 prioriterade fågelarter.docx", "A 55718-2025")</f>
        <v/>
      </c>
    </row>
    <row r="157" ht="15" customHeight="1">
      <c r="A157" t="inlineStr">
        <is>
          <t>A 21939-2025</t>
        </is>
      </c>
      <c r="B157" s="1" t="n">
        <v>45784.58445601852</v>
      </c>
      <c r="C157" s="1" t="n">
        <v>46138</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15909-2025</t>
        </is>
      </c>
      <c r="B158" s="1" t="n">
        <v>45749</v>
      </c>
      <c r="C158" s="1" t="n">
        <v>46138</v>
      </c>
      <c r="D158" t="inlineStr">
        <is>
          <t>JÄMTLANDS LÄN</t>
        </is>
      </c>
      <c r="E158" t="inlineStr">
        <is>
          <t>ÅRE</t>
        </is>
      </c>
      <c r="G158" t="n">
        <v>23.8</v>
      </c>
      <c r="H158" t="n">
        <v>0</v>
      </c>
      <c r="I158" t="n">
        <v>0</v>
      </c>
      <c r="J158" t="n">
        <v>1</v>
      </c>
      <c r="K158" t="n">
        <v>0</v>
      </c>
      <c r="L158" t="n">
        <v>0</v>
      </c>
      <c r="M158" t="n">
        <v>0</v>
      </c>
      <c r="N158" t="n">
        <v>0</v>
      </c>
      <c r="O158" t="n">
        <v>1</v>
      </c>
      <c r="P158" t="n">
        <v>0</v>
      </c>
      <c r="Q158" t="n">
        <v>1</v>
      </c>
      <c r="R158" s="2" t="inlineStr">
        <is>
          <t>Garnlav</t>
        </is>
      </c>
      <c r="S158">
        <f>HYPERLINK("https://klasma.github.io/Logging_2321/artfynd/A 15909-2025 artfynd.xlsx", "A 15909-2025")</f>
        <v/>
      </c>
      <c r="T158">
        <f>HYPERLINK("https://klasma.github.io/Logging_2321/kartor/A 15909-2025 karta.png", "A 15909-2025")</f>
        <v/>
      </c>
      <c r="V158">
        <f>HYPERLINK("https://klasma.github.io/Logging_2321/klagomål/A 15909-2025 FSC-klagomål.docx", "A 15909-2025")</f>
        <v/>
      </c>
      <c r="W158">
        <f>HYPERLINK("https://klasma.github.io/Logging_2321/klagomålsmail/A 15909-2025 FSC-klagomål mail.docx", "A 15909-2025")</f>
        <v/>
      </c>
      <c r="X158">
        <f>HYPERLINK("https://klasma.github.io/Logging_2321/tillsyn/A 15909-2025 tillsynsbegäran.docx", "A 15909-2025")</f>
        <v/>
      </c>
      <c r="Y158">
        <f>HYPERLINK("https://klasma.github.io/Logging_2321/tillsynsmail/A 15909-2025 tillsynsbegäran mail.docx", "A 15909-2025")</f>
        <v/>
      </c>
    </row>
    <row r="159" ht="15" customHeight="1">
      <c r="A159" t="inlineStr">
        <is>
          <t>A 57493-2025</t>
        </is>
      </c>
      <c r="B159" s="1" t="n">
        <v>45980</v>
      </c>
      <c r="C159" s="1" t="n">
        <v>46138</v>
      </c>
      <c r="D159" t="inlineStr">
        <is>
          <t>JÄMTLANDS LÄN</t>
        </is>
      </c>
      <c r="E159" t="inlineStr">
        <is>
          <t>ÅRE</t>
        </is>
      </c>
      <c r="G159" t="n">
        <v>164</v>
      </c>
      <c r="H159" t="n">
        <v>0</v>
      </c>
      <c r="I159" t="n">
        <v>0</v>
      </c>
      <c r="J159" t="n">
        <v>1</v>
      </c>
      <c r="K159" t="n">
        <v>0</v>
      </c>
      <c r="L159" t="n">
        <v>0</v>
      </c>
      <c r="M159" t="n">
        <v>0</v>
      </c>
      <c r="N159" t="n">
        <v>0</v>
      </c>
      <c r="O159" t="n">
        <v>1</v>
      </c>
      <c r="P159" t="n">
        <v>0</v>
      </c>
      <c r="Q159" t="n">
        <v>1</v>
      </c>
      <c r="R159" s="2" t="inlineStr">
        <is>
          <t>Doftskinn</t>
        </is>
      </c>
      <c r="S159">
        <f>HYPERLINK("https://klasma.github.io/Logging_2321/artfynd/A 57493-2025 artfynd.xlsx", "A 57493-2025")</f>
        <v/>
      </c>
      <c r="T159">
        <f>HYPERLINK("https://klasma.github.io/Logging_2321/kartor/A 57493-2025 karta.png", "A 57493-2025")</f>
        <v/>
      </c>
      <c r="V159">
        <f>HYPERLINK("https://klasma.github.io/Logging_2321/klagomål/A 57493-2025 FSC-klagomål.docx", "A 57493-2025")</f>
        <v/>
      </c>
      <c r="W159">
        <f>HYPERLINK("https://klasma.github.io/Logging_2321/klagomålsmail/A 57493-2025 FSC-klagomål mail.docx", "A 57493-2025")</f>
        <v/>
      </c>
      <c r="X159">
        <f>HYPERLINK("https://klasma.github.io/Logging_2321/tillsyn/A 57493-2025 tillsynsbegäran.docx", "A 57493-2025")</f>
        <v/>
      </c>
      <c r="Y159">
        <f>HYPERLINK("https://klasma.github.io/Logging_2321/tillsynsmail/A 57493-2025 tillsynsbegäran mail.docx", "A 57493-2025")</f>
        <v/>
      </c>
    </row>
    <row r="160" ht="15" customHeight="1">
      <c r="A160" t="inlineStr">
        <is>
          <t>A 6628-2026</t>
        </is>
      </c>
      <c r="B160" s="1" t="n">
        <v>46056.51855324074</v>
      </c>
      <c r="C160" s="1" t="n">
        <v>46138</v>
      </c>
      <c r="D160" t="inlineStr">
        <is>
          <t>JÄMTLANDS LÄN</t>
        </is>
      </c>
      <c r="E160" t="inlineStr">
        <is>
          <t>ÅRE</t>
        </is>
      </c>
      <c r="G160" t="n">
        <v>33.1</v>
      </c>
      <c r="H160" t="n">
        <v>0</v>
      </c>
      <c r="I160" t="n">
        <v>1</v>
      </c>
      <c r="J160" t="n">
        <v>0</v>
      </c>
      <c r="K160" t="n">
        <v>0</v>
      </c>
      <c r="L160" t="n">
        <v>0</v>
      </c>
      <c r="M160" t="n">
        <v>0</v>
      </c>
      <c r="N160" t="n">
        <v>0</v>
      </c>
      <c r="O160" t="n">
        <v>0</v>
      </c>
      <c r="P160" t="n">
        <v>0</v>
      </c>
      <c r="Q160" t="n">
        <v>1</v>
      </c>
      <c r="R160" s="2" t="inlineStr">
        <is>
          <t>Kransrams</t>
        </is>
      </c>
      <c r="S160">
        <f>HYPERLINK("https://klasma.github.io/Logging_2321/artfynd/A 6628-2026 artfynd.xlsx", "A 6628-2026")</f>
        <v/>
      </c>
      <c r="T160">
        <f>HYPERLINK("https://klasma.github.io/Logging_2321/kartor/A 6628-2026 karta.png", "A 6628-2026")</f>
        <v/>
      </c>
      <c r="V160">
        <f>HYPERLINK("https://klasma.github.io/Logging_2321/klagomål/A 6628-2026 FSC-klagomål.docx", "A 6628-2026")</f>
        <v/>
      </c>
      <c r="W160">
        <f>HYPERLINK("https://klasma.github.io/Logging_2321/klagomålsmail/A 6628-2026 FSC-klagomål mail.docx", "A 6628-2026")</f>
        <v/>
      </c>
      <c r="X160">
        <f>HYPERLINK("https://klasma.github.io/Logging_2321/tillsyn/A 6628-2026 tillsynsbegäran.docx", "A 6628-2026")</f>
        <v/>
      </c>
      <c r="Y160">
        <f>HYPERLINK("https://klasma.github.io/Logging_2321/tillsynsmail/A 6628-2026 tillsynsbegäran mail.docx", "A 6628-2026")</f>
        <v/>
      </c>
    </row>
    <row r="161" ht="15" customHeight="1">
      <c r="A161" t="inlineStr">
        <is>
          <t>A 4754-2026</t>
        </is>
      </c>
      <c r="B161" s="1" t="n">
        <v>46048.52958333334</v>
      </c>
      <c r="C161" s="1" t="n">
        <v>46138</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17692-2022</t>
        </is>
      </c>
      <c r="B162" s="1" t="n">
        <v>44680</v>
      </c>
      <c r="C162" s="1" t="n">
        <v>46138</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58226-2021</t>
        </is>
      </c>
      <c r="B163" s="1" t="n">
        <v>44487</v>
      </c>
      <c r="C163" s="1" t="n">
        <v>46138</v>
      </c>
      <c r="D163" t="inlineStr">
        <is>
          <t>JÄMTLANDS LÄN</t>
        </is>
      </c>
      <c r="E163" t="inlineStr">
        <is>
          <t>ÅRE</t>
        </is>
      </c>
      <c r="G163" t="n">
        <v>62.3</v>
      </c>
      <c r="H163" t="n">
        <v>0</v>
      </c>
      <c r="I163" t="n">
        <v>1</v>
      </c>
      <c r="J163" t="n">
        <v>0</v>
      </c>
      <c r="K163" t="n">
        <v>0</v>
      </c>
      <c r="L163" t="n">
        <v>0</v>
      </c>
      <c r="M163" t="n">
        <v>0</v>
      </c>
      <c r="N163" t="n">
        <v>0</v>
      </c>
      <c r="O163" t="n">
        <v>0</v>
      </c>
      <c r="P163" t="n">
        <v>0</v>
      </c>
      <c r="Q163" t="n">
        <v>1</v>
      </c>
      <c r="R163" s="2" t="inlineStr">
        <is>
          <t>Kambräken</t>
        </is>
      </c>
      <c r="S163">
        <f>HYPERLINK("https://klasma.github.io/Logging_2321/artfynd/A 58226-2021 artfynd.xlsx", "A 58226-2021")</f>
        <v/>
      </c>
      <c r="T163">
        <f>HYPERLINK("https://klasma.github.io/Logging_2321/kartor/A 58226-2021 karta.png", "A 58226-2021")</f>
        <v/>
      </c>
      <c r="V163">
        <f>HYPERLINK("https://klasma.github.io/Logging_2321/klagomål/A 58226-2021 FSC-klagomål.docx", "A 58226-2021")</f>
        <v/>
      </c>
      <c r="W163">
        <f>HYPERLINK("https://klasma.github.io/Logging_2321/klagomålsmail/A 58226-2021 FSC-klagomål mail.docx", "A 58226-2021")</f>
        <v/>
      </c>
      <c r="X163">
        <f>HYPERLINK("https://klasma.github.io/Logging_2321/tillsyn/A 58226-2021 tillsynsbegäran.docx", "A 58226-2021")</f>
        <v/>
      </c>
      <c r="Y163">
        <f>HYPERLINK("https://klasma.github.io/Logging_2321/tillsynsmail/A 58226-2021 tillsynsbegäran mail.docx", "A 58226-2021")</f>
        <v/>
      </c>
    </row>
    <row r="164" ht="15" customHeight="1">
      <c r="A164" t="inlineStr">
        <is>
          <t>A 7854-2026</t>
        </is>
      </c>
      <c r="B164" s="1" t="n">
        <v>46062.67063657408</v>
      </c>
      <c r="C164" s="1" t="n">
        <v>46138</v>
      </c>
      <c r="D164" t="inlineStr">
        <is>
          <t>JÄMTLANDS LÄN</t>
        </is>
      </c>
      <c r="E164" t="inlineStr">
        <is>
          <t>ÅRE</t>
        </is>
      </c>
      <c r="G164" t="n">
        <v>6.5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7854-2026 artfynd.xlsx", "A 7854-2026")</f>
        <v/>
      </c>
      <c r="T164">
        <f>HYPERLINK("https://klasma.github.io/Logging_2321/kartor/A 7854-2026 karta.png", "A 7854-2026")</f>
        <v/>
      </c>
      <c r="V164">
        <f>HYPERLINK("https://klasma.github.io/Logging_2321/klagomål/A 7854-2026 FSC-klagomål.docx", "A 7854-2026")</f>
        <v/>
      </c>
      <c r="W164">
        <f>HYPERLINK("https://klasma.github.io/Logging_2321/klagomålsmail/A 7854-2026 FSC-klagomål mail.docx", "A 7854-2026")</f>
        <v/>
      </c>
      <c r="X164">
        <f>HYPERLINK("https://klasma.github.io/Logging_2321/tillsyn/A 7854-2026 tillsynsbegäran.docx", "A 7854-2026")</f>
        <v/>
      </c>
      <c r="Y164">
        <f>HYPERLINK("https://klasma.github.io/Logging_2321/tillsynsmail/A 7854-2026 tillsynsbegäran mail.docx", "A 7854-2026")</f>
        <v/>
      </c>
      <c r="Z164">
        <f>HYPERLINK("https://klasma.github.io/Logging_2321/fåglar/A 7854-2026 prioriterade fågelarter.docx", "A 7854-2026")</f>
        <v/>
      </c>
    </row>
    <row r="165" ht="15" customHeight="1">
      <c r="A165" t="inlineStr">
        <is>
          <t>A 16160-2026</t>
        </is>
      </c>
      <c r="B165" s="1" t="n">
        <v>46109.92699074074</v>
      </c>
      <c r="C165" s="1" t="n">
        <v>46138</v>
      </c>
      <c r="D165" t="inlineStr">
        <is>
          <t>JÄMTLANDS LÄN</t>
        </is>
      </c>
      <c r="E165" t="inlineStr">
        <is>
          <t>ÅRE</t>
        </is>
      </c>
      <c r="G165" t="n">
        <v>7.6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16160-2026 artfynd.xlsx", "A 16160-2026")</f>
        <v/>
      </c>
      <c r="T165">
        <f>HYPERLINK("https://klasma.github.io/Logging_2321/kartor/A 16160-2026 karta.png", "A 16160-2026")</f>
        <v/>
      </c>
      <c r="V165">
        <f>HYPERLINK("https://klasma.github.io/Logging_2321/klagomål/A 16160-2026 FSC-klagomål.docx", "A 16160-2026")</f>
        <v/>
      </c>
      <c r="W165">
        <f>HYPERLINK("https://klasma.github.io/Logging_2321/klagomålsmail/A 16160-2026 FSC-klagomål mail.docx", "A 16160-2026")</f>
        <v/>
      </c>
      <c r="X165">
        <f>HYPERLINK("https://klasma.github.io/Logging_2321/tillsyn/A 16160-2026 tillsynsbegäran.docx", "A 16160-2026")</f>
        <v/>
      </c>
      <c r="Y165">
        <f>HYPERLINK("https://klasma.github.io/Logging_2321/tillsynsmail/A 16160-2026 tillsynsbegäran mail.docx", "A 16160-2026")</f>
        <v/>
      </c>
      <c r="Z165">
        <f>HYPERLINK("https://klasma.github.io/Logging_2321/fåglar/A 16160-2026 prioriterade fågelarter.docx", "A 16160-2026")</f>
        <v/>
      </c>
    </row>
    <row r="166" ht="15" customHeight="1">
      <c r="A166" t="inlineStr">
        <is>
          <t>A 32216-2022</t>
        </is>
      </c>
      <c r="B166" s="1" t="n">
        <v>44781</v>
      </c>
      <c r="C166" s="1" t="n">
        <v>46138</v>
      </c>
      <c r="D166" t="inlineStr">
        <is>
          <t>JÄMTLANDS LÄN</t>
        </is>
      </c>
      <c r="E166" t="inlineStr">
        <is>
          <t>ÅRE</t>
        </is>
      </c>
      <c r="G166" t="n">
        <v>27.3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32216-2022 artfynd.xlsx", "A 32216-2022")</f>
        <v/>
      </c>
      <c r="T166">
        <f>HYPERLINK("https://klasma.github.io/Logging_2321/kartor/A 32216-2022 karta.png", "A 32216-2022")</f>
        <v/>
      </c>
      <c r="V166">
        <f>HYPERLINK("https://klasma.github.io/Logging_2321/klagomål/A 32216-2022 FSC-klagomål.docx", "A 32216-2022")</f>
        <v/>
      </c>
      <c r="W166">
        <f>HYPERLINK("https://klasma.github.io/Logging_2321/klagomålsmail/A 32216-2022 FSC-klagomål mail.docx", "A 32216-2022")</f>
        <v/>
      </c>
      <c r="X166">
        <f>HYPERLINK("https://klasma.github.io/Logging_2321/tillsyn/A 32216-2022 tillsynsbegäran.docx", "A 32216-2022")</f>
        <v/>
      </c>
      <c r="Y166">
        <f>HYPERLINK("https://klasma.github.io/Logging_2321/tillsynsmail/A 32216-2022 tillsynsbegäran mail.docx", "A 32216-2022")</f>
        <v/>
      </c>
      <c r="Z166">
        <f>HYPERLINK("https://klasma.github.io/Logging_2321/fåglar/A 32216-2022 prioriterade fågelarter.docx", "A 32216-2022")</f>
        <v/>
      </c>
    </row>
    <row r="167" ht="15" customHeight="1">
      <c r="A167" t="inlineStr">
        <is>
          <t>A 30032-2024</t>
        </is>
      </c>
      <c r="B167" s="1" t="n">
        <v>45485</v>
      </c>
      <c r="C167" s="1" t="n">
        <v>46138</v>
      </c>
      <c r="D167" t="inlineStr">
        <is>
          <t>JÄMTLANDS LÄN</t>
        </is>
      </c>
      <c r="E167" t="inlineStr">
        <is>
          <t>ÅRE</t>
        </is>
      </c>
      <c r="G167" t="n">
        <v>20.5</v>
      </c>
      <c r="H167" t="n">
        <v>1</v>
      </c>
      <c r="I167" t="n">
        <v>1</v>
      </c>
      <c r="J167" t="n">
        <v>0</v>
      </c>
      <c r="K167" t="n">
        <v>0</v>
      </c>
      <c r="L167" t="n">
        <v>0</v>
      </c>
      <c r="M167" t="n">
        <v>0</v>
      </c>
      <c r="N167" t="n">
        <v>0</v>
      </c>
      <c r="O167" t="n">
        <v>0</v>
      </c>
      <c r="P167" t="n">
        <v>0</v>
      </c>
      <c r="Q167" t="n">
        <v>1</v>
      </c>
      <c r="R167" s="2" t="inlineStr">
        <is>
          <t>Spindelblomster</t>
        </is>
      </c>
      <c r="S167">
        <f>HYPERLINK("https://klasma.github.io/Logging_2321/artfynd/A 30032-2024 artfynd.xlsx", "A 30032-2024")</f>
        <v/>
      </c>
      <c r="T167">
        <f>HYPERLINK("https://klasma.github.io/Logging_2321/kartor/A 30032-2024 karta.png", "A 30032-2024")</f>
        <v/>
      </c>
      <c r="V167">
        <f>HYPERLINK("https://klasma.github.io/Logging_2321/klagomål/A 30032-2024 FSC-klagomål.docx", "A 30032-2024")</f>
        <v/>
      </c>
      <c r="W167">
        <f>HYPERLINK("https://klasma.github.io/Logging_2321/klagomålsmail/A 30032-2024 FSC-klagomål mail.docx", "A 30032-2024")</f>
        <v/>
      </c>
      <c r="X167">
        <f>HYPERLINK("https://klasma.github.io/Logging_2321/tillsyn/A 30032-2024 tillsynsbegäran.docx", "A 30032-2024")</f>
        <v/>
      </c>
      <c r="Y167">
        <f>HYPERLINK("https://klasma.github.io/Logging_2321/tillsynsmail/A 30032-2024 tillsynsbegäran mail.docx", "A 30032-2024")</f>
        <v/>
      </c>
    </row>
    <row r="168" ht="15" customHeight="1">
      <c r="A168" t="inlineStr">
        <is>
          <t>A 17260-2026</t>
        </is>
      </c>
      <c r="B168" s="1" t="n">
        <v>46119.46849537037</v>
      </c>
      <c r="C168" s="1" t="n">
        <v>46138</v>
      </c>
      <c r="D168" t="inlineStr">
        <is>
          <t>JÄMTLANDS LÄN</t>
        </is>
      </c>
      <c r="E168" t="inlineStr">
        <is>
          <t>ÅRE</t>
        </is>
      </c>
      <c r="F168" t="inlineStr">
        <is>
          <t>Övriga Aktiebolag</t>
        </is>
      </c>
      <c r="G168" t="n">
        <v>12.4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17260-2026 artfynd.xlsx", "A 17260-2026")</f>
        <v/>
      </c>
      <c r="T168">
        <f>HYPERLINK("https://klasma.github.io/Logging_2321/kartor/A 17260-2026 karta.png", "A 17260-2026")</f>
        <v/>
      </c>
      <c r="V168">
        <f>HYPERLINK("https://klasma.github.io/Logging_2321/klagomål/A 17260-2026 FSC-klagomål.docx", "A 17260-2026")</f>
        <v/>
      </c>
      <c r="W168">
        <f>HYPERLINK("https://klasma.github.io/Logging_2321/klagomålsmail/A 17260-2026 FSC-klagomål mail.docx", "A 17260-2026")</f>
        <v/>
      </c>
      <c r="X168">
        <f>HYPERLINK("https://klasma.github.io/Logging_2321/tillsyn/A 17260-2026 tillsynsbegäran.docx", "A 17260-2026")</f>
        <v/>
      </c>
      <c r="Y168">
        <f>HYPERLINK("https://klasma.github.io/Logging_2321/tillsynsmail/A 17260-2026 tillsynsbegäran mail.docx", "A 17260-2026")</f>
        <v/>
      </c>
      <c r="Z168">
        <f>HYPERLINK("https://klasma.github.io/Logging_2321/fåglar/A 17260-2026 prioriterade fågelarter.docx", "A 17260-2026")</f>
        <v/>
      </c>
    </row>
    <row r="169" ht="15" customHeight="1">
      <c r="A169" t="inlineStr">
        <is>
          <t>A 5480-2023</t>
        </is>
      </c>
      <c r="B169" s="1" t="n">
        <v>44957</v>
      </c>
      <c r="C169" s="1" t="n">
        <v>46138</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23556-2021</t>
        </is>
      </c>
      <c r="B170" s="1" t="n">
        <v>44334</v>
      </c>
      <c r="C170" s="1" t="n">
        <v>46138</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74392-2021</t>
        </is>
      </c>
      <c r="B171" s="1" t="n">
        <v>44559</v>
      </c>
      <c r="C171" s="1" t="n">
        <v>46138</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69801-2021</t>
        </is>
      </c>
      <c r="B172" s="1" t="n">
        <v>44532</v>
      </c>
      <c r="C172" s="1" t="n">
        <v>46138</v>
      </c>
      <c r="D172" t="inlineStr">
        <is>
          <t>JÄMTLANDS LÄN</t>
        </is>
      </c>
      <c r="E172" t="inlineStr">
        <is>
          <t>ÅRE</t>
        </is>
      </c>
      <c r="G172" t="n">
        <v>4</v>
      </c>
      <c r="H172" t="n">
        <v>0</v>
      </c>
      <c r="I172" t="n">
        <v>0</v>
      </c>
      <c r="J172" t="n">
        <v>0</v>
      </c>
      <c r="K172" t="n">
        <v>0</v>
      </c>
      <c r="L172" t="n">
        <v>0</v>
      </c>
      <c r="M172" t="n">
        <v>0</v>
      </c>
      <c r="N172" t="n">
        <v>0</v>
      </c>
      <c r="O172" t="n">
        <v>0</v>
      </c>
      <c r="P172" t="n">
        <v>0</v>
      </c>
      <c r="Q172" t="n">
        <v>0</v>
      </c>
      <c r="R172" s="2" t="inlineStr"/>
    </row>
    <row r="173" ht="15" customHeight="1">
      <c r="A173" t="inlineStr">
        <is>
          <t>A 65782-2021</t>
        </is>
      </c>
      <c r="B173" s="1" t="n">
        <v>44516</v>
      </c>
      <c r="C173" s="1" t="n">
        <v>46138</v>
      </c>
      <c r="D173" t="inlineStr">
        <is>
          <t>JÄMTLANDS LÄN</t>
        </is>
      </c>
      <c r="E173" t="inlineStr">
        <is>
          <t>ÅRE</t>
        </is>
      </c>
      <c r="G173" t="n">
        <v>0.5</v>
      </c>
      <c r="H173" t="n">
        <v>0</v>
      </c>
      <c r="I173" t="n">
        <v>0</v>
      </c>
      <c r="J173" t="n">
        <v>0</v>
      </c>
      <c r="K173" t="n">
        <v>0</v>
      </c>
      <c r="L173" t="n">
        <v>0</v>
      </c>
      <c r="M173" t="n">
        <v>0</v>
      </c>
      <c r="N173" t="n">
        <v>0</v>
      </c>
      <c r="O173" t="n">
        <v>0</v>
      </c>
      <c r="P173" t="n">
        <v>0</v>
      </c>
      <c r="Q173" t="n">
        <v>0</v>
      </c>
      <c r="R173" s="2" t="inlineStr"/>
    </row>
    <row r="174" ht="15" customHeight="1">
      <c r="A174" t="inlineStr">
        <is>
          <t>A 37461-2021</t>
        </is>
      </c>
      <c r="B174" s="1" t="n">
        <v>44398</v>
      </c>
      <c r="C174" s="1" t="n">
        <v>46138</v>
      </c>
      <c r="D174" t="inlineStr">
        <is>
          <t>JÄMTLANDS LÄN</t>
        </is>
      </c>
      <c r="E174" t="inlineStr">
        <is>
          <t>ÅRE</t>
        </is>
      </c>
      <c r="G174" t="n">
        <v>11.7</v>
      </c>
      <c r="H174" t="n">
        <v>0</v>
      </c>
      <c r="I174" t="n">
        <v>0</v>
      </c>
      <c r="J174" t="n">
        <v>0</v>
      </c>
      <c r="K174" t="n">
        <v>0</v>
      </c>
      <c r="L174" t="n">
        <v>0</v>
      </c>
      <c r="M174" t="n">
        <v>0</v>
      </c>
      <c r="N174" t="n">
        <v>0</v>
      </c>
      <c r="O174" t="n">
        <v>0</v>
      </c>
      <c r="P174" t="n">
        <v>0</v>
      </c>
      <c r="Q174" t="n">
        <v>0</v>
      </c>
      <c r="R174" s="2" t="inlineStr"/>
    </row>
    <row r="175" ht="15" customHeight="1">
      <c r="A175" t="inlineStr">
        <is>
          <t>A 18443-2022</t>
        </is>
      </c>
      <c r="B175" s="1" t="n">
        <v>44686.48277777778</v>
      </c>
      <c r="C175" s="1" t="n">
        <v>46138</v>
      </c>
      <c r="D175" t="inlineStr">
        <is>
          <t>JÄMTLANDS LÄN</t>
        </is>
      </c>
      <c r="E175" t="inlineStr">
        <is>
          <t>ÅRE</t>
        </is>
      </c>
      <c r="G175" t="n">
        <v>5.1</v>
      </c>
      <c r="H175" t="n">
        <v>0</v>
      </c>
      <c r="I175" t="n">
        <v>0</v>
      </c>
      <c r="J175" t="n">
        <v>0</v>
      </c>
      <c r="K175" t="n">
        <v>0</v>
      </c>
      <c r="L175" t="n">
        <v>0</v>
      </c>
      <c r="M175" t="n">
        <v>0</v>
      </c>
      <c r="N175" t="n">
        <v>0</v>
      </c>
      <c r="O175" t="n">
        <v>0</v>
      </c>
      <c r="P175" t="n">
        <v>0</v>
      </c>
      <c r="Q175" t="n">
        <v>0</v>
      </c>
      <c r="R175" s="2" t="inlineStr"/>
    </row>
    <row r="176" ht="15" customHeight="1">
      <c r="A176" t="inlineStr">
        <is>
          <t>A 60132-2021</t>
        </is>
      </c>
      <c r="B176" s="1" t="n">
        <v>44495</v>
      </c>
      <c r="C176" s="1" t="n">
        <v>46138</v>
      </c>
      <c r="D176" t="inlineStr">
        <is>
          <t>JÄMTLANDS LÄN</t>
        </is>
      </c>
      <c r="E176" t="inlineStr">
        <is>
          <t>ÅRE</t>
        </is>
      </c>
      <c r="G176" t="n">
        <v>3.7</v>
      </c>
      <c r="H176" t="n">
        <v>0</v>
      </c>
      <c r="I176" t="n">
        <v>0</v>
      </c>
      <c r="J176" t="n">
        <v>0</v>
      </c>
      <c r="K176" t="n">
        <v>0</v>
      </c>
      <c r="L176" t="n">
        <v>0</v>
      </c>
      <c r="M176" t="n">
        <v>0</v>
      </c>
      <c r="N176" t="n">
        <v>0</v>
      </c>
      <c r="O176" t="n">
        <v>0</v>
      </c>
      <c r="P176" t="n">
        <v>0</v>
      </c>
      <c r="Q176" t="n">
        <v>0</v>
      </c>
      <c r="R176" s="2" t="inlineStr"/>
    </row>
    <row r="177" ht="15" customHeight="1">
      <c r="A177" t="inlineStr">
        <is>
          <t>A 38265-2022</t>
        </is>
      </c>
      <c r="B177" s="1" t="n">
        <v>44812</v>
      </c>
      <c r="C177" s="1" t="n">
        <v>46138</v>
      </c>
      <c r="D177" t="inlineStr">
        <is>
          <t>JÄMTLANDS LÄN</t>
        </is>
      </c>
      <c r="E177" t="inlineStr">
        <is>
          <t>ÅRE</t>
        </is>
      </c>
      <c r="G177" t="n">
        <v>0.6</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46138</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58230-2021</t>
        </is>
      </c>
      <c r="B179" s="1" t="n">
        <v>44487</v>
      </c>
      <c r="C179" s="1" t="n">
        <v>46138</v>
      </c>
      <c r="D179" t="inlineStr">
        <is>
          <t>JÄMTLANDS LÄN</t>
        </is>
      </c>
      <c r="E179" t="inlineStr">
        <is>
          <t>ÅRE</t>
        </is>
      </c>
      <c r="G179" t="n">
        <v>19.3</v>
      </c>
      <c r="H179" t="n">
        <v>0</v>
      </c>
      <c r="I179" t="n">
        <v>0</v>
      </c>
      <c r="J179" t="n">
        <v>0</v>
      </c>
      <c r="K179" t="n">
        <v>0</v>
      </c>
      <c r="L179" t="n">
        <v>0</v>
      </c>
      <c r="M179" t="n">
        <v>0</v>
      </c>
      <c r="N179" t="n">
        <v>0</v>
      </c>
      <c r="O179" t="n">
        <v>0</v>
      </c>
      <c r="P179" t="n">
        <v>0</v>
      </c>
      <c r="Q179" t="n">
        <v>0</v>
      </c>
      <c r="R179" s="2" t="inlineStr"/>
    </row>
    <row r="180" ht="15" customHeight="1">
      <c r="A180" t="inlineStr">
        <is>
          <t>A 51042-2021</t>
        </is>
      </c>
      <c r="B180" s="1" t="n">
        <v>44461</v>
      </c>
      <c r="C180" s="1" t="n">
        <v>46138</v>
      </c>
      <c r="D180" t="inlineStr">
        <is>
          <t>JÄMTLANDS LÄN</t>
        </is>
      </c>
      <c r="E180" t="inlineStr">
        <is>
          <t>ÅRE</t>
        </is>
      </c>
      <c r="G180" t="n">
        <v>0.8</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46138</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46138</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46138</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46138</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62183-2021</t>
        </is>
      </c>
      <c r="B185" s="1" t="n">
        <v>44502</v>
      </c>
      <c r="C185" s="1" t="n">
        <v>46138</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37086-2021</t>
        </is>
      </c>
      <c r="B186" s="1" t="n">
        <v>44395</v>
      </c>
      <c r="C186" s="1" t="n">
        <v>46138</v>
      </c>
      <c r="D186" t="inlineStr">
        <is>
          <t>JÄMTLANDS LÄN</t>
        </is>
      </c>
      <c r="E186" t="inlineStr">
        <is>
          <t>ÅRE</t>
        </is>
      </c>
      <c r="G186" t="n">
        <v>34.1</v>
      </c>
      <c r="H186" t="n">
        <v>0</v>
      </c>
      <c r="I186" t="n">
        <v>0</v>
      </c>
      <c r="J186" t="n">
        <v>0</v>
      </c>
      <c r="K186" t="n">
        <v>0</v>
      </c>
      <c r="L186" t="n">
        <v>0</v>
      </c>
      <c r="M186" t="n">
        <v>0</v>
      </c>
      <c r="N186" t="n">
        <v>0</v>
      </c>
      <c r="O186" t="n">
        <v>0</v>
      </c>
      <c r="P186" t="n">
        <v>0</v>
      </c>
      <c r="Q186" t="n">
        <v>0</v>
      </c>
      <c r="R186" s="2" t="inlineStr"/>
    </row>
    <row r="187" ht="15" customHeight="1">
      <c r="A187" t="inlineStr">
        <is>
          <t>A 43583-2022</t>
        </is>
      </c>
      <c r="B187" s="1" t="n">
        <v>44834</v>
      </c>
      <c r="C187" s="1" t="n">
        <v>46138</v>
      </c>
      <c r="D187" t="inlineStr">
        <is>
          <t>JÄMTLANDS LÄN</t>
        </is>
      </c>
      <c r="E187" t="inlineStr">
        <is>
          <t>ÅRE</t>
        </is>
      </c>
      <c r="G187" t="n">
        <v>6.7</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46138</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46138</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73629-2021</t>
        </is>
      </c>
      <c r="B190" s="1" t="n">
        <v>44552</v>
      </c>
      <c r="C190" s="1" t="n">
        <v>46138</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28881-2021</t>
        </is>
      </c>
      <c r="B191" s="1" t="n">
        <v>44357</v>
      </c>
      <c r="C191" s="1" t="n">
        <v>46138</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46138</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46138</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46138</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46138</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46138</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46138</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62352-2021</t>
        </is>
      </c>
      <c r="B198" s="1" t="n">
        <v>44502</v>
      </c>
      <c r="C198" s="1" t="n">
        <v>46138</v>
      </c>
      <c r="D198" t="inlineStr">
        <is>
          <t>JÄMTLANDS LÄN</t>
        </is>
      </c>
      <c r="E198" t="inlineStr">
        <is>
          <t>ÅRE</t>
        </is>
      </c>
      <c r="F198" t="inlineStr">
        <is>
          <t>Övriga statliga verk och myndigheter</t>
        </is>
      </c>
      <c r="G198" t="n">
        <v>64.90000000000001</v>
      </c>
      <c r="H198" t="n">
        <v>0</v>
      </c>
      <c r="I198" t="n">
        <v>0</v>
      </c>
      <c r="J198" t="n">
        <v>0</v>
      </c>
      <c r="K198" t="n">
        <v>0</v>
      </c>
      <c r="L198" t="n">
        <v>0</v>
      </c>
      <c r="M198" t="n">
        <v>0</v>
      </c>
      <c r="N198" t="n">
        <v>0</v>
      </c>
      <c r="O198" t="n">
        <v>0</v>
      </c>
      <c r="P198" t="n">
        <v>0</v>
      </c>
      <c r="Q198" t="n">
        <v>0</v>
      </c>
      <c r="R198" s="2" t="inlineStr"/>
    </row>
    <row r="199" ht="15" customHeight="1">
      <c r="A199" t="inlineStr">
        <is>
          <t>A 27390-2021</t>
        </is>
      </c>
      <c r="B199" s="1" t="n">
        <v>44351</v>
      </c>
      <c r="C199" s="1" t="n">
        <v>46138</v>
      </c>
      <c r="D199" t="inlineStr">
        <is>
          <t>JÄMTLANDS LÄN</t>
        </is>
      </c>
      <c r="E199" t="inlineStr">
        <is>
          <t>ÅRE</t>
        </is>
      </c>
      <c r="G199" t="n">
        <v>14.9</v>
      </c>
      <c r="H199" t="n">
        <v>0</v>
      </c>
      <c r="I199" t="n">
        <v>0</v>
      </c>
      <c r="J199" t="n">
        <v>0</v>
      </c>
      <c r="K199" t="n">
        <v>0</v>
      </c>
      <c r="L199" t="n">
        <v>0</v>
      </c>
      <c r="M199" t="n">
        <v>0</v>
      </c>
      <c r="N199" t="n">
        <v>0</v>
      </c>
      <c r="O199" t="n">
        <v>0</v>
      </c>
      <c r="P199" t="n">
        <v>0</v>
      </c>
      <c r="Q199" t="n">
        <v>0</v>
      </c>
      <c r="R199" s="2" t="inlineStr"/>
    </row>
    <row r="200" ht="15" customHeight="1">
      <c r="A200" t="inlineStr">
        <is>
          <t>A 24585-2021</t>
        </is>
      </c>
      <c r="B200" s="1" t="n">
        <v>44337</v>
      </c>
      <c r="C200" s="1" t="n">
        <v>46138</v>
      </c>
      <c r="D200" t="inlineStr">
        <is>
          <t>JÄMTLANDS LÄN</t>
        </is>
      </c>
      <c r="E200" t="inlineStr">
        <is>
          <t>ÅRE</t>
        </is>
      </c>
      <c r="G200" t="n">
        <v>1.9</v>
      </c>
      <c r="H200" t="n">
        <v>0</v>
      </c>
      <c r="I200" t="n">
        <v>0</v>
      </c>
      <c r="J200" t="n">
        <v>0</v>
      </c>
      <c r="K200" t="n">
        <v>0</v>
      </c>
      <c r="L200" t="n">
        <v>0</v>
      </c>
      <c r="M200" t="n">
        <v>0</v>
      </c>
      <c r="N200" t="n">
        <v>0</v>
      </c>
      <c r="O200" t="n">
        <v>0</v>
      </c>
      <c r="P200" t="n">
        <v>0</v>
      </c>
      <c r="Q200" t="n">
        <v>0</v>
      </c>
      <c r="R200" s="2" t="inlineStr"/>
    </row>
    <row r="201" ht="15" customHeight="1">
      <c r="A201" t="inlineStr">
        <is>
          <t>A 14283-2025</t>
        </is>
      </c>
      <c r="B201" s="1" t="n">
        <v>45740.65851851852</v>
      </c>
      <c r="C201" s="1" t="n">
        <v>46138</v>
      </c>
      <c r="D201" t="inlineStr">
        <is>
          <t>JÄMTLANDS LÄN</t>
        </is>
      </c>
      <c r="E201" t="inlineStr">
        <is>
          <t>ÅRE</t>
        </is>
      </c>
      <c r="G201" t="n">
        <v>4.6</v>
      </c>
      <c r="H201" t="n">
        <v>0</v>
      </c>
      <c r="I201" t="n">
        <v>0</v>
      </c>
      <c r="J201" t="n">
        <v>0</v>
      </c>
      <c r="K201" t="n">
        <v>0</v>
      </c>
      <c r="L201" t="n">
        <v>0</v>
      </c>
      <c r="M201" t="n">
        <v>0</v>
      </c>
      <c r="N201" t="n">
        <v>0</v>
      </c>
      <c r="O201" t="n">
        <v>0</v>
      </c>
      <c r="P201" t="n">
        <v>0</v>
      </c>
      <c r="Q201" t="n">
        <v>0</v>
      </c>
      <c r="R201" s="2" t="inlineStr"/>
    </row>
    <row r="202" ht="15" customHeight="1">
      <c r="A202" t="inlineStr">
        <is>
          <t>A 33379-2024</t>
        </is>
      </c>
      <c r="B202" s="1" t="n">
        <v>45519.4495949074</v>
      </c>
      <c r="C202" s="1" t="n">
        <v>46138</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71005-2021</t>
        </is>
      </c>
      <c r="B203" s="1" t="n">
        <v>44538.62987268518</v>
      </c>
      <c r="C203" s="1" t="n">
        <v>46138</v>
      </c>
      <c r="D203" t="inlineStr">
        <is>
          <t>JÄMTLANDS LÄN</t>
        </is>
      </c>
      <c r="E203" t="inlineStr">
        <is>
          <t>ÅRE</t>
        </is>
      </c>
      <c r="G203" t="n">
        <v>1.2</v>
      </c>
      <c r="H203" t="n">
        <v>0</v>
      </c>
      <c r="I203" t="n">
        <v>0</v>
      </c>
      <c r="J203" t="n">
        <v>0</v>
      </c>
      <c r="K203" t="n">
        <v>0</v>
      </c>
      <c r="L203" t="n">
        <v>0</v>
      </c>
      <c r="M203" t="n">
        <v>0</v>
      </c>
      <c r="N203" t="n">
        <v>0</v>
      </c>
      <c r="O203" t="n">
        <v>0</v>
      </c>
      <c r="P203" t="n">
        <v>0</v>
      </c>
      <c r="Q203" t="n">
        <v>0</v>
      </c>
      <c r="R203" s="2" t="inlineStr"/>
    </row>
    <row r="204" ht="15" customHeight="1">
      <c r="A204" t="inlineStr">
        <is>
          <t>A 33023-2022</t>
        </is>
      </c>
      <c r="B204" s="1" t="n">
        <v>44784</v>
      </c>
      <c r="C204" s="1" t="n">
        <v>46138</v>
      </c>
      <c r="D204" t="inlineStr">
        <is>
          <t>JÄMTLANDS LÄN</t>
        </is>
      </c>
      <c r="E204" t="inlineStr">
        <is>
          <t>ÅRE</t>
        </is>
      </c>
      <c r="G204" t="n">
        <v>2.5</v>
      </c>
      <c r="H204" t="n">
        <v>0</v>
      </c>
      <c r="I204" t="n">
        <v>0</v>
      </c>
      <c r="J204" t="n">
        <v>0</v>
      </c>
      <c r="K204" t="n">
        <v>0</v>
      </c>
      <c r="L204" t="n">
        <v>0</v>
      </c>
      <c r="M204" t="n">
        <v>0</v>
      </c>
      <c r="N204" t="n">
        <v>0</v>
      </c>
      <c r="O204" t="n">
        <v>0</v>
      </c>
      <c r="P204" t="n">
        <v>0</v>
      </c>
      <c r="Q204" t="n">
        <v>0</v>
      </c>
      <c r="R204" s="2" t="inlineStr"/>
    </row>
    <row r="205" ht="15" customHeight="1">
      <c r="A205" t="inlineStr">
        <is>
          <t>A 12940-2024</t>
        </is>
      </c>
      <c r="B205" s="1" t="n">
        <v>45385.46263888889</v>
      </c>
      <c r="C205" s="1" t="n">
        <v>46138</v>
      </c>
      <c r="D205" t="inlineStr">
        <is>
          <t>JÄMTLANDS LÄN</t>
        </is>
      </c>
      <c r="E205" t="inlineStr">
        <is>
          <t>ÅRE</t>
        </is>
      </c>
      <c r="G205" t="n">
        <v>2.5</v>
      </c>
      <c r="H205" t="n">
        <v>0</v>
      </c>
      <c r="I205" t="n">
        <v>0</v>
      </c>
      <c r="J205" t="n">
        <v>0</v>
      </c>
      <c r="K205" t="n">
        <v>0</v>
      </c>
      <c r="L205" t="n">
        <v>0</v>
      </c>
      <c r="M205" t="n">
        <v>0</v>
      </c>
      <c r="N205" t="n">
        <v>0</v>
      </c>
      <c r="O205" t="n">
        <v>0</v>
      </c>
      <c r="P205" t="n">
        <v>0</v>
      </c>
      <c r="Q205" t="n">
        <v>0</v>
      </c>
      <c r="R205" s="2" t="inlineStr"/>
    </row>
    <row r="206" ht="15" customHeight="1">
      <c r="A206" t="inlineStr">
        <is>
          <t>A 12216-2023</t>
        </is>
      </c>
      <c r="B206" s="1" t="n">
        <v>44998</v>
      </c>
      <c r="C206" s="1" t="n">
        <v>46138</v>
      </c>
      <c r="D206" t="inlineStr">
        <is>
          <t>JÄMTLANDS LÄN</t>
        </is>
      </c>
      <c r="E206" t="inlineStr">
        <is>
          <t>ÅRE</t>
        </is>
      </c>
      <c r="G206" t="n">
        <v>11.8</v>
      </c>
      <c r="H206" t="n">
        <v>0</v>
      </c>
      <c r="I206" t="n">
        <v>0</v>
      </c>
      <c r="J206" t="n">
        <v>0</v>
      </c>
      <c r="K206" t="n">
        <v>0</v>
      </c>
      <c r="L206" t="n">
        <v>0</v>
      </c>
      <c r="M206" t="n">
        <v>0</v>
      </c>
      <c r="N206" t="n">
        <v>0</v>
      </c>
      <c r="O206" t="n">
        <v>0</v>
      </c>
      <c r="P206" t="n">
        <v>0</v>
      </c>
      <c r="Q206" t="n">
        <v>0</v>
      </c>
      <c r="R206" s="2" t="inlineStr"/>
    </row>
    <row r="207" ht="15" customHeight="1">
      <c r="A207" t="inlineStr">
        <is>
          <t>A 58508-2023</t>
        </is>
      </c>
      <c r="B207" s="1" t="n">
        <v>45246</v>
      </c>
      <c r="C207" s="1" t="n">
        <v>46138</v>
      </c>
      <c r="D207" t="inlineStr">
        <is>
          <t>JÄMTLANDS LÄN</t>
        </is>
      </c>
      <c r="E207" t="inlineStr">
        <is>
          <t>ÅRE</t>
        </is>
      </c>
      <c r="G207" t="n">
        <v>21.8</v>
      </c>
      <c r="H207" t="n">
        <v>0</v>
      </c>
      <c r="I207" t="n">
        <v>0</v>
      </c>
      <c r="J207" t="n">
        <v>0</v>
      </c>
      <c r="K207" t="n">
        <v>0</v>
      </c>
      <c r="L207" t="n">
        <v>0</v>
      </c>
      <c r="M207" t="n">
        <v>0</v>
      </c>
      <c r="N207" t="n">
        <v>0</v>
      </c>
      <c r="O207" t="n">
        <v>0</v>
      </c>
      <c r="P207" t="n">
        <v>0</v>
      </c>
      <c r="Q207" t="n">
        <v>0</v>
      </c>
      <c r="R207" s="2" t="inlineStr"/>
    </row>
    <row r="208" ht="15" customHeight="1">
      <c r="A208" t="inlineStr">
        <is>
          <t>A 59215-2024</t>
        </is>
      </c>
      <c r="B208" s="1" t="n">
        <v>45636</v>
      </c>
      <c r="C208" s="1" t="n">
        <v>46138</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39069-2024</t>
        </is>
      </c>
      <c r="B209" s="1" t="n">
        <v>45548.53166666667</v>
      </c>
      <c r="C209" s="1" t="n">
        <v>46138</v>
      </c>
      <c r="D209" t="inlineStr">
        <is>
          <t>JÄMTLANDS LÄN</t>
        </is>
      </c>
      <c r="E209" t="inlineStr">
        <is>
          <t>ÅRE</t>
        </is>
      </c>
      <c r="G209" t="n">
        <v>0.5</v>
      </c>
      <c r="H209" t="n">
        <v>0</v>
      </c>
      <c r="I209" t="n">
        <v>0</v>
      </c>
      <c r="J209" t="n">
        <v>0</v>
      </c>
      <c r="K209" t="n">
        <v>0</v>
      </c>
      <c r="L209" t="n">
        <v>0</v>
      </c>
      <c r="M209" t="n">
        <v>0</v>
      </c>
      <c r="N209" t="n">
        <v>0</v>
      </c>
      <c r="O209" t="n">
        <v>0</v>
      </c>
      <c r="P209" t="n">
        <v>0</v>
      </c>
      <c r="Q209" t="n">
        <v>0</v>
      </c>
      <c r="R209" s="2" t="inlineStr"/>
    </row>
    <row r="210" ht="15" customHeight="1">
      <c r="A210" t="inlineStr">
        <is>
          <t>A 26533-2022</t>
        </is>
      </c>
      <c r="B210" s="1" t="n">
        <v>44739.4490162037</v>
      </c>
      <c r="C210" s="1" t="n">
        <v>46138</v>
      </c>
      <c r="D210" t="inlineStr">
        <is>
          <t>JÄMTLANDS LÄN</t>
        </is>
      </c>
      <c r="E210" t="inlineStr">
        <is>
          <t>ÅRE</t>
        </is>
      </c>
      <c r="F210" t="inlineStr">
        <is>
          <t>Övriga Aktiebolag</t>
        </is>
      </c>
      <c r="G210" t="n">
        <v>3.8</v>
      </c>
      <c r="H210" t="n">
        <v>0</v>
      </c>
      <c r="I210" t="n">
        <v>0</v>
      </c>
      <c r="J210" t="n">
        <v>0</v>
      </c>
      <c r="K210" t="n">
        <v>0</v>
      </c>
      <c r="L210" t="n">
        <v>0</v>
      </c>
      <c r="M210" t="n">
        <v>0</v>
      </c>
      <c r="N210" t="n">
        <v>0</v>
      </c>
      <c r="O210" t="n">
        <v>0</v>
      </c>
      <c r="P210" t="n">
        <v>0</v>
      </c>
      <c r="Q210" t="n">
        <v>0</v>
      </c>
      <c r="R210" s="2" t="inlineStr"/>
    </row>
    <row r="211" ht="15" customHeight="1">
      <c r="A211" t="inlineStr">
        <is>
          <t>A 23159-2024</t>
        </is>
      </c>
      <c r="B211" s="1" t="n">
        <v>45450.7033912037</v>
      </c>
      <c r="C211" s="1" t="n">
        <v>46138</v>
      </c>
      <c r="D211" t="inlineStr">
        <is>
          <t>JÄMTLANDS LÄN</t>
        </is>
      </c>
      <c r="E211" t="inlineStr">
        <is>
          <t>ÅRE</t>
        </is>
      </c>
      <c r="G211" t="n">
        <v>1.2</v>
      </c>
      <c r="H211" t="n">
        <v>0</v>
      </c>
      <c r="I211" t="n">
        <v>0</v>
      </c>
      <c r="J211" t="n">
        <v>0</v>
      </c>
      <c r="K211" t="n">
        <v>0</v>
      </c>
      <c r="L211" t="n">
        <v>0</v>
      </c>
      <c r="M211" t="n">
        <v>0</v>
      </c>
      <c r="N211" t="n">
        <v>0</v>
      </c>
      <c r="O211" t="n">
        <v>0</v>
      </c>
      <c r="P211" t="n">
        <v>0</v>
      </c>
      <c r="Q211" t="n">
        <v>0</v>
      </c>
      <c r="R211" s="2" t="inlineStr"/>
    </row>
    <row r="212" ht="15" customHeight="1">
      <c r="A212" t="inlineStr">
        <is>
          <t>A 57448-2023</t>
        </is>
      </c>
      <c r="B212" s="1" t="n">
        <v>45246.34405092592</v>
      </c>
      <c r="C212" s="1" t="n">
        <v>46138</v>
      </c>
      <c r="D212" t="inlineStr">
        <is>
          <t>JÄMTLANDS LÄN</t>
        </is>
      </c>
      <c r="E212" t="inlineStr">
        <is>
          <t>ÅRE</t>
        </is>
      </c>
      <c r="G212" t="n">
        <v>11.9</v>
      </c>
      <c r="H212" t="n">
        <v>0</v>
      </c>
      <c r="I212" t="n">
        <v>0</v>
      </c>
      <c r="J212" t="n">
        <v>0</v>
      </c>
      <c r="K212" t="n">
        <v>0</v>
      </c>
      <c r="L212" t="n">
        <v>0</v>
      </c>
      <c r="M212" t="n">
        <v>0</v>
      </c>
      <c r="N212" t="n">
        <v>0</v>
      </c>
      <c r="O212" t="n">
        <v>0</v>
      </c>
      <c r="P212" t="n">
        <v>0</v>
      </c>
      <c r="Q212" t="n">
        <v>0</v>
      </c>
      <c r="R212" s="2" t="inlineStr"/>
    </row>
    <row r="213" ht="15" customHeight="1">
      <c r="A213" t="inlineStr">
        <is>
          <t>A 25122-2022</t>
        </is>
      </c>
      <c r="B213" s="1" t="n">
        <v>44729</v>
      </c>
      <c r="C213" s="1" t="n">
        <v>46138</v>
      </c>
      <c r="D213" t="inlineStr">
        <is>
          <t>JÄMTLANDS LÄN</t>
        </is>
      </c>
      <c r="E213" t="inlineStr">
        <is>
          <t>ÅRE</t>
        </is>
      </c>
      <c r="G213" t="n">
        <v>0.3</v>
      </c>
      <c r="H213" t="n">
        <v>0</v>
      </c>
      <c r="I213" t="n">
        <v>0</v>
      </c>
      <c r="J213" t="n">
        <v>0</v>
      </c>
      <c r="K213" t="n">
        <v>0</v>
      </c>
      <c r="L213" t="n">
        <v>0</v>
      </c>
      <c r="M213" t="n">
        <v>0</v>
      </c>
      <c r="N213" t="n">
        <v>0</v>
      </c>
      <c r="O213" t="n">
        <v>0</v>
      </c>
      <c r="P213" t="n">
        <v>0</v>
      </c>
      <c r="Q213" t="n">
        <v>0</v>
      </c>
      <c r="R213" s="2" t="inlineStr"/>
    </row>
    <row r="214" ht="15" customHeight="1">
      <c r="A214" t="inlineStr">
        <is>
          <t>A 12944-2024</t>
        </is>
      </c>
      <c r="B214" s="1" t="n">
        <v>45385</v>
      </c>
      <c r="C214" s="1" t="n">
        <v>46138</v>
      </c>
      <c r="D214" t="inlineStr">
        <is>
          <t>JÄMTLANDS LÄN</t>
        </is>
      </c>
      <c r="E214" t="inlineStr">
        <is>
          <t>ÅRE</t>
        </is>
      </c>
      <c r="G214" t="n">
        <v>1.9</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46138</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46138</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49818-2022</t>
        </is>
      </c>
      <c r="B217" s="1" t="n">
        <v>44859</v>
      </c>
      <c r="C217" s="1" t="n">
        <v>46138</v>
      </c>
      <c r="D217" t="inlineStr">
        <is>
          <t>JÄMTLANDS LÄN</t>
        </is>
      </c>
      <c r="E217" t="inlineStr">
        <is>
          <t>ÅRE</t>
        </is>
      </c>
      <c r="G217" t="n">
        <v>63</v>
      </c>
      <c r="H217" t="n">
        <v>0</v>
      </c>
      <c r="I217" t="n">
        <v>0</v>
      </c>
      <c r="J217" t="n">
        <v>0</v>
      </c>
      <c r="K217" t="n">
        <v>0</v>
      </c>
      <c r="L217" t="n">
        <v>0</v>
      </c>
      <c r="M217" t="n">
        <v>0</v>
      </c>
      <c r="N217" t="n">
        <v>0</v>
      </c>
      <c r="O217" t="n">
        <v>0</v>
      </c>
      <c r="P217" t="n">
        <v>0</v>
      </c>
      <c r="Q217" t="n">
        <v>0</v>
      </c>
      <c r="R217" s="2" t="inlineStr"/>
    </row>
    <row r="218" ht="15" customHeight="1">
      <c r="A218" t="inlineStr">
        <is>
          <t>A 64237-2021</t>
        </is>
      </c>
      <c r="B218" s="1" t="n">
        <v>44510</v>
      </c>
      <c r="C218" s="1" t="n">
        <v>46138</v>
      </c>
      <c r="D218" t="inlineStr">
        <is>
          <t>JÄMTLANDS LÄN</t>
        </is>
      </c>
      <c r="E218" t="inlineStr">
        <is>
          <t>ÅRE</t>
        </is>
      </c>
      <c r="G218" t="n">
        <v>2.7</v>
      </c>
      <c r="H218" t="n">
        <v>0</v>
      </c>
      <c r="I218" t="n">
        <v>0</v>
      </c>
      <c r="J218" t="n">
        <v>0</v>
      </c>
      <c r="K218" t="n">
        <v>0</v>
      </c>
      <c r="L218" t="n">
        <v>0</v>
      </c>
      <c r="M218" t="n">
        <v>0</v>
      </c>
      <c r="N218" t="n">
        <v>0</v>
      </c>
      <c r="O218" t="n">
        <v>0</v>
      </c>
      <c r="P218" t="n">
        <v>0</v>
      </c>
      <c r="Q218" t="n">
        <v>0</v>
      </c>
      <c r="R218" s="2" t="inlineStr"/>
    </row>
    <row r="219" ht="15" customHeight="1">
      <c r="A219" t="inlineStr">
        <is>
          <t>A 30263-2023</t>
        </is>
      </c>
      <c r="B219" s="1" t="n">
        <v>45099</v>
      </c>
      <c r="C219" s="1" t="n">
        <v>46138</v>
      </c>
      <c r="D219" t="inlineStr">
        <is>
          <t>JÄMTLANDS LÄN</t>
        </is>
      </c>
      <c r="E219" t="inlineStr">
        <is>
          <t>ÅRE</t>
        </is>
      </c>
      <c r="G219" t="n">
        <v>15.9</v>
      </c>
      <c r="H219" t="n">
        <v>0</v>
      </c>
      <c r="I219" t="n">
        <v>0</v>
      </c>
      <c r="J219" t="n">
        <v>0</v>
      </c>
      <c r="K219" t="n">
        <v>0</v>
      </c>
      <c r="L219" t="n">
        <v>0</v>
      </c>
      <c r="M219" t="n">
        <v>0</v>
      </c>
      <c r="N219" t="n">
        <v>0</v>
      </c>
      <c r="O219" t="n">
        <v>0</v>
      </c>
      <c r="P219" t="n">
        <v>0</v>
      </c>
      <c r="Q219" t="n">
        <v>0</v>
      </c>
      <c r="R219" s="2" t="inlineStr"/>
    </row>
    <row r="220" ht="15" customHeight="1">
      <c r="A220" t="inlineStr">
        <is>
          <t>A 73798-2021</t>
        </is>
      </c>
      <c r="B220" s="1" t="n">
        <v>44552</v>
      </c>
      <c r="C220" s="1" t="n">
        <v>46138</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23117-2022</t>
        </is>
      </c>
      <c r="B221" s="1" t="n">
        <v>44719.56572916666</v>
      </c>
      <c r="C221" s="1" t="n">
        <v>46138</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1414-2023</t>
        </is>
      </c>
      <c r="B222" s="1" t="n">
        <v>44936</v>
      </c>
      <c r="C222" s="1" t="n">
        <v>46138</v>
      </c>
      <c r="D222" t="inlineStr">
        <is>
          <t>JÄMTLANDS LÄN</t>
        </is>
      </c>
      <c r="E222" t="inlineStr">
        <is>
          <t>ÅRE</t>
        </is>
      </c>
      <c r="G222" t="n">
        <v>1.7</v>
      </c>
      <c r="H222" t="n">
        <v>0</v>
      </c>
      <c r="I222" t="n">
        <v>0</v>
      </c>
      <c r="J222" t="n">
        <v>0</v>
      </c>
      <c r="K222" t="n">
        <v>0</v>
      </c>
      <c r="L222" t="n">
        <v>0</v>
      </c>
      <c r="M222" t="n">
        <v>0</v>
      </c>
      <c r="N222" t="n">
        <v>0</v>
      </c>
      <c r="O222" t="n">
        <v>0</v>
      </c>
      <c r="P222" t="n">
        <v>0</v>
      </c>
      <c r="Q222" t="n">
        <v>0</v>
      </c>
      <c r="R222" s="2" t="inlineStr"/>
    </row>
    <row r="223" ht="15" customHeight="1">
      <c r="A223" t="inlineStr">
        <is>
          <t>A 2376-2023</t>
        </is>
      </c>
      <c r="B223" s="1" t="n">
        <v>44942</v>
      </c>
      <c r="C223" s="1" t="n">
        <v>46138</v>
      </c>
      <c r="D223" t="inlineStr">
        <is>
          <t>JÄMTLANDS LÄN</t>
        </is>
      </c>
      <c r="E223" t="inlineStr">
        <is>
          <t>ÅRE</t>
        </is>
      </c>
      <c r="G223" t="n">
        <v>0.1</v>
      </c>
      <c r="H223" t="n">
        <v>0</v>
      </c>
      <c r="I223" t="n">
        <v>0</v>
      </c>
      <c r="J223" t="n">
        <v>0</v>
      </c>
      <c r="K223" t="n">
        <v>0</v>
      </c>
      <c r="L223" t="n">
        <v>0</v>
      </c>
      <c r="M223" t="n">
        <v>0</v>
      </c>
      <c r="N223" t="n">
        <v>0</v>
      </c>
      <c r="O223" t="n">
        <v>0</v>
      </c>
      <c r="P223" t="n">
        <v>0</v>
      </c>
      <c r="Q223" t="n">
        <v>0</v>
      </c>
      <c r="R223" s="2" t="inlineStr"/>
    </row>
    <row r="224" ht="15" customHeight="1">
      <c r="A224" t="inlineStr">
        <is>
          <t>A 33230-2024</t>
        </is>
      </c>
      <c r="B224" s="1" t="n">
        <v>45518.57418981481</v>
      </c>
      <c r="C224" s="1" t="n">
        <v>46138</v>
      </c>
      <c r="D224" t="inlineStr">
        <is>
          <t>JÄMTLANDS LÄN</t>
        </is>
      </c>
      <c r="E224" t="inlineStr">
        <is>
          <t>ÅRE</t>
        </is>
      </c>
      <c r="G224" t="n">
        <v>2.4</v>
      </c>
      <c r="H224" t="n">
        <v>0</v>
      </c>
      <c r="I224" t="n">
        <v>0</v>
      </c>
      <c r="J224" t="n">
        <v>0</v>
      </c>
      <c r="K224" t="n">
        <v>0</v>
      </c>
      <c r="L224" t="n">
        <v>0</v>
      </c>
      <c r="M224" t="n">
        <v>0</v>
      </c>
      <c r="N224" t="n">
        <v>0</v>
      </c>
      <c r="O224" t="n">
        <v>0</v>
      </c>
      <c r="P224" t="n">
        <v>0</v>
      </c>
      <c r="Q224" t="n">
        <v>0</v>
      </c>
      <c r="R224" s="2" t="inlineStr"/>
    </row>
    <row r="225" ht="15" customHeight="1">
      <c r="A225" t="inlineStr">
        <is>
          <t>A 61183-2023</t>
        </is>
      </c>
      <c r="B225" s="1" t="n">
        <v>45263</v>
      </c>
      <c r="C225" s="1" t="n">
        <v>46138</v>
      </c>
      <c r="D225" t="inlineStr">
        <is>
          <t>JÄMTLANDS LÄN</t>
        </is>
      </c>
      <c r="E225" t="inlineStr">
        <is>
          <t>ÅRE</t>
        </is>
      </c>
      <c r="G225" t="n">
        <v>8.4</v>
      </c>
      <c r="H225" t="n">
        <v>0</v>
      </c>
      <c r="I225" t="n">
        <v>0</v>
      </c>
      <c r="J225" t="n">
        <v>0</v>
      </c>
      <c r="K225" t="n">
        <v>0</v>
      </c>
      <c r="L225" t="n">
        <v>0</v>
      </c>
      <c r="M225" t="n">
        <v>0</v>
      </c>
      <c r="N225" t="n">
        <v>0</v>
      </c>
      <c r="O225" t="n">
        <v>0</v>
      </c>
      <c r="P225" t="n">
        <v>0</v>
      </c>
      <c r="Q225" t="n">
        <v>0</v>
      </c>
      <c r="R225" s="2" t="inlineStr"/>
    </row>
    <row r="226" ht="15" customHeight="1">
      <c r="A226" t="inlineStr">
        <is>
          <t>A 18849-2022</t>
        </is>
      </c>
      <c r="B226" s="1" t="n">
        <v>44690</v>
      </c>
      <c r="C226" s="1" t="n">
        <v>46138</v>
      </c>
      <c r="D226" t="inlineStr">
        <is>
          <t>JÄMTLANDS LÄN</t>
        </is>
      </c>
      <c r="E226" t="inlineStr">
        <is>
          <t>ÅRE</t>
        </is>
      </c>
      <c r="G226" t="n">
        <v>12.8</v>
      </c>
      <c r="H226" t="n">
        <v>0</v>
      </c>
      <c r="I226" t="n">
        <v>0</v>
      </c>
      <c r="J226" t="n">
        <v>0</v>
      </c>
      <c r="K226" t="n">
        <v>0</v>
      </c>
      <c r="L226" t="n">
        <v>0</v>
      </c>
      <c r="M226" t="n">
        <v>0</v>
      </c>
      <c r="N226" t="n">
        <v>0</v>
      </c>
      <c r="O226" t="n">
        <v>0</v>
      </c>
      <c r="P226" t="n">
        <v>0</v>
      </c>
      <c r="Q226" t="n">
        <v>0</v>
      </c>
      <c r="R226" s="2" t="inlineStr"/>
    </row>
    <row r="227" ht="15" customHeight="1">
      <c r="A227" t="inlineStr">
        <is>
          <t>A 30379-2024</t>
        </is>
      </c>
      <c r="B227" s="1" t="n">
        <v>45491.43815972222</v>
      </c>
      <c r="C227" s="1" t="n">
        <v>46138</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52676-2023</t>
        </is>
      </c>
      <c r="B228" s="1" t="n">
        <v>45225.6890625</v>
      </c>
      <c r="C228" s="1" t="n">
        <v>46138</v>
      </c>
      <c r="D228" t="inlineStr">
        <is>
          <t>JÄMTLANDS LÄN</t>
        </is>
      </c>
      <c r="E228" t="inlineStr">
        <is>
          <t>ÅRE</t>
        </is>
      </c>
      <c r="F228" t="inlineStr">
        <is>
          <t>Övriga Aktiebolag</t>
        </is>
      </c>
      <c r="G228" t="n">
        <v>11</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46138</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41653-2024</t>
        </is>
      </c>
      <c r="B230" s="1" t="n">
        <v>45560.64059027778</v>
      </c>
      <c r="C230" s="1" t="n">
        <v>46138</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50344-2024</t>
        </is>
      </c>
      <c r="B231" s="1" t="n">
        <v>45600</v>
      </c>
      <c r="C231" s="1" t="n">
        <v>46138</v>
      </c>
      <c r="D231" t="inlineStr">
        <is>
          <t>JÄMTLANDS LÄN</t>
        </is>
      </c>
      <c r="E231" t="inlineStr">
        <is>
          <t>ÅRE</t>
        </is>
      </c>
      <c r="G231" t="n">
        <v>4</v>
      </c>
      <c r="H231" t="n">
        <v>0</v>
      </c>
      <c r="I231" t="n">
        <v>0</v>
      </c>
      <c r="J231" t="n">
        <v>0</v>
      </c>
      <c r="K231" t="n">
        <v>0</v>
      </c>
      <c r="L231" t="n">
        <v>0</v>
      </c>
      <c r="M231" t="n">
        <v>0</v>
      </c>
      <c r="N231" t="n">
        <v>0</v>
      </c>
      <c r="O231" t="n">
        <v>0</v>
      </c>
      <c r="P231" t="n">
        <v>0</v>
      </c>
      <c r="Q231" t="n">
        <v>0</v>
      </c>
      <c r="R231" s="2" t="inlineStr"/>
    </row>
    <row r="232" ht="15" customHeight="1">
      <c r="A232" t="inlineStr">
        <is>
          <t>A 12290-2023</t>
        </is>
      </c>
      <c r="B232" s="1" t="n">
        <v>44998.73545138889</v>
      </c>
      <c r="C232" s="1" t="n">
        <v>46138</v>
      </c>
      <c r="D232" t="inlineStr">
        <is>
          <t>JÄMTLANDS LÄN</t>
        </is>
      </c>
      <c r="E232" t="inlineStr">
        <is>
          <t>ÅRE</t>
        </is>
      </c>
      <c r="G232" t="n">
        <v>2.8</v>
      </c>
      <c r="H232" t="n">
        <v>0</v>
      </c>
      <c r="I232" t="n">
        <v>0</v>
      </c>
      <c r="J232" t="n">
        <v>0</v>
      </c>
      <c r="K232" t="n">
        <v>0</v>
      </c>
      <c r="L232" t="n">
        <v>0</v>
      </c>
      <c r="M232" t="n">
        <v>0</v>
      </c>
      <c r="N232" t="n">
        <v>0</v>
      </c>
      <c r="O232" t="n">
        <v>0</v>
      </c>
      <c r="P232" t="n">
        <v>0</v>
      </c>
      <c r="Q232" t="n">
        <v>0</v>
      </c>
      <c r="R232" s="2" t="inlineStr"/>
    </row>
    <row r="233" ht="15" customHeight="1">
      <c r="A233" t="inlineStr">
        <is>
          <t>A 12291-2023</t>
        </is>
      </c>
      <c r="B233" s="1" t="n">
        <v>44998.74140046296</v>
      </c>
      <c r="C233" s="1" t="n">
        <v>46138</v>
      </c>
      <c r="D233" t="inlineStr">
        <is>
          <t>JÄMTLANDS LÄN</t>
        </is>
      </c>
      <c r="E233" t="inlineStr">
        <is>
          <t>ÅRE</t>
        </is>
      </c>
      <c r="G233" t="n">
        <v>6</v>
      </c>
      <c r="H233" t="n">
        <v>0</v>
      </c>
      <c r="I233" t="n">
        <v>0</v>
      </c>
      <c r="J233" t="n">
        <v>0</v>
      </c>
      <c r="K233" t="n">
        <v>0</v>
      </c>
      <c r="L233" t="n">
        <v>0</v>
      </c>
      <c r="M233" t="n">
        <v>0</v>
      </c>
      <c r="N233" t="n">
        <v>0</v>
      </c>
      <c r="O233" t="n">
        <v>0</v>
      </c>
      <c r="P233" t="n">
        <v>0</v>
      </c>
      <c r="Q233" t="n">
        <v>0</v>
      </c>
      <c r="R233" s="2" t="inlineStr"/>
    </row>
    <row r="234" ht="15" customHeight="1">
      <c r="A234" t="inlineStr">
        <is>
          <t>A 31388-2021</t>
        </is>
      </c>
      <c r="B234" s="1" t="n">
        <v>44369</v>
      </c>
      <c r="C234" s="1" t="n">
        <v>46138</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18253-2023</t>
        </is>
      </c>
      <c r="B235" s="1" t="n">
        <v>45041.48034722222</v>
      </c>
      <c r="C235" s="1" t="n">
        <v>46138</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46138</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33015-2022</t>
        </is>
      </c>
      <c r="B237" s="1" t="n">
        <v>44784</v>
      </c>
      <c r="C237" s="1" t="n">
        <v>46138</v>
      </c>
      <c r="D237" t="inlineStr">
        <is>
          <t>JÄMTLANDS LÄN</t>
        </is>
      </c>
      <c r="E237" t="inlineStr">
        <is>
          <t>ÅRE</t>
        </is>
      </c>
      <c r="G237" t="n">
        <v>5.1</v>
      </c>
      <c r="H237" t="n">
        <v>0</v>
      </c>
      <c r="I237" t="n">
        <v>0</v>
      </c>
      <c r="J237" t="n">
        <v>0</v>
      </c>
      <c r="K237" t="n">
        <v>0</v>
      </c>
      <c r="L237" t="n">
        <v>0</v>
      </c>
      <c r="M237" t="n">
        <v>0</v>
      </c>
      <c r="N237" t="n">
        <v>0</v>
      </c>
      <c r="O237" t="n">
        <v>0</v>
      </c>
      <c r="P237" t="n">
        <v>0</v>
      </c>
      <c r="Q237" t="n">
        <v>0</v>
      </c>
      <c r="R237" s="2" t="inlineStr"/>
    </row>
    <row r="238" ht="15" customHeight="1">
      <c r="A238" t="inlineStr">
        <is>
          <t>A 49313-2024</t>
        </is>
      </c>
      <c r="B238" s="1" t="n">
        <v>45595</v>
      </c>
      <c r="C238" s="1" t="n">
        <v>46138</v>
      </c>
      <c r="D238" t="inlineStr">
        <is>
          <t>JÄMTLANDS LÄN</t>
        </is>
      </c>
      <c r="E238" t="inlineStr">
        <is>
          <t>ÅRE</t>
        </is>
      </c>
      <c r="G238" t="n">
        <v>1.1</v>
      </c>
      <c r="H238" t="n">
        <v>0</v>
      </c>
      <c r="I238" t="n">
        <v>0</v>
      </c>
      <c r="J238" t="n">
        <v>0</v>
      </c>
      <c r="K238" t="n">
        <v>0</v>
      </c>
      <c r="L238" t="n">
        <v>0</v>
      </c>
      <c r="M238" t="n">
        <v>0</v>
      </c>
      <c r="N238" t="n">
        <v>0</v>
      </c>
      <c r="O238" t="n">
        <v>0</v>
      </c>
      <c r="P238" t="n">
        <v>0</v>
      </c>
      <c r="Q238" t="n">
        <v>0</v>
      </c>
      <c r="R238" s="2" t="inlineStr"/>
    </row>
    <row r="239" ht="15" customHeight="1">
      <c r="A239" t="inlineStr">
        <is>
          <t>A 40341-2021</t>
        </is>
      </c>
      <c r="B239" s="1" t="n">
        <v>44419</v>
      </c>
      <c r="C239" s="1" t="n">
        <v>46138</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45796-2024</t>
        </is>
      </c>
      <c r="B240" s="1" t="n">
        <v>45579.67354166666</v>
      </c>
      <c r="C240" s="1" t="n">
        <v>46138</v>
      </c>
      <c r="D240" t="inlineStr">
        <is>
          <t>JÄMTLANDS LÄN</t>
        </is>
      </c>
      <c r="E240" t="inlineStr">
        <is>
          <t>ÅRE</t>
        </is>
      </c>
      <c r="G240" t="n">
        <v>5</v>
      </c>
      <c r="H240" t="n">
        <v>0</v>
      </c>
      <c r="I240" t="n">
        <v>0</v>
      </c>
      <c r="J240" t="n">
        <v>0</v>
      </c>
      <c r="K240" t="n">
        <v>0</v>
      </c>
      <c r="L240" t="n">
        <v>0</v>
      </c>
      <c r="M240" t="n">
        <v>0</v>
      </c>
      <c r="N240" t="n">
        <v>0</v>
      </c>
      <c r="O240" t="n">
        <v>0</v>
      </c>
      <c r="P240" t="n">
        <v>0</v>
      </c>
      <c r="Q240" t="n">
        <v>0</v>
      </c>
      <c r="R240" s="2" t="inlineStr"/>
    </row>
    <row r="241" ht="15" customHeight="1">
      <c r="A241" t="inlineStr">
        <is>
          <t>A 55944-2022</t>
        </is>
      </c>
      <c r="B241" s="1" t="n">
        <v>44889</v>
      </c>
      <c r="C241" s="1" t="n">
        <v>46138</v>
      </c>
      <c r="D241" t="inlineStr">
        <is>
          <t>JÄMTLANDS LÄN</t>
        </is>
      </c>
      <c r="E241" t="inlineStr">
        <is>
          <t>ÅRE</t>
        </is>
      </c>
      <c r="G241" t="n">
        <v>11.1</v>
      </c>
      <c r="H241" t="n">
        <v>0</v>
      </c>
      <c r="I241" t="n">
        <v>0</v>
      </c>
      <c r="J241" t="n">
        <v>0</v>
      </c>
      <c r="K241" t="n">
        <v>0</v>
      </c>
      <c r="L241" t="n">
        <v>0</v>
      </c>
      <c r="M241" t="n">
        <v>0</v>
      </c>
      <c r="N241" t="n">
        <v>0</v>
      </c>
      <c r="O241" t="n">
        <v>0</v>
      </c>
      <c r="P241" t="n">
        <v>0</v>
      </c>
      <c r="Q241" t="n">
        <v>0</v>
      </c>
      <c r="R241" s="2" t="inlineStr"/>
    </row>
    <row r="242" ht="15" customHeight="1">
      <c r="A242" t="inlineStr">
        <is>
          <t>A 21905-2021</t>
        </is>
      </c>
      <c r="B242" s="1" t="n">
        <v>44322</v>
      </c>
      <c r="C242" s="1" t="n">
        <v>46138</v>
      </c>
      <c r="D242" t="inlineStr">
        <is>
          <t>JÄMTLANDS LÄN</t>
        </is>
      </c>
      <c r="E242" t="inlineStr">
        <is>
          <t>ÅRE</t>
        </is>
      </c>
      <c r="G242" t="n">
        <v>14.3</v>
      </c>
      <c r="H242" t="n">
        <v>0</v>
      </c>
      <c r="I242" t="n">
        <v>0</v>
      </c>
      <c r="J242" t="n">
        <v>0</v>
      </c>
      <c r="K242" t="n">
        <v>0</v>
      </c>
      <c r="L242" t="n">
        <v>0</v>
      </c>
      <c r="M242" t="n">
        <v>0</v>
      </c>
      <c r="N242" t="n">
        <v>0</v>
      </c>
      <c r="O242" t="n">
        <v>0</v>
      </c>
      <c r="P242" t="n">
        <v>0</v>
      </c>
      <c r="Q242" t="n">
        <v>0</v>
      </c>
      <c r="R242" s="2" t="inlineStr"/>
    </row>
    <row r="243" ht="15" customHeight="1">
      <c r="A243" t="inlineStr">
        <is>
          <t>A 69568-2021</t>
        </is>
      </c>
      <c r="B243" s="1" t="n">
        <v>44531</v>
      </c>
      <c r="C243" s="1" t="n">
        <v>46138</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19705-2023</t>
        </is>
      </c>
      <c r="B244" s="1" t="n">
        <v>45051</v>
      </c>
      <c r="C244" s="1" t="n">
        <v>46138</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29294-2023</t>
        </is>
      </c>
      <c r="B245" s="1" t="n">
        <v>45098</v>
      </c>
      <c r="C245" s="1" t="n">
        <v>46138</v>
      </c>
      <c r="D245" t="inlineStr">
        <is>
          <t>JÄMTLANDS LÄN</t>
        </is>
      </c>
      <c r="E245" t="inlineStr">
        <is>
          <t>ÅRE</t>
        </is>
      </c>
      <c r="G245" t="n">
        <v>0.7</v>
      </c>
      <c r="H245" t="n">
        <v>0</v>
      </c>
      <c r="I245" t="n">
        <v>0</v>
      </c>
      <c r="J245" t="n">
        <v>0</v>
      </c>
      <c r="K245" t="n">
        <v>0</v>
      </c>
      <c r="L245" t="n">
        <v>0</v>
      </c>
      <c r="M245" t="n">
        <v>0</v>
      </c>
      <c r="N245" t="n">
        <v>0</v>
      </c>
      <c r="O245" t="n">
        <v>0</v>
      </c>
      <c r="P245" t="n">
        <v>0</v>
      </c>
      <c r="Q245" t="n">
        <v>0</v>
      </c>
      <c r="R245" s="2" t="inlineStr"/>
    </row>
    <row r="246" ht="15" customHeight="1">
      <c r="A246" t="inlineStr">
        <is>
          <t>A 9775-2023</t>
        </is>
      </c>
      <c r="B246" s="1" t="n">
        <v>44984.60255787037</v>
      </c>
      <c r="C246" s="1" t="n">
        <v>46138</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59916-2023</t>
        </is>
      </c>
      <c r="B247" s="1" t="n">
        <v>45257.64270833333</v>
      </c>
      <c r="C247" s="1" t="n">
        <v>46138</v>
      </c>
      <c r="D247" t="inlineStr">
        <is>
          <t>JÄMTLANDS LÄN</t>
        </is>
      </c>
      <c r="E247" t="inlineStr">
        <is>
          <t>ÅRE</t>
        </is>
      </c>
      <c r="G247" t="n">
        <v>0.7</v>
      </c>
      <c r="H247" t="n">
        <v>0</v>
      </c>
      <c r="I247" t="n">
        <v>0</v>
      </c>
      <c r="J247" t="n">
        <v>0</v>
      </c>
      <c r="K247" t="n">
        <v>0</v>
      </c>
      <c r="L247" t="n">
        <v>0</v>
      </c>
      <c r="M247" t="n">
        <v>0</v>
      </c>
      <c r="N247" t="n">
        <v>0</v>
      </c>
      <c r="O247" t="n">
        <v>0</v>
      </c>
      <c r="P247" t="n">
        <v>0</v>
      </c>
      <c r="Q247" t="n">
        <v>0</v>
      </c>
      <c r="R247" s="2" t="inlineStr"/>
    </row>
    <row r="248" ht="15" customHeight="1">
      <c r="A248" t="inlineStr">
        <is>
          <t>A 23118-2022</t>
        </is>
      </c>
      <c r="B248" s="1" t="n">
        <v>44719.5662037037</v>
      </c>
      <c r="C248" s="1" t="n">
        <v>46138</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43324-2022</t>
        </is>
      </c>
      <c r="B249" s="1" t="n">
        <v>44834</v>
      </c>
      <c r="C249" s="1" t="n">
        <v>46138</v>
      </c>
      <c r="D249" t="inlineStr">
        <is>
          <t>JÄMTLANDS LÄN</t>
        </is>
      </c>
      <c r="E249" t="inlineStr">
        <is>
          <t>ÅRE</t>
        </is>
      </c>
      <c r="F249" t="inlineStr">
        <is>
          <t>Bergvik skog öst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1491-2024</t>
        </is>
      </c>
      <c r="B250" s="1" t="n">
        <v>45305</v>
      </c>
      <c r="C250" s="1" t="n">
        <v>46138</v>
      </c>
      <c r="D250" t="inlineStr">
        <is>
          <t>JÄMTLANDS LÄN</t>
        </is>
      </c>
      <c r="E250" t="inlineStr">
        <is>
          <t>ÅRE</t>
        </is>
      </c>
      <c r="G250" t="n">
        <v>31.4</v>
      </c>
      <c r="H250" t="n">
        <v>0</v>
      </c>
      <c r="I250" t="n">
        <v>0</v>
      </c>
      <c r="J250" t="n">
        <v>0</v>
      </c>
      <c r="K250" t="n">
        <v>0</v>
      </c>
      <c r="L250" t="n">
        <v>0</v>
      </c>
      <c r="M250" t="n">
        <v>0</v>
      </c>
      <c r="N250" t="n">
        <v>0</v>
      </c>
      <c r="O250" t="n">
        <v>0</v>
      </c>
      <c r="P250" t="n">
        <v>0</v>
      </c>
      <c r="Q250" t="n">
        <v>0</v>
      </c>
      <c r="R250" s="2" t="inlineStr"/>
    </row>
    <row r="251" ht="15" customHeight="1">
      <c r="A251" t="inlineStr">
        <is>
          <t>A 47052-2022</t>
        </is>
      </c>
      <c r="B251" s="1" t="n">
        <v>44851</v>
      </c>
      <c r="C251" s="1" t="n">
        <v>46138</v>
      </c>
      <c r="D251" t="inlineStr">
        <is>
          <t>JÄMTLANDS LÄN</t>
        </is>
      </c>
      <c r="E251" t="inlineStr">
        <is>
          <t>ÅRE</t>
        </is>
      </c>
      <c r="G251" t="n">
        <v>90.8</v>
      </c>
      <c r="H251" t="n">
        <v>0</v>
      </c>
      <c r="I251" t="n">
        <v>0</v>
      </c>
      <c r="J251" t="n">
        <v>0</v>
      </c>
      <c r="K251" t="n">
        <v>0</v>
      </c>
      <c r="L251" t="n">
        <v>0</v>
      </c>
      <c r="M251" t="n">
        <v>0</v>
      </c>
      <c r="N251" t="n">
        <v>0</v>
      </c>
      <c r="O251" t="n">
        <v>0</v>
      </c>
      <c r="P251" t="n">
        <v>0</v>
      </c>
      <c r="Q251" t="n">
        <v>0</v>
      </c>
      <c r="R251" s="2" t="inlineStr"/>
    </row>
    <row r="252" ht="15" customHeight="1">
      <c r="A252" t="inlineStr">
        <is>
          <t>A 59666-2023</t>
        </is>
      </c>
      <c r="B252" s="1" t="n">
        <v>45254.96476851852</v>
      </c>
      <c r="C252" s="1" t="n">
        <v>46138</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12288-2023</t>
        </is>
      </c>
      <c r="B253" s="1" t="n">
        <v>44998.73143518518</v>
      </c>
      <c r="C253" s="1" t="n">
        <v>46138</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55056-2024</t>
        </is>
      </c>
      <c r="B254" s="1" t="n">
        <v>45621.40034722222</v>
      </c>
      <c r="C254" s="1" t="n">
        <v>46138</v>
      </c>
      <c r="D254" t="inlineStr">
        <is>
          <t>JÄMTLANDS LÄN</t>
        </is>
      </c>
      <c r="E254" t="inlineStr">
        <is>
          <t>ÅRE</t>
        </is>
      </c>
      <c r="G254" t="n">
        <v>0.8</v>
      </c>
      <c r="H254" t="n">
        <v>0</v>
      </c>
      <c r="I254" t="n">
        <v>0</v>
      </c>
      <c r="J254" t="n">
        <v>0</v>
      </c>
      <c r="K254" t="n">
        <v>0</v>
      </c>
      <c r="L254" t="n">
        <v>0</v>
      </c>
      <c r="M254" t="n">
        <v>0</v>
      </c>
      <c r="N254" t="n">
        <v>0</v>
      </c>
      <c r="O254" t="n">
        <v>0</v>
      </c>
      <c r="P254" t="n">
        <v>0</v>
      </c>
      <c r="Q254" t="n">
        <v>0</v>
      </c>
      <c r="R254" s="2" t="inlineStr"/>
    </row>
    <row r="255" ht="15" customHeight="1">
      <c r="A255" t="inlineStr">
        <is>
          <t>A 20999-2024</t>
        </is>
      </c>
      <c r="B255" s="1" t="n">
        <v>45439</v>
      </c>
      <c r="C255" s="1" t="n">
        <v>46138</v>
      </c>
      <c r="D255" t="inlineStr">
        <is>
          <t>JÄMTLANDS LÄN</t>
        </is>
      </c>
      <c r="E255" t="inlineStr">
        <is>
          <t>ÅRE</t>
        </is>
      </c>
      <c r="G255" t="n">
        <v>5.7</v>
      </c>
      <c r="H255" t="n">
        <v>0</v>
      </c>
      <c r="I255" t="n">
        <v>0</v>
      </c>
      <c r="J255" t="n">
        <v>0</v>
      </c>
      <c r="K255" t="n">
        <v>0</v>
      </c>
      <c r="L255" t="n">
        <v>0</v>
      </c>
      <c r="M255" t="n">
        <v>0</v>
      </c>
      <c r="N255" t="n">
        <v>0</v>
      </c>
      <c r="O255" t="n">
        <v>0</v>
      </c>
      <c r="P255" t="n">
        <v>0</v>
      </c>
      <c r="Q255" t="n">
        <v>0</v>
      </c>
      <c r="R255" s="2" t="inlineStr"/>
    </row>
    <row r="256" ht="15" customHeight="1">
      <c r="A256" t="inlineStr">
        <is>
          <t>A 65239-2021</t>
        </is>
      </c>
      <c r="B256" s="1" t="n">
        <v>44515</v>
      </c>
      <c r="C256" s="1" t="n">
        <v>46138</v>
      </c>
      <c r="D256" t="inlineStr">
        <is>
          <t>JÄMTLANDS LÄN</t>
        </is>
      </c>
      <c r="E256" t="inlineStr">
        <is>
          <t>ÅRE</t>
        </is>
      </c>
      <c r="G256" t="n">
        <v>0</v>
      </c>
      <c r="H256" t="n">
        <v>0</v>
      </c>
      <c r="I256" t="n">
        <v>0</v>
      </c>
      <c r="J256" t="n">
        <v>0</v>
      </c>
      <c r="K256" t="n">
        <v>0</v>
      </c>
      <c r="L256" t="n">
        <v>0</v>
      </c>
      <c r="M256" t="n">
        <v>0</v>
      </c>
      <c r="N256" t="n">
        <v>0</v>
      </c>
      <c r="O256" t="n">
        <v>0</v>
      </c>
      <c r="P256" t="n">
        <v>0</v>
      </c>
      <c r="Q256" t="n">
        <v>0</v>
      </c>
      <c r="R256" s="2" t="inlineStr"/>
    </row>
    <row r="257" ht="15" customHeight="1">
      <c r="A257" t="inlineStr">
        <is>
          <t>A 69170-2021</t>
        </is>
      </c>
      <c r="B257" s="1" t="n">
        <v>44529</v>
      </c>
      <c r="C257" s="1" t="n">
        <v>46138</v>
      </c>
      <c r="D257" t="inlineStr">
        <is>
          <t>JÄMTLANDS LÄN</t>
        </is>
      </c>
      <c r="E257" t="inlineStr">
        <is>
          <t>ÅRE</t>
        </is>
      </c>
      <c r="G257" t="n">
        <v>114.4</v>
      </c>
      <c r="H257" t="n">
        <v>0</v>
      </c>
      <c r="I257" t="n">
        <v>0</v>
      </c>
      <c r="J257" t="n">
        <v>0</v>
      </c>
      <c r="K257" t="n">
        <v>0</v>
      </c>
      <c r="L257" t="n">
        <v>0</v>
      </c>
      <c r="M257" t="n">
        <v>0</v>
      </c>
      <c r="N257" t="n">
        <v>0</v>
      </c>
      <c r="O257" t="n">
        <v>0</v>
      </c>
      <c r="P257" t="n">
        <v>0</v>
      </c>
      <c r="Q257" t="n">
        <v>0</v>
      </c>
      <c r="R257" s="2" t="inlineStr"/>
    </row>
    <row r="258" ht="15" customHeight="1">
      <c r="A258" t="inlineStr">
        <is>
          <t>A 41686-2024</t>
        </is>
      </c>
      <c r="B258" s="1" t="n">
        <v>45560.67016203704</v>
      </c>
      <c r="C258" s="1" t="n">
        <v>46138</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46138</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45453-2024</t>
        </is>
      </c>
      <c r="B260" s="1" t="n">
        <v>45576.66674768519</v>
      </c>
      <c r="C260" s="1" t="n">
        <v>46138</v>
      </c>
      <c r="D260" t="inlineStr">
        <is>
          <t>JÄMTLANDS LÄN</t>
        </is>
      </c>
      <c r="E260" t="inlineStr">
        <is>
          <t>ÅRE</t>
        </is>
      </c>
      <c r="G260" t="n">
        <v>0.6</v>
      </c>
      <c r="H260" t="n">
        <v>0</v>
      </c>
      <c r="I260" t="n">
        <v>0</v>
      </c>
      <c r="J260" t="n">
        <v>0</v>
      </c>
      <c r="K260" t="n">
        <v>0</v>
      </c>
      <c r="L260" t="n">
        <v>0</v>
      </c>
      <c r="M260" t="n">
        <v>0</v>
      </c>
      <c r="N260" t="n">
        <v>0</v>
      </c>
      <c r="O260" t="n">
        <v>0</v>
      </c>
      <c r="P260" t="n">
        <v>0</v>
      </c>
      <c r="Q260" t="n">
        <v>0</v>
      </c>
      <c r="R260" s="2" t="inlineStr"/>
    </row>
    <row r="261" ht="15" customHeight="1">
      <c r="A261" t="inlineStr">
        <is>
          <t>A 60935-2022</t>
        </is>
      </c>
      <c r="B261" s="1" t="n">
        <v>44908</v>
      </c>
      <c r="C261" s="1" t="n">
        <v>46138</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56842-2022</t>
        </is>
      </c>
      <c r="B262" s="1" t="n">
        <v>44894.47856481482</v>
      </c>
      <c r="C262" s="1" t="n">
        <v>46138</v>
      </c>
      <c r="D262" t="inlineStr">
        <is>
          <t>JÄMTLANDS LÄN</t>
        </is>
      </c>
      <c r="E262" t="inlineStr">
        <is>
          <t>ÅRE</t>
        </is>
      </c>
      <c r="F262" t="inlineStr">
        <is>
          <t>Övriga Aktiebolag</t>
        </is>
      </c>
      <c r="G262" t="n">
        <v>7.9</v>
      </c>
      <c r="H262" t="n">
        <v>0</v>
      </c>
      <c r="I262" t="n">
        <v>0</v>
      </c>
      <c r="J262" t="n">
        <v>0</v>
      </c>
      <c r="K262" t="n">
        <v>0</v>
      </c>
      <c r="L262" t="n">
        <v>0</v>
      </c>
      <c r="M262" t="n">
        <v>0</v>
      </c>
      <c r="N262" t="n">
        <v>0</v>
      </c>
      <c r="O262" t="n">
        <v>0</v>
      </c>
      <c r="P262" t="n">
        <v>0</v>
      </c>
      <c r="Q262" t="n">
        <v>0</v>
      </c>
      <c r="R262" s="2" t="inlineStr"/>
    </row>
    <row r="263" ht="15" customHeight="1">
      <c r="A263" t="inlineStr">
        <is>
          <t>A 44889-2023</t>
        </is>
      </c>
      <c r="B263" s="1" t="n">
        <v>45190</v>
      </c>
      <c r="C263" s="1" t="n">
        <v>46138</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56609-2023</t>
        </is>
      </c>
      <c r="B264" s="1" t="n">
        <v>45243.66828703704</v>
      </c>
      <c r="C264" s="1" t="n">
        <v>46138</v>
      </c>
      <c r="D264" t="inlineStr">
        <is>
          <t>JÄMTLANDS LÄN</t>
        </is>
      </c>
      <c r="E264" t="inlineStr">
        <is>
          <t>ÅRE</t>
        </is>
      </c>
      <c r="G264" t="n">
        <v>17.9</v>
      </c>
      <c r="H264" t="n">
        <v>0</v>
      </c>
      <c r="I264" t="n">
        <v>0</v>
      </c>
      <c r="J264" t="n">
        <v>0</v>
      </c>
      <c r="K264" t="n">
        <v>0</v>
      </c>
      <c r="L264" t="n">
        <v>0</v>
      </c>
      <c r="M264" t="n">
        <v>0</v>
      </c>
      <c r="N264" t="n">
        <v>0</v>
      </c>
      <c r="O264" t="n">
        <v>0</v>
      </c>
      <c r="P264" t="n">
        <v>0</v>
      </c>
      <c r="Q264" t="n">
        <v>0</v>
      </c>
      <c r="R264" s="2" t="inlineStr"/>
    </row>
    <row r="265" ht="15" customHeight="1">
      <c r="A265" t="inlineStr">
        <is>
          <t>A 58917-2022</t>
        </is>
      </c>
      <c r="B265" s="1" t="n">
        <v>44903</v>
      </c>
      <c r="C265" s="1" t="n">
        <v>46138</v>
      </c>
      <c r="D265" t="inlineStr">
        <is>
          <t>JÄMTLANDS LÄN</t>
        </is>
      </c>
      <c r="E265" t="inlineStr">
        <is>
          <t>ÅRE</t>
        </is>
      </c>
      <c r="F265" t="inlineStr">
        <is>
          <t>Övriga Aktiebolag</t>
        </is>
      </c>
      <c r="G265" t="n">
        <v>3.3</v>
      </c>
      <c r="H265" t="n">
        <v>0</v>
      </c>
      <c r="I265" t="n">
        <v>0</v>
      </c>
      <c r="J265" t="n">
        <v>0</v>
      </c>
      <c r="K265" t="n">
        <v>0</v>
      </c>
      <c r="L265" t="n">
        <v>0</v>
      </c>
      <c r="M265" t="n">
        <v>0</v>
      </c>
      <c r="N265" t="n">
        <v>0</v>
      </c>
      <c r="O265" t="n">
        <v>0</v>
      </c>
      <c r="P265" t="n">
        <v>0</v>
      </c>
      <c r="Q265" t="n">
        <v>0</v>
      </c>
      <c r="R265" s="2" t="inlineStr"/>
    </row>
    <row r="266" ht="15" customHeight="1">
      <c r="A266" t="inlineStr">
        <is>
          <t>A 12182-2023</t>
        </is>
      </c>
      <c r="B266" s="1" t="n">
        <v>44998</v>
      </c>
      <c r="C266" s="1" t="n">
        <v>46138</v>
      </c>
      <c r="D266" t="inlineStr">
        <is>
          <t>JÄMTLANDS LÄN</t>
        </is>
      </c>
      <c r="E266" t="inlineStr">
        <is>
          <t>ÅRE</t>
        </is>
      </c>
      <c r="G266" t="n">
        <v>11.7</v>
      </c>
      <c r="H266" t="n">
        <v>0</v>
      </c>
      <c r="I266" t="n">
        <v>0</v>
      </c>
      <c r="J266" t="n">
        <v>0</v>
      </c>
      <c r="K266" t="n">
        <v>0</v>
      </c>
      <c r="L266" t="n">
        <v>0</v>
      </c>
      <c r="M266" t="n">
        <v>0</v>
      </c>
      <c r="N266" t="n">
        <v>0</v>
      </c>
      <c r="O266" t="n">
        <v>0</v>
      </c>
      <c r="P266" t="n">
        <v>0</v>
      </c>
      <c r="Q266" t="n">
        <v>0</v>
      </c>
      <c r="R266" s="2" t="inlineStr"/>
    </row>
    <row r="267" ht="15" customHeight="1">
      <c r="A267" t="inlineStr">
        <is>
          <t>A 71968-2021</t>
        </is>
      </c>
      <c r="B267" s="1" t="n">
        <v>44540</v>
      </c>
      <c r="C267" s="1" t="n">
        <v>46138</v>
      </c>
      <c r="D267" t="inlineStr">
        <is>
          <t>JÄMTLANDS LÄN</t>
        </is>
      </c>
      <c r="E267" t="inlineStr">
        <is>
          <t>ÅRE</t>
        </is>
      </c>
      <c r="G267" t="n">
        <v>7</v>
      </c>
      <c r="H267" t="n">
        <v>0</v>
      </c>
      <c r="I267" t="n">
        <v>0</v>
      </c>
      <c r="J267" t="n">
        <v>0</v>
      </c>
      <c r="K267" t="n">
        <v>0</v>
      </c>
      <c r="L267" t="n">
        <v>0</v>
      </c>
      <c r="M267" t="n">
        <v>0</v>
      </c>
      <c r="N267" t="n">
        <v>0</v>
      </c>
      <c r="O267" t="n">
        <v>0</v>
      </c>
      <c r="P267" t="n">
        <v>0</v>
      </c>
      <c r="Q267" t="n">
        <v>0</v>
      </c>
      <c r="R267" s="2" t="inlineStr"/>
    </row>
    <row r="268" ht="15" customHeight="1">
      <c r="A268" t="inlineStr">
        <is>
          <t>A 54324-2023</t>
        </is>
      </c>
      <c r="B268" s="1" t="n">
        <v>45225</v>
      </c>
      <c r="C268" s="1" t="n">
        <v>46138</v>
      </c>
      <c r="D268" t="inlineStr">
        <is>
          <t>JÄMTLANDS LÄN</t>
        </is>
      </c>
      <c r="E268" t="inlineStr">
        <is>
          <t>ÅRE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54385-2023</t>
        </is>
      </c>
      <c r="B269" s="1" t="n">
        <v>45233.35863425926</v>
      </c>
      <c r="C269" s="1" t="n">
        <v>46138</v>
      </c>
      <c r="D269" t="inlineStr">
        <is>
          <t>JÄMTLANDS LÄN</t>
        </is>
      </c>
      <c r="E269" t="inlineStr">
        <is>
          <t>ÅRE</t>
        </is>
      </c>
      <c r="G269" t="n">
        <v>3.7</v>
      </c>
      <c r="H269" t="n">
        <v>0</v>
      </c>
      <c r="I269" t="n">
        <v>0</v>
      </c>
      <c r="J269" t="n">
        <v>0</v>
      </c>
      <c r="K269" t="n">
        <v>0</v>
      </c>
      <c r="L269" t="n">
        <v>0</v>
      </c>
      <c r="M269" t="n">
        <v>0</v>
      </c>
      <c r="N269" t="n">
        <v>0</v>
      </c>
      <c r="O269" t="n">
        <v>0</v>
      </c>
      <c r="P269" t="n">
        <v>0</v>
      </c>
      <c r="Q269" t="n">
        <v>0</v>
      </c>
      <c r="R269" s="2" t="inlineStr"/>
    </row>
    <row r="270" ht="15" customHeight="1">
      <c r="A270" t="inlineStr">
        <is>
          <t>A 48599-2023</t>
        </is>
      </c>
      <c r="B270" s="1" t="n">
        <v>45208</v>
      </c>
      <c r="C270" s="1" t="n">
        <v>46138</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3149-2023</t>
        </is>
      </c>
      <c r="B271" s="1" t="n">
        <v>44946.5500925926</v>
      </c>
      <c r="C271" s="1" t="n">
        <v>46138</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57710-2021</t>
        </is>
      </c>
      <c r="B272" s="1" t="n">
        <v>44484</v>
      </c>
      <c r="C272" s="1" t="n">
        <v>46138</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42244-2024</t>
        </is>
      </c>
      <c r="B273" s="1" t="n">
        <v>45562.56747685185</v>
      </c>
      <c r="C273" s="1" t="n">
        <v>46138</v>
      </c>
      <c r="D273" t="inlineStr">
        <is>
          <t>JÄMTLANDS LÄN</t>
        </is>
      </c>
      <c r="E273" t="inlineStr">
        <is>
          <t>ÅRE</t>
        </is>
      </c>
      <c r="F273" t="inlineStr">
        <is>
          <t>Övriga Aktiebolag</t>
        </is>
      </c>
      <c r="G273" t="n">
        <v>6</v>
      </c>
      <c r="H273" t="n">
        <v>0</v>
      </c>
      <c r="I273" t="n">
        <v>0</v>
      </c>
      <c r="J273" t="n">
        <v>0</v>
      </c>
      <c r="K273" t="n">
        <v>0</v>
      </c>
      <c r="L273" t="n">
        <v>0</v>
      </c>
      <c r="M273" t="n">
        <v>0</v>
      </c>
      <c r="N273" t="n">
        <v>0</v>
      </c>
      <c r="O273" t="n">
        <v>0</v>
      </c>
      <c r="P273" t="n">
        <v>0</v>
      </c>
      <c r="Q273" t="n">
        <v>0</v>
      </c>
      <c r="R273" s="2" t="inlineStr"/>
    </row>
    <row r="274" ht="15" customHeight="1">
      <c r="A274" t="inlineStr">
        <is>
          <t>A 34357-2021</t>
        </is>
      </c>
      <c r="B274" s="1" t="n">
        <v>44379</v>
      </c>
      <c r="C274" s="1" t="n">
        <v>46138</v>
      </c>
      <c r="D274" t="inlineStr">
        <is>
          <t>JÄMTLANDS LÄN</t>
        </is>
      </c>
      <c r="E274" t="inlineStr">
        <is>
          <t>ÅRE</t>
        </is>
      </c>
      <c r="G274" t="n">
        <v>7.1</v>
      </c>
      <c r="H274" t="n">
        <v>0</v>
      </c>
      <c r="I274" t="n">
        <v>0</v>
      </c>
      <c r="J274" t="n">
        <v>0</v>
      </c>
      <c r="K274" t="n">
        <v>0</v>
      </c>
      <c r="L274" t="n">
        <v>0</v>
      </c>
      <c r="M274" t="n">
        <v>0</v>
      </c>
      <c r="N274" t="n">
        <v>0</v>
      </c>
      <c r="O274" t="n">
        <v>0</v>
      </c>
      <c r="P274" t="n">
        <v>0</v>
      </c>
      <c r="Q274" t="n">
        <v>0</v>
      </c>
      <c r="R274" s="2" t="inlineStr"/>
    </row>
    <row r="275" ht="15" customHeight="1">
      <c r="A275" t="inlineStr">
        <is>
          <t>A 12193-2023</t>
        </is>
      </c>
      <c r="B275" s="1" t="n">
        <v>44998</v>
      </c>
      <c r="C275" s="1" t="n">
        <v>46138</v>
      </c>
      <c r="D275" t="inlineStr">
        <is>
          <t>JÄMTLANDS LÄN</t>
        </is>
      </c>
      <c r="E275" t="inlineStr">
        <is>
          <t>ÅRE</t>
        </is>
      </c>
      <c r="G275" t="n">
        <v>14.7</v>
      </c>
      <c r="H275" t="n">
        <v>0</v>
      </c>
      <c r="I275" t="n">
        <v>0</v>
      </c>
      <c r="J275" t="n">
        <v>0</v>
      </c>
      <c r="K275" t="n">
        <v>0</v>
      </c>
      <c r="L275" t="n">
        <v>0</v>
      </c>
      <c r="M275" t="n">
        <v>0</v>
      </c>
      <c r="N275" t="n">
        <v>0</v>
      </c>
      <c r="O275" t="n">
        <v>0</v>
      </c>
      <c r="P275" t="n">
        <v>0</v>
      </c>
      <c r="Q275" t="n">
        <v>0</v>
      </c>
      <c r="R275" s="2" t="inlineStr"/>
    </row>
    <row r="276" ht="15" customHeight="1">
      <c r="A276" t="inlineStr">
        <is>
          <t>A 57770-2023</t>
        </is>
      </c>
      <c r="B276" s="1" t="n">
        <v>45246.92542824074</v>
      </c>
      <c r="C276" s="1" t="n">
        <v>46138</v>
      </c>
      <c r="D276" t="inlineStr">
        <is>
          <t>JÄMTLANDS LÄN</t>
        </is>
      </c>
      <c r="E276" t="inlineStr">
        <is>
          <t>ÅRE</t>
        </is>
      </c>
      <c r="G276" t="n">
        <v>0.9</v>
      </c>
      <c r="H276" t="n">
        <v>0</v>
      </c>
      <c r="I276" t="n">
        <v>0</v>
      </c>
      <c r="J276" t="n">
        <v>0</v>
      </c>
      <c r="K276" t="n">
        <v>0</v>
      </c>
      <c r="L276" t="n">
        <v>0</v>
      </c>
      <c r="M276" t="n">
        <v>0</v>
      </c>
      <c r="N276" t="n">
        <v>0</v>
      </c>
      <c r="O276" t="n">
        <v>0</v>
      </c>
      <c r="P276" t="n">
        <v>0</v>
      </c>
      <c r="Q276" t="n">
        <v>0</v>
      </c>
      <c r="R276" s="2" t="inlineStr"/>
    </row>
    <row r="277" ht="15" customHeight="1">
      <c r="A277" t="inlineStr">
        <is>
          <t>A 61803-2021</t>
        </is>
      </c>
      <c r="B277" s="1" t="n">
        <v>44498</v>
      </c>
      <c r="C277" s="1" t="n">
        <v>46138</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9126-2025</t>
        </is>
      </c>
      <c r="B278" s="1" t="n">
        <v>45713</v>
      </c>
      <c r="C278" s="1" t="n">
        <v>46138</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17703-2023</t>
        </is>
      </c>
      <c r="B279" s="1" t="n">
        <v>45037.35443287037</v>
      </c>
      <c r="C279" s="1" t="n">
        <v>46138</v>
      </c>
      <c r="D279" t="inlineStr">
        <is>
          <t>JÄMTLANDS LÄN</t>
        </is>
      </c>
      <c r="E279" t="inlineStr">
        <is>
          <t>ÅRE</t>
        </is>
      </c>
      <c r="F279" t="inlineStr">
        <is>
          <t>Övriga Aktiebolag</t>
        </is>
      </c>
      <c r="G279" t="n">
        <v>4</v>
      </c>
      <c r="H279" t="n">
        <v>0</v>
      </c>
      <c r="I279" t="n">
        <v>0</v>
      </c>
      <c r="J279" t="n">
        <v>0</v>
      </c>
      <c r="K279" t="n">
        <v>0</v>
      </c>
      <c r="L279" t="n">
        <v>0</v>
      </c>
      <c r="M279" t="n">
        <v>0</v>
      </c>
      <c r="N279" t="n">
        <v>0</v>
      </c>
      <c r="O279" t="n">
        <v>0</v>
      </c>
      <c r="P279" t="n">
        <v>0</v>
      </c>
      <c r="Q279" t="n">
        <v>0</v>
      </c>
      <c r="R279" s="2" t="inlineStr"/>
    </row>
    <row r="280" ht="15" customHeight="1">
      <c r="A280" t="inlineStr">
        <is>
          <t>A 11914-2024</t>
        </is>
      </c>
      <c r="B280" s="1" t="n">
        <v>45376.58467592593</v>
      </c>
      <c r="C280" s="1" t="n">
        <v>46138</v>
      </c>
      <c r="D280" t="inlineStr">
        <is>
          <t>JÄMTLANDS LÄN</t>
        </is>
      </c>
      <c r="E280" t="inlineStr">
        <is>
          <t>ÅRE</t>
        </is>
      </c>
      <c r="G280" t="n">
        <v>2.5</v>
      </c>
      <c r="H280" t="n">
        <v>0</v>
      </c>
      <c r="I280" t="n">
        <v>0</v>
      </c>
      <c r="J280" t="n">
        <v>0</v>
      </c>
      <c r="K280" t="n">
        <v>0</v>
      </c>
      <c r="L280" t="n">
        <v>0</v>
      </c>
      <c r="M280" t="n">
        <v>0</v>
      </c>
      <c r="N280" t="n">
        <v>0</v>
      </c>
      <c r="O280" t="n">
        <v>0</v>
      </c>
      <c r="P280" t="n">
        <v>0</v>
      </c>
      <c r="Q280" t="n">
        <v>0</v>
      </c>
      <c r="R280" s="2" t="inlineStr"/>
    </row>
    <row r="281" ht="15" customHeight="1">
      <c r="A281" t="inlineStr">
        <is>
          <t>A 36048-2023</t>
        </is>
      </c>
      <c r="B281" s="1" t="n">
        <v>45149.42868055555</v>
      </c>
      <c r="C281" s="1" t="n">
        <v>46138</v>
      </c>
      <c r="D281" t="inlineStr">
        <is>
          <t>JÄMTLANDS LÄN</t>
        </is>
      </c>
      <c r="E281" t="inlineStr">
        <is>
          <t>ÅRE</t>
        </is>
      </c>
      <c r="G281" t="n">
        <v>11.4</v>
      </c>
      <c r="H281" t="n">
        <v>0</v>
      </c>
      <c r="I281" t="n">
        <v>0</v>
      </c>
      <c r="J281" t="n">
        <v>0</v>
      </c>
      <c r="K281" t="n">
        <v>0</v>
      </c>
      <c r="L281" t="n">
        <v>0</v>
      </c>
      <c r="M281" t="n">
        <v>0</v>
      </c>
      <c r="N281" t="n">
        <v>0</v>
      </c>
      <c r="O281" t="n">
        <v>0</v>
      </c>
      <c r="P281" t="n">
        <v>0</v>
      </c>
      <c r="Q281" t="n">
        <v>0</v>
      </c>
      <c r="R281" s="2" t="inlineStr"/>
    </row>
    <row r="282" ht="15" customHeight="1">
      <c r="A282" t="inlineStr">
        <is>
          <t>A 61622-2023</t>
        </is>
      </c>
      <c r="B282" s="1" t="n">
        <v>45261</v>
      </c>
      <c r="C282" s="1" t="n">
        <v>46138</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69592-2021</t>
        </is>
      </c>
      <c r="B283" s="1" t="n">
        <v>44531</v>
      </c>
      <c r="C283" s="1" t="n">
        <v>46138</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59784-2024</t>
        </is>
      </c>
      <c r="B284" s="1" t="n">
        <v>45639.57988425926</v>
      </c>
      <c r="C284" s="1" t="n">
        <v>46138</v>
      </c>
      <c r="D284" t="inlineStr">
        <is>
          <t>JÄMTLANDS LÄN</t>
        </is>
      </c>
      <c r="E284" t="inlineStr">
        <is>
          <t>ÅRE</t>
        </is>
      </c>
      <c r="F284" t="inlineStr">
        <is>
          <t>Övriga Aktiebolag</t>
        </is>
      </c>
      <c r="G284" t="n">
        <v>1.3</v>
      </c>
      <c r="H284" t="n">
        <v>0</v>
      </c>
      <c r="I284" t="n">
        <v>0</v>
      </c>
      <c r="J284" t="n">
        <v>0</v>
      </c>
      <c r="K284" t="n">
        <v>0</v>
      </c>
      <c r="L284" t="n">
        <v>0</v>
      </c>
      <c r="M284" t="n">
        <v>0</v>
      </c>
      <c r="N284" t="n">
        <v>0</v>
      </c>
      <c r="O284" t="n">
        <v>0</v>
      </c>
      <c r="P284" t="n">
        <v>0</v>
      </c>
      <c r="Q284" t="n">
        <v>0</v>
      </c>
      <c r="R284" s="2" t="inlineStr"/>
    </row>
    <row r="285" ht="15" customHeight="1">
      <c r="A285" t="inlineStr">
        <is>
          <t>A 60426-2022</t>
        </is>
      </c>
      <c r="B285" s="1" t="n">
        <v>44911.32092592592</v>
      </c>
      <c r="C285" s="1" t="n">
        <v>46138</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54175-2023</t>
        </is>
      </c>
      <c r="B286" s="1" t="n">
        <v>45232</v>
      </c>
      <c r="C286" s="1" t="n">
        <v>46138</v>
      </c>
      <c r="D286" t="inlineStr">
        <is>
          <t>JÄMTLANDS LÄN</t>
        </is>
      </c>
      <c r="E286" t="inlineStr">
        <is>
          <t>ÅRE</t>
        </is>
      </c>
      <c r="G286" t="n">
        <v>0.1</v>
      </c>
      <c r="H286" t="n">
        <v>0</v>
      </c>
      <c r="I286" t="n">
        <v>0</v>
      </c>
      <c r="J286" t="n">
        <v>0</v>
      </c>
      <c r="K286" t="n">
        <v>0</v>
      </c>
      <c r="L286" t="n">
        <v>0</v>
      </c>
      <c r="M286" t="n">
        <v>0</v>
      </c>
      <c r="N286" t="n">
        <v>0</v>
      </c>
      <c r="O286" t="n">
        <v>0</v>
      </c>
      <c r="P286" t="n">
        <v>0</v>
      </c>
      <c r="Q286" t="n">
        <v>0</v>
      </c>
      <c r="R286" s="2" t="inlineStr"/>
    </row>
    <row r="287" ht="15" customHeight="1">
      <c r="A287" t="inlineStr">
        <is>
          <t>A 57102-2024</t>
        </is>
      </c>
      <c r="B287" s="1" t="n">
        <v>45629.35856481481</v>
      </c>
      <c r="C287" s="1" t="n">
        <v>46138</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46789-2024</t>
        </is>
      </c>
      <c r="B288" s="1" t="n">
        <v>45583.53219907408</v>
      </c>
      <c r="C288" s="1" t="n">
        <v>46138</v>
      </c>
      <c r="D288" t="inlineStr">
        <is>
          <t>JÄMTLANDS LÄN</t>
        </is>
      </c>
      <c r="E288" t="inlineStr">
        <is>
          <t>ÅRE</t>
        </is>
      </c>
      <c r="F288" t="inlineStr">
        <is>
          <t>Övriga Aktiebolag</t>
        </is>
      </c>
      <c r="G288" t="n">
        <v>2.7</v>
      </c>
      <c r="H288" t="n">
        <v>0</v>
      </c>
      <c r="I288" t="n">
        <v>0</v>
      </c>
      <c r="J288" t="n">
        <v>0</v>
      </c>
      <c r="K288" t="n">
        <v>0</v>
      </c>
      <c r="L288" t="n">
        <v>0</v>
      </c>
      <c r="M288" t="n">
        <v>0</v>
      </c>
      <c r="N288" t="n">
        <v>0</v>
      </c>
      <c r="O288" t="n">
        <v>0</v>
      </c>
      <c r="P288" t="n">
        <v>0</v>
      </c>
      <c r="Q288" t="n">
        <v>0</v>
      </c>
      <c r="R288" s="2" t="inlineStr"/>
    </row>
    <row r="289" ht="15" customHeight="1">
      <c r="A289" t="inlineStr">
        <is>
          <t>A 393-2024</t>
        </is>
      </c>
      <c r="B289" s="1" t="n">
        <v>45296.43614583334</v>
      </c>
      <c r="C289" s="1" t="n">
        <v>46138</v>
      </c>
      <c r="D289" t="inlineStr">
        <is>
          <t>JÄMTLANDS LÄN</t>
        </is>
      </c>
      <c r="E289" t="inlineStr">
        <is>
          <t>ÅRE</t>
        </is>
      </c>
      <c r="G289" t="n">
        <v>6.5</v>
      </c>
      <c r="H289" t="n">
        <v>0</v>
      </c>
      <c r="I289" t="n">
        <v>0</v>
      </c>
      <c r="J289" t="n">
        <v>0</v>
      </c>
      <c r="K289" t="n">
        <v>0</v>
      </c>
      <c r="L289" t="n">
        <v>0</v>
      </c>
      <c r="M289" t="n">
        <v>0</v>
      </c>
      <c r="N289" t="n">
        <v>0</v>
      </c>
      <c r="O289" t="n">
        <v>0</v>
      </c>
      <c r="P289" t="n">
        <v>0</v>
      </c>
      <c r="Q289" t="n">
        <v>0</v>
      </c>
      <c r="R289" s="2" t="inlineStr"/>
    </row>
    <row r="290" ht="15" customHeight="1">
      <c r="A290" t="inlineStr">
        <is>
          <t>A 12286-2023</t>
        </is>
      </c>
      <c r="B290" s="1" t="n">
        <v>44998.72263888889</v>
      </c>
      <c r="C290" s="1" t="n">
        <v>46138</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15889-2025</t>
        </is>
      </c>
      <c r="B291" s="1" t="n">
        <v>45749.4075</v>
      </c>
      <c r="C291" s="1" t="n">
        <v>46138</v>
      </c>
      <c r="D291" t="inlineStr">
        <is>
          <t>JÄMTLANDS LÄN</t>
        </is>
      </c>
      <c r="E291" t="inlineStr">
        <is>
          <t>ÅRE</t>
        </is>
      </c>
      <c r="G291" t="n">
        <v>1.4</v>
      </c>
      <c r="H291" t="n">
        <v>0</v>
      </c>
      <c r="I291" t="n">
        <v>0</v>
      </c>
      <c r="J291" t="n">
        <v>0</v>
      </c>
      <c r="K291" t="n">
        <v>0</v>
      </c>
      <c r="L291" t="n">
        <v>0</v>
      </c>
      <c r="M291" t="n">
        <v>0</v>
      </c>
      <c r="N291" t="n">
        <v>0</v>
      </c>
      <c r="O291" t="n">
        <v>0</v>
      </c>
      <c r="P291" t="n">
        <v>0</v>
      </c>
      <c r="Q291" t="n">
        <v>0</v>
      </c>
      <c r="R291" s="2" t="inlineStr"/>
    </row>
    <row r="292" ht="15" customHeight="1">
      <c r="A292" t="inlineStr">
        <is>
          <t>A 59753-2023</t>
        </is>
      </c>
      <c r="B292" s="1" t="n">
        <v>45254</v>
      </c>
      <c r="C292" s="1" t="n">
        <v>46138</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33625-2022</t>
        </is>
      </c>
      <c r="B293" s="1" t="n">
        <v>44789</v>
      </c>
      <c r="C293" s="1" t="n">
        <v>46138</v>
      </c>
      <c r="D293" t="inlineStr">
        <is>
          <t>JÄMTLANDS LÄN</t>
        </is>
      </c>
      <c r="E293" t="inlineStr">
        <is>
          <t>ÅRE</t>
        </is>
      </c>
      <c r="G293" t="n">
        <v>20.7</v>
      </c>
      <c r="H293" t="n">
        <v>0</v>
      </c>
      <c r="I293" t="n">
        <v>0</v>
      </c>
      <c r="J293" t="n">
        <v>0</v>
      </c>
      <c r="K293" t="n">
        <v>0</v>
      </c>
      <c r="L293" t="n">
        <v>0</v>
      </c>
      <c r="M293" t="n">
        <v>0</v>
      </c>
      <c r="N293" t="n">
        <v>0</v>
      </c>
      <c r="O293" t="n">
        <v>0</v>
      </c>
      <c r="P293" t="n">
        <v>0</v>
      </c>
      <c r="Q293" t="n">
        <v>0</v>
      </c>
      <c r="R293" s="2" t="inlineStr"/>
    </row>
    <row r="294" ht="15" customHeight="1">
      <c r="A294" t="inlineStr">
        <is>
          <t>A 15884-2023</t>
        </is>
      </c>
      <c r="B294" s="1" t="n">
        <v>45022</v>
      </c>
      <c r="C294" s="1" t="n">
        <v>46138</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21167-2025</t>
        </is>
      </c>
      <c r="B295" s="1" t="n">
        <v>45779.41253472222</v>
      </c>
      <c r="C295" s="1" t="n">
        <v>46138</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21181-2025</t>
        </is>
      </c>
      <c r="B296" s="1" t="n">
        <v>45779.43696759259</v>
      </c>
      <c r="C296" s="1" t="n">
        <v>46138</v>
      </c>
      <c r="D296" t="inlineStr">
        <is>
          <t>JÄMTLANDS LÄN</t>
        </is>
      </c>
      <c r="E296" t="inlineStr">
        <is>
          <t>ÅRE</t>
        </is>
      </c>
      <c r="G296" t="n">
        <v>2.9</v>
      </c>
      <c r="H296" t="n">
        <v>0</v>
      </c>
      <c r="I296" t="n">
        <v>0</v>
      </c>
      <c r="J296" t="n">
        <v>0</v>
      </c>
      <c r="K296" t="n">
        <v>0</v>
      </c>
      <c r="L296" t="n">
        <v>0</v>
      </c>
      <c r="M296" t="n">
        <v>0</v>
      </c>
      <c r="N296" t="n">
        <v>0</v>
      </c>
      <c r="O296" t="n">
        <v>0</v>
      </c>
      <c r="P296" t="n">
        <v>0</v>
      </c>
      <c r="Q296" t="n">
        <v>0</v>
      </c>
      <c r="R296" s="2" t="inlineStr"/>
    </row>
    <row r="297" ht="15" customHeight="1">
      <c r="A297" t="inlineStr">
        <is>
          <t>A 34538-2023</t>
        </is>
      </c>
      <c r="B297" s="1" t="n">
        <v>45134</v>
      </c>
      <c r="C297" s="1" t="n">
        <v>46138</v>
      </c>
      <c r="D297" t="inlineStr">
        <is>
          <t>JÄMTLANDS LÄN</t>
        </is>
      </c>
      <c r="E297" t="inlineStr">
        <is>
          <t>ÅRE</t>
        </is>
      </c>
      <c r="G297" t="n">
        <v>1.3</v>
      </c>
      <c r="H297" t="n">
        <v>0</v>
      </c>
      <c r="I297" t="n">
        <v>0</v>
      </c>
      <c r="J297" t="n">
        <v>0</v>
      </c>
      <c r="K297" t="n">
        <v>0</v>
      </c>
      <c r="L297" t="n">
        <v>0</v>
      </c>
      <c r="M297" t="n">
        <v>0</v>
      </c>
      <c r="N297" t="n">
        <v>0</v>
      </c>
      <c r="O297" t="n">
        <v>0</v>
      </c>
      <c r="P297" t="n">
        <v>0</v>
      </c>
      <c r="Q297" t="n">
        <v>0</v>
      </c>
      <c r="R297" s="2" t="inlineStr"/>
    </row>
    <row r="298" ht="15" customHeight="1">
      <c r="A298" t="inlineStr">
        <is>
          <t>A 51452-2024</t>
        </is>
      </c>
      <c r="B298" s="1" t="n">
        <v>45604.49045138889</v>
      </c>
      <c r="C298" s="1" t="n">
        <v>46138</v>
      </c>
      <c r="D298" t="inlineStr">
        <is>
          <t>JÄMTLANDS LÄN</t>
        </is>
      </c>
      <c r="E298" t="inlineStr">
        <is>
          <t>ÅRE</t>
        </is>
      </c>
      <c r="G298" t="n">
        <v>8</v>
      </c>
      <c r="H298" t="n">
        <v>0</v>
      </c>
      <c r="I298" t="n">
        <v>0</v>
      </c>
      <c r="J298" t="n">
        <v>0</v>
      </c>
      <c r="K298" t="n">
        <v>0</v>
      </c>
      <c r="L298" t="n">
        <v>0</v>
      </c>
      <c r="M298" t="n">
        <v>0</v>
      </c>
      <c r="N298" t="n">
        <v>0</v>
      </c>
      <c r="O298" t="n">
        <v>0</v>
      </c>
      <c r="P298" t="n">
        <v>0</v>
      </c>
      <c r="Q298" t="n">
        <v>0</v>
      </c>
      <c r="R298" s="2" t="inlineStr"/>
    </row>
    <row r="299" ht="15" customHeight="1">
      <c r="A299" t="inlineStr">
        <is>
          <t>A 58232-2021</t>
        </is>
      </c>
      <c r="B299" s="1" t="n">
        <v>44487</v>
      </c>
      <c r="C299" s="1" t="n">
        <v>46138</v>
      </c>
      <c r="D299" t="inlineStr">
        <is>
          <t>JÄMTLANDS LÄN</t>
        </is>
      </c>
      <c r="E299" t="inlineStr">
        <is>
          <t>ÅRE</t>
        </is>
      </c>
      <c r="G299" t="n">
        <v>43.7</v>
      </c>
      <c r="H299" t="n">
        <v>0</v>
      </c>
      <c r="I299" t="n">
        <v>0</v>
      </c>
      <c r="J299" t="n">
        <v>0</v>
      </c>
      <c r="K299" t="n">
        <v>0</v>
      </c>
      <c r="L299" t="n">
        <v>0</v>
      </c>
      <c r="M299" t="n">
        <v>0</v>
      </c>
      <c r="N299" t="n">
        <v>0</v>
      </c>
      <c r="O299" t="n">
        <v>0</v>
      </c>
      <c r="P299" t="n">
        <v>0</v>
      </c>
      <c r="Q299" t="n">
        <v>0</v>
      </c>
      <c r="R299" s="2" t="inlineStr"/>
    </row>
    <row r="300" ht="15" customHeight="1">
      <c r="A300" t="inlineStr">
        <is>
          <t>A 58758-2022</t>
        </is>
      </c>
      <c r="B300" s="1" t="n">
        <v>44903</v>
      </c>
      <c r="C300" s="1" t="n">
        <v>46138</v>
      </c>
      <c r="D300" t="inlineStr">
        <is>
          <t>JÄMTLANDS LÄN</t>
        </is>
      </c>
      <c r="E300" t="inlineStr">
        <is>
          <t>ÅRE</t>
        </is>
      </c>
      <c r="F300" t="inlineStr">
        <is>
          <t>Övriga Aktiebolag</t>
        </is>
      </c>
      <c r="G300" t="n">
        <v>42.9</v>
      </c>
      <c r="H300" t="n">
        <v>0</v>
      </c>
      <c r="I300" t="n">
        <v>0</v>
      </c>
      <c r="J300" t="n">
        <v>0</v>
      </c>
      <c r="K300" t="n">
        <v>0</v>
      </c>
      <c r="L300" t="n">
        <v>0</v>
      </c>
      <c r="M300" t="n">
        <v>0</v>
      </c>
      <c r="N300" t="n">
        <v>0</v>
      </c>
      <c r="O300" t="n">
        <v>0</v>
      </c>
      <c r="P300" t="n">
        <v>0</v>
      </c>
      <c r="Q300" t="n">
        <v>0</v>
      </c>
      <c r="R300" s="2" t="inlineStr"/>
    </row>
    <row r="301" ht="15" customHeight="1">
      <c r="A301" t="inlineStr">
        <is>
          <t>A 20485-2024</t>
        </is>
      </c>
      <c r="B301" s="1" t="n">
        <v>45435.7403125</v>
      </c>
      <c r="C301" s="1" t="n">
        <v>46138</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54904-2022</t>
        </is>
      </c>
      <c r="B302" s="1" t="n">
        <v>44886</v>
      </c>
      <c r="C302" s="1" t="n">
        <v>46138</v>
      </c>
      <c r="D302" t="inlineStr">
        <is>
          <t>JÄMTLANDS LÄN</t>
        </is>
      </c>
      <c r="E302" t="inlineStr">
        <is>
          <t>ÅRE</t>
        </is>
      </c>
      <c r="F302" t="inlineStr">
        <is>
          <t>Övriga Aktiebolag</t>
        </is>
      </c>
      <c r="G302" t="n">
        <v>12.2</v>
      </c>
      <c r="H302" t="n">
        <v>0</v>
      </c>
      <c r="I302" t="n">
        <v>0</v>
      </c>
      <c r="J302" t="n">
        <v>0</v>
      </c>
      <c r="K302" t="n">
        <v>0</v>
      </c>
      <c r="L302" t="n">
        <v>0</v>
      </c>
      <c r="M302" t="n">
        <v>0</v>
      </c>
      <c r="N302" t="n">
        <v>0</v>
      </c>
      <c r="O302" t="n">
        <v>0</v>
      </c>
      <c r="P302" t="n">
        <v>0</v>
      </c>
      <c r="Q302" t="n">
        <v>0</v>
      </c>
      <c r="R302" s="2" t="inlineStr"/>
    </row>
    <row r="303" ht="15" customHeight="1">
      <c r="A303" t="inlineStr">
        <is>
          <t>A 47075-2024</t>
        </is>
      </c>
      <c r="B303" s="1" t="n">
        <v>45586.5008912037</v>
      </c>
      <c r="C303" s="1" t="n">
        <v>46138</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44251-2025</t>
        </is>
      </c>
      <c r="B304" s="1" t="n">
        <v>45915.69837962963</v>
      </c>
      <c r="C304" s="1" t="n">
        <v>46138</v>
      </c>
      <c r="D304" t="inlineStr">
        <is>
          <t>JÄMTLANDS LÄN</t>
        </is>
      </c>
      <c r="E304" t="inlineStr">
        <is>
          <t>ÅRE</t>
        </is>
      </c>
      <c r="G304" t="n">
        <v>0.2</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46138</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46138</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43769-2025</t>
        </is>
      </c>
      <c r="B307" s="1" t="n">
        <v>45912.49420138889</v>
      </c>
      <c r="C307" s="1" t="n">
        <v>46138</v>
      </c>
      <c r="D307" t="inlineStr">
        <is>
          <t>JÄMTLANDS LÄN</t>
        </is>
      </c>
      <c r="E307" t="inlineStr">
        <is>
          <t>ÅRE</t>
        </is>
      </c>
      <c r="G307" t="n">
        <v>6.1</v>
      </c>
      <c r="H307" t="n">
        <v>0</v>
      </c>
      <c r="I307" t="n">
        <v>0</v>
      </c>
      <c r="J307" t="n">
        <v>0</v>
      </c>
      <c r="K307" t="n">
        <v>0</v>
      </c>
      <c r="L307" t="n">
        <v>0</v>
      </c>
      <c r="M307" t="n">
        <v>0</v>
      </c>
      <c r="N307" t="n">
        <v>0</v>
      </c>
      <c r="O307" t="n">
        <v>0</v>
      </c>
      <c r="P307" t="n">
        <v>0</v>
      </c>
      <c r="Q307" t="n">
        <v>0</v>
      </c>
      <c r="R307" s="2" t="inlineStr"/>
    </row>
    <row r="308" ht="15" customHeight="1">
      <c r="A308" t="inlineStr">
        <is>
          <t>A 40653-2022</t>
        </is>
      </c>
      <c r="B308" s="1" t="n">
        <v>44818</v>
      </c>
      <c r="C308" s="1" t="n">
        <v>46138</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1112-2025</t>
        </is>
      </c>
      <c r="B309" s="1" t="n">
        <v>45666</v>
      </c>
      <c r="C309" s="1" t="n">
        <v>46138</v>
      </c>
      <c r="D309" t="inlineStr">
        <is>
          <t>JÄMTLANDS LÄN</t>
        </is>
      </c>
      <c r="E309" t="inlineStr">
        <is>
          <t>ÅRE</t>
        </is>
      </c>
      <c r="F309" t="inlineStr">
        <is>
          <t>Övriga Aktiebolag</t>
        </is>
      </c>
      <c r="G309" t="n">
        <v>17.7</v>
      </c>
      <c r="H309" t="n">
        <v>0</v>
      </c>
      <c r="I309" t="n">
        <v>0</v>
      </c>
      <c r="J309" t="n">
        <v>0</v>
      </c>
      <c r="K309" t="n">
        <v>0</v>
      </c>
      <c r="L309" t="n">
        <v>0</v>
      </c>
      <c r="M309" t="n">
        <v>0</v>
      </c>
      <c r="N309" t="n">
        <v>0</v>
      </c>
      <c r="O309" t="n">
        <v>0</v>
      </c>
      <c r="P309" t="n">
        <v>0</v>
      </c>
      <c r="Q309" t="n">
        <v>0</v>
      </c>
      <c r="R309" s="2" t="inlineStr"/>
    </row>
    <row r="310" ht="15" customHeight="1">
      <c r="A310" t="inlineStr">
        <is>
          <t>A 4777-2025</t>
        </is>
      </c>
      <c r="B310" s="1" t="n">
        <v>45688</v>
      </c>
      <c r="C310" s="1" t="n">
        <v>46138</v>
      </c>
      <c r="D310" t="inlineStr">
        <is>
          <t>JÄMTLANDS LÄN</t>
        </is>
      </c>
      <c r="E310" t="inlineStr">
        <is>
          <t>ÅRE</t>
        </is>
      </c>
      <c r="G310" t="n">
        <v>0.7</v>
      </c>
      <c r="H310" t="n">
        <v>0</v>
      </c>
      <c r="I310" t="n">
        <v>0</v>
      </c>
      <c r="J310" t="n">
        <v>0</v>
      </c>
      <c r="K310" t="n">
        <v>0</v>
      </c>
      <c r="L310" t="n">
        <v>0</v>
      </c>
      <c r="M310" t="n">
        <v>0</v>
      </c>
      <c r="N310" t="n">
        <v>0</v>
      </c>
      <c r="O310" t="n">
        <v>0</v>
      </c>
      <c r="P310" t="n">
        <v>0</v>
      </c>
      <c r="Q310" t="n">
        <v>0</v>
      </c>
      <c r="R310" s="2" t="inlineStr"/>
    </row>
    <row r="311" ht="15" customHeight="1">
      <c r="A311" t="inlineStr">
        <is>
          <t>A 44418-2025</t>
        </is>
      </c>
      <c r="B311" s="1" t="n">
        <v>45916.54578703704</v>
      </c>
      <c r="C311" s="1" t="n">
        <v>46138</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44644-2025</t>
        </is>
      </c>
      <c r="B312" s="1" t="n">
        <v>45917.53284722222</v>
      </c>
      <c r="C312" s="1" t="n">
        <v>46138</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44668-2025</t>
        </is>
      </c>
      <c r="B313" s="1" t="n">
        <v>45917.56306712963</v>
      </c>
      <c r="C313" s="1" t="n">
        <v>46138</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46559-2024</t>
        </is>
      </c>
      <c r="B314" s="1" t="n">
        <v>45582</v>
      </c>
      <c r="C314" s="1" t="n">
        <v>46138</v>
      </c>
      <c r="D314" t="inlineStr">
        <is>
          <t>JÄMTLANDS LÄN</t>
        </is>
      </c>
      <c r="E314" t="inlineStr">
        <is>
          <t>ÅRE</t>
        </is>
      </c>
      <c r="G314" t="n">
        <v>6.2</v>
      </c>
      <c r="H314" t="n">
        <v>0</v>
      </c>
      <c r="I314" t="n">
        <v>0</v>
      </c>
      <c r="J314" t="n">
        <v>0</v>
      </c>
      <c r="K314" t="n">
        <v>0</v>
      </c>
      <c r="L314" t="n">
        <v>0</v>
      </c>
      <c r="M314" t="n">
        <v>0</v>
      </c>
      <c r="N314" t="n">
        <v>0</v>
      </c>
      <c r="O314" t="n">
        <v>0</v>
      </c>
      <c r="P314" t="n">
        <v>0</v>
      </c>
      <c r="Q314" t="n">
        <v>0</v>
      </c>
      <c r="R314" s="2" t="inlineStr"/>
    </row>
    <row r="315" ht="15" customHeight="1">
      <c r="A315" t="inlineStr">
        <is>
          <t>A 44685-2025</t>
        </is>
      </c>
      <c r="B315" s="1" t="n">
        <v>45917.58569444445</v>
      </c>
      <c r="C315" s="1" t="n">
        <v>46138</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37758-2023</t>
        </is>
      </c>
      <c r="B316" s="1" t="n">
        <v>45159</v>
      </c>
      <c r="C316" s="1" t="n">
        <v>46138</v>
      </c>
      <c r="D316" t="inlineStr">
        <is>
          <t>JÄMTLANDS LÄN</t>
        </is>
      </c>
      <c r="E316" t="inlineStr">
        <is>
          <t>ÅRE</t>
        </is>
      </c>
      <c r="G316" t="n">
        <v>20.1</v>
      </c>
      <c r="H316" t="n">
        <v>0</v>
      </c>
      <c r="I316" t="n">
        <v>0</v>
      </c>
      <c r="J316" t="n">
        <v>0</v>
      </c>
      <c r="K316" t="n">
        <v>0</v>
      </c>
      <c r="L316" t="n">
        <v>0</v>
      </c>
      <c r="M316" t="n">
        <v>0</v>
      </c>
      <c r="N316" t="n">
        <v>0</v>
      </c>
      <c r="O316" t="n">
        <v>0</v>
      </c>
      <c r="P316" t="n">
        <v>0</v>
      </c>
      <c r="Q316" t="n">
        <v>0</v>
      </c>
      <c r="R316" s="2" t="inlineStr"/>
    </row>
    <row r="317" ht="15" customHeight="1">
      <c r="A317" t="inlineStr">
        <is>
          <t>A 24655-2023</t>
        </is>
      </c>
      <c r="B317" s="1" t="n">
        <v>45084.47790509259</v>
      </c>
      <c r="C317" s="1" t="n">
        <v>46138</v>
      </c>
      <c r="D317" t="inlineStr">
        <is>
          <t>JÄMTLANDS LÄN</t>
        </is>
      </c>
      <c r="E317" t="inlineStr">
        <is>
          <t>ÅRE</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5460-2023</t>
        </is>
      </c>
      <c r="B318" s="1" t="n">
        <v>44960</v>
      </c>
      <c r="C318" s="1" t="n">
        <v>46138</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56910-2022</t>
        </is>
      </c>
      <c r="B319" s="1" t="n">
        <v>44894.59936342593</v>
      </c>
      <c r="C319" s="1" t="n">
        <v>46138</v>
      </c>
      <c r="D319" t="inlineStr">
        <is>
          <t>JÄMTLANDS LÄN</t>
        </is>
      </c>
      <c r="E319" t="inlineStr">
        <is>
          <t>ÅRE</t>
        </is>
      </c>
      <c r="F319" t="inlineStr">
        <is>
          <t>Övriga Aktiebolag</t>
        </is>
      </c>
      <c r="G319" t="n">
        <v>4.9</v>
      </c>
      <c r="H319" t="n">
        <v>0</v>
      </c>
      <c r="I319" t="n">
        <v>0</v>
      </c>
      <c r="J319" t="n">
        <v>0</v>
      </c>
      <c r="K319" t="n">
        <v>0</v>
      </c>
      <c r="L319" t="n">
        <v>0</v>
      </c>
      <c r="M319" t="n">
        <v>0</v>
      </c>
      <c r="N319" t="n">
        <v>0</v>
      </c>
      <c r="O319" t="n">
        <v>0</v>
      </c>
      <c r="P319" t="n">
        <v>0</v>
      </c>
      <c r="Q319" t="n">
        <v>0</v>
      </c>
      <c r="R319" s="2" t="inlineStr"/>
    </row>
    <row r="320" ht="15" customHeight="1">
      <c r="A320" t="inlineStr">
        <is>
          <t>A 3263-2023</t>
        </is>
      </c>
      <c r="B320" s="1" t="n">
        <v>44948.98751157407</v>
      </c>
      <c r="C320" s="1" t="n">
        <v>46138</v>
      </c>
      <c r="D320" t="inlineStr">
        <is>
          <t>JÄMTLANDS LÄN</t>
        </is>
      </c>
      <c r="E320" t="inlineStr">
        <is>
          <t>ÅRE</t>
        </is>
      </c>
      <c r="G320" t="n">
        <v>1.7</v>
      </c>
      <c r="H320" t="n">
        <v>0</v>
      </c>
      <c r="I320" t="n">
        <v>0</v>
      </c>
      <c r="J320" t="n">
        <v>0</v>
      </c>
      <c r="K320" t="n">
        <v>0</v>
      </c>
      <c r="L320" t="n">
        <v>0</v>
      </c>
      <c r="M320" t="n">
        <v>0</v>
      </c>
      <c r="N320" t="n">
        <v>0</v>
      </c>
      <c r="O320" t="n">
        <v>0</v>
      </c>
      <c r="P320" t="n">
        <v>0</v>
      </c>
      <c r="Q320" t="n">
        <v>0</v>
      </c>
      <c r="R320" s="2" t="inlineStr"/>
    </row>
    <row r="321" ht="15" customHeight="1">
      <c r="A321" t="inlineStr">
        <is>
          <t>A 43446-2023</t>
        </is>
      </c>
      <c r="B321" s="1" t="n">
        <v>45184.35760416667</v>
      </c>
      <c r="C321" s="1" t="n">
        <v>46138</v>
      </c>
      <c r="D321" t="inlineStr">
        <is>
          <t>JÄMTLANDS LÄN</t>
        </is>
      </c>
      <c r="E321" t="inlineStr">
        <is>
          <t>ÅRE</t>
        </is>
      </c>
      <c r="F321" t="inlineStr">
        <is>
          <t>Övriga Aktiebolag</t>
        </is>
      </c>
      <c r="G321" t="n">
        <v>6.4</v>
      </c>
      <c r="H321" t="n">
        <v>0</v>
      </c>
      <c r="I321" t="n">
        <v>0</v>
      </c>
      <c r="J321" t="n">
        <v>0</v>
      </c>
      <c r="K321" t="n">
        <v>0</v>
      </c>
      <c r="L321" t="n">
        <v>0</v>
      </c>
      <c r="M321" t="n">
        <v>0</v>
      </c>
      <c r="N321" t="n">
        <v>0</v>
      </c>
      <c r="O321" t="n">
        <v>0</v>
      </c>
      <c r="P321" t="n">
        <v>0</v>
      </c>
      <c r="Q321" t="n">
        <v>0</v>
      </c>
      <c r="R321" s="2" t="inlineStr"/>
    </row>
    <row r="322" ht="15" customHeight="1">
      <c r="A322" t="inlineStr">
        <is>
          <t>A 26722-2021</t>
        </is>
      </c>
      <c r="B322" s="1" t="n">
        <v>44349</v>
      </c>
      <c r="C322" s="1" t="n">
        <v>46138</v>
      </c>
      <c r="D322" t="inlineStr">
        <is>
          <t>JÄMTLANDS LÄN</t>
        </is>
      </c>
      <c r="E322" t="inlineStr">
        <is>
          <t>ÅRE</t>
        </is>
      </c>
      <c r="G322" t="n">
        <v>11.4</v>
      </c>
      <c r="H322" t="n">
        <v>0</v>
      </c>
      <c r="I322" t="n">
        <v>0</v>
      </c>
      <c r="J322" t="n">
        <v>0</v>
      </c>
      <c r="K322" t="n">
        <v>0</v>
      </c>
      <c r="L322" t="n">
        <v>0</v>
      </c>
      <c r="M322" t="n">
        <v>0</v>
      </c>
      <c r="N322" t="n">
        <v>0</v>
      </c>
      <c r="O322" t="n">
        <v>0</v>
      </c>
      <c r="P322" t="n">
        <v>0</v>
      </c>
      <c r="Q322" t="n">
        <v>0</v>
      </c>
      <c r="R322" s="2" t="inlineStr"/>
    </row>
    <row r="323" ht="15" customHeight="1">
      <c r="A323" t="inlineStr">
        <is>
          <t>A 18264-2023</t>
        </is>
      </c>
      <c r="B323" s="1" t="n">
        <v>45041</v>
      </c>
      <c r="C323" s="1" t="n">
        <v>46138</v>
      </c>
      <c r="D323" t="inlineStr">
        <is>
          <t>JÄMTLANDS LÄN</t>
        </is>
      </c>
      <c r="E323" t="inlineStr">
        <is>
          <t>ÅRE</t>
        </is>
      </c>
      <c r="G323" t="n">
        <v>0.2</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46138</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45605-2025</t>
        </is>
      </c>
      <c r="B325" s="1" t="n">
        <v>45922.69826388889</v>
      </c>
      <c r="C325" s="1" t="n">
        <v>46138</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52677-2024</t>
        </is>
      </c>
      <c r="B326" s="1" t="n">
        <v>45610.38560185185</v>
      </c>
      <c r="C326" s="1" t="n">
        <v>46138</v>
      </c>
      <c r="D326" t="inlineStr">
        <is>
          <t>JÄMTLANDS LÄN</t>
        </is>
      </c>
      <c r="E326" t="inlineStr">
        <is>
          <t>ÅRE</t>
        </is>
      </c>
      <c r="F326" t="inlineStr">
        <is>
          <t>Övriga Aktiebolag</t>
        </is>
      </c>
      <c r="G326" t="n">
        <v>3</v>
      </c>
      <c r="H326" t="n">
        <v>0</v>
      </c>
      <c r="I326" t="n">
        <v>0</v>
      </c>
      <c r="J326" t="n">
        <v>0</v>
      </c>
      <c r="K326" t="n">
        <v>0</v>
      </c>
      <c r="L326" t="n">
        <v>0</v>
      </c>
      <c r="M326" t="n">
        <v>0</v>
      </c>
      <c r="N326" t="n">
        <v>0</v>
      </c>
      <c r="O326" t="n">
        <v>0</v>
      </c>
      <c r="P326" t="n">
        <v>0</v>
      </c>
      <c r="Q326" t="n">
        <v>0</v>
      </c>
      <c r="R326" s="2" t="inlineStr"/>
    </row>
    <row r="327" ht="15" customHeight="1">
      <c r="A327" t="inlineStr">
        <is>
          <t>A 45796-2025</t>
        </is>
      </c>
      <c r="B327" s="1" t="n">
        <v>45923.57418981481</v>
      </c>
      <c r="C327" s="1" t="n">
        <v>46138</v>
      </c>
      <c r="D327" t="inlineStr">
        <is>
          <t>JÄMTLANDS LÄN</t>
        </is>
      </c>
      <c r="E327" t="inlineStr">
        <is>
          <t>ÅRE</t>
        </is>
      </c>
      <c r="G327" t="n">
        <v>6.2</v>
      </c>
      <c r="H327" t="n">
        <v>0</v>
      </c>
      <c r="I327" t="n">
        <v>0</v>
      </c>
      <c r="J327" t="n">
        <v>0</v>
      </c>
      <c r="K327" t="n">
        <v>0</v>
      </c>
      <c r="L327" t="n">
        <v>0</v>
      </c>
      <c r="M327" t="n">
        <v>0</v>
      </c>
      <c r="N327" t="n">
        <v>0</v>
      </c>
      <c r="O327" t="n">
        <v>0</v>
      </c>
      <c r="P327" t="n">
        <v>0</v>
      </c>
      <c r="Q327" t="n">
        <v>0</v>
      </c>
      <c r="R327" s="2" t="inlineStr"/>
    </row>
    <row r="328" ht="15" customHeight="1">
      <c r="A328" t="inlineStr">
        <is>
          <t>A 49296-2024</t>
        </is>
      </c>
      <c r="B328" s="1" t="n">
        <v>45595</v>
      </c>
      <c r="C328" s="1" t="n">
        <v>46138</v>
      </c>
      <c r="D328" t="inlineStr">
        <is>
          <t>JÄMTLANDS LÄN</t>
        </is>
      </c>
      <c r="E328" t="inlineStr">
        <is>
          <t>ÅRE</t>
        </is>
      </c>
      <c r="G328" t="n">
        <v>1</v>
      </c>
      <c r="H328" t="n">
        <v>0</v>
      </c>
      <c r="I328" t="n">
        <v>0</v>
      </c>
      <c r="J328" t="n">
        <v>0</v>
      </c>
      <c r="K328" t="n">
        <v>0</v>
      </c>
      <c r="L328" t="n">
        <v>0</v>
      </c>
      <c r="M328" t="n">
        <v>0</v>
      </c>
      <c r="N328" t="n">
        <v>0</v>
      </c>
      <c r="O328" t="n">
        <v>0</v>
      </c>
      <c r="P328" t="n">
        <v>0</v>
      </c>
      <c r="Q328" t="n">
        <v>0</v>
      </c>
      <c r="R328" s="2" t="inlineStr"/>
    </row>
    <row r="329" ht="15" customHeight="1">
      <c r="A329" t="inlineStr">
        <is>
          <t>A 43307-2024</t>
        </is>
      </c>
      <c r="B329" s="1" t="n">
        <v>45568.44303240741</v>
      </c>
      <c r="C329" s="1" t="n">
        <v>46138</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54116-2023</t>
        </is>
      </c>
      <c r="B330" s="1" t="n">
        <v>45232</v>
      </c>
      <c r="C330" s="1" t="n">
        <v>46138</v>
      </c>
      <c r="D330" t="inlineStr">
        <is>
          <t>JÄMTLANDS LÄN</t>
        </is>
      </c>
      <c r="E330" t="inlineStr">
        <is>
          <t>ÅRE</t>
        </is>
      </c>
      <c r="G330" t="n">
        <v>3.8</v>
      </c>
      <c r="H330" t="n">
        <v>0</v>
      </c>
      <c r="I330" t="n">
        <v>0</v>
      </c>
      <c r="J330" t="n">
        <v>0</v>
      </c>
      <c r="K330" t="n">
        <v>0</v>
      </c>
      <c r="L330" t="n">
        <v>0</v>
      </c>
      <c r="M330" t="n">
        <v>0</v>
      </c>
      <c r="N330" t="n">
        <v>0</v>
      </c>
      <c r="O330" t="n">
        <v>0</v>
      </c>
      <c r="P330" t="n">
        <v>0</v>
      </c>
      <c r="Q330" t="n">
        <v>0</v>
      </c>
      <c r="R330" s="2" t="inlineStr"/>
    </row>
    <row r="331" ht="15" customHeight="1">
      <c r="A331" t="inlineStr">
        <is>
          <t>A 45614-2025</t>
        </is>
      </c>
      <c r="B331" s="1" t="n">
        <v>45922.719375</v>
      </c>
      <c r="C331" s="1" t="n">
        <v>46138</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12292-2023</t>
        </is>
      </c>
      <c r="B332" s="1" t="n">
        <v>44998</v>
      </c>
      <c r="C332" s="1" t="n">
        <v>46138</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12294-2023</t>
        </is>
      </c>
      <c r="B333" s="1" t="n">
        <v>44998.75266203703</v>
      </c>
      <c r="C333" s="1" t="n">
        <v>46138</v>
      </c>
      <c r="D333" t="inlineStr">
        <is>
          <t>JÄMTLANDS LÄN</t>
        </is>
      </c>
      <c r="E333" t="inlineStr">
        <is>
          <t>ÅRE</t>
        </is>
      </c>
      <c r="G333" t="n">
        <v>1.4</v>
      </c>
      <c r="H333" t="n">
        <v>0</v>
      </c>
      <c r="I333" t="n">
        <v>0</v>
      </c>
      <c r="J333" t="n">
        <v>0</v>
      </c>
      <c r="K333" t="n">
        <v>0</v>
      </c>
      <c r="L333" t="n">
        <v>0</v>
      </c>
      <c r="M333" t="n">
        <v>0</v>
      </c>
      <c r="N333" t="n">
        <v>0</v>
      </c>
      <c r="O333" t="n">
        <v>0</v>
      </c>
      <c r="P333" t="n">
        <v>0</v>
      </c>
      <c r="Q333" t="n">
        <v>0</v>
      </c>
      <c r="R333" s="2" t="inlineStr"/>
    </row>
    <row r="334" ht="15" customHeight="1">
      <c r="A334" t="inlineStr">
        <is>
          <t>A 45161-2024</t>
        </is>
      </c>
      <c r="B334" s="1" t="n">
        <v>45575.64982638889</v>
      </c>
      <c r="C334" s="1" t="n">
        <v>46138</v>
      </c>
      <c r="D334" t="inlineStr">
        <is>
          <t>JÄMTLANDS LÄN</t>
        </is>
      </c>
      <c r="E334" t="inlineStr">
        <is>
          <t>ÅRE</t>
        </is>
      </c>
      <c r="G334" t="n">
        <v>6.9</v>
      </c>
      <c r="H334" t="n">
        <v>0</v>
      </c>
      <c r="I334" t="n">
        <v>0</v>
      </c>
      <c r="J334" t="n">
        <v>0</v>
      </c>
      <c r="K334" t="n">
        <v>0</v>
      </c>
      <c r="L334" t="n">
        <v>0</v>
      </c>
      <c r="M334" t="n">
        <v>0</v>
      </c>
      <c r="N334" t="n">
        <v>0</v>
      </c>
      <c r="O334" t="n">
        <v>0</v>
      </c>
      <c r="P334" t="n">
        <v>0</v>
      </c>
      <c r="Q334" t="n">
        <v>0</v>
      </c>
      <c r="R334" s="2" t="inlineStr"/>
    </row>
    <row r="335" ht="15" customHeight="1">
      <c r="A335" t="inlineStr">
        <is>
          <t>A 46041-2025</t>
        </is>
      </c>
      <c r="B335" s="1" t="n">
        <v>45924</v>
      </c>
      <c r="C335" s="1" t="n">
        <v>46138</v>
      </c>
      <c r="D335" t="inlineStr">
        <is>
          <t>JÄMTLANDS LÄN</t>
        </is>
      </c>
      <c r="E335" t="inlineStr">
        <is>
          <t>ÅRE</t>
        </is>
      </c>
      <c r="G335" t="n">
        <v>3.5</v>
      </c>
      <c r="H335" t="n">
        <v>0</v>
      </c>
      <c r="I335" t="n">
        <v>0</v>
      </c>
      <c r="J335" t="n">
        <v>0</v>
      </c>
      <c r="K335" t="n">
        <v>0</v>
      </c>
      <c r="L335" t="n">
        <v>0</v>
      </c>
      <c r="M335" t="n">
        <v>0</v>
      </c>
      <c r="N335" t="n">
        <v>0</v>
      </c>
      <c r="O335" t="n">
        <v>0</v>
      </c>
      <c r="P335" t="n">
        <v>0</v>
      </c>
      <c r="Q335" t="n">
        <v>0</v>
      </c>
      <c r="R335" s="2" t="inlineStr"/>
    </row>
    <row r="336" ht="15" customHeight="1">
      <c r="A336" t="inlineStr">
        <is>
          <t>A 39509-2025</t>
        </is>
      </c>
      <c r="B336" s="1" t="n">
        <v>45890.40737268519</v>
      </c>
      <c r="C336" s="1" t="n">
        <v>46138</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49303-2024</t>
        </is>
      </c>
      <c r="B337" s="1" t="n">
        <v>45595</v>
      </c>
      <c r="C337" s="1" t="n">
        <v>46138</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64758-2023</t>
        </is>
      </c>
      <c r="B338" s="1" t="n">
        <v>45281</v>
      </c>
      <c r="C338" s="1" t="n">
        <v>46138</v>
      </c>
      <c r="D338" t="inlineStr">
        <is>
          <t>JÄMTLANDS LÄN</t>
        </is>
      </c>
      <c r="E338" t="inlineStr">
        <is>
          <t>ÅRE</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61978-2023</t>
        </is>
      </c>
      <c r="B339" s="1" t="n">
        <v>45266.59711805556</v>
      </c>
      <c r="C339" s="1" t="n">
        <v>46138</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60122-2021</t>
        </is>
      </c>
      <c r="B340" s="1" t="n">
        <v>44495</v>
      </c>
      <c r="C340" s="1" t="n">
        <v>46138</v>
      </c>
      <c r="D340" t="inlineStr">
        <is>
          <t>JÄMTLANDS LÄN</t>
        </is>
      </c>
      <c r="E340" t="inlineStr">
        <is>
          <t>ÅRE</t>
        </is>
      </c>
      <c r="G340" t="n">
        <v>46.7</v>
      </c>
      <c r="H340" t="n">
        <v>0</v>
      </c>
      <c r="I340" t="n">
        <v>0</v>
      </c>
      <c r="J340" t="n">
        <v>0</v>
      </c>
      <c r="K340" t="n">
        <v>0</v>
      </c>
      <c r="L340" t="n">
        <v>0</v>
      </c>
      <c r="M340" t="n">
        <v>0</v>
      </c>
      <c r="N340" t="n">
        <v>0</v>
      </c>
      <c r="O340" t="n">
        <v>0</v>
      </c>
      <c r="P340" t="n">
        <v>0</v>
      </c>
      <c r="Q340" t="n">
        <v>0</v>
      </c>
      <c r="R340" s="2" t="inlineStr"/>
    </row>
    <row r="341" ht="15" customHeight="1">
      <c r="A341" t="inlineStr">
        <is>
          <t>A 49702-2024</t>
        </is>
      </c>
      <c r="B341" s="1" t="n">
        <v>45596</v>
      </c>
      <c r="C341" s="1" t="n">
        <v>46138</v>
      </c>
      <c r="D341" t="inlineStr">
        <is>
          <t>JÄMTLANDS LÄN</t>
        </is>
      </c>
      <c r="E341" t="inlineStr">
        <is>
          <t>ÅRE</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47076-2024</t>
        </is>
      </c>
      <c r="B342" s="1" t="n">
        <v>45586.50180555556</v>
      </c>
      <c r="C342" s="1" t="n">
        <v>46138</v>
      </c>
      <c r="D342" t="inlineStr">
        <is>
          <t>JÄMTLANDS LÄN</t>
        </is>
      </c>
      <c r="E342" t="inlineStr">
        <is>
          <t>ÅRE</t>
        </is>
      </c>
      <c r="G342" t="n">
        <v>6.5</v>
      </c>
      <c r="H342" t="n">
        <v>0</v>
      </c>
      <c r="I342" t="n">
        <v>0</v>
      </c>
      <c r="J342" t="n">
        <v>0</v>
      </c>
      <c r="K342" t="n">
        <v>0</v>
      </c>
      <c r="L342" t="n">
        <v>0</v>
      </c>
      <c r="M342" t="n">
        <v>0</v>
      </c>
      <c r="N342" t="n">
        <v>0</v>
      </c>
      <c r="O342" t="n">
        <v>0</v>
      </c>
      <c r="P342" t="n">
        <v>0</v>
      </c>
      <c r="Q342" t="n">
        <v>0</v>
      </c>
      <c r="R342" s="2" t="inlineStr"/>
    </row>
    <row r="343" ht="15" customHeight="1">
      <c r="A343" t="inlineStr">
        <is>
          <t>A 48211-2025</t>
        </is>
      </c>
      <c r="B343" s="1" t="n">
        <v>45931</v>
      </c>
      <c r="C343" s="1" t="n">
        <v>46138</v>
      </c>
      <c r="D343" t="inlineStr">
        <is>
          <t>JÄMTLANDS LÄN</t>
        </is>
      </c>
      <c r="E343" t="inlineStr">
        <is>
          <t>ÅRE</t>
        </is>
      </c>
      <c r="G343" t="n">
        <v>6.6</v>
      </c>
      <c r="H343" t="n">
        <v>0</v>
      </c>
      <c r="I343" t="n">
        <v>0</v>
      </c>
      <c r="J343" t="n">
        <v>0</v>
      </c>
      <c r="K343" t="n">
        <v>0</v>
      </c>
      <c r="L343" t="n">
        <v>0</v>
      </c>
      <c r="M343" t="n">
        <v>0</v>
      </c>
      <c r="N343" t="n">
        <v>0</v>
      </c>
      <c r="O343" t="n">
        <v>0</v>
      </c>
      <c r="P343" t="n">
        <v>0</v>
      </c>
      <c r="Q343" t="n">
        <v>0</v>
      </c>
      <c r="R343" s="2" t="inlineStr"/>
    </row>
    <row r="344" ht="15" customHeight="1">
      <c r="A344" t="inlineStr">
        <is>
          <t>A 51277-2023</t>
        </is>
      </c>
      <c r="B344" s="1" t="n">
        <v>45219</v>
      </c>
      <c r="C344" s="1" t="n">
        <v>46138</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51282-2023</t>
        </is>
      </c>
      <c r="B345" s="1" t="n">
        <v>45219</v>
      </c>
      <c r="C345" s="1" t="n">
        <v>46138</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48178-2025</t>
        </is>
      </c>
      <c r="B346" s="1" t="n">
        <v>45933.44865740741</v>
      </c>
      <c r="C346" s="1" t="n">
        <v>46138</v>
      </c>
      <c r="D346" t="inlineStr">
        <is>
          <t>JÄMTLANDS LÄN</t>
        </is>
      </c>
      <c r="E346" t="inlineStr">
        <is>
          <t>ÅRE</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25379-2024</t>
        </is>
      </c>
      <c r="B347" s="1" t="n">
        <v>45462</v>
      </c>
      <c r="C347" s="1" t="n">
        <v>46138</v>
      </c>
      <c r="D347" t="inlineStr">
        <is>
          <t>JÄMTLANDS LÄN</t>
        </is>
      </c>
      <c r="E347" t="inlineStr">
        <is>
          <t>ÅRE</t>
        </is>
      </c>
      <c r="G347" t="n">
        <v>4.5</v>
      </c>
      <c r="H347" t="n">
        <v>0</v>
      </c>
      <c r="I347" t="n">
        <v>0</v>
      </c>
      <c r="J347" t="n">
        <v>0</v>
      </c>
      <c r="K347" t="n">
        <v>0</v>
      </c>
      <c r="L347" t="n">
        <v>0</v>
      </c>
      <c r="M347" t="n">
        <v>0</v>
      </c>
      <c r="N347" t="n">
        <v>0</v>
      </c>
      <c r="O347" t="n">
        <v>0</v>
      </c>
      <c r="P347" t="n">
        <v>0</v>
      </c>
      <c r="Q347" t="n">
        <v>0</v>
      </c>
      <c r="R347" s="2" t="inlineStr"/>
    </row>
    <row r="348" ht="15" customHeight="1">
      <c r="A348" t="inlineStr">
        <is>
          <t>A 46452-2025</t>
        </is>
      </c>
      <c r="B348" s="1" t="n">
        <v>45925.65625</v>
      </c>
      <c r="C348" s="1" t="n">
        <v>46138</v>
      </c>
      <c r="D348" t="inlineStr">
        <is>
          <t>JÄMTLANDS LÄN</t>
        </is>
      </c>
      <c r="E348" t="inlineStr">
        <is>
          <t>ÅRE</t>
        </is>
      </c>
      <c r="G348" t="n">
        <v>7.2</v>
      </c>
      <c r="H348" t="n">
        <v>0</v>
      </c>
      <c r="I348" t="n">
        <v>0</v>
      </c>
      <c r="J348" t="n">
        <v>0</v>
      </c>
      <c r="K348" t="n">
        <v>0</v>
      </c>
      <c r="L348" t="n">
        <v>0</v>
      </c>
      <c r="M348" t="n">
        <v>0</v>
      </c>
      <c r="N348" t="n">
        <v>0</v>
      </c>
      <c r="O348" t="n">
        <v>0</v>
      </c>
      <c r="P348" t="n">
        <v>0</v>
      </c>
      <c r="Q348" t="n">
        <v>0</v>
      </c>
      <c r="R348" s="2" t="inlineStr"/>
    </row>
    <row r="349" ht="15" customHeight="1">
      <c r="A349" t="inlineStr">
        <is>
          <t>A 46457-2025</t>
        </is>
      </c>
      <c r="B349" s="1" t="n">
        <v>45925.66126157407</v>
      </c>
      <c r="C349" s="1" t="n">
        <v>46138</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25710-2024</t>
        </is>
      </c>
      <c r="B350" s="1" t="n">
        <v>45463</v>
      </c>
      <c r="C350" s="1" t="n">
        <v>46138</v>
      </c>
      <c r="D350" t="inlineStr">
        <is>
          <t>JÄMTLANDS LÄN</t>
        </is>
      </c>
      <c r="E350" t="inlineStr">
        <is>
          <t>ÅRE</t>
        </is>
      </c>
      <c r="G350" t="n">
        <v>4.5</v>
      </c>
      <c r="H350" t="n">
        <v>0</v>
      </c>
      <c r="I350" t="n">
        <v>0</v>
      </c>
      <c r="J350" t="n">
        <v>0</v>
      </c>
      <c r="K350" t="n">
        <v>0</v>
      </c>
      <c r="L350" t="n">
        <v>0</v>
      </c>
      <c r="M350" t="n">
        <v>0</v>
      </c>
      <c r="N350" t="n">
        <v>0</v>
      </c>
      <c r="O350" t="n">
        <v>0</v>
      </c>
      <c r="P350" t="n">
        <v>0</v>
      </c>
      <c r="Q350" t="n">
        <v>0</v>
      </c>
      <c r="R350" s="2" t="inlineStr"/>
    </row>
    <row r="351" ht="15" customHeight="1">
      <c r="A351" t="inlineStr">
        <is>
          <t>A 48571-2025</t>
        </is>
      </c>
      <c r="B351" s="1" t="n">
        <v>45936.44934027778</v>
      </c>
      <c r="C351" s="1" t="n">
        <v>46138</v>
      </c>
      <c r="D351" t="inlineStr">
        <is>
          <t>JÄMTLANDS LÄN</t>
        </is>
      </c>
      <c r="E351" t="inlineStr">
        <is>
          <t>ÅRE</t>
        </is>
      </c>
      <c r="G351" t="n">
        <v>5.2</v>
      </c>
      <c r="H351" t="n">
        <v>0</v>
      </c>
      <c r="I351" t="n">
        <v>0</v>
      </c>
      <c r="J351" t="n">
        <v>0</v>
      </c>
      <c r="K351" t="n">
        <v>0</v>
      </c>
      <c r="L351" t="n">
        <v>0</v>
      </c>
      <c r="M351" t="n">
        <v>0</v>
      </c>
      <c r="N351" t="n">
        <v>0</v>
      </c>
      <c r="O351" t="n">
        <v>0</v>
      </c>
      <c r="P351" t="n">
        <v>0</v>
      </c>
      <c r="Q351" t="n">
        <v>0</v>
      </c>
      <c r="R351" s="2" t="inlineStr"/>
    </row>
    <row r="352" ht="15" customHeight="1">
      <c r="A352" t="inlineStr">
        <is>
          <t>A 25224-2025</t>
        </is>
      </c>
      <c r="B352" s="1" t="n">
        <v>45800.48087962963</v>
      </c>
      <c r="C352" s="1" t="n">
        <v>46138</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25200-2025</t>
        </is>
      </c>
      <c r="B353" s="1" t="n">
        <v>45800.4615625</v>
      </c>
      <c r="C353" s="1" t="n">
        <v>46138</v>
      </c>
      <c r="D353" t="inlineStr">
        <is>
          <t>JÄMTLANDS LÄN</t>
        </is>
      </c>
      <c r="E353" t="inlineStr">
        <is>
          <t>ÅRE</t>
        </is>
      </c>
      <c r="G353" t="n">
        <v>3.3</v>
      </c>
      <c r="H353" t="n">
        <v>0</v>
      </c>
      <c r="I353" t="n">
        <v>0</v>
      </c>
      <c r="J353" t="n">
        <v>0</v>
      </c>
      <c r="K353" t="n">
        <v>0</v>
      </c>
      <c r="L353" t="n">
        <v>0</v>
      </c>
      <c r="M353" t="n">
        <v>0</v>
      </c>
      <c r="N353" t="n">
        <v>0</v>
      </c>
      <c r="O353" t="n">
        <v>0</v>
      </c>
      <c r="P353" t="n">
        <v>0</v>
      </c>
      <c r="Q353" t="n">
        <v>0</v>
      </c>
      <c r="R353" s="2" t="inlineStr"/>
    </row>
    <row r="354" ht="15" customHeight="1">
      <c r="A354" t="inlineStr">
        <is>
          <t>A 49571-2025</t>
        </is>
      </c>
      <c r="B354" s="1" t="n">
        <v>45939.48998842593</v>
      </c>
      <c r="C354" s="1" t="n">
        <v>46138</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25208-2025</t>
        </is>
      </c>
      <c r="B355" s="1" t="n">
        <v>45800.46927083333</v>
      </c>
      <c r="C355" s="1" t="n">
        <v>46138</v>
      </c>
      <c r="D355" t="inlineStr">
        <is>
          <t>JÄMTLANDS LÄN</t>
        </is>
      </c>
      <c r="E355" t="inlineStr">
        <is>
          <t>ÅRE</t>
        </is>
      </c>
      <c r="G355" t="n">
        <v>1.5</v>
      </c>
      <c r="H355" t="n">
        <v>0</v>
      </c>
      <c r="I355" t="n">
        <v>0</v>
      </c>
      <c r="J355" t="n">
        <v>0</v>
      </c>
      <c r="K355" t="n">
        <v>0</v>
      </c>
      <c r="L355" t="n">
        <v>0</v>
      </c>
      <c r="M355" t="n">
        <v>0</v>
      </c>
      <c r="N355" t="n">
        <v>0</v>
      </c>
      <c r="O355" t="n">
        <v>0</v>
      </c>
      <c r="P355" t="n">
        <v>0</v>
      </c>
      <c r="Q355" t="n">
        <v>0</v>
      </c>
      <c r="R355" s="2" t="inlineStr"/>
    </row>
    <row r="356" ht="15" customHeight="1">
      <c r="A356" t="inlineStr">
        <is>
          <t>A 49593-2025</t>
        </is>
      </c>
      <c r="B356" s="1" t="n">
        <v>45939.53186342592</v>
      </c>
      <c r="C356" s="1" t="n">
        <v>46138</v>
      </c>
      <c r="D356" t="inlineStr">
        <is>
          <t>JÄMTLANDS LÄN</t>
        </is>
      </c>
      <c r="E356" t="inlineStr">
        <is>
          <t>ÅRE</t>
        </is>
      </c>
      <c r="G356" t="n">
        <v>7.9</v>
      </c>
      <c r="H356" t="n">
        <v>0</v>
      </c>
      <c r="I356" t="n">
        <v>0</v>
      </c>
      <c r="J356" t="n">
        <v>0</v>
      </c>
      <c r="K356" t="n">
        <v>0</v>
      </c>
      <c r="L356" t="n">
        <v>0</v>
      </c>
      <c r="M356" t="n">
        <v>0</v>
      </c>
      <c r="N356" t="n">
        <v>0</v>
      </c>
      <c r="O356" t="n">
        <v>0</v>
      </c>
      <c r="P356" t="n">
        <v>0</v>
      </c>
      <c r="Q356" t="n">
        <v>0</v>
      </c>
      <c r="R356" s="2" t="inlineStr"/>
    </row>
    <row r="357" ht="15" customHeight="1">
      <c r="A357" t="inlineStr">
        <is>
          <t>A 49493-2025</t>
        </is>
      </c>
      <c r="B357" s="1" t="n">
        <v>45939.36626157408</v>
      </c>
      <c r="C357" s="1" t="n">
        <v>46138</v>
      </c>
      <c r="D357" t="inlineStr">
        <is>
          <t>JÄMTLANDS LÄN</t>
        </is>
      </c>
      <c r="E357" t="inlineStr">
        <is>
          <t>ÅRE</t>
        </is>
      </c>
      <c r="G357" t="n">
        <v>2.4</v>
      </c>
      <c r="H357" t="n">
        <v>0</v>
      </c>
      <c r="I357" t="n">
        <v>0</v>
      </c>
      <c r="J357" t="n">
        <v>0</v>
      </c>
      <c r="K357" t="n">
        <v>0</v>
      </c>
      <c r="L357" t="n">
        <v>0</v>
      </c>
      <c r="M357" t="n">
        <v>0</v>
      </c>
      <c r="N357" t="n">
        <v>0</v>
      </c>
      <c r="O357" t="n">
        <v>0</v>
      </c>
      <c r="P357" t="n">
        <v>0</v>
      </c>
      <c r="Q357" t="n">
        <v>0</v>
      </c>
      <c r="R357" s="2" t="inlineStr"/>
    </row>
    <row r="358" ht="15" customHeight="1">
      <c r="A358" t="inlineStr">
        <is>
          <t>A 32241-2021</t>
        </is>
      </c>
      <c r="B358" s="1" t="n">
        <v>44371</v>
      </c>
      <c r="C358" s="1" t="n">
        <v>46138</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1159-2023</t>
        </is>
      </c>
      <c r="B359" s="1" t="n">
        <v>44935.66199074074</v>
      </c>
      <c r="C359" s="1" t="n">
        <v>46138</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50203-2025</t>
        </is>
      </c>
      <c r="B360" s="1" t="n">
        <v>45943.65641203704</v>
      </c>
      <c r="C360" s="1" t="n">
        <v>46138</v>
      </c>
      <c r="D360" t="inlineStr">
        <is>
          <t>JÄMTLANDS LÄN</t>
        </is>
      </c>
      <c r="E360" t="inlineStr">
        <is>
          <t>ÅRE</t>
        </is>
      </c>
      <c r="G360" t="n">
        <v>7.2</v>
      </c>
      <c r="H360" t="n">
        <v>0</v>
      </c>
      <c r="I360" t="n">
        <v>0</v>
      </c>
      <c r="J360" t="n">
        <v>0</v>
      </c>
      <c r="K360" t="n">
        <v>0</v>
      </c>
      <c r="L360" t="n">
        <v>0</v>
      </c>
      <c r="M360" t="n">
        <v>0</v>
      </c>
      <c r="N360" t="n">
        <v>0</v>
      </c>
      <c r="O360" t="n">
        <v>0</v>
      </c>
      <c r="P360" t="n">
        <v>0</v>
      </c>
      <c r="Q360" t="n">
        <v>0</v>
      </c>
      <c r="R360" s="2" t="inlineStr"/>
    </row>
    <row r="361" ht="15" customHeight="1">
      <c r="A361" t="inlineStr">
        <is>
          <t>A 50488-2025</t>
        </is>
      </c>
      <c r="B361" s="1" t="n">
        <v>45945.39144675926</v>
      </c>
      <c r="C361" s="1" t="n">
        <v>46138</v>
      </c>
      <c r="D361" t="inlineStr">
        <is>
          <t>JÄMTLANDS LÄN</t>
        </is>
      </c>
      <c r="E361" t="inlineStr">
        <is>
          <t>ÅRE</t>
        </is>
      </c>
      <c r="G361" t="n">
        <v>3.8</v>
      </c>
      <c r="H361" t="n">
        <v>0</v>
      </c>
      <c r="I361" t="n">
        <v>0</v>
      </c>
      <c r="J361" t="n">
        <v>0</v>
      </c>
      <c r="K361" t="n">
        <v>0</v>
      </c>
      <c r="L361" t="n">
        <v>0</v>
      </c>
      <c r="M361" t="n">
        <v>0</v>
      </c>
      <c r="N361" t="n">
        <v>0</v>
      </c>
      <c r="O361" t="n">
        <v>0</v>
      </c>
      <c r="P361" t="n">
        <v>0</v>
      </c>
      <c r="Q361" t="n">
        <v>0</v>
      </c>
      <c r="R361" s="2" t="inlineStr"/>
    </row>
    <row r="362" ht="15" customHeight="1">
      <c r="A362" t="inlineStr">
        <is>
          <t>A 45834-2024</t>
        </is>
      </c>
      <c r="B362" s="1" t="n">
        <v>45579.91509259259</v>
      </c>
      <c r="C362" s="1" t="n">
        <v>46138</v>
      </c>
      <c r="D362" t="inlineStr">
        <is>
          <t>JÄMTLANDS LÄN</t>
        </is>
      </c>
      <c r="E362" t="inlineStr">
        <is>
          <t>ÅRE</t>
        </is>
      </c>
      <c r="G362" t="n">
        <v>3.9</v>
      </c>
      <c r="H362" t="n">
        <v>0</v>
      </c>
      <c r="I362" t="n">
        <v>0</v>
      </c>
      <c r="J362" t="n">
        <v>0</v>
      </c>
      <c r="K362" t="n">
        <v>0</v>
      </c>
      <c r="L362" t="n">
        <v>0</v>
      </c>
      <c r="M362" t="n">
        <v>0</v>
      </c>
      <c r="N362" t="n">
        <v>0</v>
      </c>
      <c r="O362" t="n">
        <v>0</v>
      </c>
      <c r="P362" t="n">
        <v>0</v>
      </c>
      <c r="Q362" t="n">
        <v>0</v>
      </c>
      <c r="R362" s="2" t="inlineStr"/>
    </row>
    <row r="363" ht="15" customHeight="1">
      <c r="A363" t="inlineStr">
        <is>
          <t>A 5651-2023</t>
        </is>
      </c>
      <c r="B363" s="1" t="n">
        <v>44958</v>
      </c>
      <c r="C363" s="1" t="n">
        <v>46138</v>
      </c>
      <c r="D363" t="inlineStr">
        <is>
          <t>JÄMTLANDS LÄN</t>
        </is>
      </c>
      <c r="E363" t="inlineStr">
        <is>
          <t>ÅRE</t>
        </is>
      </c>
      <c r="G363" t="n">
        <v>5.7</v>
      </c>
      <c r="H363" t="n">
        <v>0</v>
      </c>
      <c r="I363" t="n">
        <v>0</v>
      </c>
      <c r="J363" t="n">
        <v>0</v>
      </c>
      <c r="K363" t="n">
        <v>0</v>
      </c>
      <c r="L363" t="n">
        <v>0</v>
      </c>
      <c r="M363" t="n">
        <v>0</v>
      </c>
      <c r="N363" t="n">
        <v>0</v>
      </c>
      <c r="O363" t="n">
        <v>0</v>
      </c>
      <c r="P363" t="n">
        <v>0</v>
      </c>
      <c r="Q363" t="n">
        <v>0</v>
      </c>
      <c r="R363" s="2" t="inlineStr"/>
    </row>
    <row r="364" ht="15" customHeight="1">
      <c r="A364" t="inlineStr">
        <is>
          <t>A 47664-2022</t>
        </is>
      </c>
      <c r="B364" s="1" t="n">
        <v>44854.46388888889</v>
      </c>
      <c r="C364" s="1" t="n">
        <v>46138</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27375-2021</t>
        </is>
      </c>
      <c r="B365" s="1" t="n">
        <v>44351</v>
      </c>
      <c r="C365" s="1" t="n">
        <v>46138</v>
      </c>
      <c r="D365" t="inlineStr">
        <is>
          <t>JÄMTLANDS LÄN</t>
        </is>
      </c>
      <c r="E365" t="inlineStr">
        <is>
          <t>ÅRE</t>
        </is>
      </c>
      <c r="G365" t="n">
        <v>7.4</v>
      </c>
      <c r="H365" t="n">
        <v>0</v>
      </c>
      <c r="I365" t="n">
        <v>0</v>
      </c>
      <c r="J365" t="n">
        <v>0</v>
      </c>
      <c r="K365" t="n">
        <v>0</v>
      </c>
      <c r="L365" t="n">
        <v>0</v>
      </c>
      <c r="M365" t="n">
        <v>0</v>
      </c>
      <c r="N365" t="n">
        <v>0</v>
      </c>
      <c r="O365" t="n">
        <v>0</v>
      </c>
      <c r="P365" t="n">
        <v>0</v>
      </c>
      <c r="Q365" t="n">
        <v>0</v>
      </c>
      <c r="R365" s="2" t="inlineStr"/>
    </row>
    <row r="366" ht="15" customHeight="1">
      <c r="A366" t="inlineStr">
        <is>
          <t>A 43456-2023</t>
        </is>
      </c>
      <c r="B366" s="1" t="n">
        <v>45184.37474537037</v>
      </c>
      <c r="C366" s="1" t="n">
        <v>46138</v>
      </c>
      <c r="D366" t="inlineStr">
        <is>
          <t>JÄMTLANDS LÄN</t>
        </is>
      </c>
      <c r="E366" t="inlineStr">
        <is>
          <t>ÅRE</t>
        </is>
      </c>
      <c r="F366" t="inlineStr">
        <is>
          <t>Övriga Aktiebolag</t>
        </is>
      </c>
      <c r="G366" t="n">
        <v>8.9</v>
      </c>
      <c r="H366" t="n">
        <v>0</v>
      </c>
      <c r="I366" t="n">
        <v>0</v>
      </c>
      <c r="J366" t="n">
        <v>0</v>
      </c>
      <c r="K366" t="n">
        <v>0</v>
      </c>
      <c r="L366" t="n">
        <v>0</v>
      </c>
      <c r="M366" t="n">
        <v>0</v>
      </c>
      <c r="N366" t="n">
        <v>0</v>
      </c>
      <c r="O366" t="n">
        <v>0</v>
      </c>
      <c r="P366" t="n">
        <v>0</v>
      </c>
      <c r="Q366" t="n">
        <v>0</v>
      </c>
      <c r="R366" s="2" t="inlineStr"/>
    </row>
    <row r="367" ht="15" customHeight="1">
      <c r="A367" t="inlineStr">
        <is>
          <t>A 54164-2023</t>
        </is>
      </c>
      <c r="B367" s="1" t="n">
        <v>45232.47815972222</v>
      </c>
      <c r="C367" s="1" t="n">
        <v>46138</v>
      </c>
      <c r="D367" t="inlineStr">
        <is>
          <t>JÄMTLANDS LÄN</t>
        </is>
      </c>
      <c r="E367" t="inlineStr">
        <is>
          <t>ÅRE</t>
        </is>
      </c>
      <c r="G367" t="n">
        <v>2.6</v>
      </c>
      <c r="H367" t="n">
        <v>0</v>
      </c>
      <c r="I367" t="n">
        <v>0</v>
      </c>
      <c r="J367" t="n">
        <v>0</v>
      </c>
      <c r="K367" t="n">
        <v>0</v>
      </c>
      <c r="L367" t="n">
        <v>0</v>
      </c>
      <c r="M367" t="n">
        <v>0</v>
      </c>
      <c r="N367" t="n">
        <v>0</v>
      </c>
      <c r="O367" t="n">
        <v>0</v>
      </c>
      <c r="P367" t="n">
        <v>0</v>
      </c>
      <c r="Q367" t="n">
        <v>0</v>
      </c>
      <c r="R367" s="2" t="inlineStr"/>
    </row>
    <row r="368" ht="15" customHeight="1">
      <c r="A368" t="inlineStr">
        <is>
          <t>A 6049-2025</t>
        </is>
      </c>
      <c r="B368" s="1" t="n">
        <v>45695</v>
      </c>
      <c r="C368" s="1" t="n">
        <v>46138</v>
      </c>
      <c r="D368" t="inlineStr">
        <is>
          <t>JÄMTLANDS LÄN</t>
        </is>
      </c>
      <c r="E368" t="inlineStr">
        <is>
          <t>ÅRE</t>
        </is>
      </c>
      <c r="G368" t="n">
        <v>58.3</v>
      </c>
      <c r="H368" t="n">
        <v>0</v>
      </c>
      <c r="I368" t="n">
        <v>0</v>
      </c>
      <c r="J368" t="n">
        <v>0</v>
      </c>
      <c r="K368" t="n">
        <v>0</v>
      </c>
      <c r="L368" t="n">
        <v>0</v>
      </c>
      <c r="M368" t="n">
        <v>0</v>
      </c>
      <c r="N368" t="n">
        <v>0</v>
      </c>
      <c r="O368" t="n">
        <v>0</v>
      </c>
      <c r="P368" t="n">
        <v>0</v>
      </c>
      <c r="Q368" t="n">
        <v>0</v>
      </c>
      <c r="R368" s="2" t="inlineStr"/>
    </row>
    <row r="369" ht="15" customHeight="1">
      <c r="A369" t="inlineStr">
        <is>
          <t>A 51876-2025</t>
        </is>
      </c>
      <c r="B369" s="1" t="n">
        <v>45952.39850694445</v>
      </c>
      <c r="C369" s="1" t="n">
        <v>46138</v>
      </c>
      <c r="D369" t="inlineStr">
        <is>
          <t>JÄMTLANDS LÄN</t>
        </is>
      </c>
      <c r="E369" t="inlineStr">
        <is>
          <t>ÅRE</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52946-2025</t>
        </is>
      </c>
      <c r="B370" s="1" t="n">
        <v>45957.64819444445</v>
      </c>
      <c r="C370" s="1" t="n">
        <v>46138</v>
      </c>
      <c r="D370" t="inlineStr">
        <is>
          <t>JÄMTLANDS LÄN</t>
        </is>
      </c>
      <c r="E370" t="inlineStr">
        <is>
          <t>ÅRE</t>
        </is>
      </c>
      <c r="G370" t="n">
        <v>2.6</v>
      </c>
      <c r="H370" t="n">
        <v>0</v>
      </c>
      <c r="I370" t="n">
        <v>0</v>
      </c>
      <c r="J370" t="n">
        <v>0</v>
      </c>
      <c r="K370" t="n">
        <v>0</v>
      </c>
      <c r="L370" t="n">
        <v>0</v>
      </c>
      <c r="M370" t="n">
        <v>0</v>
      </c>
      <c r="N370" t="n">
        <v>0</v>
      </c>
      <c r="O370" t="n">
        <v>0</v>
      </c>
      <c r="P370" t="n">
        <v>0</v>
      </c>
      <c r="Q370" t="n">
        <v>0</v>
      </c>
      <c r="R370" s="2" t="inlineStr"/>
    </row>
    <row r="371" ht="15" customHeight="1">
      <c r="A371" t="inlineStr">
        <is>
          <t>A 52607-2025</t>
        </is>
      </c>
      <c r="B371" s="1" t="n">
        <v>45954.66291666667</v>
      </c>
      <c r="C371" s="1" t="n">
        <v>46138</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2374-2023</t>
        </is>
      </c>
      <c r="B372" s="1" t="n">
        <v>44942.69005787037</v>
      </c>
      <c r="C372" s="1" t="n">
        <v>46138</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52944-2025</t>
        </is>
      </c>
      <c r="B373" s="1" t="n">
        <v>45957.6437037037</v>
      </c>
      <c r="C373" s="1" t="n">
        <v>46138</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46444-2024</t>
        </is>
      </c>
      <c r="B374" s="1" t="n">
        <v>45582</v>
      </c>
      <c r="C374" s="1" t="n">
        <v>46138</v>
      </c>
      <c r="D374" t="inlineStr">
        <is>
          <t>JÄMTLANDS LÄN</t>
        </is>
      </c>
      <c r="E374" t="inlineStr">
        <is>
          <t>ÅRE</t>
        </is>
      </c>
      <c r="G374" t="n">
        <v>19.6</v>
      </c>
      <c r="H374" t="n">
        <v>0</v>
      </c>
      <c r="I374" t="n">
        <v>0</v>
      </c>
      <c r="J374" t="n">
        <v>0</v>
      </c>
      <c r="K374" t="n">
        <v>0</v>
      </c>
      <c r="L374" t="n">
        <v>0</v>
      </c>
      <c r="M374" t="n">
        <v>0</v>
      </c>
      <c r="N374" t="n">
        <v>0</v>
      </c>
      <c r="O374" t="n">
        <v>0</v>
      </c>
      <c r="P374" t="n">
        <v>0</v>
      </c>
      <c r="Q374" t="n">
        <v>0</v>
      </c>
      <c r="R374" s="2" t="inlineStr"/>
    </row>
    <row r="375" ht="15" customHeight="1">
      <c r="A375" t="inlineStr">
        <is>
          <t>A 52604-2025</t>
        </is>
      </c>
      <c r="B375" s="1" t="n">
        <v>45954.65774305556</v>
      </c>
      <c r="C375" s="1" t="n">
        <v>46138</v>
      </c>
      <c r="D375" t="inlineStr">
        <is>
          <t>JÄMTLANDS LÄN</t>
        </is>
      </c>
      <c r="E375" t="inlineStr">
        <is>
          <t>ÅRE</t>
        </is>
      </c>
      <c r="G375" t="n">
        <v>0.8</v>
      </c>
      <c r="H375" t="n">
        <v>0</v>
      </c>
      <c r="I375" t="n">
        <v>0</v>
      </c>
      <c r="J375" t="n">
        <v>0</v>
      </c>
      <c r="K375" t="n">
        <v>0</v>
      </c>
      <c r="L375" t="n">
        <v>0</v>
      </c>
      <c r="M375" t="n">
        <v>0</v>
      </c>
      <c r="N375" t="n">
        <v>0</v>
      </c>
      <c r="O375" t="n">
        <v>0</v>
      </c>
      <c r="P375" t="n">
        <v>0</v>
      </c>
      <c r="Q375" t="n">
        <v>0</v>
      </c>
      <c r="R375" s="2" t="inlineStr"/>
    </row>
    <row r="376" ht="15" customHeight="1">
      <c r="A376" t="inlineStr">
        <is>
          <t>A 52597-2025</t>
        </is>
      </c>
      <c r="B376" s="1" t="n">
        <v>45954.65364583334</v>
      </c>
      <c r="C376" s="1" t="n">
        <v>46138</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52606-2025</t>
        </is>
      </c>
      <c r="B377" s="1" t="n">
        <v>45954.66020833333</v>
      </c>
      <c r="C377" s="1" t="n">
        <v>46138</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53156-2025</t>
        </is>
      </c>
      <c r="B378" s="1" t="n">
        <v>45958.49030092593</v>
      </c>
      <c r="C378" s="1" t="n">
        <v>46138</v>
      </c>
      <c r="D378" t="inlineStr">
        <is>
          <t>JÄMTLANDS LÄN</t>
        </is>
      </c>
      <c r="E378" t="inlineStr">
        <is>
          <t>ÅRE</t>
        </is>
      </c>
      <c r="G378" t="n">
        <v>1.6</v>
      </c>
      <c r="H378" t="n">
        <v>0</v>
      </c>
      <c r="I378" t="n">
        <v>0</v>
      </c>
      <c r="J378" t="n">
        <v>0</v>
      </c>
      <c r="K378" t="n">
        <v>0</v>
      </c>
      <c r="L378" t="n">
        <v>0</v>
      </c>
      <c r="M378" t="n">
        <v>0</v>
      </c>
      <c r="N378" t="n">
        <v>0</v>
      </c>
      <c r="O378" t="n">
        <v>0</v>
      </c>
      <c r="P378" t="n">
        <v>0</v>
      </c>
      <c r="Q378" t="n">
        <v>0</v>
      </c>
      <c r="R378" s="2" t="inlineStr"/>
    </row>
    <row r="379" ht="15" customHeight="1">
      <c r="A379" t="inlineStr">
        <is>
          <t>A 53134-2025</t>
        </is>
      </c>
      <c r="B379" s="1" t="n">
        <v>45958.46826388889</v>
      </c>
      <c r="C379" s="1" t="n">
        <v>46138</v>
      </c>
      <c r="D379" t="inlineStr">
        <is>
          <t>JÄMTLANDS LÄN</t>
        </is>
      </c>
      <c r="E379" t="inlineStr">
        <is>
          <t>ÅRE</t>
        </is>
      </c>
      <c r="G379" t="n">
        <v>13.8</v>
      </c>
      <c r="H379" t="n">
        <v>0</v>
      </c>
      <c r="I379" t="n">
        <v>0</v>
      </c>
      <c r="J379" t="n">
        <v>0</v>
      </c>
      <c r="K379" t="n">
        <v>0</v>
      </c>
      <c r="L379" t="n">
        <v>0</v>
      </c>
      <c r="M379" t="n">
        <v>0</v>
      </c>
      <c r="N379" t="n">
        <v>0</v>
      </c>
      <c r="O379" t="n">
        <v>0</v>
      </c>
      <c r="P379" t="n">
        <v>0</v>
      </c>
      <c r="Q379" t="n">
        <v>0</v>
      </c>
      <c r="R379" s="2" t="inlineStr"/>
    </row>
    <row r="380" ht="15" customHeight="1">
      <c r="A380" t="inlineStr">
        <is>
          <t>A 53133-2025</t>
        </is>
      </c>
      <c r="B380" s="1" t="n">
        <v>45958.46806712963</v>
      </c>
      <c r="C380" s="1" t="n">
        <v>46138</v>
      </c>
      <c r="D380" t="inlineStr">
        <is>
          <t>JÄMTLANDS LÄN</t>
        </is>
      </c>
      <c r="E380" t="inlineStr">
        <is>
          <t>ÅRE</t>
        </is>
      </c>
      <c r="G380" t="n">
        <v>13.8</v>
      </c>
      <c r="H380" t="n">
        <v>0</v>
      </c>
      <c r="I380" t="n">
        <v>0</v>
      </c>
      <c r="J380" t="n">
        <v>0</v>
      </c>
      <c r="K380" t="n">
        <v>0</v>
      </c>
      <c r="L380" t="n">
        <v>0</v>
      </c>
      <c r="M380" t="n">
        <v>0</v>
      </c>
      <c r="N380" t="n">
        <v>0</v>
      </c>
      <c r="O380" t="n">
        <v>0</v>
      </c>
      <c r="P380" t="n">
        <v>0</v>
      </c>
      <c r="Q380" t="n">
        <v>0</v>
      </c>
      <c r="R380" s="2" t="inlineStr"/>
    </row>
    <row r="381" ht="15" customHeight="1">
      <c r="A381" t="inlineStr">
        <is>
          <t>A 53862-2025</t>
        </is>
      </c>
      <c r="B381" s="1" t="n">
        <v>45961.38105324074</v>
      </c>
      <c r="C381" s="1" t="n">
        <v>46138</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57150-2021</t>
        </is>
      </c>
      <c r="B382" s="1" t="n">
        <v>44482</v>
      </c>
      <c r="C382" s="1" t="n">
        <v>46138</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3154-2023</t>
        </is>
      </c>
      <c r="B383" s="1" t="n">
        <v>44946.56012731481</v>
      </c>
      <c r="C383" s="1" t="n">
        <v>46138</v>
      </c>
      <c r="D383" t="inlineStr">
        <is>
          <t>JÄMTLANDS LÄN</t>
        </is>
      </c>
      <c r="E383" t="inlineStr">
        <is>
          <t>ÅRE</t>
        </is>
      </c>
      <c r="G383" t="n">
        <v>5.1</v>
      </c>
      <c r="H383" t="n">
        <v>0</v>
      </c>
      <c r="I383" t="n">
        <v>0</v>
      </c>
      <c r="J383" t="n">
        <v>0</v>
      </c>
      <c r="K383" t="n">
        <v>0</v>
      </c>
      <c r="L383" t="n">
        <v>0</v>
      </c>
      <c r="M383" t="n">
        <v>0</v>
      </c>
      <c r="N383" t="n">
        <v>0</v>
      </c>
      <c r="O383" t="n">
        <v>0</v>
      </c>
      <c r="P383" t="n">
        <v>0</v>
      </c>
      <c r="Q383" t="n">
        <v>0</v>
      </c>
      <c r="R383" s="2" t="inlineStr"/>
    </row>
    <row r="384" ht="15" customHeight="1">
      <c r="A384" t="inlineStr">
        <is>
          <t>A 50951-2023</t>
        </is>
      </c>
      <c r="B384" s="1" t="n">
        <v>45218</v>
      </c>
      <c r="C384" s="1" t="n">
        <v>46138</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53873-2025</t>
        </is>
      </c>
      <c r="B385" s="1" t="n">
        <v>45961.39340277778</v>
      </c>
      <c r="C385" s="1" t="n">
        <v>46138</v>
      </c>
      <c r="D385" t="inlineStr">
        <is>
          <t>JÄMTLANDS LÄN</t>
        </is>
      </c>
      <c r="E385" t="inlineStr">
        <is>
          <t>ÅRE</t>
        </is>
      </c>
      <c r="G385" t="n">
        <v>0.5</v>
      </c>
      <c r="H385" t="n">
        <v>0</v>
      </c>
      <c r="I385" t="n">
        <v>0</v>
      </c>
      <c r="J385" t="n">
        <v>0</v>
      </c>
      <c r="K385" t="n">
        <v>0</v>
      </c>
      <c r="L385" t="n">
        <v>0</v>
      </c>
      <c r="M385" t="n">
        <v>0</v>
      </c>
      <c r="N385" t="n">
        <v>0</v>
      </c>
      <c r="O385" t="n">
        <v>0</v>
      </c>
      <c r="P385" t="n">
        <v>0</v>
      </c>
      <c r="Q385" t="n">
        <v>0</v>
      </c>
      <c r="R385" s="2" t="inlineStr"/>
    </row>
    <row r="386" ht="15" customHeight="1">
      <c r="A386" t="inlineStr">
        <is>
          <t>A 59397-2021</t>
        </is>
      </c>
      <c r="B386" s="1" t="n">
        <v>44491</v>
      </c>
      <c r="C386" s="1" t="n">
        <v>46138</v>
      </c>
      <c r="D386" t="inlineStr">
        <is>
          <t>JÄMTLANDS LÄN</t>
        </is>
      </c>
      <c r="E386" t="inlineStr">
        <is>
          <t>ÅRE</t>
        </is>
      </c>
      <c r="F386" t="inlineStr">
        <is>
          <t>Övriga Aktiebolag</t>
        </is>
      </c>
      <c r="G386" t="n">
        <v>7.6</v>
      </c>
      <c r="H386" t="n">
        <v>0</v>
      </c>
      <c r="I386" t="n">
        <v>0</v>
      </c>
      <c r="J386" t="n">
        <v>0</v>
      </c>
      <c r="K386" t="n">
        <v>0</v>
      </c>
      <c r="L386" t="n">
        <v>0</v>
      </c>
      <c r="M386" t="n">
        <v>0</v>
      </c>
      <c r="N386" t="n">
        <v>0</v>
      </c>
      <c r="O386" t="n">
        <v>0</v>
      </c>
      <c r="P386" t="n">
        <v>0</v>
      </c>
      <c r="Q386" t="n">
        <v>0</v>
      </c>
      <c r="R386" s="2" t="inlineStr"/>
    </row>
    <row r="387" ht="15" customHeight="1">
      <c r="A387" t="inlineStr">
        <is>
          <t>A 54137-2025</t>
        </is>
      </c>
      <c r="B387" s="1" t="n">
        <v>45964.47275462963</v>
      </c>
      <c r="C387" s="1" t="n">
        <v>46138</v>
      </c>
      <c r="D387" t="inlineStr">
        <is>
          <t>JÄMTLANDS LÄN</t>
        </is>
      </c>
      <c r="E387" t="inlineStr">
        <is>
          <t>ÅRE</t>
        </is>
      </c>
      <c r="G387" t="n">
        <v>0.7</v>
      </c>
      <c r="H387" t="n">
        <v>0</v>
      </c>
      <c r="I387" t="n">
        <v>0</v>
      </c>
      <c r="J387" t="n">
        <v>0</v>
      </c>
      <c r="K387" t="n">
        <v>0</v>
      </c>
      <c r="L387" t="n">
        <v>0</v>
      </c>
      <c r="M387" t="n">
        <v>0</v>
      </c>
      <c r="N387" t="n">
        <v>0</v>
      </c>
      <c r="O387" t="n">
        <v>0</v>
      </c>
      <c r="P387" t="n">
        <v>0</v>
      </c>
      <c r="Q387" t="n">
        <v>0</v>
      </c>
      <c r="R387" s="2" t="inlineStr"/>
    </row>
    <row r="388" ht="15" customHeight="1">
      <c r="A388" t="inlineStr">
        <is>
          <t>A 54131-2025</t>
        </is>
      </c>
      <c r="B388" s="1" t="n">
        <v>45964.46167824074</v>
      </c>
      <c r="C388" s="1" t="n">
        <v>46138</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54136-2025</t>
        </is>
      </c>
      <c r="B389" s="1" t="n">
        <v>45964.47177083333</v>
      </c>
      <c r="C389" s="1" t="n">
        <v>46138</v>
      </c>
      <c r="D389" t="inlineStr">
        <is>
          <t>JÄMTLANDS LÄN</t>
        </is>
      </c>
      <c r="E389" t="inlineStr">
        <is>
          <t>ÅRE</t>
        </is>
      </c>
      <c r="G389" t="n">
        <v>7.2</v>
      </c>
      <c r="H389" t="n">
        <v>0</v>
      </c>
      <c r="I389" t="n">
        <v>0</v>
      </c>
      <c r="J389" t="n">
        <v>0</v>
      </c>
      <c r="K389" t="n">
        <v>0</v>
      </c>
      <c r="L389" t="n">
        <v>0</v>
      </c>
      <c r="M389" t="n">
        <v>0</v>
      </c>
      <c r="N389" t="n">
        <v>0</v>
      </c>
      <c r="O389" t="n">
        <v>0</v>
      </c>
      <c r="P389" t="n">
        <v>0</v>
      </c>
      <c r="Q389" t="n">
        <v>0</v>
      </c>
      <c r="R389" s="2" t="inlineStr"/>
    </row>
    <row r="390" ht="15" customHeight="1">
      <c r="A390" t="inlineStr">
        <is>
          <t>A 54139-2025</t>
        </is>
      </c>
      <c r="B390" s="1" t="n">
        <v>45964.47564814815</v>
      </c>
      <c r="C390" s="1" t="n">
        <v>46138</v>
      </c>
      <c r="D390" t="inlineStr">
        <is>
          <t>JÄMTLANDS LÄN</t>
        </is>
      </c>
      <c r="E390" t="inlineStr">
        <is>
          <t>ÅRE</t>
        </is>
      </c>
      <c r="G390" t="n">
        <v>0.5</v>
      </c>
      <c r="H390" t="n">
        <v>0</v>
      </c>
      <c r="I390" t="n">
        <v>0</v>
      </c>
      <c r="J390" t="n">
        <v>0</v>
      </c>
      <c r="K390" t="n">
        <v>0</v>
      </c>
      <c r="L390" t="n">
        <v>0</v>
      </c>
      <c r="M390" t="n">
        <v>0</v>
      </c>
      <c r="N390" t="n">
        <v>0</v>
      </c>
      <c r="O390" t="n">
        <v>0</v>
      </c>
      <c r="P390" t="n">
        <v>0</v>
      </c>
      <c r="Q390" t="n">
        <v>0</v>
      </c>
      <c r="R390" s="2" t="inlineStr"/>
    </row>
    <row r="391" ht="15" customHeight="1">
      <c r="A391" t="inlineStr">
        <is>
          <t>A 54213-2025</t>
        </is>
      </c>
      <c r="B391" s="1" t="n">
        <v>45964.59420138889</v>
      </c>
      <c r="C391" s="1" t="n">
        <v>46138</v>
      </c>
      <c r="D391" t="inlineStr">
        <is>
          <t>JÄMTLANDS LÄN</t>
        </is>
      </c>
      <c r="E391" t="inlineStr">
        <is>
          <t>ÅRE</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54444-2025</t>
        </is>
      </c>
      <c r="B392" s="1" t="n">
        <v>45965.51078703703</v>
      </c>
      <c r="C392" s="1" t="n">
        <v>46138</v>
      </c>
      <c r="D392" t="inlineStr">
        <is>
          <t>JÄMTLANDS LÄN</t>
        </is>
      </c>
      <c r="E392" t="inlineStr">
        <is>
          <t>ÅRE</t>
        </is>
      </c>
      <c r="G392" t="n">
        <v>5.2</v>
      </c>
      <c r="H392" t="n">
        <v>0</v>
      </c>
      <c r="I392" t="n">
        <v>0</v>
      </c>
      <c r="J392" t="n">
        <v>0</v>
      </c>
      <c r="K392" t="n">
        <v>0</v>
      </c>
      <c r="L392" t="n">
        <v>0</v>
      </c>
      <c r="M392" t="n">
        <v>0</v>
      </c>
      <c r="N392" t="n">
        <v>0</v>
      </c>
      <c r="O392" t="n">
        <v>0</v>
      </c>
      <c r="P392" t="n">
        <v>0</v>
      </c>
      <c r="Q392" t="n">
        <v>0</v>
      </c>
      <c r="R392" s="2" t="inlineStr"/>
    </row>
    <row r="393" ht="15" customHeight="1">
      <c r="A393" t="inlineStr">
        <is>
          <t>A 54445-2025</t>
        </is>
      </c>
      <c r="B393" s="1" t="n">
        <v>45965.51081018519</v>
      </c>
      <c r="C393" s="1" t="n">
        <v>46138</v>
      </c>
      <c r="D393" t="inlineStr">
        <is>
          <t>JÄMTLANDS LÄN</t>
        </is>
      </c>
      <c r="E393" t="inlineStr">
        <is>
          <t>ÅRE</t>
        </is>
      </c>
      <c r="G393" t="n">
        <v>0.4</v>
      </c>
      <c r="H393" t="n">
        <v>0</v>
      </c>
      <c r="I393" t="n">
        <v>0</v>
      </c>
      <c r="J393" t="n">
        <v>0</v>
      </c>
      <c r="K393" t="n">
        <v>0</v>
      </c>
      <c r="L393" t="n">
        <v>0</v>
      </c>
      <c r="M393" t="n">
        <v>0</v>
      </c>
      <c r="N393" t="n">
        <v>0</v>
      </c>
      <c r="O393" t="n">
        <v>0</v>
      </c>
      <c r="P393" t="n">
        <v>0</v>
      </c>
      <c r="Q393" t="n">
        <v>0</v>
      </c>
      <c r="R393" s="2" t="inlineStr"/>
    </row>
    <row r="394" ht="15" customHeight="1">
      <c r="A394" t="inlineStr">
        <is>
          <t>A 54580-2025</t>
        </is>
      </c>
      <c r="B394" s="1" t="n">
        <v>45965.70755787037</v>
      </c>
      <c r="C394" s="1" t="n">
        <v>46138</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54211-2025</t>
        </is>
      </c>
      <c r="B395" s="1" t="n">
        <v>45964.59214120371</v>
      </c>
      <c r="C395" s="1" t="n">
        <v>46138</v>
      </c>
      <c r="D395" t="inlineStr">
        <is>
          <t>JÄMTLANDS LÄN</t>
        </is>
      </c>
      <c r="E395" t="inlineStr">
        <is>
          <t>ÅRE</t>
        </is>
      </c>
      <c r="G395" t="n">
        <v>4.3</v>
      </c>
      <c r="H395" t="n">
        <v>0</v>
      </c>
      <c r="I395" t="n">
        <v>0</v>
      </c>
      <c r="J395" t="n">
        <v>0</v>
      </c>
      <c r="K395" t="n">
        <v>0</v>
      </c>
      <c r="L395" t="n">
        <v>0</v>
      </c>
      <c r="M395" t="n">
        <v>0</v>
      </c>
      <c r="N395" t="n">
        <v>0</v>
      </c>
      <c r="O395" t="n">
        <v>0</v>
      </c>
      <c r="P395" t="n">
        <v>0</v>
      </c>
      <c r="Q395" t="n">
        <v>0</v>
      </c>
      <c r="R395" s="2" t="inlineStr"/>
    </row>
    <row r="396" ht="15" customHeight="1">
      <c r="A396" t="inlineStr">
        <is>
          <t>A 53899-2023</t>
        </is>
      </c>
      <c r="B396" s="1" t="n">
        <v>45231.54160879629</v>
      </c>
      <c r="C396" s="1" t="n">
        <v>46138</v>
      </c>
      <c r="D396" t="inlineStr">
        <is>
          <t>JÄMTLANDS LÄN</t>
        </is>
      </c>
      <c r="E396" t="inlineStr">
        <is>
          <t>ÅRE</t>
        </is>
      </c>
      <c r="G396" t="n">
        <v>20.4</v>
      </c>
      <c r="H396" t="n">
        <v>0</v>
      </c>
      <c r="I396" t="n">
        <v>0</v>
      </c>
      <c r="J396" t="n">
        <v>0</v>
      </c>
      <c r="K396" t="n">
        <v>0</v>
      </c>
      <c r="L396" t="n">
        <v>0</v>
      </c>
      <c r="M396" t="n">
        <v>0</v>
      </c>
      <c r="N396" t="n">
        <v>0</v>
      </c>
      <c r="O396" t="n">
        <v>0</v>
      </c>
      <c r="P396" t="n">
        <v>0</v>
      </c>
      <c r="Q396" t="n">
        <v>0</v>
      </c>
      <c r="R396" s="2" t="inlineStr"/>
    </row>
    <row r="397" ht="15" customHeight="1">
      <c r="A397" t="inlineStr">
        <is>
          <t>A 54823-2025</t>
        </is>
      </c>
      <c r="B397" s="1" t="n">
        <v>45966.66451388889</v>
      </c>
      <c r="C397" s="1" t="n">
        <v>46138</v>
      </c>
      <c r="D397" t="inlineStr">
        <is>
          <t>JÄMTLANDS LÄN</t>
        </is>
      </c>
      <c r="E397" t="inlineStr">
        <is>
          <t>ÅRE</t>
        </is>
      </c>
      <c r="G397" t="n">
        <v>5.2</v>
      </c>
      <c r="H397" t="n">
        <v>0</v>
      </c>
      <c r="I397" t="n">
        <v>0</v>
      </c>
      <c r="J397" t="n">
        <v>0</v>
      </c>
      <c r="K397" t="n">
        <v>0</v>
      </c>
      <c r="L397" t="n">
        <v>0</v>
      </c>
      <c r="M397" t="n">
        <v>0</v>
      </c>
      <c r="N397" t="n">
        <v>0</v>
      </c>
      <c r="O397" t="n">
        <v>0</v>
      </c>
      <c r="P397" t="n">
        <v>0</v>
      </c>
      <c r="Q397" t="n">
        <v>0</v>
      </c>
      <c r="R397" s="2" t="inlineStr"/>
    </row>
    <row r="398" ht="15" customHeight="1">
      <c r="A398" t="inlineStr">
        <is>
          <t>A 4181-2025</t>
        </is>
      </c>
      <c r="B398" s="1" t="n">
        <v>45685.44300925926</v>
      </c>
      <c r="C398" s="1" t="n">
        <v>46138</v>
      </c>
      <c r="D398" t="inlineStr">
        <is>
          <t>JÄMTLANDS LÄN</t>
        </is>
      </c>
      <c r="E398" t="inlineStr">
        <is>
          <t>ÅRE</t>
        </is>
      </c>
      <c r="F398" t="inlineStr">
        <is>
          <t>Övriga Aktiebolag</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54937-2025</t>
        </is>
      </c>
      <c r="B399" s="1" t="n">
        <v>45967.43244212963</v>
      </c>
      <c r="C399" s="1" t="n">
        <v>46138</v>
      </c>
      <c r="D399" t="inlineStr">
        <is>
          <t>JÄMTLANDS LÄN</t>
        </is>
      </c>
      <c r="E399" t="inlineStr">
        <is>
          <t>ÅRE</t>
        </is>
      </c>
      <c r="G399" t="n">
        <v>2.9</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46138</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54838-2025</t>
        </is>
      </c>
      <c r="B401" s="1" t="n">
        <v>45966.68252314815</v>
      </c>
      <c r="C401" s="1" t="n">
        <v>46138</v>
      </c>
      <c r="D401" t="inlineStr">
        <is>
          <t>JÄMTLANDS LÄN</t>
        </is>
      </c>
      <c r="E401" t="inlineStr">
        <is>
          <t>ÅRE</t>
        </is>
      </c>
      <c r="G401" t="n">
        <v>2.4</v>
      </c>
      <c r="H401" t="n">
        <v>0</v>
      </c>
      <c r="I401" t="n">
        <v>0</v>
      </c>
      <c r="J401" t="n">
        <v>0</v>
      </c>
      <c r="K401" t="n">
        <v>0</v>
      </c>
      <c r="L401" t="n">
        <v>0</v>
      </c>
      <c r="M401" t="n">
        <v>0</v>
      </c>
      <c r="N401" t="n">
        <v>0</v>
      </c>
      <c r="O401" t="n">
        <v>0</v>
      </c>
      <c r="P401" t="n">
        <v>0</v>
      </c>
      <c r="Q401" t="n">
        <v>0</v>
      </c>
      <c r="R401" s="2" t="inlineStr"/>
    </row>
    <row r="402" ht="15" customHeight="1">
      <c r="A402" t="inlineStr">
        <is>
          <t>A 12168-2023</t>
        </is>
      </c>
      <c r="B402" s="1" t="n">
        <v>44998</v>
      </c>
      <c r="C402" s="1" t="n">
        <v>46138</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12173-2023</t>
        </is>
      </c>
      <c r="B403" s="1" t="n">
        <v>44998</v>
      </c>
      <c r="C403" s="1" t="n">
        <v>46138</v>
      </c>
      <c r="D403" t="inlineStr">
        <is>
          <t>JÄMTLANDS LÄN</t>
        </is>
      </c>
      <c r="E403" t="inlineStr">
        <is>
          <t>ÅRE</t>
        </is>
      </c>
      <c r="G403" t="n">
        <v>2.5</v>
      </c>
      <c r="H403" t="n">
        <v>0</v>
      </c>
      <c r="I403" t="n">
        <v>0</v>
      </c>
      <c r="J403" t="n">
        <v>0</v>
      </c>
      <c r="K403" t="n">
        <v>0</v>
      </c>
      <c r="L403" t="n">
        <v>0</v>
      </c>
      <c r="M403" t="n">
        <v>0</v>
      </c>
      <c r="N403" t="n">
        <v>0</v>
      </c>
      <c r="O403" t="n">
        <v>0</v>
      </c>
      <c r="P403" t="n">
        <v>0</v>
      </c>
      <c r="Q403" t="n">
        <v>0</v>
      </c>
      <c r="R403" s="2" t="inlineStr"/>
    </row>
    <row r="404" ht="15" customHeight="1">
      <c r="A404" t="inlineStr">
        <is>
          <t>A 12179-2023</t>
        </is>
      </c>
      <c r="B404" s="1" t="n">
        <v>44998</v>
      </c>
      <c r="C404" s="1" t="n">
        <v>46138</v>
      </c>
      <c r="D404" t="inlineStr">
        <is>
          <t>JÄMTLANDS LÄN</t>
        </is>
      </c>
      <c r="E404" t="inlineStr">
        <is>
          <t>ÅRE</t>
        </is>
      </c>
      <c r="G404" t="n">
        <v>8.5</v>
      </c>
      <c r="H404" t="n">
        <v>0</v>
      </c>
      <c r="I404" t="n">
        <v>0</v>
      </c>
      <c r="J404" t="n">
        <v>0</v>
      </c>
      <c r="K404" t="n">
        <v>0</v>
      </c>
      <c r="L404" t="n">
        <v>0</v>
      </c>
      <c r="M404" t="n">
        <v>0</v>
      </c>
      <c r="N404" t="n">
        <v>0</v>
      </c>
      <c r="O404" t="n">
        <v>0</v>
      </c>
      <c r="P404" t="n">
        <v>0</v>
      </c>
      <c r="Q404" t="n">
        <v>0</v>
      </c>
      <c r="R404" s="2" t="inlineStr"/>
    </row>
    <row r="405" ht="15" customHeight="1">
      <c r="A405" t="inlineStr">
        <is>
          <t>A 55413-2025</t>
        </is>
      </c>
      <c r="B405" s="1" t="n">
        <v>45971.46915509259</v>
      </c>
      <c r="C405" s="1" t="n">
        <v>46138</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12287-2023</t>
        </is>
      </c>
      <c r="B406" s="1" t="n">
        <v>44998.72736111111</v>
      </c>
      <c r="C406" s="1" t="n">
        <v>46138</v>
      </c>
      <c r="D406" t="inlineStr">
        <is>
          <t>JÄMTLANDS LÄN</t>
        </is>
      </c>
      <c r="E406" t="inlineStr">
        <is>
          <t>ÅRE</t>
        </is>
      </c>
      <c r="G406" t="n">
        <v>3.1</v>
      </c>
      <c r="H406" t="n">
        <v>0</v>
      </c>
      <c r="I406" t="n">
        <v>0</v>
      </c>
      <c r="J406" t="n">
        <v>0</v>
      </c>
      <c r="K406" t="n">
        <v>0</v>
      </c>
      <c r="L406" t="n">
        <v>0</v>
      </c>
      <c r="M406" t="n">
        <v>0</v>
      </c>
      <c r="N406" t="n">
        <v>0</v>
      </c>
      <c r="O406" t="n">
        <v>0</v>
      </c>
      <c r="P406" t="n">
        <v>0</v>
      </c>
      <c r="Q406" t="n">
        <v>0</v>
      </c>
      <c r="R406" s="2" t="inlineStr"/>
    </row>
    <row r="407" ht="15" customHeight="1">
      <c r="A407" t="inlineStr">
        <is>
          <t>A 55379-2025</t>
        </is>
      </c>
      <c r="B407" s="1" t="n">
        <v>45971.42776620371</v>
      </c>
      <c r="C407" s="1" t="n">
        <v>46138</v>
      </c>
      <c r="D407" t="inlineStr">
        <is>
          <t>JÄMTLANDS LÄN</t>
        </is>
      </c>
      <c r="E407" t="inlineStr">
        <is>
          <t>ÅRE</t>
        </is>
      </c>
      <c r="G407" t="n">
        <v>4.6</v>
      </c>
      <c r="H407" t="n">
        <v>0</v>
      </c>
      <c r="I407" t="n">
        <v>0</v>
      </c>
      <c r="J407" t="n">
        <v>0</v>
      </c>
      <c r="K407" t="n">
        <v>0</v>
      </c>
      <c r="L407" t="n">
        <v>0</v>
      </c>
      <c r="M407" t="n">
        <v>0</v>
      </c>
      <c r="N407" t="n">
        <v>0</v>
      </c>
      <c r="O407" t="n">
        <v>0</v>
      </c>
      <c r="P407" t="n">
        <v>0</v>
      </c>
      <c r="Q407" t="n">
        <v>0</v>
      </c>
      <c r="R407" s="2" t="inlineStr"/>
    </row>
    <row r="408" ht="15" customHeight="1">
      <c r="A408" t="inlineStr">
        <is>
          <t>A 55389-2025</t>
        </is>
      </c>
      <c r="B408" s="1" t="n">
        <v>45971.4482175926</v>
      </c>
      <c r="C408" s="1" t="n">
        <v>46138</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55411-2025</t>
        </is>
      </c>
      <c r="B409" s="1" t="n">
        <v>45971.46741898148</v>
      </c>
      <c r="C409" s="1" t="n">
        <v>46138</v>
      </c>
      <c r="D409" t="inlineStr">
        <is>
          <t>JÄMTLANDS LÄN</t>
        </is>
      </c>
      <c r="E409" t="inlineStr">
        <is>
          <t>ÅRE</t>
        </is>
      </c>
      <c r="G409" t="n">
        <v>1.8</v>
      </c>
      <c r="H409" t="n">
        <v>0</v>
      </c>
      <c r="I409" t="n">
        <v>0</v>
      </c>
      <c r="J409" t="n">
        <v>0</v>
      </c>
      <c r="K409" t="n">
        <v>0</v>
      </c>
      <c r="L409" t="n">
        <v>0</v>
      </c>
      <c r="M409" t="n">
        <v>0</v>
      </c>
      <c r="N409" t="n">
        <v>0</v>
      </c>
      <c r="O409" t="n">
        <v>0</v>
      </c>
      <c r="P409" t="n">
        <v>0</v>
      </c>
      <c r="Q409" t="n">
        <v>0</v>
      </c>
      <c r="R409" s="2" t="inlineStr"/>
    </row>
    <row r="410" ht="15" customHeight="1">
      <c r="A410" t="inlineStr">
        <is>
          <t>A 5611-2025</t>
        </is>
      </c>
      <c r="B410" s="1" t="n">
        <v>45693.60480324074</v>
      </c>
      <c r="C410" s="1" t="n">
        <v>46138</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55416-2025</t>
        </is>
      </c>
      <c r="B411" s="1" t="n">
        <v>45971.46951388889</v>
      </c>
      <c r="C411" s="1" t="n">
        <v>46138</v>
      </c>
      <c r="D411" t="inlineStr">
        <is>
          <t>JÄMTLANDS LÄN</t>
        </is>
      </c>
      <c r="E411" t="inlineStr">
        <is>
          <t>ÅRE</t>
        </is>
      </c>
      <c r="G411" t="n">
        <v>6.3</v>
      </c>
      <c r="H411" t="n">
        <v>0</v>
      </c>
      <c r="I411" t="n">
        <v>0</v>
      </c>
      <c r="J411" t="n">
        <v>0</v>
      </c>
      <c r="K411" t="n">
        <v>0</v>
      </c>
      <c r="L411" t="n">
        <v>0</v>
      </c>
      <c r="M411" t="n">
        <v>0</v>
      </c>
      <c r="N411" t="n">
        <v>0</v>
      </c>
      <c r="O411" t="n">
        <v>0</v>
      </c>
      <c r="P411" t="n">
        <v>0</v>
      </c>
      <c r="Q411" t="n">
        <v>0</v>
      </c>
      <c r="R411" s="2" t="inlineStr"/>
    </row>
    <row r="412" ht="15" customHeight="1">
      <c r="A412" t="inlineStr">
        <is>
          <t>A 56976-2023</t>
        </is>
      </c>
      <c r="B412" s="1" t="n">
        <v>45244.64202546296</v>
      </c>
      <c r="C412" s="1" t="n">
        <v>46138</v>
      </c>
      <c r="D412" t="inlineStr">
        <is>
          <t>JÄMTLANDS LÄN</t>
        </is>
      </c>
      <c r="E412" t="inlineStr">
        <is>
          <t>ÅRE</t>
        </is>
      </c>
      <c r="F412" t="inlineStr">
        <is>
          <t>Övriga Aktiebolag</t>
        </is>
      </c>
      <c r="G412" t="n">
        <v>4.9</v>
      </c>
      <c r="H412" t="n">
        <v>0</v>
      </c>
      <c r="I412" t="n">
        <v>0</v>
      </c>
      <c r="J412" t="n">
        <v>0</v>
      </c>
      <c r="K412" t="n">
        <v>0</v>
      </c>
      <c r="L412" t="n">
        <v>0</v>
      </c>
      <c r="M412" t="n">
        <v>0</v>
      </c>
      <c r="N412" t="n">
        <v>0</v>
      </c>
      <c r="O412" t="n">
        <v>0</v>
      </c>
      <c r="P412" t="n">
        <v>0</v>
      </c>
      <c r="Q412" t="n">
        <v>0</v>
      </c>
      <c r="R412" s="2" t="inlineStr"/>
    </row>
    <row r="413" ht="15" customHeight="1">
      <c r="A413" t="inlineStr">
        <is>
          <t>A 20170-2025</t>
        </is>
      </c>
      <c r="B413" s="1" t="n">
        <v>45772.57789351852</v>
      </c>
      <c r="C413" s="1" t="n">
        <v>46138</v>
      </c>
      <c r="D413" t="inlineStr">
        <is>
          <t>JÄMTLANDS LÄN</t>
        </is>
      </c>
      <c r="E413" t="inlineStr">
        <is>
          <t>ÅRE</t>
        </is>
      </c>
      <c r="G413" t="n">
        <v>0.1</v>
      </c>
      <c r="H413" t="n">
        <v>0</v>
      </c>
      <c r="I413" t="n">
        <v>0</v>
      </c>
      <c r="J413" t="n">
        <v>0</v>
      </c>
      <c r="K413" t="n">
        <v>0</v>
      </c>
      <c r="L413" t="n">
        <v>0</v>
      </c>
      <c r="M413" t="n">
        <v>0</v>
      </c>
      <c r="N413" t="n">
        <v>0</v>
      </c>
      <c r="O413" t="n">
        <v>0</v>
      </c>
      <c r="P413" t="n">
        <v>0</v>
      </c>
      <c r="Q413" t="n">
        <v>0</v>
      </c>
      <c r="R413" s="2" t="inlineStr"/>
    </row>
    <row r="414" ht="15" customHeight="1">
      <c r="A414" t="inlineStr">
        <is>
          <t>A 56091-2025</t>
        </is>
      </c>
      <c r="B414" s="1" t="n">
        <v>45973.67434027778</v>
      </c>
      <c r="C414" s="1" t="n">
        <v>46138</v>
      </c>
      <c r="D414" t="inlineStr">
        <is>
          <t>JÄMTLANDS LÄN</t>
        </is>
      </c>
      <c r="E414" t="inlineStr">
        <is>
          <t>ÅRE</t>
        </is>
      </c>
      <c r="G414" t="n">
        <v>8</v>
      </c>
      <c r="H414" t="n">
        <v>0</v>
      </c>
      <c r="I414" t="n">
        <v>0</v>
      </c>
      <c r="J414" t="n">
        <v>0</v>
      </c>
      <c r="K414" t="n">
        <v>0</v>
      </c>
      <c r="L414" t="n">
        <v>0</v>
      </c>
      <c r="M414" t="n">
        <v>0</v>
      </c>
      <c r="N414" t="n">
        <v>0</v>
      </c>
      <c r="O414" t="n">
        <v>0</v>
      </c>
      <c r="P414" t="n">
        <v>0</v>
      </c>
      <c r="Q414" t="n">
        <v>0</v>
      </c>
      <c r="R414" s="2" t="inlineStr"/>
    </row>
    <row r="415" ht="15" customHeight="1">
      <c r="A415" t="inlineStr">
        <is>
          <t>A 55033-2024</t>
        </is>
      </c>
      <c r="B415" s="1" t="n">
        <v>45621.38193287037</v>
      </c>
      <c r="C415" s="1" t="n">
        <v>46138</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56495-2025</t>
        </is>
      </c>
      <c r="B416" s="1" t="n">
        <v>45975.42577546297</v>
      </c>
      <c r="C416" s="1" t="n">
        <v>46138</v>
      </c>
      <c r="D416" t="inlineStr">
        <is>
          <t>JÄMTLANDS LÄN</t>
        </is>
      </c>
      <c r="E416" t="inlineStr">
        <is>
          <t>ÅRE</t>
        </is>
      </c>
      <c r="G416" t="n">
        <v>6.3</v>
      </c>
      <c r="H416" t="n">
        <v>0</v>
      </c>
      <c r="I416" t="n">
        <v>0</v>
      </c>
      <c r="J416" t="n">
        <v>0</v>
      </c>
      <c r="K416" t="n">
        <v>0</v>
      </c>
      <c r="L416" t="n">
        <v>0</v>
      </c>
      <c r="M416" t="n">
        <v>0</v>
      </c>
      <c r="N416" t="n">
        <v>0</v>
      </c>
      <c r="O416" t="n">
        <v>0</v>
      </c>
      <c r="P416" t="n">
        <v>0</v>
      </c>
      <c r="Q416" t="n">
        <v>0</v>
      </c>
      <c r="R416" s="2" t="inlineStr"/>
    </row>
    <row r="417" ht="15" customHeight="1">
      <c r="A417" t="inlineStr">
        <is>
          <t>A 56601-2025</t>
        </is>
      </c>
      <c r="B417" s="1" t="n">
        <v>45975.57423611111</v>
      </c>
      <c r="C417" s="1" t="n">
        <v>46138</v>
      </c>
      <c r="D417" t="inlineStr">
        <is>
          <t>JÄMTLANDS LÄN</t>
        </is>
      </c>
      <c r="E417" t="inlineStr">
        <is>
          <t>ÅRE</t>
        </is>
      </c>
      <c r="G417" t="n">
        <v>0.7</v>
      </c>
      <c r="H417" t="n">
        <v>0</v>
      </c>
      <c r="I417" t="n">
        <v>0</v>
      </c>
      <c r="J417" t="n">
        <v>0</v>
      </c>
      <c r="K417" t="n">
        <v>0</v>
      </c>
      <c r="L417" t="n">
        <v>0</v>
      </c>
      <c r="M417" t="n">
        <v>0</v>
      </c>
      <c r="N417" t="n">
        <v>0</v>
      </c>
      <c r="O417" t="n">
        <v>0</v>
      </c>
      <c r="P417" t="n">
        <v>0</v>
      </c>
      <c r="Q417" t="n">
        <v>0</v>
      </c>
      <c r="R417" s="2" t="inlineStr"/>
    </row>
    <row r="418" ht="15" customHeight="1">
      <c r="A418" t="inlineStr">
        <is>
          <t>A 56204-2025</t>
        </is>
      </c>
      <c r="B418" s="1" t="n">
        <v>45974.46935185185</v>
      </c>
      <c r="C418" s="1" t="n">
        <v>46138</v>
      </c>
      <c r="D418" t="inlineStr">
        <is>
          <t>JÄMTLANDS LÄN</t>
        </is>
      </c>
      <c r="E418" t="inlineStr">
        <is>
          <t>ÅRE</t>
        </is>
      </c>
      <c r="G418" t="n">
        <v>3.2</v>
      </c>
      <c r="H418" t="n">
        <v>0</v>
      </c>
      <c r="I418" t="n">
        <v>0</v>
      </c>
      <c r="J418" t="n">
        <v>0</v>
      </c>
      <c r="K418" t="n">
        <v>0</v>
      </c>
      <c r="L418" t="n">
        <v>0</v>
      </c>
      <c r="M418" t="n">
        <v>0</v>
      </c>
      <c r="N418" t="n">
        <v>0</v>
      </c>
      <c r="O418" t="n">
        <v>0</v>
      </c>
      <c r="P418" t="n">
        <v>0</v>
      </c>
      <c r="Q418" t="n">
        <v>0</v>
      </c>
      <c r="R418" s="2" t="inlineStr"/>
    </row>
    <row r="419" ht="15" customHeight="1">
      <c r="A419" t="inlineStr">
        <is>
          <t>A 56563-2025</t>
        </is>
      </c>
      <c r="B419" s="1" t="n">
        <v>45975.49930555555</v>
      </c>
      <c r="C419" s="1" t="n">
        <v>46138</v>
      </c>
      <c r="D419" t="inlineStr">
        <is>
          <t>JÄMTLANDS LÄN</t>
        </is>
      </c>
      <c r="E419" t="inlineStr">
        <is>
          <t>ÅRE</t>
        </is>
      </c>
      <c r="G419" t="n">
        <v>1.5</v>
      </c>
      <c r="H419" t="n">
        <v>0</v>
      </c>
      <c r="I419" t="n">
        <v>0</v>
      </c>
      <c r="J419" t="n">
        <v>0</v>
      </c>
      <c r="K419" t="n">
        <v>0</v>
      </c>
      <c r="L419" t="n">
        <v>0</v>
      </c>
      <c r="M419" t="n">
        <v>0</v>
      </c>
      <c r="N419" t="n">
        <v>0</v>
      </c>
      <c r="O419" t="n">
        <v>0</v>
      </c>
      <c r="P419" t="n">
        <v>0</v>
      </c>
      <c r="Q419" t="n">
        <v>0</v>
      </c>
      <c r="R419" s="2" t="inlineStr"/>
    </row>
    <row r="420" ht="15" customHeight="1">
      <c r="A420" t="inlineStr">
        <is>
          <t>A 56205-2025</t>
        </is>
      </c>
      <c r="B420" s="1" t="n">
        <v>45974.469375</v>
      </c>
      <c r="C420" s="1" t="n">
        <v>46138</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56576-2025</t>
        </is>
      </c>
      <c r="B421" s="1" t="n">
        <v>45975.52893518518</v>
      </c>
      <c r="C421" s="1" t="n">
        <v>46138</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57285-2025</t>
        </is>
      </c>
      <c r="B422" s="1" t="n">
        <v>45979.73390046296</v>
      </c>
      <c r="C422" s="1" t="n">
        <v>46138</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56873-2025</t>
        </is>
      </c>
      <c r="B423" s="1" t="n">
        <v>45978.53459490741</v>
      </c>
      <c r="C423" s="1" t="n">
        <v>46138</v>
      </c>
      <c r="D423" t="inlineStr">
        <is>
          <t>JÄMTLANDS LÄN</t>
        </is>
      </c>
      <c r="E423" t="inlineStr">
        <is>
          <t>ÅRE</t>
        </is>
      </c>
      <c r="F423" t="inlineStr">
        <is>
          <t>Övriga Aktiebolag</t>
        </is>
      </c>
      <c r="G423" t="n">
        <v>6.1</v>
      </c>
      <c r="H423" t="n">
        <v>0</v>
      </c>
      <c r="I423" t="n">
        <v>0</v>
      </c>
      <c r="J423" t="n">
        <v>0</v>
      </c>
      <c r="K423" t="n">
        <v>0</v>
      </c>
      <c r="L423" t="n">
        <v>0</v>
      </c>
      <c r="M423" t="n">
        <v>0</v>
      </c>
      <c r="N423" t="n">
        <v>0</v>
      </c>
      <c r="O423" t="n">
        <v>0</v>
      </c>
      <c r="P423" t="n">
        <v>0</v>
      </c>
      <c r="Q423" t="n">
        <v>0</v>
      </c>
      <c r="R423" s="2" t="inlineStr"/>
    </row>
    <row r="424" ht="15" customHeight="1">
      <c r="A424" t="inlineStr">
        <is>
          <t>A 57286-2025</t>
        </is>
      </c>
      <c r="B424" s="1" t="n">
        <v>45979.74055555555</v>
      </c>
      <c r="C424" s="1" t="n">
        <v>46138</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57622-2025</t>
        </is>
      </c>
      <c r="B425" s="1" t="n">
        <v>45981.34545138889</v>
      </c>
      <c r="C425" s="1" t="n">
        <v>46138</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57745-2025</t>
        </is>
      </c>
      <c r="B426" s="1" t="n">
        <v>45981.53217592592</v>
      </c>
      <c r="C426" s="1" t="n">
        <v>46138</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35058-2025</t>
        </is>
      </c>
      <c r="B427" s="1" t="n">
        <v>45849</v>
      </c>
      <c r="C427" s="1" t="n">
        <v>46138</v>
      </c>
      <c r="D427" t="inlineStr">
        <is>
          <t>JÄMTLANDS LÄN</t>
        </is>
      </c>
      <c r="E427" t="inlineStr">
        <is>
          <t>ÅRE</t>
        </is>
      </c>
      <c r="G427" t="n">
        <v>2.5</v>
      </c>
      <c r="H427" t="n">
        <v>0</v>
      </c>
      <c r="I427" t="n">
        <v>0</v>
      </c>
      <c r="J427" t="n">
        <v>0</v>
      </c>
      <c r="K427" t="n">
        <v>0</v>
      </c>
      <c r="L427" t="n">
        <v>0</v>
      </c>
      <c r="M427" t="n">
        <v>0</v>
      </c>
      <c r="N427" t="n">
        <v>0</v>
      </c>
      <c r="O427" t="n">
        <v>0</v>
      </c>
      <c r="P427" t="n">
        <v>0</v>
      </c>
      <c r="Q427" t="n">
        <v>0</v>
      </c>
      <c r="R427" s="2" t="inlineStr"/>
    </row>
    <row r="428" ht="15" customHeight="1">
      <c r="A428" t="inlineStr">
        <is>
          <t>A 911-2022</t>
        </is>
      </c>
      <c r="B428" s="1" t="n">
        <v>44570</v>
      </c>
      <c r="C428" s="1" t="n">
        <v>46138</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34897-2025</t>
        </is>
      </c>
      <c r="B429" s="1" t="n">
        <v>45849</v>
      </c>
      <c r="C429" s="1" t="n">
        <v>46138</v>
      </c>
      <c r="D429" t="inlineStr">
        <is>
          <t>JÄMTLANDS LÄN</t>
        </is>
      </c>
      <c r="E429" t="inlineStr">
        <is>
          <t>ÅRE</t>
        </is>
      </c>
      <c r="G429" t="n">
        <v>1.6</v>
      </c>
      <c r="H429" t="n">
        <v>0</v>
      </c>
      <c r="I429" t="n">
        <v>0</v>
      </c>
      <c r="J429" t="n">
        <v>0</v>
      </c>
      <c r="K429" t="n">
        <v>0</v>
      </c>
      <c r="L429" t="n">
        <v>0</v>
      </c>
      <c r="M429" t="n">
        <v>0</v>
      </c>
      <c r="N429" t="n">
        <v>0</v>
      </c>
      <c r="O429" t="n">
        <v>0</v>
      </c>
      <c r="P429" t="n">
        <v>0</v>
      </c>
      <c r="Q429" t="n">
        <v>0</v>
      </c>
      <c r="R429" s="2" t="inlineStr"/>
    </row>
    <row r="430" ht="15" customHeight="1">
      <c r="A430" t="inlineStr">
        <is>
          <t>A 34925-2025</t>
        </is>
      </c>
      <c r="B430" s="1" t="n">
        <v>45849</v>
      </c>
      <c r="C430" s="1" t="n">
        <v>46138</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34805-2025</t>
        </is>
      </c>
      <c r="B431" s="1" t="n">
        <v>45849.33071759259</v>
      </c>
      <c r="C431" s="1" t="n">
        <v>46138</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17576-2024</t>
        </is>
      </c>
      <c r="B432" s="1" t="n">
        <v>45415</v>
      </c>
      <c r="C432" s="1" t="n">
        <v>46138</v>
      </c>
      <c r="D432" t="inlineStr">
        <is>
          <t>JÄMTLANDS LÄN</t>
        </is>
      </c>
      <c r="E432" t="inlineStr">
        <is>
          <t>ÅRE</t>
        </is>
      </c>
      <c r="G432" t="n">
        <v>0.1</v>
      </c>
      <c r="H432" t="n">
        <v>0</v>
      </c>
      <c r="I432" t="n">
        <v>0</v>
      </c>
      <c r="J432" t="n">
        <v>0</v>
      </c>
      <c r="K432" t="n">
        <v>0</v>
      </c>
      <c r="L432" t="n">
        <v>0</v>
      </c>
      <c r="M432" t="n">
        <v>0</v>
      </c>
      <c r="N432" t="n">
        <v>0</v>
      </c>
      <c r="O432" t="n">
        <v>0</v>
      </c>
      <c r="P432" t="n">
        <v>0</v>
      </c>
      <c r="Q432" t="n">
        <v>0</v>
      </c>
      <c r="R432" s="2" t="inlineStr"/>
    </row>
    <row r="433" ht="15" customHeight="1">
      <c r="A433" t="inlineStr">
        <is>
          <t>A 35054-2025</t>
        </is>
      </c>
      <c r="B433" s="1" t="n">
        <v>45849</v>
      </c>
      <c r="C433" s="1" t="n">
        <v>46138</v>
      </c>
      <c r="D433" t="inlineStr">
        <is>
          <t>JÄMTLANDS LÄN</t>
        </is>
      </c>
      <c r="E433" t="inlineStr">
        <is>
          <t>ÅRE</t>
        </is>
      </c>
      <c r="G433" t="n">
        <v>5.3</v>
      </c>
      <c r="H433" t="n">
        <v>0</v>
      </c>
      <c r="I433" t="n">
        <v>0</v>
      </c>
      <c r="J433" t="n">
        <v>0</v>
      </c>
      <c r="K433" t="n">
        <v>0</v>
      </c>
      <c r="L433" t="n">
        <v>0</v>
      </c>
      <c r="M433" t="n">
        <v>0</v>
      </c>
      <c r="N433" t="n">
        <v>0</v>
      </c>
      <c r="O433" t="n">
        <v>0</v>
      </c>
      <c r="P433" t="n">
        <v>0</v>
      </c>
      <c r="Q433" t="n">
        <v>0</v>
      </c>
      <c r="R433" s="2" t="inlineStr"/>
    </row>
    <row r="434" ht="15" customHeight="1">
      <c r="A434" t="inlineStr">
        <is>
          <t>A 57627-2025</t>
        </is>
      </c>
      <c r="B434" s="1" t="n">
        <v>45981.34583333333</v>
      </c>
      <c r="C434" s="1" t="n">
        <v>46138</v>
      </c>
      <c r="D434" t="inlineStr">
        <is>
          <t>JÄMTLANDS LÄN</t>
        </is>
      </c>
      <c r="E434" t="inlineStr">
        <is>
          <t>ÅRE</t>
        </is>
      </c>
      <c r="G434" t="n">
        <v>3.3</v>
      </c>
      <c r="H434" t="n">
        <v>0</v>
      </c>
      <c r="I434" t="n">
        <v>0</v>
      </c>
      <c r="J434" t="n">
        <v>0</v>
      </c>
      <c r="K434" t="n">
        <v>0</v>
      </c>
      <c r="L434" t="n">
        <v>0</v>
      </c>
      <c r="M434" t="n">
        <v>0</v>
      </c>
      <c r="N434" t="n">
        <v>0</v>
      </c>
      <c r="O434" t="n">
        <v>0</v>
      </c>
      <c r="P434" t="n">
        <v>0</v>
      </c>
      <c r="Q434" t="n">
        <v>0</v>
      </c>
      <c r="R434" s="2" t="inlineStr"/>
    </row>
    <row r="435" ht="15" customHeight="1">
      <c r="A435" t="inlineStr">
        <is>
          <t>A 57464-2025</t>
        </is>
      </c>
      <c r="B435" s="1" t="n">
        <v>45980</v>
      </c>
      <c r="C435" s="1" t="n">
        <v>46138</v>
      </c>
      <c r="D435" t="inlineStr">
        <is>
          <t>JÄMTLANDS LÄN</t>
        </is>
      </c>
      <c r="E435" t="inlineStr">
        <is>
          <t>ÅRE</t>
        </is>
      </c>
      <c r="G435" t="n">
        <v>8.1</v>
      </c>
      <c r="H435" t="n">
        <v>0</v>
      </c>
      <c r="I435" t="n">
        <v>0</v>
      </c>
      <c r="J435" t="n">
        <v>0</v>
      </c>
      <c r="K435" t="n">
        <v>0</v>
      </c>
      <c r="L435" t="n">
        <v>0</v>
      </c>
      <c r="M435" t="n">
        <v>0</v>
      </c>
      <c r="N435" t="n">
        <v>0</v>
      </c>
      <c r="O435" t="n">
        <v>0</v>
      </c>
      <c r="P435" t="n">
        <v>0</v>
      </c>
      <c r="Q435" t="n">
        <v>0</v>
      </c>
      <c r="R435" s="2" t="inlineStr"/>
    </row>
    <row r="436" ht="15" customHeight="1">
      <c r="A436" t="inlineStr">
        <is>
          <t>A 58432-2025</t>
        </is>
      </c>
      <c r="B436" s="1" t="n">
        <v>45985.60774305555</v>
      </c>
      <c r="C436" s="1" t="n">
        <v>46138</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58469-2025</t>
        </is>
      </c>
      <c r="B437" s="1" t="n">
        <v>45985.63699074074</v>
      </c>
      <c r="C437" s="1" t="n">
        <v>46138</v>
      </c>
      <c r="D437" t="inlineStr">
        <is>
          <t>JÄMTLANDS LÄN</t>
        </is>
      </c>
      <c r="E437" t="inlineStr">
        <is>
          <t>ÅRE</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58006-2025</t>
        </is>
      </c>
      <c r="B438" s="1" t="n">
        <v>45982.44869212963</v>
      </c>
      <c r="C438" s="1" t="n">
        <v>46138</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57928-2025</t>
        </is>
      </c>
      <c r="B439" s="1" t="n">
        <v>45981.88722222222</v>
      </c>
      <c r="C439" s="1" t="n">
        <v>46138</v>
      </c>
      <c r="D439" t="inlineStr">
        <is>
          <t>JÄMTLANDS LÄN</t>
        </is>
      </c>
      <c r="E439" t="inlineStr">
        <is>
          <t>ÅRE</t>
        </is>
      </c>
      <c r="G439" t="n">
        <v>2.4</v>
      </c>
      <c r="H439" t="n">
        <v>0</v>
      </c>
      <c r="I439" t="n">
        <v>0</v>
      </c>
      <c r="J439" t="n">
        <v>0</v>
      </c>
      <c r="K439" t="n">
        <v>0</v>
      </c>
      <c r="L439" t="n">
        <v>0</v>
      </c>
      <c r="M439" t="n">
        <v>0</v>
      </c>
      <c r="N439" t="n">
        <v>0</v>
      </c>
      <c r="O439" t="n">
        <v>0</v>
      </c>
      <c r="P439" t="n">
        <v>0</v>
      </c>
      <c r="Q439" t="n">
        <v>0</v>
      </c>
      <c r="R439" s="2" t="inlineStr"/>
    </row>
    <row r="440" ht="15" customHeight="1">
      <c r="A440" t="inlineStr">
        <is>
          <t>A 45105-2024</t>
        </is>
      </c>
      <c r="B440" s="1" t="n">
        <v>45575.5909837963</v>
      </c>
      <c r="C440" s="1" t="n">
        <v>46138</v>
      </c>
      <c r="D440" t="inlineStr">
        <is>
          <t>JÄMTLANDS LÄN</t>
        </is>
      </c>
      <c r="E440" t="inlineStr">
        <is>
          <t>ÅRE</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34231-2023</t>
        </is>
      </c>
      <c r="B441" s="1" t="n">
        <v>45127</v>
      </c>
      <c r="C441" s="1" t="n">
        <v>46138</v>
      </c>
      <c r="D441" t="inlineStr">
        <is>
          <t>JÄMTLANDS LÄN</t>
        </is>
      </c>
      <c r="E441" t="inlineStr">
        <is>
          <t>ÅRE</t>
        </is>
      </c>
      <c r="G441" t="n">
        <v>18.3</v>
      </c>
      <c r="H441" t="n">
        <v>0</v>
      </c>
      <c r="I441" t="n">
        <v>0</v>
      </c>
      <c r="J441" t="n">
        <v>0</v>
      </c>
      <c r="K441" t="n">
        <v>0</v>
      </c>
      <c r="L441" t="n">
        <v>0</v>
      </c>
      <c r="M441" t="n">
        <v>0</v>
      </c>
      <c r="N441" t="n">
        <v>0</v>
      </c>
      <c r="O441" t="n">
        <v>0</v>
      </c>
      <c r="P441" t="n">
        <v>0</v>
      </c>
      <c r="Q441" t="n">
        <v>0</v>
      </c>
      <c r="R441" s="2" t="inlineStr"/>
    </row>
    <row r="442" ht="15" customHeight="1">
      <c r="A442" t="inlineStr">
        <is>
          <t>A 58983-2025</t>
        </is>
      </c>
      <c r="B442" s="1" t="n">
        <v>45987.63885416667</v>
      </c>
      <c r="C442" s="1" t="n">
        <v>46138</v>
      </c>
      <c r="D442" t="inlineStr">
        <is>
          <t>JÄMTLANDS LÄN</t>
        </is>
      </c>
      <c r="E442" t="inlineStr">
        <is>
          <t>ÅRE</t>
        </is>
      </c>
      <c r="G442" t="n">
        <v>9.9</v>
      </c>
      <c r="H442" t="n">
        <v>0</v>
      </c>
      <c r="I442" t="n">
        <v>0</v>
      </c>
      <c r="J442" t="n">
        <v>0</v>
      </c>
      <c r="K442" t="n">
        <v>0</v>
      </c>
      <c r="L442" t="n">
        <v>0</v>
      </c>
      <c r="M442" t="n">
        <v>0</v>
      </c>
      <c r="N442" t="n">
        <v>0</v>
      </c>
      <c r="O442" t="n">
        <v>0</v>
      </c>
      <c r="P442" t="n">
        <v>0</v>
      </c>
      <c r="Q442" t="n">
        <v>0</v>
      </c>
      <c r="R442" s="2" t="inlineStr"/>
    </row>
    <row r="443" ht="15" customHeight="1">
      <c r="A443" t="inlineStr">
        <is>
          <t>A 58872-2025</t>
        </is>
      </c>
      <c r="B443" s="1" t="n">
        <v>45987.46554398148</v>
      </c>
      <c r="C443" s="1" t="n">
        <v>46138</v>
      </c>
      <c r="D443" t="inlineStr">
        <is>
          <t>JÄMTLANDS LÄN</t>
        </is>
      </c>
      <c r="E443" t="inlineStr">
        <is>
          <t>ÅRE</t>
        </is>
      </c>
      <c r="G443" t="n">
        <v>8</v>
      </c>
      <c r="H443" t="n">
        <v>0</v>
      </c>
      <c r="I443" t="n">
        <v>0</v>
      </c>
      <c r="J443" t="n">
        <v>0</v>
      </c>
      <c r="K443" t="n">
        <v>0</v>
      </c>
      <c r="L443" t="n">
        <v>0</v>
      </c>
      <c r="M443" t="n">
        <v>0</v>
      </c>
      <c r="N443" t="n">
        <v>0</v>
      </c>
      <c r="O443" t="n">
        <v>0</v>
      </c>
      <c r="P443" t="n">
        <v>0</v>
      </c>
      <c r="Q443" t="n">
        <v>0</v>
      </c>
      <c r="R443" s="2" t="inlineStr"/>
    </row>
    <row r="444" ht="15" customHeight="1">
      <c r="A444" t="inlineStr">
        <is>
          <t>A 58891-2025</t>
        </is>
      </c>
      <c r="B444" s="1" t="n">
        <v>45987.49034722222</v>
      </c>
      <c r="C444" s="1" t="n">
        <v>46138</v>
      </c>
      <c r="D444" t="inlineStr">
        <is>
          <t>JÄMTLANDS LÄN</t>
        </is>
      </c>
      <c r="E444" t="inlineStr">
        <is>
          <t>ÅRE</t>
        </is>
      </c>
      <c r="G444" t="n">
        <v>4.1</v>
      </c>
      <c r="H444" t="n">
        <v>0</v>
      </c>
      <c r="I444" t="n">
        <v>0</v>
      </c>
      <c r="J444" t="n">
        <v>0</v>
      </c>
      <c r="K444" t="n">
        <v>0</v>
      </c>
      <c r="L444" t="n">
        <v>0</v>
      </c>
      <c r="M444" t="n">
        <v>0</v>
      </c>
      <c r="N444" t="n">
        <v>0</v>
      </c>
      <c r="O444" t="n">
        <v>0</v>
      </c>
      <c r="P444" t="n">
        <v>0</v>
      </c>
      <c r="Q444" t="n">
        <v>0</v>
      </c>
      <c r="R444" s="2" t="inlineStr"/>
    </row>
    <row r="445" ht="15" customHeight="1">
      <c r="A445" t="inlineStr">
        <is>
          <t>A 36013-2025</t>
        </is>
      </c>
      <c r="B445" s="1" t="n">
        <v>45863.60643518518</v>
      </c>
      <c r="C445" s="1" t="n">
        <v>46138</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36015-2025</t>
        </is>
      </c>
      <c r="B446" s="1" t="n">
        <v>45863.61373842593</v>
      </c>
      <c r="C446" s="1" t="n">
        <v>46138</v>
      </c>
      <c r="D446" t="inlineStr">
        <is>
          <t>JÄMTLANDS LÄN</t>
        </is>
      </c>
      <c r="E446" t="inlineStr">
        <is>
          <t>ÅRE</t>
        </is>
      </c>
      <c r="G446" t="n">
        <v>0.7</v>
      </c>
      <c r="H446" t="n">
        <v>0</v>
      </c>
      <c r="I446" t="n">
        <v>0</v>
      </c>
      <c r="J446" t="n">
        <v>0</v>
      </c>
      <c r="K446" t="n">
        <v>0</v>
      </c>
      <c r="L446" t="n">
        <v>0</v>
      </c>
      <c r="M446" t="n">
        <v>0</v>
      </c>
      <c r="N446" t="n">
        <v>0</v>
      </c>
      <c r="O446" t="n">
        <v>0</v>
      </c>
      <c r="P446" t="n">
        <v>0</v>
      </c>
      <c r="Q446" t="n">
        <v>0</v>
      </c>
      <c r="R446" s="2" t="inlineStr"/>
    </row>
    <row r="447" ht="15" customHeight="1">
      <c r="A447" t="inlineStr">
        <is>
          <t>A 59367-2025</t>
        </is>
      </c>
      <c r="B447" s="1" t="n">
        <v>45989.44711805556</v>
      </c>
      <c r="C447" s="1" t="n">
        <v>46138</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10567-2025</t>
        </is>
      </c>
      <c r="B448" s="1" t="n">
        <v>45714</v>
      </c>
      <c r="C448" s="1" t="n">
        <v>46138</v>
      </c>
      <c r="D448" t="inlineStr">
        <is>
          <t>JÄMTLANDS LÄN</t>
        </is>
      </c>
      <c r="E448" t="inlineStr">
        <is>
          <t>ÅRE</t>
        </is>
      </c>
      <c r="G448" t="n">
        <v>3.6</v>
      </c>
      <c r="H448" t="n">
        <v>0</v>
      </c>
      <c r="I448" t="n">
        <v>0</v>
      </c>
      <c r="J448" t="n">
        <v>0</v>
      </c>
      <c r="K448" t="n">
        <v>0</v>
      </c>
      <c r="L448" t="n">
        <v>0</v>
      </c>
      <c r="M448" t="n">
        <v>0</v>
      </c>
      <c r="N448" t="n">
        <v>0</v>
      </c>
      <c r="O448" t="n">
        <v>0</v>
      </c>
      <c r="P448" t="n">
        <v>0</v>
      </c>
      <c r="Q448" t="n">
        <v>0</v>
      </c>
      <c r="R448" s="2" t="inlineStr"/>
    </row>
    <row r="449" ht="15" customHeight="1">
      <c r="A449" t="inlineStr">
        <is>
          <t>A 59014-2025</t>
        </is>
      </c>
      <c r="B449" s="1" t="n">
        <v>45987.81232638889</v>
      </c>
      <c r="C449" s="1" t="n">
        <v>46138</v>
      </c>
      <c r="D449" t="inlineStr">
        <is>
          <t>JÄMTLANDS LÄN</t>
        </is>
      </c>
      <c r="E449" t="inlineStr">
        <is>
          <t>ÅRE</t>
        </is>
      </c>
      <c r="G449" t="n">
        <v>2.1</v>
      </c>
      <c r="H449" t="n">
        <v>0</v>
      </c>
      <c r="I449" t="n">
        <v>0</v>
      </c>
      <c r="J449" t="n">
        <v>0</v>
      </c>
      <c r="K449" t="n">
        <v>0</v>
      </c>
      <c r="L449" t="n">
        <v>0</v>
      </c>
      <c r="M449" t="n">
        <v>0</v>
      </c>
      <c r="N449" t="n">
        <v>0</v>
      </c>
      <c r="O449" t="n">
        <v>0</v>
      </c>
      <c r="P449" t="n">
        <v>0</v>
      </c>
      <c r="Q449" t="n">
        <v>0</v>
      </c>
      <c r="R449" s="2" t="inlineStr"/>
    </row>
    <row r="450" ht="15" customHeight="1">
      <c r="A450" t="inlineStr">
        <is>
          <t>A 59968-2023</t>
        </is>
      </c>
      <c r="B450" s="1" t="n">
        <v>45254</v>
      </c>
      <c r="C450" s="1" t="n">
        <v>46138</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41266-2024</t>
        </is>
      </c>
      <c r="B451" s="1" t="n">
        <v>45559</v>
      </c>
      <c r="C451" s="1" t="n">
        <v>46138</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59161-2025</t>
        </is>
      </c>
      <c r="B452" s="1" t="n">
        <v>45988.55300925926</v>
      </c>
      <c r="C452" s="1" t="n">
        <v>46138</v>
      </c>
      <c r="D452" t="inlineStr">
        <is>
          <t>JÄMTLANDS LÄN</t>
        </is>
      </c>
      <c r="E452" t="inlineStr">
        <is>
          <t>ÅRE</t>
        </is>
      </c>
      <c r="G452" t="n">
        <v>3.8</v>
      </c>
      <c r="H452" t="n">
        <v>0</v>
      </c>
      <c r="I452" t="n">
        <v>0</v>
      </c>
      <c r="J452" t="n">
        <v>0</v>
      </c>
      <c r="K452" t="n">
        <v>0</v>
      </c>
      <c r="L452" t="n">
        <v>0</v>
      </c>
      <c r="M452" t="n">
        <v>0</v>
      </c>
      <c r="N452" t="n">
        <v>0</v>
      </c>
      <c r="O452" t="n">
        <v>0</v>
      </c>
      <c r="P452" t="n">
        <v>0</v>
      </c>
      <c r="Q452" t="n">
        <v>0</v>
      </c>
      <c r="R452" s="2" t="inlineStr"/>
    </row>
    <row r="453" ht="15" customHeight="1">
      <c r="A453" t="inlineStr">
        <is>
          <t>A 12227-2023</t>
        </is>
      </c>
      <c r="B453" s="1" t="n">
        <v>44998.60261574074</v>
      </c>
      <c r="C453" s="1" t="n">
        <v>46138</v>
      </c>
      <c r="D453" t="inlineStr">
        <is>
          <t>JÄMTLANDS LÄN</t>
        </is>
      </c>
      <c r="E453" t="inlineStr">
        <is>
          <t>ÅRE</t>
        </is>
      </c>
      <c r="G453" t="n">
        <v>2.9</v>
      </c>
      <c r="H453" t="n">
        <v>0</v>
      </c>
      <c r="I453" t="n">
        <v>0</v>
      </c>
      <c r="J453" t="n">
        <v>0</v>
      </c>
      <c r="K453" t="n">
        <v>0</v>
      </c>
      <c r="L453" t="n">
        <v>0</v>
      </c>
      <c r="M453" t="n">
        <v>0</v>
      </c>
      <c r="N453" t="n">
        <v>0</v>
      </c>
      <c r="O453" t="n">
        <v>0</v>
      </c>
      <c r="P453" t="n">
        <v>0</v>
      </c>
      <c r="Q453" t="n">
        <v>0</v>
      </c>
      <c r="R453" s="2" t="inlineStr"/>
    </row>
    <row r="454" ht="15" customHeight="1">
      <c r="A454" t="inlineStr">
        <is>
          <t>A 59823-2025</t>
        </is>
      </c>
      <c r="B454" s="1" t="n">
        <v>45992.64878472222</v>
      </c>
      <c r="C454" s="1" t="n">
        <v>46138</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59690-2025</t>
        </is>
      </c>
      <c r="B455" s="1" t="n">
        <v>45992.48541666667</v>
      </c>
      <c r="C455" s="1" t="n">
        <v>46138</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59653-2025</t>
        </is>
      </c>
      <c r="B456" s="1" t="n">
        <v>45992.43616898148</v>
      </c>
      <c r="C456" s="1" t="n">
        <v>46138</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59659-2025</t>
        </is>
      </c>
      <c r="B457" s="1" t="n">
        <v>45992.44748842593</v>
      </c>
      <c r="C457" s="1" t="n">
        <v>46138</v>
      </c>
      <c r="D457" t="inlineStr">
        <is>
          <t>JÄMTLANDS LÄN</t>
        </is>
      </c>
      <c r="E457" t="inlineStr">
        <is>
          <t>ÅRE</t>
        </is>
      </c>
      <c r="G457" t="n">
        <v>2.8</v>
      </c>
      <c r="H457" t="n">
        <v>0</v>
      </c>
      <c r="I457" t="n">
        <v>0</v>
      </c>
      <c r="J457" t="n">
        <v>0</v>
      </c>
      <c r="K457" t="n">
        <v>0</v>
      </c>
      <c r="L457" t="n">
        <v>0</v>
      </c>
      <c r="M457" t="n">
        <v>0</v>
      </c>
      <c r="N457" t="n">
        <v>0</v>
      </c>
      <c r="O457" t="n">
        <v>0</v>
      </c>
      <c r="P457" t="n">
        <v>0</v>
      </c>
      <c r="Q457" t="n">
        <v>0</v>
      </c>
      <c r="R457" s="2" t="inlineStr"/>
    </row>
    <row r="458" ht="15" customHeight="1">
      <c r="A458" t="inlineStr">
        <is>
          <t>A 34931-2025</t>
        </is>
      </c>
      <c r="B458" s="1" t="n">
        <v>45849</v>
      </c>
      <c r="C458" s="1" t="n">
        <v>46138</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64245-2021</t>
        </is>
      </c>
      <c r="B459" s="1" t="n">
        <v>44510</v>
      </c>
      <c r="C459" s="1" t="n">
        <v>46138</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60398-2025</t>
        </is>
      </c>
      <c r="B460" s="1" t="n">
        <v>45995.3990162037</v>
      </c>
      <c r="C460" s="1" t="n">
        <v>46138</v>
      </c>
      <c r="D460" t="inlineStr">
        <is>
          <t>JÄMTLANDS LÄN</t>
        </is>
      </c>
      <c r="E460" t="inlineStr">
        <is>
          <t>ÅRE</t>
        </is>
      </c>
      <c r="G460" t="n">
        <v>3.7</v>
      </c>
      <c r="H460" t="n">
        <v>0</v>
      </c>
      <c r="I460" t="n">
        <v>0</v>
      </c>
      <c r="J460" t="n">
        <v>0</v>
      </c>
      <c r="K460" t="n">
        <v>0</v>
      </c>
      <c r="L460" t="n">
        <v>0</v>
      </c>
      <c r="M460" t="n">
        <v>0</v>
      </c>
      <c r="N460" t="n">
        <v>0</v>
      </c>
      <c r="O460" t="n">
        <v>0</v>
      </c>
      <c r="P460" t="n">
        <v>0</v>
      </c>
      <c r="Q460" t="n">
        <v>0</v>
      </c>
      <c r="R460" s="2" t="inlineStr"/>
    </row>
    <row r="461" ht="15" customHeight="1">
      <c r="A461" t="inlineStr">
        <is>
          <t>A 60473-2025</t>
        </is>
      </c>
      <c r="B461" s="1" t="n">
        <v>45995.57738425926</v>
      </c>
      <c r="C461" s="1" t="n">
        <v>46138</v>
      </c>
      <c r="D461" t="inlineStr">
        <is>
          <t>JÄMTLANDS LÄN</t>
        </is>
      </c>
      <c r="E461" t="inlineStr">
        <is>
          <t>ÅRE</t>
        </is>
      </c>
      <c r="G461" t="n">
        <v>7.7</v>
      </c>
      <c r="H461" t="n">
        <v>0</v>
      </c>
      <c r="I461" t="n">
        <v>0</v>
      </c>
      <c r="J461" t="n">
        <v>0</v>
      </c>
      <c r="K461" t="n">
        <v>0</v>
      </c>
      <c r="L461" t="n">
        <v>0</v>
      </c>
      <c r="M461" t="n">
        <v>0</v>
      </c>
      <c r="N461" t="n">
        <v>0</v>
      </c>
      <c r="O461" t="n">
        <v>0</v>
      </c>
      <c r="P461" t="n">
        <v>0</v>
      </c>
      <c r="Q461" t="n">
        <v>0</v>
      </c>
      <c r="R461" s="2" t="inlineStr"/>
    </row>
    <row r="462" ht="15" customHeight="1">
      <c r="A462" t="inlineStr">
        <is>
          <t>A 54247-2024</t>
        </is>
      </c>
      <c r="B462" s="1" t="n">
        <v>45616</v>
      </c>
      <c r="C462" s="1" t="n">
        <v>46138</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58889-2022</t>
        </is>
      </c>
      <c r="B463" s="1" t="n">
        <v>44896</v>
      </c>
      <c r="C463" s="1" t="n">
        <v>46138</v>
      </c>
      <c r="D463" t="inlineStr">
        <is>
          <t>JÄMTLANDS LÄN</t>
        </is>
      </c>
      <c r="E463" t="inlineStr">
        <is>
          <t>ÅRE</t>
        </is>
      </c>
      <c r="G463" t="n">
        <v>6.9</v>
      </c>
      <c r="H463" t="n">
        <v>0</v>
      </c>
      <c r="I463" t="n">
        <v>0</v>
      </c>
      <c r="J463" t="n">
        <v>0</v>
      </c>
      <c r="K463" t="n">
        <v>0</v>
      </c>
      <c r="L463" t="n">
        <v>0</v>
      </c>
      <c r="M463" t="n">
        <v>0</v>
      </c>
      <c r="N463" t="n">
        <v>0</v>
      </c>
      <c r="O463" t="n">
        <v>0</v>
      </c>
      <c r="P463" t="n">
        <v>0</v>
      </c>
      <c r="Q463" t="n">
        <v>0</v>
      </c>
      <c r="R463" s="2" t="inlineStr"/>
    </row>
    <row r="464" ht="15" customHeight="1">
      <c r="A464" t="inlineStr">
        <is>
          <t>A 60585-2025</t>
        </is>
      </c>
      <c r="B464" s="1" t="n">
        <v>45996.33314814815</v>
      </c>
      <c r="C464" s="1" t="n">
        <v>46138</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61009-2025</t>
        </is>
      </c>
      <c r="B465" s="1" t="n">
        <v>45999</v>
      </c>
      <c r="C465" s="1" t="n">
        <v>46138</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36975-2025</t>
        </is>
      </c>
      <c r="B466" s="1" t="n">
        <v>45874.63773148148</v>
      </c>
      <c r="C466" s="1" t="n">
        <v>46138</v>
      </c>
      <c r="D466" t="inlineStr">
        <is>
          <t>JÄMTLANDS LÄN</t>
        </is>
      </c>
      <c r="E466" t="inlineStr">
        <is>
          <t>ÅRE</t>
        </is>
      </c>
      <c r="F466" t="inlineStr">
        <is>
          <t>Övriga Aktiebolag</t>
        </is>
      </c>
      <c r="G466" t="n">
        <v>3.2</v>
      </c>
      <c r="H466" t="n">
        <v>0</v>
      </c>
      <c r="I466" t="n">
        <v>0</v>
      </c>
      <c r="J466" t="n">
        <v>0</v>
      </c>
      <c r="K466" t="n">
        <v>0</v>
      </c>
      <c r="L466" t="n">
        <v>0</v>
      </c>
      <c r="M466" t="n">
        <v>0</v>
      </c>
      <c r="N466" t="n">
        <v>0</v>
      </c>
      <c r="O466" t="n">
        <v>0</v>
      </c>
      <c r="P466" t="n">
        <v>0</v>
      </c>
      <c r="Q466" t="n">
        <v>0</v>
      </c>
      <c r="R466" s="2" t="inlineStr"/>
    </row>
    <row r="467" ht="15" customHeight="1">
      <c r="A467" t="inlineStr">
        <is>
          <t>A 60783-2025</t>
        </is>
      </c>
      <c r="B467" s="1" t="n">
        <v>45999.39971064815</v>
      </c>
      <c r="C467" s="1" t="n">
        <v>46138</v>
      </c>
      <c r="D467" t="inlineStr">
        <is>
          <t>JÄMTLANDS LÄN</t>
        </is>
      </c>
      <c r="E467" t="inlineStr">
        <is>
          <t>ÅRE</t>
        </is>
      </c>
      <c r="G467" t="n">
        <v>10.6</v>
      </c>
      <c r="H467" t="n">
        <v>0</v>
      </c>
      <c r="I467" t="n">
        <v>0</v>
      </c>
      <c r="J467" t="n">
        <v>0</v>
      </c>
      <c r="K467" t="n">
        <v>0</v>
      </c>
      <c r="L467" t="n">
        <v>0</v>
      </c>
      <c r="M467" t="n">
        <v>0</v>
      </c>
      <c r="N467" t="n">
        <v>0</v>
      </c>
      <c r="O467" t="n">
        <v>0</v>
      </c>
      <c r="P467" t="n">
        <v>0</v>
      </c>
      <c r="Q467" t="n">
        <v>0</v>
      </c>
      <c r="R467" s="2" t="inlineStr"/>
    </row>
    <row r="468" ht="15" customHeight="1">
      <c r="A468" t="inlineStr">
        <is>
          <t>A 37118-2025</t>
        </is>
      </c>
      <c r="B468" s="1" t="n">
        <v>45875</v>
      </c>
      <c r="C468" s="1" t="n">
        <v>46138</v>
      </c>
      <c r="D468" t="inlineStr">
        <is>
          <t>JÄMTLANDS LÄN</t>
        </is>
      </c>
      <c r="E468" t="inlineStr">
        <is>
          <t>ÅRE</t>
        </is>
      </c>
      <c r="G468" t="n">
        <v>2.9</v>
      </c>
      <c r="H468" t="n">
        <v>0</v>
      </c>
      <c r="I468" t="n">
        <v>0</v>
      </c>
      <c r="J468" t="n">
        <v>0</v>
      </c>
      <c r="K468" t="n">
        <v>0</v>
      </c>
      <c r="L468" t="n">
        <v>0</v>
      </c>
      <c r="M468" t="n">
        <v>0</v>
      </c>
      <c r="N468" t="n">
        <v>0</v>
      </c>
      <c r="O468" t="n">
        <v>0</v>
      </c>
      <c r="P468" t="n">
        <v>0</v>
      </c>
      <c r="Q468" t="n">
        <v>0</v>
      </c>
      <c r="R468" s="2" t="inlineStr"/>
    </row>
    <row r="469" ht="15" customHeight="1">
      <c r="A469" t="inlineStr">
        <is>
          <t>A 48223-2025</t>
        </is>
      </c>
      <c r="B469" s="1" t="n">
        <v>45931</v>
      </c>
      <c r="C469" s="1" t="n">
        <v>46138</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c r="U469">
        <f>HYPERLINK("https://klasma.github.io/Logging_2321/knärot/A 48223-2025 karta knärot.png", "A 48223-2025")</f>
        <v/>
      </c>
      <c r="V469">
        <f>HYPERLINK("https://klasma.github.io/Logging_2321/klagomål/A 48223-2025 FSC-klagomål.docx", "A 48223-2025")</f>
        <v/>
      </c>
      <c r="W469">
        <f>HYPERLINK("https://klasma.github.io/Logging_2321/klagomålsmail/A 48223-2025 FSC-klagomål mail.docx", "A 48223-2025")</f>
        <v/>
      </c>
      <c r="X469">
        <f>HYPERLINK("https://klasma.github.io/Logging_2321/tillsyn/A 48223-2025 tillsynsbegäran.docx", "A 48223-2025")</f>
        <v/>
      </c>
      <c r="Y469">
        <f>HYPERLINK("https://klasma.github.io/Logging_2321/tillsynsmail/A 48223-2025 tillsynsbegäran mail.docx", "A 48223-2025")</f>
        <v/>
      </c>
    </row>
    <row r="470" ht="15" customHeight="1">
      <c r="A470" t="inlineStr">
        <is>
          <t>A 47963-2025</t>
        </is>
      </c>
      <c r="B470" s="1" t="n">
        <v>45931</v>
      </c>
      <c r="C470" s="1" t="n">
        <v>46138</v>
      </c>
      <c r="D470" t="inlineStr">
        <is>
          <t>JÄMTLANDS LÄN</t>
        </is>
      </c>
      <c r="E470" t="inlineStr">
        <is>
          <t>ÅRE</t>
        </is>
      </c>
      <c r="G470" t="n">
        <v>0.3</v>
      </c>
      <c r="H470" t="n">
        <v>0</v>
      </c>
      <c r="I470" t="n">
        <v>0</v>
      </c>
      <c r="J470" t="n">
        <v>0</v>
      </c>
      <c r="K470" t="n">
        <v>0</v>
      </c>
      <c r="L470" t="n">
        <v>0</v>
      </c>
      <c r="M470" t="n">
        <v>0</v>
      </c>
      <c r="N470" t="n">
        <v>0</v>
      </c>
      <c r="O470" t="n">
        <v>0</v>
      </c>
      <c r="P470" t="n">
        <v>0</v>
      </c>
      <c r="Q470" t="n">
        <v>0</v>
      </c>
      <c r="R470" s="2" t="inlineStr"/>
    </row>
    <row r="471" ht="15" customHeight="1">
      <c r="A471" t="inlineStr">
        <is>
          <t>A 22603-2025</t>
        </is>
      </c>
      <c r="B471" s="1" t="n">
        <v>45786</v>
      </c>
      <c r="C471" s="1" t="n">
        <v>46138</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15692-2025</t>
        </is>
      </c>
      <c r="B472" s="1" t="n">
        <v>45748</v>
      </c>
      <c r="C472" s="1" t="n">
        <v>46138</v>
      </c>
      <c r="D472" t="inlineStr">
        <is>
          <t>JÄMTLANDS LÄN</t>
        </is>
      </c>
      <c r="E472" t="inlineStr">
        <is>
          <t>ÅRE</t>
        </is>
      </c>
      <c r="G472" t="n">
        <v>2.7</v>
      </c>
      <c r="H472" t="n">
        <v>0</v>
      </c>
      <c r="I472" t="n">
        <v>0</v>
      </c>
      <c r="J472" t="n">
        <v>0</v>
      </c>
      <c r="K472" t="n">
        <v>0</v>
      </c>
      <c r="L472" t="n">
        <v>0</v>
      </c>
      <c r="M472" t="n">
        <v>0</v>
      </c>
      <c r="N472" t="n">
        <v>0</v>
      </c>
      <c r="O472" t="n">
        <v>0</v>
      </c>
      <c r="P472" t="n">
        <v>0</v>
      </c>
      <c r="Q472" t="n">
        <v>0</v>
      </c>
      <c r="R472" s="2" t="inlineStr"/>
    </row>
    <row r="473" ht="15" customHeight="1">
      <c r="A473" t="inlineStr">
        <is>
          <t>A 37178-2025</t>
        </is>
      </c>
      <c r="B473" s="1" t="n">
        <v>45875</v>
      </c>
      <c r="C473" s="1" t="n">
        <v>46138</v>
      </c>
      <c r="D473" t="inlineStr">
        <is>
          <t>JÄMTLANDS LÄN</t>
        </is>
      </c>
      <c r="E473" t="inlineStr">
        <is>
          <t>ÅRE</t>
        </is>
      </c>
      <c r="G473" t="n">
        <v>5</v>
      </c>
      <c r="H473" t="n">
        <v>0</v>
      </c>
      <c r="I473" t="n">
        <v>0</v>
      </c>
      <c r="J473" t="n">
        <v>0</v>
      </c>
      <c r="K473" t="n">
        <v>0</v>
      </c>
      <c r="L473" t="n">
        <v>0</v>
      </c>
      <c r="M473" t="n">
        <v>0</v>
      </c>
      <c r="N473" t="n">
        <v>0</v>
      </c>
      <c r="O473" t="n">
        <v>0</v>
      </c>
      <c r="P473" t="n">
        <v>0</v>
      </c>
      <c r="Q473" t="n">
        <v>0</v>
      </c>
      <c r="R473" s="2" t="inlineStr"/>
    </row>
    <row r="474" ht="15" customHeight="1">
      <c r="A474" t="inlineStr">
        <is>
          <t>A 61032-2025</t>
        </is>
      </c>
      <c r="B474" s="1" t="n">
        <v>45999.89533564815</v>
      </c>
      <c r="C474" s="1" t="n">
        <v>46138</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22602-2025</t>
        </is>
      </c>
      <c r="B475" s="1" t="n">
        <v>45786</v>
      </c>
      <c r="C475" s="1" t="n">
        <v>46138</v>
      </c>
      <c r="D475" t="inlineStr">
        <is>
          <t>JÄMTLANDS LÄN</t>
        </is>
      </c>
      <c r="E475" t="inlineStr">
        <is>
          <t>ÅRE</t>
        </is>
      </c>
      <c r="G475" t="n">
        <v>13.1</v>
      </c>
      <c r="H475" t="n">
        <v>0</v>
      </c>
      <c r="I475" t="n">
        <v>0</v>
      </c>
      <c r="J475" t="n">
        <v>0</v>
      </c>
      <c r="K475" t="n">
        <v>0</v>
      </c>
      <c r="L475" t="n">
        <v>0</v>
      </c>
      <c r="M475" t="n">
        <v>0</v>
      </c>
      <c r="N475" t="n">
        <v>0</v>
      </c>
      <c r="O475" t="n">
        <v>0</v>
      </c>
      <c r="P475" t="n">
        <v>0</v>
      </c>
      <c r="Q475" t="n">
        <v>0</v>
      </c>
      <c r="R475" s="2" t="inlineStr"/>
    </row>
    <row r="476" ht="15" customHeight="1">
      <c r="A476" t="inlineStr">
        <is>
          <t>A 37159-2025</t>
        </is>
      </c>
      <c r="B476" s="1" t="n">
        <v>45875</v>
      </c>
      <c r="C476" s="1" t="n">
        <v>46138</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45113-2024</t>
        </is>
      </c>
      <c r="B477" s="1" t="n">
        <v>45575.59709490741</v>
      </c>
      <c r="C477" s="1" t="n">
        <v>46138</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41273-2025</t>
        </is>
      </c>
      <c r="B478" s="1" t="n">
        <v>45898</v>
      </c>
      <c r="C478" s="1" t="n">
        <v>46138</v>
      </c>
      <c r="D478" t="inlineStr">
        <is>
          <t>JÄMTLANDS LÄN</t>
        </is>
      </c>
      <c r="E478" t="inlineStr">
        <is>
          <t>ÅRE</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37158-2025</t>
        </is>
      </c>
      <c r="B479" s="1" t="n">
        <v>45875</v>
      </c>
      <c r="C479" s="1" t="n">
        <v>46138</v>
      </c>
      <c r="D479" t="inlineStr">
        <is>
          <t>JÄMTLANDS LÄN</t>
        </is>
      </c>
      <c r="E479" t="inlineStr">
        <is>
          <t>ÅRE</t>
        </is>
      </c>
      <c r="G479" t="n">
        <v>4.7</v>
      </c>
      <c r="H479" t="n">
        <v>0</v>
      </c>
      <c r="I479" t="n">
        <v>0</v>
      </c>
      <c r="J479" t="n">
        <v>0</v>
      </c>
      <c r="K479" t="n">
        <v>0</v>
      </c>
      <c r="L479" t="n">
        <v>0</v>
      </c>
      <c r="M479" t="n">
        <v>0</v>
      </c>
      <c r="N479" t="n">
        <v>0</v>
      </c>
      <c r="O479" t="n">
        <v>0</v>
      </c>
      <c r="P479" t="n">
        <v>0</v>
      </c>
      <c r="Q479" t="n">
        <v>0</v>
      </c>
      <c r="R479" s="2" t="inlineStr"/>
    </row>
    <row r="480" ht="15" customHeight="1">
      <c r="A480" t="inlineStr">
        <is>
          <t>A 37249-2025</t>
        </is>
      </c>
      <c r="B480" s="1" t="n">
        <v>45876.40699074074</v>
      </c>
      <c r="C480" s="1" t="n">
        <v>46138</v>
      </c>
      <c r="D480" t="inlineStr">
        <is>
          <t>JÄMTLANDS LÄN</t>
        </is>
      </c>
      <c r="E480" t="inlineStr">
        <is>
          <t>ÅRE</t>
        </is>
      </c>
      <c r="G480" t="n">
        <v>1.9</v>
      </c>
      <c r="H480" t="n">
        <v>0</v>
      </c>
      <c r="I480" t="n">
        <v>0</v>
      </c>
      <c r="J480" t="n">
        <v>0</v>
      </c>
      <c r="K480" t="n">
        <v>0</v>
      </c>
      <c r="L480" t="n">
        <v>0</v>
      </c>
      <c r="M480" t="n">
        <v>0</v>
      </c>
      <c r="N480" t="n">
        <v>0</v>
      </c>
      <c r="O480" t="n">
        <v>0</v>
      </c>
      <c r="P480" t="n">
        <v>0</v>
      </c>
      <c r="Q480" t="n">
        <v>0</v>
      </c>
      <c r="R480" s="2" t="inlineStr"/>
    </row>
    <row r="481" ht="15" customHeight="1">
      <c r="A481" t="inlineStr">
        <is>
          <t>A 20480-2024</t>
        </is>
      </c>
      <c r="B481" s="1" t="n">
        <v>45435.71126157408</v>
      </c>
      <c r="C481" s="1" t="n">
        <v>46138</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61355-2025</t>
        </is>
      </c>
      <c r="B482" s="1" t="n">
        <v>46001.39805555555</v>
      </c>
      <c r="C482" s="1" t="n">
        <v>46138</v>
      </c>
      <c r="D482" t="inlineStr">
        <is>
          <t>JÄMTLANDS LÄN</t>
        </is>
      </c>
      <c r="E482" t="inlineStr">
        <is>
          <t>ÅRE</t>
        </is>
      </c>
      <c r="G482" t="n">
        <v>6.7</v>
      </c>
      <c r="H482" t="n">
        <v>0</v>
      </c>
      <c r="I482" t="n">
        <v>0</v>
      </c>
      <c r="J482" t="n">
        <v>0</v>
      </c>
      <c r="K482" t="n">
        <v>0</v>
      </c>
      <c r="L482" t="n">
        <v>0</v>
      </c>
      <c r="M482" t="n">
        <v>0</v>
      </c>
      <c r="N482" t="n">
        <v>0</v>
      </c>
      <c r="O482" t="n">
        <v>0</v>
      </c>
      <c r="P482" t="n">
        <v>0</v>
      </c>
      <c r="Q482" t="n">
        <v>0</v>
      </c>
      <c r="R482" s="2" t="inlineStr"/>
    </row>
    <row r="483" ht="15" customHeight="1">
      <c r="A483" t="inlineStr">
        <is>
          <t>A 61024-2025</t>
        </is>
      </c>
      <c r="B483" s="1" t="n">
        <v>45999.87188657407</v>
      </c>
      <c r="C483" s="1" t="n">
        <v>46138</v>
      </c>
      <c r="D483" t="inlineStr">
        <is>
          <t>JÄMTLANDS LÄN</t>
        </is>
      </c>
      <c r="E483" t="inlineStr">
        <is>
          <t>ÅRE</t>
        </is>
      </c>
      <c r="G483" t="n">
        <v>5.6</v>
      </c>
      <c r="H483" t="n">
        <v>0</v>
      </c>
      <c r="I483" t="n">
        <v>0</v>
      </c>
      <c r="J483" t="n">
        <v>0</v>
      </c>
      <c r="K483" t="n">
        <v>0</v>
      </c>
      <c r="L483" t="n">
        <v>0</v>
      </c>
      <c r="M483" t="n">
        <v>0</v>
      </c>
      <c r="N483" t="n">
        <v>0</v>
      </c>
      <c r="O483" t="n">
        <v>0</v>
      </c>
      <c r="P483" t="n">
        <v>0</v>
      </c>
      <c r="Q483" t="n">
        <v>0</v>
      </c>
      <c r="R483" s="2" t="inlineStr"/>
    </row>
    <row r="484" ht="15" customHeight="1">
      <c r="A484" t="inlineStr">
        <is>
          <t>A 38285-2025</t>
        </is>
      </c>
      <c r="B484" s="1" t="n">
        <v>45883.43145833333</v>
      </c>
      <c r="C484" s="1" t="n">
        <v>46138</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61996-2025</t>
        </is>
      </c>
      <c r="B485" s="1" t="n">
        <v>46003.64273148148</v>
      </c>
      <c r="C485" s="1" t="n">
        <v>46138</v>
      </c>
      <c r="D485" t="inlineStr">
        <is>
          <t>JÄMTLANDS LÄN</t>
        </is>
      </c>
      <c r="E485" t="inlineStr">
        <is>
          <t>ÅRE</t>
        </is>
      </c>
      <c r="G485" t="n">
        <v>4.5</v>
      </c>
      <c r="H485" t="n">
        <v>0</v>
      </c>
      <c r="I485" t="n">
        <v>0</v>
      </c>
      <c r="J485" t="n">
        <v>0</v>
      </c>
      <c r="K485" t="n">
        <v>0</v>
      </c>
      <c r="L485" t="n">
        <v>0</v>
      </c>
      <c r="M485" t="n">
        <v>0</v>
      </c>
      <c r="N485" t="n">
        <v>0</v>
      </c>
      <c r="O485" t="n">
        <v>0</v>
      </c>
      <c r="P485" t="n">
        <v>0</v>
      </c>
      <c r="Q485" t="n">
        <v>0</v>
      </c>
      <c r="R485" s="2" t="inlineStr"/>
    </row>
    <row r="486" ht="15" customHeight="1">
      <c r="A486" t="inlineStr">
        <is>
          <t>A 6358-2025</t>
        </is>
      </c>
      <c r="B486" s="1" t="n">
        <v>45699.36491898148</v>
      </c>
      <c r="C486" s="1" t="n">
        <v>46138</v>
      </c>
      <c r="D486" t="inlineStr">
        <is>
          <t>JÄMTLANDS LÄN</t>
        </is>
      </c>
      <c r="E486" t="inlineStr">
        <is>
          <t>ÅRE</t>
        </is>
      </c>
      <c r="G486" t="n">
        <v>5.6</v>
      </c>
      <c r="H486" t="n">
        <v>0</v>
      </c>
      <c r="I486" t="n">
        <v>0</v>
      </c>
      <c r="J486" t="n">
        <v>0</v>
      </c>
      <c r="K486" t="n">
        <v>0</v>
      </c>
      <c r="L486" t="n">
        <v>0</v>
      </c>
      <c r="M486" t="n">
        <v>0</v>
      </c>
      <c r="N486" t="n">
        <v>0</v>
      </c>
      <c r="O486" t="n">
        <v>0</v>
      </c>
      <c r="P486" t="n">
        <v>0</v>
      </c>
      <c r="Q486" t="n">
        <v>0</v>
      </c>
      <c r="R486" s="2" t="inlineStr"/>
    </row>
    <row r="487" ht="15" customHeight="1">
      <c r="A487" t="inlineStr">
        <is>
          <t>A 62532-2025</t>
        </is>
      </c>
      <c r="B487" s="1" t="n">
        <v>46007.63630787037</v>
      </c>
      <c r="C487" s="1" t="n">
        <v>46138</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62218-2025</t>
        </is>
      </c>
      <c r="B488" s="1" t="n">
        <v>46006.58048611111</v>
      </c>
      <c r="C488" s="1" t="n">
        <v>46138</v>
      </c>
      <c r="D488" t="inlineStr">
        <is>
          <t>JÄMTLANDS LÄN</t>
        </is>
      </c>
      <c r="E488" t="inlineStr">
        <is>
          <t>ÅRE</t>
        </is>
      </c>
      <c r="G488" t="n">
        <v>15.6</v>
      </c>
      <c r="H488" t="n">
        <v>0</v>
      </c>
      <c r="I488" t="n">
        <v>0</v>
      </c>
      <c r="J488" t="n">
        <v>0</v>
      </c>
      <c r="K488" t="n">
        <v>0</v>
      </c>
      <c r="L488" t="n">
        <v>0</v>
      </c>
      <c r="M488" t="n">
        <v>0</v>
      </c>
      <c r="N488" t="n">
        <v>0</v>
      </c>
      <c r="O488" t="n">
        <v>0</v>
      </c>
      <c r="P488" t="n">
        <v>0</v>
      </c>
      <c r="Q488" t="n">
        <v>0</v>
      </c>
      <c r="R488" s="2" t="inlineStr"/>
    </row>
    <row r="489" ht="15" customHeight="1">
      <c r="A489" t="inlineStr">
        <is>
          <t>A 62259-2025</t>
        </is>
      </c>
      <c r="B489" s="1" t="n">
        <v>46006.61553240741</v>
      </c>
      <c r="C489" s="1" t="n">
        <v>46138</v>
      </c>
      <c r="D489" t="inlineStr">
        <is>
          <t>JÄMTLANDS LÄN</t>
        </is>
      </c>
      <c r="E489" t="inlineStr">
        <is>
          <t>ÅRE</t>
        </is>
      </c>
      <c r="G489" t="n">
        <v>7.1</v>
      </c>
      <c r="H489" t="n">
        <v>0</v>
      </c>
      <c r="I489" t="n">
        <v>0</v>
      </c>
      <c r="J489" t="n">
        <v>0</v>
      </c>
      <c r="K489" t="n">
        <v>0</v>
      </c>
      <c r="L489" t="n">
        <v>0</v>
      </c>
      <c r="M489" t="n">
        <v>0</v>
      </c>
      <c r="N489" t="n">
        <v>0</v>
      </c>
      <c r="O489" t="n">
        <v>0</v>
      </c>
      <c r="P489" t="n">
        <v>0</v>
      </c>
      <c r="Q489" t="n">
        <v>0</v>
      </c>
      <c r="R489" s="2" t="inlineStr"/>
    </row>
    <row r="490" ht="15" customHeight="1">
      <c r="A490" t="inlineStr">
        <is>
          <t>A 62189-2025</t>
        </is>
      </c>
      <c r="B490" s="1" t="n">
        <v>46006.54729166667</v>
      </c>
      <c r="C490" s="1" t="n">
        <v>46138</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62520-2025</t>
        </is>
      </c>
      <c r="B491" s="1" t="n">
        <v>46007.61498842593</v>
      </c>
      <c r="C491" s="1" t="n">
        <v>46138</v>
      </c>
      <c r="D491" t="inlineStr">
        <is>
          <t>JÄMTLANDS LÄN</t>
        </is>
      </c>
      <c r="E491" t="inlineStr">
        <is>
          <t>ÅRE</t>
        </is>
      </c>
      <c r="G491" t="n">
        <v>0.9</v>
      </c>
      <c r="H491" t="n">
        <v>0</v>
      </c>
      <c r="I491" t="n">
        <v>0</v>
      </c>
      <c r="J491" t="n">
        <v>0</v>
      </c>
      <c r="K491" t="n">
        <v>0</v>
      </c>
      <c r="L491" t="n">
        <v>0</v>
      </c>
      <c r="M491" t="n">
        <v>0</v>
      </c>
      <c r="N491" t="n">
        <v>0</v>
      </c>
      <c r="O491" t="n">
        <v>0</v>
      </c>
      <c r="P491" t="n">
        <v>0</v>
      </c>
      <c r="Q491" t="n">
        <v>0</v>
      </c>
      <c r="R491" s="2" t="inlineStr"/>
    </row>
    <row r="492" ht="15" customHeight="1">
      <c r="A492" t="inlineStr">
        <is>
          <t>A 62521-2025</t>
        </is>
      </c>
      <c r="B492" s="1" t="n">
        <v>46007.61506944444</v>
      </c>
      <c r="C492" s="1" t="n">
        <v>46138</v>
      </c>
      <c r="D492" t="inlineStr">
        <is>
          <t>JÄMTLANDS LÄN</t>
        </is>
      </c>
      <c r="E492" t="inlineStr">
        <is>
          <t>ÅRE</t>
        </is>
      </c>
      <c r="F492" t="inlineStr">
        <is>
          <t>Övriga Aktiebolag</t>
        </is>
      </c>
      <c r="G492" t="n">
        <v>0.8</v>
      </c>
      <c r="H492" t="n">
        <v>0</v>
      </c>
      <c r="I492" t="n">
        <v>0</v>
      </c>
      <c r="J492" t="n">
        <v>0</v>
      </c>
      <c r="K492" t="n">
        <v>0</v>
      </c>
      <c r="L492" t="n">
        <v>0</v>
      </c>
      <c r="M492" t="n">
        <v>0</v>
      </c>
      <c r="N492" t="n">
        <v>0</v>
      </c>
      <c r="O492" t="n">
        <v>0</v>
      </c>
      <c r="P492" t="n">
        <v>0</v>
      </c>
      <c r="Q492" t="n">
        <v>0</v>
      </c>
      <c r="R492" s="2" t="inlineStr"/>
    </row>
    <row r="493" ht="15" customHeight="1">
      <c r="A493" t="inlineStr">
        <is>
          <t>A 62056-2025</t>
        </is>
      </c>
      <c r="B493" s="1" t="n">
        <v>46006</v>
      </c>
      <c r="C493" s="1" t="n">
        <v>46138</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62210-2025</t>
        </is>
      </c>
      <c r="B494" s="1" t="n">
        <v>46006.5666087963</v>
      </c>
      <c r="C494" s="1" t="n">
        <v>46138</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62530-2025</t>
        </is>
      </c>
      <c r="B495" s="1" t="n">
        <v>46007.63618055556</v>
      </c>
      <c r="C495" s="1" t="n">
        <v>46138</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27946-2021</t>
        </is>
      </c>
      <c r="B496" s="1" t="n">
        <v>44354</v>
      </c>
      <c r="C496" s="1" t="n">
        <v>46138</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37734-2023</t>
        </is>
      </c>
      <c r="B497" s="1" t="n">
        <v>45159.61971064815</v>
      </c>
      <c r="C497" s="1" t="n">
        <v>46138</v>
      </c>
      <c r="D497" t="inlineStr">
        <is>
          <t>JÄMTLANDS LÄN</t>
        </is>
      </c>
      <c r="E497" t="inlineStr">
        <is>
          <t>ÅRE</t>
        </is>
      </c>
      <c r="G497" t="n">
        <v>3.4</v>
      </c>
      <c r="H497" t="n">
        <v>0</v>
      </c>
      <c r="I497" t="n">
        <v>0</v>
      </c>
      <c r="J497" t="n">
        <v>0</v>
      </c>
      <c r="K497" t="n">
        <v>0</v>
      </c>
      <c r="L497" t="n">
        <v>0</v>
      </c>
      <c r="M497" t="n">
        <v>0</v>
      </c>
      <c r="N497" t="n">
        <v>0</v>
      </c>
      <c r="O497" t="n">
        <v>0</v>
      </c>
      <c r="P497" t="n">
        <v>0</v>
      </c>
      <c r="Q497" t="n">
        <v>0</v>
      </c>
      <c r="R497" s="2" t="inlineStr"/>
    </row>
    <row r="498" ht="15" customHeight="1">
      <c r="A498" t="inlineStr">
        <is>
          <t>A 63020-2025</t>
        </is>
      </c>
      <c r="B498" s="1" t="n">
        <v>46009.59424768519</v>
      </c>
      <c r="C498" s="1" t="n">
        <v>46138</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6141-2026</t>
        </is>
      </c>
      <c r="B499" s="1" t="n">
        <v>46054.81873842593</v>
      </c>
      <c r="C499" s="1" t="n">
        <v>46138</v>
      </c>
      <c r="D499" t="inlineStr">
        <is>
          <t>JÄMTLANDS LÄN</t>
        </is>
      </c>
      <c r="E499" t="inlineStr">
        <is>
          <t>ÅRE</t>
        </is>
      </c>
      <c r="G499" t="n">
        <v>3</v>
      </c>
      <c r="H499" t="n">
        <v>0</v>
      </c>
      <c r="I499" t="n">
        <v>0</v>
      </c>
      <c r="J499" t="n">
        <v>0</v>
      </c>
      <c r="K499" t="n">
        <v>0</v>
      </c>
      <c r="L499" t="n">
        <v>0</v>
      </c>
      <c r="M499" t="n">
        <v>0</v>
      </c>
      <c r="N499" t="n">
        <v>0</v>
      </c>
      <c r="O499" t="n">
        <v>0</v>
      </c>
      <c r="P499" t="n">
        <v>0</v>
      </c>
      <c r="Q499" t="n">
        <v>0</v>
      </c>
      <c r="R499" s="2" t="inlineStr"/>
    </row>
    <row r="500" ht="15" customHeight="1">
      <c r="A500" t="inlineStr">
        <is>
          <t>A 37739-2023</t>
        </is>
      </c>
      <c r="B500" s="1" t="n">
        <v>45159</v>
      </c>
      <c r="C500" s="1" t="n">
        <v>46138</v>
      </c>
      <c r="D500" t="inlineStr">
        <is>
          <t>JÄMTLANDS LÄN</t>
        </is>
      </c>
      <c r="E500" t="inlineStr">
        <is>
          <t>ÅRE</t>
        </is>
      </c>
      <c r="G500" t="n">
        <v>1.1</v>
      </c>
      <c r="H500" t="n">
        <v>0</v>
      </c>
      <c r="I500" t="n">
        <v>0</v>
      </c>
      <c r="J500" t="n">
        <v>0</v>
      </c>
      <c r="K500" t="n">
        <v>0</v>
      </c>
      <c r="L500" t="n">
        <v>0</v>
      </c>
      <c r="M500" t="n">
        <v>0</v>
      </c>
      <c r="N500" t="n">
        <v>0</v>
      </c>
      <c r="O500" t="n">
        <v>0</v>
      </c>
      <c r="P500" t="n">
        <v>0</v>
      </c>
      <c r="Q500" t="n">
        <v>0</v>
      </c>
      <c r="R500" s="2" t="inlineStr"/>
    </row>
    <row r="501" ht="15" customHeight="1">
      <c r="A501" t="inlineStr">
        <is>
          <t>A 11500-2022</t>
        </is>
      </c>
      <c r="B501" s="1" t="n">
        <v>44631</v>
      </c>
      <c r="C501" s="1" t="n">
        <v>46138</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63225-2025</t>
        </is>
      </c>
      <c r="B502" s="1" t="n">
        <v>46010.49605324074</v>
      </c>
      <c r="C502" s="1" t="n">
        <v>46138</v>
      </c>
      <c r="D502" t="inlineStr">
        <is>
          <t>JÄMTLANDS LÄN</t>
        </is>
      </c>
      <c r="E502" t="inlineStr">
        <is>
          <t>ÅRE</t>
        </is>
      </c>
      <c r="F502" t="inlineStr">
        <is>
          <t>Övriga Aktiebolag</t>
        </is>
      </c>
      <c r="G502" t="n">
        <v>12.1</v>
      </c>
      <c r="H502" t="n">
        <v>0</v>
      </c>
      <c r="I502" t="n">
        <v>0</v>
      </c>
      <c r="J502" t="n">
        <v>0</v>
      </c>
      <c r="K502" t="n">
        <v>0</v>
      </c>
      <c r="L502" t="n">
        <v>0</v>
      </c>
      <c r="M502" t="n">
        <v>0</v>
      </c>
      <c r="N502" t="n">
        <v>0</v>
      </c>
      <c r="O502" t="n">
        <v>0</v>
      </c>
      <c r="P502" t="n">
        <v>0</v>
      </c>
      <c r="Q502" t="n">
        <v>0</v>
      </c>
      <c r="R502" s="2" t="inlineStr"/>
    </row>
    <row r="503" ht="15" customHeight="1">
      <c r="A503" t="inlineStr">
        <is>
          <t>A 50574-2025</t>
        </is>
      </c>
      <c r="B503" s="1" t="n">
        <v>45945</v>
      </c>
      <c r="C503" s="1" t="n">
        <v>46138</v>
      </c>
      <c r="D503" t="inlineStr">
        <is>
          <t>JÄMTLANDS LÄN</t>
        </is>
      </c>
      <c r="E503" t="inlineStr">
        <is>
          <t>ÅRE</t>
        </is>
      </c>
      <c r="G503" t="n">
        <v>16.1</v>
      </c>
      <c r="H503" t="n">
        <v>0</v>
      </c>
      <c r="I503" t="n">
        <v>0</v>
      </c>
      <c r="J503" t="n">
        <v>0</v>
      </c>
      <c r="K503" t="n">
        <v>0</v>
      </c>
      <c r="L503" t="n">
        <v>0</v>
      </c>
      <c r="M503" t="n">
        <v>0</v>
      </c>
      <c r="N503" t="n">
        <v>0</v>
      </c>
      <c r="O503" t="n">
        <v>0</v>
      </c>
      <c r="P503" t="n">
        <v>0</v>
      </c>
      <c r="Q503" t="n">
        <v>0</v>
      </c>
      <c r="R503" s="2" t="inlineStr"/>
    </row>
    <row r="504" ht="15" customHeight="1">
      <c r="A504" t="inlineStr">
        <is>
          <t>A 45378-2025</t>
        </is>
      </c>
      <c r="B504" s="1" t="n">
        <v>45922</v>
      </c>
      <c r="C504" s="1" t="n">
        <v>46138</v>
      </c>
      <c r="D504" t="inlineStr">
        <is>
          <t>JÄMTLANDS LÄN</t>
        </is>
      </c>
      <c r="E504" t="inlineStr">
        <is>
          <t>ÅRE</t>
        </is>
      </c>
      <c r="G504" t="n">
        <v>15.7</v>
      </c>
      <c r="H504" t="n">
        <v>0</v>
      </c>
      <c r="I504" t="n">
        <v>0</v>
      </c>
      <c r="J504" t="n">
        <v>0</v>
      </c>
      <c r="K504" t="n">
        <v>0</v>
      </c>
      <c r="L504" t="n">
        <v>0</v>
      </c>
      <c r="M504" t="n">
        <v>0</v>
      </c>
      <c r="N504" t="n">
        <v>0</v>
      </c>
      <c r="O504" t="n">
        <v>0</v>
      </c>
      <c r="P504" t="n">
        <v>0</v>
      </c>
      <c r="Q504" t="n">
        <v>0</v>
      </c>
      <c r="R504" s="2" t="inlineStr"/>
    </row>
    <row r="505" ht="15" customHeight="1">
      <c r="A505" t="inlineStr">
        <is>
          <t>A 60913-2025</t>
        </is>
      </c>
      <c r="B505" s="1" t="n">
        <v>45999</v>
      </c>
      <c r="C505" s="1" t="n">
        <v>46138</v>
      </c>
      <c r="D505" t="inlineStr">
        <is>
          <t>JÄMTLANDS LÄN</t>
        </is>
      </c>
      <c r="E505" t="inlineStr">
        <is>
          <t>ÅRE</t>
        </is>
      </c>
      <c r="F505" t="inlineStr">
        <is>
          <t>Övriga Aktiebolag</t>
        </is>
      </c>
      <c r="G505" t="n">
        <v>19.9</v>
      </c>
      <c r="H505" t="n">
        <v>0</v>
      </c>
      <c r="I505" t="n">
        <v>0</v>
      </c>
      <c r="J505" t="n">
        <v>0</v>
      </c>
      <c r="K505" t="n">
        <v>0</v>
      </c>
      <c r="L505" t="n">
        <v>0</v>
      </c>
      <c r="M505" t="n">
        <v>0</v>
      </c>
      <c r="N505" t="n">
        <v>0</v>
      </c>
      <c r="O505" t="n">
        <v>0</v>
      </c>
      <c r="P505" t="n">
        <v>0</v>
      </c>
      <c r="Q505" t="n">
        <v>0</v>
      </c>
      <c r="R505" s="2" t="inlineStr"/>
    </row>
    <row r="506" ht="15" customHeight="1">
      <c r="A506" t="inlineStr">
        <is>
          <t>A 55129-2025</t>
        </is>
      </c>
      <c r="B506" s="1" t="n">
        <v>45968</v>
      </c>
      <c r="C506" s="1" t="n">
        <v>46138</v>
      </c>
      <c r="D506" t="inlineStr">
        <is>
          <t>JÄMTLANDS LÄN</t>
        </is>
      </c>
      <c r="E506" t="inlineStr">
        <is>
          <t>ÅRE</t>
        </is>
      </c>
      <c r="F506" t="inlineStr">
        <is>
          <t>Övriga Aktiebolag</t>
        </is>
      </c>
      <c r="G506" t="n">
        <v>103.3</v>
      </c>
      <c r="H506" t="n">
        <v>0</v>
      </c>
      <c r="I506" t="n">
        <v>0</v>
      </c>
      <c r="J506" t="n">
        <v>0</v>
      </c>
      <c r="K506" t="n">
        <v>0</v>
      </c>
      <c r="L506" t="n">
        <v>0</v>
      </c>
      <c r="M506" t="n">
        <v>0</v>
      </c>
      <c r="N506" t="n">
        <v>0</v>
      </c>
      <c r="O506" t="n">
        <v>0</v>
      </c>
      <c r="P506" t="n">
        <v>0</v>
      </c>
      <c r="Q506" t="n">
        <v>0</v>
      </c>
      <c r="R506" s="2" t="inlineStr"/>
    </row>
    <row r="507" ht="15" customHeight="1">
      <c r="A507" t="inlineStr">
        <is>
          <t>A 58395-2025</t>
        </is>
      </c>
      <c r="B507" s="1" t="n">
        <v>45985</v>
      </c>
      <c r="C507" s="1" t="n">
        <v>46138</v>
      </c>
      <c r="D507" t="inlineStr">
        <is>
          <t>JÄMTLANDS LÄN</t>
        </is>
      </c>
      <c r="E507" t="inlineStr">
        <is>
          <t>ÅRE</t>
        </is>
      </c>
      <c r="F507" t="inlineStr">
        <is>
          <t>Övriga Aktiebolag</t>
        </is>
      </c>
      <c r="G507" t="n">
        <v>4.1</v>
      </c>
      <c r="H507" t="n">
        <v>0</v>
      </c>
      <c r="I507" t="n">
        <v>0</v>
      </c>
      <c r="J507" t="n">
        <v>0</v>
      </c>
      <c r="K507" t="n">
        <v>0</v>
      </c>
      <c r="L507" t="n">
        <v>0</v>
      </c>
      <c r="M507" t="n">
        <v>0</v>
      </c>
      <c r="N507" t="n">
        <v>0</v>
      </c>
      <c r="O507" t="n">
        <v>0</v>
      </c>
      <c r="P507" t="n">
        <v>0</v>
      </c>
      <c r="Q507" t="n">
        <v>0</v>
      </c>
      <c r="R507" s="2" t="inlineStr"/>
    </row>
    <row r="508" ht="15" customHeight="1">
      <c r="A508" t="inlineStr">
        <is>
          <t>A 59698-2025</t>
        </is>
      </c>
      <c r="B508" s="1" t="n">
        <v>45992</v>
      </c>
      <c r="C508" s="1" t="n">
        <v>46138</v>
      </c>
      <c r="D508" t="inlineStr">
        <is>
          <t>JÄMTLANDS LÄN</t>
        </is>
      </c>
      <c r="E508" t="inlineStr">
        <is>
          <t>ÅRE</t>
        </is>
      </c>
      <c r="F508" t="inlineStr">
        <is>
          <t>Övriga Aktiebolag</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8798-2025</t>
        </is>
      </c>
      <c r="B509" s="1" t="n">
        <v>45712</v>
      </c>
      <c r="C509" s="1" t="n">
        <v>46138</v>
      </c>
      <c r="D509" t="inlineStr">
        <is>
          <t>JÄMTLANDS LÄN</t>
        </is>
      </c>
      <c r="E509" t="inlineStr">
        <is>
          <t>ÅRE</t>
        </is>
      </c>
      <c r="G509" t="n">
        <v>1.6</v>
      </c>
      <c r="H509" t="n">
        <v>0</v>
      </c>
      <c r="I509" t="n">
        <v>0</v>
      </c>
      <c r="J509" t="n">
        <v>0</v>
      </c>
      <c r="K509" t="n">
        <v>0</v>
      </c>
      <c r="L509" t="n">
        <v>0</v>
      </c>
      <c r="M509" t="n">
        <v>0</v>
      </c>
      <c r="N509" t="n">
        <v>0</v>
      </c>
      <c r="O509" t="n">
        <v>0</v>
      </c>
      <c r="P509" t="n">
        <v>0</v>
      </c>
      <c r="Q509" t="n">
        <v>0</v>
      </c>
      <c r="R509" s="2" t="inlineStr"/>
    </row>
    <row r="510" ht="15" customHeight="1">
      <c r="A510" t="inlineStr">
        <is>
          <t>A 4218-2025</t>
        </is>
      </c>
      <c r="B510" s="1" t="n">
        <v>45685</v>
      </c>
      <c r="C510" s="1" t="n">
        <v>46138</v>
      </c>
      <c r="D510" t="inlineStr">
        <is>
          <t>JÄMTLANDS LÄN</t>
        </is>
      </c>
      <c r="E510" t="inlineStr">
        <is>
          <t>ÅRE</t>
        </is>
      </c>
      <c r="F510" t="inlineStr">
        <is>
          <t>Övriga Aktiebolag</t>
        </is>
      </c>
      <c r="G510" t="n">
        <v>10.1</v>
      </c>
      <c r="H510" t="n">
        <v>0</v>
      </c>
      <c r="I510" t="n">
        <v>0</v>
      </c>
      <c r="J510" t="n">
        <v>0</v>
      </c>
      <c r="K510" t="n">
        <v>0</v>
      </c>
      <c r="L510" t="n">
        <v>0</v>
      </c>
      <c r="M510" t="n">
        <v>0</v>
      </c>
      <c r="N510" t="n">
        <v>0</v>
      </c>
      <c r="O510" t="n">
        <v>0</v>
      </c>
      <c r="P510" t="n">
        <v>0</v>
      </c>
      <c r="Q510" t="n">
        <v>0</v>
      </c>
      <c r="R510" s="2" t="inlineStr"/>
    </row>
    <row r="511" ht="15" customHeight="1">
      <c r="A511" t="inlineStr">
        <is>
          <t>A 57816-2025</t>
        </is>
      </c>
      <c r="B511" s="1" t="n">
        <v>45981.59471064815</v>
      </c>
      <c r="C511" s="1" t="n">
        <v>46138</v>
      </c>
      <c r="D511" t="inlineStr">
        <is>
          <t>JÄMTLANDS LÄN</t>
        </is>
      </c>
      <c r="E511" t="inlineStr">
        <is>
          <t>ÅRE</t>
        </is>
      </c>
      <c r="G511" t="n">
        <v>5.8</v>
      </c>
      <c r="H511" t="n">
        <v>0</v>
      </c>
      <c r="I511" t="n">
        <v>0</v>
      </c>
      <c r="J511" t="n">
        <v>0</v>
      </c>
      <c r="K511" t="n">
        <v>0</v>
      </c>
      <c r="L511" t="n">
        <v>0</v>
      </c>
      <c r="M511" t="n">
        <v>0</v>
      </c>
      <c r="N511" t="n">
        <v>0</v>
      </c>
      <c r="O511" t="n">
        <v>0</v>
      </c>
      <c r="P511" t="n">
        <v>0</v>
      </c>
      <c r="Q511" t="n">
        <v>0</v>
      </c>
      <c r="R511" s="2" t="inlineStr"/>
    </row>
    <row r="512" ht="15" customHeight="1">
      <c r="A512" t="inlineStr">
        <is>
          <t>A 7297-2026</t>
        </is>
      </c>
      <c r="B512" s="1" t="n">
        <v>46058.64458333333</v>
      </c>
      <c r="C512" s="1" t="n">
        <v>46138</v>
      </c>
      <c r="D512" t="inlineStr">
        <is>
          <t>JÄMTLANDS LÄN</t>
        </is>
      </c>
      <c r="E512" t="inlineStr">
        <is>
          <t>ÅRE</t>
        </is>
      </c>
      <c r="F512" t="inlineStr">
        <is>
          <t>Övriga Aktiebolag</t>
        </is>
      </c>
      <c r="G512" t="n">
        <v>19.1</v>
      </c>
      <c r="H512" t="n">
        <v>0</v>
      </c>
      <c r="I512" t="n">
        <v>0</v>
      </c>
      <c r="J512" t="n">
        <v>0</v>
      </c>
      <c r="K512" t="n">
        <v>0</v>
      </c>
      <c r="L512" t="n">
        <v>0</v>
      </c>
      <c r="M512" t="n">
        <v>0</v>
      </c>
      <c r="N512" t="n">
        <v>0</v>
      </c>
      <c r="O512" t="n">
        <v>0</v>
      </c>
      <c r="P512" t="n">
        <v>0</v>
      </c>
      <c r="Q512" t="n">
        <v>0</v>
      </c>
      <c r="R512" s="2" t="inlineStr"/>
    </row>
    <row r="513" ht="15" customHeight="1">
      <c r="A513" t="inlineStr">
        <is>
          <t>A 63838-2025</t>
        </is>
      </c>
      <c r="B513" s="1" t="n">
        <v>46020.4169212963</v>
      </c>
      <c r="C513" s="1" t="n">
        <v>46138</v>
      </c>
      <c r="D513" t="inlineStr">
        <is>
          <t>JÄMTLANDS LÄN</t>
        </is>
      </c>
      <c r="E513" t="inlineStr">
        <is>
          <t>ÅRE</t>
        </is>
      </c>
      <c r="G513" t="n">
        <v>3.7</v>
      </c>
      <c r="H513" t="n">
        <v>0</v>
      </c>
      <c r="I513" t="n">
        <v>0</v>
      </c>
      <c r="J513" t="n">
        <v>0</v>
      </c>
      <c r="K513" t="n">
        <v>0</v>
      </c>
      <c r="L513" t="n">
        <v>0</v>
      </c>
      <c r="M513" t="n">
        <v>0</v>
      </c>
      <c r="N513" t="n">
        <v>0</v>
      </c>
      <c r="O513" t="n">
        <v>0</v>
      </c>
      <c r="P513" t="n">
        <v>0</v>
      </c>
      <c r="Q513" t="n">
        <v>0</v>
      </c>
      <c r="R513" s="2" t="inlineStr"/>
    </row>
    <row r="514" ht="15" customHeight="1">
      <c r="A514" t="inlineStr">
        <is>
          <t>A 278-2023</t>
        </is>
      </c>
      <c r="B514" s="1" t="n">
        <v>44928</v>
      </c>
      <c r="C514" s="1" t="n">
        <v>46138</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63860-2025</t>
        </is>
      </c>
      <c r="B515" s="1" t="n">
        <v>46020.48969907407</v>
      </c>
      <c r="C515" s="1" t="n">
        <v>46138</v>
      </c>
      <c r="D515" t="inlineStr">
        <is>
          <t>JÄMTLANDS LÄN</t>
        </is>
      </c>
      <c r="E515" t="inlineStr">
        <is>
          <t>ÅRE</t>
        </is>
      </c>
      <c r="G515" t="n">
        <v>4.1</v>
      </c>
      <c r="H515" t="n">
        <v>0</v>
      </c>
      <c r="I515" t="n">
        <v>0</v>
      </c>
      <c r="J515" t="n">
        <v>0</v>
      </c>
      <c r="K515" t="n">
        <v>0</v>
      </c>
      <c r="L515" t="n">
        <v>0</v>
      </c>
      <c r="M515" t="n">
        <v>0</v>
      </c>
      <c r="N515" t="n">
        <v>0</v>
      </c>
      <c r="O515" t="n">
        <v>0</v>
      </c>
      <c r="P515" t="n">
        <v>0</v>
      </c>
      <c r="Q515" t="n">
        <v>0</v>
      </c>
      <c r="R515" s="2" t="inlineStr"/>
    </row>
    <row r="516" ht="15" customHeight="1">
      <c r="A516" t="inlineStr">
        <is>
          <t>A 63863-2025</t>
        </is>
      </c>
      <c r="B516" s="1" t="n">
        <v>46020.49924768518</v>
      </c>
      <c r="C516" s="1" t="n">
        <v>46138</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3066-2023</t>
        </is>
      </c>
      <c r="B517" s="1" t="n">
        <v>44946</v>
      </c>
      <c r="C517" s="1" t="n">
        <v>46138</v>
      </c>
      <c r="D517" t="inlineStr">
        <is>
          <t>JÄMTLANDS LÄN</t>
        </is>
      </c>
      <c r="E517" t="inlineStr">
        <is>
          <t>ÅRE</t>
        </is>
      </c>
      <c r="G517" t="n">
        <v>1.3</v>
      </c>
      <c r="H517" t="n">
        <v>0</v>
      </c>
      <c r="I517" t="n">
        <v>0</v>
      </c>
      <c r="J517" t="n">
        <v>0</v>
      </c>
      <c r="K517" t="n">
        <v>0</v>
      </c>
      <c r="L517" t="n">
        <v>0</v>
      </c>
      <c r="M517" t="n">
        <v>0</v>
      </c>
      <c r="N517" t="n">
        <v>0</v>
      </c>
      <c r="O517" t="n">
        <v>0</v>
      </c>
      <c r="P517" t="n">
        <v>0</v>
      </c>
      <c r="Q517" t="n">
        <v>0</v>
      </c>
      <c r="R517" s="2" t="inlineStr"/>
    </row>
    <row r="518" ht="15" customHeight="1">
      <c r="A518" t="inlineStr">
        <is>
          <t>A 54907-2023</t>
        </is>
      </c>
      <c r="B518" s="1" t="n">
        <v>45236.65784722222</v>
      </c>
      <c r="C518" s="1" t="n">
        <v>46138</v>
      </c>
      <c r="D518" t="inlineStr">
        <is>
          <t>JÄMTLANDS LÄN</t>
        </is>
      </c>
      <c r="E518" t="inlineStr">
        <is>
          <t>ÅRE</t>
        </is>
      </c>
      <c r="F518" t="inlineStr">
        <is>
          <t>Övriga Aktiebolag</t>
        </is>
      </c>
      <c r="G518" t="n">
        <v>2.6</v>
      </c>
      <c r="H518" t="n">
        <v>0</v>
      </c>
      <c r="I518" t="n">
        <v>0</v>
      </c>
      <c r="J518" t="n">
        <v>0</v>
      </c>
      <c r="K518" t="n">
        <v>0</v>
      </c>
      <c r="L518" t="n">
        <v>0</v>
      </c>
      <c r="M518" t="n">
        <v>0</v>
      </c>
      <c r="N518" t="n">
        <v>0</v>
      </c>
      <c r="O518" t="n">
        <v>0</v>
      </c>
      <c r="P518" t="n">
        <v>0</v>
      </c>
      <c r="Q518" t="n">
        <v>0</v>
      </c>
      <c r="R518" s="2" t="inlineStr"/>
    </row>
    <row r="519" ht="15" customHeight="1">
      <c r="A519" t="inlineStr">
        <is>
          <t>A 41688-2024</t>
        </is>
      </c>
      <c r="B519" s="1" t="n">
        <v>45560.67542824074</v>
      </c>
      <c r="C519" s="1" t="n">
        <v>46138</v>
      </c>
      <c r="D519" t="inlineStr">
        <is>
          <t>JÄMTLANDS LÄN</t>
        </is>
      </c>
      <c r="E519" t="inlineStr">
        <is>
          <t>ÅRE</t>
        </is>
      </c>
      <c r="G519" t="n">
        <v>0.8</v>
      </c>
      <c r="H519" t="n">
        <v>0</v>
      </c>
      <c r="I519" t="n">
        <v>0</v>
      </c>
      <c r="J519" t="n">
        <v>0</v>
      </c>
      <c r="K519" t="n">
        <v>0</v>
      </c>
      <c r="L519" t="n">
        <v>0</v>
      </c>
      <c r="M519" t="n">
        <v>0</v>
      </c>
      <c r="N519" t="n">
        <v>0</v>
      </c>
      <c r="O519" t="n">
        <v>0</v>
      </c>
      <c r="P519" t="n">
        <v>0</v>
      </c>
      <c r="Q519" t="n">
        <v>0</v>
      </c>
      <c r="R519" s="2" t="inlineStr"/>
    </row>
    <row r="520" ht="15" customHeight="1">
      <c r="A520" t="inlineStr">
        <is>
          <t>A 61815-2021</t>
        </is>
      </c>
      <c r="B520" s="1" t="n">
        <v>44498</v>
      </c>
      <c r="C520" s="1" t="n">
        <v>46138</v>
      </c>
      <c r="D520" t="inlineStr">
        <is>
          <t>JÄMTLANDS LÄN</t>
        </is>
      </c>
      <c r="E520" t="inlineStr">
        <is>
          <t>ÅRE</t>
        </is>
      </c>
      <c r="G520" t="n">
        <v>7.4</v>
      </c>
      <c r="H520" t="n">
        <v>0</v>
      </c>
      <c r="I520" t="n">
        <v>0</v>
      </c>
      <c r="J520" t="n">
        <v>0</v>
      </c>
      <c r="K520" t="n">
        <v>0</v>
      </c>
      <c r="L520" t="n">
        <v>0</v>
      </c>
      <c r="M520" t="n">
        <v>0</v>
      </c>
      <c r="N520" t="n">
        <v>0</v>
      </c>
      <c r="O520" t="n">
        <v>0</v>
      </c>
      <c r="P520" t="n">
        <v>0</v>
      </c>
      <c r="Q520" t="n">
        <v>0</v>
      </c>
      <c r="R520" s="2" t="inlineStr"/>
    </row>
    <row r="521" ht="15" customHeight="1">
      <c r="A521" t="inlineStr">
        <is>
          <t>A 9224-2026</t>
        </is>
      </c>
      <c r="B521" s="1" t="n">
        <v>46070.44868055556</v>
      </c>
      <c r="C521" s="1" t="n">
        <v>46138</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25275-2025</t>
        </is>
      </c>
      <c r="B522" s="1" t="n">
        <v>45800</v>
      </c>
      <c r="C522" s="1" t="n">
        <v>46138</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500-2026</t>
        </is>
      </c>
      <c r="B523" s="1" t="n">
        <v>46029.43557870371</v>
      </c>
      <c r="C523" s="1" t="n">
        <v>46138</v>
      </c>
      <c r="D523" t="inlineStr">
        <is>
          <t>JÄMTLANDS LÄN</t>
        </is>
      </c>
      <c r="E523" t="inlineStr">
        <is>
          <t>ÅRE</t>
        </is>
      </c>
      <c r="F523" t="inlineStr">
        <is>
          <t>Övriga Aktiebolag</t>
        </is>
      </c>
      <c r="G523" t="n">
        <v>8.5</v>
      </c>
      <c r="H523" t="n">
        <v>0</v>
      </c>
      <c r="I523" t="n">
        <v>0</v>
      </c>
      <c r="J523" t="n">
        <v>0</v>
      </c>
      <c r="K523" t="n">
        <v>0</v>
      </c>
      <c r="L523" t="n">
        <v>0</v>
      </c>
      <c r="M523" t="n">
        <v>0</v>
      </c>
      <c r="N523" t="n">
        <v>0</v>
      </c>
      <c r="O523" t="n">
        <v>0</v>
      </c>
      <c r="P523" t="n">
        <v>0</v>
      </c>
      <c r="Q523" t="n">
        <v>0</v>
      </c>
      <c r="R523" s="2" t="inlineStr"/>
    </row>
    <row r="524" ht="15" customHeight="1">
      <c r="A524" t="inlineStr">
        <is>
          <t>A 9212-2026</t>
        </is>
      </c>
      <c r="B524" s="1" t="n">
        <v>46070.43201388889</v>
      </c>
      <c r="C524" s="1" t="n">
        <v>46138</v>
      </c>
      <c r="D524" t="inlineStr">
        <is>
          <t>JÄMTLANDS LÄN</t>
        </is>
      </c>
      <c r="E524" t="inlineStr">
        <is>
          <t>ÅRE</t>
        </is>
      </c>
      <c r="G524" t="n">
        <v>3.5</v>
      </c>
      <c r="H524" t="n">
        <v>0</v>
      </c>
      <c r="I524" t="n">
        <v>0</v>
      </c>
      <c r="J524" t="n">
        <v>0</v>
      </c>
      <c r="K524" t="n">
        <v>0</v>
      </c>
      <c r="L524" t="n">
        <v>0</v>
      </c>
      <c r="M524" t="n">
        <v>0</v>
      </c>
      <c r="N524" t="n">
        <v>0</v>
      </c>
      <c r="O524" t="n">
        <v>0</v>
      </c>
      <c r="P524" t="n">
        <v>0</v>
      </c>
      <c r="Q524" t="n">
        <v>0</v>
      </c>
      <c r="R524" s="2" t="inlineStr"/>
    </row>
    <row r="525" ht="15" customHeight="1">
      <c r="A525" t="inlineStr">
        <is>
          <t>A 9326-2026</t>
        </is>
      </c>
      <c r="B525" s="1" t="n">
        <v>46070.6487037037</v>
      </c>
      <c r="C525" s="1" t="n">
        <v>46138</v>
      </c>
      <c r="D525" t="inlineStr">
        <is>
          <t>JÄMTLANDS LÄN</t>
        </is>
      </c>
      <c r="E525" t="inlineStr">
        <is>
          <t>ÅRE</t>
        </is>
      </c>
      <c r="F525" t="inlineStr">
        <is>
          <t>Övriga Aktiebolag</t>
        </is>
      </c>
      <c r="G525" t="n">
        <v>14.2</v>
      </c>
      <c r="H525" t="n">
        <v>0</v>
      </c>
      <c r="I525" t="n">
        <v>0</v>
      </c>
      <c r="J525" t="n">
        <v>0</v>
      </c>
      <c r="K525" t="n">
        <v>0</v>
      </c>
      <c r="L525" t="n">
        <v>0</v>
      </c>
      <c r="M525" t="n">
        <v>0</v>
      </c>
      <c r="N525" t="n">
        <v>0</v>
      </c>
      <c r="O525" t="n">
        <v>0</v>
      </c>
      <c r="P525" t="n">
        <v>0</v>
      </c>
      <c r="Q525" t="n">
        <v>0</v>
      </c>
      <c r="R525" s="2" t="inlineStr"/>
    </row>
    <row r="526" ht="15" customHeight="1">
      <c r="A526" t="inlineStr">
        <is>
          <t>A 13370-2024</t>
        </is>
      </c>
      <c r="B526" s="1" t="n">
        <v>45387</v>
      </c>
      <c r="C526" s="1" t="n">
        <v>46138</v>
      </c>
      <c r="D526" t="inlineStr">
        <is>
          <t>JÄMTLANDS LÄN</t>
        </is>
      </c>
      <c r="E526" t="inlineStr">
        <is>
          <t>ÅRE</t>
        </is>
      </c>
      <c r="G526" t="n">
        <v>8.5</v>
      </c>
      <c r="H526" t="n">
        <v>0</v>
      </c>
      <c r="I526" t="n">
        <v>0</v>
      </c>
      <c r="J526" t="n">
        <v>0</v>
      </c>
      <c r="K526" t="n">
        <v>0</v>
      </c>
      <c r="L526" t="n">
        <v>0</v>
      </c>
      <c r="M526" t="n">
        <v>0</v>
      </c>
      <c r="N526" t="n">
        <v>0</v>
      </c>
      <c r="O526" t="n">
        <v>0</v>
      </c>
      <c r="P526" t="n">
        <v>0</v>
      </c>
      <c r="Q526" t="n">
        <v>0</v>
      </c>
      <c r="R526" s="2" t="inlineStr"/>
    </row>
    <row r="527" ht="15" customHeight="1">
      <c r="A527" t="inlineStr">
        <is>
          <t>A 9219-2026</t>
        </is>
      </c>
      <c r="B527" s="1" t="n">
        <v>46070.4453125</v>
      </c>
      <c r="C527" s="1" t="n">
        <v>46138</v>
      </c>
      <c r="D527" t="inlineStr">
        <is>
          <t>JÄMTLANDS LÄN</t>
        </is>
      </c>
      <c r="E527" t="inlineStr">
        <is>
          <t>ÅRE</t>
        </is>
      </c>
      <c r="G527" t="n">
        <v>12.4</v>
      </c>
      <c r="H527" t="n">
        <v>0</v>
      </c>
      <c r="I527" t="n">
        <v>0</v>
      </c>
      <c r="J527" t="n">
        <v>0</v>
      </c>
      <c r="K527" t="n">
        <v>0</v>
      </c>
      <c r="L527" t="n">
        <v>0</v>
      </c>
      <c r="M527" t="n">
        <v>0</v>
      </c>
      <c r="N527" t="n">
        <v>0</v>
      </c>
      <c r="O527" t="n">
        <v>0</v>
      </c>
      <c r="P527" t="n">
        <v>0</v>
      </c>
      <c r="Q527" t="n">
        <v>0</v>
      </c>
      <c r="R527" s="2" t="inlineStr"/>
    </row>
    <row r="528" ht="15" customHeight="1">
      <c r="A528" t="inlineStr">
        <is>
          <t>A 21464-2022</t>
        </is>
      </c>
      <c r="B528" s="1" t="n">
        <v>44706</v>
      </c>
      <c r="C528" s="1" t="n">
        <v>46138</v>
      </c>
      <c r="D528" t="inlineStr">
        <is>
          <t>JÄMTLANDS LÄN</t>
        </is>
      </c>
      <c r="E528" t="inlineStr">
        <is>
          <t>ÅRE</t>
        </is>
      </c>
      <c r="G528" t="n">
        <v>10.9</v>
      </c>
      <c r="H528" t="n">
        <v>0</v>
      </c>
      <c r="I528" t="n">
        <v>0</v>
      </c>
      <c r="J528" t="n">
        <v>0</v>
      </c>
      <c r="K528" t="n">
        <v>0</v>
      </c>
      <c r="L528" t="n">
        <v>0</v>
      </c>
      <c r="M528" t="n">
        <v>0</v>
      </c>
      <c r="N528" t="n">
        <v>0</v>
      </c>
      <c r="O528" t="n">
        <v>0</v>
      </c>
      <c r="P528" t="n">
        <v>0</v>
      </c>
      <c r="Q528" t="n">
        <v>0</v>
      </c>
      <c r="R528" s="2" t="inlineStr"/>
    </row>
    <row r="529" ht="15" customHeight="1">
      <c r="A529" t="inlineStr">
        <is>
          <t>A 13033-2024</t>
        </is>
      </c>
      <c r="B529" s="1" t="n">
        <v>45385</v>
      </c>
      <c r="C529" s="1" t="n">
        <v>46138</v>
      </c>
      <c r="D529" t="inlineStr">
        <is>
          <t>JÄMTLANDS LÄN</t>
        </is>
      </c>
      <c r="E529" t="inlineStr">
        <is>
          <t>ÅRE</t>
        </is>
      </c>
      <c r="G529" t="n">
        <v>7.3</v>
      </c>
      <c r="H529" t="n">
        <v>0</v>
      </c>
      <c r="I529" t="n">
        <v>0</v>
      </c>
      <c r="J529" t="n">
        <v>0</v>
      </c>
      <c r="K529" t="n">
        <v>0</v>
      </c>
      <c r="L529" t="n">
        <v>0</v>
      </c>
      <c r="M529" t="n">
        <v>0</v>
      </c>
      <c r="N529" t="n">
        <v>0</v>
      </c>
      <c r="O529" t="n">
        <v>0</v>
      </c>
      <c r="P529" t="n">
        <v>0</v>
      </c>
      <c r="Q529" t="n">
        <v>0</v>
      </c>
      <c r="R529" s="2" t="inlineStr"/>
    </row>
    <row r="530" ht="15" customHeight="1">
      <c r="A530" t="inlineStr">
        <is>
          <t>A 1603-2026</t>
        </is>
      </c>
      <c r="B530" s="1" t="n">
        <v>46034.45974537037</v>
      </c>
      <c r="C530" s="1" t="n">
        <v>46138</v>
      </c>
      <c r="D530" t="inlineStr">
        <is>
          <t>JÄMTLANDS LÄN</t>
        </is>
      </c>
      <c r="E530" t="inlineStr">
        <is>
          <t>ÅRE</t>
        </is>
      </c>
      <c r="G530" t="n">
        <v>3.3</v>
      </c>
      <c r="H530" t="n">
        <v>0</v>
      </c>
      <c r="I530" t="n">
        <v>0</v>
      </c>
      <c r="J530" t="n">
        <v>0</v>
      </c>
      <c r="K530" t="n">
        <v>0</v>
      </c>
      <c r="L530" t="n">
        <v>0</v>
      </c>
      <c r="M530" t="n">
        <v>0</v>
      </c>
      <c r="N530" t="n">
        <v>0</v>
      </c>
      <c r="O530" t="n">
        <v>0</v>
      </c>
      <c r="P530" t="n">
        <v>0</v>
      </c>
      <c r="Q530" t="n">
        <v>0</v>
      </c>
      <c r="R530" s="2" t="inlineStr"/>
    </row>
    <row r="531" ht="15" customHeight="1">
      <c r="A531" t="inlineStr">
        <is>
          <t>A 51500-2024</t>
        </is>
      </c>
      <c r="B531" s="1" t="n">
        <v>45604.54693287037</v>
      </c>
      <c r="C531" s="1" t="n">
        <v>46138</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2105-2026</t>
        </is>
      </c>
      <c r="B532" s="1" t="n">
        <v>46036.3758912037</v>
      </c>
      <c r="C532" s="1" t="n">
        <v>46138</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61014-2024</t>
        </is>
      </c>
      <c r="B533" s="1" t="n">
        <v>45645.449375</v>
      </c>
      <c r="C533" s="1" t="n">
        <v>46138</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11112-2022</t>
        </is>
      </c>
      <c r="B534" s="1" t="n">
        <v>44628</v>
      </c>
      <c r="C534" s="1" t="n">
        <v>46138</v>
      </c>
      <c r="D534" t="inlineStr">
        <is>
          <t>JÄMTLANDS LÄN</t>
        </is>
      </c>
      <c r="E534" t="inlineStr">
        <is>
          <t>ÅRE</t>
        </is>
      </c>
      <c r="G534" t="n">
        <v>6.6</v>
      </c>
      <c r="H534" t="n">
        <v>0</v>
      </c>
      <c r="I534" t="n">
        <v>0</v>
      </c>
      <c r="J534" t="n">
        <v>0</v>
      </c>
      <c r="K534" t="n">
        <v>0</v>
      </c>
      <c r="L534" t="n">
        <v>0</v>
      </c>
      <c r="M534" t="n">
        <v>0</v>
      </c>
      <c r="N534" t="n">
        <v>0</v>
      </c>
      <c r="O534" t="n">
        <v>0</v>
      </c>
      <c r="P534" t="n">
        <v>0</v>
      </c>
      <c r="Q534" t="n">
        <v>0</v>
      </c>
      <c r="R534" s="2" t="inlineStr"/>
    </row>
    <row r="535" ht="15" customHeight="1">
      <c r="A535" t="inlineStr">
        <is>
          <t>A 44925-2024</t>
        </is>
      </c>
      <c r="B535" s="1" t="n">
        <v>45575.40700231482</v>
      </c>
      <c r="C535" s="1" t="n">
        <v>46138</v>
      </c>
      <c r="D535" t="inlineStr">
        <is>
          <t>JÄMTLANDS LÄN</t>
        </is>
      </c>
      <c r="E535" t="inlineStr">
        <is>
          <t>ÅRE</t>
        </is>
      </c>
      <c r="F535" t="inlineStr">
        <is>
          <t>Övriga Aktiebolag</t>
        </is>
      </c>
      <c r="G535" t="n">
        <v>22.3</v>
      </c>
      <c r="H535" t="n">
        <v>0</v>
      </c>
      <c r="I535" t="n">
        <v>0</v>
      </c>
      <c r="J535" t="n">
        <v>0</v>
      </c>
      <c r="K535" t="n">
        <v>0</v>
      </c>
      <c r="L535" t="n">
        <v>0</v>
      </c>
      <c r="M535" t="n">
        <v>0</v>
      </c>
      <c r="N535" t="n">
        <v>0</v>
      </c>
      <c r="O535" t="n">
        <v>0</v>
      </c>
      <c r="P535" t="n">
        <v>0</v>
      </c>
      <c r="Q535" t="n">
        <v>0</v>
      </c>
      <c r="R535" s="2" t="inlineStr"/>
    </row>
    <row r="536" ht="15" customHeight="1">
      <c r="A536" t="inlineStr">
        <is>
          <t>A 20160-2025</t>
        </is>
      </c>
      <c r="B536" s="1" t="n">
        <v>45772.56753472222</v>
      </c>
      <c r="C536" s="1" t="n">
        <v>46138</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2520-2026</t>
        </is>
      </c>
      <c r="B537" s="1" t="n">
        <v>46037.42578703703</v>
      </c>
      <c r="C537" s="1" t="n">
        <v>46138</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61926-2022</t>
        </is>
      </c>
      <c r="B538" s="1" t="n">
        <v>44917</v>
      </c>
      <c r="C538" s="1" t="n">
        <v>46138</v>
      </c>
      <c r="D538" t="inlineStr">
        <is>
          <t>JÄMTLANDS LÄN</t>
        </is>
      </c>
      <c r="E538" t="inlineStr">
        <is>
          <t>ÅRE</t>
        </is>
      </c>
      <c r="G538" t="n">
        <v>18</v>
      </c>
      <c r="H538" t="n">
        <v>0</v>
      </c>
      <c r="I538" t="n">
        <v>0</v>
      </c>
      <c r="J538" t="n">
        <v>0</v>
      </c>
      <c r="K538" t="n">
        <v>0</v>
      </c>
      <c r="L538" t="n">
        <v>0</v>
      </c>
      <c r="M538" t="n">
        <v>0</v>
      </c>
      <c r="N538" t="n">
        <v>0</v>
      </c>
      <c r="O538" t="n">
        <v>0</v>
      </c>
      <c r="P538" t="n">
        <v>0</v>
      </c>
      <c r="Q538" t="n">
        <v>0</v>
      </c>
      <c r="R538" s="2" t="inlineStr"/>
    </row>
    <row r="539" ht="15" customHeight="1">
      <c r="A539" t="inlineStr">
        <is>
          <t>A 50099-2021</t>
        </is>
      </c>
      <c r="B539" s="1" t="n">
        <v>44456</v>
      </c>
      <c r="C539" s="1" t="n">
        <v>46138</v>
      </c>
      <c r="D539" t="inlineStr">
        <is>
          <t>JÄMTLANDS LÄN</t>
        </is>
      </c>
      <c r="E539" t="inlineStr">
        <is>
          <t>ÅRE</t>
        </is>
      </c>
      <c r="G539" t="n">
        <v>6.2</v>
      </c>
      <c r="H539" t="n">
        <v>0</v>
      </c>
      <c r="I539" t="n">
        <v>0</v>
      </c>
      <c r="J539" t="n">
        <v>0</v>
      </c>
      <c r="K539" t="n">
        <v>0</v>
      </c>
      <c r="L539" t="n">
        <v>0</v>
      </c>
      <c r="M539" t="n">
        <v>0</v>
      </c>
      <c r="N539" t="n">
        <v>0</v>
      </c>
      <c r="O539" t="n">
        <v>0</v>
      </c>
      <c r="P539" t="n">
        <v>0</v>
      </c>
      <c r="Q539" t="n">
        <v>0</v>
      </c>
      <c r="R539" s="2" t="inlineStr"/>
    </row>
    <row r="540" ht="15" customHeight="1">
      <c r="A540" t="inlineStr">
        <is>
          <t>A 3018-2026</t>
        </is>
      </c>
      <c r="B540" s="1" t="n">
        <v>46038.66943287037</v>
      </c>
      <c r="C540" s="1" t="n">
        <v>46138</v>
      </c>
      <c r="D540" t="inlineStr">
        <is>
          <t>JÄMTLANDS LÄN</t>
        </is>
      </c>
      <c r="E540" t="inlineStr">
        <is>
          <t>ÅRE</t>
        </is>
      </c>
      <c r="G540" t="n">
        <v>4.8</v>
      </c>
      <c r="H540" t="n">
        <v>0</v>
      </c>
      <c r="I540" t="n">
        <v>0</v>
      </c>
      <c r="J540" t="n">
        <v>0</v>
      </c>
      <c r="K540" t="n">
        <v>0</v>
      </c>
      <c r="L540" t="n">
        <v>0</v>
      </c>
      <c r="M540" t="n">
        <v>0</v>
      </c>
      <c r="N540" t="n">
        <v>0</v>
      </c>
      <c r="O540" t="n">
        <v>0</v>
      </c>
      <c r="P540" t="n">
        <v>0</v>
      </c>
      <c r="Q540" t="n">
        <v>0</v>
      </c>
      <c r="R540" s="2" t="inlineStr"/>
    </row>
    <row r="541" ht="15" customHeight="1">
      <c r="A541" t="inlineStr">
        <is>
          <t>A 41677-2024</t>
        </is>
      </c>
      <c r="B541" s="1" t="n">
        <v>45560.66037037037</v>
      </c>
      <c r="C541" s="1" t="n">
        <v>46138</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51444-2024</t>
        </is>
      </c>
      <c r="B542" s="1" t="n">
        <v>45604.48304398148</v>
      </c>
      <c r="C542" s="1" t="n">
        <v>46138</v>
      </c>
      <c r="D542" t="inlineStr">
        <is>
          <t>JÄMTLANDS LÄN</t>
        </is>
      </c>
      <c r="E542" t="inlineStr">
        <is>
          <t>ÅRE</t>
        </is>
      </c>
      <c r="G542" t="n">
        <v>2.2</v>
      </c>
      <c r="H542" t="n">
        <v>0</v>
      </c>
      <c r="I542" t="n">
        <v>0</v>
      </c>
      <c r="J542" t="n">
        <v>0</v>
      </c>
      <c r="K542" t="n">
        <v>0</v>
      </c>
      <c r="L542" t="n">
        <v>0</v>
      </c>
      <c r="M542" t="n">
        <v>0</v>
      </c>
      <c r="N542" t="n">
        <v>0</v>
      </c>
      <c r="O542" t="n">
        <v>0</v>
      </c>
      <c r="P542" t="n">
        <v>0</v>
      </c>
      <c r="Q542" t="n">
        <v>0</v>
      </c>
      <c r="R542" s="2" t="inlineStr"/>
    </row>
    <row r="543" ht="15" customHeight="1">
      <c r="A543" t="inlineStr">
        <is>
          <t>A 3394-2026</t>
        </is>
      </c>
      <c r="B543" s="1" t="n">
        <v>46042.37641203704</v>
      </c>
      <c r="C543" s="1" t="n">
        <v>46138</v>
      </c>
      <c r="D543" t="inlineStr">
        <is>
          <t>JÄMTLANDS LÄN</t>
        </is>
      </c>
      <c r="E543" t="inlineStr">
        <is>
          <t>ÅRE</t>
        </is>
      </c>
      <c r="F543" t="inlineStr">
        <is>
          <t>Övriga Aktiebolag</t>
        </is>
      </c>
      <c r="G543" t="n">
        <v>11.2</v>
      </c>
      <c r="H543" t="n">
        <v>0</v>
      </c>
      <c r="I543" t="n">
        <v>0</v>
      </c>
      <c r="J543" t="n">
        <v>0</v>
      </c>
      <c r="K543" t="n">
        <v>0</v>
      </c>
      <c r="L543" t="n">
        <v>0</v>
      </c>
      <c r="M543" t="n">
        <v>0</v>
      </c>
      <c r="N543" t="n">
        <v>0</v>
      </c>
      <c r="O543" t="n">
        <v>0</v>
      </c>
      <c r="P543" t="n">
        <v>0</v>
      </c>
      <c r="Q543" t="n">
        <v>0</v>
      </c>
      <c r="R543" s="2" t="inlineStr"/>
    </row>
    <row r="544" ht="15" customHeight="1">
      <c r="A544" t="inlineStr">
        <is>
          <t>A 15480-2024</t>
        </is>
      </c>
      <c r="B544" s="1" t="n">
        <v>45401.49065972222</v>
      </c>
      <c r="C544" s="1" t="n">
        <v>46138</v>
      </c>
      <c r="D544" t="inlineStr">
        <is>
          <t>JÄMTLANDS LÄN</t>
        </is>
      </c>
      <c r="E544" t="inlineStr">
        <is>
          <t>ÅRE</t>
        </is>
      </c>
      <c r="G544" t="n">
        <v>11.8</v>
      </c>
      <c r="H544" t="n">
        <v>0</v>
      </c>
      <c r="I544" t="n">
        <v>0</v>
      </c>
      <c r="J544" t="n">
        <v>0</v>
      </c>
      <c r="K544" t="n">
        <v>0</v>
      </c>
      <c r="L544" t="n">
        <v>0</v>
      </c>
      <c r="M544" t="n">
        <v>0</v>
      </c>
      <c r="N544" t="n">
        <v>0</v>
      </c>
      <c r="O544" t="n">
        <v>0</v>
      </c>
      <c r="P544" t="n">
        <v>0</v>
      </c>
      <c r="Q544" t="n">
        <v>0</v>
      </c>
      <c r="R544" s="2" t="inlineStr"/>
    </row>
    <row r="545" ht="15" customHeight="1">
      <c r="A545" t="inlineStr">
        <is>
          <t>A 53611-2024</t>
        </is>
      </c>
      <c r="B545" s="1" t="n">
        <v>45614.70510416666</v>
      </c>
      <c r="C545" s="1" t="n">
        <v>46138</v>
      </c>
      <c r="D545" t="inlineStr">
        <is>
          <t>JÄMTLANDS LÄN</t>
        </is>
      </c>
      <c r="E545" t="inlineStr">
        <is>
          <t>ÅRE</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26032-2023</t>
        </is>
      </c>
      <c r="B546" s="1" t="n">
        <v>45091.31304398148</v>
      </c>
      <c r="C546" s="1" t="n">
        <v>46138</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26033-2023</t>
        </is>
      </c>
      <c r="B547" s="1" t="n">
        <v>45091.31530092593</v>
      </c>
      <c r="C547" s="1" t="n">
        <v>46138</v>
      </c>
      <c r="D547" t="inlineStr">
        <is>
          <t>JÄMTLANDS LÄN</t>
        </is>
      </c>
      <c r="E547" t="inlineStr">
        <is>
          <t>ÅRE</t>
        </is>
      </c>
      <c r="G547" t="n">
        <v>0.7</v>
      </c>
      <c r="H547" t="n">
        <v>0</v>
      </c>
      <c r="I547" t="n">
        <v>0</v>
      </c>
      <c r="J547" t="n">
        <v>0</v>
      </c>
      <c r="K547" t="n">
        <v>0</v>
      </c>
      <c r="L547" t="n">
        <v>0</v>
      </c>
      <c r="M547" t="n">
        <v>0</v>
      </c>
      <c r="N547" t="n">
        <v>0</v>
      </c>
      <c r="O547" t="n">
        <v>0</v>
      </c>
      <c r="P547" t="n">
        <v>0</v>
      </c>
      <c r="Q547" t="n">
        <v>0</v>
      </c>
      <c r="R547" s="2" t="inlineStr"/>
    </row>
    <row r="548" ht="15" customHeight="1">
      <c r="A548" t="inlineStr">
        <is>
          <t>A 13221-2022</t>
        </is>
      </c>
      <c r="B548" s="1" t="n">
        <v>44644</v>
      </c>
      <c r="C548" s="1" t="n">
        <v>46138</v>
      </c>
      <c r="D548" t="inlineStr">
        <is>
          <t>JÄMTLANDS LÄN</t>
        </is>
      </c>
      <c r="E548" t="inlineStr">
        <is>
          <t>ÅRE</t>
        </is>
      </c>
      <c r="F548" t="inlineStr">
        <is>
          <t>Övriga Aktiebolag</t>
        </is>
      </c>
      <c r="G548" t="n">
        <v>6.6</v>
      </c>
      <c r="H548" t="n">
        <v>0</v>
      </c>
      <c r="I548" t="n">
        <v>0</v>
      </c>
      <c r="J548" t="n">
        <v>0</v>
      </c>
      <c r="K548" t="n">
        <v>0</v>
      </c>
      <c r="L548" t="n">
        <v>0</v>
      </c>
      <c r="M548" t="n">
        <v>0</v>
      </c>
      <c r="N548" t="n">
        <v>0</v>
      </c>
      <c r="O548" t="n">
        <v>0</v>
      </c>
      <c r="P548" t="n">
        <v>0</v>
      </c>
      <c r="Q548" t="n">
        <v>0</v>
      </c>
      <c r="R548" s="2" t="inlineStr"/>
    </row>
    <row r="549" ht="15" customHeight="1">
      <c r="A549" t="inlineStr">
        <is>
          <t>A 39071-2024</t>
        </is>
      </c>
      <c r="B549" s="1" t="n">
        <v>45548.53193287037</v>
      </c>
      <c r="C549" s="1" t="n">
        <v>46138</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4905-2026</t>
        </is>
      </c>
      <c r="B550" s="1" t="n">
        <v>46048</v>
      </c>
      <c r="C550" s="1" t="n">
        <v>46138</v>
      </c>
      <c r="D550" t="inlineStr">
        <is>
          <t>JÄMTLANDS LÄN</t>
        </is>
      </c>
      <c r="E550" t="inlineStr">
        <is>
          <t>ÅRE</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59325-2024</t>
        </is>
      </c>
      <c r="B551" s="1" t="n">
        <v>45636</v>
      </c>
      <c r="C551" s="1" t="n">
        <v>46138</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20804-2024</t>
        </is>
      </c>
      <c r="B552" s="1" t="n">
        <v>45439.30988425926</v>
      </c>
      <c r="C552" s="1" t="n">
        <v>46138</v>
      </c>
      <c r="D552" t="inlineStr">
        <is>
          <t>JÄMTLANDS LÄN</t>
        </is>
      </c>
      <c r="E552" t="inlineStr">
        <is>
          <t>ÅRE</t>
        </is>
      </c>
      <c r="G552" t="n">
        <v>6.4</v>
      </c>
      <c r="H552" t="n">
        <v>0</v>
      </c>
      <c r="I552" t="n">
        <v>0</v>
      </c>
      <c r="J552" t="n">
        <v>0</v>
      </c>
      <c r="K552" t="n">
        <v>0</v>
      </c>
      <c r="L552" t="n">
        <v>0</v>
      </c>
      <c r="M552" t="n">
        <v>0</v>
      </c>
      <c r="N552" t="n">
        <v>0</v>
      </c>
      <c r="O552" t="n">
        <v>0</v>
      </c>
      <c r="P552" t="n">
        <v>0</v>
      </c>
      <c r="Q552" t="n">
        <v>0</v>
      </c>
      <c r="R552" s="2" t="inlineStr"/>
    </row>
    <row r="553" ht="15" customHeight="1">
      <c r="A553" t="inlineStr">
        <is>
          <t>A 5410-2026</t>
        </is>
      </c>
      <c r="B553" s="1" t="n">
        <v>46050</v>
      </c>
      <c r="C553" s="1" t="n">
        <v>46138</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12669-2023</t>
        </is>
      </c>
      <c r="B554" s="1" t="n">
        <v>45000</v>
      </c>
      <c r="C554" s="1" t="n">
        <v>46138</v>
      </c>
      <c r="D554" t="inlineStr">
        <is>
          <t>JÄMTLANDS LÄN</t>
        </is>
      </c>
      <c r="E554" t="inlineStr">
        <is>
          <t>ÅRE</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6219-2026</t>
        </is>
      </c>
      <c r="B555" s="1" t="n">
        <v>46055.43142361111</v>
      </c>
      <c r="C555" s="1" t="n">
        <v>46138</v>
      </c>
      <c r="D555" t="inlineStr">
        <is>
          <t>JÄMTLANDS LÄN</t>
        </is>
      </c>
      <c r="E555" t="inlineStr">
        <is>
          <t>ÅRE</t>
        </is>
      </c>
      <c r="G555" t="n">
        <v>3.2</v>
      </c>
      <c r="H555" t="n">
        <v>0</v>
      </c>
      <c r="I555" t="n">
        <v>0</v>
      </c>
      <c r="J555" t="n">
        <v>0</v>
      </c>
      <c r="K555" t="n">
        <v>0</v>
      </c>
      <c r="L555" t="n">
        <v>0</v>
      </c>
      <c r="M555" t="n">
        <v>0</v>
      </c>
      <c r="N555" t="n">
        <v>0</v>
      </c>
      <c r="O555" t="n">
        <v>0</v>
      </c>
      <c r="P555" t="n">
        <v>0</v>
      </c>
      <c r="Q555" t="n">
        <v>0</v>
      </c>
      <c r="R555" s="2" t="inlineStr"/>
    </row>
    <row r="556" ht="15" customHeight="1">
      <c r="A556" t="inlineStr">
        <is>
          <t>A 21897-2021</t>
        </is>
      </c>
      <c r="B556" s="1" t="n">
        <v>44322</v>
      </c>
      <c r="C556" s="1" t="n">
        <v>46138</v>
      </c>
      <c r="D556" t="inlineStr">
        <is>
          <t>JÄMTLANDS LÄN</t>
        </is>
      </c>
      <c r="E556" t="inlineStr">
        <is>
          <t>ÅRE</t>
        </is>
      </c>
      <c r="G556" t="n">
        <v>41.4</v>
      </c>
      <c r="H556" t="n">
        <v>0</v>
      </c>
      <c r="I556" t="n">
        <v>0</v>
      </c>
      <c r="J556" t="n">
        <v>0</v>
      </c>
      <c r="K556" t="n">
        <v>0</v>
      </c>
      <c r="L556" t="n">
        <v>0</v>
      </c>
      <c r="M556" t="n">
        <v>0</v>
      </c>
      <c r="N556" t="n">
        <v>0</v>
      </c>
      <c r="O556" t="n">
        <v>0</v>
      </c>
      <c r="P556" t="n">
        <v>0</v>
      </c>
      <c r="Q556" t="n">
        <v>0</v>
      </c>
      <c r="R556" s="2" t="inlineStr"/>
    </row>
    <row r="557" ht="15" customHeight="1">
      <c r="A557" t="inlineStr">
        <is>
          <t>A 5888-2026</t>
        </is>
      </c>
      <c r="B557" s="1" t="n">
        <v>46052.41568287037</v>
      </c>
      <c r="C557" s="1" t="n">
        <v>46138</v>
      </c>
      <c r="D557" t="inlineStr">
        <is>
          <t>JÄMTLANDS LÄN</t>
        </is>
      </c>
      <c r="E557" t="inlineStr">
        <is>
          <t>ÅRE</t>
        </is>
      </c>
      <c r="G557" t="n">
        <v>2.4</v>
      </c>
      <c r="H557" t="n">
        <v>0</v>
      </c>
      <c r="I557" t="n">
        <v>0</v>
      </c>
      <c r="J557" t="n">
        <v>0</v>
      </c>
      <c r="K557" t="n">
        <v>0</v>
      </c>
      <c r="L557" t="n">
        <v>0</v>
      </c>
      <c r="M557" t="n">
        <v>0</v>
      </c>
      <c r="N557" t="n">
        <v>0</v>
      </c>
      <c r="O557" t="n">
        <v>0</v>
      </c>
      <c r="P557" t="n">
        <v>0</v>
      </c>
      <c r="Q557" t="n">
        <v>0</v>
      </c>
      <c r="R557" s="2" t="inlineStr"/>
    </row>
    <row r="558" ht="15" customHeight="1">
      <c r="A558" t="inlineStr">
        <is>
          <t>A 49267-2024</t>
        </is>
      </c>
      <c r="B558" s="1" t="n">
        <v>45595</v>
      </c>
      <c r="C558" s="1" t="n">
        <v>46138</v>
      </c>
      <c r="D558" t="inlineStr">
        <is>
          <t>JÄMTLANDS LÄN</t>
        </is>
      </c>
      <c r="E558" t="inlineStr">
        <is>
          <t>ÅRE</t>
        </is>
      </c>
      <c r="G558" t="n">
        <v>1</v>
      </c>
      <c r="H558" t="n">
        <v>0</v>
      </c>
      <c r="I558" t="n">
        <v>0</v>
      </c>
      <c r="J558" t="n">
        <v>0</v>
      </c>
      <c r="K558" t="n">
        <v>0</v>
      </c>
      <c r="L558" t="n">
        <v>0</v>
      </c>
      <c r="M558" t="n">
        <v>0</v>
      </c>
      <c r="N558" t="n">
        <v>0</v>
      </c>
      <c r="O558" t="n">
        <v>0</v>
      </c>
      <c r="P558" t="n">
        <v>0</v>
      </c>
      <c r="Q558" t="n">
        <v>0</v>
      </c>
      <c r="R558" s="2" t="inlineStr"/>
    </row>
    <row r="559" ht="15" customHeight="1">
      <c r="A559" t="inlineStr">
        <is>
          <t>A 13383-2022</t>
        </is>
      </c>
      <c r="B559" s="1" t="n">
        <v>44637</v>
      </c>
      <c r="C559" s="1" t="n">
        <v>46138</v>
      </c>
      <c r="D559" t="inlineStr">
        <is>
          <t>JÄMTLANDS LÄN</t>
        </is>
      </c>
      <c r="E559" t="inlineStr">
        <is>
          <t>ÅRE</t>
        </is>
      </c>
      <c r="G559" t="n">
        <v>2.2</v>
      </c>
      <c r="H559" t="n">
        <v>0</v>
      </c>
      <c r="I559" t="n">
        <v>0</v>
      </c>
      <c r="J559" t="n">
        <v>0</v>
      </c>
      <c r="K559" t="n">
        <v>0</v>
      </c>
      <c r="L559" t="n">
        <v>0</v>
      </c>
      <c r="M559" t="n">
        <v>0</v>
      </c>
      <c r="N559" t="n">
        <v>0</v>
      </c>
      <c r="O559" t="n">
        <v>0</v>
      </c>
      <c r="P559" t="n">
        <v>0</v>
      </c>
      <c r="Q559" t="n">
        <v>0</v>
      </c>
      <c r="R559" s="2" t="inlineStr"/>
    </row>
    <row r="560" ht="15" customHeight="1">
      <c r="A560" t="inlineStr">
        <is>
          <t>A 23805-2024</t>
        </is>
      </c>
      <c r="B560" s="1" t="n">
        <v>45455.44194444444</v>
      </c>
      <c r="C560" s="1" t="n">
        <v>46138</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71043-2021</t>
        </is>
      </c>
      <c r="B561" s="1" t="n">
        <v>44538</v>
      </c>
      <c r="C561" s="1" t="n">
        <v>46138</v>
      </c>
      <c r="D561" t="inlineStr">
        <is>
          <t>JÄMTLANDS LÄN</t>
        </is>
      </c>
      <c r="E561" t="inlineStr">
        <is>
          <t>ÅRE</t>
        </is>
      </c>
      <c r="G561" t="n">
        <v>0.4</v>
      </c>
      <c r="H561" t="n">
        <v>0</v>
      </c>
      <c r="I561" t="n">
        <v>0</v>
      </c>
      <c r="J561" t="n">
        <v>0</v>
      </c>
      <c r="K561" t="n">
        <v>0</v>
      </c>
      <c r="L561" t="n">
        <v>0</v>
      </c>
      <c r="M561" t="n">
        <v>0</v>
      </c>
      <c r="N561" t="n">
        <v>0</v>
      </c>
      <c r="O561" t="n">
        <v>0</v>
      </c>
      <c r="P561" t="n">
        <v>0</v>
      </c>
      <c r="Q561" t="n">
        <v>0</v>
      </c>
      <c r="R561" s="2" t="inlineStr"/>
    </row>
    <row r="562" ht="15" customHeight="1">
      <c r="A562" t="inlineStr">
        <is>
          <t>A 17566-2023</t>
        </is>
      </c>
      <c r="B562" s="1" t="n">
        <v>45034</v>
      </c>
      <c r="C562" s="1" t="n">
        <v>46138</v>
      </c>
      <c r="D562" t="inlineStr">
        <is>
          <t>JÄMTLANDS LÄN</t>
        </is>
      </c>
      <c r="E562" t="inlineStr">
        <is>
          <t>ÅRE</t>
        </is>
      </c>
      <c r="G562" t="n">
        <v>4.8</v>
      </c>
      <c r="H562" t="n">
        <v>0</v>
      </c>
      <c r="I562" t="n">
        <v>0</v>
      </c>
      <c r="J562" t="n">
        <v>0</v>
      </c>
      <c r="K562" t="n">
        <v>0</v>
      </c>
      <c r="L562" t="n">
        <v>0</v>
      </c>
      <c r="M562" t="n">
        <v>0</v>
      </c>
      <c r="N562" t="n">
        <v>0</v>
      </c>
      <c r="O562" t="n">
        <v>0</v>
      </c>
      <c r="P562" t="n">
        <v>0</v>
      </c>
      <c r="Q562" t="n">
        <v>0</v>
      </c>
      <c r="R562" s="2" t="inlineStr"/>
    </row>
    <row r="563" ht="15" customHeight="1">
      <c r="A563" t="inlineStr">
        <is>
          <t>A 54186-2024</t>
        </is>
      </c>
      <c r="B563" s="1" t="n">
        <v>45616</v>
      </c>
      <c r="C563" s="1" t="n">
        <v>46138</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8443-2023</t>
        </is>
      </c>
      <c r="B564" s="1" t="n">
        <v>44977</v>
      </c>
      <c r="C564" s="1" t="n">
        <v>46138</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47069-2024</t>
        </is>
      </c>
      <c r="B565" s="1" t="n">
        <v>45586.48003472222</v>
      </c>
      <c r="C565" s="1" t="n">
        <v>46138</v>
      </c>
      <c r="D565" t="inlineStr">
        <is>
          <t>JÄMTLANDS LÄN</t>
        </is>
      </c>
      <c r="E565" t="inlineStr">
        <is>
          <t>ÅRE</t>
        </is>
      </c>
      <c r="G565" t="n">
        <v>7.1</v>
      </c>
      <c r="H565" t="n">
        <v>0</v>
      </c>
      <c r="I565" t="n">
        <v>0</v>
      </c>
      <c r="J565" t="n">
        <v>0</v>
      </c>
      <c r="K565" t="n">
        <v>0</v>
      </c>
      <c r="L565" t="n">
        <v>0</v>
      </c>
      <c r="M565" t="n">
        <v>0</v>
      </c>
      <c r="N565" t="n">
        <v>0</v>
      </c>
      <c r="O565" t="n">
        <v>0</v>
      </c>
      <c r="P565" t="n">
        <v>0</v>
      </c>
      <c r="Q565" t="n">
        <v>0</v>
      </c>
      <c r="R565" s="2" t="inlineStr"/>
    </row>
    <row r="566" ht="15" customHeight="1">
      <c r="A566" t="inlineStr">
        <is>
          <t>A 44512-2023</t>
        </is>
      </c>
      <c r="B566" s="1" t="n">
        <v>45184</v>
      </c>
      <c r="C566" s="1" t="n">
        <v>46138</v>
      </c>
      <c r="D566" t="inlineStr">
        <is>
          <t>JÄMTLANDS LÄN</t>
        </is>
      </c>
      <c r="E566" t="inlineStr">
        <is>
          <t>ÅRE</t>
        </is>
      </c>
      <c r="G566" t="n">
        <v>12.5</v>
      </c>
      <c r="H566" t="n">
        <v>0</v>
      </c>
      <c r="I566" t="n">
        <v>0</v>
      </c>
      <c r="J566" t="n">
        <v>0</v>
      </c>
      <c r="K566" t="n">
        <v>0</v>
      </c>
      <c r="L566" t="n">
        <v>0</v>
      </c>
      <c r="M566" t="n">
        <v>0</v>
      </c>
      <c r="N566" t="n">
        <v>0</v>
      </c>
      <c r="O566" t="n">
        <v>0</v>
      </c>
      <c r="P566" t="n">
        <v>0</v>
      </c>
      <c r="Q566" t="n">
        <v>0</v>
      </c>
      <c r="R566" s="2" t="inlineStr"/>
    </row>
    <row r="567" ht="15" customHeight="1">
      <c r="A567" t="inlineStr">
        <is>
          <t>A 3196-2023</t>
        </is>
      </c>
      <c r="B567" s="1" t="n">
        <v>44946</v>
      </c>
      <c r="C567" s="1" t="n">
        <v>46138</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56736-2023</t>
        </is>
      </c>
      <c r="B568" s="1" t="n">
        <v>45244</v>
      </c>
      <c r="C568" s="1" t="n">
        <v>46138</v>
      </c>
      <c r="D568" t="inlineStr">
        <is>
          <t>JÄMTLANDS LÄN</t>
        </is>
      </c>
      <c r="E568" t="inlineStr">
        <is>
          <t>ÅRE</t>
        </is>
      </c>
      <c r="F568" t="inlineStr">
        <is>
          <t>Övriga Aktiebolag</t>
        </is>
      </c>
      <c r="G568" t="n">
        <v>10.7</v>
      </c>
      <c r="H568" t="n">
        <v>0</v>
      </c>
      <c r="I568" t="n">
        <v>0</v>
      </c>
      <c r="J568" t="n">
        <v>0</v>
      </c>
      <c r="K568" t="n">
        <v>0</v>
      </c>
      <c r="L568" t="n">
        <v>0</v>
      </c>
      <c r="M568" t="n">
        <v>0</v>
      </c>
      <c r="N568" t="n">
        <v>0</v>
      </c>
      <c r="O568" t="n">
        <v>0</v>
      </c>
      <c r="P568" t="n">
        <v>0</v>
      </c>
      <c r="Q568" t="n">
        <v>0</v>
      </c>
      <c r="R568" s="2" t="inlineStr"/>
    </row>
    <row r="569" ht="15" customHeight="1">
      <c r="A569" t="inlineStr">
        <is>
          <t>A 51317-2023</t>
        </is>
      </c>
      <c r="B569" s="1" t="n">
        <v>45219.57061342592</v>
      </c>
      <c r="C569" s="1" t="n">
        <v>46138</v>
      </c>
      <c r="D569" t="inlineStr">
        <is>
          <t>JÄMTLANDS LÄN</t>
        </is>
      </c>
      <c r="E569" t="inlineStr">
        <is>
          <t>ÅRE</t>
        </is>
      </c>
      <c r="G569" t="n">
        <v>2.9</v>
      </c>
      <c r="H569" t="n">
        <v>0</v>
      </c>
      <c r="I569" t="n">
        <v>0</v>
      </c>
      <c r="J569" t="n">
        <v>0</v>
      </c>
      <c r="K569" t="n">
        <v>0</v>
      </c>
      <c r="L569" t="n">
        <v>0</v>
      </c>
      <c r="M569" t="n">
        <v>0</v>
      </c>
      <c r="N569" t="n">
        <v>0</v>
      </c>
      <c r="O569" t="n">
        <v>0</v>
      </c>
      <c r="P569" t="n">
        <v>0</v>
      </c>
      <c r="Q569" t="n">
        <v>0</v>
      </c>
      <c r="R569" s="2" t="inlineStr"/>
    </row>
    <row r="570" ht="15" customHeight="1">
      <c r="A570" t="inlineStr">
        <is>
          <t>A 15482-2024</t>
        </is>
      </c>
      <c r="B570" s="1" t="n">
        <v>45401.49361111111</v>
      </c>
      <c r="C570" s="1" t="n">
        <v>46138</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73800-2021</t>
        </is>
      </c>
      <c r="B571" s="1" t="n">
        <v>44552</v>
      </c>
      <c r="C571" s="1" t="n">
        <v>46138</v>
      </c>
      <c r="D571" t="inlineStr">
        <is>
          <t>JÄMTLANDS LÄN</t>
        </is>
      </c>
      <c r="E571" t="inlineStr">
        <is>
          <t>ÅRE</t>
        </is>
      </c>
      <c r="G571" t="n">
        <v>8.6</v>
      </c>
      <c r="H571" t="n">
        <v>0</v>
      </c>
      <c r="I571" t="n">
        <v>0</v>
      </c>
      <c r="J571" t="n">
        <v>0</v>
      </c>
      <c r="K571" t="n">
        <v>0</v>
      </c>
      <c r="L571" t="n">
        <v>0</v>
      </c>
      <c r="M571" t="n">
        <v>0</v>
      </c>
      <c r="N571" t="n">
        <v>0</v>
      </c>
      <c r="O571" t="n">
        <v>0</v>
      </c>
      <c r="P571" t="n">
        <v>0</v>
      </c>
      <c r="Q571" t="n">
        <v>0</v>
      </c>
      <c r="R571" s="2" t="inlineStr"/>
    </row>
    <row r="572" ht="15" customHeight="1">
      <c r="A572" t="inlineStr">
        <is>
          <t>A 7089-2026</t>
        </is>
      </c>
      <c r="B572" s="1" t="n">
        <v>46058.34428240741</v>
      </c>
      <c r="C572" s="1" t="n">
        <v>46138</v>
      </c>
      <c r="D572" t="inlineStr">
        <is>
          <t>JÄMTLANDS LÄN</t>
        </is>
      </c>
      <c r="E572" t="inlineStr">
        <is>
          <t>ÅRE</t>
        </is>
      </c>
      <c r="G572" t="n">
        <v>3.2</v>
      </c>
      <c r="H572" t="n">
        <v>0</v>
      </c>
      <c r="I572" t="n">
        <v>0</v>
      </c>
      <c r="J572" t="n">
        <v>0</v>
      </c>
      <c r="K572" t="n">
        <v>0</v>
      </c>
      <c r="L572" t="n">
        <v>0</v>
      </c>
      <c r="M572" t="n">
        <v>0</v>
      </c>
      <c r="N572" t="n">
        <v>0</v>
      </c>
      <c r="O572" t="n">
        <v>0</v>
      </c>
      <c r="P572" t="n">
        <v>0</v>
      </c>
      <c r="Q572" t="n">
        <v>0</v>
      </c>
      <c r="R572" s="2" t="inlineStr"/>
    </row>
    <row r="573" ht="15" customHeight="1">
      <c r="A573" t="inlineStr">
        <is>
          <t>A 33003-2022</t>
        </is>
      </c>
      <c r="B573" s="1" t="n">
        <v>44784</v>
      </c>
      <c r="C573" s="1" t="n">
        <v>46138</v>
      </c>
      <c r="D573" t="inlineStr">
        <is>
          <t>JÄMTLANDS LÄN</t>
        </is>
      </c>
      <c r="E573" t="inlineStr">
        <is>
          <t>ÅRE</t>
        </is>
      </c>
      <c r="G573" t="n">
        <v>6.1</v>
      </c>
      <c r="H573" t="n">
        <v>0</v>
      </c>
      <c r="I573" t="n">
        <v>0</v>
      </c>
      <c r="J573" t="n">
        <v>0</v>
      </c>
      <c r="K573" t="n">
        <v>0</v>
      </c>
      <c r="L573" t="n">
        <v>0</v>
      </c>
      <c r="M573" t="n">
        <v>0</v>
      </c>
      <c r="N573" t="n">
        <v>0</v>
      </c>
      <c r="O573" t="n">
        <v>0</v>
      </c>
      <c r="P573" t="n">
        <v>0</v>
      </c>
      <c r="Q573" t="n">
        <v>0</v>
      </c>
      <c r="R573" s="2" t="inlineStr"/>
    </row>
    <row r="574" ht="15" customHeight="1">
      <c r="A574" t="inlineStr">
        <is>
          <t>A 15367-2026</t>
        </is>
      </c>
      <c r="B574" s="1" t="n">
        <v>46105.82152777778</v>
      </c>
      <c r="C574" s="1" t="n">
        <v>46138</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32758-2022</t>
        </is>
      </c>
      <c r="B575" s="1" t="n">
        <v>44783</v>
      </c>
      <c r="C575" s="1" t="n">
        <v>46138</v>
      </c>
      <c r="D575" t="inlineStr">
        <is>
          <t>JÄMTLANDS LÄN</t>
        </is>
      </c>
      <c r="E575" t="inlineStr">
        <is>
          <t>ÅRE</t>
        </is>
      </c>
      <c r="G575" t="n">
        <v>8.4</v>
      </c>
      <c r="H575" t="n">
        <v>0</v>
      </c>
      <c r="I575" t="n">
        <v>0</v>
      </c>
      <c r="J575" t="n">
        <v>0</v>
      </c>
      <c r="K575" t="n">
        <v>0</v>
      </c>
      <c r="L575" t="n">
        <v>0</v>
      </c>
      <c r="M575" t="n">
        <v>0</v>
      </c>
      <c r="N575" t="n">
        <v>0</v>
      </c>
      <c r="O575" t="n">
        <v>0</v>
      </c>
      <c r="P575" t="n">
        <v>0</v>
      </c>
      <c r="Q575" t="n">
        <v>0</v>
      </c>
      <c r="R575" s="2" t="inlineStr"/>
    </row>
    <row r="576" ht="15" customHeight="1">
      <c r="A576" t="inlineStr">
        <is>
          <t>A 42876-2025</t>
        </is>
      </c>
      <c r="B576" s="1" t="n">
        <v>45908</v>
      </c>
      <c r="C576" s="1" t="n">
        <v>46138</v>
      </c>
      <c r="D576" t="inlineStr">
        <is>
          <t>JÄMTLANDS LÄN</t>
        </is>
      </c>
      <c r="E576" t="inlineStr">
        <is>
          <t>ÅRE</t>
        </is>
      </c>
      <c r="G576" t="n">
        <v>0.3</v>
      </c>
      <c r="H576" t="n">
        <v>0</v>
      </c>
      <c r="I576" t="n">
        <v>0</v>
      </c>
      <c r="J576" t="n">
        <v>0</v>
      </c>
      <c r="K576" t="n">
        <v>0</v>
      </c>
      <c r="L576" t="n">
        <v>0</v>
      </c>
      <c r="M576" t="n">
        <v>0</v>
      </c>
      <c r="N576" t="n">
        <v>0</v>
      </c>
      <c r="O576" t="n">
        <v>0</v>
      </c>
      <c r="P576" t="n">
        <v>0</v>
      </c>
      <c r="Q576" t="n">
        <v>0</v>
      </c>
      <c r="R576" s="2" t="inlineStr"/>
    </row>
    <row r="577" ht="15" customHeight="1">
      <c r="A577" t="inlineStr">
        <is>
          <t>A 33239-2024</t>
        </is>
      </c>
      <c r="B577" s="1" t="n">
        <v>45518.59618055556</v>
      </c>
      <c r="C577" s="1" t="n">
        <v>46138</v>
      </c>
      <c r="D577" t="inlineStr">
        <is>
          <t>JÄMTLANDS LÄN</t>
        </is>
      </c>
      <c r="E577" t="inlineStr">
        <is>
          <t>ÅRE</t>
        </is>
      </c>
      <c r="G577" t="n">
        <v>1</v>
      </c>
      <c r="H577" t="n">
        <v>0</v>
      </c>
      <c r="I577" t="n">
        <v>0</v>
      </c>
      <c r="J577" t="n">
        <v>0</v>
      </c>
      <c r="K577" t="n">
        <v>0</v>
      </c>
      <c r="L577" t="n">
        <v>0</v>
      </c>
      <c r="M577" t="n">
        <v>0</v>
      </c>
      <c r="N577" t="n">
        <v>0</v>
      </c>
      <c r="O577" t="n">
        <v>0</v>
      </c>
      <c r="P577" t="n">
        <v>0</v>
      </c>
      <c r="Q577" t="n">
        <v>0</v>
      </c>
      <c r="R577" s="2" t="inlineStr"/>
    </row>
    <row r="578" ht="15" customHeight="1">
      <c r="A578" t="inlineStr">
        <is>
          <t>A 39195-2024</t>
        </is>
      </c>
      <c r="B578" s="1" t="n">
        <v>45548.6934837963</v>
      </c>
      <c r="C578" s="1" t="n">
        <v>46138</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13301-2024</t>
        </is>
      </c>
      <c r="B579" s="1" t="n">
        <v>45386</v>
      </c>
      <c r="C579" s="1" t="n">
        <v>46138</v>
      </c>
      <c r="D579" t="inlineStr">
        <is>
          <t>JÄMTLANDS LÄN</t>
        </is>
      </c>
      <c r="E579" t="inlineStr">
        <is>
          <t>ÅRE</t>
        </is>
      </c>
      <c r="G579" t="n">
        <v>9</v>
      </c>
      <c r="H579" t="n">
        <v>0</v>
      </c>
      <c r="I579" t="n">
        <v>0</v>
      </c>
      <c r="J579" t="n">
        <v>0</v>
      </c>
      <c r="K579" t="n">
        <v>0</v>
      </c>
      <c r="L579" t="n">
        <v>0</v>
      </c>
      <c r="M579" t="n">
        <v>0</v>
      </c>
      <c r="N579" t="n">
        <v>0</v>
      </c>
      <c r="O579" t="n">
        <v>0</v>
      </c>
      <c r="P579" t="n">
        <v>0</v>
      </c>
      <c r="Q579" t="n">
        <v>0</v>
      </c>
      <c r="R579" s="2" t="inlineStr"/>
    </row>
    <row r="580" ht="15" customHeight="1">
      <c r="A580" t="inlineStr">
        <is>
          <t>A 8872-2026</t>
        </is>
      </c>
      <c r="B580" s="1" t="n">
        <v>46066</v>
      </c>
      <c r="C580" s="1" t="n">
        <v>46138</v>
      </c>
      <c r="D580" t="inlineStr">
        <is>
          <t>JÄMTLANDS LÄN</t>
        </is>
      </c>
      <c r="E580" t="inlineStr">
        <is>
          <t>ÅRE</t>
        </is>
      </c>
      <c r="G580" t="n">
        <v>2</v>
      </c>
      <c r="H580" t="n">
        <v>0</v>
      </c>
      <c r="I580" t="n">
        <v>0</v>
      </c>
      <c r="J580" t="n">
        <v>0</v>
      </c>
      <c r="K580" t="n">
        <v>0</v>
      </c>
      <c r="L580" t="n">
        <v>0</v>
      </c>
      <c r="M580" t="n">
        <v>0</v>
      </c>
      <c r="N580" t="n">
        <v>0</v>
      </c>
      <c r="O580" t="n">
        <v>0</v>
      </c>
      <c r="P580" t="n">
        <v>0</v>
      </c>
      <c r="Q580" t="n">
        <v>0</v>
      </c>
      <c r="R580" s="2" t="inlineStr"/>
    </row>
    <row r="581" ht="15" customHeight="1">
      <c r="A581" t="inlineStr">
        <is>
          <t>A 16081-2026</t>
        </is>
      </c>
      <c r="B581" s="1" t="n">
        <v>46108.55716435185</v>
      </c>
      <c r="C581" s="1" t="n">
        <v>46138</v>
      </c>
      <c r="D581" t="inlineStr">
        <is>
          <t>JÄMTLANDS LÄN</t>
        </is>
      </c>
      <c r="E581" t="inlineStr">
        <is>
          <t>ÅRE</t>
        </is>
      </c>
      <c r="G581" t="n">
        <v>76.8</v>
      </c>
      <c r="H581" t="n">
        <v>0</v>
      </c>
      <c r="I581" t="n">
        <v>0</v>
      </c>
      <c r="J581" t="n">
        <v>0</v>
      </c>
      <c r="K581" t="n">
        <v>0</v>
      </c>
      <c r="L581" t="n">
        <v>0</v>
      </c>
      <c r="M581" t="n">
        <v>0</v>
      </c>
      <c r="N581" t="n">
        <v>0</v>
      </c>
      <c r="O581" t="n">
        <v>0</v>
      </c>
      <c r="P581" t="n">
        <v>0</v>
      </c>
      <c r="Q581" t="n">
        <v>0</v>
      </c>
      <c r="R581" s="2" t="inlineStr"/>
    </row>
    <row r="582" ht="15" customHeight="1">
      <c r="A582" t="inlineStr">
        <is>
          <t>A 5923-2022</t>
        </is>
      </c>
      <c r="B582" s="1" t="n">
        <v>44598.64403935185</v>
      </c>
      <c r="C582" s="1" t="n">
        <v>46138</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8576-2024</t>
        </is>
      </c>
      <c r="B583" s="1" t="n">
        <v>45355</v>
      </c>
      <c r="C583" s="1" t="n">
        <v>46138</v>
      </c>
      <c r="D583" t="inlineStr">
        <is>
          <t>JÄMTLANDS LÄN</t>
        </is>
      </c>
      <c r="E583" t="inlineStr">
        <is>
          <t>ÅRE</t>
        </is>
      </c>
      <c r="G583" t="n">
        <v>21.7</v>
      </c>
      <c r="H583" t="n">
        <v>0</v>
      </c>
      <c r="I583" t="n">
        <v>0</v>
      </c>
      <c r="J583" t="n">
        <v>0</v>
      </c>
      <c r="K583" t="n">
        <v>0</v>
      </c>
      <c r="L583" t="n">
        <v>0</v>
      </c>
      <c r="M583" t="n">
        <v>0</v>
      </c>
      <c r="N583" t="n">
        <v>0</v>
      </c>
      <c r="O583" t="n">
        <v>0</v>
      </c>
      <c r="P583" t="n">
        <v>0</v>
      </c>
      <c r="Q583" t="n">
        <v>0</v>
      </c>
      <c r="R583" s="2" t="inlineStr"/>
    </row>
    <row r="584" ht="15" customHeight="1">
      <c r="A584" t="inlineStr">
        <is>
          <t>A 30080-2024</t>
        </is>
      </c>
      <c r="B584" s="1" t="n">
        <v>45485</v>
      </c>
      <c r="C584" s="1" t="n">
        <v>46138</v>
      </c>
      <c r="D584" t="inlineStr">
        <is>
          <t>JÄMTLANDS LÄN</t>
        </is>
      </c>
      <c r="E584" t="inlineStr">
        <is>
          <t>ÅRE</t>
        </is>
      </c>
      <c r="G584" t="n">
        <v>24.6</v>
      </c>
      <c r="H584" t="n">
        <v>0</v>
      </c>
      <c r="I584" t="n">
        <v>0</v>
      </c>
      <c r="J584" t="n">
        <v>0</v>
      </c>
      <c r="K584" t="n">
        <v>0</v>
      </c>
      <c r="L584" t="n">
        <v>0</v>
      </c>
      <c r="M584" t="n">
        <v>0</v>
      </c>
      <c r="N584" t="n">
        <v>0</v>
      </c>
      <c r="O584" t="n">
        <v>0</v>
      </c>
      <c r="P584" t="n">
        <v>0</v>
      </c>
      <c r="Q584" t="n">
        <v>0</v>
      </c>
      <c r="R584" s="2" t="inlineStr"/>
    </row>
    <row r="585" ht="15" customHeight="1">
      <c r="A585" t="inlineStr">
        <is>
          <t>A 8788-2025</t>
        </is>
      </c>
      <c r="B585" s="1" t="n">
        <v>45712</v>
      </c>
      <c r="C585" s="1" t="n">
        <v>46138</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row r="586" ht="15" customHeight="1">
      <c r="A586" t="inlineStr">
        <is>
          <t>A 32210-2022</t>
        </is>
      </c>
      <c r="B586" s="1" t="n">
        <v>44781</v>
      </c>
      <c r="C586" s="1" t="n">
        <v>46138</v>
      </c>
      <c r="D586" t="inlineStr">
        <is>
          <t>JÄMTLANDS LÄN</t>
        </is>
      </c>
      <c r="E586" t="inlineStr">
        <is>
          <t>ÅRE</t>
        </is>
      </c>
      <c r="G586" t="n">
        <v>17.3</v>
      </c>
      <c r="H586" t="n">
        <v>0</v>
      </c>
      <c r="I586" t="n">
        <v>0</v>
      </c>
      <c r="J586" t="n">
        <v>0</v>
      </c>
      <c r="K586" t="n">
        <v>0</v>
      </c>
      <c r="L586" t="n">
        <v>0</v>
      </c>
      <c r="M586" t="n">
        <v>0</v>
      </c>
      <c r="N586" t="n">
        <v>0</v>
      </c>
      <c r="O586" t="n">
        <v>0</v>
      </c>
      <c r="P586" t="n">
        <v>0</v>
      </c>
      <c r="Q586" t="n">
        <v>0</v>
      </c>
      <c r="R586" s="2" t="inlineStr"/>
    </row>
    <row r="587" ht="15" customHeight="1">
      <c r="A587" t="inlineStr">
        <is>
          <t>A 30081-2024</t>
        </is>
      </c>
      <c r="B587" s="1" t="n">
        <v>45485</v>
      </c>
      <c r="C587" s="1" t="n">
        <v>46138</v>
      </c>
      <c r="D587" t="inlineStr">
        <is>
          <t>JÄMTLANDS LÄN</t>
        </is>
      </c>
      <c r="E587" t="inlineStr">
        <is>
          <t>ÅRE</t>
        </is>
      </c>
      <c r="G587" t="n">
        <v>17.8</v>
      </c>
      <c r="H587" t="n">
        <v>0</v>
      </c>
      <c r="I587" t="n">
        <v>0</v>
      </c>
      <c r="J587" t="n">
        <v>0</v>
      </c>
      <c r="K587" t="n">
        <v>0</v>
      </c>
      <c r="L587" t="n">
        <v>0</v>
      </c>
      <c r="M587" t="n">
        <v>0</v>
      </c>
      <c r="N587" t="n">
        <v>0</v>
      </c>
      <c r="O587" t="n">
        <v>0</v>
      </c>
      <c r="P587" t="n">
        <v>0</v>
      </c>
      <c r="Q587" t="n">
        <v>0</v>
      </c>
      <c r="R587" s="2" t="inlineStr"/>
    </row>
    <row r="588" ht="15" customHeight="1">
      <c r="A588" t="inlineStr">
        <is>
          <t>A 9766-2026</t>
        </is>
      </c>
      <c r="B588" s="1" t="n">
        <v>46072.56284722222</v>
      </c>
      <c r="C588" s="1" t="n">
        <v>46138</v>
      </c>
      <c r="D588" t="inlineStr">
        <is>
          <t>JÄMTLANDS LÄN</t>
        </is>
      </c>
      <c r="E588" t="inlineStr">
        <is>
          <t>ÅRE</t>
        </is>
      </c>
      <c r="F588" t="inlineStr">
        <is>
          <t>Övriga Aktiebolag</t>
        </is>
      </c>
      <c r="G588" t="n">
        <v>14.1</v>
      </c>
      <c r="H588" t="n">
        <v>0</v>
      </c>
      <c r="I588" t="n">
        <v>0</v>
      </c>
      <c r="J588" t="n">
        <v>0</v>
      </c>
      <c r="K588" t="n">
        <v>0</v>
      </c>
      <c r="L588" t="n">
        <v>0</v>
      </c>
      <c r="M588" t="n">
        <v>0</v>
      </c>
      <c r="N588" t="n">
        <v>0</v>
      </c>
      <c r="O588" t="n">
        <v>0</v>
      </c>
      <c r="P588" t="n">
        <v>0</v>
      </c>
      <c r="Q588" t="n">
        <v>0</v>
      </c>
      <c r="R588" s="2" t="inlineStr"/>
    </row>
    <row r="589" ht="15" customHeight="1">
      <c r="A589" t="inlineStr">
        <is>
          <t>A 3147-2023</t>
        </is>
      </c>
      <c r="B589" s="1" t="n">
        <v>44946</v>
      </c>
      <c r="C589" s="1" t="n">
        <v>46138</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56576-2022</t>
        </is>
      </c>
      <c r="B590" s="1" t="n">
        <v>44893</v>
      </c>
      <c r="C590" s="1" t="n">
        <v>46138</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46138</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13841-2024</t>
        </is>
      </c>
      <c r="B592" s="1" t="n">
        <v>45391</v>
      </c>
      <c r="C592" s="1" t="n">
        <v>46138</v>
      </c>
      <c r="D592" t="inlineStr">
        <is>
          <t>JÄMTLANDS LÄN</t>
        </is>
      </c>
      <c r="E592" t="inlineStr">
        <is>
          <t>ÅRE</t>
        </is>
      </c>
      <c r="G592" t="n">
        <v>6.7</v>
      </c>
      <c r="H592" t="n">
        <v>0</v>
      </c>
      <c r="I592" t="n">
        <v>0</v>
      </c>
      <c r="J592" t="n">
        <v>0</v>
      </c>
      <c r="K592" t="n">
        <v>0</v>
      </c>
      <c r="L592" t="n">
        <v>0</v>
      </c>
      <c r="M592" t="n">
        <v>0</v>
      </c>
      <c r="N592" t="n">
        <v>0</v>
      </c>
      <c r="O592" t="n">
        <v>0</v>
      </c>
      <c r="P592" t="n">
        <v>0</v>
      </c>
      <c r="Q592" t="n">
        <v>0</v>
      </c>
      <c r="R592" s="2" t="inlineStr"/>
    </row>
    <row r="593" ht="15" customHeight="1">
      <c r="A593" t="inlineStr">
        <is>
          <t>A 45242-2023</t>
        </is>
      </c>
      <c r="B593" s="1" t="n">
        <v>45187</v>
      </c>
      <c r="C593" s="1" t="n">
        <v>46138</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40336-2021</t>
        </is>
      </c>
      <c r="B594" s="1" t="n">
        <v>44419</v>
      </c>
      <c r="C594" s="1" t="n">
        <v>46138</v>
      </c>
      <c r="D594" t="inlineStr">
        <is>
          <t>JÄMTLANDS LÄN</t>
        </is>
      </c>
      <c r="E594" t="inlineStr">
        <is>
          <t>ÅRE</t>
        </is>
      </c>
      <c r="G594" t="n">
        <v>1.1</v>
      </c>
      <c r="H594" t="n">
        <v>0</v>
      </c>
      <c r="I594" t="n">
        <v>0</v>
      </c>
      <c r="J594" t="n">
        <v>0</v>
      </c>
      <c r="K594" t="n">
        <v>0</v>
      </c>
      <c r="L594" t="n">
        <v>0</v>
      </c>
      <c r="M594" t="n">
        <v>0</v>
      </c>
      <c r="N594" t="n">
        <v>0</v>
      </c>
      <c r="O594" t="n">
        <v>0</v>
      </c>
      <c r="P594" t="n">
        <v>0</v>
      </c>
      <c r="Q594" t="n">
        <v>0</v>
      </c>
      <c r="R594" s="2" t="inlineStr"/>
    </row>
    <row r="595" ht="15" customHeight="1">
      <c r="A595" t="inlineStr">
        <is>
          <t>A 10957-2026</t>
        </is>
      </c>
      <c r="B595" s="1" t="n">
        <v>46079.40486111111</v>
      </c>
      <c r="C595" s="1" t="n">
        <v>46138</v>
      </c>
      <c r="D595" t="inlineStr">
        <is>
          <t>JÄMTLANDS LÄN</t>
        </is>
      </c>
      <c r="E595" t="inlineStr">
        <is>
          <t>ÅRE</t>
        </is>
      </c>
      <c r="G595" t="n">
        <v>1</v>
      </c>
      <c r="H595" t="n">
        <v>0</v>
      </c>
      <c r="I595" t="n">
        <v>0</v>
      </c>
      <c r="J595" t="n">
        <v>0</v>
      </c>
      <c r="K595" t="n">
        <v>0</v>
      </c>
      <c r="L595" t="n">
        <v>0</v>
      </c>
      <c r="M595" t="n">
        <v>0</v>
      </c>
      <c r="N595" t="n">
        <v>0</v>
      </c>
      <c r="O595" t="n">
        <v>0</v>
      </c>
      <c r="P595" t="n">
        <v>0</v>
      </c>
      <c r="Q595" t="n">
        <v>0</v>
      </c>
      <c r="R595" s="2" t="inlineStr"/>
    </row>
    <row r="596" ht="15" customHeight="1">
      <c r="A596" t="inlineStr">
        <is>
          <t>A 7970-2023</t>
        </is>
      </c>
      <c r="B596" s="1" t="n">
        <v>44970</v>
      </c>
      <c r="C596" s="1" t="n">
        <v>46138</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44609-2024</t>
        </is>
      </c>
      <c r="B597" s="1" t="n">
        <v>45574.51212962963</v>
      </c>
      <c r="C597" s="1" t="n">
        <v>46138</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43449-2023</t>
        </is>
      </c>
      <c r="B598" s="1" t="n">
        <v>45184.36697916667</v>
      </c>
      <c r="C598" s="1" t="n">
        <v>46138</v>
      </c>
      <c r="D598" t="inlineStr">
        <is>
          <t>JÄMTLANDS LÄN</t>
        </is>
      </c>
      <c r="E598" t="inlineStr">
        <is>
          <t>ÅRE</t>
        </is>
      </c>
      <c r="F598" t="inlineStr">
        <is>
          <t>Övriga Aktiebolag</t>
        </is>
      </c>
      <c r="G598" t="n">
        <v>3.1</v>
      </c>
      <c r="H598" t="n">
        <v>0</v>
      </c>
      <c r="I598" t="n">
        <v>0</v>
      </c>
      <c r="J598" t="n">
        <v>0</v>
      </c>
      <c r="K598" t="n">
        <v>0</v>
      </c>
      <c r="L598" t="n">
        <v>0</v>
      </c>
      <c r="M598" t="n">
        <v>0</v>
      </c>
      <c r="N598" t="n">
        <v>0</v>
      </c>
      <c r="O598" t="n">
        <v>0</v>
      </c>
      <c r="P598" t="n">
        <v>0</v>
      </c>
      <c r="Q598" t="n">
        <v>0</v>
      </c>
      <c r="R598" s="2" t="inlineStr"/>
    </row>
    <row r="599" ht="15" customHeight="1">
      <c r="A599" t="inlineStr">
        <is>
          <t>A 52707-2022</t>
        </is>
      </c>
      <c r="B599" s="1" t="n">
        <v>44874</v>
      </c>
      <c r="C599" s="1" t="n">
        <v>46138</v>
      </c>
      <c r="D599" t="inlineStr">
        <is>
          <t>JÄMTLANDS LÄN</t>
        </is>
      </c>
      <c r="E599" t="inlineStr">
        <is>
          <t>ÅRE</t>
        </is>
      </c>
      <c r="F599" t="inlineStr">
        <is>
          <t>Övriga Aktiebolag</t>
        </is>
      </c>
      <c r="G599" t="n">
        <v>2.3</v>
      </c>
      <c r="H599" t="n">
        <v>0</v>
      </c>
      <c r="I599" t="n">
        <v>0</v>
      </c>
      <c r="J599" t="n">
        <v>0</v>
      </c>
      <c r="K599" t="n">
        <v>0</v>
      </c>
      <c r="L599" t="n">
        <v>0</v>
      </c>
      <c r="M599" t="n">
        <v>0</v>
      </c>
      <c r="N599" t="n">
        <v>0</v>
      </c>
      <c r="O599" t="n">
        <v>0</v>
      </c>
      <c r="P599" t="n">
        <v>0</v>
      </c>
      <c r="Q599" t="n">
        <v>0</v>
      </c>
      <c r="R599" s="2" t="inlineStr"/>
    </row>
    <row r="600" ht="15" customHeight="1">
      <c r="A600" t="inlineStr">
        <is>
          <t>A 39742-2025</t>
        </is>
      </c>
      <c r="B600" s="1" t="n">
        <v>45891</v>
      </c>
      <c r="C600" s="1" t="n">
        <v>46138</v>
      </c>
      <c r="D600" t="inlineStr">
        <is>
          <t>JÄMTLANDS LÄN</t>
        </is>
      </c>
      <c r="E600" t="inlineStr">
        <is>
          <t>ÅRE</t>
        </is>
      </c>
      <c r="F600" t="inlineStr">
        <is>
          <t>Övriga statliga verk och myndigheter</t>
        </is>
      </c>
      <c r="G600" t="n">
        <v>6.2</v>
      </c>
      <c r="H600" t="n">
        <v>0</v>
      </c>
      <c r="I600" t="n">
        <v>0</v>
      </c>
      <c r="J600" t="n">
        <v>0</v>
      </c>
      <c r="K600" t="n">
        <v>0</v>
      </c>
      <c r="L600" t="n">
        <v>0</v>
      </c>
      <c r="M600" t="n">
        <v>0</v>
      </c>
      <c r="N600" t="n">
        <v>0</v>
      </c>
      <c r="O600" t="n">
        <v>0</v>
      </c>
      <c r="P600" t="n">
        <v>0</v>
      </c>
      <c r="Q600" t="n">
        <v>0</v>
      </c>
      <c r="R600" s="2" t="inlineStr"/>
    </row>
    <row r="601" ht="15" customHeight="1">
      <c r="A601" t="inlineStr">
        <is>
          <t>A 59387-2022</t>
        </is>
      </c>
      <c r="B601" s="1" t="n">
        <v>44905</v>
      </c>
      <c r="C601" s="1" t="n">
        <v>46138</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13082-2025</t>
        </is>
      </c>
      <c r="B602" s="1" t="n">
        <v>45734.62666666666</v>
      </c>
      <c r="C602" s="1" t="n">
        <v>46138</v>
      </c>
      <c r="D602" t="inlineStr">
        <is>
          <t>JÄMTLANDS LÄN</t>
        </is>
      </c>
      <c r="E602" t="inlineStr">
        <is>
          <t>ÅRE</t>
        </is>
      </c>
      <c r="G602" t="n">
        <v>3.5</v>
      </c>
      <c r="H602" t="n">
        <v>0</v>
      </c>
      <c r="I602" t="n">
        <v>0</v>
      </c>
      <c r="J602" t="n">
        <v>0</v>
      </c>
      <c r="K602" t="n">
        <v>0</v>
      </c>
      <c r="L602" t="n">
        <v>0</v>
      </c>
      <c r="M602" t="n">
        <v>0</v>
      </c>
      <c r="N602" t="n">
        <v>0</v>
      </c>
      <c r="O602" t="n">
        <v>0</v>
      </c>
      <c r="P602" t="n">
        <v>0</v>
      </c>
      <c r="Q602" t="n">
        <v>0</v>
      </c>
      <c r="R602" s="2" t="inlineStr"/>
    </row>
    <row r="603" ht="15" customHeight="1">
      <c r="A603" t="inlineStr">
        <is>
          <t>A 54225-2025</t>
        </is>
      </c>
      <c r="B603" s="1" t="n">
        <v>45964.60839120371</v>
      </c>
      <c r="C603" s="1" t="n">
        <v>46138</v>
      </c>
      <c r="D603" t="inlineStr">
        <is>
          <t>JÄMTLANDS LÄN</t>
        </is>
      </c>
      <c r="E603" t="inlineStr">
        <is>
          <t>ÅRE</t>
        </is>
      </c>
      <c r="G603" t="n">
        <v>0.8</v>
      </c>
      <c r="H603" t="n">
        <v>0</v>
      </c>
      <c r="I603" t="n">
        <v>0</v>
      </c>
      <c r="J603" t="n">
        <v>0</v>
      </c>
      <c r="K603" t="n">
        <v>0</v>
      </c>
      <c r="L603" t="n">
        <v>0</v>
      </c>
      <c r="M603" t="n">
        <v>0</v>
      </c>
      <c r="N603" t="n">
        <v>0</v>
      </c>
      <c r="O603" t="n">
        <v>0</v>
      </c>
      <c r="P603" t="n">
        <v>0</v>
      </c>
      <c r="Q603" t="n">
        <v>0</v>
      </c>
      <c r="R603" s="2" t="inlineStr"/>
    </row>
    <row r="604" ht="15" customHeight="1">
      <c r="A604" t="inlineStr">
        <is>
          <t>A 51183-2025</t>
        </is>
      </c>
      <c r="B604" s="1" t="n">
        <v>45947.62087962963</v>
      </c>
      <c r="C604" s="1" t="n">
        <v>46138</v>
      </c>
      <c r="D604" t="inlineStr">
        <is>
          <t>JÄMTLANDS LÄN</t>
        </is>
      </c>
      <c r="E604" t="inlineStr">
        <is>
          <t>ÅRE</t>
        </is>
      </c>
      <c r="F604" t="inlineStr">
        <is>
          <t>Övriga statliga verk och myndigheter</t>
        </is>
      </c>
      <c r="G604" t="n">
        <v>2</v>
      </c>
      <c r="H604" t="n">
        <v>0</v>
      </c>
      <c r="I604" t="n">
        <v>0</v>
      </c>
      <c r="J604" t="n">
        <v>0</v>
      </c>
      <c r="K604" t="n">
        <v>0</v>
      </c>
      <c r="L604" t="n">
        <v>0</v>
      </c>
      <c r="M604" t="n">
        <v>0</v>
      </c>
      <c r="N604" t="n">
        <v>0</v>
      </c>
      <c r="O604" t="n">
        <v>0</v>
      </c>
      <c r="P604" t="n">
        <v>0</v>
      </c>
      <c r="Q604" t="n">
        <v>0</v>
      </c>
      <c r="R604" s="2" t="inlineStr"/>
    </row>
    <row r="605" ht="15" customHeight="1">
      <c r="A605" t="inlineStr">
        <is>
          <t>A 12177-2025</t>
        </is>
      </c>
      <c r="B605" s="1" t="n">
        <v>45729.45119212963</v>
      </c>
      <c r="C605" s="1" t="n">
        <v>46138</v>
      </c>
      <c r="D605" t="inlineStr">
        <is>
          <t>JÄMTLANDS LÄN</t>
        </is>
      </c>
      <c r="E605" t="inlineStr">
        <is>
          <t>ÅRE</t>
        </is>
      </c>
      <c r="F605" t="inlineStr">
        <is>
          <t>Övriga Aktiebolag</t>
        </is>
      </c>
      <c r="G605" t="n">
        <v>13.2</v>
      </c>
      <c r="H605" t="n">
        <v>0</v>
      </c>
      <c r="I605" t="n">
        <v>0</v>
      </c>
      <c r="J605" t="n">
        <v>0</v>
      </c>
      <c r="K605" t="n">
        <v>0</v>
      </c>
      <c r="L605" t="n">
        <v>0</v>
      </c>
      <c r="M605" t="n">
        <v>0</v>
      </c>
      <c r="N605" t="n">
        <v>0</v>
      </c>
      <c r="O605" t="n">
        <v>0</v>
      </c>
      <c r="P605" t="n">
        <v>0</v>
      </c>
      <c r="Q605" t="n">
        <v>0</v>
      </c>
      <c r="R605" s="2" t="inlineStr"/>
    </row>
    <row r="606" ht="15" customHeight="1">
      <c r="A606" t="inlineStr">
        <is>
          <t>A 39115-2025</t>
        </is>
      </c>
      <c r="B606" s="1" t="n">
        <v>45888</v>
      </c>
      <c r="C606" s="1" t="n">
        <v>46138</v>
      </c>
      <c r="D606" t="inlineStr">
        <is>
          <t>JÄMTLANDS LÄN</t>
        </is>
      </c>
      <c r="E606" t="inlineStr">
        <is>
          <t>ÅRE</t>
        </is>
      </c>
      <c r="F606" t="inlineStr">
        <is>
          <t>Övriga statliga verk och myndigheter</t>
        </is>
      </c>
      <c r="G606" t="n">
        <v>11.4</v>
      </c>
      <c r="H606" t="n">
        <v>0</v>
      </c>
      <c r="I606" t="n">
        <v>0</v>
      </c>
      <c r="J606" t="n">
        <v>0</v>
      </c>
      <c r="K606" t="n">
        <v>0</v>
      </c>
      <c r="L606" t="n">
        <v>0</v>
      </c>
      <c r="M606" t="n">
        <v>0</v>
      </c>
      <c r="N606" t="n">
        <v>0</v>
      </c>
      <c r="O606" t="n">
        <v>0</v>
      </c>
      <c r="P606" t="n">
        <v>0</v>
      </c>
      <c r="Q606" t="n">
        <v>0</v>
      </c>
      <c r="R606" s="2" t="inlineStr"/>
    </row>
    <row r="607" ht="15" customHeight="1">
      <c r="A607" t="inlineStr">
        <is>
          <t>A 61109-2025</t>
        </is>
      </c>
      <c r="B607" s="1" t="n">
        <v>46000.45017361111</v>
      </c>
      <c r="C607" s="1" t="n">
        <v>46138</v>
      </c>
      <c r="D607" t="inlineStr">
        <is>
          <t>JÄMTLANDS LÄN</t>
        </is>
      </c>
      <c r="E607" t="inlineStr">
        <is>
          <t>ÅRE</t>
        </is>
      </c>
      <c r="G607" t="n">
        <v>2.7</v>
      </c>
      <c r="H607" t="n">
        <v>0</v>
      </c>
      <c r="I607" t="n">
        <v>0</v>
      </c>
      <c r="J607" t="n">
        <v>0</v>
      </c>
      <c r="K607" t="n">
        <v>0</v>
      </c>
      <c r="L607" t="n">
        <v>0</v>
      </c>
      <c r="M607" t="n">
        <v>0</v>
      </c>
      <c r="N607" t="n">
        <v>0</v>
      </c>
      <c r="O607" t="n">
        <v>0</v>
      </c>
      <c r="P607" t="n">
        <v>0</v>
      </c>
      <c r="Q607" t="n">
        <v>0</v>
      </c>
      <c r="R607" s="2" t="inlineStr"/>
    </row>
    <row r="608" ht="15" customHeight="1">
      <c r="A608" t="inlineStr">
        <is>
          <t>A 42136-2022</t>
        </is>
      </c>
      <c r="B608" s="1" t="n">
        <v>44830</v>
      </c>
      <c r="C608" s="1" t="n">
        <v>46138</v>
      </c>
      <c r="D608" t="inlineStr">
        <is>
          <t>JÄMTLANDS LÄN</t>
        </is>
      </c>
      <c r="E608" t="inlineStr">
        <is>
          <t>ÅRE</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52470-2022</t>
        </is>
      </c>
      <c r="B609" s="1" t="n">
        <v>44874.48167824074</v>
      </c>
      <c r="C609" s="1" t="n">
        <v>46138</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11439-2026</t>
        </is>
      </c>
      <c r="B610" s="1" t="n">
        <v>46083.51054398148</v>
      </c>
      <c r="C610" s="1" t="n">
        <v>46138</v>
      </c>
      <c r="D610" t="inlineStr">
        <is>
          <t>JÄMTLANDS LÄN</t>
        </is>
      </c>
      <c r="E610" t="inlineStr">
        <is>
          <t>ÅRE</t>
        </is>
      </c>
      <c r="G610" t="n">
        <v>2.7</v>
      </c>
      <c r="H610" t="n">
        <v>0</v>
      </c>
      <c r="I610" t="n">
        <v>0</v>
      </c>
      <c r="J610" t="n">
        <v>0</v>
      </c>
      <c r="K610" t="n">
        <v>0</v>
      </c>
      <c r="L610" t="n">
        <v>0</v>
      </c>
      <c r="M610" t="n">
        <v>0</v>
      </c>
      <c r="N610" t="n">
        <v>0</v>
      </c>
      <c r="O610" t="n">
        <v>0</v>
      </c>
      <c r="P610" t="n">
        <v>0</v>
      </c>
      <c r="Q610" t="n">
        <v>0</v>
      </c>
      <c r="R610" s="2" t="inlineStr"/>
    </row>
    <row r="611" ht="15" customHeight="1">
      <c r="A611" t="inlineStr">
        <is>
          <t>A 39744-2025</t>
        </is>
      </c>
      <c r="B611" s="1" t="n">
        <v>45891</v>
      </c>
      <c r="C611" s="1" t="n">
        <v>46138</v>
      </c>
      <c r="D611" t="inlineStr">
        <is>
          <t>JÄMTLANDS LÄN</t>
        </is>
      </c>
      <c r="E611" t="inlineStr">
        <is>
          <t>ÅRE</t>
        </is>
      </c>
      <c r="F611" t="inlineStr">
        <is>
          <t>Övriga statliga verk och myndigheter</t>
        </is>
      </c>
      <c r="G611" t="n">
        <v>14.4</v>
      </c>
      <c r="H611" t="n">
        <v>0</v>
      </c>
      <c r="I611" t="n">
        <v>0</v>
      </c>
      <c r="J611" t="n">
        <v>0</v>
      </c>
      <c r="K611" t="n">
        <v>0</v>
      </c>
      <c r="L611" t="n">
        <v>0</v>
      </c>
      <c r="M611" t="n">
        <v>0</v>
      </c>
      <c r="N611" t="n">
        <v>0</v>
      </c>
      <c r="O611" t="n">
        <v>0</v>
      </c>
      <c r="P611" t="n">
        <v>0</v>
      </c>
      <c r="Q611" t="n">
        <v>0</v>
      </c>
      <c r="R611" s="2" t="inlineStr"/>
    </row>
    <row r="612" ht="15" customHeight="1">
      <c r="A612" t="inlineStr">
        <is>
          <t>A 13559-2025</t>
        </is>
      </c>
      <c r="B612" s="1" t="n">
        <v>45736</v>
      </c>
      <c r="C612" s="1" t="n">
        <v>46138</v>
      </c>
      <c r="D612" t="inlineStr">
        <is>
          <t>JÄMTLANDS LÄN</t>
        </is>
      </c>
      <c r="E612" t="inlineStr">
        <is>
          <t>ÅRE</t>
        </is>
      </c>
      <c r="F612" t="inlineStr">
        <is>
          <t>Övriga statliga verk och myndigheter</t>
        </is>
      </c>
      <c r="G612" t="n">
        <v>0.4</v>
      </c>
      <c r="H612" t="n">
        <v>0</v>
      </c>
      <c r="I612" t="n">
        <v>0</v>
      </c>
      <c r="J612" t="n">
        <v>0</v>
      </c>
      <c r="K612" t="n">
        <v>0</v>
      </c>
      <c r="L612" t="n">
        <v>0</v>
      </c>
      <c r="M612" t="n">
        <v>0</v>
      </c>
      <c r="N612" t="n">
        <v>0</v>
      </c>
      <c r="O612" t="n">
        <v>0</v>
      </c>
      <c r="P612" t="n">
        <v>0</v>
      </c>
      <c r="Q612" t="n">
        <v>0</v>
      </c>
      <c r="R612" s="2" t="inlineStr"/>
    </row>
    <row r="613" ht="15" customHeight="1">
      <c r="A613" t="inlineStr">
        <is>
          <t>A 13561-2025</t>
        </is>
      </c>
      <c r="B613" s="1" t="n">
        <v>45736</v>
      </c>
      <c r="C613" s="1" t="n">
        <v>46138</v>
      </c>
      <c r="D613" t="inlineStr">
        <is>
          <t>JÄMTLANDS LÄN</t>
        </is>
      </c>
      <c r="E613" t="inlineStr">
        <is>
          <t>ÅRE</t>
        </is>
      </c>
      <c r="F613" t="inlineStr">
        <is>
          <t>Övriga statliga verk och myndigheter</t>
        </is>
      </c>
      <c r="G613" t="n">
        <v>3.8</v>
      </c>
      <c r="H613" t="n">
        <v>0</v>
      </c>
      <c r="I613" t="n">
        <v>0</v>
      </c>
      <c r="J613" t="n">
        <v>0</v>
      </c>
      <c r="K613" t="n">
        <v>0</v>
      </c>
      <c r="L613" t="n">
        <v>0</v>
      </c>
      <c r="M613" t="n">
        <v>0</v>
      </c>
      <c r="N613" t="n">
        <v>0</v>
      </c>
      <c r="O613" t="n">
        <v>0</v>
      </c>
      <c r="P613" t="n">
        <v>0</v>
      </c>
      <c r="Q613" t="n">
        <v>0</v>
      </c>
      <c r="R613" s="2" t="inlineStr"/>
    </row>
    <row r="614" ht="15" customHeight="1">
      <c r="A614" t="inlineStr">
        <is>
          <t>A 39202-2025</t>
        </is>
      </c>
      <c r="B614" s="1" t="n">
        <v>45888.72116898148</v>
      </c>
      <c r="C614" s="1" t="n">
        <v>46138</v>
      </c>
      <c r="D614" t="inlineStr">
        <is>
          <t>JÄMTLANDS LÄN</t>
        </is>
      </c>
      <c r="E614" t="inlineStr">
        <is>
          <t>ÅRE</t>
        </is>
      </c>
      <c r="G614" t="n">
        <v>4.4</v>
      </c>
      <c r="H614" t="n">
        <v>0</v>
      </c>
      <c r="I614" t="n">
        <v>0</v>
      </c>
      <c r="J614" t="n">
        <v>0</v>
      </c>
      <c r="K614" t="n">
        <v>0</v>
      </c>
      <c r="L614" t="n">
        <v>0</v>
      </c>
      <c r="M614" t="n">
        <v>0</v>
      </c>
      <c r="N614" t="n">
        <v>0</v>
      </c>
      <c r="O614" t="n">
        <v>0</v>
      </c>
      <c r="P614" t="n">
        <v>0</v>
      </c>
      <c r="Q614" t="n">
        <v>0</v>
      </c>
      <c r="R614" s="2" t="inlineStr"/>
    </row>
    <row r="615" ht="15" customHeight="1">
      <c r="A615" t="inlineStr">
        <is>
          <t>A 54615-2022</t>
        </is>
      </c>
      <c r="B615" s="1" t="n">
        <v>44883.36125</v>
      </c>
      <c r="C615" s="1" t="n">
        <v>46138</v>
      </c>
      <c r="D615" t="inlineStr">
        <is>
          <t>JÄMTLANDS LÄN</t>
        </is>
      </c>
      <c r="E615" t="inlineStr">
        <is>
          <t>ÅRE</t>
        </is>
      </c>
      <c r="F615" t="inlineStr">
        <is>
          <t>Övriga Aktiebolag</t>
        </is>
      </c>
      <c r="G615" t="n">
        <v>5.1</v>
      </c>
      <c r="H615" t="n">
        <v>0</v>
      </c>
      <c r="I615" t="n">
        <v>0</v>
      </c>
      <c r="J615" t="n">
        <v>0</v>
      </c>
      <c r="K615" t="n">
        <v>0</v>
      </c>
      <c r="L615" t="n">
        <v>0</v>
      </c>
      <c r="M615" t="n">
        <v>0</v>
      </c>
      <c r="N615" t="n">
        <v>0</v>
      </c>
      <c r="O615" t="n">
        <v>0</v>
      </c>
      <c r="P615" t="n">
        <v>0</v>
      </c>
      <c r="Q615" t="n">
        <v>0</v>
      </c>
      <c r="R615" s="2" t="inlineStr"/>
    </row>
    <row r="616" ht="15" customHeight="1">
      <c r="A616" t="inlineStr">
        <is>
          <t>A 23561-2021</t>
        </is>
      </c>
      <c r="B616" s="1" t="n">
        <v>44334</v>
      </c>
      <c r="C616" s="1" t="n">
        <v>46138</v>
      </c>
      <c r="D616" t="inlineStr">
        <is>
          <t>JÄMTLANDS LÄN</t>
        </is>
      </c>
      <c r="E616" t="inlineStr">
        <is>
          <t>ÅRE</t>
        </is>
      </c>
      <c r="G616" t="n">
        <v>8.5</v>
      </c>
      <c r="H616" t="n">
        <v>0</v>
      </c>
      <c r="I616" t="n">
        <v>0</v>
      </c>
      <c r="J616" t="n">
        <v>0</v>
      </c>
      <c r="K616" t="n">
        <v>0</v>
      </c>
      <c r="L616" t="n">
        <v>0</v>
      </c>
      <c r="M616" t="n">
        <v>0</v>
      </c>
      <c r="N616" t="n">
        <v>0</v>
      </c>
      <c r="O616" t="n">
        <v>0</v>
      </c>
      <c r="P616" t="n">
        <v>0</v>
      </c>
      <c r="Q616" t="n">
        <v>0</v>
      </c>
      <c r="R616" s="2" t="inlineStr"/>
    </row>
    <row r="617" ht="15" customHeight="1">
      <c r="A617" t="inlineStr">
        <is>
          <t>A 33117-2023</t>
        </is>
      </c>
      <c r="B617" s="1" t="n">
        <v>45126</v>
      </c>
      <c r="C617" s="1" t="n">
        <v>46138</v>
      </c>
      <c r="D617" t="inlineStr">
        <is>
          <t>JÄMTLANDS LÄN</t>
        </is>
      </c>
      <c r="E617" t="inlineStr">
        <is>
          <t>ÅRE</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18748-2026</t>
        </is>
      </c>
      <c r="B618" s="1" t="n">
        <v>46128.53486111111</v>
      </c>
      <c r="C618" s="1" t="n">
        <v>46138</v>
      </c>
      <c r="D618" t="inlineStr">
        <is>
          <t>JÄMTLANDS LÄN</t>
        </is>
      </c>
      <c r="E618" t="inlineStr">
        <is>
          <t>ÅRE</t>
        </is>
      </c>
      <c r="G618" t="n">
        <v>0.8</v>
      </c>
      <c r="H618" t="n">
        <v>0</v>
      </c>
      <c r="I618" t="n">
        <v>0</v>
      </c>
      <c r="J618" t="n">
        <v>0</v>
      </c>
      <c r="K618" t="n">
        <v>0</v>
      </c>
      <c r="L618" t="n">
        <v>0</v>
      </c>
      <c r="M618" t="n">
        <v>0</v>
      </c>
      <c r="N618" t="n">
        <v>0</v>
      </c>
      <c r="O618" t="n">
        <v>0</v>
      </c>
      <c r="P618" t="n">
        <v>0</v>
      </c>
      <c r="Q618" t="n">
        <v>0</v>
      </c>
      <c r="R618" s="2" t="inlineStr"/>
    </row>
    <row r="619" ht="15" customHeight="1">
      <c r="A619" t="inlineStr">
        <is>
          <t>A 18805-2026</t>
        </is>
      </c>
      <c r="B619" s="1" t="n">
        <v>46128.62528935185</v>
      </c>
      <c r="C619" s="1" t="n">
        <v>46138</v>
      </c>
      <c r="D619" t="inlineStr">
        <is>
          <t>JÄMTLANDS LÄN</t>
        </is>
      </c>
      <c r="E619" t="inlineStr">
        <is>
          <t>ÅRE</t>
        </is>
      </c>
      <c r="G619" t="n">
        <v>1</v>
      </c>
      <c r="H619" t="n">
        <v>0</v>
      </c>
      <c r="I619" t="n">
        <v>0</v>
      </c>
      <c r="J619" t="n">
        <v>0</v>
      </c>
      <c r="K619" t="n">
        <v>0</v>
      </c>
      <c r="L619" t="n">
        <v>0</v>
      </c>
      <c r="M619" t="n">
        <v>0</v>
      </c>
      <c r="N619" t="n">
        <v>0</v>
      </c>
      <c r="O619" t="n">
        <v>0</v>
      </c>
      <c r="P619" t="n">
        <v>0</v>
      </c>
      <c r="Q619" t="n">
        <v>0</v>
      </c>
      <c r="R619" s="2" t="inlineStr"/>
    </row>
    <row r="620" ht="15" customHeight="1">
      <c r="A620" t="inlineStr">
        <is>
          <t>A 61566-2021</t>
        </is>
      </c>
      <c r="B620" s="1" t="n">
        <v>44496</v>
      </c>
      <c r="C620" s="1" t="n">
        <v>46138</v>
      </c>
      <c r="D620" t="inlineStr">
        <is>
          <t>JÄMTLANDS LÄN</t>
        </is>
      </c>
      <c r="E620" t="inlineStr">
        <is>
          <t>ÅRE</t>
        </is>
      </c>
      <c r="F620" t="inlineStr">
        <is>
          <t>Övriga statliga verk och myndigheter</t>
        </is>
      </c>
      <c r="G620" t="n">
        <v>10.9</v>
      </c>
      <c r="H620" t="n">
        <v>0</v>
      </c>
      <c r="I620" t="n">
        <v>0</v>
      </c>
      <c r="J620" t="n">
        <v>0</v>
      </c>
      <c r="K620" t="n">
        <v>0</v>
      </c>
      <c r="L620" t="n">
        <v>0</v>
      </c>
      <c r="M620" t="n">
        <v>0</v>
      </c>
      <c r="N620" t="n">
        <v>0</v>
      </c>
      <c r="O620" t="n">
        <v>0</v>
      </c>
      <c r="P620" t="n">
        <v>0</v>
      </c>
      <c r="Q620" t="n">
        <v>0</v>
      </c>
      <c r="R620" s="2" t="inlineStr"/>
    </row>
    <row r="621" ht="15" customHeight="1">
      <c r="A621" t="inlineStr">
        <is>
          <t>A 18754-2026</t>
        </is>
      </c>
      <c r="B621" s="1" t="n">
        <v>46128.54760416667</v>
      </c>
      <c r="C621" s="1" t="n">
        <v>46138</v>
      </c>
      <c r="D621" t="inlineStr">
        <is>
          <t>JÄMTLANDS LÄN</t>
        </is>
      </c>
      <c r="E621" t="inlineStr">
        <is>
          <t>ÅRE</t>
        </is>
      </c>
      <c r="G621" t="n">
        <v>2.3</v>
      </c>
      <c r="H621" t="n">
        <v>0</v>
      </c>
      <c r="I621" t="n">
        <v>0</v>
      </c>
      <c r="J621" t="n">
        <v>0</v>
      </c>
      <c r="K621" t="n">
        <v>0</v>
      </c>
      <c r="L621" t="n">
        <v>0</v>
      </c>
      <c r="M621" t="n">
        <v>0</v>
      </c>
      <c r="N621" t="n">
        <v>0</v>
      </c>
      <c r="O621" t="n">
        <v>0</v>
      </c>
      <c r="P621" t="n">
        <v>0</v>
      </c>
      <c r="Q621" t="n">
        <v>0</v>
      </c>
      <c r="R621" s="2" t="inlineStr"/>
    </row>
    <row r="622" ht="15" customHeight="1">
      <c r="A622" t="inlineStr">
        <is>
          <t>A 29177-2024</t>
        </is>
      </c>
      <c r="B622" s="1" t="n">
        <v>45482.53859953704</v>
      </c>
      <c r="C622" s="1" t="n">
        <v>46138</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11377-2025</t>
        </is>
      </c>
      <c r="B623" s="1" t="n">
        <v>45726</v>
      </c>
      <c r="C623" s="1" t="n">
        <v>46138</v>
      </c>
      <c r="D623" t="inlineStr">
        <is>
          <t>JÄMTLANDS LÄN</t>
        </is>
      </c>
      <c r="E623" t="inlineStr">
        <is>
          <t>ÅRE</t>
        </is>
      </c>
      <c r="G623" t="n">
        <v>7.1</v>
      </c>
      <c r="H623" t="n">
        <v>0</v>
      </c>
      <c r="I623" t="n">
        <v>0</v>
      </c>
      <c r="J623" t="n">
        <v>0</v>
      </c>
      <c r="K623" t="n">
        <v>0</v>
      </c>
      <c r="L623" t="n">
        <v>0</v>
      </c>
      <c r="M623" t="n">
        <v>0</v>
      </c>
      <c r="N623" t="n">
        <v>0</v>
      </c>
      <c r="O623" t="n">
        <v>0</v>
      </c>
      <c r="P623" t="n">
        <v>0</v>
      </c>
      <c r="Q623" t="n">
        <v>0</v>
      </c>
      <c r="R623" s="2" t="inlineStr"/>
    </row>
    <row r="624" ht="15" customHeight="1">
      <c r="A624" t="inlineStr">
        <is>
          <t>A 4272-2025</t>
        </is>
      </c>
      <c r="B624" s="1" t="n">
        <v>45685</v>
      </c>
      <c r="C624" s="1" t="n">
        <v>46138</v>
      </c>
      <c r="D624" t="inlineStr">
        <is>
          <t>JÄMTLANDS LÄN</t>
        </is>
      </c>
      <c r="E624" t="inlineStr">
        <is>
          <t>ÅRE</t>
        </is>
      </c>
      <c r="F624" t="inlineStr">
        <is>
          <t>Övriga Aktiebolag</t>
        </is>
      </c>
      <c r="G624" t="n">
        <v>16.6</v>
      </c>
      <c r="H624" t="n">
        <v>0</v>
      </c>
      <c r="I624" t="n">
        <v>0</v>
      </c>
      <c r="J624" t="n">
        <v>0</v>
      </c>
      <c r="K624" t="n">
        <v>0</v>
      </c>
      <c r="L624" t="n">
        <v>0</v>
      </c>
      <c r="M624" t="n">
        <v>0</v>
      </c>
      <c r="N624" t="n">
        <v>0</v>
      </c>
      <c r="O624" t="n">
        <v>0</v>
      </c>
      <c r="P624" t="n">
        <v>0</v>
      </c>
      <c r="Q624" t="n">
        <v>0</v>
      </c>
      <c r="R624" s="2" t="inlineStr"/>
    </row>
    <row r="625" ht="15" customHeight="1">
      <c r="A625" t="inlineStr">
        <is>
          <t>A 27630-2025</t>
        </is>
      </c>
      <c r="B625" s="1" t="n">
        <v>45813</v>
      </c>
      <c r="C625" s="1" t="n">
        <v>46138</v>
      </c>
      <c r="D625" t="inlineStr">
        <is>
          <t>JÄMTLANDS LÄN</t>
        </is>
      </c>
      <c r="E625" t="inlineStr">
        <is>
          <t>ÅRE</t>
        </is>
      </c>
      <c r="G625" t="n">
        <v>8.4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46138</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43342-2024</t>
        </is>
      </c>
      <c r="B627" s="1" t="n">
        <v>45568.55114583333</v>
      </c>
      <c r="C627" s="1" t="n">
        <v>46138</v>
      </c>
      <c r="D627" t="inlineStr">
        <is>
          <t>JÄMTLANDS LÄN</t>
        </is>
      </c>
      <c r="E627" t="inlineStr">
        <is>
          <t>ÅRE</t>
        </is>
      </c>
      <c r="F627" t="inlineStr">
        <is>
          <t>Övriga Aktiebolag</t>
        </is>
      </c>
      <c r="G627" t="n">
        <v>4.8</v>
      </c>
      <c r="H627" t="n">
        <v>0</v>
      </c>
      <c r="I627" t="n">
        <v>0</v>
      </c>
      <c r="J627" t="n">
        <v>0</v>
      </c>
      <c r="K627" t="n">
        <v>0</v>
      </c>
      <c r="L627" t="n">
        <v>0</v>
      </c>
      <c r="M627" t="n">
        <v>0</v>
      </c>
      <c r="N627" t="n">
        <v>0</v>
      </c>
      <c r="O627" t="n">
        <v>0</v>
      </c>
      <c r="P627" t="n">
        <v>0</v>
      </c>
      <c r="Q627" t="n">
        <v>0</v>
      </c>
      <c r="R627" s="2" t="inlineStr"/>
    </row>
    <row r="628" ht="15" customHeight="1">
      <c r="A628" t="inlineStr">
        <is>
          <t>A 13039-2024</t>
        </is>
      </c>
      <c r="B628" s="1" t="n">
        <v>45385</v>
      </c>
      <c r="C628" s="1" t="n">
        <v>46138</v>
      </c>
      <c r="D628" t="inlineStr">
        <is>
          <t>JÄMTLANDS LÄN</t>
        </is>
      </c>
      <c r="E628" t="inlineStr">
        <is>
          <t>ÅRE</t>
        </is>
      </c>
      <c r="G628" t="n">
        <v>1.8</v>
      </c>
      <c r="H628" t="n">
        <v>0</v>
      </c>
      <c r="I628" t="n">
        <v>0</v>
      </c>
      <c r="J628" t="n">
        <v>0</v>
      </c>
      <c r="K628" t="n">
        <v>0</v>
      </c>
      <c r="L628" t="n">
        <v>0</v>
      </c>
      <c r="M628" t="n">
        <v>0</v>
      </c>
      <c r="N628" t="n">
        <v>0</v>
      </c>
      <c r="O628" t="n">
        <v>0</v>
      </c>
      <c r="P628" t="n">
        <v>0</v>
      </c>
      <c r="Q628" t="n">
        <v>0</v>
      </c>
      <c r="R628" s="2" t="inlineStr"/>
    </row>
    <row r="629" ht="15" customHeight="1">
      <c r="A629" t="inlineStr">
        <is>
          <t>A 19311-2026</t>
        </is>
      </c>
      <c r="B629" s="1" t="n">
        <v>46133.37667824074</v>
      </c>
      <c r="C629" s="1" t="n">
        <v>46138</v>
      </c>
      <c r="D629" t="inlineStr">
        <is>
          <t>JÄMTLANDS LÄN</t>
        </is>
      </c>
      <c r="E629" t="inlineStr">
        <is>
          <t>ÅRE</t>
        </is>
      </c>
      <c r="G629" t="n">
        <v>6.5</v>
      </c>
      <c r="H629" t="n">
        <v>0</v>
      </c>
      <c r="I629" t="n">
        <v>0</v>
      </c>
      <c r="J629" t="n">
        <v>0</v>
      </c>
      <c r="K629" t="n">
        <v>0</v>
      </c>
      <c r="L629" t="n">
        <v>0</v>
      </c>
      <c r="M629" t="n">
        <v>0</v>
      </c>
      <c r="N629" t="n">
        <v>0</v>
      </c>
      <c r="O629" t="n">
        <v>0</v>
      </c>
      <c r="P629" t="n">
        <v>0</v>
      </c>
      <c r="Q629" t="n">
        <v>0</v>
      </c>
      <c r="R629" s="2" t="inlineStr"/>
    </row>
    <row r="630" ht="15" customHeight="1">
      <c r="A630" t="inlineStr">
        <is>
          <t>A 36219-2022</t>
        </is>
      </c>
      <c r="B630" s="1" t="n">
        <v>44803</v>
      </c>
      <c r="C630" s="1" t="n">
        <v>46138</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38268-2024</t>
        </is>
      </c>
      <c r="B631" s="1" t="n">
        <v>45545.59842592593</v>
      </c>
      <c r="C631" s="1" t="n">
        <v>46138</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60962-2023</t>
        </is>
      </c>
      <c r="B632" s="1" t="n">
        <v>45261.46787037037</v>
      </c>
      <c r="C632" s="1" t="n">
        <v>46138</v>
      </c>
      <c r="D632" t="inlineStr">
        <is>
          <t>JÄMTLANDS LÄN</t>
        </is>
      </c>
      <c r="E632" t="inlineStr">
        <is>
          <t>ÅRE</t>
        </is>
      </c>
      <c r="G632" t="n">
        <v>3.2</v>
      </c>
      <c r="H632" t="n">
        <v>0</v>
      </c>
      <c r="I632" t="n">
        <v>0</v>
      </c>
      <c r="J632" t="n">
        <v>0</v>
      </c>
      <c r="K632" t="n">
        <v>0</v>
      </c>
      <c r="L632" t="n">
        <v>0</v>
      </c>
      <c r="M632" t="n">
        <v>0</v>
      </c>
      <c r="N632" t="n">
        <v>0</v>
      </c>
      <c r="O632" t="n">
        <v>0</v>
      </c>
      <c r="P632" t="n">
        <v>0</v>
      </c>
      <c r="Q632" t="n">
        <v>0</v>
      </c>
      <c r="R632" s="2" t="inlineStr"/>
    </row>
    <row r="633" ht="15" customHeight="1">
      <c r="A633" t="inlineStr">
        <is>
          <t>A 60973-2023</t>
        </is>
      </c>
      <c r="B633" s="1" t="n">
        <v>45261.47321759259</v>
      </c>
      <c r="C633" s="1" t="n">
        <v>46138</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59352-2021</t>
        </is>
      </c>
      <c r="B634" s="1" t="n">
        <v>44490</v>
      </c>
      <c r="C634" s="1" t="n">
        <v>46138</v>
      </c>
      <c r="D634" t="inlineStr">
        <is>
          <t>JÄMTLANDS LÄN</t>
        </is>
      </c>
      <c r="E634" t="inlineStr">
        <is>
          <t>ÅRE</t>
        </is>
      </c>
      <c r="G634" t="n">
        <v>0.4</v>
      </c>
      <c r="H634" t="n">
        <v>0</v>
      </c>
      <c r="I634" t="n">
        <v>0</v>
      </c>
      <c r="J634" t="n">
        <v>0</v>
      </c>
      <c r="K634" t="n">
        <v>0</v>
      </c>
      <c r="L634" t="n">
        <v>0</v>
      </c>
      <c r="M634" t="n">
        <v>0</v>
      </c>
      <c r="N634" t="n">
        <v>0</v>
      </c>
      <c r="O634" t="n">
        <v>0</v>
      </c>
      <c r="P634" t="n">
        <v>0</v>
      </c>
      <c r="Q634" t="n">
        <v>0</v>
      </c>
      <c r="R634" s="2" t="inlineStr"/>
    </row>
    <row r="635" ht="15" customHeight="1">
      <c r="A635" t="inlineStr">
        <is>
          <t>A 57158-2021</t>
        </is>
      </c>
      <c r="B635" s="1" t="n">
        <v>44482</v>
      </c>
      <c r="C635" s="1" t="n">
        <v>46138</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40339-2021</t>
        </is>
      </c>
      <c r="B636" s="1" t="n">
        <v>44419</v>
      </c>
      <c r="C636" s="1" t="n">
        <v>46138</v>
      </c>
      <c r="D636" t="inlineStr">
        <is>
          <t>JÄMTLANDS LÄN</t>
        </is>
      </c>
      <c r="E636" t="inlineStr">
        <is>
          <t>ÅRE</t>
        </is>
      </c>
      <c r="G636" t="n">
        <v>6.4</v>
      </c>
      <c r="H636" t="n">
        <v>0</v>
      </c>
      <c r="I636" t="n">
        <v>0</v>
      </c>
      <c r="J636" t="n">
        <v>0</v>
      </c>
      <c r="K636" t="n">
        <v>0</v>
      </c>
      <c r="L636" t="n">
        <v>0</v>
      </c>
      <c r="M636" t="n">
        <v>0</v>
      </c>
      <c r="N636" t="n">
        <v>0</v>
      </c>
      <c r="O636" t="n">
        <v>0</v>
      </c>
      <c r="P636" t="n">
        <v>0</v>
      </c>
      <c r="Q636" t="n">
        <v>0</v>
      </c>
      <c r="R636" s="2" t="inlineStr"/>
    </row>
    <row r="637" ht="15" customHeight="1">
      <c r="A637" t="inlineStr">
        <is>
          <t>A 376-2024</t>
        </is>
      </c>
      <c r="B637" s="1" t="n">
        <v>45296</v>
      </c>
      <c r="C637" s="1" t="n">
        <v>46138</v>
      </c>
      <c r="D637" t="inlineStr">
        <is>
          <t>JÄMTLANDS LÄN</t>
        </is>
      </c>
      <c r="E637" t="inlineStr">
        <is>
          <t>ÅRE</t>
        </is>
      </c>
      <c r="F637" t="inlineStr">
        <is>
          <t>Kyrkan</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61295-2023</t>
        </is>
      </c>
      <c r="B638" s="1" t="n">
        <v>45264</v>
      </c>
      <c r="C638" s="1" t="n">
        <v>46138</v>
      </c>
      <c r="D638" t="inlineStr">
        <is>
          <t>JÄMTLANDS LÄN</t>
        </is>
      </c>
      <c r="E638" t="inlineStr">
        <is>
          <t>ÅRE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3204-2023</t>
        </is>
      </c>
      <c r="B639" s="1" t="n">
        <v>44946</v>
      </c>
      <c r="C639" s="1" t="n">
        <v>46138</v>
      </c>
      <c r="D639" t="inlineStr">
        <is>
          <t>JÄMTLANDS LÄN</t>
        </is>
      </c>
      <c r="E639" t="inlineStr">
        <is>
          <t>ÅRE</t>
        </is>
      </c>
      <c r="G639" t="n">
        <v>1.9</v>
      </c>
      <c r="H639" t="n">
        <v>0</v>
      </c>
      <c r="I639" t="n">
        <v>0</v>
      </c>
      <c r="J639" t="n">
        <v>0</v>
      </c>
      <c r="K639" t="n">
        <v>0</v>
      </c>
      <c r="L639" t="n">
        <v>0</v>
      </c>
      <c r="M639" t="n">
        <v>0</v>
      </c>
      <c r="N639" t="n">
        <v>0</v>
      </c>
      <c r="O639" t="n">
        <v>0</v>
      </c>
      <c r="P639" t="n">
        <v>0</v>
      </c>
      <c r="Q639" t="n">
        <v>0</v>
      </c>
      <c r="R639" s="2" t="inlineStr"/>
    </row>
    <row r="640" ht="15" customHeight="1">
      <c r="A640" t="inlineStr">
        <is>
          <t>A 61331-2021</t>
        </is>
      </c>
      <c r="B640" s="1" t="n">
        <v>44498</v>
      </c>
      <c r="C640" s="1" t="n">
        <v>46138</v>
      </c>
      <c r="D640" t="inlineStr">
        <is>
          <t>JÄMTLANDS LÄN</t>
        </is>
      </c>
      <c r="E640" t="inlineStr">
        <is>
          <t>ÅRE</t>
        </is>
      </c>
      <c r="G640" t="n">
        <v>8.4</v>
      </c>
      <c r="H640" t="n">
        <v>0</v>
      </c>
      <c r="I640" t="n">
        <v>0</v>
      </c>
      <c r="J640" t="n">
        <v>0</v>
      </c>
      <c r="K640" t="n">
        <v>0</v>
      </c>
      <c r="L640" t="n">
        <v>0</v>
      </c>
      <c r="M640" t="n">
        <v>0</v>
      </c>
      <c r="N640" t="n">
        <v>0</v>
      </c>
      <c r="O640" t="n">
        <v>0</v>
      </c>
      <c r="P640" t="n">
        <v>0</v>
      </c>
      <c r="Q640" t="n">
        <v>0</v>
      </c>
      <c r="R640" s="2" t="inlineStr"/>
    </row>
    <row r="641" ht="15" customHeight="1">
      <c r="A641" t="inlineStr">
        <is>
          <t>A 61806-2021</t>
        </is>
      </c>
      <c r="B641" s="1" t="n">
        <v>44498</v>
      </c>
      <c r="C641" s="1" t="n">
        <v>46138</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46788-2024</t>
        </is>
      </c>
      <c r="B642" s="1" t="n">
        <v>45583.53219907408</v>
      </c>
      <c r="C642" s="1" t="n">
        <v>46138</v>
      </c>
      <c r="D642" t="inlineStr">
        <is>
          <t>JÄMTLANDS LÄN</t>
        </is>
      </c>
      <c r="E642" t="inlineStr">
        <is>
          <t>ÅRE</t>
        </is>
      </c>
      <c r="F642" t="inlineStr">
        <is>
          <t>Övriga Aktiebolag</t>
        </is>
      </c>
      <c r="G642" t="n">
        <v>0.3</v>
      </c>
      <c r="H642" t="n">
        <v>0</v>
      </c>
      <c r="I642" t="n">
        <v>0</v>
      </c>
      <c r="J642" t="n">
        <v>0</v>
      </c>
      <c r="K642" t="n">
        <v>0</v>
      </c>
      <c r="L642" t="n">
        <v>0</v>
      </c>
      <c r="M642" t="n">
        <v>0</v>
      </c>
      <c r="N642" t="n">
        <v>0</v>
      </c>
      <c r="O642" t="n">
        <v>0</v>
      </c>
      <c r="P642" t="n">
        <v>0</v>
      </c>
      <c r="Q642" t="n">
        <v>0</v>
      </c>
      <c r="R642" s="2" t="inlineStr"/>
    </row>
    <row r="643" ht="15" customHeight="1">
      <c r="A643" t="inlineStr">
        <is>
          <t>A 60899-2022</t>
        </is>
      </c>
      <c r="B643" s="1" t="n">
        <v>44908</v>
      </c>
      <c r="C643" s="1" t="n">
        <v>46138</v>
      </c>
      <c r="D643" t="inlineStr">
        <is>
          <t>JÄMTLANDS LÄN</t>
        </is>
      </c>
      <c r="E643" t="inlineStr">
        <is>
          <t>ÅRE</t>
        </is>
      </c>
      <c r="G643" t="n">
        <v>0.6</v>
      </c>
      <c r="H643" t="n">
        <v>0</v>
      </c>
      <c r="I643" t="n">
        <v>0</v>
      </c>
      <c r="J643" t="n">
        <v>0</v>
      </c>
      <c r="K643" t="n">
        <v>0</v>
      </c>
      <c r="L643" t="n">
        <v>0</v>
      </c>
      <c r="M643" t="n">
        <v>0</v>
      </c>
      <c r="N643" t="n">
        <v>0</v>
      </c>
      <c r="O643" t="n">
        <v>0</v>
      </c>
      <c r="P643" t="n">
        <v>0</v>
      </c>
      <c r="Q643" t="n">
        <v>0</v>
      </c>
      <c r="R643" s="2" t="inlineStr"/>
    </row>
    <row r="644" ht="15" customHeight="1">
      <c r="A644" t="inlineStr">
        <is>
          <t>A 45324-2024</t>
        </is>
      </c>
      <c r="B644" s="1" t="n">
        <v>45576</v>
      </c>
      <c r="C644" s="1" t="n">
        <v>46138</v>
      </c>
      <c r="D644" t="inlineStr">
        <is>
          <t>JÄMTLANDS LÄN</t>
        </is>
      </c>
      <c r="E644" t="inlineStr">
        <is>
          <t>ÅRE</t>
        </is>
      </c>
      <c r="G644" t="n">
        <v>9.4</v>
      </c>
      <c r="H644" t="n">
        <v>0</v>
      </c>
      <c r="I644" t="n">
        <v>0</v>
      </c>
      <c r="J644" t="n">
        <v>0</v>
      </c>
      <c r="K644" t="n">
        <v>0</v>
      </c>
      <c r="L644" t="n">
        <v>0</v>
      </c>
      <c r="M644" t="n">
        <v>0</v>
      </c>
      <c r="N644" t="n">
        <v>0</v>
      </c>
      <c r="O644" t="n">
        <v>0</v>
      </c>
      <c r="P644" t="n">
        <v>0</v>
      </c>
      <c r="Q644" t="n">
        <v>0</v>
      </c>
      <c r="R644" s="2" t="inlineStr"/>
    </row>
    <row r="645" ht="15" customHeight="1">
      <c r="A645" t="inlineStr">
        <is>
          <t>A 556-2023</t>
        </is>
      </c>
      <c r="B645" s="1" t="n">
        <v>44930</v>
      </c>
      <c r="C645" s="1" t="n">
        <v>46138</v>
      </c>
      <c r="D645" t="inlineStr">
        <is>
          <t>JÄMTLANDS LÄN</t>
        </is>
      </c>
      <c r="E645" t="inlineStr">
        <is>
          <t>ÅRE</t>
        </is>
      </c>
      <c r="G645" t="n">
        <v>14.9</v>
      </c>
      <c r="H645" t="n">
        <v>0</v>
      </c>
      <c r="I645" t="n">
        <v>0</v>
      </c>
      <c r="J645" t="n">
        <v>0</v>
      </c>
      <c r="K645" t="n">
        <v>0</v>
      </c>
      <c r="L645" t="n">
        <v>0</v>
      </c>
      <c r="M645" t="n">
        <v>0</v>
      </c>
      <c r="N645" t="n">
        <v>0</v>
      </c>
      <c r="O645" t="n">
        <v>0</v>
      </c>
      <c r="P645" t="n">
        <v>0</v>
      </c>
      <c r="Q645" t="n">
        <v>0</v>
      </c>
      <c r="R645" s="2" t="inlineStr"/>
    </row>
    <row r="646" ht="15" customHeight="1">
      <c r="A646" t="inlineStr">
        <is>
          <t>A 57864-2024</t>
        </is>
      </c>
      <c r="B646" s="1" t="n">
        <v>45631.43578703704</v>
      </c>
      <c r="C646" s="1" t="n">
        <v>46138</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54250-2024</t>
        </is>
      </c>
      <c r="B647" s="1" t="n">
        <v>45616</v>
      </c>
      <c r="C647" s="1" t="n">
        <v>46138</v>
      </c>
      <c r="D647" t="inlineStr">
        <is>
          <t>JÄMTLANDS LÄN</t>
        </is>
      </c>
      <c r="E647" t="inlineStr">
        <is>
          <t>ÅRE</t>
        </is>
      </c>
      <c r="G647" t="n">
        <v>2.8</v>
      </c>
      <c r="H647" t="n">
        <v>0</v>
      </c>
      <c r="I647" t="n">
        <v>0</v>
      </c>
      <c r="J647" t="n">
        <v>0</v>
      </c>
      <c r="K647" t="n">
        <v>0</v>
      </c>
      <c r="L647" t="n">
        <v>0</v>
      </c>
      <c r="M647" t="n">
        <v>0</v>
      </c>
      <c r="N647" t="n">
        <v>0</v>
      </c>
      <c r="O647" t="n">
        <v>0</v>
      </c>
      <c r="P647" t="n">
        <v>0</v>
      </c>
      <c r="Q647" t="n">
        <v>0</v>
      </c>
      <c r="R647" s="2" t="inlineStr"/>
    </row>
    <row r="648" ht="15" customHeight="1">
      <c r="A648" t="inlineStr">
        <is>
          <t>A 37729-2023</t>
        </is>
      </c>
      <c r="B648" s="1" t="n">
        <v>45159</v>
      </c>
      <c r="C648" s="1" t="n">
        <v>46138</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36234-2023</t>
        </is>
      </c>
      <c r="B649" s="1" t="n">
        <v>45150</v>
      </c>
      <c r="C649" s="1" t="n">
        <v>46138</v>
      </c>
      <c r="D649" t="inlineStr">
        <is>
          <t>JÄMTLANDS LÄN</t>
        </is>
      </c>
      <c r="E649" t="inlineStr">
        <is>
          <t>ÅRE</t>
        </is>
      </c>
      <c r="G649" t="n">
        <v>0.9</v>
      </c>
      <c r="H649" t="n">
        <v>0</v>
      </c>
      <c r="I649" t="n">
        <v>0</v>
      </c>
      <c r="J649" t="n">
        <v>0</v>
      </c>
      <c r="K649" t="n">
        <v>0</v>
      </c>
      <c r="L649" t="n">
        <v>0</v>
      </c>
      <c r="M649" t="n">
        <v>0</v>
      </c>
      <c r="N649" t="n">
        <v>0</v>
      </c>
      <c r="O649" t="n">
        <v>0</v>
      </c>
      <c r="P649" t="n">
        <v>0</v>
      </c>
      <c r="Q649" t="n">
        <v>0</v>
      </c>
      <c r="R649" s="2" t="inlineStr"/>
    </row>
    <row r="650" ht="15" customHeight="1">
      <c r="A650" t="inlineStr">
        <is>
          <t>A 38456-2021</t>
        </is>
      </c>
      <c r="B650" s="1" t="n">
        <v>44406</v>
      </c>
      <c r="C650" s="1" t="n">
        <v>46138</v>
      </c>
      <c r="D650" t="inlineStr">
        <is>
          <t>JÄMTLANDS LÄN</t>
        </is>
      </c>
      <c r="E650" t="inlineStr">
        <is>
          <t>ÅRE</t>
        </is>
      </c>
      <c r="G650" t="n">
        <v>19.8</v>
      </c>
      <c r="H650" t="n">
        <v>0</v>
      </c>
      <c r="I650" t="n">
        <v>0</v>
      </c>
      <c r="J650" t="n">
        <v>0</v>
      </c>
      <c r="K650" t="n">
        <v>0</v>
      </c>
      <c r="L650" t="n">
        <v>0</v>
      </c>
      <c r="M650" t="n">
        <v>0</v>
      </c>
      <c r="N650" t="n">
        <v>0</v>
      </c>
      <c r="O650" t="n">
        <v>0</v>
      </c>
      <c r="P650" t="n">
        <v>0</v>
      </c>
      <c r="Q650" t="n">
        <v>0</v>
      </c>
      <c r="R650" s="2" t="inlineStr"/>
    </row>
    <row r="651" ht="15" customHeight="1">
      <c r="A651" t="inlineStr">
        <is>
          <t>A 9312-2025</t>
        </is>
      </c>
      <c r="B651" s="1" t="n">
        <v>45714.68869212963</v>
      </c>
      <c r="C651" s="1" t="n">
        <v>46138</v>
      </c>
      <c r="D651" t="inlineStr">
        <is>
          <t>JÄMTLANDS LÄN</t>
        </is>
      </c>
      <c r="E651" t="inlineStr">
        <is>
          <t>ÅRE</t>
        </is>
      </c>
      <c r="G651" t="n">
        <v>1.2</v>
      </c>
      <c r="H651" t="n">
        <v>0</v>
      </c>
      <c r="I651" t="n">
        <v>0</v>
      </c>
      <c r="J651" t="n">
        <v>0</v>
      </c>
      <c r="K651" t="n">
        <v>0</v>
      </c>
      <c r="L651" t="n">
        <v>0</v>
      </c>
      <c r="M651" t="n">
        <v>0</v>
      </c>
      <c r="N651" t="n">
        <v>0</v>
      </c>
      <c r="O651" t="n">
        <v>0</v>
      </c>
      <c r="P651" t="n">
        <v>0</v>
      </c>
      <c r="Q651" t="n">
        <v>0</v>
      </c>
      <c r="R651" s="2" t="inlineStr"/>
    </row>
    <row r="652" ht="15" customHeight="1">
      <c r="A652" t="inlineStr">
        <is>
          <t>A 45279-2024</t>
        </is>
      </c>
      <c r="B652" s="1" t="n">
        <v>45576.37496527778</v>
      </c>
      <c r="C652" s="1" t="n">
        <v>46138</v>
      </c>
      <c r="D652" t="inlineStr">
        <is>
          <t>JÄMTLANDS LÄN</t>
        </is>
      </c>
      <c r="E652" t="inlineStr">
        <is>
          <t>ÅRE</t>
        </is>
      </c>
      <c r="G652" t="n">
        <v>17.2</v>
      </c>
      <c r="H652" t="n">
        <v>0</v>
      </c>
      <c r="I652" t="n">
        <v>0</v>
      </c>
      <c r="J652" t="n">
        <v>0</v>
      </c>
      <c r="K652" t="n">
        <v>0</v>
      </c>
      <c r="L652" t="n">
        <v>0</v>
      </c>
      <c r="M652" t="n">
        <v>0</v>
      </c>
      <c r="N652" t="n">
        <v>0</v>
      </c>
      <c r="O652" t="n">
        <v>0</v>
      </c>
      <c r="P652" t="n">
        <v>0</v>
      </c>
      <c r="Q652" t="n">
        <v>0</v>
      </c>
      <c r="R652" s="2" t="inlineStr"/>
    </row>
    <row r="653" ht="15" customHeight="1">
      <c r="A653" t="inlineStr">
        <is>
          <t>A 22707-2021</t>
        </is>
      </c>
      <c r="B653" s="1" t="n">
        <v>44323</v>
      </c>
      <c r="C653" s="1" t="n">
        <v>46138</v>
      </c>
      <c r="D653" t="inlineStr">
        <is>
          <t>JÄMTLANDS LÄN</t>
        </is>
      </c>
      <c r="E653" t="inlineStr">
        <is>
          <t>ÅRE</t>
        </is>
      </c>
      <c r="G653" t="n">
        <v>6.3</v>
      </c>
      <c r="H653" t="n">
        <v>0</v>
      </c>
      <c r="I653" t="n">
        <v>0</v>
      </c>
      <c r="J653" t="n">
        <v>0</v>
      </c>
      <c r="K653" t="n">
        <v>0</v>
      </c>
      <c r="L653" t="n">
        <v>0</v>
      </c>
      <c r="M653" t="n">
        <v>0</v>
      </c>
      <c r="N653" t="n">
        <v>0</v>
      </c>
      <c r="O653" t="n">
        <v>0</v>
      </c>
      <c r="P653" t="n">
        <v>0</v>
      </c>
      <c r="Q653" t="n">
        <v>0</v>
      </c>
      <c r="R653" s="2" t="inlineStr"/>
    </row>
    <row r="654" ht="15" customHeight="1">
      <c r="A654" t="inlineStr">
        <is>
          <t>A 28817-2021</t>
        </is>
      </c>
      <c r="B654" s="1" t="n">
        <v>44357</v>
      </c>
      <c r="C654" s="1" t="n">
        <v>46138</v>
      </c>
      <c r="D654" t="inlineStr">
        <is>
          <t>JÄMTLANDS LÄN</t>
        </is>
      </c>
      <c r="E654" t="inlineStr">
        <is>
          <t>ÅRE</t>
        </is>
      </c>
      <c r="G654" t="n">
        <v>21.4</v>
      </c>
      <c r="H654" t="n">
        <v>0</v>
      </c>
      <c r="I654" t="n">
        <v>0</v>
      </c>
      <c r="J654" t="n">
        <v>0</v>
      </c>
      <c r="K654" t="n">
        <v>0</v>
      </c>
      <c r="L654" t="n">
        <v>0</v>
      </c>
      <c r="M654" t="n">
        <v>0</v>
      </c>
      <c r="N654" t="n">
        <v>0</v>
      </c>
      <c r="O654" t="n">
        <v>0</v>
      </c>
      <c r="P654" t="n">
        <v>0</v>
      </c>
      <c r="Q654" t="n">
        <v>0</v>
      </c>
      <c r="R654" s="2" t="inlineStr"/>
    </row>
    <row r="655" ht="15" customHeight="1">
      <c r="A655" t="inlineStr">
        <is>
          <t>A 1460-2024</t>
        </is>
      </c>
      <c r="B655" s="1" t="n">
        <v>45303.93322916667</v>
      </c>
      <c r="C655" s="1" t="n">
        <v>46138</v>
      </c>
      <c r="D655" t="inlineStr">
        <is>
          <t>JÄMTLANDS LÄN</t>
        </is>
      </c>
      <c r="E655" t="inlineStr">
        <is>
          <t>ÅRE</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61524-2021</t>
        </is>
      </c>
      <c r="B656" s="1" t="n">
        <v>44496</v>
      </c>
      <c r="C656" s="1" t="n">
        <v>46138</v>
      </c>
      <c r="D656" t="inlineStr">
        <is>
          <t>JÄMTLANDS LÄN</t>
        </is>
      </c>
      <c r="E656" t="inlineStr">
        <is>
          <t>ÅRE</t>
        </is>
      </c>
      <c r="F656" t="inlineStr">
        <is>
          <t>Övriga statliga verk och myndigheter</t>
        </is>
      </c>
      <c r="G656" t="n">
        <v>15</v>
      </c>
      <c r="H656" t="n">
        <v>0</v>
      </c>
      <c r="I656" t="n">
        <v>0</v>
      </c>
      <c r="J656" t="n">
        <v>0</v>
      </c>
      <c r="K656" t="n">
        <v>0</v>
      </c>
      <c r="L656" t="n">
        <v>0</v>
      </c>
      <c r="M656" t="n">
        <v>0</v>
      </c>
      <c r="N656" t="n">
        <v>0</v>
      </c>
      <c r="O656" t="n">
        <v>0</v>
      </c>
      <c r="P656" t="n">
        <v>0</v>
      </c>
      <c r="Q656" t="n">
        <v>0</v>
      </c>
      <c r="R656" s="2" t="inlineStr"/>
    </row>
    <row r="657" ht="15" customHeight="1">
      <c r="A657" t="inlineStr">
        <is>
          <t>A 61481-2022</t>
        </is>
      </c>
      <c r="B657" s="1" t="n">
        <v>44910</v>
      </c>
      <c r="C657" s="1" t="n">
        <v>46138</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58940-2021</t>
        </is>
      </c>
      <c r="B658" s="1" t="n">
        <v>44489</v>
      </c>
      <c r="C658" s="1" t="n">
        <v>46138</v>
      </c>
      <c r="D658" t="inlineStr">
        <is>
          <t>JÄMTLANDS LÄN</t>
        </is>
      </c>
      <c r="E658" t="inlineStr">
        <is>
          <t>ÅRE</t>
        </is>
      </c>
      <c r="G658" t="n">
        <v>5.8</v>
      </c>
      <c r="H658" t="n">
        <v>0</v>
      </c>
      <c r="I658" t="n">
        <v>0</v>
      </c>
      <c r="J658" t="n">
        <v>0</v>
      </c>
      <c r="K658" t="n">
        <v>0</v>
      </c>
      <c r="L658" t="n">
        <v>0</v>
      </c>
      <c r="M658" t="n">
        <v>0</v>
      </c>
      <c r="N658" t="n">
        <v>0</v>
      </c>
      <c r="O658" t="n">
        <v>0</v>
      </c>
      <c r="P658" t="n">
        <v>0</v>
      </c>
      <c r="Q658" t="n">
        <v>0</v>
      </c>
      <c r="R658" s="2" t="inlineStr"/>
    </row>
    <row r="659" ht="15" customHeight="1">
      <c r="A659" t="inlineStr">
        <is>
          <t>A 56556-2022</t>
        </is>
      </c>
      <c r="B659" s="1" t="n">
        <v>44893.48930555556</v>
      </c>
      <c r="C659" s="1" t="n">
        <v>46138</v>
      </c>
      <c r="D659" t="inlineStr">
        <is>
          <t>JÄMTLANDS LÄN</t>
        </is>
      </c>
      <c r="E659" t="inlineStr">
        <is>
          <t>ÅRE</t>
        </is>
      </c>
      <c r="F659" t="inlineStr">
        <is>
          <t>Övriga Aktiebolag</t>
        </is>
      </c>
      <c r="G659" t="n">
        <v>4.9</v>
      </c>
      <c r="H659" t="n">
        <v>0</v>
      </c>
      <c r="I659" t="n">
        <v>0</v>
      </c>
      <c r="J659" t="n">
        <v>0</v>
      </c>
      <c r="K659" t="n">
        <v>0</v>
      </c>
      <c r="L659" t="n">
        <v>0</v>
      </c>
      <c r="M659" t="n">
        <v>0</v>
      </c>
      <c r="N659" t="n">
        <v>0</v>
      </c>
      <c r="O659" t="n">
        <v>0</v>
      </c>
      <c r="P659" t="n">
        <v>0</v>
      </c>
      <c r="Q659" t="n">
        <v>0</v>
      </c>
      <c r="R659" s="2" t="inlineStr"/>
    </row>
    <row r="660">
      <c r="A660" t="inlineStr">
        <is>
          <t>A 5610-2025</t>
        </is>
      </c>
      <c r="B660" s="1" t="n">
        <v>45693.60425925926</v>
      </c>
      <c r="C660" s="1" t="n">
        <v>46138</v>
      </c>
      <c r="D660" t="inlineStr">
        <is>
          <t>JÄMTLANDS LÄN</t>
        </is>
      </c>
      <c r="E660" t="inlineStr">
        <is>
          <t>ÅRE</t>
        </is>
      </c>
      <c r="G660" t="n">
        <v>1.6</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2026-04-26T10:53:41Z</dcterms:created>
  <dcterms:modified xmlns:dcterms="http://purl.org/dc/terms/" xmlns:xsi="http://www.w3.org/2001/XMLSchema-instance" xsi:type="dcterms:W3CDTF">2026-04-26T10:53:42Z</dcterms:modified>
</cp:coreProperties>
</file>