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45357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45357</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45357</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45357</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45357</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45357</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45357</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45357</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45357</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45357</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45357</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45357</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45357</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45357</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45357</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45357</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45357</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45357</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45357</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45357</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45357</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45357</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45357</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45357</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45357</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45357</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45357</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45357</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45357</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45357</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45357</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45357</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45357</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45357</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45357</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45357</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45357</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45357</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45357</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45357</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45357</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45357</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45357</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45357</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45357</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45357</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45357</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45357</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45357</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45357</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45357</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45357</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45357</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45357</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45357</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45357</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45357</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45357</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45357</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45357</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45357</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45357</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45357</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45357</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45357</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45357</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45357</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45357</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45357</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45357</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45357</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45357</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45357</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45357</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45357</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45357</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45357</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45357</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45357</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45357</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45357</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45357</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45357</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45357</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45357</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45357</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45357</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45357</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45357</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45357</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45357</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45357</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8121-2024</t>
        </is>
      </c>
      <c r="B94" s="1" t="n">
        <v>45351</v>
      </c>
      <c r="C94" s="1" t="n">
        <v>45357</v>
      </c>
      <c r="D94" t="inlineStr">
        <is>
          <t>JÄMTLANDS LÄN</t>
        </is>
      </c>
      <c r="E94" t="inlineStr">
        <is>
          <t>ÅRE</t>
        </is>
      </c>
      <c r="F94" t="inlineStr">
        <is>
          <t>Övriga Aktiebolag</t>
        </is>
      </c>
      <c r="G94" t="n">
        <v>14.7</v>
      </c>
      <c r="H94" t="n">
        <v>0</v>
      </c>
      <c r="I94" t="n">
        <v>0</v>
      </c>
      <c r="J94" t="n">
        <v>3</v>
      </c>
      <c r="K94" t="n">
        <v>0</v>
      </c>
      <c r="L94" t="n">
        <v>0</v>
      </c>
      <c r="M94" t="n">
        <v>0</v>
      </c>
      <c r="N94" t="n">
        <v>0</v>
      </c>
      <c r="O94" t="n">
        <v>3</v>
      </c>
      <c r="P94" t="n">
        <v>0</v>
      </c>
      <c r="Q94" t="n">
        <v>3</v>
      </c>
      <c r="R94" s="2" t="inlineStr">
        <is>
          <t>Dvärgbägarlav
Nordtagging
Skrovellav</t>
        </is>
      </c>
      <c r="S94">
        <f>HYPERLINK("https://klasma.github.io/Logging_2321/artfynd/A 8121-2024 artfynd.xlsx", "A 8121-2024")</f>
        <v/>
      </c>
      <c r="T94">
        <f>HYPERLINK("https://klasma.github.io/Logging_2321/kartor/A 8121-2024 karta.png", "A 8121-2024")</f>
        <v/>
      </c>
      <c r="V94">
        <f>HYPERLINK("https://klasma.github.io/Logging_2321/klagomål/A 8121-2024 FSC-klagomål.docx", "A 8121-2024")</f>
        <v/>
      </c>
      <c r="W94">
        <f>HYPERLINK("https://klasma.github.io/Logging_2321/klagomålsmail/A 8121-2024 FSC-klagomål mail.docx", "A 8121-2024")</f>
        <v/>
      </c>
      <c r="X94">
        <f>HYPERLINK("https://klasma.github.io/Logging_2321/tillsyn/A 8121-2024 tillsynsbegäran.docx", "A 8121-2024")</f>
        <v/>
      </c>
      <c r="Y94">
        <f>HYPERLINK("https://klasma.github.io/Logging_2321/tillsynsmail/A 8121-2024 tillsynsbegäran mail.docx", "A 8121-2024")</f>
        <v/>
      </c>
    </row>
    <row r="95" ht="15" customHeight="1">
      <c r="A95" t="inlineStr">
        <is>
          <t>A 12120-2019</t>
        </is>
      </c>
      <c r="B95" s="1" t="n">
        <v>43522</v>
      </c>
      <c r="C95" s="1" t="n">
        <v>45357</v>
      </c>
      <c r="D95" t="inlineStr">
        <is>
          <t>JÄMTLANDS LÄN</t>
        </is>
      </c>
      <c r="E95" t="inlineStr">
        <is>
          <t>ÅRE</t>
        </is>
      </c>
      <c r="G95" t="n">
        <v>2.5</v>
      </c>
      <c r="H95" t="n">
        <v>1</v>
      </c>
      <c r="I95" t="n">
        <v>1</v>
      </c>
      <c r="J95" t="n">
        <v>1</v>
      </c>
      <c r="K95" t="n">
        <v>0</v>
      </c>
      <c r="L95" t="n">
        <v>0</v>
      </c>
      <c r="M95" t="n">
        <v>0</v>
      </c>
      <c r="N95" t="n">
        <v>0</v>
      </c>
      <c r="O95" t="n">
        <v>1</v>
      </c>
      <c r="P95" t="n">
        <v>0</v>
      </c>
      <c r="Q95" t="n">
        <v>2</v>
      </c>
      <c r="R95" s="2" t="inlineStr">
        <is>
          <t>Gränsticka
Spindelblomster</t>
        </is>
      </c>
      <c r="S95">
        <f>HYPERLINK("https://klasma.github.io/Logging_2321/artfynd/A 12120-2019 artfynd.xlsx", "A 12120-2019")</f>
        <v/>
      </c>
      <c r="T95">
        <f>HYPERLINK("https://klasma.github.io/Logging_2321/kartor/A 12120-2019 karta.png", "A 12120-2019")</f>
        <v/>
      </c>
      <c r="V95">
        <f>HYPERLINK("https://klasma.github.io/Logging_2321/klagomål/A 12120-2019 FSC-klagomål.docx", "A 12120-2019")</f>
        <v/>
      </c>
      <c r="W95">
        <f>HYPERLINK("https://klasma.github.io/Logging_2321/klagomålsmail/A 12120-2019 FSC-klagomål mail.docx", "A 12120-2019")</f>
        <v/>
      </c>
      <c r="X95">
        <f>HYPERLINK("https://klasma.github.io/Logging_2321/tillsyn/A 12120-2019 tillsynsbegäran.docx", "A 12120-2019")</f>
        <v/>
      </c>
      <c r="Y95">
        <f>HYPERLINK("https://klasma.github.io/Logging_2321/tillsynsmail/A 12120-2019 tillsynsbegäran mail.docx", "A 12120-2019")</f>
        <v/>
      </c>
    </row>
    <row r="96" ht="15" customHeight="1">
      <c r="A96" t="inlineStr">
        <is>
          <t>A 35409-2019</t>
        </is>
      </c>
      <c r="B96" s="1" t="n">
        <v>43661</v>
      </c>
      <c r="C96" s="1" t="n">
        <v>45357</v>
      </c>
      <c r="D96" t="inlineStr">
        <is>
          <t>JÄMTLANDS LÄN</t>
        </is>
      </c>
      <c r="E96" t="inlineStr">
        <is>
          <t>ÅRE</t>
        </is>
      </c>
      <c r="G96" t="n">
        <v>2.5</v>
      </c>
      <c r="H96" t="n">
        <v>0</v>
      </c>
      <c r="I96" t="n">
        <v>1</v>
      </c>
      <c r="J96" t="n">
        <v>1</v>
      </c>
      <c r="K96" t="n">
        <v>0</v>
      </c>
      <c r="L96" t="n">
        <v>0</v>
      </c>
      <c r="M96" t="n">
        <v>0</v>
      </c>
      <c r="N96" t="n">
        <v>0</v>
      </c>
      <c r="O96" t="n">
        <v>1</v>
      </c>
      <c r="P96" t="n">
        <v>0</v>
      </c>
      <c r="Q96" t="n">
        <v>2</v>
      </c>
      <c r="R96" s="2" t="inlineStr">
        <is>
          <t>Garnlav
Trådticka</t>
        </is>
      </c>
      <c r="S96">
        <f>HYPERLINK("https://klasma.github.io/Logging_2321/artfynd/A 35409-2019 artfynd.xlsx", "A 35409-2019")</f>
        <v/>
      </c>
      <c r="T96">
        <f>HYPERLINK("https://klasma.github.io/Logging_2321/kartor/A 35409-2019 karta.png", "A 35409-2019")</f>
        <v/>
      </c>
      <c r="V96">
        <f>HYPERLINK("https://klasma.github.io/Logging_2321/klagomål/A 35409-2019 FSC-klagomål.docx", "A 35409-2019")</f>
        <v/>
      </c>
      <c r="W96">
        <f>HYPERLINK("https://klasma.github.io/Logging_2321/klagomålsmail/A 35409-2019 FSC-klagomål mail.docx", "A 35409-2019")</f>
        <v/>
      </c>
      <c r="X96">
        <f>HYPERLINK("https://klasma.github.io/Logging_2321/tillsyn/A 35409-2019 tillsynsbegäran.docx", "A 35409-2019")</f>
        <v/>
      </c>
      <c r="Y96">
        <f>HYPERLINK("https://klasma.github.io/Logging_2321/tillsynsmail/A 35409-2019 tillsynsbegäran mail.docx", "A 35409-2019")</f>
        <v/>
      </c>
    </row>
    <row r="97" ht="15" customHeight="1">
      <c r="A97" t="inlineStr">
        <is>
          <t>A 46012-2019</t>
        </is>
      </c>
      <c r="B97" s="1" t="n">
        <v>43718</v>
      </c>
      <c r="C97" s="1" t="n">
        <v>45357</v>
      </c>
      <c r="D97" t="inlineStr">
        <is>
          <t>JÄMTLANDS LÄN</t>
        </is>
      </c>
      <c r="E97" t="inlineStr">
        <is>
          <t>ÅRE</t>
        </is>
      </c>
      <c r="F97" t="inlineStr">
        <is>
          <t>Kommuner</t>
        </is>
      </c>
      <c r="G97" t="n">
        <v>13.4</v>
      </c>
      <c r="H97" t="n">
        <v>1</v>
      </c>
      <c r="I97" t="n">
        <v>0</v>
      </c>
      <c r="J97" t="n">
        <v>1</v>
      </c>
      <c r="K97" t="n">
        <v>1</v>
      </c>
      <c r="L97" t="n">
        <v>0</v>
      </c>
      <c r="M97" t="n">
        <v>0</v>
      </c>
      <c r="N97" t="n">
        <v>0</v>
      </c>
      <c r="O97" t="n">
        <v>2</v>
      </c>
      <c r="P97" t="n">
        <v>1</v>
      </c>
      <c r="Q97" t="n">
        <v>2</v>
      </c>
      <c r="R97" s="2" t="inlineStr">
        <is>
          <t>Knärot
Ullticka</t>
        </is>
      </c>
      <c r="S97">
        <f>HYPERLINK("https://klasma.github.io/Logging_2321/artfynd/A 46012-2019 artfynd.xlsx", "A 46012-2019")</f>
        <v/>
      </c>
      <c r="T97">
        <f>HYPERLINK("https://klasma.github.io/Logging_2321/kartor/A 46012-2019 karta.png", "A 46012-2019")</f>
        <v/>
      </c>
      <c r="U97">
        <f>HYPERLINK("https://klasma.github.io/Logging_2321/knärot/A 46012-2019 karta knärot.png", "A 46012-2019")</f>
        <v/>
      </c>
      <c r="V97">
        <f>HYPERLINK("https://klasma.github.io/Logging_2321/klagomål/A 46012-2019 FSC-klagomål.docx", "A 46012-2019")</f>
        <v/>
      </c>
      <c r="W97">
        <f>HYPERLINK("https://klasma.github.io/Logging_2321/klagomålsmail/A 46012-2019 FSC-klagomål mail.docx", "A 46012-2019")</f>
        <v/>
      </c>
      <c r="X97">
        <f>HYPERLINK("https://klasma.github.io/Logging_2321/tillsyn/A 46012-2019 tillsynsbegäran.docx", "A 46012-2019")</f>
        <v/>
      </c>
      <c r="Y97">
        <f>HYPERLINK("https://klasma.github.io/Logging_2321/tillsynsmail/A 46012-2019 tillsynsbegäran mail.docx", "A 46012-2019")</f>
        <v/>
      </c>
    </row>
    <row r="98" ht="15" customHeight="1">
      <c r="A98" t="inlineStr">
        <is>
          <t>A 32661-2020</t>
        </is>
      </c>
      <c r="B98" s="1" t="n">
        <v>44018</v>
      </c>
      <c r="C98" s="1" t="n">
        <v>45357</v>
      </c>
      <c r="D98" t="inlineStr">
        <is>
          <t>JÄMTLANDS LÄN</t>
        </is>
      </c>
      <c r="E98" t="inlineStr">
        <is>
          <t>ÅRE</t>
        </is>
      </c>
      <c r="G98" t="n">
        <v>1.8</v>
      </c>
      <c r="H98" t="n">
        <v>0</v>
      </c>
      <c r="I98" t="n">
        <v>1</v>
      </c>
      <c r="J98" t="n">
        <v>1</v>
      </c>
      <c r="K98" t="n">
        <v>0</v>
      </c>
      <c r="L98" t="n">
        <v>0</v>
      </c>
      <c r="M98" t="n">
        <v>0</v>
      </c>
      <c r="N98" t="n">
        <v>0</v>
      </c>
      <c r="O98" t="n">
        <v>1</v>
      </c>
      <c r="P98" t="n">
        <v>0</v>
      </c>
      <c r="Q98" t="n">
        <v>2</v>
      </c>
      <c r="R98" s="2" t="inlineStr">
        <is>
          <t>Garnlav
Luddlav</t>
        </is>
      </c>
      <c r="S98">
        <f>HYPERLINK("https://klasma.github.io/Logging_2321/artfynd/A 32661-2020 artfynd.xlsx", "A 32661-2020")</f>
        <v/>
      </c>
      <c r="T98">
        <f>HYPERLINK("https://klasma.github.io/Logging_2321/kartor/A 32661-2020 karta.png", "A 32661-2020")</f>
        <v/>
      </c>
      <c r="V98">
        <f>HYPERLINK("https://klasma.github.io/Logging_2321/klagomål/A 32661-2020 FSC-klagomål.docx", "A 32661-2020")</f>
        <v/>
      </c>
      <c r="W98">
        <f>HYPERLINK("https://klasma.github.io/Logging_2321/klagomålsmail/A 32661-2020 FSC-klagomål mail.docx", "A 32661-2020")</f>
        <v/>
      </c>
      <c r="X98">
        <f>HYPERLINK("https://klasma.github.io/Logging_2321/tillsyn/A 32661-2020 tillsynsbegäran.docx", "A 32661-2020")</f>
        <v/>
      </c>
      <c r="Y98">
        <f>HYPERLINK("https://klasma.github.io/Logging_2321/tillsynsmail/A 32661-2020 tillsynsbegäran mail.docx", "A 32661-2020")</f>
        <v/>
      </c>
    </row>
    <row r="99" ht="15" customHeight="1">
      <c r="A99" t="inlineStr">
        <is>
          <t>A 35623-2020</t>
        </is>
      </c>
      <c r="B99" s="1" t="n">
        <v>44046</v>
      </c>
      <c r="C99" s="1" t="n">
        <v>45357</v>
      </c>
      <c r="D99" t="inlineStr">
        <is>
          <t>JÄMTLANDS LÄN</t>
        </is>
      </c>
      <c r="E99" t="inlineStr">
        <is>
          <t>ÅRE</t>
        </is>
      </c>
      <c r="G99" t="n">
        <v>15.8</v>
      </c>
      <c r="H99" t="n">
        <v>0</v>
      </c>
      <c r="I99" t="n">
        <v>0</v>
      </c>
      <c r="J99" t="n">
        <v>1</v>
      </c>
      <c r="K99" t="n">
        <v>1</v>
      </c>
      <c r="L99" t="n">
        <v>0</v>
      </c>
      <c r="M99" t="n">
        <v>0</v>
      </c>
      <c r="N99" t="n">
        <v>0</v>
      </c>
      <c r="O99" t="n">
        <v>2</v>
      </c>
      <c r="P99" t="n">
        <v>1</v>
      </c>
      <c r="Q99" t="n">
        <v>2</v>
      </c>
      <c r="R99" s="2" t="inlineStr">
        <is>
          <t>Norsk näverlav
Gammelgransskål</t>
        </is>
      </c>
      <c r="S99">
        <f>HYPERLINK("https://klasma.github.io/Logging_2321/artfynd/A 35623-2020 artfynd.xlsx", "A 35623-2020")</f>
        <v/>
      </c>
      <c r="T99">
        <f>HYPERLINK("https://klasma.github.io/Logging_2321/kartor/A 35623-2020 karta.png", "A 35623-2020")</f>
        <v/>
      </c>
      <c r="V99">
        <f>HYPERLINK("https://klasma.github.io/Logging_2321/klagomål/A 35623-2020 FSC-klagomål.docx", "A 35623-2020")</f>
        <v/>
      </c>
      <c r="W99">
        <f>HYPERLINK("https://klasma.github.io/Logging_2321/klagomålsmail/A 35623-2020 FSC-klagomål mail.docx", "A 35623-2020")</f>
        <v/>
      </c>
      <c r="X99">
        <f>HYPERLINK("https://klasma.github.io/Logging_2321/tillsyn/A 35623-2020 tillsynsbegäran.docx", "A 35623-2020")</f>
        <v/>
      </c>
      <c r="Y99">
        <f>HYPERLINK("https://klasma.github.io/Logging_2321/tillsynsmail/A 35623-2020 tillsynsbegäran mail.docx", "A 35623-2020")</f>
        <v/>
      </c>
    </row>
    <row r="100" ht="15" customHeight="1">
      <c r="A100" t="inlineStr">
        <is>
          <t>A 52778-2020</t>
        </is>
      </c>
      <c r="B100" s="1" t="n">
        <v>44119</v>
      </c>
      <c r="C100" s="1" t="n">
        <v>45357</v>
      </c>
      <c r="D100" t="inlineStr">
        <is>
          <t>JÄMTLANDS LÄN</t>
        </is>
      </c>
      <c r="E100" t="inlineStr">
        <is>
          <t>ÅRE</t>
        </is>
      </c>
      <c r="G100" t="n">
        <v>16.5</v>
      </c>
      <c r="H100" t="n">
        <v>0</v>
      </c>
      <c r="I100" t="n">
        <v>0</v>
      </c>
      <c r="J100" t="n">
        <v>2</v>
      </c>
      <c r="K100" t="n">
        <v>0</v>
      </c>
      <c r="L100" t="n">
        <v>0</v>
      </c>
      <c r="M100" t="n">
        <v>0</v>
      </c>
      <c r="N100" t="n">
        <v>0</v>
      </c>
      <c r="O100" t="n">
        <v>2</v>
      </c>
      <c r="P100" t="n">
        <v>0</v>
      </c>
      <c r="Q100" t="n">
        <v>2</v>
      </c>
      <c r="R100" s="2" t="inlineStr">
        <is>
          <t>Garnlav
Granticka</t>
        </is>
      </c>
      <c r="S100">
        <f>HYPERLINK("https://klasma.github.io/Logging_2321/artfynd/A 52778-2020 artfynd.xlsx", "A 52778-2020")</f>
        <v/>
      </c>
      <c r="T100">
        <f>HYPERLINK("https://klasma.github.io/Logging_2321/kartor/A 52778-2020 karta.png", "A 52778-2020")</f>
        <v/>
      </c>
      <c r="V100">
        <f>HYPERLINK("https://klasma.github.io/Logging_2321/klagomål/A 52778-2020 FSC-klagomål.docx", "A 52778-2020")</f>
        <v/>
      </c>
      <c r="W100">
        <f>HYPERLINK("https://klasma.github.io/Logging_2321/klagomålsmail/A 52778-2020 FSC-klagomål mail.docx", "A 52778-2020")</f>
        <v/>
      </c>
      <c r="X100">
        <f>HYPERLINK("https://klasma.github.io/Logging_2321/tillsyn/A 52778-2020 tillsynsbegäran.docx", "A 52778-2020")</f>
        <v/>
      </c>
      <c r="Y100">
        <f>HYPERLINK("https://klasma.github.io/Logging_2321/tillsynsmail/A 52778-2020 tillsynsbegäran mail.docx", "A 52778-2020")</f>
        <v/>
      </c>
    </row>
    <row r="101" ht="15" customHeight="1">
      <c r="A101" t="inlineStr">
        <is>
          <t>A 5388-2021</t>
        </is>
      </c>
      <c r="B101" s="1" t="n">
        <v>44229</v>
      </c>
      <c r="C101" s="1" t="n">
        <v>45357</v>
      </c>
      <c r="D101" t="inlineStr">
        <is>
          <t>JÄMTLANDS LÄN</t>
        </is>
      </c>
      <c r="E101" t="inlineStr">
        <is>
          <t>ÅRE</t>
        </is>
      </c>
      <c r="G101" t="n">
        <v>6.9</v>
      </c>
      <c r="H101" t="n">
        <v>1</v>
      </c>
      <c r="I101" t="n">
        <v>0</v>
      </c>
      <c r="J101" t="n">
        <v>2</v>
      </c>
      <c r="K101" t="n">
        <v>0</v>
      </c>
      <c r="L101" t="n">
        <v>0</v>
      </c>
      <c r="M101" t="n">
        <v>0</v>
      </c>
      <c r="N101" t="n">
        <v>0</v>
      </c>
      <c r="O101" t="n">
        <v>2</v>
      </c>
      <c r="P101" t="n">
        <v>0</v>
      </c>
      <c r="Q101" t="n">
        <v>2</v>
      </c>
      <c r="R101" s="2" t="inlineStr">
        <is>
          <t>Tretåig hackspett
Ullticka</t>
        </is>
      </c>
      <c r="S101">
        <f>HYPERLINK("https://klasma.github.io/Logging_2321/artfynd/A 5388-2021 artfynd.xlsx", "A 5388-2021")</f>
        <v/>
      </c>
      <c r="T101">
        <f>HYPERLINK("https://klasma.github.io/Logging_2321/kartor/A 5388-2021 karta.png", "A 5388-2021")</f>
        <v/>
      </c>
      <c r="V101">
        <f>HYPERLINK("https://klasma.github.io/Logging_2321/klagomål/A 5388-2021 FSC-klagomål.docx", "A 5388-2021")</f>
        <v/>
      </c>
      <c r="W101">
        <f>HYPERLINK("https://klasma.github.io/Logging_2321/klagomålsmail/A 5388-2021 FSC-klagomål mail.docx", "A 5388-2021")</f>
        <v/>
      </c>
      <c r="X101">
        <f>HYPERLINK("https://klasma.github.io/Logging_2321/tillsyn/A 5388-2021 tillsynsbegäran.docx", "A 5388-2021")</f>
        <v/>
      </c>
      <c r="Y101">
        <f>HYPERLINK("https://klasma.github.io/Logging_2321/tillsynsmail/A 5388-2021 tillsynsbegäran mail.docx", "A 5388-2021")</f>
        <v/>
      </c>
      <c r="Z101">
        <f>HYPERLINK("https://klasma.github.io/Logging_2321/fåglar/A 5388-2021 prioriterade fågelarter.docx", "A 5388-2021")</f>
        <v/>
      </c>
    </row>
    <row r="102" ht="15" customHeight="1">
      <c r="A102" t="inlineStr">
        <is>
          <t>A 23566-2021</t>
        </is>
      </c>
      <c r="B102" s="1" t="n">
        <v>44334</v>
      </c>
      <c r="C102" s="1" t="n">
        <v>45357</v>
      </c>
      <c r="D102" t="inlineStr">
        <is>
          <t>JÄMTLANDS LÄN</t>
        </is>
      </c>
      <c r="E102" t="inlineStr">
        <is>
          <t>ÅRE</t>
        </is>
      </c>
      <c r="G102" t="n">
        <v>20</v>
      </c>
      <c r="H102" t="n">
        <v>1</v>
      </c>
      <c r="I102" t="n">
        <v>1</v>
      </c>
      <c r="J102" t="n">
        <v>1</v>
      </c>
      <c r="K102" t="n">
        <v>0</v>
      </c>
      <c r="L102" t="n">
        <v>0</v>
      </c>
      <c r="M102" t="n">
        <v>0</v>
      </c>
      <c r="N102" t="n">
        <v>0</v>
      </c>
      <c r="O102" t="n">
        <v>1</v>
      </c>
      <c r="P102" t="n">
        <v>0</v>
      </c>
      <c r="Q102" t="n">
        <v>2</v>
      </c>
      <c r="R102" s="2" t="inlineStr">
        <is>
          <t>Skrovellav
Spindelblomster</t>
        </is>
      </c>
      <c r="S102">
        <f>HYPERLINK("https://klasma.github.io/Logging_2321/artfynd/A 23566-2021 artfynd.xlsx", "A 23566-2021")</f>
        <v/>
      </c>
      <c r="T102">
        <f>HYPERLINK("https://klasma.github.io/Logging_2321/kartor/A 23566-2021 karta.png", "A 23566-2021")</f>
        <v/>
      </c>
      <c r="V102">
        <f>HYPERLINK("https://klasma.github.io/Logging_2321/klagomål/A 23566-2021 FSC-klagomål.docx", "A 23566-2021")</f>
        <v/>
      </c>
      <c r="W102">
        <f>HYPERLINK("https://klasma.github.io/Logging_2321/klagomålsmail/A 23566-2021 FSC-klagomål mail.docx", "A 23566-2021")</f>
        <v/>
      </c>
      <c r="X102">
        <f>HYPERLINK("https://klasma.github.io/Logging_2321/tillsyn/A 23566-2021 tillsynsbegäran.docx", "A 23566-2021")</f>
        <v/>
      </c>
      <c r="Y102">
        <f>HYPERLINK("https://klasma.github.io/Logging_2321/tillsynsmail/A 23566-2021 tillsynsbegäran mail.docx", "A 23566-2021")</f>
        <v/>
      </c>
    </row>
    <row r="103" ht="15" customHeight="1">
      <c r="A103" t="inlineStr">
        <is>
          <t>A 46984-2021</t>
        </is>
      </c>
      <c r="B103" s="1" t="n">
        <v>44446</v>
      </c>
      <c r="C103" s="1" t="n">
        <v>45357</v>
      </c>
      <c r="D103" t="inlineStr">
        <is>
          <t>JÄMTLANDS LÄN</t>
        </is>
      </c>
      <c r="E103" t="inlineStr">
        <is>
          <t>ÅRE</t>
        </is>
      </c>
      <c r="G103" t="n">
        <v>0.2</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46984-2021 artfynd.xlsx", "A 46984-2021")</f>
        <v/>
      </c>
      <c r="T103">
        <f>HYPERLINK("https://klasma.github.io/Logging_2321/kartor/A 46984-2021 karta.png", "A 46984-2021")</f>
        <v/>
      </c>
      <c r="V103">
        <f>HYPERLINK("https://klasma.github.io/Logging_2321/klagomål/A 46984-2021 FSC-klagomål.docx", "A 46984-2021")</f>
        <v/>
      </c>
      <c r="W103">
        <f>HYPERLINK("https://klasma.github.io/Logging_2321/klagomålsmail/A 46984-2021 FSC-klagomål mail.docx", "A 46984-2021")</f>
        <v/>
      </c>
      <c r="X103">
        <f>HYPERLINK("https://klasma.github.io/Logging_2321/tillsyn/A 46984-2021 tillsynsbegäran.docx", "A 46984-2021")</f>
        <v/>
      </c>
      <c r="Y103">
        <f>HYPERLINK("https://klasma.github.io/Logging_2321/tillsynsmail/A 46984-2021 tillsynsbegäran mail.docx", "A 46984-2021")</f>
        <v/>
      </c>
      <c r="Z103">
        <f>HYPERLINK("https://klasma.github.io/Logging_2321/fåglar/A 46984-2021 prioriterade fågelarter.docx", "A 46984-2021")</f>
        <v/>
      </c>
    </row>
    <row r="104" ht="15" customHeight="1">
      <c r="A104" t="inlineStr">
        <is>
          <t>A 64663-2021</t>
        </is>
      </c>
      <c r="B104" s="1" t="n">
        <v>44512</v>
      </c>
      <c r="C104" s="1" t="n">
        <v>45357</v>
      </c>
      <c r="D104" t="inlineStr">
        <is>
          <t>JÄMTLANDS LÄN</t>
        </is>
      </c>
      <c r="E104" t="inlineStr">
        <is>
          <t>ÅRE</t>
        </is>
      </c>
      <c r="G104" t="n">
        <v>14.5</v>
      </c>
      <c r="H104" t="n">
        <v>0</v>
      </c>
      <c r="I104" t="n">
        <v>0</v>
      </c>
      <c r="J104" t="n">
        <v>1</v>
      </c>
      <c r="K104" t="n">
        <v>1</v>
      </c>
      <c r="L104" t="n">
        <v>0</v>
      </c>
      <c r="M104" t="n">
        <v>0</v>
      </c>
      <c r="N104" t="n">
        <v>0</v>
      </c>
      <c r="O104" t="n">
        <v>2</v>
      </c>
      <c r="P104" t="n">
        <v>1</v>
      </c>
      <c r="Q104" t="n">
        <v>2</v>
      </c>
      <c r="R104" s="2" t="inlineStr">
        <is>
          <t>Sotbandad spindling
Vitterspindling</t>
        </is>
      </c>
      <c r="S104">
        <f>HYPERLINK("https://klasma.github.io/Logging_2321/artfynd/A 64663-2021 artfynd.xlsx", "A 64663-2021")</f>
        <v/>
      </c>
      <c r="T104">
        <f>HYPERLINK("https://klasma.github.io/Logging_2321/kartor/A 64663-2021 karta.png", "A 64663-2021")</f>
        <v/>
      </c>
      <c r="V104">
        <f>HYPERLINK("https://klasma.github.io/Logging_2321/klagomål/A 64663-2021 FSC-klagomål.docx", "A 64663-2021")</f>
        <v/>
      </c>
      <c r="W104">
        <f>HYPERLINK("https://klasma.github.io/Logging_2321/klagomålsmail/A 64663-2021 FSC-klagomål mail.docx", "A 64663-2021")</f>
        <v/>
      </c>
      <c r="X104">
        <f>HYPERLINK("https://klasma.github.io/Logging_2321/tillsyn/A 64663-2021 tillsynsbegäran.docx", "A 64663-2021")</f>
        <v/>
      </c>
      <c r="Y104">
        <f>HYPERLINK("https://klasma.github.io/Logging_2321/tillsynsmail/A 64663-2021 tillsynsbegäran mail.docx", "A 64663-2021")</f>
        <v/>
      </c>
    </row>
    <row r="105" ht="15" customHeight="1">
      <c r="A105" t="inlineStr">
        <is>
          <t>A 64668-2021</t>
        </is>
      </c>
      <c r="B105" s="1" t="n">
        <v>44512</v>
      </c>
      <c r="C105" s="1" t="n">
        <v>45357</v>
      </c>
      <c r="D105" t="inlineStr">
        <is>
          <t>JÄMTLANDS LÄN</t>
        </is>
      </c>
      <c r="E105" t="inlineStr">
        <is>
          <t>ÅRE</t>
        </is>
      </c>
      <c r="G105" t="n">
        <v>1.9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HYPERLINK("https://klasma.github.io/Logging_2321/artfynd/A 64668-2021 artfynd.xlsx", "A 64668-2021")</f>
        <v/>
      </c>
      <c r="T105">
        <f>HYPERLINK("https://klasma.github.io/Logging_2321/kartor/A 64668-2021 karta.png", "A 64668-2021")</f>
        <v/>
      </c>
      <c r="V105">
        <f>HYPERLINK("https://klasma.github.io/Logging_2321/klagomål/A 64668-2021 FSC-klagomål.docx", "A 64668-2021")</f>
        <v/>
      </c>
      <c r="W105">
        <f>HYPERLINK("https://klasma.github.io/Logging_2321/klagomålsmail/A 64668-2021 FSC-klagomål mail.docx", "A 64668-2021")</f>
        <v/>
      </c>
      <c r="X105">
        <f>HYPERLINK("https://klasma.github.io/Logging_2321/tillsyn/A 64668-2021 tillsynsbegäran.docx", "A 64668-2021")</f>
        <v/>
      </c>
      <c r="Y105">
        <f>HYPERLINK("https://klasma.github.io/Logging_2321/tillsynsmail/A 64668-2021 tillsynsbegäran mail.docx", "A 64668-2021")</f>
        <v/>
      </c>
      <c r="Z105">
        <f>HYPERLINK("https://klasma.github.io/Logging_2321/fåglar/A 64668-2021 prioriterade fågelarter.docx", "A 64668-2021")</f>
        <v/>
      </c>
    </row>
    <row r="106" ht="15" customHeight="1">
      <c r="A106" t="inlineStr">
        <is>
          <t>A 22231-2022</t>
        </is>
      </c>
      <c r="B106" s="1" t="n">
        <v>44712</v>
      </c>
      <c r="C106" s="1" t="n">
        <v>45357</v>
      </c>
      <c r="D106" t="inlineStr">
        <is>
          <t>JÄMTLANDS LÄN</t>
        </is>
      </c>
      <c r="E106" t="inlineStr">
        <is>
          <t>ÅRE</t>
        </is>
      </c>
      <c r="G106" t="n">
        <v>15</v>
      </c>
      <c r="H106" t="n">
        <v>0</v>
      </c>
      <c r="I106" t="n">
        <v>0</v>
      </c>
      <c r="J106" t="n">
        <v>2</v>
      </c>
      <c r="K106" t="n">
        <v>0</v>
      </c>
      <c r="L106" t="n">
        <v>0</v>
      </c>
      <c r="M106" t="n">
        <v>0</v>
      </c>
      <c r="N106" t="n">
        <v>0</v>
      </c>
      <c r="O106" t="n">
        <v>2</v>
      </c>
      <c r="P106" t="n">
        <v>0</v>
      </c>
      <c r="Q106" t="n">
        <v>2</v>
      </c>
      <c r="R106" s="2" t="inlineStr">
        <is>
          <t>Gammelgransskål
Granticka</t>
        </is>
      </c>
      <c r="S106">
        <f>HYPERLINK("https://klasma.github.io/Logging_2321/artfynd/A 22231-2022 artfynd.xlsx", "A 22231-2022")</f>
        <v/>
      </c>
      <c r="T106">
        <f>HYPERLINK("https://klasma.github.io/Logging_2321/kartor/A 22231-2022 karta.png", "A 22231-2022")</f>
        <v/>
      </c>
      <c r="V106">
        <f>HYPERLINK("https://klasma.github.io/Logging_2321/klagomål/A 22231-2022 FSC-klagomål.docx", "A 22231-2022")</f>
        <v/>
      </c>
      <c r="W106">
        <f>HYPERLINK("https://klasma.github.io/Logging_2321/klagomålsmail/A 22231-2022 FSC-klagomål mail.docx", "A 22231-2022")</f>
        <v/>
      </c>
      <c r="X106">
        <f>HYPERLINK("https://klasma.github.io/Logging_2321/tillsyn/A 22231-2022 tillsynsbegäran.docx", "A 22231-2022")</f>
        <v/>
      </c>
      <c r="Y106">
        <f>HYPERLINK("https://klasma.github.io/Logging_2321/tillsynsmail/A 22231-2022 tillsynsbegäran mail.docx", "A 22231-2022")</f>
        <v/>
      </c>
    </row>
    <row r="107" ht="15" customHeight="1">
      <c r="A107" t="inlineStr">
        <is>
          <t>A 22974-2022</t>
        </is>
      </c>
      <c r="B107" s="1" t="n">
        <v>44716</v>
      </c>
      <c r="C107" s="1" t="n">
        <v>45357</v>
      </c>
      <c r="D107" t="inlineStr">
        <is>
          <t>JÄMTLANDS LÄN</t>
        </is>
      </c>
      <c r="E107" t="inlineStr">
        <is>
          <t>ÅRE</t>
        </is>
      </c>
      <c r="G107" t="n">
        <v>8.300000000000001</v>
      </c>
      <c r="H107" t="n">
        <v>1</v>
      </c>
      <c r="I107" t="n">
        <v>2</v>
      </c>
      <c r="J107" t="n">
        <v>0</v>
      </c>
      <c r="K107" t="n">
        <v>0</v>
      </c>
      <c r="L107" t="n">
        <v>0</v>
      </c>
      <c r="M107" t="n">
        <v>0</v>
      </c>
      <c r="N107" t="n">
        <v>0</v>
      </c>
      <c r="O107" t="n">
        <v>0</v>
      </c>
      <c r="P107" t="n">
        <v>0</v>
      </c>
      <c r="Q107" t="n">
        <v>2</v>
      </c>
      <c r="R107" s="2" t="inlineStr">
        <is>
          <t>Spindelblomster
Ögonpyrola</t>
        </is>
      </c>
      <c r="S107">
        <f>HYPERLINK("https://klasma.github.io/Logging_2321/artfynd/A 22974-2022 artfynd.xlsx", "A 22974-2022")</f>
        <v/>
      </c>
      <c r="T107">
        <f>HYPERLINK("https://klasma.github.io/Logging_2321/kartor/A 22974-2022 karta.png", "A 22974-2022")</f>
        <v/>
      </c>
      <c r="V107">
        <f>HYPERLINK("https://klasma.github.io/Logging_2321/klagomål/A 22974-2022 FSC-klagomål.docx", "A 22974-2022")</f>
        <v/>
      </c>
      <c r="W107">
        <f>HYPERLINK("https://klasma.github.io/Logging_2321/klagomålsmail/A 22974-2022 FSC-klagomål mail.docx", "A 22974-2022")</f>
        <v/>
      </c>
      <c r="X107">
        <f>HYPERLINK("https://klasma.github.io/Logging_2321/tillsyn/A 22974-2022 tillsynsbegäran.docx", "A 22974-2022")</f>
        <v/>
      </c>
      <c r="Y107">
        <f>HYPERLINK("https://klasma.github.io/Logging_2321/tillsynsmail/A 22974-2022 tillsynsbegäran mail.docx", "A 22974-2022")</f>
        <v/>
      </c>
    </row>
    <row r="108" ht="15" customHeight="1">
      <c r="A108" t="inlineStr">
        <is>
          <t>A 32207-2022</t>
        </is>
      </c>
      <c r="B108" s="1" t="n">
        <v>44781</v>
      </c>
      <c r="C108" s="1" t="n">
        <v>45357</v>
      </c>
      <c r="D108" t="inlineStr">
        <is>
          <t>JÄMTLANDS LÄN</t>
        </is>
      </c>
      <c r="E108" t="inlineStr">
        <is>
          <t>ÅRE</t>
        </is>
      </c>
      <c r="G108" t="n">
        <v>5.5</v>
      </c>
      <c r="H108" t="n">
        <v>1</v>
      </c>
      <c r="I108" t="n">
        <v>2</v>
      </c>
      <c r="J108" t="n">
        <v>0</v>
      </c>
      <c r="K108" t="n">
        <v>0</v>
      </c>
      <c r="L108" t="n">
        <v>0</v>
      </c>
      <c r="M108" t="n">
        <v>0</v>
      </c>
      <c r="N108" t="n">
        <v>0</v>
      </c>
      <c r="O108" t="n">
        <v>0</v>
      </c>
      <c r="P108" t="n">
        <v>0</v>
      </c>
      <c r="Q108" t="n">
        <v>2</v>
      </c>
      <c r="R108" s="2" t="inlineStr">
        <is>
          <t>Korallrot
Ögonpyrola</t>
        </is>
      </c>
      <c r="S108">
        <f>HYPERLINK("https://klasma.github.io/Logging_2321/artfynd/A 32207-2022 artfynd.xlsx", "A 32207-2022")</f>
        <v/>
      </c>
      <c r="T108">
        <f>HYPERLINK("https://klasma.github.io/Logging_2321/kartor/A 32207-2022 karta.png", "A 32207-2022")</f>
        <v/>
      </c>
      <c r="V108">
        <f>HYPERLINK("https://klasma.github.io/Logging_2321/klagomål/A 32207-2022 FSC-klagomål.docx", "A 32207-2022")</f>
        <v/>
      </c>
      <c r="W108">
        <f>HYPERLINK("https://klasma.github.io/Logging_2321/klagomålsmail/A 32207-2022 FSC-klagomål mail.docx", "A 32207-2022")</f>
        <v/>
      </c>
      <c r="X108">
        <f>HYPERLINK("https://klasma.github.io/Logging_2321/tillsyn/A 32207-2022 tillsynsbegäran.docx", "A 32207-2022")</f>
        <v/>
      </c>
      <c r="Y108">
        <f>HYPERLINK("https://klasma.github.io/Logging_2321/tillsynsmail/A 32207-2022 tillsynsbegäran mail.docx", "A 32207-2022")</f>
        <v/>
      </c>
    </row>
    <row r="109" ht="15" customHeight="1">
      <c r="A109" t="inlineStr">
        <is>
          <t>A 55739-2022</t>
        </is>
      </c>
      <c r="B109" s="1" t="n">
        <v>44888</v>
      </c>
      <c r="C109" s="1" t="n">
        <v>45357</v>
      </c>
      <c r="D109" t="inlineStr">
        <is>
          <t>JÄMTLANDS LÄN</t>
        </is>
      </c>
      <c r="E109" t="inlineStr">
        <is>
          <t>ÅRE</t>
        </is>
      </c>
      <c r="F109" t="inlineStr">
        <is>
          <t>Övriga Aktiebolag</t>
        </is>
      </c>
      <c r="G109" t="n">
        <v>10.2</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55739-2022 artfynd.xlsx", "A 55739-2022")</f>
        <v/>
      </c>
      <c r="T109">
        <f>HYPERLINK("https://klasma.github.io/Logging_2321/kartor/A 55739-2022 karta.png", "A 55739-2022")</f>
        <v/>
      </c>
      <c r="V109">
        <f>HYPERLINK("https://klasma.github.io/Logging_2321/klagomål/A 55739-2022 FSC-klagomål.docx", "A 55739-2022")</f>
        <v/>
      </c>
      <c r="W109">
        <f>HYPERLINK("https://klasma.github.io/Logging_2321/klagomålsmail/A 55739-2022 FSC-klagomål mail.docx", "A 55739-2022")</f>
        <v/>
      </c>
      <c r="X109">
        <f>HYPERLINK("https://klasma.github.io/Logging_2321/tillsyn/A 55739-2022 tillsynsbegäran.docx", "A 55739-2022")</f>
        <v/>
      </c>
      <c r="Y109">
        <f>HYPERLINK("https://klasma.github.io/Logging_2321/tillsynsmail/A 55739-2022 tillsynsbegäran mail.docx", "A 55739-2022")</f>
        <v/>
      </c>
      <c r="Z109">
        <f>HYPERLINK("https://klasma.github.io/Logging_2321/fåglar/A 55739-2022 prioriterade fågelarter.docx", "A 55739-2022")</f>
        <v/>
      </c>
    </row>
    <row r="110" ht="15" customHeight="1">
      <c r="A110" t="inlineStr">
        <is>
          <t>A 56472-2022</t>
        </is>
      </c>
      <c r="B110" s="1" t="n">
        <v>44893</v>
      </c>
      <c r="C110" s="1" t="n">
        <v>45357</v>
      </c>
      <c r="D110" t="inlineStr">
        <is>
          <t>JÄMTLANDS LÄN</t>
        </is>
      </c>
      <c r="E110" t="inlineStr">
        <is>
          <t>ÅRE</t>
        </is>
      </c>
      <c r="F110" t="inlineStr">
        <is>
          <t>Övriga Aktiebolag</t>
        </is>
      </c>
      <c r="G110" t="n">
        <v>22</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56472-2022 artfynd.xlsx", "A 56472-2022")</f>
        <v/>
      </c>
      <c r="T110">
        <f>HYPERLINK("https://klasma.github.io/Logging_2321/kartor/A 56472-2022 karta.png", "A 56472-2022")</f>
        <v/>
      </c>
      <c r="V110">
        <f>HYPERLINK("https://klasma.github.io/Logging_2321/klagomål/A 56472-2022 FSC-klagomål.docx", "A 56472-2022")</f>
        <v/>
      </c>
      <c r="W110">
        <f>HYPERLINK("https://klasma.github.io/Logging_2321/klagomålsmail/A 56472-2022 FSC-klagomål mail.docx", "A 56472-2022")</f>
        <v/>
      </c>
      <c r="X110">
        <f>HYPERLINK("https://klasma.github.io/Logging_2321/tillsyn/A 56472-2022 tillsynsbegäran.docx", "A 56472-2022")</f>
        <v/>
      </c>
      <c r="Y110">
        <f>HYPERLINK("https://klasma.github.io/Logging_2321/tillsynsmail/A 56472-2022 tillsynsbegäran mail.docx", "A 56472-2022")</f>
        <v/>
      </c>
      <c r="Z110">
        <f>HYPERLINK("https://klasma.github.io/Logging_2321/fåglar/A 56472-2022 prioriterade fågelarter.docx", "A 56472-2022")</f>
        <v/>
      </c>
    </row>
    <row r="111" ht="15" customHeight="1">
      <c r="A111" t="inlineStr">
        <is>
          <t>A 60533-2022</t>
        </is>
      </c>
      <c r="B111" s="1" t="n">
        <v>44904</v>
      </c>
      <c r="C111" s="1" t="n">
        <v>45357</v>
      </c>
      <c r="D111" t="inlineStr">
        <is>
          <t>JÄMTLANDS LÄN</t>
        </is>
      </c>
      <c r="E111" t="inlineStr">
        <is>
          <t>ÅRE</t>
        </is>
      </c>
      <c r="G111" t="n">
        <v>3.6</v>
      </c>
      <c r="H111" t="n">
        <v>2</v>
      </c>
      <c r="I111" t="n">
        <v>0</v>
      </c>
      <c r="J111" t="n">
        <v>2</v>
      </c>
      <c r="K111" t="n">
        <v>0</v>
      </c>
      <c r="L111" t="n">
        <v>0</v>
      </c>
      <c r="M111" t="n">
        <v>0</v>
      </c>
      <c r="N111" t="n">
        <v>0</v>
      </c>
      <c r="O111" t="n">
        <v>2</v>
      </c>
      <c r="P111" t="n">
        <v>0</v>
      </c>
      <c r="Q111" t="n">
        <v>2</v>
      </c>
      <c r="R111" s="2" t="inlineStr">
        <is>
          <t>Talltita
Tretåig hackspett</t>
        </is>
      </c>
      <c r="S111">
        <f>HYPERLINK("https://klasma.github.io/Logging_2321/artfynd/A 60533-2022 artfynd.xlsx", "A 60533-2022")</f>
        <v/>
      </c>
      <c r="T111">
        <f>HYPERLINK("https://klasma.github.io/Logging_2321/kartor/A 60533-2022 karta.png", "A 60533-2022")</f>
        <v/>
      </c>
      <c r="V111">
        <f>HYPERLINK("https://klasma.github.io/Logging_2321/klagomål/A 60533-2022 FSC-klagomål.docx", "A 60533-2022")</f>
        <v/>
      </c>
      <c r="W111">
        <f>HYPERLINK("https://klasma.github.io/Logging_2321/klagomålsmail/A 60533-2022 FSC-klagomål mail.docx", "A 60533-2022")</f>
        <v/>
      </c>
      <c r="X111">
        <f>HYPERLINK("https://klasma.github.io/Logging_2321/tillsyn/A 60533-2022 tillsynsbegäran.docx", "A 60533-2022")</f>
        <v/>
      </c>
      <c r="Y111">
        <f>HYPERLINK("https://klasma.github.io/Logging_2321/tillsynsmail/A 60533-2022 tillsynsbegäran mail.docx", "A 60533-2022")</f>
        <v/>
      </c>
      <c r="Z111">
        <f>HYPERLINK("https://klasma.github.io/Logging_2321/fåglar/A 60533-2022 prioriterade fågelarter.docx", "A 60533-2022")</f>
        <v/>
      </c>
    </row>
    <row r="112" ht="15" customHeight="1">
      <c r="A112" t="inlineStr">
        <is>
          <t>A 3152-2023</t>
        </is>
      </c>
      <c r="B112" s="1" t="n">
        <v>44946</v>
      </c>
      <c r="C112" s="1" t="n">
        <v>45357</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5531-2023</t>
        </is>
      </c>
      <c r="B113" s="1" t="n">
        <v>44957</v>
      </c>
      <c r="C113" s="1" t="n">
        <v>45357</v>
      </c>
      <c r="D113" t="inlineStr">
        <is>
          <t>JÄMTLANDS LÄN</t>
        </is>
      </c>
      <c r="E113" t="inlineStr">
        <is>
          <t>ÅRE</t>
        </is>
      </c>
      <c r="G113" t="n">
        <v>3.8</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5531-2023 artfynd.xlsx", "A 5531-2023")</f>
        <v/>
      </c>
      <c r="T113">
        <f>HYPERLINK("https://klasma.github.io/Logging_2321/kartor/A 5531-2023 karta.png", "A 5531-2023")</f>
        <v/>
      </c>
      <c r="V113">
        <f>HYPERLINK("https://klasma.github.io/Logging_2321/klagomål/A 5531-2023 FSC-klagomål.docx", "A 5531-2023")</f>
        <v/>
      </c>
      <c r="W113">
        <f>HYPERLINK("https://klasma.github.io/Logging_2321/klagomålsmail/A 5531-2023 FSC-klagomål mail.docx", "A 5531-2023")</f>
        <v/>
      </c>
      <c r="X113">
        <f>HYPERLINK("https://klasma.github.io/Logging_2321/tillsyn/A 5531-2023 tillsynsbegäran.docx", "A 5531-2023")</f>
        <v/>
      </c>
      <c r="Y113">
        <f>HYPERLINK("https://klasma.github.io/Logging_2321/tillsynsmail/A 5531-2023 tillsynsbegäran mail.docx", "A 5531-2023")</f>
        <v/>
      </c>
      <c r="Z113">
        <f>HYPERLINK("https://klasma.github.io/Logging_2321/fåglar/A 5531-2023 prioriterade fågelarter.docx", "A 5531-2023")</f>
        <v/>
      </c>
    </row>
    <row r="114" ht="15" customHeight="1">
      <c r="A114" t="inlineStr">
        <is>
          <t>A 5418-2023</t>
        </is>
      </c>
      <c r="B114" s="1" t="n">
        <v>44957</v>
      </c>
      <c r="C114" s="1" t="n">
        <v>45357</v>
      </c>
      <c r="D114" t="inlineStr">
        <is>
          <t>JÄMTLANDS LÄN</t>
        </is>
      </c>
      <c r="E114" t="inlineStr">
        <is>
          <t>ÅRE</t>
        </is>
      </c>
      <c r="G114" t="n">
        <v>5</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5418-2023 artfynd.xlsx", "A 5418-2023")</f>
        <v/>
      </c>
      <c r="T114">
        <f>HYPERLINK("https://klasma.github.io/Logging_2321/kartor/A 5418-2023 karta.png", "A 5418-2023")</f>
        <v/>
      </c>
      <c r="V114">
        <f>HYPERLINK("https://klasma.github.io/Logging_2321/klagomål/A 5418-2023 FSC-klagomål.docx", "A 5418-2023")</f>
        <v/>
      </c>
      <c r="W114">
        <f>HYPERLINK("https://klasma.github.io/Logging_2321/klagomålsmail/A 5418-2023 FSC-klagomål mail.docx", "A 5418-2023")</f>
        <v/>
      </c>
      <c r="X114">
        <f>HYPERLINK("https://klasma.github.io/Logging_2321/tillsyn/A 5418-2023 tillsynsbegäran.docx", "A 5418-2023")</f>
        <v/>
      </c>
      <c r="Y114">
        <f>HYPERLINK("https://klasma.github.io/Logging_2321/tillsynsmail/A 5418-2023 tillsynsbegäran mail.docx", "A 5418-2023")</f>
        <v/>
      </c>
      <c r="Z114">
        <f>HYPERLINK("https://klasma.github.io/Logging_2321/fåglar/A 5418-2023 prioriterade fågelarter.docx", "A 5418-2023")</f>
        <v/>
      </c>
    </row>
    <row r="115" ht="15" customHeight="1">
      <c r="A115" t="inlineStr">
        <is>
          <t>A 6107-2023</t>
        </is>
      </c>
      <c r="B115" s="1" t="n">
        <v>44964</v>
      </c>
      <c r="C115" s="1" t="n">
        <v>45357</v>
      </c>
      <c r="D115" t="inlineStr">
        <is>
          <t>JÄMTLANDS LÄN</t>
        </is>
      </c>
      <c r="E115" t="inlineStr">
        <is>
          <t>ÅRE</t>
        </is>
      </c>
      <c r="G115" t="n">
        <v>1.9</v>
      </c>
      <c r="H115" t="n">
        <v>0</v>
      </c>
      <c r="I115" t="n">
        <v>1</v>
      </c>
      <c r="J115" t="n">
        <v>1</v>
      </c>
      <c r="K115" t="n">
        <v>0</v>
      </c>
      <c r="L115" t="n">
        <v>0</v>
      </c>
      <c r="M115" t="n">
        <v>0</v>
      </c>
      <c r="N115" t="n">
        <v>0</v>
      </c>
      <c r="O115" t="n">
        <v>1</v>
      </c>
      <c r="P115" t="n">
        <v>0</v>
      </c>
      <c r="Q115" t="n">
        <v>2</v>
      </c>
      <c r="R115" s="2" t="inlineStr">
        <is>
          <t>Skrovellav
Stuplav</t>
        </is>
      </c>
      <c r="S115">
        <f>HYPERLINK("https://klasma.github.io/Logging_2321/artfynd/A 6107-2023 artfynd.xlsx", "A 6107-2023")</f>
        <v/>
      </c>
      <c r="T115">
        <f>HYPERLINK("https://klasma.github.io/Logging_2321/kartor/A 6107-2023 karta.png", "A 6107-2023")</f>
        <v/>
      </c>
      <c r="V115">
        <f>HYPERLINK("https://klasma.github.io/Logging_2321/klagomål/A 6107-2023 FSC-klagomål.docx", "A 6107-2023")</f>
        <v/>
      </c>
      <c r="W115">
        <f>HYPERLINK("https://klasma.github.io/Logging_2321/klagomålsmail/A 6107-2023 FSC-klagomål mail.docx", "A 6107-2023")</f>
        <v/>
      </c>
      <c r="X115">
        <f>HYPERLINK("https://klasma.github.io/Logging_2321/tillsyn/A 6107-2023 tillsynsbegäran.docx", "A 6107-2023")</f>
        <v/>
      </c>
      <c r="Y115">
        <f>HYPERLINK("https://klasma.github.io/Logging_2321/tillsynsmail/A 6107-2023 tillsynsbegäran mail.docx", "A 6107-2023")</f>
        <v/>
      </c>
    </row>
    <row r="116" ht="15" customHeight="1">
      <c r="A116" t="inlineStr">
        <is>
          <t>A 6108-2023</t>
        </is>
      </c>
      <c r="B116" s="1" t="n">
        <v>44964</v>
      </c>
      <c r="C116" s="1" t="n">
        <v>45357</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7401-2023</t>
        </is>
      </c>
      <c r="B117" s="1" t="n">
        <v>44966</v>
      </c>
      <c r="C117" s="1" t="n">
        <v>45357</v>
      </c>
      <c r="D117" t="inlineStr">
        <is>
          <t>JÄMTLANDS LÄN</t>
        </is>
      </c>
      <c r="E117" t="inlineStr">
        <is>
          <t>ÅRE</t>
        </is>
      </c>
      <c r="G117" t="n">
        <v>3.5</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7401-2023 artfynd.xlsx", "A 7401-2023")</f>
        <v/>
      </c>
      <c r="T117">
        <f>HYPERLINK("https://klasma.github.io/Logging_2321/kartor/A 7401-2023 karta.png", "A 7401-2023")</f>
        <v/>
      </c>
      <c r="V117">
        <f>HYPERLINK("https://klasma.github.io/Logging_2321/klagomål/A 7401-2023 FSC-klagomål.docx", "A 7401-2023")</f>
        <v/>
      </c>
      <c r="W117">
        <f>HYPERLINK("https://klasma.github.io/Logging_2321/klagomålsmail/A 7401-2023 FSC-klagomål mail.docx", "A 7401-2023")</f>
        <v/>
      </c>
      <c r="X117">
        <f>HYPERLINK("https://klasma.github.io/Logging_2321/tillsyn/A 7401-2023 tillsynsbegäran.docx", "A 7401-2023")</f>
        <v/>
      </c>
      <c r="Y117">
        <f>HYPERLINK("https://klasma.github.io/Logging_2321/tillsynsmail/A 7401-2023 tillsynsbegäran mail.docx", "A 7401-2023")</f>
        <v/>
      </c>
    </row>
    <row r="118" ht="15" customHeight="1">
      <c r="A118" t="inlineStr">
        <is>
          <t>A 13625-2023</t>
        </is>
      </c>
      <c r="B118" s="1" t="n">
        <v>45006</v>
      </c>
      <c r="C118" s="1" t="n">
        <v>45357</v>
      </c>
      <c r="D118" t="inlineStr">
        <is>
          <t>JÄMTLANDS LÄN</t>
        </is>
      </c>
      <c r="E118" t="inlineStr">
        <is>
          <t>ÅRE</t>
        </is>
      </c>
      <c r="G118" t="n">
        <v>22.9</v>
      </c>
      <c r="H118" t="n">
        <v>1</v>
      </c>
      <c r="I118" t="n">
        <v>0</v>
      </c>
      <c r="J118" t="n">
        <v>2</v>
      </c>
      <c r="K118" t="n">
        <v>0</v>
      </c>
      <c r="L118" t="n">
        <v>0</v>
      </c>
      <c r="M118" t="n">
        <v>0</v>
      </c>
      <c r="N118" t="n">
        <v>0</v>
      </c>
      <c r="O118" t="n">
        <v>2</v>
      </c>
      <c r="P118" t="n">
        <v>0</v>
      </c>
      <c r="Q118" t="n">
        <v>2</v>
      </c>
      <c r="R118" s="2" t="inlineStr">
        <is>
          <t>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19699-2023</t>
        </is>
      </c>
      <c r="B119" s="1" t="n">
        <v>45051</v>
      </c>
      <c r="C119" s="1" t="n">
        <v>45357</v>
      </c>
      <c r="D119" t="inlineStr">
        <is>
          <t>JÄMTLANDS LÄN</t>
        </is>
      </c>
      <c r="E119" t="inlineStr">
        <is>
          <t>ÅRE</t>
        </is>
      </c>
      <c r="G119" t="n">
        <v>0.7</v>
      </c>
      <c r="H119" t="n">
        <v>2</v>
      </c>
      <c r="I119" t="n">
        <v>1</v>
      </c>
      <c r="J119" t="n">
        <v>0</v>
      </c>
      <c r="K119" t="n">
        <v>0</v>
      </c>
      <c r="L119" t="n">
        <v>0</v>
      </c>
      <c r="M119" t="n">
        <v>0</v>
      </c>
      <c r="N119" t="n">
        <v>0</v>
      </c>
      <c r="O119" t="n">
        <v>0</v>
      </c>
      <c r="P119" t="n">
        <v>0</v>
      </c>
      <c r="Q119" t="n">
        <v>2</v>
      </c>
      <c r="R119" s="2" t="inlineStr">
        <is>
          <t>Tvåblad
Revlummer</t>
        </is>
      </c>
      <c r="S119">
        <f>HYPERLINK("https://klasma.github.io/Logging_2321/artfynd/A 19699-2023 artfynd.xlsx", "A 19699-2023")</f>
        <v/>
      </c>
      <c r="T119">
        <f>HYPERLINK("https://klasma.github.io/Logging_2321/kartor/A 19699-2023 karta.png", "A 19699-2023")</f>
        <v/>
      </c>
      <c r="V119">
        <f>HYPERLINK("https://klasma.github.io/Logging_2321/klagomål/A 19699-2023 FSC-klagomål.docx", "A 19699-2023")</f>
        <v/>
      </c>
      <c r="W119">
        <f>HYPERLINK("https://klasma.github.io/Logging_2321/klagomålsmail/A 19699-2023 FSC-klagomål mail.docx", "A 19699-2023")</f>
        <v/>
      </c>
      <c r="X119">
        <f>HYPERLINK("https://klasma.github.io/Logging_2321/tillsyn/A 19699-2023 tillsynsbegäran.docx", "A 19699-2023")</f>
        <v/>
      </c>
      <c r="Y119">
        <f>HYPERLINK("https://klasma.github.io/Logging_2321/tillsynsmail/A 19699-2023 tillsynsbegäran mail.docx", "A 19699-2023")</f>
        <v/>
      </c>
    </row>
    <row r="120" ht="15" customHeight="1">
      <c r="A120" t="inlineStr">
        <is>
          <t>A 23706-2023</t>
        </is>
      </c>
      <c r="B120" s="1" t="n">
        <v>45072</v>
      </c>
      <c r="C120" s="1" t="n">
        <v>45357</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26098-2023</t>
        </is>
      </c>
      <c r="B121" s="1" t="n">
        <v>45091</v>
      </c>
      <c r="C121" s="1" t="n">
        <v>45357</v>
      </c>
      <c r="D121" t="inlineStr">
        <is>
          <t>JÄMTLANDS LÄN</t>
        </is>
      </c>
      <c r="E121" t="inlineStr">
        <is>
          <t>ÅRE</t>
        </is>
      </c>
      <c r="G121" t="n">
        <v>15.7</v>
      </c>
      <c r="H121" t="n">
        <v>0</v>
      </c>
      <c r="I121" t="n">
        <v>0</v>
      </c>
      <c r="J121" t="n">
        <v>2</v>
      </c>
      <c r="K121" t="n">
        <v>0</v>
      </c>
      <c r="L121" t="n">
        <v>0</v>
      </c>
      <c r="M121" t="n">
        <v>0</v>
      </c>
      <c r="N121" t="n">
        <v>0</v>
      </c>
      <c r="O121" t="n">
        <v>2</v>
      </c>
      <c r="P121" t="n">
        <v>0</v>
      </c>
      <c r="Q121" t="n">
        <v>2</v>
      </c>
      <c r="R121" s="2" t="inlineStr">
        <is>
          <t>Lunglav
Skrovellav</t>
        </is>
      </c>
      <c r="S121">
        <f>HYPERLINK("https://klasma.github.io/Logging_2321/artfynd/A 26098-2023 artfynd.xlsx", "A 26098-2023")</f>
        <v/>
      </c>
      <c r="T121">
        <f>HYPERLINK("https://klasma.github.io/Logging_2321/kartor/A 26098-2023 karta.png", "A 26098-2023")</f>
        <v/>
      </c>
      <c r="V121">
        <f>HYPERLINK("https://klasma.github.io/Logging_2321/klagomål/A 26098-2023 FSC-klagomål.docx", "A 26098-2023")</f>
        <v/>
      </c>
      <c r="W121">
        <f>HYPERLINK("https://klasma.github.io/Logging_2321/klagomålsmail/A 26098-2023 FSC-klagomål mail.docx", "A 26098-2023")</f>
        <v/>
      </c>
      <c r="X121">
        <f>HYPERLINK("https://klasma.github.io/Logging_2321/tillsyn/A 26098-2023 tillsynsbegäran.docx", "A 26098-2023")</f>
        <v/>
      </c>
      <c r="Y121">
        <f>HYPERLINK("https://klasma.github.io/Logging_2321/tillsynsmail/A 26098-2023 tillsynsbegäran mail.docx", "A 26098-2023")</f>
        <v/>
      </c>
    </row>
    <row r="122" ht="15" customHeight="1">
      <c r="A122" t="inlineStr">
        <is>
          <t>A 53014-2023</t>
        </is>
      </c>
      <c r="B122" s="1" t="n">
        <v>45226</v>
      </c>
      <c r="C122" s="1" t="n">
        <v>45357</v>
      </c>
      <c r="D122" t="inlineStr">
        <is>
          <t>JÄMTLANDS LÄN</t>
        </is>
      </c>
      <c r="E122" t="inlineStr">
        <is>
          <t>ÅRE</t>
        </is>
      </c>
      <c r="F122" t="inlineStr">
        <is>
          <t>Övriga Aktiebolag</t>
        </is>
      </c>
      <c r="G122" t="n">
        <v>9.4</v>
      </c>
      <c r="H122" t="n">
        <v>1</v>
      </c>
      <c r="I122" t="n">
        <v>1</v>
      </c>
      <c r="J122" t="n">
        <v>1</v>
      </c>
      <c r="K122" t="n">
        <v>0</v>
      </c>
      <c r="L122" t="n">
        <v>0</v>
      </c>
      <c r="M122" t="n">
        <v>0</v>
      </c>
      <c r="N122" t="n">
        <v>0</v>
      </c>
      <c r="O122" t="n">
        <v>1</v>
      </c>
      <c r="P122" t="n">
        <v>0</v>
      </c>
      <c r="Q122" t="n">
        <v>2</v>
      </c>
      <c r="R122" s="2" t="inlineStr">
        <is>
          <t>Vedflikmossa
Spindelblomster</t>
        </is>
      </c>
      <c r="S122">
        <f>HYPERLINK("https://klasma.github.io/Logging_2321/artfynd/A 53014-2023 artfynd.xlsx", "A 53014-2023")</f>
        <v/>
      </c>
      <c r="T122">
        <f>HYPERLINK("https://klasma.github.io/Logging_2321/kartor/A 53014-2023 karta.png", "A 53014-2023")</f>
        <v/>
      </c>
      <c r="V122">
        <f>HYPERLINK("https://klasma.github.io/Logging_2321/klagomål/A 53014-2023 FSC-klagomål.docx", "A 53014-2023")</f>
        <v/>
      </c>
      <c r="W122">
        <f>HYPERLINK("https://klasma.github.io/Logging_2321/klagomålsmail/A 53014-2023 FSC-klagomål mail.docx", "A 53014-2023")</f>
        <v/>
      </c>
      <c r="X122">
        <f>HYPERLINK("https://klasma.github.io/Logging_2321/tillsyn/A 53014-2023 tillsynsbegäran.docx", "A 53014-2023")</f>
        <v/>
      </c>
      <c r="Y122">
        <f>HYPERLINK("https://klasma.github.io/Logging_2321/tillsynsmail/A 53014-2023 tillsynsbegäran mail.docx", "A 53014-2023")</f>
        <v/>
      </c>
    </row>
    <row r="123" ht="15" customHeight="1">
      <c r="A123" t="inlineStr">
        <is>
          <t>A 54055-2023</t>
        </is>
      </c>
      <c r="B123" s="1" t="n">
        <v>45231</v>
      </c>
      <c r="C123" s="1" t="n">
        <v>45357</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57771-2023</t>
        </is>
      </c>
      <c r="B124" s="1" t="n">
        <v>45246</v>
      </c>
      <c r="C124" s="1" t="n">
        <v>45357</v>
      </c>
      <c r="D124" t="inlineStr">
        <is>
          <t>JÄMTLANDS LÄN</t>
        </is>
      </c>
      <c r="E124" t="inlineStr">
        <is>
          <t>ÅRE</t>
        </is>
      </c>
      <c r="G124" t="n">
        <v>2.1</v>
      </c>
      <c r="H124" t="n">
        <v>0</v>
      </c>
      <c r="I124" t="n">
        <v>0</v>
      </c>
      <c r="J124" t="n">
        <v>2</v>
      </c>
      <c r="K124" t="n">
        <v>0</v>
      </c>
      <c r="L124" t="n">
        <v>0</v>
      </c>
      <c r="M124" t="n">
        <v>0</v>
      </c>
      <c r="N124" t="n">
        <v>0</v>
      </c>
      <c r="O124" t="n">
        <v>2</v>
      </c>
      <c r="P124" t="n">
        <v>0</v>
      </c>
      <c r="Q124" t="n">
        <v>2</v>
      </c>
      <c r="R124" s="2" t="inlineStr">
        <is>
          <t>Granticka
Harticka</t>
        </is>
      </c>
      <c r="S124">
        <f>HYPERLINK("https://klasma.github.io/Logging_2321/artfynd/A 57771-2023 artfynd.xlsx", "A 57771-2023")</f>
        <v/>
      </c>
      <c r="T124">
        <f>HYPERLINK("https://klasma.github.io/Logging_2321/kartor/A 57771-2023 karta.png", "A 57771-2023")</f>
        <v/>
      </c>
      <c r="V124">
        <f>HYPERLINK("https://klasma.github.io/Logging_2321/klagomål/A 57771-2023 FSC-klagomål.docx", "A 57771-2023")</f>
        <v/>
      </c>
      <c r="W124">
        <f>HYPERLINK("https://klasma.github.io/Logging_2321/klagomålsmail/A 57771-2023 FSC-klagomål mail.docx", "A 57771-2023")</f>
        <v/>
      </c>
      <c r="X124">
        <f>HYPERLINK("https://klasma.github.io/Logging_2321/tillsyn/A 57771-2023 tillsynsbegäran.docx", "A 57771-2023")</f>
        <v/>
      </c>
      <c r="Y124">
        <f>HYPERLINK("https://klasma.github.io/Logging_2321/tillsynsmail/A 57771-2023 tillsynsbegäran mail.docx", "A 57771-2023")</f>
        <v/>
      </c>
    </row>
    <row r="125" ht="15" customHeight="1">
      <c r="A125" t="inlineStr">
        <is>
          <t>A 33947-2018</t>
        </is>
      </c>
      <c r="B125" s="1" t="n">
        <v>43314</v>
      </c>
      <c r="C125" s="1" t="n">
        <v>45357</v>
      </c>
      <c r="D125" t="inlineStr">
        <is>
          <t>JÄMTLANDS LÄN</t>
        </is>
      </c>
      <c r="E125" t="inlineStr">
        <is>
          <t>ÅRE</t>
        </is>
      </c>
      <c r="F125" t="inlineStr">
        <is>
          <t>Övriga Aktiebolag</t>
        </is>
      </c>
      <c r="G125" t="n">
        <v>8.5</v>
      </c>
      <c r="H125" t="n">
        <v>0</v>
      </c>
      <c r="I125" t="n">
        <v>0</v>
      </c>
      <c r="J125" t="n">
        <v>0</v>
      </c>
      <c r="K125" t="n">
        <v>1</v>
      </c>
      <c r="L125" t="n">
        <v>0</v>
      </c>
      <c r="M125" t="n">
        <v>0</v>
      </c>
      <c r="N125" t="n">
        <v>0</v>
      </c>
      <c r="O125" t="n">
        <v>1</v>
      </c>
      <c r="P125" t="n">
        <v>1</v>
      </c>
      <c r="Q125" t="n">
        <v>1</v>
      </c>
      <c r="R125" s="2" t="inlineStr">
        <is>
          <t>Norsk näverlav</t>
        </is>
      </c>
      <c r="S125">
        <f>HYPERLINK("https://klasma.github.io/Logging_2321/artfynd/A 33947-2018 artfynd.xlsx", "A 33947-2018")</f>
        <v/>
      </c>
      <c r="T125">
        <f>HYPERLINK("https://klasma.github.io/Logging_2321/kartor/A 33947-2018 karta.png", "A 33947-2018")</f>
        <v/>
      </c>
      <c r="V125">
        <f>HYPERLINK("https://klasma.github.io/Logging_2321/klagomål/A 33947-2018 FSC-klagomål.docx", "A 33947-2018")</f>
        <v/>
      </c>
      <c r="W125">
        <f>HYPERLINK("https://klasma.github.io/Logging_2321/klagomålsmail/A 33947-2018 FSC-klagomål mail.docx", "A 33947-2018")</f>
        <v/>
      </c>
      <c r="X125">
        <f>HYPERLINK("https://klasma.github.io/Logging_2321/tillsyn/A 33947-2018 tillsynsbegäran.docx", "A 33947-2018")</f>
        <v/>
      </c>
      <c r="Y125">
        <f>HYPERLINK("https://klasma.github.io/Logging_2321/tillsynsmail/A 33947-2018 tillsynsbegäran mail.docx", "A 33947-2018")</f>
        <v/>
      </c>
    </row>
    <row r="126" ht="15" customHeight="1">
      <c r="A126" t="inlineStr">
        <is>
          <t>A 64479-2018</t>
        </is>
      </c>
      <c r="B126" s="1" t="n">
        <v>43431</v>
      </c>
      <c r="C126" s="1" t="n">
        <v>45357</v>
      </c>
      <c r="D126" t="inlineStr">
        <is>
          <t>JÄMTLANDS LÄN</t>
        </is>
      </c>
      <c r="E126" t="inlineStr">
        <is>
          <t>ÅRE</t>
        </is>
      </c>
      <c r="G126" t="n">
        <v>10.1</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64479-2018 artfynd.xlsx", "A 64479-2018")</f>
        <v/>
      </c>
      <c r="T126">
        <f>HYPERLINK("https://klasma.github.io/Logging_2321/kartor/A 64479-2018 karta.png", "A 64479-2018")</f>
        <v/>
      </c>
      <c r="V126">
        <f>HYPERLINK("https://klasma.github.io/Logging_2321/klagomål/A 64479-2018 FSC-klagomål.docx", "A 64479-2018")</f>
        <v/>
      </c>
      <c r="W126">
        <f>HYPERLINK("https://klasma.github.io/Logging_2321/klagomålsmail/A 64479-2018 FSC-klagomål mail.docx", "A 64479-2018")</f>
        <v/>
      </c>
      <c r="X126">
        <f>HYPERLINK("https://klasma.github.io/Logging_2321/tillsyn/A 64479-2018 tillsynsbegäran.docx", "A 64479-2018")</f>
        <v/>
      </c>
      <c r="Y126">
        <f>HYPERLINK("https://klasma.github.io/Logging_2321/tillsynsmail/A 64479-2018 tillsynsbegäran mail.docx", "A 64479-2018")</f>
        <v/>
      </c>
      <c r="Z126">
        <f>HYPERLINK("https://klasma.github.io/Logging_2321/fåglar/A 64479-2018 prioriterade fågelarter.docx", "A 64479-2018")</f>
        <v/>
      </c>
    </row>
    <row r="127" ht="15" customHeight="1">
      <c r="A127" t="inlineStr">
        <is>
          <t>A 59825-2019</t>
        </is>
      </c>
      <c r="B127" s="1" t="n">
        <v>43774</v>
      </c>
      <c r="C127" s="1" t="n">
        <v>45357</v>
      </c>
      <c r="D127" t="inlineStr">
        <is>
          <t>JÄMTLANDS LÄN</t>
        </is>
      </c>
      <c r="E127" t="inlineStr">
        <is>
          <t>ÅRE</t>
        </is>
      </c>
      <c r="G127" t="n">
        <v>6.8</v>
      </c>
      <c r="H127" t="n">
        <v>0</v>
      </c>
      <c r="I127" t="n">
        <v>0</v>
      </c>
      <c r="J127" t="n">
        <v>1</v>
      </c>
      <c r="K127" t="n">
        <v>0</v>
      </c>
      <c r="L127" t="n">
        <v>0</v>
      </c>
      <c r="M127" t="n">
        <v>0</v>
      </c>
      <c r="N127" t="n">
        <v>0</v>
      </c>
      <c r="O127" t="n">
        <v>1</v>
      </c>
      <c r="P127" t="n">
        <v>0</v>
      </c>
      <c r="Q127" t="n">
        <v>1</v>
      </c>
      <c r="R127" s="2" t="inlineStr">
        <is>
          <t>Lunglav</t>
        </is>
      </c>
      <c r="S127">
        <f>HYPERLINK("https://klasma.github.io/Logging_2321/artfynd/A 59825-2019 artfynd.xlsx", "A 59825-2019")</f>
        <v/>
      </c>
      <c r="T127">
        <f>HYPERLINK("https://klasma.github.io/Logging_2321/kartor/A 59825-2019 karta.png", "A 59825-2019")</f>
        <v/>
      </c>
      <c r="V127">
        <f>HYPERLINK("https://klasma.github.io/Logging_2321/klagomål/A 59825-2019 FSC-klagomål.docx", "A 59825-2019")</f>
        <v/>
      </c>
      <c r="W127">
        <f>HYPERLINK("https://klasma.github.io/Logging_2321/klagomålsmail/A 59825-2019 FSC-klagomål mail.docx", "A 59825-2019")</f>
        <v/>
      </c>
      <c r="X127">
        <f>HYPERLINK("https://klasma.github.io/Logging_2321/tillsyn/A 59825-2019 tillsynsbegäran.docx", "A 59825-2019")</f>
        <v/>
      </c>
      <c r="Y127">
        <f>HYPERLINK("https://klasma.github.io/Logging_2321/tillsynsmail/A 59825-2019 tillsynsbegäran mail.docx", "A 59825-2019")</f>
        <v/>
      </c>
    </row>
    <row r="128" ht="15" customHeight="1">
      <c r="A128" t="inlineStr">
        <is>
          <t>A 20979-2020</t>
        </is>
      </c>
      <c r="B128" s="1" t="n">
        <v>43950</v>
      </c>
      <c r="C128" s="1" t="n">
        <v>45357</v>
      </c>
      <c r="D128" t="inlineStr">
        <is>
          <t>JÄMTLANDS LÄN</t>
        </is>
      </c>
      <c r="E128" t="inlineStr">
        <is>
          <t>ÅRE</t>
        </is>
      </c>
      <c r="G128" t="n">
        <v>16.5</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20979-2020 artfynd.xlsx", "A 20979-2020")</f>
        <v/>
      </c>
      <c r="T128">
        <f>HYPERLINK("https://klasma.github.io/Logging_2321/kartor/A 20979-2020 karta.png", "A 20979-2020")</f>
        <v/>
      </c>
      <c r="V128">
        <f>HYPERLINK("https://klasma.github.io/Logging_2321/klagomål/A 20979-2020 FSC-klagomål.docx", "A 20979-2020")</f>
        <v/>
      </c>
      <c r="W128">
        <f>HYPERLINK("https://klasma.github.io/Logging_2321/klagomålsmail/A 20979-2020 FSC-klagomål mail.docx", "A 20979-2020")</f>
        <v/>
      </c>
      <c r="X128">
        <f>HYPERLINK("https://klasma.github.io/Logging_2321/tillsyn/A 20979-2020 tillsynsbegäran.docx", "A 20979-2020")</f>
        <v/>
      </c>
      <c r="Y128">
        <f>HYPERLINK("https://klasma.github.io/Logging_2321/tillsynsmail/A 20979-2020 tillsynsbegäran mail.docx", "A 20979-2020")</f>
        <v/>
      </c>
      <c r="Z128">
        <f>HYPERLINK("https://klasma.github.io/Logging_2321/fåglar/A 20979-2020 prioriterade fågelarter.docx", "A 20979-2020")</f>
        <v/>
      </c>
    </row>
    <row r="129" ht="15" customHeight="1">
      <c r="A129" t="inlineStr">
        <is>
          <t>A 29084-2020</t>
        </is>
      </c>
      <c r="B129" s="1" t="n">
        <v>44002</v>
      </c>
      <c r="C129" s="1" t="n">
        <v>45357</v>
      </c>
      <c r="D129" t="inlineStr">
        <is>
          <t>JÄMTLANDS LÄN</t>
        </is>
      </c>
      <c r="E129" t="inlineStr">
        <is>
          <t>ÅRE</t>
        </is>
      </c>
      <c r="G129" t="n">
        <v>15.5</v>
      </c>
      <c r="H129" t="n">
        <v>0</v>
      </c>
      <c r="I129" t="n">
        <v>0</v>
      </c>
      <c r="J129" t="n">
        <v>1</v>
      </c>
      <c r="K129" t="n">
        <v>0</v>
      </c>
      <c r="L129" t="n">
        <v>0</v>
      </c>
      <c r="M129" t="n">
        <v>0</v>
      </c>
      <c r="N129" t="n">
        <v>0</v>
      </c>
      <c r="O129" t="n">
        <v>1</v>
      </c>
      <c r="P129" t="n">
        <v>0</v>
      </c>
      <c r="Q129" t="n">
        <v>1</v>
      </c>
      <c r="R129" s="2" t="inlineStr">
        <is>
          <t>Gränsticka</t>
        </is>
      </c>
      <c r="S129">
        <f>HYPERLINK("https://klasma.github.io/Logging_2321/artfynd/A 29084-2020 artfynd.xlsx", "A 29084-2020")</f>
        <v/>
      </c>
      <c r="T129">
        <f>HYPERLINK("https://klasma.github.io/Logging_2321/kartor/A 29084-2020 karta.png", "A 29084-2020")</f>
        <v/>
      </c>
      <c r="V129">
        <f>HYPERLINK("https://klasma.github.io/Logging_2321/klagomål/A 29084-2020 FSC-klagomål.docx", "A 29084-2020")</f>
        <v/>
      </c>
      <c r="W129">
        <f>HYPERLINK("https://klasma.github.io/Logging_2321/klagomålsmail/A 29084-2020 FSC-klagomål mail.docx", "A 29084-2020")</f>
        <v/>
      </c>
      <c r="X129">
        <f>HYPERLINK("https://klasma.github.io/Logging_2321/tillsyn/A 29084-2020 tillsynsbegäran.docx", "A 29084-2020")</f>
        <v/>
      </c>
      <c r="Y129">
        <f>HYPERLINK("https://klasma.github.io/Logging_2321/tillsynsmail/A 29084-2020 tillsynsbegäran mail.docx", "A 29084-2020")</f>
        <v/>
      </c>
    </row>
    <row r="130" ht="15" customHeight="1">
      <c r="A130" t="inlineStr">
        <is>
          <t>A 46966-2020</t>
        </is>
      </c>
      <c r="B130" s="1" t="n">
        <v>44090</v>
      </c>
      <c r="C130" s="1" t="n">
        <v>45357</v>
      </c>
      <c r="D130" t="inlineStr">
        <is>
          <t>JÄMTLANDS LÄN</t>
        </is>
      </c>
      <c r="E130" t="inlineStr">
        <is>
          <t>ÅRE</t>
        </is>
      </c>
      <c r="G130" t="n">
        <v>13.7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46966-2020 artfynd.xlsx", "A 46966-2020")</f>
        <v/>
      </c>
      <c r="T130">
        <f>HYPERLINK("https://klasma.github.io/Logging_2321/kartor/A 46966-2020 karta.png", "A 46966-2020")</f>
        <v/>
      </c>
      <c r="V130">
        <f>HYPERLINK("https://klasma.github.io/Logging_2321/klagomål/A 46966-2020 FSC-klagomål.docx", "A 46966-2020")</f>
        <v/>
      </c>
      <c r="W130">
        <f>HYPERLINK("https://klasma.github.io/Logging_2321/klagomålsmail/A 46966-2020 FSC-klagomål mail.docx", "A 46966-2020")</f>
        <v/>
      </c>
      <c r="X130">
        <f>HYPERLINK("https://klasma.github.io/Logging_2321/tillsyn/A 46966-2020 tillsynsbegäran.docx", "A 46966-2020")</f>
        <v/>
      </c>
      <c r="Y130">
        <f>HYPERLINK("https://klasma.github.io/Logging_2321/tillsynsmail/A 46966-2020 tillsynsbegäran mail.docx", "A 46966-2020")</f>
        <v/>
      </c>
      <c r="Z130">
        <f>HYPERLINK("https://klasma.github.io/Logging_2321/fåglar/A 46966-2020 prioriterade fågelarter.docx", "A 46966-2020")</f>
        <v/>
      </c>
    </row>
    <row r="131" ht="15" customHeight="1">
      <c r="A131" t="inlineStr">
        <is>
          <t>A 46959-2020</t>
        </is>
      </c>
      <c r="B131" s="1" t="n">
        <v>44090</v>
      </c>
      <c r="C131" s="1" t="n">
        <v>45357</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52542-2020</t>
        </is>
      </c>
      <c r="B132" s="1" t="n">
        <v>44116</v>
      </c>
      <c r="C132" s="1" t="n">
        <v>45357</v>
      </c>
      <c r="D132" t="inlineStr">
        <is>
          <t>JÄMTLANDS LÄN</t>
        </is>
      </c>
      <c r="E132" t="inlineStr">
        <is>
          <t>ÅRE</t>
        </is>
      </c>
      <c r="G132" t="n">
        <v>5.5</v>
      </c>
      <c r="H132" t="n">
        <v>0</v>
      </c>
      <c r="I132" t="n">
        <v>0</v>
      </c>
      <c r="J132" t="n">
        <v>1</v>
      </c>
      <c r="K132" t="n">
        <v>0</v>
      </c>
      <c r="L132" t="n">
        <v>0</v>
      </c>
      <c r="M132" t="n">
        <v>0</v>
      </c>
      <c r="N132" t="n">
        <v>0</v>
      </c>
      <c r="O132" t="n">
        <v>1</v>
      </c>
      <c r="P132" t="n">
        <v>0</v>
      </c>
      <c r="Q132" t="n">
        <v>1</v>
      </c>
      <c r="R132" s="2" t="inlineStr">
        <is>
          <t>Skrovellav</t>
        </is>
      </c>
      <c r="S132">
        <f>HYPERLINK("https://klasma.github.io/Logging_2321/artfynd/A 52542-2020 artfynd.xlsx", "A 52542-2020")</f>
        <v/>
      </c>
      <c r="T132">
        <f>HYPERLINK("https://klasma.github.io/Logging_2321/kartor/A 52542-2020 karta.png", "A 52542-2020")</f>
        <v/>
      </c>
      <c r="V132">
        <f>HYPERLINK("https://klasma.github.io/Logging_2321/klagomål/A 52542-2020 FSC-klagomål.docx", "A 52542-2020")</f>
        <v/>
      </c>
      <c r="W132">
        <f>HYPERLINK("https://klasma.github.io/Logging_2321/klagomålsmail/A 52542-2020 FSC-klagomål mail.docx", "A 52542-2020")</f>
        <v/>
      </c>
      <c r="X132">
        <f>HYPERLINK("https://klasma.github.io/Logging_2321/tillsyn/A 52542-2020 tillsynsbegäran.docx", "A 52542-2020")</f>
        <v/>
      </c>
      <c r="Y132">
        <f>HYPERLINK("https://klasma.github.io/Logging_2321/tillsynsmail/A 52542-2020 tillsynsbegäran mail.docx", "A 52542-2020")</f>
        <v/>
      </c>
    </row>
    <row r="133" ht="15" customHeight="1">
      <c r="A133" t="inlineStr">
        <is>
          <t>A 53598-2020</t>
        </is>
      </c>
      <c r="B133" s="1" t="n">
        <v>44124</v>
      </c>
      <c r="C133" s="1" t="n">
        <v>45357</v>
      </c>
      <c r="D133" t="inlineStr">
        <is>
          <t>JÄMTLANDS LÄN</t>
        </is>
      </c>
      <c r="E133" t="inlineStr">
        <is>
          <t>ÅRE</t>
        </is>
      </c>
      <c r="G133" t="n">
        <v>11.7</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53598-2020 artfynd.xlsx", "A 53598-2020")</f>
        <v/>
      </c>
      <c r="T133">
        <f>HYPERLINK("https://klasma.github.io/Logging_2321/kartor/A 53598-2020 karta.png", "A 53598-2020")</f>
        <v/>
      </c>
      <c r="V133">
        <f>HYPERLINK("https://klasma.github.io/Logging_2321/klagomål/A 53598-2020 FSC-klagomål.docx", "A 53598-2020")</f>
        <v/>
      </c>
      <c r="W133">
        <f>HYPERLINK("https://klasma.github.io/Logging_2321/klagomålsmail/A 53598-2020 FSC-klagomål mail.docx", "A 53598-2020")</f>
        <v/>
      </c>
      <c r="X133">
        <f>HYPERLINK("https://klasma.github.io/Logging_2321/tillsyn/A 53598-2020 tillsynsbegäran.docx", "A 53598-2020")</f>
        <v/>
      </c>
      <c r="Y133">
        <f>HYPERLINK("https://klasma.github.io/Logging_2321/tillsynsmail/A 53598-2020 tillsynsbegäran mail.docx", "A 53598-2020")</f>
        <v/>
      </c>
      <c r="Z133">
        <f>HYPERLINK("https://klasma.github.io/Logging_2321/fåglar/A 53598-2020 prioriterade fågelarter.docx", "A 53598-2020")</f>
        <v/>
      </c>
    </row>
    <row r="134" ht="15" customHeight="1">
      <c r="A134" t="inlineStr">
        <is>
          <t>A 65517-2020</t>
        </is>
      </c>
      <c r="B134" s="1" t="n">
        <v>44173</v>
      </c>
      <c r="C134" s="1" t="n">
        <v>45357</v>
      </c>
      <c r="D134" t="inlineStr">
        <is>
          <t>JÄMTLANDS LÄN</t>
        </is>
      </c>
      <c r="E134" t="inlineStr">
        <is>
          <t>ÅRE</t>
        </is>
      </c>
      <c r="G134" t="n">
        <v>4.6</v>
      </c>
      <c r="H134" t="n">
        <v>0</v>
      </c>
      <c r="I134" t="n">
        <v>0</v>
      </c>
      <c r="J134" t="n">
        <v>1</v>
      </c>
      <c r="K134" t="n">
        <v>0</v>
      </c>
      <c r="L134" t="n">
        <v>0</v>
      </c>
      <c r="M134" t="n">
        <v>0</v>
      </c>
      <c r="N134" t="n">
        <v>0</v>
      </c>
      <c r="O134" t="n">
        <v>1</v>
      </c>
      <c r="P134" t="n">
        <v>0</v>
      </c>
      <c r="Q134" t="n">
        <v>1</v>
      </c>
      <c r="R134" s="2" t="inlineStr">
        <is>
          <t>Doftskinn</t>
        </is>
      </c>
      <c r="S134">
        <f>HYPERLINK("https://klasma.github.io/Logging_2321/artfynd/A 65517-2020 artfynd.xlsx", "A 65517-2020")</f>
        <v/>
      </c>
      <c r="T134">
        <f>HYPERLINK("https://klasma.github.io/Logging_2321/kartor/A 65517-2020 karta.png", "A 65517-2020")</f>
        <v/>
      </c>
      <c r="V134">
        <f>HYPERLINK("https://klasma.github.io/Logging_2321/klagomål/A 65517-2020 FSC-klagomål.docx", "A 65517-2020")</f>
        <v/>
      </c>
      <c r="W134">
        <f>HYPERLINK("https://klasma.github.io/Logging_2321/klagomålsmail/A 65517-2020 FSC-klagomål mail.docx", "A 65517-2020")</f>
        <v/>
      </c>
      <c r="X134">
        <f>HYPERLINK("https://klasma.github.io/Logging_2321/tillsyn/A 65517-2020 tillsynsbegäran.docx", "A 65517-2020")</f>
        <v/>
      </c>
      <c r="Y134">
        <f>HYPERLINK("https://klasma.github.io/Logging_2321/tillsynsmail/A 65517-2020 tillsynsbegäran mail.docx", "A 65517-2020")</f>
        <v/>
      </c>
    </row>
    <row r="135" ht="15" customHeight="1">
      <c r="A135" t="inlineStr">
        <is>
          <t>A 65446-2020</t>
        </is>
      </c>
      <c r="B135" s="1" t="n">
        <v>44173</v>
      </c>
      <c r="C135" s="1" t="n">
        <v>45357</v>
      </c>
      <c r="D135" t="inlineStr">
        <is>
          <t>JÄMTLANDS LÄN</t>
        </is>
      </c>
      <c r="E135" t="inlineStr">
        <is>
          <t>ÅRE</t>
        </is>
      </c>
      <c r="G135" t="n">
        <v>7.2</v>
      </c>
      <c r="H135" t="n">
        <v>0</v>
      </c>
      <c r="I135" t="n">
        <v>0</v>
      </c>
      <c r="J135" t="n">
        <v>1</v>
      </c>
      <c r="K135" t="n">
        <v>0</v>
      </c>
      <c r="L135" t="n">
        <v>0</v>
      </c>
      <c r="M135" t="n">
        <v>0</v>
      </c>
      <c r="N135" t="n">
        <v>0</v>
      </c>
      <c r="O135" t="n">
        <v>1</v>
      </c>
      <c r="P135" t="n">
        <v>0</v>
      </c>
      <c r="Q135" t="n">
        <v>1</v>
      </c>
      <c r="R135" s="2" t="inlineStr">
        <is>
          <t>Ullticka</t>
        </is>
      </c>
      <c r="S135">
        <f>HYPERLINK("https://klasma.github.io/Logging_2321/artfynd/A 65446-2020 artfynd.xlsx", "A 65446-2020")</f>
        <v/>
      </c>
      <c r="T135">
        <f>HYPERLINK("https://klasma.github.io/Logging_2321/kartor/A 65446-2020 karta.png", "A 65446-2020")</f>
        <v/>
      </c>
      <c r="V135">
        <f>HYPERLINK("https://klasma.github.io/Logging_2321/klagomål/A 65446-2020 FSC-klagomål.docx", "A 65446-2020")</f>
        <v/>
      </c>
      <c r="W135">
        <f>HYPERLINK("https://klasma.github.io/Logging_2321/klagomålsmail/A 65446-2020 FSC-klagomål mail.docx", "A 65446-2020")</f>
        <v/>
      </c>
      <c r="X135">
        <f>HYPERLINK("https://klasma.github.io/Logging_2321/tillsyn/A 65446-2020 tillsynsbegäran.docx", "A 65446-2020")</f>
        <v/>
      </c>
      <c r="Y135">
        <f>HYPERLINK("https://klasma.github.io/Logging_2321/tillsynsmail/A 65446-2020 tillsynsbegäran mail.docx", "A 65446-2020")</f>
        <v/>
      </c>
    </row>
    <row r="136" ht="15" customHeight="1">
      <c r="A136" t="inlineStr">
        <is>
          <t>A 2422-2021</t>
        </is>
      </c>
      <c r="B136" s="1" t="n">
        <v>44214</v>
      </c>
      <c r="C136" s="1" t="n">
        <v>45357</v>
      </c>
      <c r="D136" t="inlineStr">
        <is>
          <t>JÄMTLANDS LÄN</t>
        </is>
      </c>
      <c r="E136" t="inlineStr">
        <is>
          <t>ÅRE</t>
        </is>
      </c>
      <c r="G136" t="n">
        <v>3.3</v>
      </c>
      <c r="H136" t="n">
        <v>1</v>
      </c>
      <c r="I136" t="n">
        <v>0</v>
      </c>
      <c r="J136" t="n">
        <v>0</v>
      </c>
      <c r="K136" t="n">
        <v>0</v>
      </c>
      <c r="L136" t="n">
        <v>0</v>
      </c>
      <c r="M136" t="n">
        <v>0</v>
      </c>
      <c r="N136" t="n">
        <v>0</v>
      </c>
      <c r="O136" t="n">
        <v>0</v>
      </c>
      <c r="P136" t="n">
        <v>0</v>
      </c>
      <c r="Q136" t="n">
        <v>1</v>
      </c>
      <c r="R136" s="2" t="inlineStr">
        <is>
          <t>Fläcknycklar</t>
        </is>
      </c>
      <c r="S136">
        <f>HYPERLINK("https://klasma.github.io/Logging_2321/artfynd/A 2422-2021 artfynd.xlsx", "A 2422-2021")</f>
        <v/>
      </c>
      <c r="T136">
        <f>HYPERLINK("https://klasma.github.io/Logging_2321/kartor/A 2422-2021 karta.png", "A 2422-2021")</f>
        <v/>
      </c>
      <c r="V136">
        <f>HYPERLINK("https://klasma.github.io/Logging_2321/klagomål/A 2422-2021 FSC-klagomål.docx", "A 2422-2021")</f>
        <v/>
      </c>
      <c r="W136">
        <f>HYPERLINK("https://klasma.github.io/Logging_2321/klagomålsmail/A 2422-2021 FSC-klagomål mail.docx", "A 2422-2021")</f>
        <v/>
      </c>
      <c r="X136">
        <f>HYPERLINK("https://klasma.github.io/Logging_2321/tillsyn/A 2422-2021 tillsynsbegäran.docx", "A 2422-2021")</f>
        <v/>
      </c>
      <c r="Y136">
        <f>HYPERLINK("https://klasma.github.io/Logging_2321/tillsynsmail/A 2422-2021 tillsynsbegäran mail.docx", "A 2422-2021")</f>
        <v/>
      </c>
    </row>
    <row r="137" ht="15" customHeight="1">
      <c r="A137" t="inlineStr">
        <is>
          <t>A 11781-2021</t>
        </is>
      </c>
      <c r="B137" s="1" t="n">
        <v>44265</v>
      </c>
      <c r="C137" s="1" t="n">
        <v>45357</v>
      </c>
      <c r="D137" t="inlineStr">
        <is>
          <t>JÄMTLANDS LÄN</t>
        </is>
      </c>
      <c r="E137" t="inlineStr">
        <is>
          <t>ÅRE</t>
        </is>
      </c>
      <c r="G137" t="n">
        <v>4.1</v>
      </c>
      <c r="H137" t="n">
        <v>0</v>
      </c>
      <c r="I137" t="n">
        <v>1</v>
      </c>
      <c r="J137" t="n">
        <v>0</v>
      </c>
      <c r="K137" t="n">
        <v>0</v>
      </c>
      <c r="L137" t="n">
        <v>0</v>
      </c>
      <c r="M137" t="n">
        <v>0</v>
      </c>
      <c r="N137" t="n">
        <v>0</v>
      </c>
      <c r="O137" t="n">
        <v>0</v>
      </c>
      <c r="P137" t="n">
        <v>0</v>
      </c>
      <c r="Q137" t="n">
        <v>1</v>
      </c>
      <c r="R137" s="2" t="inlineStr">
        <is>
          <t>Finbräken</t>
        </is>
      </c>
      <c r="S137">
        <f>HYPERLINK("https://klasma.github.io/Logging_2321/artfynd/A 11781-2021 artfynd.xlsx", "A 11781-2021")</f>
        <v/>
      </c>
      <c r="T137">
        <f>HYPERLINK("https://klasma.github.io/Logging_2321/kartor/A 11781-2021 karta.png", "A 11781-2021")</f>
        <v/>
      </c>
      <c r="V137">
        <f>HYPERLINK("https://klasma.github.io/Logging_2321/klagomål/A 11781-2021 FSC-klagomål.docx", "A 11781-2021")</f>
        <v/>
      </c>
      <c r="W137">
        <f>HYPERLINK("https://klasma.github.io/Logging_2321/klagomålsmail/A 11781-2021 FSC-klagomål mail.docx", "A 11781-2021")</f>
        <v/>
      </c>
      <c r="X137">
        <f>HYPERLINK("https://klasma.github.io/Logging_2321/tillsyn/A 11781-2021 tillsynsbegäran.docx", "A 11781-2021")</f>
        <v/>
      </c>
      <c r="Y137">
        <f>HYPERLINK("https://klasma.github.io/Logging_2321/tillsynsmail/A 11781-2021 tillsynsbegäran mail.docx", "A 11781-2021")</f>
        <v/>
      </c>
    </row>
    <row r="138" ht="15" customHeight="1">
      <c r="A138" t="inlineStr">
        <is>
          <t>A 11767-2021</t>
        </is>
      </c>
      <c r="B138" s="1" t="n">
        <v>44265</v>
      </c>
      <c r="C138" s="1" t="n">
        <v>45357</v>
      </c>
      <c r="D138" t="inlineStr">
        <is>
          <t>JÄMTLANDS LÄN</t>
        </is>
      </c>
      <c r="E138" t="inlineStr">
        <is>
          <t>ÅRE</t>
        </is>
      </c>
      <c r="G138" t="n">
        <v>15.4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11767-2021 artfynd.xlsx", "A 11767-2021")</f>
        <v/>
      </c>
      <c r="T138">
        <f>HYPERLINK("https://klasma.github.io/Logging_2321/kartor/A 11767-2021 karta.png", "A 11767-2021")</f>
        <v/>
      </c>
      <c r="V138">
        <f>HYPERLINK("https://klasma.github.io/Logging_2321/klagomål/A 11767-2021 FSC-klagomål.docx", "A 11767-2021")</f>
        <v/>
      </c>
      <c r="W138">
        <f>HYPERLINK("https://klasma.github.io/Logging_2321/klagomålsmail/A 11767-2021 FSC-klagomål mail.docx", "A 11767-2021")</f>
        <v/>
      </c>
      <c r="X138">
        <f>HYPERLINK("https://klasma.github.io/Logging_2321/tillsyn/A 11767-2021 tillsynsbegäran.docx", "A 11767-2021")</f>
        <v/>
      </c>
      <c r="Y138">
        <f>HYPERLINK("https://klasma.github.io/Logging_2321/tillsynsmail/A 11767-2021 tillsynsbegäran mail.docx", "A 11767-2021")</f>
        <v/>
      </c>
      <c r="Z138">
        <f>HYPERLINK("https://klasma.github.io/Logging_2321/fåglar/A 11767-2021 prioriterade fågelarter.docx", "A 11767-2021")</f>
        <v/>
      </c>
    </row>
    <row r="139" ht="15" customHeight="1">
      <c r="A139" t="inlineStr">
        <is>
          <t>A 12970-2021</t>
        </is>
      </c>
      <c r="B139" s="1" t="n">
        <v>44271</v>
      </c>
      <c r="C139" s="1" t="n">
        <v>45357</v>
      </c>
      <c r="D139" t="inlineStr">
        <is>
          <t>JÄMTLANDS LÄN</t>
        </is>
      </c>
      <c r="E139" t="inlineStr">
        <is>
          <t>ÅRE</t>
        </is>
      </c>
      <c r="G139" t="n">
        <v>20.5</v>
      </c>
      <c r="H139" t="n">
        <v>1</v>
      </c>
      <c r="I139" t="n">
        <v>1</v>
      </c>
      <c r="J139" t="n">
        <v>0</v>
      </c>
      <c r="K139" t="n">
        <v>0</v>
      </c>
      <c r="L139" t="n">
        <v>0</v>
      </c>
      <c r="M139" t="n">
        <v>0</v>
      </c>
      <c r="N139" t="n">
        <v>0</v>
      </c>
      <c r="O139" t="n">
        <v>0</v>
      </c>
      <c r="P139" t="n">
        <v>0</v>
      </c>
      <c r="Q139" t="n">
        <v>1</v>
      </c>
      <c r="R139" s="2" t="inlineStr">
        <is>
          <t>Spindelblomster</t>
        </is>
      </c>
      <c r="S139">
        <f>HYPERLINK("https://klasma.github.io/Logging_2321/artfynd/A 12970-2021 artfynd.xlsx", "A 12970-2021")</f>
        <v/>
      </c>
      <c r="T139">
        <f>HYPERLINK("https://klasma.github.io/Logging_2321/kartor/A 12970-2021 karta.png", "A 12970-2021")</f>
        <v/>
      </c>
      <c r="V139">
        <f>HYPERLINK("https://klasma.github.io/Logging_2321/klagomål/A 12970-2021 FSC-klagomål.docx", "A 12970-2021")</f>
        <v/>
      </c>
      <c r="W139">
        <f>HYPERLINK("https://klasma.github.io/Logging_2321/klagomålsmail/A 12970-2021 FSC-klagomål mail.docx", "A 12970-2021")</f>
        <v/>
      </c>
      <c r="X139">
        <f>HYPERLINK("https://klasma.github.io/Logging_2321/tillsyn/A 12970-2021 tillsynsbegäran.docx", "A 12970-2021")</f>
        <v/>
      </c>
      <c r="Y139">
        <f>HYPERLINK("https://klasma.github.io/Logging_2321/tillsynsmail/A 12970-2021 tillsynsbegäran mail.docx", "A 12970-2021")</f>
        <v/>
      </c>
    </row>
    <row r="140" ht="15" customHeight="1">
      <c r="A140" t="inlineStr">
        <is>
          <t>A 18543-2021</t>
        </is>
      </c>
      <c r="B140" s="1" t="n">
        <v>44306</v>
      </c>
      <c r="C140" s="1" t="n">
        <v>45357</v>
      </c>
      <c r="D140" t="inlineStr">
        <is>
          <t>JÄMTLANDS LÄN</t>
        </is>
      </c>
      <c r="E140" t="inlineStr">
        <is>
          <t>ÅRE</t>
        </is>
      </c>
      <c r="G140" t="n">
        <v>1.7</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18543-2021 artfynd.xlsx", "A 18543-2021")</f>
        <v/>
      </c>
      <c r="T140">
        <f>HYPERLINK("https://klasma.github.io/Logging_2321/kartor/A 18543-2021 karta.png", "A 18543-2021")</f>
        <v/>
      </c>
      <c r="V140">
        <f>HYPERLINK("https://klasma.github.io/Logging_2321/klagomål/A 18543-2021 FSC-klagomål.docx", "A 18543-2021")</f>
        <v/>
      </c>
      <c r="W140">
        <f>HYPERLINK("https://klasma.github.io/Logging_2321/klagomålsmail/A 18543-2021 FSC-klagomål mail.docx", "A 18543-2021")</f>
        <v/>
      </c>
      <c r="X140">
        <f>HYPERLINK("https://klasma.github.io/Logging_2321/tillsyn/A 18543-2021 tillsynsbegäran.docx", "A 18543-2021")</f>
        <v/>
      </c>
      <c r="Y140">
        <f>HYPERLINK("https://klasma.github.io/Logging_2321/tillsynsmail/A 18543-2021 tillsynsbegäran mail.docx", "A 18543-2021")</f>
        <v/>
      </c>
      <c r="Z140">
        <f>HYPERLINK("https://klasma.github.io/Logging_2321/fåglar/A 18543-2021 prioriterade fågelarter.docx", "A 18543-2021")</f>
        <v/>
      </c>
    </row>
    <row r="141" ht="15" customHeight="1">
      <c r="A141" t="inlineStr">
        <is>
          <t>A 20500-2021</t>
        </is>
      </c>
      <c r="B141" s="1" t="n">
        <v>44315</v>
      </c>
      <c r="C141" s="1" t="n">
        <v>45357</v>
      </c>
      <c r="D141" t="inlineStr">
        <is>
          <t>JÄMTLANDS LÄN</t>
        </is>
      </c>
      <c r="E141" t="inlineStr">
        <is>
          <t>ÅRE</t>
        </is>
      </c>
      <c r="G141" t="n">
        <v>3</v>
      </c>
      <c r="H141" t="n">
        <v>0</v>
      </c>
      <c r="I141" t="n">
        <v>1</v>
      </c>
      <c r="J141" t="n">
        <v>0</v>
      </c>
      <c r="K141" t="n">
        <v>0</v>
      </c>
      <c r="L141" t="n">
        <v>0</v>
      </c>
      <c r="M141" t="n">
        <v>0</v>
      </c>
      <c r="N141" t="n">
        <v>0</v>
      </c>
      <c r="O141" t="n">
        <v>0</v>
      </c>
      <c r="P141" t="n">
        <v>0</v>
      </c>
      <c r="Q141" t="n">
        <v>1</v>
      </c>
      <c r="R141" s="2" t="inlineStr">
        <is>
          <t>Svart trolldruva</t>
        </is>
      </c>
      <c r="S141">
        <f>HYPERLINK("https://klasma.github.io/Logging_2321/artfynd/A 20500-2021 artfynd.xlsx", "A 20500-2021")</f>
        <v/>
      </c>
      <c r="T141">
        <f>HYPERLINK("https://klasma.github.io/Logging_2321/kartor/A 20500-2021 karta.png", "A 20500-2021")</f>
        <v/>
      </c>
      <c r="V141">
        <f>HYPERLINK("https://klasma.github.io/Logging_2321/klagomål/A 20500-2021 FSC-klagomål.docx", "A 20500-2021")</f>
        <v/>
      </c>
      <c r="W141">
        <f>HYPERLINK("https://klasma.github.io/Logging_2321/klagomålsmail/A 20500-2021 FSC-klagomål mail.docx", "A 20500-2021")</f>
        <v/>
      </c>
      <c r="X141">
        <f>HYPERLINK("https://klasma.github.io/Logging_2321/tillsyn/A 20500-2021 tillsynsbegäran.docx", "A 20500-2021")</f>
        <v/>
      </c>
      <c r="Y141">
        <f>HYPERLINK("https://klasma.github.io/Logging_2321/tillsynsmail/A 20500-2021 tillsynsbegäran mail.docx", "A 20500-2021")</f>
        <v/>
      </c>
    </row>
    <row r="142" ht="15" customHeight="1">
      <c r="A142" t="inlineStr">
        <is>
          <t>A 23556-2021</t>
        </is>
      </c>
      <c r="B142" s="1" t="n">
        <v>44334</v>
      </c>
      <c r="C142" s="1" t="n">
        <v>45357</v>
      </c>
      <c r="D142" t="inlineStr">
        <is>
          <t>JÄMTLANDS LÄN</t>
        </is>
      </c>
      <c r="E142" t="inlineStr">
        <is>
          <t>ÅRE</t>
        </is>
      </c>
      <c r="G142" t="n">
        <v>11.1</v>
      </c>
      <c r="H142" t="n">
        <v>1</v>
      </c>
      <c r="I142" t="n">
        <v>1</v>
      </c>
      <c r="J142" t="n">
        <v>0</v>
      </c>
      <c r="K142" t="n">
        <v>0</v>
      </c>
      <c r="L142" t="n">
        <v>0</v>
      </c>
      <c r="M142" t="n">
        <v>0</v>
      </c>
      <c r="N142" t="n">
        <v>0</v>
      </c>
      <c r="O142" t="n">
        <v>0</v>
      </c>
      <c r="P142" t="n">
        <v>0</v>
      </c>
      <c r="Q142" t="n">
        <v>1</v>
      </c>
      <c r="R142" s="2" t="inlineStr">
        <is>
          <t>Tvåblad</t>
        </is>
      </c>
      <c r="S142">
        <f>HYPERLINK("https://klasma.github.io/Logging_2321/artfynd/A 23556-2021 artfynd.xlsx", "A 23556-2021")</f>
        <v/>
      </c>
      <c r="T142">
        <f>HYPERLINK("https://klasma.github.io/Logging_2321/kartor/A 23556-2021 karta.png", "A 23556-2021")</f>
        <v/>
      </c>
      <c r="V142">
        <f>HYPERLINK("https://klasma.github.io/Logging_2321/klagomål/A 23556-2021 FSC-klagomål.docx", "A 23556-2021")</f>
        <v/>
      </c>
      <c r="W142">
        <f>HYPERLINK("https://klasma.github.io/Logging_2321/klagomålsmail/A 23556-2021 FSC-klagomål mail.docx", "A 23556-2021")</f>
        <v/>
      </c>
      <c r="X142">
        <f>HYPERLINK("https://klasma.github.io/Logging_2321/tillsyn/A 23556-2021 tillsynsbegäran.docx", "A 23556-2021")</f>
        <v/>
      </c>
      <c r="Y142">
        <f>HYPERLINK("https://klasma.github.io/Logging_2321/tillsynsmail/A 23556-2021 tillsynsbegäran mail.docx", "A 23556-2021")</f>
        <v/>
      </c>
    </row>
    <row r="143" ht="15" customHeight="1">
      <c r="A143" t="inlineStr">
        <is>
          <t>A 37082-2021</t>
        </is>
      </c>
      <c r="B143" s="1" t="n">
        <v>44395</v>
      </c>
      <c r="C143" s="1" t="n">
        <v>45357</v>
      </c>
      <c r="D143" t="inlineStr">
        <is>
          <t>JÄMTLANDS LÄN</t>
        </is>
      </c>
      <c r="E143" t="inlineStr">
        <is>
          <t>ÅRE</t>
        </is>
      </c>
      <c r="G143" t="n">
        <v>14.6</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37082-2021 artfynd.xlsx", "A 37082-2021")</f>
        <v/>
      </c>
      <c r="T143">
        <f>HYPERLINK("https://klasma.github.io/Logging_2321/kartor/A 37082-2021 karta.png", "A 37082-2021")</f>
        <v/>
      </c>
      <c r="V143">
        <f>HYPERLINK("https://klasma.github.io/Logging_2321/klagomål/A 37082-2021 FSC-klagomål.docx", "A 37082-2021")</f>
        <v/>
      </c>
      <c r="W143">
        <f>HYPERLINK("https://klasma.github.io/Logging_2321/klagomålsmail/A 37082-2021 FSC-klagomål mail.docx", "A 37082-2021")</f>
        <v/>
      </c>
      <c r="X143">
        <f>HYPERLINK("https://klasma.github.io/Logging_2321/tillsyn/A 37082-2021 tillsynsbegäran.docx", "A 37082-2021")</f>
        <v/>
      </c>
      <c r="Y143">
        <f>HYPERLINK("https://klasma.github.io/Logging_2321/tillsynsmail/A 37082-2021 tillsynsbegäran mail.docx", "A 37082-2021")</f>
        <v/>
      </c>
      <c r="Z143">
        <f>HYPERLINK("https://klasma.github.io/Logging_2321/fåglar/A 37082-2021 prioriterade fågelarter.docx", "A 37082-2021")</f>
        <v/>
      </c>
    </row>
    <row r="144" ht="15" customHeight="1">
      <c r="A144" t="inlineStr">
        <is>
          <t>A 56193-2021</t>
        </is>
      </c>
      <c r="B144" s="1" t="n">
        <v>44477</v>
      </c>
      <c r="C144" s="1" t="n">
        <v>45357</v>
      </c>
      <c r="D144" t="inlineStr">
        <is>
          <t>JÄMTLANDS LÄN</t>
        </is>
      </c>
      <c r="E144" t="inlineStr">
        <is>
          <t>ÅRE</t>
        </is>
      </c>
      <c r="F144" t="inlineStr">
        <is>
          <t>Övriga Aktiebolag</t>
        </is>
      </c>
      <c r="G144" t="n">
        <v>15.5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56193-2021 artfynd.xlsx", "A 56193-2021")</f>
        <v/>
      </c>
      <c r="T144">
        <f>HYPERLINK("https://klasma.github.io/Logging_2321/kartor/A 56193-2021 karta.png", "A 56193-2021")</f>
        <v/>
      </c>
      <c r="V144">
        <f>HYPERLINK("https://klasma.github.io/Logging_2321/klagomål/A 56193-2021 FSC-klagomål.docx", "A 56193-2021")</f>
        <v/>
      </c>
      <c r="W144">
        <f>HYPERLINK("https://klasma.github.io/Logging_2321/klagomålsmail/A 56193-2021 FSC-klagomål mail.docx", "A 56193-2021")</f>
        <v/>
      </c>
      <c r="X144">
        <f>HYPERLINK("https://klasma.github.io/Logging_2321/tillsyn/A 56193-2021 tillsynsbegäran.docx", "A 56193-2021")</f>
        <v/>
      </c>
      <c r="Y144">
        <f>HYPERLINK("https://klasma.github.io/Logging_2321/tillsynsmail/A 56193-2021 tillsynsbegäran mail.docx", "A 56193-2021")</f>
        <v/>
      </c>
      <c r="Z144">
        <f>HYPERLINK("https://klasma.github.io/Logging_2321/fåglar/A 56193-2021 prioriterade fågelarter.docx", "A 56193-2021")</f>
        <v/>
      </c>
    </row>
    <row r="145" ht="15" customHeight="1">
      <c r="A145" t="inlineStr">
        <is>
          <t>A 58117-2021</t>
        </is>
      </c>
      <c r="B145" s="1" t="n">
        <v>44487</v>
      </c>
      <c r="C145" s="1" t="n">
        <v>45357</v>
      </c>
      <c r="D145" t="inlineStr">
        <is>
          <t>JÄMTLANDS LÄN</t>
        </is>
      </c>
      <c r="E145" t="inlineStr">
        <is>
          <t>ÅRE</t>
        </is>
      </c>
      <c r="G145" t="n">
        <v>40.9</v>
      </c>
      <c r="H145" t="n">
        <v>0</v>
      </c>
      <c r="I145" t="n">
        <v>1</v>
      </c>
      <c r="J145" t="n">
        <v>0</v>
      </c>
      <c r="K145" t="n">
        <v>0</v>
      </c>
      <c r="L145" t="n">
        <v>0</v>
      </c>
      <c r="M145" t="n">
        <v>0</v>
      </c>
      <c r="N145" t="n">
        <v>0</v>
      </c>
      <c r="O145" t="n">
        <v>0</v>
      </c>
      <c r="P145" t="n">
        <v>0</v>
      </c>
      <c r="Q145" t="n">
        <v>1</v>
      </c>
      <c r="R145" s="2" t="inlineStr">
        <is>
          <t>Stuplav</t>
        </is>
      </c>
      <c r="S145">
        <f>HYPERLINK("https://klasma.github.io/Logging_2321/artfynd/A 58117-2021 artfynd.xlsx", "A 58117-2021")</f>
        <v/>
      </c>
      <c r="T145">
        <f>HYPERLINK("https://klasma.github.io/Logging_2321/kartor/A 58117-2021 karta.png", "A 58117-2021")</f>
        <v/>
      </c>
      <c r="V145">
        <f>HYPERLINK("https://klasma.github.io/Logging_2321/klagomål/A 58117-2021 FSC-klagomål.docx", "A 58117-2021")</f>
        <v/>
      </c>
      <c r="W145">
        <f>HYPERLINK("https://klasma.github.io/Logging_2321/klagomålsmail/A 58117-2021 FSC-klagomål mail.docx", "A 58117-2021")</f>
        <v/>
      </c>
      <c r="X145">
        <f>HYPERLINK("https://klasma.github.io/Logging_2321/tillsyn/A 58117-2021 tillsynsbegäran.docx", "A 58117-2021")</f>
        <v/>
      </c>
      <c r="Y145">
        <f>HYPERLINK("https://klasma.github.io/Logging_2321/tillsynsmail/A 58117-2021 tillsynsbegäran mail.docx", "A 58117-2021")</f>
        <v/>
      </c>
    </row>
    <row r="146" ht="15" customHeight="1">
      <c r="A146" t="inlineStr">
        <is>
          <t>A 58239-2021</t>
        </is>
      </c>
      <c r="B146" s="1" t="n">
        <v>44487</v>
      </c>
      <c r="C146" s="1" t="n">
        <v>45357</v>
      </c>
      <c r="D146" t="inlineStr">
        <is>
          <t>JÄMTLANDS LÄN</t>
        </is>
      </c>
      <c r="E146" t="inlineStr">
        <is>
          <t>ÅRE</t>
        </is>
      </c>
      <c r="G146" t="n">
        <v>25</v>
      </c>
      <c r="H146" t="n">
        <v>0</v>
      </c>
      <c r="I146" t="n">
        <v>0</v>
      </c>
      <c r="J146" t="n">
        <v>0</v>
      </c>
      <c r="K146" t="n">
        <v>1</v>
      </c>
      <c r="L146" t="n">
        <v>0</v>
      </c>
      <c r="M146" t="n">
        <v>0</v>
      </c>
      <c r="N146" t="n">
        <v>0</v>
      </c>
      <c r="O146" t="n">
        <v>1</v>
      </c>
      <c r="P146" t="n">
        <v>1</v>
      </c>
      <c r="Q146" t="n">
        <v>1</v>
      </c>
      <c r="R146" s="2" t="inlineStr">
        <is>
          <t>Rynkskinn</t>
        </is>
      </c>
      <c r="S146">
        <f>HYPERLINK("https://klasma.github.io/Logging_2321/artfynd/A 58239-2021 artfynd.xlsx", "A 58239-2021")</f>
        <v/>
      </c>
      <c r="T146">
        <f>HYPERLINK("https://klasma.github.io/Logging_2321/kartor/A 58239-2021 karta.png", "A 58239-2021")</f>
        <v/>
      </c>
      <c r="V146">
        <f>HYPERLINK("https://klasma.github.io/Logging_2321/klagomål/A 58239-2021 FSC-klagomål.docx", "A 58239-2021")</f>
        <v/>
      </c>
      <c r="W146">
        <f>HYPERLINK("https://klasma.github.io/Logging_2321/klagomålsmail/A 58239-2021 FSC-klagomål mail.docx", "A 58239-2021")</f>
        <v/>
      </c>
      <c r="X146">
        <f>HYPERLINK("https://klasma.github.io/Logging_2321/tillsyn/A 58239-2021 tillsynsbegäran.docx", "A 58239-2021")</f>
        <v/>
      </c>
      <c r="Y146">
        <f>HYPERLINK("https://klasma.github.io/Logging_2321/tillsynsmail/A 58239-2021 tillsynsbegäran mail.docx", "A 58239-2021")</f>
        <v/>
      </c>
    </row>
    <row r="147" ht="15" customHeight="1">
      <c r="A147" t="inlineStr">
        <is>
          <t>A 58226-2021</t>
        </is>
      </c>
      <c r="B147" s="1" t="n">
        <v>44487</v>
      </c>
      <c r="C147" s="1" t="n">
        <v>45357</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62188-2021</t>
        </is>
      </c>
      <c r="B148" s="1" t="n">
        <v>44502</v>
      </c>
      <c r="C148" s="1" t="n">
        <v>45357</v>
      </c>
      <c r="D148" t="inlineStr">
        <is>
          <t>JÄMTLANDS LÄN</t>
        </is>
      </c>
      <c r="E148" t="inlineStr">
        <is>
          <t>ÅRE</t>
        </is>
      </c>
      <c r="G148" t="n">
        <v>2.5</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62188-2021 artfynd.xlsx", "A 62188-2021")</f>
        <v/>
      </c>
      <c r="T148">
        <f>HYPERLINK("https://klasma.github.io/Logging_2321/kartor/A 62188-2021 karta.png", "A 62188-2021")</f>
        <v/>
      </c>
      <c r="V148">
        <f>HYPERLINK("https://klasma.github.io/Logging_2321/klagomål/A 62188-2021 FSC-klagomål.docx", "A 62188-2021")</f>
        <v/>
      </c>
      <c r="W148">
        <f>HYPERLINK("https://klasma.github.io/Logging_2321/klagomålsmail/A 62188-2021 FSC-klagomål mail.docx", "A 62188-2021")</f>
        <v/>
      </c>
      <c r="X148">
        <f>HYPERLINK("https://klasma.github.io/Logging_2321/tillsyn/A 62188-2021 tillsynsbegäran.docx", "A 62188-2021")</f>
        <v/>
      </c>
      <c r="Y148">
        <f>HYPERLINK("https://klasma.github.io/Logging_2321/tillsynsmail/A 62188-2021 tillsynsbegäran mail.docx", "A 62188-2021")</f>
        <v/>
      </c>
    </row>
    <row r="149" ht="15" customHeight="1">
      <c r="A149" t="inlineStr">
        <is>
          <t>A 63975-2021</t>
        </is>
      </c>
      <c r="B149" s="1" t="n">
        <v>44509</v>
      </c>
      <c r="C149" s="1" t="n">
        <v>45357</v>
      </c>
      <c r="D149" t="inlineStr">
        <is>
          <t>JÄMTLANDS LÄN</t>
        </is>
      </c>
      <c r="E149" t="inlineStr">
        <is>
          <t>ÅRE</t>
        </is>
      </c>
      <c r="G149" t="n">
        <v>2.4</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63975-2021 artfynd.xlsx", "A 63975-2021")</f>
        <v/>
      </c>
      <c r="T149">
        <f>HYPERLINK("https://klasma.github.io/Logging_2321/kartor/A 63975-2021 karta.png", "A 63975-2021")</f>
        <v/>
      </c>
      <c r="V149">
        <f>HYPERLINK("https://klasma.github.io/Logging_2321/klagomål/A 63975-2021 FSC-klagomål.docx", "A 63975-2021")</f>
        <v/>
      </c>
      <c r="W149">
        <f>HYPERLINK("https://klasma.github.io/Logging_2321/klagomålsmail/A 63975-2021 FSC-klagomål mail.docx", "A 63975-2021")</f>
        <v/>
      </c>
      <c r="X149">
        <f>HYPERLINK("https://klasma.github.io/Logging_2321/tillsyn/A 63975-2021 tillsynsbegäran.docx", "A 63975-2021")</f>
        <v/>
      </c>
      <c r="Y149">
        <f>HYPERLINK("https://klasma.github.io/Logging_2321/tillsynsmail/A 63975-2021 tillsynsbegäran mail.docx", "A 63975-2021")</f>
        <v/>
      </c>
    </row>
    <row r="150" ht="15" customHeight="1">
      <c r="A150" t="inlineStr">
        <is>
          <t>A 74392-2021</t>
        </is>
      </c>
      <c r="B150" s="1" t="n">
        <v>44559</v>
      </c>
      <c r="C150" s="1" t="n">
        <v>45357</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12242-2022</t>
        </is>
      </c>
      <c r="B151" s="1" t="n">
        <v>44637</v>
      </c>
      <c r="C151" s="1" t="n">
        <v>45357</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17692-2022</t>
        </is>
      </c>
      <c r="B152" s="1" t="n">
        <v>44680</v>
      </c>
      <c r="C152" s="1" t="n">
        <v>45357</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18851-2022</t>
        </is>
      </c>
      <c r="B153" s="1" t="n">
        <v>44690</v>
      </c>
      <c r="C153" s="1" t="n">
        <v>45357</v>
      </c>
      <c r="D153" t="inlineStr">
        <is>
          <t>JÄMTLANDS LÄN</t>
        </is>
      </c>
      <c r="E153" t="inlineStr">
        <is>
          <t>ÅRE</t>
        </is>
      </c>
      <c r="G153" t="n">
        <v>10.4</v>
      </c>
      <c r="H153" t="n">
        <v>0</v>
      </c>
      <c r="I153" t="n">
        <v>0</v>
      </c>
      <c r="J153" t="n">
        <v>1</v>
      </c>
      <c r="K153" t="n">
        <v>0</v>
      </c>
      <c r="L153" t="n">
        <v>0</v>
      </c>
      <c r="M153" t="n">
        <v>0</v>
      </c>
      <c r="N153" t="n">
        <v>0</v>
      </c>
      <c r="O153" t="n">
        <v>1</v>
      </c>
      <c r="P153" t="n">
        <v>0</v>
      </c>
      <c r="Q153" t="n">
        <v>1</v>
      </c>
      <c r="R153" s="2" t="inlineStr">
        <is>
          <t>Garnlav</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row>
    <row r="154" ht="15" customHeight="1">
      <c r="A154" t="inlineStr">
        <is>
          <t>A 32216-2022</t>
        </is>
      </c>
      <c r="B154" s="1" t="n">
        <v>44781</v>
      </c>
      <c r="C154" s="1" t="n">
        <v>45357</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40614-2022</t>
        </is>
      </c>
      <c r="B155" s="1" t="n">
        <v>44824</v>
      </c>
      <c r="C155" s="1" t="n">
        <v>45357</v>
      </c>
      <c r="D155" t="inlineStr">
        <is>
          <t>JÄMTLANDS LÄN</t>
        </is>
      </c>
      <c r="E155" t="inlineStr">
        <is>
          <t>ÅRE</t>
        </is>
      </c>
      <c r="F155" t="inlineStr">
        <is>
          <t>Övriga Aktiebolag</t>
        </is>
      </c>
      <c r="G155" t="n">
        <v>23.2</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40614-2022 artfynd.xlsx", "A 40614-2022")</f>
        <v/>
      </c>
      <c r="T155">
        <f>HYPERLINK("https://klasma.github.io/Logging_2321/kartor/A 40614-2022 karta.png", "A 40614-2022")</f>
        <v/>
      </c>
      <c r="V155">
        <f>HYPERLINK("https://klasma.github.io/Logging_2321/klagomål/A 40614-2022 FSC-klagomål.docx", "A 40614-2022")</f>
        <v/>
      </c>
      <c r="W155">
        <f>HYPERLINK("https://klasma.github.io/Logging_2321/klagomålsmail/A 40614-2022 FSC-klagomål mail.docx", "A 40614-2022")</f>
        <v/>
      </c>
      <c r="X155">
        <f>HYPERLINK("https://klasma.github.io/Logging_2321/tillsyn/A 40614-2022 tillsynsbegäran.docx", "A 40614-2022")</f>
        <v/>
      </c>
      <c r="Y155">
        <f>HYPERLINK("https://klasma.github.io/Logging_2321/tillsynsmail/A 40614-2022 tillsynsbegäran mail.docx", "A 40614-2022")</f>
        <v/>
      </c>
      <c r="Z155">
        <f>HYPERLINK("https://klasma.github.io/Logging_2321/fåglar/A 40614-2022 prioriterade fågelarter.docx", "A 40614-2022")</f>
        <v/>
      </c>
    </row>
    <row r="156" ht="15" customHeight="1">
      <c r="A156" t="inlineStr">
        <is>
          <t>A 55805-2022</t>
        </is>
      </c>
      <c r="B156" s="1" t="n">
        <v>44888</v>
      </c>
      <c r="C156" s="1" t="n">
        <v>45357</v>
      </c>
      <c r="D156" t="inlineStr">
        <is>
          <t>JÄMTLANDS LÄN</t>
        </is>
      </c>
      <c r="E156" t="inlineStr">
        <is>
          <t>ÅRE</t>
        </is>
      </c>
      <c r="F156" t="inlineStr">
        <is>
          <t>Övriga Aktiebolag</t>
        </is>
      </c>
      <c r="G156" t="n">
        <v>17.7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55805-2022 artfynd.xlsx", "A 55805-2022")</f>
        <v/>
      </c>
      <c r="T156">
        <f>HYPERLINK("https://klasma.github.io/Logging_2321/kartor/A 55805-2022 karta.png", "A 55805-2022")</f>
        <v/>
      </c>
      <c r="V156">
        <f>HYPERLINK("https://klasma.github.io/Logging_2321/klagomål/A 55805-2022 FSC-klagomål.docx", "A 55805-2022")</f>
        <v/>
      </c>
      <c r="W156">
        <f>HYPERLINK("https://klasma.github.io/Logging_2321/klagomålsmail/A 55805-2022 FSC-klagomål mail.docx", "A 55805-2022")</f>
        <v/>
      </c>
      <c r="X156">
        <f>HYPERLINK("https://klasma.github.io/Logging_2321/tillsyn/A 55805-2022 tillsynsbegäran.docx", "A 55805-2022")</f>
        <v/>
      </c>
      <c r="Y156">
        <f>HYPERLINK("https://klasma.github.io/Logging_2321/tillsynsmail/A 55805-2022 tillsynsbegäran mail.docx", "A 55805-2022")</f>
        <v/>
      </c>
      <c r="Z156">
        <f>HYPERLINK("https://klasma.github.io/Logging_2321/fåglar/A 55805-2022 prioriterade fågelarter.docx", "A 55805-2022")</f>
        <v/>
      </c>
    </row>
    <row r="157" ht="15" customHeight="1">
      <c r="A157" t="inlineStr">
        <is>
          <t>A 56493-2022</t>
        </is>
      </c>
      <c r="B157" s="1" t="n">
        <v>44893</v>
      </c>
      <c r="C157" s="1" t="n">
        <v>45357</v>
      </c>
      <c r="D157" t="inlineStr">
        <is>
          <t>JÄMTLANDS LÄN</t>
        </is>
      </c>
      <c r="E157" t="inlineStr">
        <is>
          <t>ÅRE</t>
        </is>
      </c>
      <c r="F157" t="inlineStr">
        <is>
          <t>Övriga Aktiebolag</t>
        </is>
      </c>
      <c r="G157" t="n">
        <v>3</v>
      </c>
      <c r="H157" t="n">
        <v>0</v>
      </c>
      <c r="I157" t="n">
        <v>0</v>
      </c>
      <c r="J157" t="n">
        <v>1</v>
      </c>
      <c r="K157" t="n">
        <v>0</v>
      </c>
      <c r="L157" t="n">
        <v>0</v>
      </c>
      <c r="M157" t="n">
        <v>0</v>
      </c>
      <c r="N157" t="n">
        <v>0</v>
      </c>
      <c r="O157" t="n">
        <v>1</v>
      </c>
      <c r="P157" t="n">
        <v>0</v>
      </c>
      <c r="Q157" t="n">
        <v>1</v>
      </c>
      <c r="R157" s="2" t="inlineStr">
        <is>
          <t>Garnlav</t>
        </is>
      </c>
      <c r="S157">
        <f>HYPERLINK("https://klasma.github.io/Logging_2321/artfynd/A 56493-2022 artfynd.xlsx", "A 56493-2022")</f>
        <v/>
      </c>
      <c r="T157">
        <f>HYPERLINK("https://klasma.github.io/Logging_2321/kartor/A 56493-2022 karta.png", "A 56493-2022")</f>
        <v/>
      </c>
      <c r="V157">
        <f>HYPERLINK("https://klasma.github.io/Logging_2321/klagomål/A 56493-2022 FSC-klagomål.docx", "A 56493-2022")</f>
        <v/>
      </c>
      <c r="W157">
        <f>HYPERLINK("https://klasma.github.io/Logging_2321/klagomålsmail/A 56493-2022 FSC-klagomål mail.docx", "A 56493-2022")</f>
        <v/>
      </c>
      <c r="X157">
        <f>HYPERLINK("https://klasma.github.io/Logging_2321/tillsyn/A 56493-2022 tillsynsbegäran.docx", "A 56493-2022")</f>
        <v/>
      </c>
      <c r="Y157">
        <f>HYPERLINK("https://klasma.github.io/Logging_2321/tillsynsmail/A 56493-2022 tillsynsbegäran mail.docx", "A 56493-2022")</f>
        <v/>
      </c>
    </row>
    <row r="158" ht="15" customHeight="1">
      <c r="A158" t="inlineStr">
        <is>
          <t>A 56603-2022</t>
        </is>
      </c>
      <c r="B158" s="1" t="n">
        <v>44893</v>
      </c>
      <c r="C158" s="1" t="n">
        <v>45357</v>
      </c>
      <c r="D158" t="inlineStr">
        <is>
          <t>JÄMTLANDS LÄN</t>
        </is>
      </c>
      <c r="E158" t="inlineStr">
        <is>
          <t>ÅRE</t>
        </is>
      </c>
      <c r="F158" t="inlineStr">
        <is>
          <t>Övriga Aktiebolag</t>
        </is>
      </c>
      <c r="G158" t="n">
        <v>14.3</v>
      </c>
      <c r="H158" t="n">
        <v>1</v>
      </c>
      <c r="I158" t="n">
        <v>0</v>
      </c>
      <c r="J158" t="n">
        <v>1</v>
      </c>
      <c r="K158" t="n">
        <v>0</v>
      </c>
      <c r="L158" t="n">
        <v>0</v>
      </c>
      <c r="M158" t="n">
        <v>0</v>
      </c>
      <c r="N158" t="n">
        <v>0</v>
      </c>
      <c r="O158" t="n">
        <v>1</v>
      </c>
      <c r="P158" t="n">
        <v>0</v>
      </c>
      <c r="Q158" t="n">
        <v>1</v>
      </c>
      <c r="R158" s="2" t="inlineStr">
        <is>
          <t>Talltita</t>
        </is>
      </c>
      <c r="S158">
        <f>HYPERLINK("https://klasma.github.io/Logging_2321/artfynd/A 56603-2022 artfynd.xlsx", "A 56603-2022")</f>
        <v/>
      </c>
      <c r="T158">
        <f>HYPERLINK("https://klasma.github.io/Logging_2321/kartor/A 56603-2022 karta.png", "A 56603-2022")</f>
        <v/>
      </c>
      <c r="V158">
        <f>HYPERLINK("https://klasma.github.io/Logging_2321/klagomål/A 56603-2022 FSC-klagomål.docx", "A 56603-2022")</f>
        <v/>
      </c>
      <c r="W158">
        <f>HYPERLINK("https://klasma.github.io/Logging_2321/klagomålsmail/A 56603-2022 FSC-klagomål mail.docx", "A 56603-2022")</f>
        <v/>
      </c>
      <c r="X158">
        <f>HYPERLINK("https://klasma.github.io/Logging_2321/tillsyn/A 56603-2022 tillsynsbegäran.docx", "A 56603-2022")</f>
        <v/>
      </c>
      <c r="Y158">
        <f>HYPERLINK("https://klasma.github.io/Logging_2321/tillsynsmail/A 56603-2022 tillsynsbegäran mail.docx", "A 56603-2022")</f>
        <v/>
      </c>
      <c r="Z158">
        <f>HYPERLINK("https://klasma.github.io/Logging_2321/fåglar/A 56603-2022 prioriterade fågelarter.docx", "A 56603-2022")</f>
        <v/>
      </c>
    </row>
    <row r="159" ht="15" customHeight="1">
      <c r="A159" t="inlineStr">
        <is>
          <t>A 57396-2022</t>
        </is>
      </c>
      <c r="B159" s="1" t="n">
        <v>44896</v>
      </c>
      <c r="C159" s="1" t="n">
        <v>45357</v>
      </c>
      <c r="D159" t="inlineStr">
        <is>
          <t>JÄMTLANDS LÄN</t>
        </is>
      </c>
      <c r="E159" t="inlineStr">
        <is>
          <t>ÅRE</t>
        </is>
      </c>
      <c r="G159" t="n">
        <v>3.1</v>
      </c>
      <c r="H159" t="n">
        <v>0</v>
      </c>
      <c r="I159" t="n">
        <v>0</v>
      </c>
      <c r="J159" t="n">
        <v>1</v>
      </c>
      <c r="K159" t="n">
        <v>0</v>
      </c>
      <c r="L159" t="n">
        <v>0</v>
      </c>
      <c r="M159" t="n">
        <v>0</v>
      </c>
      <c r="N159" t="n">
        <v>0</v>
      </c>
      <c r="O159" t="n">
        <v>1</v>
      </c>
      <c r="P159" t="n">
        <v>0</v>
      </c>
      <c r="Q159" t="n">
        <v>1</v>
      </c>
      <c r="R159" s="2" t="inlineStr">
        <is>
          <t>Granticka</t>
        </is>
      </c>
      <c r="S159">
        <f>HYPERLINK("https://klasma.github.io/Logging_2321/artfynd/A 57396-2022 artfynd.xlsx", "A 57396-2022")</f>
        <v/>
      </c>
      <c r="T159">
        <f>HYPERLINK("https://klasma.github.io/Logging_2321/kartor/A 57396-2022 karta.png", "A 57396-2022")</f>
        <v/>
      </c>
      <c r="V159">
        <f>HYPERLINK("https://klasma.github.io/Logging_2321/klagomål/A 57396-2022 FSC-klagomål.docx", "A 57396-2022")</f>
        <v/>
      </c>
      <c r="W159">
        <f>HYPERLINK("https://klasma.github.io/Logging_2321/klagomålsmail/A 57396-2022 FSC-klagomål mail.docx", "A 57396-2022")</f>
        <v/>
      </c>
      <c r="X159">
        <f>HYPERLINK("https://klasma.github.io/Logging_2321/tillsyn/A 57396-2022 tillsynsbegäran.docx", "A 57396-2022")</f>
        <v/>
      </c>
      <c r="Y159">
        <f>HYPERLINK("https://klasma.github.io/Logging_2321/tillsynsmail/A 57396-2022 tillsynsbegäran mail.docx", "A 57396-2022")</f>
        <v/>
      </c>
    </row>
    <row r="160" ht="15" customHeight="1">
      <c r="A160" t="inlineStr">
        <is>
          <t>A 60544-2022</t>
        </is>
      </c>
      <c r="B160" s="1" t="n">
        <v>44904</v>
      </c>
      <c r="C160" s="1" t="n">
        <v>45357</v>
      </c>
      <c r="D160" t="inlineStr">
        <is>
          <t>JÄMTLANDS LÄN</t>
        </is>
      </c>
      <c r="E160" t="inlineStr">
        <is>
          <t>ÅRE</t>
        </is>
      </c>
      <c r="G160" t="n">
        <v>1.2</v>
      </c>
      <c r="H160" t="n">
        <v>1</v>
      </c>
      <c r="I160" t="n">
        <v>0</v>
      </c>
      <c r="J160" t="n">
        <v>1</v>
      </c>
      <c r="K160" t="n">
        <v>0</v>
      </c>
      <c r="L160" t="n">
        <v>0</v>
      </c>
      <c r="M160" t="n">
        <v>0</v>
      </c>
      <c r="N160" t="n">
        <v>0</v>
      </c>
      <c r="O160" t="n">
        <v>1</v>
      </c>
      <c r="P160" t="n">
        <v>0</v>
      </c>
      <c r="Q160" t="n">
        <v>1</v>
      </c>
      <c r="R160" s="2" t="inlineStr">
        <is>
          <t>Järpe</t>
        </is>
      </c>
      <c r="S160">
        <f>HYPERLINK("https://klasma.github.io/Logging_2321/artfynd/A 60544-2022 artfynd.xlsx", "A 60544-2022")</f>
        <v/>
      </c>
      <c r="T160">
        <f>HYPERLINK("https://klasma.github.io/Logging_2321/kartor/A 60544-2022 karta.png", "A 60544-2022")</f>
        <v/>
      </c>
      <c r="V160">
        <f>HYPERLINK("https://klasma.github.io/Logging_2321/klagomål/A 60544-2022 FSC-klagomål.docx", "A 60544-2022")</f>
        <v/>
      </c>
      <c r="W160">
        <f>HYPERLINK("https://klasma.github.io/Logging_2321/klagomålsmail/A 60544-2022 FSC-klagomål mail.docx", "A 60544-2022")</f>
        <v/>
      </c>
      <c r="X160">
        <f>HYPERLINK("https://klasma.github.io/Logging_2321/tillsyn/A 60544-2022 tillsynsbegäran.docx", "A 60544-2022")</f>
        <v/>
      </c>
      <c r="Y160">
        <f>HYPERLINK("https://klasma.github.io/Logging_2321/tillsynsmail/A 60544-2022 tillsynsbegäran mail.docx", "A 60544-2022")</f>
        <v/>
      </c>
      <c r="Z160">
        <f>HYPERLINK("https://klasma.github.io/Logging_2321/fåglar/A 60544-2022 prioriterade fågelarter.docx", "A 60544-2022")</f>
        <v/>
      </c>
    </row>
    <row r="161" ht="15" customHeight="1">
      <c r="A161" t="inlineStr">
        <is>
          <t>A 60435-2022</t>
        </is>
      </c>
      <c r="B161" s="1" t="n">
        <v>44911</v>
      </c>
      <c r="C161" s="1" t="n">
        <v>45357</v>
      </c>
      <c r="D161" t="inlineStr">
        <is>
          <t>JÄMTLANDS LÄN</t>
        </is>
      </c>
      <c r="E161" t="inlineStr">
        <is>
          <t>ÅRE</t>
        </is>
      </c>
      <c r="F161" t="inlineStr">
        <is>
          <t>Övriga Aktiebolag</t>
        </is>
      </c>
      <c r="G161" t="n">
        <v>7.9</v>
      </c>
      <c r="H161" t="n">
        <v>0</v>
      </c>
      <c r="I161" t="n">
        <v>1</v>
      </c>
      <c r="J161" t="n">
        <v>0</v>
      </c>
      <c r="K161" t="n">
        <v>0</v>
      </c>
      <c r="L161" t="n">
        <v>0</v>
      </c>
      <c r="M161" t="n">
        <v>0</v>
      </c>
      <c r="N161" t="n">
        <v>0</v>
      </c>
      <c r="O161" t="n">
        <v>0</v>
      </c>
      <c r="P161" t="n">
        <v>0</v>
      </c>
      <c r="Q161" t="n">
        <v>1</v>
      </c>
      <c r="R161" s="2" t="inlineStr">
        <is>
          <t>Kransrams</t>
        </is>
      </c>
      <c r="S161">
        <f>HYPERLINK("https://klasma.github.io/Logging_2321/artfynd/A 60435-2022 artfynd.xlsx", "A 60435-2022")</f>
        <v/>
      </c>
      <c r="T161">
        <f>HYPERLINK("https://klasma.github.io/Logging_2321/kartor/A 60435-2022 karta.png", "A 60435-2022")</f>
        <v/>
      </c>
      <c r="V161">
        <f>HYPERLINK("https://klasma.github.io/Logging_2321/klagomål/A 60435-2022 FSC-klagomål.docx", "A 60435-2022")</f>
        <v/>
      </c>
      <c r="W161">
        <f>HYPERLINK("https://klasma.github.io/Logging_2321/klagomålsmail/A 60435-2022 FSC-klagomål mail.docx", "A 60435-2022")</f>
        <v/>
      </c>
      <c r="X161">
        <f>HYPERLINK("https://klasma.github.io/Logging_2321/tillsyn/A 60435-2022 tillsynsbegäran.docx", "A 60435-2022")</f>
        <v/>
      </c>
      <c r="Y161">
        <f>HYPERLINK("https://klasma.github.io/Logging_2321/tillsynsmail/A 60435-2022 tillsynsbegäran mail.docx", "A 60435-2022")</f>
        <v/>
      </c>
    </row>
    <row r="162" ht="15" customHeight="1">
      <c r="A162" t="inlineStr">
        <is>
          <t>A 5480-2023</t>
        </is>
      </c>
      <c r="B162" s="1" t="n">
        <v>44957</v>
      </c>
      <c r="C162" s="1" t="n">
        <v>45357</v>
      </c>
      <c r="D162" t="inlineStr">
        <is>
          <t>JÄMTLANDS LÄN</t>
        </is>
      </c>
      <c r="E162" t="inlineStr">
        <is>
          <t>ÅRE</t>
        </is>
      </c>
      <c r="G162" t="n">
        <v>3.3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5480-2023 artfynd.xlsx", "A 5480-2023")</f>
        <v/>
      </c>
      <c r="T162">
        <f>HYPERLINK("https://klasma.github.io/Logging_2321/kartor/A 5480-2023 karta.png", "A 5480-2023")</f>
        <v/>
      </c>
      <c r="V162">
        <f>HYPERLINK("https://klasma.github.io/Logging_2321/klagomål/A 5480-2023 FSC-klagomål.docx", "A 5480-2023")</f>
        <v/>
      </c>
      <c r="W162">
        <f>HYPERLINK("https://klasma.github.io/Logging_2321/klagomålsmail/A 5480-2023 FSC-klagomål mail.docx", "A 5480-2023")</f>
        <v/>
      </c>
      <c r="X162">
        <f>HYPERLINK("https://klasma.github.io/Logging_2321/tillsyn/A 5480-2023 tillsynsbegäran.docx", "A 5480-2023")</f>
        <v/>
      </c>
      <c r="Y162">
        <f>HYPERLINK("https://klasma.github.io/Logging_2321/tillsynsmail/A 5480-2023 tillsynsbegäran mail.docx", "A 5480-2023")</f>
        <v/>
      </c>
      <c r="Z162">
        <f>HYPERLINK("https://klasma.github.io/Logging_2321/fåglar/A 5480-2023 prioriterade fågelarter.docx", "A 5480-2023")</f>
        <v/>
      </c>
    </row>
    <row r="163" ht="15" customHeight="1">
      <c r="A163" t="inlineStr">
        <is>
          <t>A 10632-2023</t>
        </is>
      </c>
      <c r="B163" s="1" t="n">
        <v>44984</v>
      </c>
      <c r="C163" s="1" t="n">
        <v>45357</v>
      </c>
      <c r="D163" t="inlineStr">
        <is>
          <t>JÄMTLANDS LÄN</t>
        </is>
      </c>
      <c r="E163" t="inlineStr">
        <is>
          <t>ÅRE</t>
        </is>
      </c>
      <c r="G163" t="n">
        <v>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10632-2023 artfynd.xlsx", "A 10632-2023")</f>
        <v/>
      </c>
      <c r="T163">
        <f>HYPERLINK("https://klasma.github.io/Logging_2321/kartor/A 10632-2023 karta.png", "A 10632-2023")</f>
        <v/>
      </c>
      <c r="V163">
        <f>HYPERLINK("https://klasma.github.io/Logging_2321/klagomål/A 10632-2023 FSC-klagomål.docx", "A 10632-2023")</f>
        <v/>
      </c>
      <c r="W163">
        <f>HYPERLINK("https://klasma.github.io/Logging_2321/klagomålsmail/A 10632-2023 FSC-klagomål mail.docx", "A 10632-2023")</f>
        <v/>
      </c>
      <c r="X163">
        <f>HYPERLINK("https://klasma.github.io/Logging_2321/tillsyn/A 10632-2023 tillsynsbegäran.docx", "A 10632-2023")</f>
        <v/>
      </c>
      <c r="Y163">
        <f>HYPERLINK("https://klasma.github.io/Logging_2321/tillsynsmail/A 10632-2023 tillsynsbegäran mail.docx", "A 10632-2023")</f>
        <v/>
      </c>
      <c r="Z163">
        <f>HYPERLINK("https://klasma.github.io/Logging_2321/fåglar/A 10632-2023 prioriterade fågelarter.docx", "A 10632-2023")</f>
        <v/>
      </c>
    </row>
    <row r="164" ht="15" customHeight="1">
      <c r="A164" t="inlineStr">
        <is>
          <t>A 41405-2023</t>
        </is>
      </c>
      <c r="B164" s="1" t="n">
        <v>45174</v>
      </c>
      <c r="C164" s="1" t="n">
        <v>45357</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Ögonpyrola</t>
        </is>
      </c>
      <c r="S164">
        <f>HYPERLINK("https://klasma.github.io/Logging_2321/artfynd/A 41405-2023 artfynd.xlsx", "A 41405-2023")</f>
        <v/>
      </c>
      <c r="T164">
        <f>HYPERLINK("https://klasma.github.io/Logging_2321/kartor/A 41405-2023 karta.png", "A 41405-2023")</f>
        <v/>
      </c>
      <c r="V164">
        <f>HYPERLINK("https://klasma.github.io/Logging_2321/klagomål/A 41405-2023 FSC-klagomål.docx", "A 41405-2023")</f>
        <v/>
      </c>
      <c r="W164">
        <f>HYPERLINK("https://klasma.github.io/Logging_2321/klagomålsmail/A 41405-2023 FSC-klagomål mail.docx", "A 41405-2023")</f>
        <v/>
      </c>
      <c r="X164">
        <f>HYPERLINK("https://klasma.github.io/Logging_2321/tillsyn/A 41405-2023 tillsynsbegäran.docx", "A 41405-2023")</f>
        <v/>
      </c>
      <c r="Y164">
        <f>HYPERLINK("https://klasma.github.io/Logging_2321/tillsynsmail/A 41405-2023 tillsynsbegäran mail.docx", "A 41405-2023")</f>
        <v/>
      </c>
    </row>
    <row r="165" ht="15" customHeight="1">
      <c r="A165" t="inlineStr">
        <is>
          <t>A 55105-2023</t>
        </is>
      </c>
      <c r="B165" s="1" t="n">
        <v>45237</v>
      </c>
      <c r="C165" s="1" t="n">
        <v>45357</v>
      </c>
      <c r="D165" t="inlineStr">
        <is>
          <t>JÄMTLANDS LÄN</t>
        </is>
      </c>
      <c r="E165" t="inlineStr">
        <is>
          <t>ÅRE</t>
        </is>
      </c>
      <c r="G165" t="n">
        <v>15.8</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55105-2023 artfynd.xlsx", "A 55105-2023")</f>
        <v/>
      </c>
      <c r="T165">
        <f>HYPERLINK("https://klasma.github.io/Logging_2321/kartor/A 55105-2023 karta.png", "A 55105-2023")</f>
        <v/>
      </c>
      <c r="V165">
        <f>HYPERLINK("https://klasma.github.io/Logging_2321/klagomål/A 55105-2023 FSC-klagomål.docx", "A 55105-2023")</f>
        <v/>
      </c>
      <c r="W165">
        <f>HYPERLINK("https://klasma.github.io/Logging_2321/klagomålsmail/A 55105-2023 FSC-klagomål mail.docx", "A 55105-2023")</f>
        <v/>
      </c>
      <c r="X165">
        <f>HYPERLINK("https://klasma.github.io/Logging_2321/tillsyn/A 55105-2023 tillsynsbegäran.docx", "A 55105-2023")</f>
        <v/>
      </c>
      <c r="Y165">
        <f>HYPERLINK("https://klasma.github.io/Logging_2321/tillsynsmail/A 55105-2023 tillsynsbegäran mail.docx", "A 55105-2023")</f>
        <v/>
      </c>
      <c r="Z165">
        <f>HYPERLINK("https://klasma.github.io/Logging_2321/fåglar/A 55105-2023 prioriterade fågelarter.docx", "A 55105-2023")</f>
        <v/>
      </c>
    </row>
    <row r="166" ht="15" customHeight="1">
      <c r="A166" t="inlineStr">
        <is>
          <t>A 59402-2023</t>
        </is>
      </c>
      <c r="B166" s="1" t="n">
        <v>45253</v>
      </c>
      <c r="C166" s="1" t="n">
        <v>45357</v>
      </c>
      <c r="D166" t="inlineStr">
        <is>
          <t>JÄMTLANDS LÄN</t>
        </is>
      </c>
      <c r="E166" t="inlineStr">
        <is>
          <t>ÅRE</t>
        </is>
      </c>
      <c r="G166" t="n">
        <v>2.3</v>
      </c>
      <c r="H166" t="n">
        <v>0</v>
      </c>
      <c r="I166" t="n">
        <v>0</v>
      </c>
      <c r="J166" t="n">
        <v>1</v>
      </c>
      <c r="K166" t="n">
        <v>0</v>
      </c>
      <c r="L166" t="n">
        <v>0</v>
      </c>
      <c r="M166" t="n">
        <v>0</v>
      </c>
      <c r="N166" t="n">
        <v>0</v>
      </c>
      <c r="O166" t="n">
        <v>1</v>
      </c>
      <c r="P166" t="n">
        <v>0</v>
      </c>
      <c r="Q166" t="n">
        <v>1</v>
      </c>
      <c r="R166" s="2" t="inlineStr">
        <is>
          <t>Garnlav</t>
        </is>
      </c>
      <c r="S166">
        <f>HYPERLINK("https://klasma.github.io/Logging_2321/artfynd/A 59402-2023 artfynd.xlsx", "A 59402-2023")</f>
        <v/>
      </c>
      <c r="T166">
        <f>HYPERLINK("https://klasma.github.io/Logging_2321/kartor/A 59402-2023 karta.png", "A 59402-2023")</f>
        <v/>
      </c>
      <c r="V166">
        <f>HYPERLINK("https://klasma.github.io/Logging_2321/klagomål/A 59402-2023 FSC-klagomål.docx", "A 59402-2023")</f>
        <v/>
      </c>
      <c r="W166">
        <f>HYPERLINK("https://klasma.github.io/Logging_2321/klagomålsmail/A 59402-2023 FSC-klagomål mail.docx", "A 59402-2023")</f>
        <v/>
      </c>
      <c r="X166">
        <f>HYPERLINK("https://klasma.github.io/Logging_2321/tillsyn/A 59402-2023 tillsynsbegäran.docx", "A 59402-2023")</f>
        <v/>
      </c>
      <c r="Y166">
        <f>HYPERLINK("https://klasma.github.io/Logging_2321/tillsynsmail/A 59402-2023 tillsynsbegäran mail.docx", "A 59402-2023")</f>
        <v/>
      </c>
    </row>
    <row r="167" ht="15" customHeight="1">
      <c r="A167" t="inlineStr">
        <is>
          <t>A 61471-2023</t>
        </is>
      </c>
      <c r="B167" s="1" t="n">
        <v>45264</v>
      </c>
      <c r="C167" s="1" t="n">
        <v>45357</v>
      </c>
      <c r="D167" t="inlineStr">
        <is>
          <t>JÄMTLANDS LÄN</t>
        </is>
      </c>
      <c r="E167" t="inlineStr">
        <is>
          <t>ÅRE</t>
        </is>
      </c>
      <c r="G167" t="n">
        <v>1</v>
      </c>
      <c r="H167" t="n">
        <v>0</v>
      </c>
      <c r="I167" t="n">
        <v>0</v>
      </c>
      <c r="J167" t="n">
        <v>1</v>
      </c>
      <c r="K167" t="n">
        <v>0</v>
      </c>
      <c r="L167" t="n">
        <v>0</v>
      </c>
      <c r="M167" t="n">
        <v>0</v>
      </c>
      <c r="N167" t="n">
        <v>0</v>
      </c>
      <c r="O167" t="n">
        <v>1</v>
      </c>
      <c r="P167" t="n">
        <v>0</v>
      </c>
      <c r="Q167" t="n">
        <v>1</v>
      </c>
      <c r="R167" s="2" t="inlineStr">
        <is>
          <t>Skrovellav</t>
        </is>
      </c>
      <c r="S167">
        <f>HYPERLINK("https://klasma.github.io/Logging_2321/artfynd/A 61471-2023 artfynd.xlsx", "A 61471-2023")</f>
        <v/>
      </c>
      <c r="T167">
        <f>HYPERLINK("https://klasma.github.io/Logging_2321/kartor/A 61471-2023 karta.png", "A 61471-2023")</f>
        <v/>
      </c>
      <c r="V167">
        <f>HYPERLINK("https://klasma.github.io/Logging_2321/klagomål/A 61471-2023 FSC-klagomål.docx", "A 61471-2023")</f>
        <v/>
      </c>
      <c r="W167">
        <f>HYPERLINK("https://klasma.github.io/Logging_2321/klagomålsmail/A 61471-2023 FSC-klagomål mail.docx", "A 61471-2023")</f>
        <v/>
      </c>
      <c r="X167">
        <f>HYPERLINK("https://klasma.github.io/Logging_2321/tillsyn/A 61471-2023 tillsynsbegäran.docx", "A 61471-2023")</f>
        <v/>
      </c>
      <c r="Y167">
        <f>HYPERLINK("https://klasma.github.io/Logging_2321/tillsynsmail/A 61471-2023 tillsynsbegäran mail.docx", "A 61471-2023")</f>
        <v/>
      </c>
    </row>
    <row r="168" ht="15" customHeight="1">
      <c r="A168" t="inlineStr">
        <is>
          <t>A 64026-2023</t>
        </is>
      </c>
      <c r="B168" s="1" t="n">
        <v>45278</v>
      </c>
      <c r="C168" s="1" t="n">
        <v>45357</v>
      </c>
      <c r="D168" t="inlineStr">
        <is>
          <t>JÄMTLANDS LÄN</t>
        </is>
      </c>
      <c r="E168" t="inlineStr">
        <is>
          <t>ÅRE</t>
        </is>
      </c>
      <c r="F168" t="inlineStr">
        <is>
          <t>Övriga Aktiebolag</t>
        </is>
      </c>
      <c r="G168" t="n">
        <v>9.800000000000001</v>
      </c>
      <c r="H168" t="n">
        <v>0</v>
      </c>
      <c r="I168" t="n">
        <v>1</v>
      </c>
      <c r="J168" t="n">
        <v>0</v>
      </c>
      <c r="K168" t="n">
        <v>0</v>
      </c>
      <c r="L168" t="n">
        <v>0</v>
      </c>
      <c r="M168" t="n">
        <v>0</v>
      </c>
      <c r="N168" t="n">
        <v>0</v>
      </c>
      <c r="O168" t="n">
        <v>0</v>
      </c>
      <c r="P168" t="n">
        <v>0</v>
      </c>
      <c r="Q168" t="n">
        <v>1</v>
      </c>
      <c r="R168" s="2" t="inlineStr">
        <is>
          <t>Svavelriska</t>
        </is>
      </c>
      <c r="S168">
        <f>HYPERLINK("https://klasma.github.io/Logging_2321/artfynd/A 64026-2023 artfynd.xlsx", "A 64026-2023")</f>
        <v/>
      </c>
      <c r="T168">
        <f>HYPERLINK("https://klasma.github.io/Logging_2321/kartor/A 64026-2023 karta.png", "A 64026-2023")</f>
        <v/>
      </c>
      <c r="V168">
        <f>HYPERLINK("https://klasma.github.io/Logging_2321/klagomål/A 64026-2023 FSC-klagomål.docx", "A 64026-2023")</f>
        <v/>
      </c>
      <c r="W168">
        <f>HYPERLINK("https://klasma.github.io/Logging_2321/klagomålsmail/A 64026-2023 FSC-klagomål mail.docx", "A 64026-2023")</f>
        <v/>
      </c>
      <c r="X168">
        <f>HYPERLINK("https://klasma.github.io/Logging_2321/tillsyn/A 64026-2023 tillsynsbegäran.docx", "A 64026-2023")</f>
        <v/>
      </c>
      <c r="Y168">
        <f>HYPERLINK("https://klasma.github.io/Logging_2321/tillsynsmail/A 64026-2023 tillsynsbegäran mail.docx", "A 64026-2023")</f>
        <v/>
      </c>
    </row>
    <row r="169" ht="15" customHeight="1">
      <c r="A169" t="inlineStr">
        <is>
          <t>A 36231-2018</t>
        </is>
      </c>
      <c r="B169" s="1" t="n">
        <v>43328</v>
      </c>
      <c r="C169" s="1" t="n">
        <v>45357</v>
      </c>
      <c r="D169" t="inlineStr">
        <is>
          <t>JÄMTLANDS LÄN</t>
        </is>
      </c>
      <c r="E169" t="inlineStr">
        <is>
          <t>ÅRE</t>
        </is>
      </c>
      <c r="G169" t="n">
        <v>7.1</v>
      </c>
      <c r="H169" t="n">
        <v>0</v>
      </c>
      <c r="I169" t="n">
        <v>0</v>
      </c>
      <c r="J169" t="n">
        <v>0</v>
      </c>
      <c r="K169" t="n">
        <v>0</v>
      </c>
      <c r="L169" t="n">
        <v>0</v>
      </c>
      <c r="M169" t="n">
        <v>0</v>
      </c>
      <c r="N169" t="n">
        <v>0</v>
      </c>
      <c r="O169" t="n">
        <v>0</v>
      </c>
      <c r="P169" t="n">
        <v>0</v>
      </c>
      <c r="Q169" t="n">
        <v>0</v>
      </c>
      <c r="R169" s="2" t="inlineStr"/>
    </row>
    <row r="170" ht="15" customHeight="1">
      <c r="A170" t="inlineStr">
        <is>
          <t>A 43244-2018</t>
        </is>
      </c>
      <c r="B170" s="1" t="n">
        <v>43353</v>
      </c>
      <c r="C170" s="1" t="n">
        <v>45357</v>
      </c>
      <c r="D170" t="inlineStr">
        <is>
          <t>JÄMTLANDS LÄN</t>
        </is>
      </c>
      <c r="E170" t="inlineStr">
        <is>
          <t>ÅRE</t>
        </is>
      </c>
      <c r="F170" t="inlineStr">
        <is>
          <t>Övriga statliga verk och myndigheter</t>
        </is>
      </c>
      <c r="G170" t="n">
        <v>12.9</v>
      </c>
      <c r="H170" t="n">
        <v>0</v>
      </c>
      <c r="I170" t="n">
        <v>0</v>
      </c>
      <c r="J170" t="n">
        <v>0</v>
      </c>
      <c r="K170" t="n">
        <v>0</v>
      </c>
      <c r="L170" t="n">
        <v>0</v>
      </c>
      <c r="M170" t="n">
        <v>0</v>
      </c>
      <c r="N170" t="n">
        <v>0</v>
      </c>
      <c r="O170" t="n">
        <v>0</v>
      </c>
      <c r="P170" t="n">
        <v>0</v>
      </c>
      <c r="Q170" t="n">
        <v>0</v>
      </c>
      <c r="R170" s="2" t="inlineStr"/>
    </row>
    <row r="171" ht="15" customHeight="1">
      <c r="A171" t="inlineStr">
        <is>
          <t>A 44507-2018</t>
        </is>
      </c>
      <c r="B171" s="1" t="n">
        <v>43355</v>
      </c>
      <c r="C171" s="1" t="n">
        <v>45357</v>
      </c>
      <c r="D171" t="inlineStr">
        <is>
          <t>JÄMTLANDS LÄN</t>
        </is>
      </c>
      <c r="E171" t="inlineStr">
        <is>
          <t>ÅRE</t>
        </is>
      </c>
      <c r="G171" t="n">
        <v>7.2</v>
      </c>
      <c r="H171" t="n">
        <v>0</v>
      </c>
      <c r="I171" t="n">
        <v>0</v>
      </c>
      <c r="J171" t="n">
        <v>0</v>
      </c>
      <c r="K171" t="n">
        <v>0</v>
      </c>
      <c r="L171" t="n">
        <v>0</v>
      </c>
      <c r="M171" t="n">
        <v>0</v>
      </c>
      <c r="N171" t="n">
        <v>0</v>
      </c>
      <c r="O171" t="n">
        <v>0</v>
      </c>
      <c r="P171" t="n">
        <v>0</v>
      </c>
      <c r="Q171" t="n">
        <v>0</v>
      </c>
      <c r="R171" s="2" t="inlineStr"/>
    </row>
    <row r="172" ht="15" customHeight="1">
      <c r="A172" t="inlineStr">
        <is>
          <t>A 44558-2018</t>
        </is>
      </c>
      <c r="B172" s="1" t="n">
        <v>43355</v>
      </c>
      <c r="C172" s="1" t="n">
        <v>45357</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43661-2018</t>
        </is>
      </c>
      <c r="B173" s="1" t="n">
        <v>43357</v>
      </c>
      <c r="C173" s="1" t="n">
        <v>45357</v>
      </c>
      <c r="D173" t="inlineStr">
        <is>
          <t>JÄMTLANDS LÄN</t>
        </is>
      </c>
      <c r="E173" t="inlineStr">
        <is>
          <t>ÅRE</t>
        </is>
      </c>
      <c r="F173" t="inlineStr">
        <is>
          <t>Övriga Aktiebolag</t>
        </is>
      </c>
      <c r="G173" t="n">
        <v>21.3</v>
      </c>
      <c r="H173" t="n">
        <v>0</v>
      </c>
      <c r="I173" t="n">
        <v>0</v>
      </c>
      <c r="J173" t="n">
        <v>0</v>
      </c>
      <c r="K173" t="n">
        <v>0</v>
      </c>
      <c r="L173" t="n">
        <v>0</v>
      </c>
      <c r="M173" t="n">
        <v>0</v>
      </c>
      <c r="N173" t="n">
        <v>0</v>
      </c>
      <c r="O173" t="n">
        <v>0</v>
      </c>
      <c r="P173" t="n">
        <v>0</v>
      </c>
      <c r="Q173" t="n">
        <v>0</v>
      </c>
      <c r="R173" s="2" t="inlineStr"/>
    </row>
    <row r="174" ht="15" customHeight="1">
      <c r="A174" t="inlineStr">
        <is>
          <t>A 46640-2018</t>
        </is>
      </c>
      <c r="B174" s="1" t="n">
        <v>43368</v>
      </c>
      <c r="C174" s="1" t="n">
        <v>45357</v>
      </c>
      <c r="D174" t="inlineStr">
        <is>
          <t>JÄMTLANDS LÄN</t>
        </is>
      </c>
      <c r="E174" t="inlineStr">
        <is>
          <t>ÅRE</t>
        </is>
      </c>
      <c r="G174" t="n">
        <v>1.8</v>
      </c>
      <c r="H174" t="n">
        <v>0</v>
      </c>
      <c r="I174" t="n">
        <v>0</v>
      </c>
      <c r="J174" t="n">
        <v>0</v>
      </c>
      <c r="K174" t="n">
        <v>0</v>
      </c>
      <c r="L174" t="n">
        <v>0</v>
      </c>
      <c r="M174" t="n">
        <v>0</v>
      </c>
      <c r="N174" t="n">
        <v>0</v>
      </c>
      <c r="O174" t="n">
        <v>0</v>
      </c>
      <c r="P174" t="n">
        <v>0</v>
      </c>
      <c r="Q174" t="n">
        <v>0</v>
      </c>
      <c r="R174" s="2" t="inlineStr"/>
    </row>
    <row r="175" ht="15" customHeight="1">
      <c r="A175" t="inlineStr">
        <is>
          <t>A 47303-2018</t>
        </is>
      </c>
      <c r="B175" s="1" t="n">
        <v>43369</v>
      </c>
      <c r="C175" s="1" t="n">
        <v>45357</v>
      </c>
      <c r="D175" t="inlineStr">
        <is>
          <t>JÄMTLANDS LÄN</t>
        </is>
      </c>
      <c r="E175" t="inlineStr">
        <is>
          <t>ÅRE</t>
        </is>
      </c>
      <c r="G175" t="n">
        <v>14.5</v>
      </c>
      <c r="H175" t="n">
        <v>0</v>
      </c>
      <c r="I175" t="n">
        <v>0</v>
      </c>
      <c r="J175" t="n">
        <v>0</v>
      </c>
      <c r="K175" t="n">
        <v>0</v>
      </c>
      <c r="L175" t="n">
        <v>0</v>
      </c>
      <c r="M175" t="n">
        <v>0</v>
      </c>
      <c r="N175" t="n">
        <v>0</v>
      </c>
      <c r="O175" t="n">
        <v>0</v>
      </c>
      <c r="P175" t="n">
        <v>0</v>
      </c>
      <c r="Q175" t="n">
        <v>0</v>
      </c>
      <c r="R175" s="2" t="inlineStr"/>
    </row>
    <row r="176" ht="15" customHeight="1">
      <c r="A176" t="inlineStr">
        <is>
          <t>A 50928-2018</t>
        </is>
      </c>
      <c r="B176" s="1" t="n">
        <v>43375</v>
      </c>
      <c r="C176" s="1" t="n">
        <v>45357</v>
      </c>
      <c r="D176" t="inlineStr">
        <is>
          <t>JÄMTLANDS LÄN</t>
        </is>
      </c>
      <c r="E176" t="inlineStr">
        <is>
          <t>ÅRE</t>
        </is>
      </c>
      <c r="G176" t="n">
        <v>8.6</v>
      </c>
      <c r="H176" t="n">
        <v>0</v>
      </c>
      <c r="I176" t="n">
        <v>0</v>
      </c>
      <c r="J176" t="n">
        <v>0</v>
      </c>
      <c r="K176" t="n">
        <v>0</v>
      </c>
      <c r="L176" t="n">
        <v>0</v>
      </c>
      <c r="M176" t="n">
        <v>0</v>
      </c>
      <c r="N176" t="n">
        <v>0</v>
      </c>
      <c r="O176" t="n">
        <v>0</v>
      </c>
      <c r="P176" t="n">
        <v>0</v>
      </c>
      <c r="Q176" t="n">
        <v>0</v>
      </c>
      <c r="R176" s="2" t="inlineStr"/>
    </row>
    <row r="177" ht="15" customHeight="1">
      <c r="A177" t="inlineStr">
        <is>
          <t>A 51383-2018</t>
        </is>
      </c>
      <c r="B177" s="1" t="n">
        <v>43383</v>
      </c>
      <c r="C177" s="1" t="n">
        <v>45357</v>
      </c>
      <c r="D177" t="inlineStr">
        <is>
          <t>JÄMTLANDS LÄN</t>
        </is>
      </c>
      <c r="E177" t="inlineStr">
        <is>
          <t>ÅRE</t>
        </is>
      </c>
      <c r="G177" t="n">
        <v>1.9</v>
      </c>
      <c r="H177" t="n">
        <v>0</v>
      </c>
      <c r="I177" t="n">
        <v>0</v>
      </c>
      <c r="J177" t="n">
        <v>0</v>
      </c>
      <c r="K177" t="n">
        <v>0</v>
      </c>
      <c r="L177" t="n">
        <v>0</v>
      </c>
      <c r="M177" t="n">
        <v>0</v>
      </c>
      <c r="N177" t="n">
        <v>0</v>
      </c>
      <c r="O177" t="n">
        <v>0</v>
      </c>
      <c r="P177" t="n">
        <v>0</v>
      </c>
      <c r="Q177" t="n">
        <v>0</v>
      </c>
      <c r="R177" s="2" t="inlineStr"/>
    </row>
    <row r="178" ht="15" customHeight="1">
      <c r="A178" t="inlineStr">
        <is>
          <t>A 52842-2018</t>
        </is>
      </c>
      <c r="B178" s="1" t="n">
        <v>43384</v>
      </c>
      <c r="C178" s="1" t="n">
        <v>45357</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52573-2018</t>
        </is>
      </c>
      <c r="B179" s="1" t="n">
        <v>43388</v>
      </c>
      <c r="C179" s="1" t="n">
        <v>45357</v>
      </c>
      <c r="D179" t="inlineStr">
        <is>
          <t>JÄMTLANDS LÄN</t>
        </is>
      </c>
      <c r="E179" t="inlineStr">
        <is>
          <t>ÅRE</t>
        </is>
      </c>
      <c r="G179" t="n">
        <v>4.4</v>
      </c>
      <c r="H179" t="n">
        <v>0</v>
      </c>
      <c r="I179" t="n">
        <v>0</v>
      </c>
      <c r="J179" t="n">
        <v>0</v>
      </c>
      <c r="K179" t="n">
        <v>0</v>
      </c>
      <c r="L179" t="n">
        <v>0</v>
      </c>
      <c r="M179" t="n">
        <v>0</v>
      </c>
      <c r="N179" t="n">
        <v>0</v>
      </c>
      <c r="O179" t="n">
        <v>0</v>
      </c>
      <c r="P179" t="n">
        <v>0</v>
      </c>
      <c r="Q179" t="n">
        <v>0</v>
      </c>
      <c r="R179" s="2" t="inlineStr"/>
    </row>
    <row r="180" ht="15" customHeight="1">
      <c r="A180" t="inlineStr">
        <is>
          <t>A 52615-2018</t>
        </is>
      </c>
      <c r="B180" s="1" t="n">
        <v>43389</v>
      </c>
      <c r="C180" s="1" t="n">
        <v>45357</v>
      </c>
      <c r="D180" t="inlineStr">
        <is>
          <t>JÄMTLANDS LÄN</t>
        </is>
      </c>
      <c r="E180" t="inlineStr">
        <is>
          <t>ÅRE</t>
        </is>
      </c>
      <c r="F180" t="inlineStr">
        <is>
          <t>Övriga Aktiebolag</t>
        </is>
      </c>
      <c r="G180" t="n">
        <v>65.90000000000001</v>
      </c>
      <c r="H180" t="n">
        <v>0</v>
      </c>
      <c r="I180" t="n">
        <v>0</v>
      </c>
      <c r="J180" t="n">
        <v>0</v>
      </c>
      <c r="K180" t="n">
        <v>0</v>
      </c>
      <c r="L180" t="n">
        <v>0</v>
      </c>
      <c r="M180" t="n">
        <v>0</v>
      </c>
      <c r="N180" t="n">
        <v>0</v>
      </c>
      <c r="O180" t="n">
        <v>0</v>
      </c>
      <c r="P180" t="n">
        <v>0</v>
      </c>
      <c r="Q180" t="n">
        <v>0</v>
      </c>
      <c r="R180" s="2" t="inlineStr"/>
    </row>
    <row r="181" ht="15" customHeight="1">
      <c r="A181" t="inlineStr">
        <is>
          <t>A 53430-2018</t>
        </is>
      </c>
      <c r="B181" s="1" t="n">
        <v>43391</v>
      </c>
      <c r="C181" s="1" t="n">
        <v>45357</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54859-2018</t>
        </is>
      </c>
      <c r="B182" s="1" t="n">
        <v>43396</v>
      </c>
      <c r="C182" s="1" t="n">
        <v>45357</v>
      </c>
      <c r="D182" t="inlineStr">
        <is>
          <t>JÄMTLANDS LÄN</t>
        </is>
      </c>
      <c r="E182" t="inlineStr">
        <is>
          <t>ÅRE</t>
        </is>
      </c>
      <c r="G182" t="n">
        <v>2.1</v>
      </c>
      <c r="H182" t="n">
        <v>0</v>
      </c>
      <c r="I182" t="n">
        <v>0</v>
      </c>
      <c r="J182" t="n">
        <v>0</v>
      </c>
      <c r="K182" t="n">
        <v>0</v>
      </c>
      <c r="L182" t="n">
        <v>0</v>
      </c>
      <c r="M182" t="n">
        <v>0</v>
      </c>
      <c r="N182" t="n">
        <v>0</v>
      </c>
      <c r="O182" t="n">
        <v>0</v>
      </c>
      <c r="P182" t="n">
        <v>0</v>
      </c>
      <c r="Q182" t="n">
        <v>0</v>
      </c>
      <c r="R182" s="2" t="inlineStr"/>
    </row>
    <row r="183" ht="15" customHeight="1">
      <c r="A183" t="inlineStr">
        <is>
          <t>A 57752-2018</t>
        </is>
      </c>
      <c r="B183" s="1" t="n">
        <v>43397</v>
      </c>
      <c r="C183" s="1" t="n">
        <v>45357</v>
      </c>
      <c r="D183" t="inlineStr">
        <is>
          <t>JÄMTLANDS LÄN</t>
        </is>
      </c>
      <c r="E183" t="inlineStr">
        <is>
          <t>ÅRE</t>
        </is>
      </c>
      <c r="G183" t="n">
        <v>0.7</v>
      </c>
      <c r="H183" t="n">
        <v>0</v>
      </c>
      <c r="I183" t="n">
        <v>0</v>
      </c>
      <c r="J183" t="n">
        <v>0</v>
      </c>
      <c r="K183" t="n">
        <v>0</v>
      </c>
      <c r="L183" t="n">
        <v>0</v>
      </c>
      <c r="M183" t="n">
        <v>0</v>
      </c>
      <c r="N183" t="n">
        <v>0</v>
      </c>
      <c r="O183" t="n">
        <v>0</v>
      </c>
      <c r="P183" t="n">
        <v>0</v>
      </c>
      <c r="Q183" t="n">
        <v>0</v>
      </c>
      <c r="R183" s="2" t="inlineStr"/>
    </row>
    <row r="184" ht="15" customHeight="1">
      <c r="A184" t="inlineStr">
        <is>
          <t>A 56780-2018</t>
        </is>
      </c>
      <c r="B184" s="1" t="n">
        <v>43402</v>
      </c>
      <c r="C184" s="1" t="n">
        <v>45357</v>
      </c>
      <c r="D184" t="inlineStr">
        <is>
          <t>JÄMTLANDS LÄN</t>
        </is>
      </c>
      <c r="E184" t="inlineStr">
        <is>
          <t>ÅRE</t>
        </is>
      </c>
      <c r="G184" t="n">
        <v>45.1</v>
      </c>
      <c r="H184" t="n">
        <v>0</v>
      </c>
      <c r="I184" t="n">
        <v>0</v>
      </c>
      <c r="J184" t="n">
        <v>0</v>
      </c>
      <c r="K184" t="n">
        <v>0</v>
      </c>
      <c r="L184" t="n">
        <v>0</v>
      </c>
      <c r="M184" t="n">
        <v>0</v>
      </c>
      <c r="N184" t="n">
        <v>0</v>
      </c>
      <c r="O184" t="n">
        <v>0</v>
      </c>
      <c r="P184" t="n">
        <v>0</v>
      </c>
      <c r="Q184" t="n">
        <v>0</v>
      </c>
      <c r="R184" s="2" t="inlineStr"/>
    </row>
    <row r="185" ht="15" customHeight="1">
      <c r="A185" t="inlineStr">
        <is>
          <t>A 61015-2018</t>
        </is>
      </c>
      <c r="B185" s="1" t="n">
        <v>43423</v>
      </c>
      <c r="C185" s="1" t="n">
        <v>45357</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61054-2018</t>
        </is>
      </c>
      <c r="B186" s="1" t="n">
        <v>43423</v>
      </c>
      <c r="C186" s="1" t="n">
        <v>45357</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61002-2018</t>
        </is>
      </c>
      <c r="B187" s="1" t="n">
        <v>43423</v>
      </c>
      <c r="C187" s="1" t="n">
        <v>45357</v>
      </c>
      <c r="D187" t="inlineStr">
        <is>
          <t>JÄMTLANDS LÄN</t>
        </is>
      </c>
      <c r="E187" t="inlineStr">
        <is>
          <t>ÅRE</t>
        </is>
      </c>
      <c r="G187" t="n">
        <v>3.5</v>
      </c>
      <c r="H187" t="n">
        <v>0</v>
      </c>
      <c r="I187" t="n">
        <v>0</v>
      </c>
      <c r="J187" t="n">
        <v>0</v>
      </c>
      <c r="K187" t="n">
        <v>0</v>
      </c>
      <c r="L187" t="n">
        <v>0</v>
      </c>
      <c r="M187" t="n">
        <v>0</v>
      </c>
      <c r="N187" t="n">
        <v>0</v>
      </c>
      <c r="O187" t="n">
        <v>0</v>
      </c>
      <c r="P187" t="n">
        <v>0</v>
      </c>
      <c r="Q187" t="n">
        <v>0</v>
      </c>
      <c r="R187" s="2" t="inlineStr"/>
    </row>
    <row r="188" ht="15" customHeight="1">
      <c r="A188" t="inlineStr">
        <is>
          <t>A 61032-2018</t>
        </is>
      </c>
      <c r="B188" s="1" t="n">
        <v>43423</v>
      </c>
      <c r="C188" s="1" t="n">
        <v>45357</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61198-2018</t>
        </is>
      </c>
      <c r="B189" s="1" t="n">
        <v>43423</v>
      </c>
      <c r="C189" s="1" t="n">
        <v>45357</v>
      </c>
      <c r="D189" t="inlineStr">
        <is>
          <t>JÄMTLANDS LÄN</t>
        </is>
      </c>
      <c r="E189" t="inlineStr">
        <is>
          <t>ÅRE</t>
        </is>
      </c>
      <c r="G189" t="n">
        <v>4.2</v>
      </c>
      <c r="H189" t="n">
        <v>0</v>
      </c>
      <c r="I189" t="n">
        <v>0</v>
      </c>
      <c r="J189" t="n">
        <v>0</v>
      </c>
      <c r="K189" t="n">
        <v>0</v>
      </c>
      <c r="L189" t="n">
        <v>0</v>
      </c>
      <c r="M189" t="n">
        <v>0</v>
      </c>
      <c r="N189" t="n">
        <v>0</v>
      </c>
      <c r="O189" t="n">
        <v>0</v>
      </c>
      <c r="P189" t="n">
        <v>0</v>
      </c>
      <c r="Q189" t="n">
        <v>0</v>
      </c>
      <c r="R189" s="2" t="inlineStr"/>
    </row>
    <row r="190" ht="15" customHeight="1">
      <c r="A190" t="inlineStr">
        <is>
          <t>A 61062-2018</t>
        </is>
      </c>
      <c r="B190" s="1" t="n">
        <v>43423</v>
      </c>
      <c r="C190" s="1" t="n">
        <v>45357</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61508-2018</t>
        </is>
      </c>
      <c r="B191" s="1" t="n">
        <v>43424</v>
      </c>
      <c r="C191" s="1" t="n">
        <v>45357</v>
      </c>
      <c r="D191" t="inlineStr">
        <is>
          <t>JÄMTLANDS LÄN</t>
        </is>
      </c>
      <c r="E191" t="inlineStr">
        <is>
          <t>ÅRE</t>
        </is>
      </c>
      <c r="G191" t="n">
        <v>1.9</v>
      </c>
      <c r="H191" t="n">
        <v>0</v>
      </c>
      <c r="I191" t="n">
        <v>0</v>
      </c>
      <c r="J191" t="n">
        <v>0</v>
      </c>
      <c r="K191" t="n">
        <v>0</v>
      </c>
      <c r="L191" t="n">
        <v>0</v>
      </c>
      <c r="M191" t="n">
        <v>0</v>
      </c>
      <c r="N191" t="n">
        <v>0</v>
      </c>
      <c r="O191" t="n">
        <v>0</v>
      </c>
      <c r="P191" t="n">
        <v>0</v>
      </c>
      <c r="Q191" t="n">
        <v>0</v>
      </c>
      <c r="R191" s="2" t="inlineStr"/>
    </row>
    <row r="192" ht="15" customHeight="1">
      <c r="A192" t="inlineStr">
        <is>
          <t>A 61499-2018</t>
        </is>
      </c>
      <c r="B192" s="1" t="n">
        <v>43424</v>
      </c>
      <c r="C192" s="1" t="n">
        <v>45357</v>
      </c>
      <c r="D192" t="inlineStr">
        <is>
          <t>JÄMTLANDS LÄN</t>
        </is>
      </c>
      <c r="E192" t="inlineStr">
        <is>
          <t>ÅRE</t>
        </is>
      </c>
      <c r="G192" t="n">
        <v>20.6</v>
      </c>
      <c r="H192" t="n">
        <v>0</v>
      </c>
      <c r="I192" t="n">
        <v>0</v>
      </c>
      <c r="J192" t="n">
        <v>0</v>
      </c>
      <c r="K192" t="n">
        <v>0</v>
      </c>
      <c r="L192" t="n">
        <v>0</v>
      </c>
      <c r="M192" t="n">
        <v>0</v>
      </c>
      <c r="N192" t="n">
        <v>0</v>
      </c>
      <c r="O192" t="n">
        <v>0</v>
      </c>
      <c r="P192" t="n">
        <v>0</v>
      </c>
      <c r="Q192" t="n">
        <v>0</v>
      </c>
      <c r="R192" s="2" t="inlineStr"/>
    </row>
    <row r="193" ht="15" customHeight="1">
      <c r="A193" t="inlineStr">
        <is>
          <t>A 62167-2018</t>
        </is>
      </c>
      <c r="B193" s="1" t="n">
        <v>43425</v>
      </c>
      <c r="C193" s="1" t="n">
        <v>45357</v>
      </c>
      <c r="D193" t="inlineStr">
        <is>
          <t>JÄMTLANDS LÄN</t>
        </is>
      </c>
      <c r="E193" t="inlineStr">
        <is>
          <t>ÅRE</t>
        </is>
      </c>
      <c r="G193" t="n">
        <v>9</v>
      </c>
      <c r="H193" t="n">
        <v>0</v>
      </c>
      <c r="I193" t="n">
        <v>0</v>
      </c>
      <c r="J193" t="n">
        <v>0</v>
      </c>
      <c r="K193" t="n">
        <v>0</v>
      </c>
      <c r="L193" t="n">
        <v>0</v>
      </c>
      <c r="M193" t="n">
        <v>0</v>
      </c>
      <c r="N193" t="n">
        <v>0</v>
      </c>
      <c r="O193" t="n">
        <v>0</v>
      </c>
      <c r="P193" t="n">
        <v>0</v>
      </c>
      <c r="Q193" t="n">
        <v>0</v>
      </c>
      <c r="R193" s="2" t="inlineStr"/>
    </row>
    <row r="194" ht="15" customHeight="1">
      <c r="A194" t="inlineStr">
        <is>
          <t>A 61897-2018</t>
        </is>
      </c>
      <c r="B194" s="1" t="n">
        <v>43425</v>
      </c>
      <c r="C194" s="1" t="n">
        <v>45357</v>
      </c>
      <c r="D194" t="inlineStr">
        <is>
          <t>JÄMTLANDS LÄN</t>
        </is>
      </c>
      <c r="E194" t="inlineStr">
        <is>
          <t>ÅRE</t>
        </is>
      </c>
      <c r="G194" t="n">
        <v>2.5</v>
      </c>
      <c r="H194" t="n">
        <v>0</v>
      </c>
      <c r="I194" t="n">
        <v>0</v>
      </c>
      <c r="J194" t="n">
        <v>0</v>
      </c>
      <c r="K194" t="n">
        <v>0</v>
      </c>
      <c r="L194" t="n">
        <v>0</v>
      </c>
      <c r="M194" t="n">
        <v>0</v>
      </c>
      <c r="N194" t="n">
        <v>0</v>
      </c>
      <c r="O194" t="n">
        <v>0</v>
      </c>
      <c r="P194" t="n">
        <v>0</v>
      </c>
      <c r="Q194" t="n">
        <v>0</v>
      </c>
      <c r="R194" s="2" t="inlineStr"/>
    </row>
    <row r="195" ht="15" customHeight="1">
      <c r="A195" t="inlineStr">
        <is>
          <t>A 63724-2018</t>
        </is>
      </c>
      <c r="B195" s="1" t="n">
        <v>43428</v>
      </c>
      <c r="C195" s="1" t="n">
        <v>45357</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63720-2018</t>
        </is>
      </c>
      <c r="B196" s="1" t="n">
        <v>43428</v>
      </c>
      <c r="C196" s="1" t="n">
        <v>45357</v>
      </c>
      <c r="D196" t="inlineStr">
        <is>
          <t>JÄMTLANDS LÄN</t>
        </is>
      </c>
      <c r="E196" t="inlineStr">
        <is>
          <t>ÅRE</t>
        </is>
      </c>
      <c r="G196" t="n">
        <v>1.5</v>
      </c>
      <c r="H196" t="n">
        <v>0</v>
      </c>
      <c r="I196" t="n">
        <v>0</v>
      </c>
      <c r="J196" t="n">
        <v>0</v>
      </c>
      <c r="K196" t="n">
        <v>0</v>
      </c>
      <c r="L196" t="n">
        <v>0</v>
      </c>
      <c r="M196" t="n">
        <v>0</v>
      </c>
      <c r="N196" t="n">
        <v>0</v>
      </c>
      <c r="O196" t="n">
        <v>0</v>
      </c>
      <c r="P196" t="n">
        <v>0</v>
      </c>
      <c r="Q196" t="n">
        <v>0</v>
      </c>
      <c r="R196" s="2" t="inlineStr"/>
    </row>
    <row r="197" ht="15" customHeight="1">
      <c r="A197" t="inlineStr">
        <is>
          <t>A 63726-2018</t>
        </is>
      </c>
      <c r="B197" s="1" t="n">
        <v>43428</v>
      </c>
      <c r="C197" s="1" t="n">
        <v>45357</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63721-2018</t>
        </is>
      </c>
      <c r="B198" s="1" t="n">
        <v>43428</v>
      </c>
      <c r="C198" s="1" t="n">
        <v>45357</v>
      </c>
      <c r="D198" t="inlineStr">
        <is>
          <t>JÄMTLANDS LÄN</t>
        </is>
      </c>
      <c r="E198" t="inlineStr">
        <is>
          <t>ÅRE</t>
        </is>
      </c>
      <c r="G198" t="n">
        <v>1.3</v>
      </c>
      <c r="H198" t="n">
        <v>0</v>
      </c>
      <c r="I198" t="n">
        <v>0</v>
      </c>
      <c r="J198" t="n">
        <v>0</v>
      </c>
      <c r="K198" t="n">
        <v>0</v>
      </c>
      <c r="L198" t="n">
        <v>0</v>
      </c>
      <c r="M198" t="n">
        <v>0</v>
      </c>
      <c r="N198" t="n">
        <v>0</v>
      </c>
      <c r="O198" t="n">
        <v>0</v>
      </c>
      <c r="P198" t="n">
        <v>0</v>
      </c>
      <c r="Q198" t="n">
        <v>0</v>
      </c>
      <c r="R198" s="2" t="inlineStr"/>
    </row>
    <row r="199" ht="15" customHeight="1">
      <c r="A199" t="inlineStr">
        <is>
          <t>A 63725-2018</t>
        </is>
      </c>
      <c r="B199" s="1" t="n">
        <v>43428</v>
      </c>
      <c r="C199" s="1" t="n">
        <v>45357</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64630-2018</t>
        </is>
      </c>
      <c r="B200" s="1" t="n">
        <v>43431</v>
      </c>
      <c r="C200" s="1" t="n">
        <v>45357</v>
      </c>
      <c r="D200" t="inlineStr">
        <is>
          <t>JÄMTLANDS LÄN</t>
        </is>
      </c>
      <c r="E200" t="inlineStr">
        <is>
          <t>ÅRE</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65264-2018</t>
        </is>
      </c>
      <c r="B201" s="1" t="n">
        <v>43432</v>
      </c>
      <c r="C201" s="1" t="n">
        <v>45357</v>
      </c>
      <c r="D201" t="inlineStr">
        <is>
          <t>JÄMTLANDS LÄN</t>
        </is>
      </c>
      <c r="E201" t="inlineStr">
        <is>
          <t>ÅRE</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65243-2018</t>
        </is>
      </c>
      <c r="B202" s="1" t="n">
        <v>43432</v>
      </c>
      <c r="C202" s="1" t="n">
        <v>45357</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67305-2018</t>
        </is>
      </c>
      <c r="B203" s="1" t="n">
        <v>43439</v>
      </c>
      <c r="C203" s="1" t="n">
        <v>45357</v>
      </c>
      <c r="D203" t="inlineStr">
        <is>
          <t>JÄMTLANDS LÄN</t>
        </is>
      </c>
      <c r="E203" t="inlineStr">
        <is>
          <t>ÅRE</t>
        </is>
      </c>
      <c r="G203" t="n">
        <v>15.8</v>
      </c>
      <c r="H203" t="n">
        <v>0</v>
      </c>
      <c r="I203" t="n">
        <v>0</v>
      </c>
      <c r="J203" t="n">
        <v>0</v>
      </c>
      <c r="K203" t="n">
        <v>0</v>
      </c>
      <c r="L203" t="n">
        <v>0</v>
      </c>
      <c r="M203" t="n">
        <v>0</v>
      </c>
      <c r="N203" t="n">
        <v>0</v>
      </c>
      <c r="O203" t="n">
        <v>0</v>
      </c>
      <c r="P203" t="n">
        <v>0</v>
      </c>
      <c r="Q203" t="n">
        <v>0</v>
      </c>
      <c r="R203" s="2" t="inlineStr"/>
    </row>
    <row r="204" ht="15" customHeight="1">
      <c r="A204" t="inlineStr">
        <is>
          <t>A 68616-2018</t>
        </is>
      </c>
      <c r="B204" s="1" t="n">
        <v>43444</v>
      </c>
      <c r="C204" s="1" t="n">
        <v>45357</v>
      </c>
      <c r="D204" t="inlineStr">
        <is>
          <t>JÄMTLANDS LÄN</t>
        </is>
      </c>
      <c r="E204" t="inlineStr">
        <is>
          <t>ÅRE</t>
        </is>
      </c>
      <c r="G204" t="n">
        <v>4.2</v>
      </c>
      <c r="H204" t="n">
        <v>0</v>
      </c>
      <c r="I204" t="n">
        <v>0</v>
      </c>
      <c r="J204" t="n">
        <v>0</v>
      </c>
      <c r="K204" t="n">
        <v>0</v>
      </c>
      <c r="L204" t="n">
        <v>0</v>
      </c>
      <c r="M204" t="n">
        <v>0</v>
      </c>
      <c r="N204" t="n">
        <v>0</v>
      </c>
      <c r="O204" t="n">
        <v>0</v>
      </c>
      <c r="P204" t="n">
        <v>0</v>
      </c>
      <c r="Q204" t="n">
        <v>0</v>
      </c>
      <c r="R204" s="2" t="inlineStr"/>
    </row>
    <row r="205" ht="15" customHeight="1">
      <c r="A205" t="inlineStr">
        <is>
          <t>A 68659-2018</t>
        </is>
      </c>
      <c r="B205" s="1" t="n">
        <v>43444</v>
      </c>
      <c r="C205" s="1" t="n">
        <v>45357</v>
      </c>
      <c r="D205" t="inlineStr">
        <is>
          <t>JÄMTLANDS LÄN</t>
        </is>
      </c>
      <c r="E205" t="inlineStr">
        <is>
          <t>ÅRE</t>
        </is>
      </c>
      <c r="G205" t="n">
        <v>1.7</v>
      </c>
      <c r="H205" t="n">
        <v>0</v>
      </c>
      <c r="I205" t="n">
        <v>0</v>
      </c>
      <c r="J205" t="n">
        <v>0</v>
      </c>
      <c r="K205" t="n">
        <v>0</v>
      </c>
      <c r="L205" t="n">
        <v>0</v>
      </c>
      <c r="M205" t="n">
        <v>0</v>
      </c>
      <c r="N205" t="n">
        <v>0</v>
      </c>
      <c r="O205" t="n">
        <v>0</v>
      </c>
      <c r="P205" t="n">
        <v>0</v>
      </c>
      <c r="Q205" t="n">
        <v>0</v>
      </c>
      <c r="R205" s="2" t="inlineStr"/>
    </row>
    <row r="206" ht="15" customHeight="1">
      <c r="A206" t="inlineStr">
        <is>
          <t>A 68655-2018</t>
        </is>
      </c>
      <c r="B206" s="1" t="n">
        <v>43444</v>
      </c>
      <c r="C206" s="1" t="n">
        <v>45357</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69427-2018</t>
        </is>
      </c>
      <c r="B207" s="1" t="n">
        <v>43446</v>
      </c>
      <c r="C207" s="1" t="n">
        <v>45357</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80-2019</t>
        </is>
      </c>
      <c r="B208" s="1" t="n">
        <v>43467</v>
      </c>
      <c r="C208" s="1" t="n">
        <v>45357</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250-2019</t>
        </is>
      </c>
      <c r="B209" s="1" t="n">
        <v>43468</v>
      </c>
      <c r="C209" s="1" t="n">
        <v>45357</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685-2019</t>
        </is>
      </c>
      <c r="B210" s="1" t="n">
        <v>43469</v>
      </c>
      <c r="C210" s="1" t="n">
        <v>45357</v>
      </c>
      <c r="D210" t="inlineStr">
        <is>
          <t>JÄMTLANDS LÄN</t>
        </is>
      </c>
      <c r="E210" t="inlineStr">
        <is>
          <t>ÅRE</t>
        </is>
      </c>
      <c r="G210" t="n">
        <v>4.5</v>
      </c>
      <c r="H210" t="n">
        <v>0</v>
      </c>
      <c r="I210" t="n">
        <v>0</v>
      </c>
      <c r="J210" t="n">
        <v>0</v>
      </c>
      <c r="K210" t="n">
        <v>0</v>
      </c>
      <c r="L210" t="n">
        <v>0</v>
      </c>
      <c r="M210" t="n">
        <v>0</v>
      </c>
      <c r="N210" t="n">
        <v>0</v>
      </c>
      <c r="O210" t="n">
        <v>0</v>
      </c>
      <c r="P210" t="n">
        <v>0</v>
      </c>
      <c r="Q210" t="n">
        <v>0</v>
      </c>
      <c r="R210" s="2" t="inlineStr"/>
    </row>
    <row r="211" ht="15" customHeight="1">
      <c r="A211" t="inlineStr">
        <is>
          <t>A 2126-2019</t>
        </is>
      </c>
      <c r="B211" s="1" t="n">
        <v>43475</v>
      </c>
      <c r="C211" s="1" t="n">
        <v>45357</v>
      </c>
      <c r="D211" t="inlineStr">
        <is>
          <t>JÄMTLANDS LÄN</t>
        </is>
      </c>
      <c r="E211" t="inlineStr">
        <is>
          <t>ÅRE</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5930-2019</t>
        </is>
      </c>
      <c r="B212" s="1" t="n">
        <v>43490</v>
      </c>
      <c r="C212" s="1" t="n">
        <v>45357</v>
      </c>
      <c r="D212" t="inlineStr">
        <is>
          <t>JÄMTLANDS LÄN</t>
        </is>
      </c>
      <c r="E212" t="inlineStr">
        <is>
          <t>ÅRE</t>
        </is>
      </c>
      <c r="G212" t="n">
        <v>0.9</v>
      </c>
      <c r="H212" t="n">
        <v>0</v>
      </c>
      <c r="I212" t="n">
        <v>0</v>
      </c>
      <c r="J212" t="n">
        <v>0</v>
      </c>
      <c r="K212" t="n">
        <v>0</v>
      </c>
      <c r="L212" t="n">
        <v>0</v>
      </c>
      <c r="M212" t="n">
        <v>0</v>
      </c>
      <c r="N212" t="n">
        <v>0</v>
      </c>
      <c r="O212" t="n">
        <v>0</v>
      </c>
      <c r="P212" t="n">
        <v>0</v>
      </c>
      <c r="Q212" t="n">
        <v>0</v>
      </c>
      <c r="R212" s="2" t="inlineStr"/>
    </row>
    <row r="213" ht="15" customHeight="1">
      <c r="A213" t="inlineStr">
        <is>
          <t>A 5929-2019</t>
        </is>
      </c>
      <c r="B213" s="1" t="n">
        <v>43490</v>
      </c>
      <c r="C213" s="1" t="n">
        <v>45357</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5914-2019</t>
        </is>
      </c>
      <c r="B214" s="1" t="n">
        <v>43490</v>
      </c>
      <c r="C214" s="1" t="n">
        <v>45357</v>
      </c>
      <c r="D214" t="inlineStr">
        <is>
          <t>JÄMTLANDS LÄN</t>
        </is>
      </c>
      <c r="E214" t="inlineStr">
        <is>
          <t>ÅRE</t>
        </is>
      </c>
      <c r="G214" t="n">
        <v>3.5</v>
      </c>
      <c r="H214" t="n">
        <v>0</v>
      </c>
      <c r="I214" t="n">
        <v>0</v>
      </c>
      <c r="J214" t="n">
        <v>0</v>
      </c>
      <c r="K214" t="n">
        <v>0</v>
      </c>
      <c r="L214" t="n">
        <v>0</v>
      </c>
      <c r="M214" t="n">
        <v>0</v>
      </c>
      <c r="N214" t="n">
        <v>0</v>
      </c>
      <c r="O214" t="n">
        <v>0</v>
      </c>
      <c r="P214" t="n">
        <v>0</v>
      </c>
      <c r="Q214" t="n">
        <v>0</v>
      </c>
      <c r="R214" s="2" t="inlineStr"/>
    </row>
    <row r="215" ht="15" customHeight="1">
      <c r="A215" t="inlineStr">
        <is>
          <t>A 8001-2019</t>
        </is>
      </c>
      <c r="B215" s="1" t="n">
        <v>43501</v>
      </c>
      <c r="C215" s="1" t="n">
        <v>45357</v>
      </c>
      <c r="D215" t="inlineStr">
        <is>
          <t>JÄMTLANDS LÄN</t>
        </is>
      </c>
      <c r="E215" t="inlineStr">
        <is>
          <t>ÅRE</t>
        </is>
      </c>
      <c r="G215" t="n">
        <v>20.3</v>
      </c>
      <c r="H215" t="n">
        <v>0</v>
      </c>
      <c r="I215" t="n">
        <v>0</v>
      </c>
      <c r="J215" t="n">
        <v>0</v>
      </c>
      <c r="K215" t="n">
        <v>0</v>
      </c>
      <c r="L215" t="n">
        <v>0</v>
      </c>
      <c r="M215" t="n">
        <v>0</v>
      </c>
      <c r="N215" t="n">
        <v>0</v>
      </c>
      <c r="O215" t="n">
        <v>0</v>
      </c>
      <c r="P215" t="n">
        <v>0</v>
      </c>
      <c r="Q215" t="n">
        <v>0</v>
      </c>
      <c r="R215" s="2" t="inlineStr"/>
    </row>
    <row r="216" ht="15" customHeight="1">
      <c r="A216" t="inlineStr">
        <is>
          <t>A 8006-2019</t>
        </is>
      </c>
      <c r="B216" s="1" t="n">
        <v>43501</v>
      </c>
      <c r="C216" s="1" t="n">
        <v>45357</v>
      </c>
      <c r="D216" t="inlineStr">
        <is>
          <t>JÄMTLANDS LÄN</t>
        </is>
      </c>
      <c r="E216" t="inlineStr">
        <is>
          <t>ÅRE</t>
        </is>
      </c>
      <c r="G216" t="n">
        <v>23.8</v>
      </c>
      <c r="H216" t="n">
        <v>0</v>
      </c>
      <c r="I216" t="n">
        <v>0</v>
      </c>
      <c r="J216" t="n">
        <v>0</v>
      </c>
      <c r="K216" t="n">
        <v>0</v>
      </c>
      <c r="L216" t="n">
        <v>0</v>
      </c>
      <c r="M216" t="n">
        <v>0</v>
      </c>
      <c r="N216" t="n">
        <v>0</v>
      </c>
      <c r="O216" t="n">
        <v>0</v>
      </c>
      <c r="P216" t="n">
        <v>0</v>
      </c>
      <c r="Q216" t="n">
        <v>0</v>
      </c>
      <c r="R216" s="2" t="inlineStr"/>
    </row>
    <row r="217" ht="15" customHeight="1">
      <c r="A217" t="inlineStr">
        <is>
          <t>A 8931-2019</t>
        </is>
      </c>
      <c r="B217" s="1" t="n">
        <v>43503</v>
      </c>
      <c r="C217" s="1" t="n">
        <v>45357</v>
      </c>
      <c r="D217" t="inlineStr">
        <is>
          <t>JÄMTLANDS LÄN</t>
        </is>
      </c>
      <c r="E217" t="inlineStr">
        <is>
          <t>ÅRE</t>
        </is>
      </c>
      <c r="G217" t="n">
        <v>7.7</v>
      </c>
      <c r="H217" t="n">
        <v>0</v>
      </c>
      <c r="I217" t="n">
        <v>0</v>
      </c>
      <c r="J217" t="n">
        <v>0</v>
      </c>
      <c r="K217" t="n">
        <v>0</v>
      </c>
      <c r="L217" t="n">
        <v>0</v>
      </c>
      <c r="M217" t="n">
        <v>0</v>
      </c>
      <c r="N217" t="n">
        <v>0</v>
      </c>
      <c r="O217" t="n">
        <v>0</v>
      </c>
      <c r="P217" t="n">
        <v>0</v>
      </c>
      <c r="Q217" t="n">
        <v>0</v>
      </c>
      <c r="R217" s="2" t="inlineStr"/>
    </row>
    <row r="218" ht="15" customHeight="1">
      <c r="A218" t="inlineStr">
        <is>
          <t>A 8930-2019</t>
        </is>
      </c>
      <c r="B218" s="1" t="n">
        <v>43503</v>
      </c>
      <c r="C218" s="1" t="n">
        <v>45357</v>
      </c>
      <c r="D218" t="inlineStr">
        <is>
          <t>JÄMTLANDS LÄN</t>
        </is>
      </c>
      <c r="E218" t="inlineStr">
        <is>
          <t>ÅRE</t>
        </is>
      </c>
      <c r="G218" t="n">
        <v>1.7</v>
      </c>
      <c r="H218" t="n">
        <v>0</v>
      </c>
      <c r="I218" t="n">
        <v>0</v>
      </c>
      <c r="J218" t="n">
        <v>0</v>
      </c>
      <c r="K218" t="n">
        <v>0</v>
      </c>
      <c r="L218" t="n">
        <v>0</v>
      </c>
      <c r="M218" t="n">
        <v>0</v>
      </c>
      <c r="N218" t="n">
        <v>0</v>
      </c>
      <c r="O218" t="n">
        <v>0</v>
      </c>
      <c r="P218" t="n">
        <v>0</v>
      </c>
      <c r="Q218" t="n">
        <v>0</v>
      </c>
      <c r="R218" s="2" t="inlineStr"/>
    </row>
    <row r="219" ht="15" customHeight="1">
      <c r="A219" t="inlineStr">
        <is>
          <t>A 10106-2019</t>
        </is>
      </c>
      <c r="B219" s="1" t="n">
        <v>43510</v>
      </c>
      <c r="C219" s="1" t="n">
        <v>45357</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10111-2019</t>
        </is>
      </c>
      <c r="B220" s="1" t="n">
        <v>43510</v>
      </c>
      <c r="C220" s="1" t="n">
        <v>45357</v>
      </c>
      <c r="D220" t="inlineStr">
        <is>
          <t>JÄMTLANDS LÄN</t>
        </is>
      </c>
      <c r="E220" t="inlineStr">
        <is>
          <t>ÅRE</t>
        </is>
      </c>
      <c r="G220" t="n">
        <v>2.8</v>
      </c>
      <c r="H220" t="n">
        <v>0</v>
      </c>
      <c r="I220" t="n">
        <v>0</v>
      </c>
      <c r="J220" t="n">
        <v>0</v>
      </c>
      <c r="K220" t="n">
        <v>0</v>
      </c>
      <c r="L220" t="n">
        <v>0</v>
      </c>
      <c r="M220" t="n">
        <v>0</v>
      </c>
      <c r="N220" t="n">
        <v>0</v>
      </c>
      <c r="O220" t="n">
        <v>0</v>
      </c>
      <c r="P220" t="n">
        <v>0</v>
      </c>
      <c r="Q220" t="n">
        <v>0</v>
      </c>
      <c r="R220" s="2" t="inlineStr"/>
    </row>
    <row r="221" ht="15" customHeight="1">
      <c r="A221" t="inlineStr">
        <is>
          <t>A 11983-2019</t>
        </is>
      </c>
      <c r="B221" s="1" t="n">
        <v>43521</v>
      </c>
      <c r="C221" s="1" t="n">
        <v>45357</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14394-2019</t>
        </is>
      </c>
      <c r="B222" s="1" t="n">
        <v>43536</v>
      </c>
      <c r="C222" s="1" t="n">
        <v>45357</v>
      </c>
      <c r="D222" t="inlineStr">
        <is>
          <t>JÄMTLANDS LÄN</t>
        </is>
      </c>
      <c r="E222" t="inlineStr">
        <is>
          <t>ÅRE</t>
        </is>
      </c>
      <c r="G222" t="n">
        <v>0.5</v>
      </c>
      <c r="H222" t="n">
        <v>0</v>
      </c>
      <c r="I222" t="n">
        <v>0</v>
      </c>
      <c r="J222" t="n">
        <v>0</v>
      </c>
      <c r="K222" t="n">
        <v>0</v>
      </c>
      <c r="L222" t="n">
        <v>0</v>
      </c>
      <c r="M222" t="n">
        <v>0</v>
      </c>
      <c r="N222" t="n">
        <v>0</v>
      </c>
      <c r="O222" t="n">
        <v>0</v>
      </c>
      <c r="P222" t="n">
        <v>0</v>
      </c>
      <c r="Q222" t="n">
        <v>0</v>
      </c>
      <c r="R222" s="2" t="inlineStr"/>
    </row>
    <row r="223" ht="15" customHeight="1">
      <c r="A223" t="inlineStr">
        <is>
          <t>A 17404-2019</t>
        </is>
      </c>
      <c r="B223" s="1" t="n">
        <v>43552</v>
      </c>
      <c r="C223" s="1" t="n">
        <v>45357</v>
      </c>
      <c r="D223" t="inlineStr">
        <is>
          <t>JÄMTLANDS LÄN</t>
        </is>
      </c>
      <c r="E223" t="inlineStr">
        <is>
          <t>ÅRE</t>
        </is>
      </c>
      <c r="G223" t="n">
        <v>2.2</v>
      </c>
      <c r="H223" t="n">
        <v>0</v>
      </c>
      <c r="I223" t="n">
        <v>0</v>
      </c>
      <c r="J223" t="n">
        <v>0</v>
      </c>
      <c r="K223" t="n">
        <v>0</v>
      </c>
      <c r="L223" t="n">
        <v>0</v>
      </c>
      <c r="M223" t="n">
        <v>0</v>
      </c>
      <c r="N223" t="n">
        <v>0</v>
      </c>
      <c r="O223" t="n">
        <v>0</v>
      </c>
      <c r="P223" t="n">
        <v>0</v>
      </c>
      <c r="Q223" t="n">
        <v>0</v>
      </c>
      <c r="R223" s="2" t="inlineStr"/>
    </row>
    <row r="224" ht="15" customHeight="1">
      <c r="A224" t="inlineStr">
        <is>
          <t>A 21532-2019</t>
        </is>
      </c>
      <c r="B224" s="1" t="n">
        <v>43580</v>
      </c>
      <c r="C224" s="1" t="n">
        <v>45357</v>
      </c>
      <c r="D224" t="inlineStr">
        <is>
          <t>JÄMTLANDS LÄN</t>
        </is>
      </c>
      <c r="E224" t="inlineStr">
        <is>
          <t>ÅRE</t>
        </is>
      </c>
      <c r="G224" t="n">
        <v>20.1</v>
      </c>
      <c r="H224" t="n">
        <v>0</v>
      </c>
      <c r="I224" t="n">
        <v>0</v>
      </c>
      <c r="J224" t="n">
        <v>0</v>
      </c>
      <c r="K224" t="n">
        <v>0</v>
      </c>
      <c r="L224" t="n">
        <v>0</v>
      </c>
      <c r="M224" t="n">
        <v>0</v>
      </c>
      <c r="N224" t="n">
        <v>0</v>
      </c>
      <c r="O224" t="n">
        <v>0</v>
      </c>
      <c r="P224" t="n">
        <v>0</v>
      </c>
      <c r="Q224" t="n">
        <v>0</v>
      </c>
      <c r="R224" s="2" t="inlineStr"/>
    </row>
    <row r="225" ht="15" customHeight="1">
      <c r="A225" t="inlineStr">
        <is>
          <t>A 21883-2019</t>
        </is>
      </c>
      <c r="B225" s="1" t="n">
        <v>43584</v>
      </c>
      <c r="C225" s="1" t="n">
        <v>45357</v>
      </c>
      <c r="D225" t="inlineStr">
        <is>
          <t>JÄMTLANDS LÄN</t>
        </is>
      </c>
      <c r="E225" t="inlineStr">
        <is>
          <t>ÅRE</t>
        </is>
      </c>
      <c r="G225" t="n">
        <v>2.6</v>
      </c>
      <c r="H225" t="n">
        <v>0</v>
      </c>
      <c r="I225" t="n">
        <v>0</v>
      </c>
      <c r="J225" t="n">
        <v>0</v>
      </c>
      <c r="K225" t="n">
        <v>0</v>
      </c>
      <c r="L225" t="n">
        <v>0</v>
      </c>
      <c r="M225" t="n">
        <v>0</v>
      </c>
      <c r="N225" t="n">
        <v>0</v>
      </c>
      <c r="O225" t="n">
        <v>0</v>
      </c>
      <c r="P225" t="n">
        <v>0</v>
      </c>
      <c r="Q225" t="n">
        <v>0</v>
      </c>
      <c r="R225" s="2" t="inlineStr"/>
    </row>
    <row r="226" ht="15" customHeight="1">
      <c r="A226" t="inlineStr">
        <is>
          <t>A 22558-2019</t>
        </is>
      </c>
      <c r="B226" s="1" t="n">
        <v>43587</v>
      </c>
      <c r="C226" s="1" t="n">
        <v>45357</v>
      </c>
      <c r="D226" t="inlineStr">
        <is>
          <t>JÄMTLANDS LÄN</t>
        </is>
      </c>
      <c r="E226" t="inlineStr">
        <is>
          <t>ÅRE</t>
        </is>
      </c>
      <c r="G226" t="n">
        <v>79.09999999999999</v>
      </c>
      <c r="H226" t="n">
        <v>0</v>
      </c>
      <c r="I226" t="n">
        <v>0</v>
      </c>
      <c r="J226" t="n">
        <v>0</v>
      </c>
      <c r="K226" t="n">
        <v>0</v>
      </c>
      <c r="L226" t="n">
        <v>0</v>
      </c>
      <c r="M226" t="n">
        <v>0</v>
      </c>
      <c r="N226" t="n">
        <v>0</v>
      </c>
      <c r="O226" t="n">
        <v>0</v>
      </c>
      <c r="P226" t="n">
        <v>0</v>
      </c>
      <c r="Q226" t="n">
        <v>0</v>
      </c>
      <c r="R226" s="2" t="inlineStr"/>
    </row>
    <row r="227" ht="15" customHeight="1">
      <c r="A227" t="inlineStr">
        <is>
          <t>A 25099-2019</t>
        </is>
      </c>
      <c r="B227" s="1" t="n">
        <v>43605</v>
      </c>
      <c r="C227" s="1" t="n">
        <v>45357</v>
      </c>
      <c r="D227" t="inlineStr">
        <is>
          <t>JÄMTLANDS LÄN</t>
        </is>
      </c>
      <c r="E227" t="inlineStr">
        <is>
          <t>ÅRE</t>
        </is>
      </c>
      <c r="G227" t="n">
        <v>8.9</v>
      </c>
      <c r="H227" t="n">
        <v>0</v>
      </c>
      <c r="I227" t="n">
        <v>0</v>
      </c>
      <c r="J227" t="n">
        <v>0</v>
      </c>
      <c r="K227" t="n">
        <v>0</v>
      </c>
      <c r="L227" t="n">
        <v>0</v>
      </c>
      <c r="M227" t="n">
        <v>0</v>
      </c>
      <c r="N227" t="n">
        <v>0</v>
      </c>
      <c r="O227" t="n">
        <v>0</v>
      </c>
      <c r="P227" t="n">
        <v>0</v>
      </c>
      <c r="Q227" t="n">
        <v>0</v>
      </c>
      <c r="R227" s="2" t="inlineStr"/>
    </row>
    <row r="228" ht="15" customHeight="1">
      <c r="A228" t="inlineStr">
        <is>
          <t>A 26624-2019</t>
        </is>
      </c>
      <c r="B228" s="1" t="n">
        <v>43612</v>
      </c>
      <c r="C228" s="1" t="n">
        <v>45357</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26626-2019</t>
        </is>
      </c>
      <c r="B229" s="1" t="n">
        <v>43612</v>
      </c>
      <c r="C229" s="1" t="n">
        <v>45357</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28793-2019</t>
        </is>
      </c>
      <c r="B230" s="1" t="n">
        <v>43627</v>
      </c>
      <c r="C230" s="1" t="n">
        <v>45357</v>
      </c>
      <c r="D230" t="inlineStr">
        <is>
          <t>JÄMTLANDS LÄN</t>
        </is>
      </c>
      <c r="E230" t="inlineStr">
        <is>
          <t>ÅRE</t>
        </is>
      </c>
      <c r="G230" t="n">
        <v>7.8</v>
      </c>
      <c r="H230" t="n">
        <v>0</v>
      </c>
      <c r="I230" t="n">
        <v>0</v>
      </c>
      <c r="J230" t="n">
        <v>0</v>
      </c>
      <c r="K230" t="n">
        <v>0</v>
      </c>
      <c r="L230" t="n">
        <v>0</v>
      </c>
      <c r="M230" t="n">
        <v>0</v>
      </c>
      <c r="N230" t="n">
        <v>0</v>
      </c>
      <c r="O230" t="n">
        <v>0</v>
      </c>
      <c r="P230" t="n">
        <v>0</v>
      </c>
      <c r="Q230" t="n">
        <v>0</v>
      </c>
      <c r="R230" s="2" t="inlineStr"/>
    </row>
    <row r="231" ht="15" customHeight="1">
      <c r="A231" t="inlineStr">
        <is>
          <t>A 29272-2019</t>
        </is>
      </c>
      <c r="B231" s="1" t="n">
        <v>43629</v>
      </c>
      <c r="C231" s="1" t="n">
        <v>45357</v>
      </c>
      <c r="D231" t="inlineStr">
        <is>
          <t>JÄMTLANDS LÄN</t>
        </is>
      </c>
      <c r="E231" t="inlineStr">
        <is>
          <t>ÅRE</t>
        </is>
      </c>
      <c r="G231" t="n">
        <v>10.9</v>
      </c>
      <c r="H231" t="n">
        <v>0</v>
      </c>
      <c r="I231" t="n">
        <v>0</v>
      </c>
      <c r="J231" t="n">
        <v>0</v>
      </c>
      <c r="K231" t="n">
        <v>0</v>
      </c>
      <c r="L231" t="n">
        <v>0</v>
      </c>
      <c r="M231" t="n">
        <v>0</v>
      </c>
      <c r="N231" t="n">
        <v>0</v>
      </c>
      <c r="O231" t="n">
        <v>0</v>
      </c>
      <c r="P231" t="n">
        <v>0</v>
      </c>
      <c r="Q231" t="n">
        <v>0</v>
      </c>
      <c r="R231" s="2" t="inlineStr"/>
    </row>
    <row r="232" ht="15" customHeight="1">
      <c r="A232" t="inlineStr">
        <is>
          <t>A 29769-2019</t>
        </is>
      </c>
      <c r="B232" s="1" t="n">
        <v>43632</v>
      </c>
      <c r="C232" s="1" t="n">
        <v>45357</v>
      </c>
      <c r="D232" t="inlineStr">
        <is>
          <t>JÄMTLANDS LÄN</t>
        </is>
      </c>
      <c r="E232" t="inlineStr">
        <is>
          <t>ÅRE</t>
        </is>
      </c>
      <c r="G232" t="n">
        <v>1.8</v>
      </c>
      <c r="H232" t="n">
        <v>0</v>
      </c>
      <c r="I232" t="n">
        <v>0</v>
      </c>
      <c r="J232" t="n">
        <v>0</v>
      </c>
      <c r="K232" t="n">
        <v>0</v>
      </c>
      <c r="L232" t="n">
        <v>0</v>
      </c>
      <c r="M232" t="n">
        <v>0</v>
      </c>
      <c r="N232" t="n">
        <v>0</v>
      </c>
      <c r="O232" t="n">
        <v>0</v>
      </c>
      <c r="P232" t="n">
        <v>0</v>
      </c>
      <c r="Q232" t="n">
        <v>0</v>
      </c>
      <c r="R232" s="2" t="inlineStr"/>
    </row>
    <row r="233" ht="15" customHeight="1">
      <c r="A233" t="inlineStr">
        <is>
          <t>A 29916-2019</t>
        </is>
      </c>
      <c r="B233" s="1" t="n">
        <v>43633</v>
      </c>
      <c r="C233" s="1" t="n">
        <v>45357</v>
      </c>
      <c r="D233" t="inlineStr">
        <is>
          <t>JÄMTLANDS LÄN</t>
        </is>
      </c>
      <c r="E233" t="inlineStr">
        <is>
          <t>ÅRE</t>
        </is>
      </c>
      <c r="G233" t="n">
        <v>2.5</v>
      </c>
      <c r="H233" t="n">
        <v>0</v>
      </c>
      <c r="I233" t="n">
        <v>0</v>
      </c>
      <c r="J233" t="n">
        <v>0</v>
      </c>
      <c r="K233" t="n">
        <v>0</v>
      </c>
      <c r="L233" t="n">
        <v>0</v>
      </c>
      <c r="M233" t="n">
        <v>0</v>
      </c>
      <c r="N233" t="n">
        <v>0</v>
      </c>
      <c r="O233" t="n">
        <v>0</v>
      </c>
      <c r="P233" t="n">
        <v>0</v>
      </c>
      <c r="Q233" t="n">
        <v>0</v>
      </c>
      <c r="R233" s="2" t="inlineStr"/>
    </row>
    <row r="234" ht="15" customHeight="1">
      <c r="A234" t="inlineStr">
        <is>
          <t>A 30384-2019</t>
        </is>
      </c>
      <c r="B234" s="1" t="n">
        <v>43634</v>
      </c>
      <c r="C234" s="1" t="n">
        <v>45357</v>
      </c>
      <c r="D234" t="inlineStr">
        <is>
          <t>JÄMTLANDS LÄN</t>
        </is>
      </c>
      <c r="E234" t="inlineStr">
        <is>
          <t>ÅRE</t>
        </is>
      </c>
      <c r="G234" t="n">
        <v>19</v>
      </c>
      <c r="H234" t="n">
        <v>0</v>
      </c>
      <c r="I234" t="n">
        <v>0</v>
      </c>
      <c r="J234" t="n">
        <v>0</v>
      </c>
      <c r="K234" t="n">
        <v>0</v>
      </c>
      <c r="L234" t="n">
        <v>0</v>
      </c>
      <c r="M234" t="n">
        <v>0</v>
      </c>
      <c r="N234" t="n">
        <v>0</v>
      </c>
      <c r="O234" t="n">
        <v>0</v>
      </c>
      <c r="P234" t="n">
        <v>0</v>
      </c>
      <c r="Q234" t="n">
        <v>0</v>
      </c>
      <c r="R234" s="2" t="inlineStr"/>
    </row>
    <row r="235" ht="15" customHeight="1">
      <c r="A235" t="inlineStr">
        <is>
          <t>A 33856-2019</t>
        </is>
      </c>
      <c r="B235" s="1" t="n">
        <v>43652</v>
      </c>
      <c r="C235" s="1" t="n">
        <v>45357</v>
      </c>
      <c r="D235" t="inlineStr">
        <is>
          <t>JÄMTLANDS LÄN</t>
        </is>
      </c>
      <c r="E235" t="inlineStr">
        <is>
          <t>ÅRE</t>
        </is>
      </c>
      <c r="G235" t="n">
        <v>9.6</v>
      </c>
      <c r="H235" t="n">
        <v>0</v>
      </c>
      <c r="I235" t="n">
        <v>0</v>
      </c>
      <c r="J235" t="n">
        <v>0</v>
      </c>
      <c r="K235" t="n">
        <v>0</v>
      </c>
      <c r="L235" t="n">
        <v>0</v>
      </c>
      <c r="M235" t="n">
        <v>0</v>
      </c>
      <c r="N235" t="n">
        <v>0</v>
      </c>
      <c r="O235" t="n">
        <v>0</v>
      </c>
      <c r="P235" t="n">
        <v>0</v>
      </c>
      <c r="Q235" t="n">
        <v>0</v>
      </c>
      <c r="R235" s="2" t="inlineStr"/>
    </row>
    <row r="236" ht="15" customHeight="1">
      <c r="A236" t="inlineStr">
        <is>
          <t>A 35391-2019</t>
        </is>
      </c>
      <c r="B236" s="1" t="n">
        <v>43661</v>
      </c>
      <c r="C236" s="1" t="n">
        <v>45357</v>
      </c>
      <c r="D236" t="inlineStr">
        <is>
          <t>JÄMTLANDS LÄN</t>
        </is>
      </c>
      <c r="E236" t="inlineStr">
        <is>
          <t>ÅRE</t>
        </is>
      </c>
      <c r="G236" t="n">
        <v>19.7</v>
      </c>
      <c r="H236" t="n">
        <v>0</v>
      </c>
      <c r="I236" t="n">
        <v>0</v>
      </c>
      <c r="J236" t="n">
        <v>0</v>
      </c>
      <c r="K236" t="n">
        <v>0</v>
      </c>
      <c r="L236" t="n">
        <v>0</v>
      </c>
      <c r="M236" t="n">
        <v>0</v>
      </c>
      <c r="N236" t="n">
        <v>0</v>
      </c>
      <c r="O236" t="n">
        <v>0</v>
      </c>
      <c r="P236" t="n">
        <v>0</v>
      </c>
      <c r="Q236" t="n">
        <v>0</v>
      </c>
      <c r="R236" s="2" t="inlineStr"/>
    </row>
    <row r="237" ht="15" customHeight="1">
      <c r="A237" t="inlineStr">
        <is>
          <t>A 35485-2019</t>
        </is>
      </c>
      <c r="B237" s="1" t="n">
        <v>43661</v>
      </c>
      <c r="C237" s="1" t="n">
        <v>45357</v>
      </c>
      <c r="D237" t="inlineStr">
        <is>
          <t>JÄMTLANDS LÄN</t>
        </is>
      </c>
      <c r="E237" t="inlineStr">
        <is>
          <t>ÅRE</t>
        </is>
      </c>
      <c r="G237" t="n">
        <v>5.5</v>
      </c>
      <c r="H237" t="n">
        <v>0</v>
      </c>
      <c r="I237" t="n">
        <v>0</v>
      </c>
      <c r="J237" t="n">
        <v>0</v>
      </c>
      <c r="K237" t="n">
        <v>0</v>
      </c>
      <c r="L237" t="n">
        <v>0</v>
      </c>
      <c r="M237" t="n">
        <v>0</v>
      </c>
      <c r="N237" t="n">
        <v>0</v>
      </c>
      <c r="O237" t="n">
        <v>0</v>
      </c>
      <c r="P237" t="n">
        <v>0</v>
      </c>
      <c r="Q237" t="n">
        <v>0</v>
      </c>
      <c r="R237" s="2" t="inlineStr"/>
    </row>
    <row r="238" ht="15" customHeight="1">
      <c r="A238" t="inlineStr">
        <is>
          <t>A 36975-2019</t>
        </is>
      </c>
      <c r="B238" s="1" t="n">
        <v>43676</v>
      </c>
      <c r="C238" s="1" t="n">
        <v>45357</v>
      </c>
      <c r="D238" t="inlineStr">
        <is>
          <t>JÄMTLANDS LÄN</t>
        </is>
      </c>
      <c r="E238" t="inlineStr">
        <is>
          <t>ÅRE</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41107-2019</t>
        </is>
      </c>
      <c r="B239" s="1" t="n">
        <v>43698</v>
      </c>
      <c r="C239" s="1" t="n">
        <v>45357</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42311-2019</t>
        </is>
      </c>
      <c r="B240" s="1" t="n">
        <v>43699</v>
      </c>
      <c r="C240" s="1" t="n">
        <v>45357</v>
      </c>
      <c r="D240" t="inlineStr">
        <is>
          <t>JÄMTLANDS LÄN</t>
        </is>
      </c>
      <c r="E240" t="inlineStr">
        <is>
          <t>ÅRE</t>
        </is>
      </c>
      <c r="G240" t="n">
        <v>13.7</v>
      </c>
      <c r="H240" t="n">
        <v>0</v>
      </c>
      <c r="I240" t="n">
        <v>0</v>
      </c>
      <c r="J240" t="n">
        <v>0</v>
      </c>
      <c r="K240" t="n">
        <v>0</v>
      </c>
      <c r="L240" t="n">
        <v>0</v>
      </c>
      <c r="M240" t="n">
        <v>0</v>
      </c>
      <c r="N240" t="n">
        <v>0</v>
      </c>
      <c r="O240" t="n">
        <v>0</v>
      </c>
      <c r="P240" t="n">
        <v>0</v>
      </c>
      <c r="Q240" t="n">
        <v>0</v>
      </c>
      <c r="R240" s="2" t="inlineStr"/>
    </row>
    <row r="241" ht="15" customHeight="1">
      <c r="A241" t="inlineStr">
        <is>
          <t>A 43678-2019</t>
        </is>
      </c>
      <c r="B241" s="1" t="n">
        <v>43707</v>
      </c>
      <c r="C241" s="1" t="n">
        <v>45357</v>
      </c>
      <c r="D241" t="inlineStr">
        <is>
          <t>JÄMTLANDS LÄN</t>
        </is>
      </c>
      <c r="E241" t="inlineStr">
        <is>
          <t>ÅRE</t>
        </is>
      </c>
      <c r="G241" t="n">
        <v>7.9</v>
      </c>
      <c r="H241" t="n">
        <v>0</v>
      </c>
      <c r="I241" t="n">
        <v>0</v>
      </c>
      <c r="J241" t="n">
        <v>0</v>
      </c>
      <c r="K241" t="n">
        <v>0</v>
      </c>
      <c r="L241" t="n">
        <v>0</v>
      </c>
      <c r="M241" t="n">
        <v>0</v>
      </c>
      <c r="N241" t="n">
        <v>0</v>
      </c>
      <c r="O241" t="n">
        <v>0</v>
      </c>
      <c r="P241" t="n">
        <v>0</v>
      </c>
      <c r="Q241" t="n">
        <v>0</v>
      </c>
      <c r="R241" s="2" t="inlineStr"/>
    </row>
    <row r="242" ht="15" customHeight="1">
      <c r="A242" t="inlineStr">
        <is>
          <t>A 43683-2019</t>
        </is>
      </c>
      <c r="B242" s="1" t="n">
        <v>43707</v>
      </c>
      <c r="C242" s="1" t="n">
        <v>45357</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44329-2019</t>
        </is>
      </c>
      <c r="B243" s="1" t="n">
        <v>43710</v>
      </c>
      <c r="C243" s="1" t="n">
        <v>45357</v>
      </c>
      <c r="D243" t="inlineStr">
        <is>
          <t>JÄMTLANDS LÄN</t>
        </is>
      </c>
      <c r="E243" t="inlineStr">
        <is>
          <t>ÅRE</t>
        </is>
      </c>
      <c r="G243" t="n">
        <v>2.1</v>
      </c>
      <c r="H243" t="n">
        <v>0</v>
      </c>
      <c r="I243" t="n">
        <v>0</v>
      </c>
      <c r="J243" t="n">
        <v>0</v>
      </c>
      <c r="K243" t="n">
        <v>0</v>
      </c>
      <c r="L243" t="n">
        <v>0</v>
      </c>
      <c r="M243" t="n">
        <v>0</v>
      </c>
      <c r="N243" t="n">
        <v>0</v>
      </c>
      <c r="O243" t="n">
        <v>0</v>
      </c>
      <c r="P243" t="n">
        <v>0</v>
      </c>
      <c r="Q243" t="n">
        <v>0</v>
      </c>
      <c r="R243" s="2" t="inlineStr"/>
    </row>
    <row r="244" ht="15" customHeight="1">
      <c r="A244" t="inlineStr">
        <is>
          <t>A 45794-2019</t>
        </is>
      </c>
      <c r="B244" s="1" t="n">
        <v>43717</v>
      </c>
      <c r="C244" s="1" t="n">
        <v>45357</v>
      </c>
      <c r="D244" t="inlineStr">
        <is>
          <t>JÄMTLANDS LÄN</t>
        </is>
      </c>
      <c r="E244" t="inlineStr">
        <is>
          <t>ÅRE</t>
        </is>
      </c>
      <c r="G244" t="n">
        <v>37.7</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45357</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45357</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45357</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45357</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45357</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45357</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45357</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45357</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45357</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45357</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45357</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45357</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45357</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45357</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45357</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45357</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45357</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45357</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45357</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45357</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45357</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45357</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45357</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45357</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45357</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45357</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45357</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45357</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45357</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45357</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45357</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45357</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45357</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45357</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45357</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45357</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45357</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45357</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45357</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45357</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45357</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45357</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45357</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45357</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45357</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45357</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45357</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45357</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45357</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34207-2020</t>
        </is>
      </c>
      <c r="B294" s="1" t="n">
        <v>44029</v>
      </c>
      <c r="C294" s="1" t="n">
        <v>45357</v>
      </c>
      <c r="D294" t="inlineStr">
        <is>
          <t>JÄMTLANDS LÄN</t>
        </is>
      </c>
      <c r="E294" t="inlineStr">
        <is>
          <t>ÅRE</t>
        </is>
      </c>
      <c r="G294" t="n">
        <v>10.2</v>
      </c>
      <c r="H294" t="n">
        <v>0</v>
      </c>
      <c r="I294" t="n">
        <v>0</v>
      </c>
      <c r="J294" t="n">
        <v>0</v>
      </c>
      <c r="K294" t="n">
        <v>0</v>
      </c>
      <c r="L294" t="n">
        <v>0</v>
      </c>
      <c r="M294" t="n">
        <v>0</v>
      </c>
      <c r="N294" t="n">
        <v>0</v>
      </c>
      <c r="O294" t="n">
        <v>0</v>
      </c>
      <c r="P294" t="n">
        <v>0</v>
      </c>
      <c r="Q294" t="n">
        <v>0</v>
      </c>
      <c r="R294" s="2" t="inlineStr"/>
    </row>
    <row r="295" ht="15" customHeight="1">
      <c r="A295" t="inlineStr">
        <is>
          <t>A 34529-2020</t>
        </is>
      </c>
      <c r="B295" s="1" t="n">
        <v>44033</v>
      </c>
      <c r="C295" s="1" t="n">
        <v>45357</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34678-2020</t>
        </is>
      </c>
      <c r="B296" s="1" t="n">
        <v>44033</v>
      </c>
      <c r="C296" s="1" t="n">
        <v>45357</v>
      </c>
      <c r="D296" t="inlineStr">
        <is>
          <t>JÄMTLANDS LÄN</t>
        </is>
      </c>
      <c r="E296" t="inlineStr">
        <is>
          <t>ÅRE</t>
        </is>
      </c>
      <c r="G296" t="n">
        <v>2.8</v>
      </c>
      <c r="H296" t="n">
        <v>0</v>
      </c>
      <c r="I296" t="n">
        <v>0</v>
      </c>
      <c r="J296" t="n">
        <v>0</v>
      </c>
      <c r="K296" t="n">
        <v>0</v>
      </c>
      <c r="L296" t="n">
        <v>0</v>
      </c>
      <c r="M296" t="n">
        <v>0</v>
      </c>
      <c r="N296" t="n">
        <v>0</v>
      </c>
      <c r="O296" t="n">
        <v>0</v>
      </c>
      <c r="P296" t="n">
        <v>0</v>
      </c>
      <c r="Q296" t="n">
        <v>0</v>
      </c>
      <c r="R296" s="2" t="inlineStr"/>
    </row>
    <row r="297" ht="15" customHeight="1">
      <c r="A297" t="inlineStr">
        <is>
          <t>A 34640-2020</t>
        </is>
      </c>
      <c r="B297" s="1" t="n">
        <v>44034</v>
      </c>
      <c r="C297" s="1" t="n">
        <v>45357</v>
      </c>
      <c r="D297" t="inlineStr">
        <is>
          <t>JÄMTLANDS LÄN</t>
        </is>
      </c>
      <c r="E297" t="inlineStr">
        <is>
          <t>ÅRE</t>
        </is>
      </c>
      <c r="G297" t="n">
        <v>9.4</v>
      </c>
      <c r="H297" t="n">
        <v>0</v>
      </c>
      <c r="I297" t="n">
        <v>0</v>
      </c>
      <c r="J297" t="n">
        <v>0</v>
      </c>
      <c r="K297" t="n">
        <v>0</v>
      </c>
      <c r="L297" t="n">
        <v>0</v>
      </c>
      <c r="M297" t="n">
        <v>0</v>
      </c>
      <c r="N297" t="n">
        <v>0</v>
      </c>
      <c r="O297" t="n">
        <v>0</v>
      </c>
      <c r="P297" t="n">
        <v>0</v>
      </c>
      <c r="Q297" t="n">
        <v>0</v>
      </c>
      <c r="R297" s="2" t="inlineStr"/>
    </row>
    <row r="298" ht="15" customHeight="1">
      <c r="A298" t="inlineStr">
        <is>
          <t>A 35849-2020</t>
        </is>
      </c>
      <c r="B298" s="1" t="n">
        <v>44047</v>
      </c>
      <c r="C298" s="1" t="n">
        <v>45357</v>
      </c>
      <c r="D298" t="inlineStr">
        <is>
          <t>JÄMTLANDS LÄN</t>
        </is>
      </c>
      <c r="E298" t="inlineStr">
        <is>
          <t>ÅRE</t>
        </is>
      </c>
      <c r="G298" t="n">
        <v>21.3</v>
      </c>
      <c r="H298" t="n">
        <v>0</v>
      </c>
      <c r="I298" t="n">
        <v>0</v>
      </c>
      <c r="J298" t="n">
        <v>0</v>
      </c>
      <c r="K298" t="n">
        <v>0</v>
      </c>
      <c r="L298" t="n">
        <v>0</v>
      </c>
      <c r="M298" t="n">
        <v>0</v>
      </c>
      <c r="N298" t="n">
        <v>0</v>
      </c>
      <c r="O298" t="n">
        <v>0</v>
      </c>
      <c r="P298" t="n">
        <v>0</v>
      </c>
      <c r="Q298" t="n">
        <v>0</v>
      </c>
      <c r="R298" s="2" t="inlineStr"/>
    </row>
    <row r="299" ht="15" customHeight="1">
      <c r="A299" t="inlineStr">
        <is>
          <t>A 36506-2020</t>
        </is>
      </c>
      <c r="B299" s="1" t="n">
        <v>44050</v>
      </c>
      <c r="C299" s="1" t="n">
        <v>45357</v>
      </c>
      <c r="D299" t="inlineStr">
        <is>
          <t>JÄMTLANDS LÄN</t>
        </is>
      </c>
      <c r="E299" t="inlineStr">
        <is>
          <t>ÅRE</t>
        </is>
      </c>
      <c r="G299" t="n">
        <v>0.1</v>
      </c>
      <c r="H299" t="n">
        <v>0</v>
      </c>
      <c r="I299" t="n">
        <v>0</v>
      </c>
      <c r="J299" t="n">
        <v>0</v>
      </c>
      <c r="K299" t="n">
        <v>0</v>
      </c>
      <c r="L299" t="n">
        <v>0</v>
      </c>
      <c r="M299" t="n">
        <v>0</v>
      </c>
      <c r="N299" t="n">
        <v>0</v>
      </c>
      <c r="O299" t="n">
        <v>0</v>
      </c>
      <c r="P299" t="n">
        <v>0</v>
      </c>
      <c r="Q299" t="n">
        <v>0</v>
      </c>
      <c r="R299" s="2" t="inlineStr"/>
    </row>
    <row r="300" ht="15" customHeight="1">
      <c r="A300" t="inlineStr">
        <is>
          <t>A 36501-2020</t>
        </is>
      </c>
      <c r="B300" s="1" t="n">
        <v>44050</v>
      </c>
      <c r="C300" s="1" t="n">
        <v>45357</v>
      </c>
      <c r="D300" t="inlineStr">
        <is>
          <t>JÄMTLANDS LÄN</t>
        </is>
      </c>
      <c r="E300" t="inlineStr">
        <is>
          <t>ÅRE</t>
        </is>
      </c>
      <c r="G300" t="n">
        <v>5.1</v>
      </c>
      <c r="H300" t="n">
        <v>0</v>
      </c>
      <c r="I300" t="n">
        <v>0</v>
      </c>
      <c r="J300" t="n">
        <v>0</v>
      </c>
      <c r="K300" t="n">
        <v>0</v>
      </c>
      <c r="L300" t="n">
        <v>0</v>
      </c>
      <c r="M300" t="n">
        <v>0</v>
      </c>
      <c r="N300" t="n">
        <v>0</v>
      </c>
      <c r="O300" t="n">
        <v>0</v>
      </c>
      <c r="P300" t="n">
        <v>0</v>
      </c>
      <c r="Q300" t="n">
        <v>0</v>
      </c>
      <c r="R300" s="2" t="inlineStr"/>
    </row>
    <row r="301" ht="15" customHeight="1">
      <c r="A301" t="inlineStr">
        <is>
          <t>A 38454-2020</t>
        </is>
      </c>
      <c r="B301" s="1" t="n">
        <v>44060</v>
      </c>
      <c r="C301" s="1" t="n">
        <v>45357</v>
      </c>
      <c r="D301" t="inlineStr">
        <is>
          <t>JÄMTLANDS LÄN</t>
        </is>
      </c>
      <c r="E301" t="inlineStr">
        <is>
          <t>ÅRE</t>
        </is>
      </c>
      <c r="G301" t="n">
        <v>6.9</v>
      </c>
      <c r="H301" t="n">
        <v>0</v>
      </c>
      <c r="I301" t="n">
        <v>0</v>
      </c>
      <c r="J301" t="n">
        <v>0</v>
      </c>
      <c r="K301" t="n">
        <v>0</v>
      </c>
      <c r="L301" t="n">
        <v>0</v>
      </c>
      <c r="M301" t="n">
        <v>0</v>
      </c>
      <c r="N301" t="n">
        <v>0</v>
      </c>
      <c r="O301" t="n">
        <v>0</v>
      </c>
      <c r="P301" t="n">
        <v>0</v>
      </c>
      <c r="Q301" t="n">
        <v>0</v>
      </c>
      <c r="R301" s="2" t="inlineStr"/>
    </row>
    <row r="302" ht="15" customHeight="1">
      <c r="A302" t="inlineStr">
        <is>
          <t>A 38455-2020</t>
        </is>
      </c>
      <c r="B302" s="1" t="n">
        <v>44060</v>
      </c>
      <c r="C302" s="1" t="n">
        <v>45357</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40148-2020</t>
        </is>
      </c>
      <c r="B303" s="1" t="n">
        <v>44068</v>
      </c>
      <c r="C303" s="1" t="n">
        <v>45357</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42337-2020</t>
        </is>
      </c>
      <c r="B304" s="1" t="n">
        <v>44076</v>
      </c>
      <c r="C304" s="1" t="n">
        <v>45357</v>
      </c>
      <c r="D304" t="inlineStr">
        <is>
          <t>JÄMTLANDS LÄN</t>
        </is>
      </c>
      <c r="E304" t="inlineStr">
        <is>
          <t>ÅRE</t>
        </is>
      </c>
      <c r="G304" t="n">
        <v>3.6</v>
      </c>
      <c r="H304" t="n">
        <v>0</v>
      </c>
      <c r="I304" t="n">
        <v>0</v>
      </c>
      <c r="J304" t="n">
        <v>0</v>
      </c>
      <c r="K304" t="n">
        <v>0</v>
      </c>
      <c r="L304" t="n">
        <v>0</v>
      </c>
      <c r="M304" t="n">
        <v>0</v>
      </c>
      <c r="N304" t="n">
        <v>0</v>
      </c>
      <c r="O304" t="n">
        <v>0</v>
      </c>
      <c r="P304" t="n">
        <v>0</v>
      </c>
      <c r="Q304" t="n">
        <v>0</v>
      </c>
      <c r="R304" s="2" t="inlineStr"/>
    </row>
    <row r="305" ht="15" customHeight="1">
      <c r="A305" t="inlineStr">
        <is>
          <t>A 42643-2020</t>
        </is>
      </c>
      <c r="B305" s="1" t="n">
        <v>44077</v>
      </c>
      <c r="C305" s="1" t="n">
        <v>45357</v>
      </c>
      <c r="D305" t="inlineStr">
        <is>
          <t>JÄMTLANDS LÄN</t>
        </is>
      </c>
      <c r="E305" t="inlineStr">
        <is>
          <t>ÅRE</t>
        </is>
      </c>
      <c r="G305" t="n">
        <v>7.5</v>
      </c>
      <c r="H305" t="n">
        <v>0</v>
      </c>
      <c r="I305" t="n">
        <v>0</v>
      </c>
      <c r="J305" t="n">
        <v>0</v>
      </c>
      <c r="K305" t="n">
        <v>0</v>
      </c>
      <c r="L305" t="n">
        <v>0</v>
      </c>
      <c r="M305" t="n">
        <v>0</v>
      </c>
      <c r="N305" t="n">
        <v>0</v>
      </c>
      <c r="O305" t="n">
        <v>0</v>
      </c>
      <c r="P305" t="n">
        <v>0</v>
      </c>
      <c r="Q305" t="n">
        <v>0</v>
      </c>
      <c r="R305" s="2" t="inlineStr"/>
    </row>
    <row r="306" ht="15" customHeight="1">
      <c r="A306" t="inlineStr">
        <is>
          <t>A 42634-2020</t>
        </is>
      </c>
      <c r="B306" s="1" t="n">
        <v>44077</v>
      </c>
      <c r="C306" s="1" t="n">
        <v>45357</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43167-2020</t>
        </is>
      </c>
      <c r="B307" s="1" t="n">
        <v>44077</v>
      </c>
      <c r="C307" s="1" t="n">
        <v>45357</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42650-2020</t>
        </is>
      </c>
      <c r="B308" s="1" t="n">
        <v>44077</v>
      </c>
      <c r="C308" s="1" t="n">
        <v>45357</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46982-2020</t>
        </is>
      </c>
      <c r="B309" s="1" t="n">
        <v>44096</v>
      </c>
      <c r="C309" s="1" t="n">
        <v>45357</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48177-2020</t>
        </is>
      </c>
      <c r="B310" s="1" t="n">
        <v>44102</v>
      </c>
      <c r="C310" s="1" t="n">
        <v>45357</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49661-2020</t>
        </is>
      </c>
      <c r="B311" s="1" t="n">
        <v>44105</v>
      </c>
      <c r="C311" s="1" t="n">
        <v>45357</v>
      </c>
      <c r="D311" t="inlineStr">
        <is>
          <t>JÄMTLANDS LÄN</t>
        </is>
      </c>
      <c r="E311" t="inlineStr">
        <is>
          <t>ÅRE</t>
        </is>
      </c>
      <c r="F311" t="inlineStr">
        <is>
          <t>Övriga Aktiebolag</t>
        </is>
      </c>
      <c r="G311" t="n">
        <v>24.4</v>
      </c>
      <c r="H311" t="n">
        <v>0</v>
      </c>
      <c r="I311" t="n">
        <v>0</v>
      </c>
      <c r="J311" t="n">
        <v>0</v>
      </c>
      <c r="K311" t="n">
        <v>0</v>
      </c>
      <c r="L311" t="n">
        <v>0</v>
      </c>
      <c r="M311" t="n">
        <v>0</v>
      </c>
      <c r="N311" t="n">
        <v>0</v>
      </c>
      <c r="O311" t="n">
        <v>0</v>
      </c>
      <c r="P311" t="n">
        <v>0</v>
      </c>
      <c r="Q311" t="n">
        <v>0</v>
      </c>
      <c r="R311" s="2" t="inlineStr"/>
    </row>
    <row r="312" ht="15" customHeight="1">
      <c r="A312" t="inlineStr">
        <is>
          <t>A 49744-2020</t>
        </is>
      </c>
      <c r="B312" s="1" t="n">
        <v>44106</v>
      </c>
      <c r="C312" s="1" t="n">
        <v>45357</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49748-2020</t>
        </is>
      </c>
      <c r="B313" s="1" t="n">
        <v>44106</v>
      </c>
      <c r="C313" s="1" t="n">
        <v>45357</v>
      </c>
      <c r="D313" t="inlineStr">
        <is>
          <t>JÄMTLANDS LÄN</t>
        </is>
      </c>
      <c r="E313" t="inlineStr">
        <is>
          <t>ÅRE</t>
        </is>
      </c>
      <c r="G313" t="n">
        <v>13.4</v>
      </c>
      <c r="H313" t="n">
        <v>0</v>
      </c>
      <c r="I313" t="n">
        <v>0</v>
      </c>
      <c r="J313" t="n">
        <v>0</v>
      </c>
      <c r="K313" t="n">
        <v>0</v>
      </c>
      <c r="L313" t="n">
        <v>0</v>
      </c>
      <c r="M313" t="n">
        <v>0</v>
      </c>
      <c r="N313" t="n">
        <v>0</v>
      </c>
      <c r="O313" t="n">
        <v>0</v>
      </c>
      <c r="P313" t="n">
        <v>0</v>
      </c>
      <c r="Q313" t="n">
        <v>0</v>
      </c>
      <c r="R313" s="2" t="inlineStr"/>
    </row>
    <row r="314" ht="15" customHeight="1">
      <c r="A314" t="inlineStr">
        <is>
          <t>A 49747-2020</t>
        </is>
      </c>
      <c r="B314" s="1" t="n">
        <v>44106</v>
      </c>
      <c r="C314" s="1" t="n">
        <v>45357</v>
      </c>
      <c r="D314" t="inlineStr">
        <is>
          <t>JÄMTLANDS LÄN</t>
        </is>
      </c>
      <c r="E314" t="inlineStr">
        <is>
          <t>ÅRE</t>
        </is>
      </c>
      <c r="G314" t="n">
        <v>9.4</v>
      </c>
      <c r="H314" t="n">
        <v>0</v>
      </c>
      <c r="I314" t="n">
        <v>0</v>
      </c>
      <c r="J314" t="n">
        <v>0</v>
      </c>
      <c r="K314" t="n">
        <v>0</v>
      </c>
      <c r="L314" t="n">
        <v>0</v>
      </c>
      <c r="M314" t="n">
        <v>0</v>
      </c>
      <c r="N314" t="n">
        <v>0</v>
      </c>
      <c r="O314" t="n">
        <v>0</v>
      </c>
      <c r="P314" t="n">
        <v>0</v>
      </c>
      <c r="Q314" t="n">
        <v>0</v>
      </c>
      <c r="R314" s="2" t="inlineStr"/>
    </row>
    <row r="315" ht="15" customHeight="1">
      <c r="A315" t="inlineStr">
        <is>
          <t>A 52548-2020</t>
        </is>
      </c>
      <c r="B315" s="1" t="n">
        <v>44116</v>
      </c>
      <c r="C315" s="1" t="n">
        <v>45357</v>
      </c>
      <c r="D315" t="inlineStr">
        <is>
          <t>JÄMTLANDS LÄN</t>
        </is>
      </c>
      <c r="E315" t="inlineStr">
        <is>
          <t>ÅRE</t>
        </is>
      </c>
      <c r="G315" t="n">
        <v>7.5</v>
      </c>
      <c r="H315" t="n">
        <v>0</v>
      </c>
      <c r="I315" t="n">
        <v>0</v>
      </c>
      <c r="J315" t="n">
        <v>0</v>
      </c>
      <c r="K315" t="n">
        <v>0</v>
      </c>
      <c r="L315" t="n">
        <v>0</v>
      </c>
      <c r="M315" t="n">
        <v>0</v>
      </c>
      <c r="N315" t="n">
        <v>0</v>
      </c>
      <c r="O315" t="n">
        <v>0</v>
      </c>
      <c r="P315" t="n">
        <v>0</v>
      </c>
      <c r="Q315" t="n">
        <v>0</v>
      </c>
      <c r="R315" s="2" t="inlineStr"/>
    </row>
    <row r="316" ht="15" customHeight="1">
      <c r="A316" t="inlineStr">
        <is>
          <t>A 53042-2020</t>
        </is>
      </c>
      <c r="B316" s="1" t="n">
        <v>44120</v>
      </c>
      <c r="C316" s="1" t="n">
        <v>45357</v>
      </c>
      <c r="D316" t="inlineStr">
        <is>
          <t>JÄMTLANDS LÄN</t>
        </is>
      </c>
      <c r="E316" t="inlineStr">
        <is>
          <t>ÅRE</t>
        </is>
      </c>
      <c r="G316" t="n">
        <v>17.1</v>
      </c>
      <c r="H316" t="n">
        <v>0</v>
      </c>
      <c r="I316" t="n">
        <v>0</v>
      </c>
      <c r="J316" t="n">
        <v>0</v>
      </c>
      <c r="K316" t="n">
        <v>0</v>
      </c>
      <c r="L316" t="n">
        <v>0</v>
      </c>
      <c r="M316" t="n">
        <v>0</v>
      </c>
      <c r="N316" t="n">
        <v>0</v>
      </c>
      <c r="O316" t="n">
        <v>0</v>
      </c>
      <c r="P316" t="n">
        <v>0</v>
      </c>
      <c r="Q316" t="n">
        <v>0</v>
      </c>
      <c r="R316" s="2" t="inlineStr"/>
    </row>
    <row r="317" ht="15" customHeight="1">
      <c r="A317" t="inlineStr">
        <is>
          <t>A 54015-2020</t>
        </is>
      </c>
      <c r="B317" s="1" t="n">
        <v>44125</v>
      </c>
      <c r="C317" s="1" t="n">
        <v>45357</v>
      </c>
      <c r="D317" t="inlineStr">
        <is>
          <t>JÄMTLANDS LÄN</t>
        </is>
      </c>
      <c r="E317" t="inlineStr">
        <is>
          <t>ÅRE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54945-2020</t>
        </is>
      </c>
      <c r="B318" s="1" t="n">
        <v>44129</v>
      </c>
      <c r="C318" s="1" t="n">
        <v>45357</v>
      </c>
      <c r="D318" t="inlineStr">
        <is>
          <t>JÄMTLANDS LÄN</t>
        </is>
      </c>
      <c r="E318" t="inlineStr">
        <is>
          <t>ÅRE</t>
        </is>
      </c>
      <c r="G318" t="n">
        <v>0.7</v>
      </c>
      <c r="H318" t="n">
        <v>0</v>
      </c>
      <c r="I318" t="n">
        <v>0</v>
      </c>
      <c r="J318" t="n">
        <v>0</v>
      </c>
      <c r="K318" t="n">
        <v>0</v>
      </c>
      <c r="L318" t="n">
        <v>0</v>
      </c>
      <c r="M318" t="n">
        <v>0</v>
      </c>
      <c r="N318" t="n">
        <v>0</v>
      </c>
      <c r="O318" t="n">
        <v>0</v>
      </c>
      <c r="P318" t="n">
        <v>0</v>
      </c>
      <c r="Q318" t="n">
        <v>0</v>
      </c>
      <c r="R318" s="2" t="inlineStr"/>
    </row>
    <row r="319" ht="15" customHeight="1">
      <c r="A319" t="inlineStr">
        <is>
          <t>A 54944-2020</t>
        </is>
      </c>
      <c r="B319" s="1" t="n">
        <v>44129</v>
      </c>
      <c r="C319" s="1" t="n">
        <v>45357</v>
      </c>
      <c r="D319" t="inlineStr">
        <is>
          <t>JÄMTLANDS LÄN</t>
        </is>
      </c>
      <c r="E319" t="inlineStr">
        <is>
          <t>ÅRE</t>
        </is>
      </c>
      <c r="G319" t="n">
        <v>0.3</v>
      </c>
      <c r="H319" t="n">
        <v>0</v>
      </c>
      <c r="I319" t="n">
        <v>0</v>
      </c>
      <c r="J319" t="n">
        <v>0</v>
      </c>
      <c r="K319" t="n">
        <v>0</v>
      </c>
      <c r="L319" t="n">
        <v>0</v>
      </c>
      <c r="M319" t="n">
        <v>0</v>
      </c>
      <c r="N319" t="n">
        <v>0</v>
      </c>
      <c r="O319" t="n">
        <v>0</v>
      </c>
      <c r="P319" t="n">
        <v>0</v>
      </c>
      <c r="Q319" t="n">
        <v>0</v>
      </c>
      <c r="R319" s="2" t="inlineStr"/>
    </row>
    <row r="320" ht="15" customHeight="1">
      <c r="A320" t="inlineStr">
        <is>
          <t>A 56352-2020</t>
        </is>
      </c>
      <c r="B320" s="1" t="n">
        <v>44135</v>
      </c>
      <c r="C320" s="1" t="n">
        <v>45357</v>
      </c>
      <c r="D320" t="inlineStr">
        <is>
          <t>JÄMTLANDS LÄN</t>
        </is>
      </c>
      <c r="E320" t="inlineStr">
        <is>
          <t>ÅRE</t>
        </is>
      </c>
      <c r="G320" t="n">
        <v>95.09999999999999</v>
      </c>
      <c r="H320" t="n">
        <v>0</v>
      </c>
      <c r="I320" t="n">
        <v>0</v>
      </c>
      <c r="J320" t="n">
        <v>0</v>
      </c>
      <c r="K320" t="n">
        <v>0</v>
      </c>
      <c r="L320" t="n">
        <v>0</v>
      </c>
      <c r="M320" t="n">
        <v>0</v>
      </c>
      <c r="N320" t="n">
        <v>0</v>
      </c>
      <c r="O320" t="n">
        <v>0</v>
      </c>
      <c r="P320" t="n">
        <v>0</v>
      </c>
      <c r="Q320" t="n">
        <v>0</v>
      </c>
      <c r="R320" s="2" t="inlineStr"/>
    </row>
    <row r="321" ht="15" customHeight="1">
      <c r="A321" t="inlineStr">
        <is>
          <t>A 57578-2020</t>
        </is>
      </c>
      <c r="B321" s="1" t="n">
        <v>44140</v>
      </c>
      <c r="C321" s="1" t="n">
        <v>45357</v>
      </c>
      <c r="D321" t="inlineStr">
        <is>
          <t>JÄMTLANDS LÄN</t>
        </is>
      </c>
      <c r="E321" t="inlineStr">
        <is>
          <t>ÅRE</t>
        </is>
      </c>
      <c r="G321" t="n">
        <v>94.40000000000001</v>
      </c>
      <c r="H321" t="n">
        <v>0</v>
      </c>
      <c r="I321" t="n">
        <v>0</v>
      </c>
      <c r="J321" t="n">
        <v>0</v>
      </c>
      <c r="K321" t="n">
        <v>0</v>
      </c>
      <c r="L321" t="n">
        <v>0</v>
      </c>
      <c r="M321" t="n">
        <v>0</v>
      </c>
      <c r="N321" t="n">
        <v>0</v>
      </c>
      <c r="O321" t="n">
        <v>0</v>
      </c>
      <c r="P321" t="n">
        <v>0</v>
      </c>
      <c r="Q321" t="n">
        <v>0</v>
      </c>
      <c r="R321" s="2" t="inlineStr"/>
    </row>
    <row r="322" ht="15" customHeight="1">
      <c r="A322" t="inlineStr">
        <is>
          <t>A 57594-2020</t>
        </is>
      </c>
      <c r="B322" s="1" t="n">
        <v>44140</v>
      </c>
      <c r="C322" s="1" t="n">
        <v>45357</v>
      </c>
      <c r="D322" t="inlineStr">
        <is>
          <t>JÄMTLANDS LÄN</t>
        </is>
      </c>
      <c r="E322" t="inlineStr">
        <is>
          <t>ÅRE</t>
        </is>
      </c>
      <c r="G322" t="n">
        <v>14.9</v>
      </c>
      <c r="H322" t="n">
        <v>0</v>
      </c>
      <c r="I322" t="n">
        <v>0</v>
      </c>
      <c r="J322" t="n">
        <v>0</v>
      </c>
      <c r="K322" t="n">
        <v>0</v>
      </c>
      <c r="L322" t="n">
        <v>0</v>
      </c>
      <c r="M322" t="n">
        <v>0</v>
      </c>
      <c r="N322" t="n">
        <v>0</v>
      </c>
      <c r="O322" t="n">
        <v>0</v>
      </c>
      <c r="P322" t="n">
        <v>0</v>
      </c>
      <c r="Q322" t="n">
        <v>0</v>
      </c>
      <c r="R322" s="2" t="inlineStr"/>
    </row>
    <row r="323" ht="15" customHeight="1">
      <c r="A323" t="inlineStr">
        <is>
          <t>A 57586-2020</t>
        </is>
      </c>
      <c r="B323" s="1" t="n">
        <v>44140</v>
      </c>
      <c r="C323" s="1" t="n">
        <v>45357</v>
      </c>
      <c r="D323" t="inlineStr">
        <is>
          <t>JÄMTLANDS LÄN</t>
        </is>
      </c>
      <c r="E323" t="inlineStr">
        <is>
          <t>ÅRE</t>
        </is>
      </c>
      <c r="G323" t="n">
        <v>9.5</v>
      </c>
      <c r="H323" t="n">
        <v>0</v>
      </c>
      <c r="I323" t="n">
        <v>0</v>
      </c>
      <c r="J323" t="n">
        <v>0</v>
      </c>
      <c r="K323" t="n">
        <v>0</v>
      </c>
      <c r="L323" t="n">
        <v>0</v>
      </c>
      <c r="M323" t="n">
        <v>0</v>
      </c>
      <c r="N323" t="n">
        <v>0</v>
      </c>
      <c r="O323" t="n">
        <v>0</v>
      </c>
      <c r="P323" t="n">
        <v>0</v>
      </c>
      <c r="Q323" t="n">
        <v>0</v>
      </c>
      <c r="R323" s="2" t="inlineStr"/>
    </row>
    <row r="324" ht="15" customHeight="1">
      <c r="A324" t="inlineStr">
        <is>
          <t>A 58960-2020</t>
        </is>
      </c>
      <c r="B324" s="1" t="n">
        <v>44146</v>
      </c>
      <c r="C324" s="1" t="n">
        <v>45357</v>
      </c>
      <c r="D324" t="inlineStr">
        <is>
          <t>JÄMTLANDS LÄN</t>
        </is>
      </c>
      <c r="E324" t="inlineStr">
        <is>
          <t>ÅRE</t>
        </is>
      </c>
      <c r="G324" t="n">
        <v>5.5</v>
      </c>
      <c r="H324" t="n">
        <v>0</v>
      </c>
      <c r="I324" t="n">
        <v>0</v>
      </c>
      <c r="J324" t="n">
        <v>0</v>
      </c>
      <c r="K324" t="n">
        <v>0</v>
      </c>
      <c r="L324" t="n">
        <v>0</v>
      </c>
      <c r="M324" t="n">
        <v>0</v>
      </c>
      <c r="N324" t="n">
        <v>0</v>
      </c>
      <c r="O324" t="n">
        <v>0</v>
      </c>
      <c r="P324" t="n">
        <v>0</v>
      </c>
      <c r="Q324" t="n">
        <v>0</v>
      </c>
      <c r="R324" s="2" t="inlineStr"/>
    </row>
    <row r="325" ht="15" customHeight="1">
      <c r="A325" t="inlineStr">
        <is>
          <t>A 60016-2020</t>
        </is>
      </c>
      <c r="B325" s="1" t="n">
        <v>44151</v>
      </c>
      <c r="C325" s="1" t="n">
        <v>45357</v>
      </c>
      <c r="D325" t="inlineStr">
        <is>
          <t>JÄMTLANDS LÄN</t>
        </is>
      </c>
      <c r="E325" t="inlineStr">
        <is>
          <t>ÅRE</t>
        </is>
      </c>
      <c r="G325" t="n">
        <v>14.7</v>
      </c>
      <c r="H325" t="n">
        <v>0</v>
      </c>
      <c r="I325" t="n">
        <v>0</v>
      </c>
      <c r="J325" t="n">
        <v>0</v>
      </c>
      <c r="K325" t="n">
        <v>0</v>
      </c>
      <c r="L325" t="n">
        <v>0</v>
      </c>
      <c r="M325" t="n">
        <v>0</v>
      </c>
      <c r="N325" t="n">
        <v>0</v>
      </c>
      <c r="O325" t="n">
        <v>0</v>
      </c>
      <c r="P325" t="n">
        <v>0</v>
      </c>
      <c r="Q325" t="n">
        <v>0</v>
      </c>
      <c r="R325" s="2" t="inlineStr"/>
    </row>
    <row r="326" ht="15" customHeight="1">
      <c r="A326" t="inlineStr">
        <is>
          <t>A 61347-2020</t>
        </is>
      </c>
      <c r="B326" s="1" t="n">
        <v>44155</v>
      </c>
      <c r="C326" s="1" t="n">
        <v>45357</v>
      </c>
      <c r="D326" t="inlineStr">
        <is>
          <t>JÄMTLANDS LÄN</t>
        </is>
      </c>
      <c r="E326" t="inlineStr">
        <is>
          <t>ÅRE</t>
        </is>
      </c>
      <c r="G326" t="n">
        <v>3.1</v>
      </c>
      <c r="H326" t="n">
        <v>0</v>
      </c>
      <c r="I326" t="n">
        <v>0</v>
      </c>
      <c r="J326" t="n">
        <v>0</v>
      </c>
      <c r="K326" t="n">
        <v>0</v>
      </c>
      <c r="L326" t="n">
        <v>0</v>
      </c>
      <c r="M326" t="n">
        <v>0</v>
      </c>
      <c r="N326" t="n">
        <v>0</v>
      </c>
      <c r="O326" t="n">
        <v>0</v>
      </c>
      <c r="P326" t="n">
        <v>0</v>
      </c>
      <c r="Q326" t="n">
        <v>0</v>
      </c>
      <c r="R326" s="2" t="inlineStr"/>
    </row>
    <row r="327" ht="15" customHeight="1">
      <c r="A327" t="inlineStr">
        <is>
          <t>A 61595-2020</t>
        </is>
      </c>
      <c r="B327" s="1" t="n">
        <v>44158</v>
      </c>
      <c r="C327" s="1" t="n">
        <v>45357</v>
      </c>
      <c r="D327" t="inlineStr">
        <is>
          <t>JÄMTLANDS LÄN</t>
        </is>
      </c>
      <c r="E327" t="inlineStr">
        <is>
          <t>ÅRE</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61510-2020</t>
        </is>
      </c>
      <c r="B328" s="1" t="n">
        <v>44158</v>
      </c>
      <c r="C328" s="1" t="n">
        <v>45357</v>
      </c>
      <c r="D328" t="inlineStr">
        <is>
          <t>JÄMTLANDS LÄN</t>
        </is>
      </c>
      <c r="E328" t="inlineStr">
        <is>
          <t>ÅRE</t>
        </is>
      </c>
      <c r="F328" t="inlineStr">
        <is>
          <t>Övriga Aktiebolag</t>
        </is>
      </c>
      <c r="G328" t="n">
        <v>5.9</v>
      </c>
      <c r="H328" t="n">
        <v>0</v>
      </c>
      <c r="I328" t="n">
        <v>0</v>
      </c>
      <c r="J328" t="n">
        <v>0</v>
      </c>
      <c r="K328" t="n">
        <v>0</v>
      </c>
      <c r="L328" t="n">
        <v>0</v>
      </c>
      <c r="M328" t="n">
        <v>0</v>
      </c>
      <c r="N328" t="n">
        <v>0</v>
      </c>
      <c r="O328" t="n">
        <v>0</v>
      </c>
      <c r="P328" t="n">
        <v>0</v>
      </c>
      <c r="Q328" t="n">
        <v>0</v>
      </c>
      <c r="R328" s="2" t="inlineStr"/>
    </row>
    <row r="329" ht="15" customHeight="1">
      <c r="A329" t="inlineStr">
        <is>
          <t>A 64355-2020</t>
        </is>
      </c>
      <c r="B329" s="1" t="n">
        <v>44168</v>
      </c>
      <c r="C329" s="1" t="n">
        <v>45357</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66083-2020</t>
        </is>
      </c>
      <c r="B330" s="1" t="n">
        <v>44172</v>
      </c>
      <c r="C330" s="1" t="n">
        <v>45357</v>
      </c>
      <c r="D330" t="inlineStr">
        <is>
          <t>JÄMTLANDS LÄN</t>
        </is>
      </c>
      <c r="E330" t="inlineStr">
        <is>
          <t>ÅRE</t>
        </is>
      </c>
      <c r="G330" t="n">
        <v>563.3</v>
      </c>
      <c r="H330" t="n">
        <v>0</v>
      </c>
      <c r="I330" t="n">
        <v>0</v>
      </c>
      <c r="J330" t="n">
        <v>0</v>
      </c>
      <c r="K330" t="n">
        <v>0</v>
      </c>
      <c r="L330" t="n">
        <v>0</v>
      </c>
      <c r="M330" t="n">
        <v>0</v>
      </c>
      <c r="N330" t="n">
        <v>0</v>
      </c>
      <c r="O330" t="n">
        <v>0</v>
      </c>
      <c r="P330" t="n">
        <v>0</v>
      </c>
      <c r="Q330" t="n">
        <v>0</v>
      </c>
      <c r="R330" s="2" t="inlineStr"/>
    </row>
    <row r="331" ht="15" customHeight="1">
      <c r="A331" t="inlineStr">
        <is>
          <t>A 65439-2020</t>
        </is>
      </c>
      <c r="B331" s="1" t="n">
        <v>44173</v>
      </c>
      <c r="C331" s="1" t="n">
        <v>45357</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65512-2020</t>
        </is>
      </c>
      <c r="B332" s="1" t="n">
        <v>44173</v>
      </c>
      <c r="C332" s="1" t="n">
        <v>45357</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65519-2020</t>
        </is>
      </c>
      <c r="B333" s="1" t="n">
        <v>44173</v>
      </c>
      <c r="C333" s="1" t="n">
        <v>45357</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66755-2020</t>
        </is>
      </c>
      <c r="B334" s="1" t="n">
        <v>44179</v>
      </c>
      <c r="C334" s="1" t="n">
        <v>45357</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66790-2020</t>
        </is>
      </c>
      <c r="B335" s="1" t="n">
        <v>44179</v>
      </c>
      <c r="C335" s="1" t="n">
        <v>45357</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67270-2020</t>
        </is>
      </c>
      <c r="B336" s="1" t="n">
        <v>44179</v>
      </c>
      <c r="C336" s="1" t="n">
        <v>45357</v>
      </c>
      <c r="D336" t="inlineStr">
        <is>
          <t>JÄMTLANDS LÄN</t>
        </is>
      </c>
      <c r="E336" t="inlineStr">
        <is>
          <t>ÅRE</t>
        </is>
      </c>
      <c r="G336" t="n">
        <v>4.2</v>
      </c>
      <c r="H336" t="n">
        <v>0</v>
      </c>
      <c r="I336" t="n">
        <v>0</v>
      </c>
      <c r="J336" t="n">
        <v>0</v>
      </c>
      <c r="K336" t="n">
        <v>0</v>
      </c>
      <c r="L336" t="n">
        <v>0</v>
      </c>
      <c r="M336" t="n">
        <v>0</v>
      </c>
      <c r="N336" t="n">
        <v>0</v>
      </c>
      <c r="O336" t="n">
        <v>0</v>
      </c>
      <c r="P336" t="n">
        <v>0</v>
      </c>
      <c r="Q336" t="n">
        <v>0</v>
      </c>
      <c r="R336" s="2" t="inlineStr"/>
    </row>
    <row r="337" ht="15" customHeight="1">
      <c r="A337" t="inlineStr">
        <is>
          <t>A 67972-2020</t>
        </is>
      </c>
      <c r="B337" s="1" t="n">
        <v>44182</v>
      </c>
      <c r="C337" s="1" t="n">
        <v>45357</v>
      </c>
      <c r="D337" t="inlineStr">
        <is>
          <t>JÄMTLANDS LÄN</t>
        </is>
      </c>
      <c r="E337" t="inlineStr">
        <is>
          <t>ÅRE</t>
        </is>
      </c>
      <c r="G337" t="n">
        <v>6</v>
      </c>
      <c r="H337" t="n">
        <v>0</v>
      </c>
      <c r="I337" t="n">
        <v>0</v>
      </c>
      <c r="J337" t="n">
        <v>0</v>
      </c>
      <c r="K337" t="n">
        <v>0</v>
      </c>
      <c r="L337" t="n">
        <v>0</v>
      </c>
      <c r="M337" t="n">
        <v>0</v>
      </c>
      <c r="N337" t="n">
        <v>0</v>
      </c>
      <c r="O337" t="n">
        <v>0</v>
      </c>
      <c r="P337" t="n">
        <v>0</v>
      </c>
      <c r="Q337" t="n">
        <v>0</v>
      </c>
      <c r="R337" s="2" t="inlineStr"/>
    </row>
    <row r="338" ht="15" customHeight="1">
      <c r="A338" t="inlineStr">
        <is>
          <t>A 68545-2020</t>
        </is>
      </c>
      <c r="B338" s="1" t="n">
        <v>44186</v>
      </c>
      <c r="C338" s="1" t="n">
        <v>45357</v>
      </c>
      <c r="D338" t="inlineStr">
        <is>
          <t>JÄMTLANDS LÄN</t>
        </is>
      </c>
      <c r="E338" t="inlineStr">
        <is>
          <t>ÅRE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68537-2020</t>
        </is>
      </c>
      <c r="B339" s="1" t="n">
        <v>44186</v>
      </c>
      <c r="C339" s="1" t="n">
        <v>45357</v>
      </c>
      <c r="D339" t="inlineStr">
        <is>
          <t>JÄMTLANDS LÄN</t>
        </is>
      </c>
      <c r="E339" t="inlineStr">
        <is>
          <t>ÅRE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68518-2020</t>
        </is>
      </c>
      <c r="B340" s="1" t="n">
        <v>44186</v>
      </c>
      <c r="C340" s="1" t="n">
        <v>45357</v>
      </c>
      <c r="D340" t="inlineStr">
        <is>
          <t>JÄMTLANDS LÄN</t>
        </is>
      </c>
      <c r="E340" t="inlineStr">
        <is>
          <t>ÅRE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68594-2020</t>
        </is>
      </c>
      <c r="B341" s="1" t="n">
        <v>44186</v>
      </c>
      <c r="C341" s="1" t="n">
        <v>45357</v>
      </c>
      <c r="D341" t="inlineStr">
        <is>
          <t>JÄMTLANDS LÄN</t>
        </is>
      </c>
      <c r="E341" t="inlineStr">
        <is>
          <t>ÅRE</t>
        </is>
      </c>
      <c r="G341" t="n">
        <v>2.8</v>
      </c>
      <c r="H341" t="n">
        <v>0</v>
      </c>
      <c r="I341" t="n">
        <v>0</v>
      </c>
      <c r="J341" t="n">
        <v>0</v>
      </c>
      <c r="K341" t="n">
        <v>0</v>
      </c>
      <c r="L341" t="n">
        <v>0</v>
      </c>
      <c r="M341" t="n">
        <v>0</v>
      </c>
      <c r="N341" t="n">
        <v>0</v>
      </c>
      <c r="O341" t="n">
        <v>0</v>
      </c>
      <c r="P341" t="n">
        <v>0</v>
      </c>
      <c r="Q341" t="n">
        <v>0</v>
      </c>
      <c r="R341" s="2" t="inlineStr"/>
    </row>
    <row r="342" ht="15" customHeight="1">
      <c r="A342" t="inlineStr">
        <is>
          <t>A 1339-2021</t>
        </is>
      </c>
      <c r="B342" s="1" t="n">
        <v>44208</v>
      </c>
      <c r="C342" s="1" t="n">
        <v>45357</v>
      </c>
      <c r="D342" t="inlineStr">
        <is>
          <t>JÄMTLANDS LÄN</t>
        </is>
      </c>
      <c r="E342" t="inlineStr">
        <is>
          <t>ÅRE</t>
        </is>
      </c>
      <c r="G342" t="n">
        <v>0.9</v>
      </c>
      <c r="H342" t="n">
        <v>0</v>
      </c>
      <c r="I342" t="n">
        <v>0</v>
      </c>
      <c r="J342" t="n">
        <v>0</v>
      </c>
      <c r="K342" t="n">
        <v>0</v>
      </c>
      <c r="L342" t="n">
        <v>0</v>
      </c>
      <c r="M342" t="n">
        <v>0</v>
      </c>
      <c r="N342" t="n">
        <v>0</v>
      </c>
      <c r="O342" t="n">
        <v>0</v>
      </c>
      <c r="P342" t="n">
        <v>0</v>
      </c>
      <c r="Q342" t="n">
        <v>0</v>
      </c>
      <c r="R342" s="2" t="inlineStr"/>
    </row>
    <row r="343" ht="15" customHeight="1">
      <c r="A343" t="inlineStr">
        <is>
          <t>A 4838-2021</t>
        </is>
      </c>
      <c r="B343" s="1" t="n">
        <v>44225</v>
      </c>
      <c r="C343" s="1" t="n">
        <v>45357</v>
      </c>
      <c r="D343" t="inlineStr">
        <is>
          <t>JÄMTLANDS LÄN</t>
        </is>
      </c>
      <c r="E343" t="inlineStr">
        <is>
          <t>ÅRE</t>
        </is>
      </c>
      <c r="G343" t="n">
        <v>12.4</v>
      </c>
      <c r="H343" t="n">
        <v>0</v>
      </c>
      <c r="I343" t="n">
        <v>0</v>
      </c>
      <c r="J343" t="n">
        <v>0</v>
      </c>
      <c r="K343" t="n">
        <v>0</v>
      </c>
      <c r="L343" t="n">
        <v>0</v>
      </c>
      <c r="M343" t="n">
        <v>0</v>
      </c>
      <c r="N343" t="n">
        <v>0</v>
      </c>
      <c r="O343" t="n">
        <v>0</v>
      </c>
      <c r="P343" t="n">
        <v>0</v>
      </c>
      <c r="Q343" t="n">
        <v>0</v>
      </c>
      <c r="R343" s="2" t="inlineStr"/>
    </row>
    <row r="344" ht="15" customHeight="1">
      <c r="A344" t="inlineStr">
        <is>
          <t>A 4870-2021</t>
        </is>
      </c>
      <c r="B344" s="1" t="n">
        <v>44225</v>
      </c>
      <c r="C344" s="1" t="n">
        <v>45357</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5401-2021</t>
        </is>
      </c>
      <c r="B345" s="1" t="n">
        <v>44229</v>
      </c>
      <c r="C345" s="1" t="n">
        <v>45357</v>
      </c>
      <c r="D345" t="inlineStr">
        <is>
          <t>JÄMTLANDS LÄN</t>
        </is>
      </c>
      <c r="E345" t="inlineStr">
        <is>
          <t>ÅRE</t>
        </is>
      </c>
      <c r="G345" t="n">
        <v>10</v>
      </c>
      <c r="H345" t="n">
        <v>0</v>
      </c>
      <c r="I345" t="n">
        <v>0</v>
      </c>
      <c r="J345" t="n">
        <v>0</v>
      </c>
      <c r="K345" t="n">
        <v>0</v>
      </c>
      <c r="L345" t="n">
        <v>0</v>
      </c>
      <c r="M345" t="n">
        <v>0</v>
      </c>
      <c r="N345" t="n">
        <v>0</v>
      </c>
      <c r="O345" t="n">
        <v>0</v>
      </c>
      <c r="P345" t="n">
        <v>0</v>
      </c>
      <c r="Q345" t="n">
        <v>0</v>
      </c>
      <c r="R345" s="2" t="inlineStr"/>
    </row>
    <row r="346" ht="15" customHeight="1">
      <c r="A346" t="inlineStr">
        <is>
          <t>A 5753-2021</t>
        </is>
      </c>
      <c r="B346" s="1" t="n">
        <v>44230</v>
      </c>
      <c r="C346" s="1" t="n">
        <v>45357</v>
      </c>
      <c r="D346" t="inlineStr">
        <is>
          <t>JÄMTLANDS LÄN</t>
        </is>
      </c>
      <c r="E346" t="inlineStr">
        <is>
          <t>ÅRE</t>
        </is>
      </c>
      <c r="G346" t="n">
        <v>1</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45357</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6232-2021</t>
        </is>
      </c>
      <c r="B348" s="1" t="n">
        <v>44231</v>
      </c>
      <c r="C348" s="1" t="n">
        <v>45357</v>
      </c>
      <c r="D348" t="inlineStr">
        <is>
          <t>JÄMTLANDS LÄN</t>
        </is>
      </c>
      <c r="E348" t="inlineStr">
        <is>
          <t>ÅRE</t>
        </is>
      </c>
      <c r="G348" t="n">
        <v>11.9</v>
      </c>
      <c r="H348" t="n">
        <v>0</v>
      </c>
      <c r="I348" t="n">
        <v>0</v>
      </c>
      <c r="J348" t="n">
        <v>0</v>
      </c>
      <c r="K348" t="n">
        <v>0</v>
      </c>
      <c r="L348" t="n">
        <v>0</v>
      </c>
      <c r="M348" t="n">
        <v>0</v>
      </c>
      <c r="N348" t="n">
        <v>0</v>
      </c>
      <c r="O348" t="n">
        <v>0</v>
      </c>
      <c r="P348" t="n">
        <v>0</v>
      </c>
      <c r="Q348" t="n">
        <v>0</v>
      </c>
      <c r="R348" s="2" t="inlineStr"/>
    </row>
    <row r="349" ht="15" customHeight="1">
      <c r="A349" t="inlineStr">
        <is>
          <t>A 8294-2021</t>
        </is>
      </c>
      <c r="B349" s="1" t="n">
        <v>44243</v>
      </c>
      <c r="C349" s="1" t="n">
        <v>45357</v>
      </c>
      <c r="D349" t="inlineStr">
        <is>
          <t>JÄMTLANDS LÄN</t>
        </is>
      </c>
      <c r="E349" t="inlineStr">
        <is>
          <t>ÅRE</t>
        </is>
      </c>
      <c r="G349" t="n">
        <v>16.5</v>
      </c>
      <c r="H349" t="n">
        <v>0</v>
      </c>
      <c r="I349" t="n">
        <v>0</v>
      </c>
      <c r="J349" t="n">
        <v>0</v>
      </c>
      <c r="K349" t="n">
        <v>0</v>
      </c>
      <c r="L349" t="n">
        <v>0</v>
      </c>
      <c r="M349" t="n">
        <v>0</v>
      </c>
      <c r="N349" t="n">
        <v>0</v>
      </c>
      <c r="O349" t="n">
        <v>0</v>
      </c>
      <c r="P349" t="n">
        <v>0</v>
      </c>
      <c r="Q349" t="n">
        <v>0</v>
      </c>
      <c r="R349" s="2" t="inlineStr"/>
    </row>
    <row r="350" ht="15" customHeight="1">
      <c r="A350" t="inlineStr">
        <is>
          <t>A 8217-2021</t>
        </is>
      </c>
      <c r="B350" s="1" t="n">
        <v>44244</v>
      </c>
      <c r="C350" s="1" t="n">
        <v>45357</v>
      </c>
      <c r="D350" t="inlineStr">
        <is>
          <t>JÄMTLANDS LÄN</t>
        </is>
      </c>
      <c r="E350" t="inlineStr">
        <is>
          <t>ÅRE</t>
        </is>
      </c>
      <c r="G350" t="n">
        <v>51.8</v>
      </c>
      <c r="H350" t="n">
        <v>0</v>
      </c>
      <c r="I350" t="n">
        <v>0</v>
      </c>
      <c r="J350" t="n">
        <v>0</v>
      </c>
      <c r="K350" t="n">
        <v>0</v>
      </c>
      <c r="L350" t="n">
        <v>0</v>
      </c>
      <c r="M350" t="n">
        <v>0</v>
      </c>
      <c r="N350" t="n">
        <v>0</v>
      </c>
      <c r="O350" t="n">
        <v>0</v>
      </c>
      <c r="P350" t="n">
        <v>0</v>
      </c>
      <c r="Q350" t="n">
        <v>0</v>
      </c>
      <c r="R350" s="2" t="inlineStr"/>
    </row>
    <row r="351" ht="15" customHeight="1">
      <c r="A351" t="inlineStr">
        <is>
          <t>A 8668-2021</t>
        </is>
      </c>
      <c r="B351" s="1" t="n">
        <v>44246</v>
      </c>
      <c r="C351" s="1" t="n">
        <v>45357</v>
      </c>
      <c r="D351" t="inlineStr">
        <is>
          <t>JÄMTLANDS LÄN</t>
        </is>
      </c>
      <c r="E351" t="inlineStr">
        <is>
          <t>ÅRE</t>
        </is>
      </c>
      <c r="G351" t="n">
        <v>19.5</v>
      </c>
      <c r="H351" t="n">
        <v>0</v>
      </c>
      <c r="I351" t="n">
        <v>0</v>
      </c>
      <c r="J351" t="n">
        <v>0</v>
      </c>
      <c r="K351" t="n">
        <v>0</v>
      </c>
      <c r="L351" t="n">
        <v>0</v>
      </c>
      <c r="M351" t="n">
        <v>0</v>
      </c>
      <c r="N351" t="n">
        <v>0</v>
      </c>
      <c r="O351" t="n">
        <v>0</v>
      </c>
      <c r="P351" t="n">
        <v>0</v>
      </c>
      <c r="Q351" t="n">
        <v>0</v>
      </c>
      <c r="R351" s="2" t="inlineStr"/>
    </row>
    <row r="352" ht="15" customHeight="1">
      <c r="A352" t="inlineStr">
        <is>
          <t>A 9613-2021</t>
        </is>
      </c>
      <c r="B352" s="1" t="n">
        <v>44251</v>
      </c>
      <c r="C352" s="1" t="n">
        <v>45357</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9777-2021</t>
        </is>
      </c>
      <c r="B353" s="1" t="n">
        <v>44252</v>
      </c>
      <c r="C353" s="1" t="n">
        <v>45357</v>
      </c>
      <c r="D353" t="inlineStr">
        <is>
          <t>JÄMTLANDS LÄN</t>
        </is>
      </c>
      <c r="E353" t="inlineStr">
        <is>
          <t>ÅRE</t>
        </is>
      </c>
      <c r="G353" t="n">
        <v>4.2</v>
      </c>
      <c r="H353" t="n">
        <v>0</v>
      </c>
      <c r="I353" t="n">
        <v>0</v>
      </c>
      <c r="J353" t="n">
        <v>0</v>
      </c>
      <c r="K353" t="n">
        <v>0</v>
      </c>
      <c r="L353" t="n">
        <v>0</v>
      </c>
      <c r="M353" t="n">
        <v>0</v>
      </c>
      <c r="N353" t="n">
        <v>0</v>
      </c>
      <c r="O353" t="n">
        <v>0</v>
      </c>
      <c r="P353" t="n">
        <v>0</v>
      </c>
      <c r="Q353" t="n">
        <v>0</v>
      </c>
      <c r="R353" s="2" t="inlineStr"/>
    </row>
    <row r="354" ht="15" customHeight="1">
      <c r="A354" t="inlineStr">
        <is>
          <t>A 10191-2021</t>
        </is>
      </c>
      <c r="B354" s="1" t="n">
        <v>44256</v>
      </c>
      <c r="C354" s="1" t="n">
        <v>45357</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10285-2021</t>
        </is>
      </c>
      <c r="B355" s="1" t="n">
        <v>44257</v>
      </c>
      <c r="C355" s="1" t="n">
        <v>45357</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10283-2021</t>
        </is>
      </c>
      <c r="B356" s="1" t="n">
        <v>44257</v>
      </c>
      <c r="C356" s="1" t="n">
        <v>45357</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12387-2021</t>
        </is>
      </c>
      <c r="B357" s="1" t="n">
        <v>44267</v>
      </c>
      <c r="C357" s="1" t="n">
        <v>45357</v>
      </c>
      <c r="D357" t="inlineStr">
        <is>
          <t>JÄMTLANDS LÄN</t>
        </is>
      </c>
      <c r="E357" t="inlineStr">
        <is>
          <t>ÅRE</t>
        </is>
      </c>
      <c r="G357" t="n">
        <v>3.4</v>
      </c>
      <c r="H357" t="n">
        <v>0</v>
      </c>
      <c r="I357" t="n">
        <v>0</v>
      </c>
      <c r="J357" t="n">
        <v>0</v>
      </c>
      <c r="K357" t="n">
        <v>0</v>
      </c>
      <c r="L357" t="n">
        <v>0</v>
      </c>
      <c r="M357" t="n">
        <v>0</v>
      </c>
      <c r="N357" t="n">
        <v>0</v>
      </c>
      <c r="O357" t="n">
        <v>0</v>
      </c>
      <c r="P357" t="n">
        <v>0</v>
      </c>
      <c r="Q357" t="n">
        <v>0</v>
      </c>
      <c r="R357" s="2" t="inlineStr"/>
    </row>
    <row r="358" ht="15" customHeight="1">
      <c r="A358" t="inlineStr">
        <is>
          <t>A 12857-2021</t>
        </is>
      </c>
      <c r="B358" s="1" t="n">
        <v>44270</v>
      </c>
      <c r="C358" s="1" t="n">
        <v>45357</v>
      </c>
      <c r="D358" t="inlineStr">
        <is>
          <t>JÄMTLANDS LÄN</t>
        </is>
      </c>
      <c r="E358" t="inlineStr">
        <is>
          <t>ÅRE</t>
        </is>
      </c>
      <c r="F358" t="inlineStr">
        <is>
          <t>Kommuner</t>
        </is>
      </c>
      <c r="G358" t="n">
        <v>17.2</v>
      </c>
      <c r="H358" t="n">
        <v>0</v>
      </c>
      <c r="I358" t="n">
        <v>0</v>
      </c>
      <c r="J358" t="n">
        <v>0</v>
      </c>
      <c r="K358" t="n">
        <v>0</v>
      </c>
      <c r="L358" t="n">
        <v>0</v>
      </c>
      <c r="M358" t="n">
        <v>0</v>
      </c>
      <c r="N358" t="n">
        <v>0</v>
      </c>
      <c r="O358" t="n">
        <v>0</v>
      </c>
      <c r="P358" t="n">
        <v>0</v>
      </c>
      <c r="Q358" t="n">
        <v>0</v>
      </c>
      <c r="R358" s="2" t="inlineStr"/>
    </row>
    <row r="359" ht="15" customHeight="1">
      <c r="A359" t="inlineStr">
        <is>
          <t>A 12827-2021</t>
        </is>
      </c>
      <c r="B359" s="1" t="n">
        <v>44271</v>
      </c>
      <c r="C359" s="1" t="n">
        <v>45357</v>
      </c>
      <c r="D359" t="inlineStr">
        <is>
          <t>JÄMTLANDS LÄN</t>
        </is>
      </c>
      <c r="E359" t="inlineStr">
        <is>
          <t>ÅRE</t>
        </is>
      </c>
      <c r="G359" t="n">
        <v>1.5</v>
      </c>
      <c r="H359" t="n">
        <v>0</v>
      </c>
      <c r="I359" t="n">
        <v>0</v>
      </c>
      <c r="J359" t="n">
        <v>0</v>
      </c>
      <c r="K359" t="n">
        <v>0</v>
      </c>
      <c r="L359" t="n">
        <v>0</v>
      </c>
      <c r="M359" t="n">
        <v>0</v>
      </c>
      <c r="N359" t="n">
        <v>0</v>
      </c>
      <c r="O359" t="n">
        <v>0</v>
      </c>
      <c r="P359" t="n">
        <v>0</v>
      </c>
      <c r="Q359" t="n">
        <v>0</v>
      </c>
      <c r="R359" s="2" t="inlineStr"/>
    </row>
    <row r="360" ht="15" customHeight="1">
      <c r="A360" t="inlineStr">
        <is>
          <t>A 14202-2021</t>
        </is>
      </c>
      <c r="B360" s="1" t="n">
        <v>44278</v>
      </c>
      <c r="C360" s="1" t="n">
        <v>45357</v>
      </c>
      <c r="D360" t="inlineStr">
        <is>
          <t>JÄMTLANDS LÄN</t>
        </is>
      </c>
      <c r="E360" t="inlineStr">
        <is>
          <t>ÅRE</t>
        </is>
      </c>
      <c r="G360" t="n">
        <v>17.8</v>
      </c>
      <c r="H360" t="n">
        <v>0</v>
      </c>
      <c r="I360" t="n">
        <v>0</v>
      </c>
      <c r="J360" t="n">
        <v>0</v>
      </c>
      <c r="K360" t="n">
        <v>0</v>
      </c>
      <c r="L360" t="n">
        <v>0</v>
      </c>
      <c r="M360" t="n">
        <v>0</v>
      </c>
      <c r="N360" t="n">
        <v>0</v>
      </c>
      <c r="O360" t="n">
        <v>0</v>
      </c>
      <c r="P360" t="n">
        <v>0</v>
      </c>
      <c r="Q360" t="n">
        <v>0</v>
      </c>
      <c r="R360" s="2" t="inlineStr"/>
    </row>
    <row r="361" ht="15" customHeight="1">
      <c r="A361" t="inlineStr">
        <is>
          <t>A 14210-2021</t>
        </is>
      </c>
      <c r="B361" s="1" t="n">
        <v>44278</v>
      </c>
      <c r="C361" s="1" t="n">
        <v>45357</v>
      </c>
      <c r="D361" t="inlineStr">
        <is>
          <t>JÄMTLANDS LÄN</t>
        </is>
      </c>
      <c r="E361" t="inlineStr">
        <is>
          <t>ÅRE</t>
        </is>
      </c>
      <c r="G361" t="n">
        <v>5.3</v>
      </c>
      <c r="H361" t="n">
        <v>0</v>
      </c>
      <c r="I361" t="n">
        <v>0</v>
      </c>
      <c r="J361" t="n">
        <v>0</v>
      </c>
      <c r="K361" t="n">
        <v>0</v>
      </c>
      <c r="L361" t="n">
        <v>0</v>
      </c>
      <c r="M361" t="n">
        <v>0</v>
      </c>
      <c r="N361" t="n">
        <v>0</v>
      </c>
      <c r="O361" t="n">
        <v>0</v>
      </c>
      <c r="P361" t="n">
        <v>0</v>
      </c>
      <c r="Q361" t="n">
        <v>0</v>
      </c>
      <c r="R361" s="2" t="inlineStr"/>
    </row>
    <row r="362" ht="15" customHeight="1">
      <c r="A362" t="inlineStr">
        <is>
          <t>A 14204-2021</t>
        </is>
      </c>
      <c r="B362" s="1" t="n">
        <v>44278</v>
      </c>
      <c r="C362" s="1" t="n">
        <v>45357</v>
      </c>
      <c r="D362" t="inlineStr">
        <is>
          <t>JÄMTLANDS LÄN</t>
        </is>
      </c>
      <c r="E362" t="inlineStr">
        <is>
          <t>ÅRE</t>
        </is>
      </c>
      <c r="G362" t="n">
        <v>24.6</v>
      </c>
      <c r="H362" t="n">
        <v>0</v>
      </c>
      <c r="I362" t="n">
        <v>0</v>
      </c>
      <c r="J362" t="n">
        <v>0</v>
      </c>
      <c r="K362" t="n">
        <v>0</v>
      </c>
      <c r="L362" t="n">
        <v>0</v>
      </c>
      <c r="M362" t="n">
        <v>0</v>
      </c>
      <c r="N362" t="n">
        <v>0</v>
      </c>
      <c r="O362" t="n">
        <v>0</v>
      </c>
      <c r="P362" t="n">
        <v>0</v>
      </c>
      <c r="Q362" t="n">
        <v>0</v>
      </c>
      <c r="R362" s="2" t="inlineStr"/>
    </row>
    <row r="363" ht="15" customHeight="1">
      <c r="A363" t="inlineStr">
        <is>
          <t>A 14826-2021</t>
        </is>
      </c>
      <c r="B363" s="1" t="n">
        <v>44280</v>
      </c>
      <c r="C363" s="1" t="n">
        <v>45357</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15305-2021</t>
        </is>
      </c>
      <c r="B364" s="1" t="n">
        <v>44284</v>
      </c>
      <c r="C364" s="1" t="n">
        <v>45357</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16625-2021</t>
        </is>
      </c>
      <c r="B365" s="1" t="n">
        <v>44294</v>
      </c>
      <c r="C365" s="1" t="n">
        <v>45357</v>
      </c>
      <c r="D365" t="inlineStr">
        <is>
          <t>JÄMTLANDS LÄN</t>
        </is>
      </c>
      <c r="E365" t="inlineStr">
        <is>
          <t>ÅRE</t>
        </is>
      </c>
      <c r="F365" t="inlineStr">
        <is>
          <t>Övriga Aktiebolag</t>
        </is>
      </c>
      <c r="G365" t="n">
        <v>0.1</v>
      </c>
      <c r="H365" t="n">
        <v>0</v>
      </c>
      <c r="I365" t="n">
        <v>0</v>
      </c>
      <c r="J365" t="n">
        <v>0</v>
      </c>
      <c r="K365" t="n">
        <v>0</v>
      </c>
      <c r="L365" t="n">
        <v>0</v>
      </c>
      <c r="M365" t="n">
        <v>0</v>
      </c>
      <c r="N365" t="n">
        <v>0</v>
      </c>
      <c r="O365" t="n">
        <v>0</v>
      </c>
      <c r="P365" t="n">
        <v>0</v>
      </c>
      <c r="Q365" t="n">
        <v>0</v>
      </c>
      <c r="R365" s="2" t="inlineStr"/>
    </row>
    <row r="366" ht="15" customHeight="1">
      <c r="A366" t="inlineStr">
        <is>
          <t>A 17883-2021</t>
        </is>
      </c>
      <c r="B366" s="1" t="n">
        <v>44301</v>
      </c>
      <c r="C366" s="1" t="n">
        <v>45357</v>
      </c>
      <c r="D366" t="inlineStr">
        <is>
          <t>JÄMTLANDS LÄN</t>
        </is>
      </c>
      <c r="E366" t="inlineStr">
        <is>
          <t>ÅRE</t>
        </is>
      </c>
      <c r="F366" t="inlineStr">
        <is>
          <t>Övriga Aktiebolag</t>
        </is>
      </c>
      <c r="G366" t="n">
        <v>6.7</v>
      </c>
      <c r="H366" t="n">
        <v>0</v>
      </c>
      <c r="I366" t="n">
        <v>0</v>
      </c>
      <c r="J366" t="n">
        <v>0</v>
      </c>
      <c r="K366" t="n">
        <v>0</v>
      </c>
      <c r="L366" t="n">
        <v>0</v>
      </c>
      <c r="M366" t="n">
        <v>0</v>
      </c>
      <c r="N366" t="n">
        <v>0</v>
      </c>
      <c r="O366" t="n">
        <v>0</v>
      </c>
      <c r="P366" t="n">
        <v>0</v>
      </c>
      <c r="Q366" t="n">
        <v>0</v>
      </c>
      <c r="R366" s="2" t="inlineStr"/>
    </row>
    <row r="367" ht="15" customHeight="1">
      <c r="A367" t="inlineStr">
        <is>
          <t>A 18374-2021</t>
        </is>
      </c>
      <c r="B367" s="1" t="n">
        <v>44305</v>
      </c>
      <c r="C367" s="1" t="n">
        <v>45357</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18531-2021</t>
        </is>
      </c>
      <c r="B368" s="1" t="n">
        <v>44306</v>
      </c>
      <c r="C368" s="1" t="n">
        <v>45357</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18792-2021</t>
        </is>
      </c>
      <c r="B369" s="1" t="n">
        <v>44307</v>
      </c>
      <c r="C369" s="1" t="n">
        <v>45357</v>
      </c>
      <c r="D369" t="inlineStr">
        <is>
          <t>JÄMTLANDS LÄN</t>
        </is>
      </c>
      <c r="E369" t="inlineStr">
        <is>
          <t>ÅRE</t>
        </is>
      </c>
      <c r="G369" t="n">
        <v>16.6</v>
      </c>
      <c r="H369" t="n">
        <v>0</v>
      </c>
      <c r="I369" t="n">
        <v>0</v>
      </c>
      <c r="J369" t="n">
        <v>0</v>
      </c>
      <c r="K369" t="n">
        <v>0</v>
      </c>
      <c r="L369" t="n">
        <v>0</v>
      </c>
      <c r="M369" t="n">
        <v>0</v>
      </c>
      <c r="N369" t="n">
        <v>0</v>
      </c>
      <c r="O369" t="n">
        <v>0</v>
      </c>
      <c r="P369" t="n">
        <v>0</v>
      </c>
      <c r="Q369" t="n">
        <v>0</v>
      </c>
      <c r="R369" s="2" t="inlineStr"/>
    </row>
    <row r="370" ht="15" customHeight="1">
      <c r="A370" t="inlineStr">
        <is>
          <t>A 19275-2021</t>
        </is>
      </c>
      <c r="B370" s="1" t="n">
        <v>44309</v>
      </c>
      <c r="C370" s="1" t="n">
        <v>45357</v>
      </c>
      <c r="D370" t="inlineStr">
        <is>
          <t>JÄMTLANDS LÄN</t>
        </is>
      </c>
      <c r="E370" t="inlineStr">
        <is>
          <t>ÅRE</t>
        </is>
      </c>
      <c r="G370" t="n">
        <v>16.4</v>
      </c>
      <c r="H370" t="n">
        <v>0</v>
      </c>
      <c r="I370" t="n">
        <v>0</v>
      </c>
      <c r="J370" t="n">
        <v>0</v>
      </c>
      <c r="K370" t="n">
        <v>0</v>
      </c>
      <c r="L370" t="n">
        <v>0</v>
      </c>
      <c r="M370" t="n">
        <v>0</v>
      </c>
      <c r="N370" t="n">
        <v>0</v>
      </c>
      <c r="O370" t="n">
        <v>0</v>
      </c>
      <c r="P370" t="n">
        <v>0</v>
      </c>
      <c r="Q370" t="n">
        <v>0</v>
      </c>
      <c r="R370" s="2" t="inlineStr"/>
    </row>
    <row r="371" ht="15" customHeight="1">
      <c r="A371" t="inlineStr">
        <is>
          <t>A 20501-2021</t>
        </is>
      </c>
      <c r="B371" s="1" t="n">
        <v>44315</v>
      </c>
      <c r="C371" s="1" t="n">
        <v>45357</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21897-2021</t>
        </is>
      </c>
      <c r="B372" s="1" t="n">
        <v>44322</v>
      </c>
      <c r="C372" s="1" t="n">
        <v>45357</v>
      </c>
      <c r="D372" t="inlineStr">
        <is>
          <t>JÄMTLANDS LÄN</t>
        </is>
      </c>
      <c r="E372" t="inlineStr">
        <is>
          <t>ÅRE</t>
        </is>
      </c>
      <c r="G372" t="n">
        <v>41.4</v>
      </c>
      <c r="H372" t="n">
        <v>0</v>
      </c>
      <c r="I372" t="n">
        <v>0</v>
      </c>
      <c r="J372" t="n">
        <v>0</v>
      </c>
      <c r="K372" t="n">
        <v>0</v>
      </c>
      <c r="L372" t="n">
        <v>0</v>
      </c>
      <c r="M372" t="n">
        <v>0</v>
      </c>
      <c r="N372" t="n">
        <v>0</v>
      </c>
      <c r="O372" t="n">
        <v>0</v>
      </c>
      <c r="P372" t="n">
        <v>0</v>
      </c>
      <c r="Q372" t="n">
        <v>0</v>
      </c>
      <c r="R372" s="2" t="inlineStr"/>
    </row>
    <row r="373" ht="15" customHeight="1">
      <c r="A373" t="inlineStr">
        <is>
          <t>A 21905-2021</t>
        </is>
      </c>
      <c r="B373" s="1" t="n">
        <v>44322</v>
      </c>
      <c r="C373" s="1" t="n">
        <v>45357</v>
      </c>
      <c r="D373" t="inlineStr">
        <is>
          <t>JÄMTLANDS LÄN</t>
        </is>
      </c>
      <c r="E373" t="inlineStr">
        <is>
          <t>ÅRE</t>
        </is>
      </c>
      <c r="G373" t="n">
        <v>14.3</v>
      </c>
      <c r="H373" t="n">
        <v>0</v>
      </c>
      <c r="I373" t="n">
        <v>0</v>
      </c>
      <c r="J373" t="n">
        <v>0</v>
      </c>
      <c r="K373" t="n">
        <v>0</v>
      </c>
      <c r="L373" t="n">
        <v>0</v>
      </c>
      <c r="M373" t="n">
        <v>0</v>
      </c>
      <c r="N373" t="n">
        <v>0</v>
      </c>
      <c r="O373" t="n">
        <v>0</v>
      </c>
      <c r="P373" t="n">
        <v>0</v>
      </c>
      <c r="Q373" t="n">
        <v>0</v>
      </c>
      <c r="R373" s="2" t="inlineStr"/>
    </row>
    <row r="374" ht="15" customHeight="1">
      <c r="A374" t="inlineStr">
        <is>
          <t>A 22707-2021</t>
        </is>
      </c>
      <c r="B374" s="1" t="n">
        <v>44323</v>
      </c>
      <c r="C374" s="1" t="n">
        <v>45357</v>
      </c>
      <c r="D374" t="inlineStr">
        <is>
          <t>JÄMTLANDS LÄN</t>
        </is>
      </c>
      <c r="E374" t="inlineStr">
        <is>
          <t>ÅRE</t>
        </is>
      </c>
      <c r="G374" t="n">
        <v>6.3</v>
      </c>
      <c r="H374" t="n">
        <v>0</v>
      </c>
      <c r="I374" t="n">
        <v>0</v>
      </c>
      <c r="J374" t="n">
        <v>0</v>
      </c>
      <c r="K374" t="n">
        <v>0</v>
      </c>
      <c r="L374" t="n">
        <v>0</v>
      </c>
      <c r="M374" t="n">
        <v>0</v>
      </c>
      <c r="N374" t="n">
        <v>0</v>
      </c>
      <c r="O374" t="n">
        <v>0</v>
      </c>
      <c r="P374" t="n">
        <v>0</v>
      </c>
      <c r="Q374" t="n">
        <v>0</v>
      </c>
      <c r="R374" s="2" t="inlineStr"/>
    </row>
    <row r="375" ht="15" customHeight="1">
      <c r="A375" t="inlineStr">
        <is>
          <t>A 22505-2021</t>
        </is>
      </c>
      <c r="B375" s="1" t="n">
        <v>44326</v>
      </c>
      <c r="C375" s="1" t="n">
        <v>45357</v>
      </c>
      <c r="D375" t="inlineStr">
        <is>
          <t>JÄMTLANDS LÄN</t>
        </is>
      </c>
      <c r="E375" t="inlineStr">
        <is>
          <t>ÅRE</t>
        </is>
      </c>
      <c r="G375" t="n">
        <v>0.6</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45357</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24201-2021</t>
        </is>
      </c>
      <c r="B377" s="1" t="n">
        <v>44336</v>
      </c>
      <c r="C377" s="1" t="n">
        <v>45357</v>
      </c>
      <c r="D377" t="inlineStr">
        <is>
          <t>JÄMTLANDS LÄN</t>
        </is>
      </c>
      <c r="E377" t="inlineStr">
        <is>
          <t>ÅRE</t>
        </is>
      </c>
      <c r="G377" t="n">
        <v>23.1</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45357</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45357</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45357</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45357</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45357</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45357</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45357</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45357</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45357</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45357</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45357</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45357</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45357</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45357</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45357</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45357</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45357</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45357</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45357</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45357</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45357</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45357</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45357</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45357</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45357</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45357</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45357</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45357</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45357</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45357</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45357</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45357</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45357</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45357</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45357</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45357</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45357</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45357</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45357</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45357</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45357</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45357</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45357</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45357</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45357</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45357</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45357</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45357</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45357</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45357</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45357</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45357</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45357</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45357</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45357</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45357</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45357</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45357</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45357</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45357</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45357</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45357</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45357</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45357</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45357</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45357</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45357</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45357</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45357</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45357</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45357</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45357</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45357</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45357</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45357</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45357</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45357</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45357</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5160-2022</t>
        </is>
      </c>
      <c r="B456" s="1" t="n">
        <v>44593</v>
      </c>
      <c r="C456" s="1" t="n">
        <v>45357</v>
      </c>
      <c r="D456" t="inlineStr">
        <is>
          <t>JÄMTLANDS LÄN</t>
        </is>
      </c>
      <c r="E456" t="inlineStr">
        <is>
          <t>ÅRE</t>
        </is>
      </c>
      <c r="G456" t="n">
        <v>11.4</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45357</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45357</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45357</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45357</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45357</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45357</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45357</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45357</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45357</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45357</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45357</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45357</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45357</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45357</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45357</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45357</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45357</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45357</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45357</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45357</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27805-2022</t>
        </is>
      </c>
      <c r="B477" s="1" t="n">
        <v>44743</v>
      </c>
      <c r="C477" s="1" t="n">
        <v>45357</v>
      </c>
      <c r="D477" t="inlineStr">
        <is>
          <t>JÄMTLANDS LÄN</t>
        </is>
      </c>
      <c r="E477" t="inlineStr">
        <is>
          <t>ÅRE</t>
        </is>
      </c>
      <c r="G477" t="n">
        <v>106.2</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45357</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45357</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45357</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45357</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45357</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45357</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45357</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45357</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45357</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45357</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45357</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45357</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45357</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45357</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45357</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45357</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45357</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45357</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45357</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45357</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45357</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45357</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45357</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45357</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45357</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45357</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45357</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45357</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45357</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45357</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45357</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45357</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45357</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45357</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45357</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45357</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45357</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45357</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45357</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45357</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45357</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45357</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45357</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45357</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45357</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45357</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45357</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45357</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45357</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45357</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45357</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45357</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55194-2022</t>
        </is>
      </c>
      <c r="B530" s="1" t="n">
        <v>44886</v>
      </c>
      <c r="C530" s="1" t="n">
        <v>45357</v>
      </c>
      <c r="D530" t="inlineStr">
        <is>
          <t>JÄMTLANDS LÄN</t>
        </is>
      </c>
      <c r="E530" t="inlineStr">
        <is>
          <t>ÅRE</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45357</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45357</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45357</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45357</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45357</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45357</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45357</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45357</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45357</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45357</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45357</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45357</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45357</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45357</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45357</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45357</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45357</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45357</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45357</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45357</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45357</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45357</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45357</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45357</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45357</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45357</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45357</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45357</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45357</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45357</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45357</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45357</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45357</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45357</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45357</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45357</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45357</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45357</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45357</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45357</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45357</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45357</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45357</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45357</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45357</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45357</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45357</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45357</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45357</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45357</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45357</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45357</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45357</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45357</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45357</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45357</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45357</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45357</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45357</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45357</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45357</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45357</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45357</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45357</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45357</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45357</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45357</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45357</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45357</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45357</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45357</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45357</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45357</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45357</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45357</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45357</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45357</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45357</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5611-2023</t>
        </is>
      </c>
      <c r="B609" s="1" t="n">
        <v>44958</v>
      </c>
      <c r="C609" s="1" t="n">
        <v>45357</v>
      </c>
      <c r="D609" t="inlineStr">
        <is>
          <t>JÄMTLANDS LÄN</t>
        </is>
      </c>
      <c r="E609" t="inlineStr">
        <is>
          <t>ÅRE</t>
        </is>
      </c>
      <c r="G609" t="n">
        <v>10.5</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45357</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45357</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45357</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45357</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45357</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45357</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45357</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45357</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45357</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45357</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45357</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45357</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45357</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45357</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45357</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45357</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45357</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45357</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45357</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45357</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45357</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45357</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45357</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45357</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45357</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45357</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45357</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45357</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45357</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45357</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45357</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45357</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45357</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45357</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45357</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45357</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45357</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45357</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45357</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45357</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45357</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45357</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45357</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45357</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45357</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45357</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45357</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45357</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45357</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45357</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45357</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45357</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45357</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45357</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45357</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45357</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45357</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45357</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45357</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45357</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45357</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45357</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45357</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45357</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45357</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45357</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45357</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45357</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45357</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45357</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45357</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45357</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45357</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45357</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45357</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45357</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45357</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45357</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45357</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45357</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45357</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45357</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45357</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45357</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45357</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45357</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45357</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45357</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45357</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45357</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45357</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45357</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45357</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45357</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45357</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45357</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45357</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45357</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45357</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45357</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45357</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45357</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45357</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45357</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54128-2023</t>
        </is>
      </c>
      <c r="B714" s="1" t="n">
        <v>45232</v>
      </c>
      <c r="C714" s="1" t="n">
        <v>45357</v>
      </c>
      <c r="D714" t="inlineStr">
        <is>
          <t>JÄMTLANDS LÄN</t>
        </is>
      </c>
      <c r="E714" t="inlineStr">
        <is>
          <t>ÅRE</t>
        </is>
      </c>
      <c r="G714" t="n">
        <v>3.9</v>
      </c>
      <c r="H714" t="n">
        <v>0</v>
      </c>
      <c r="I714" t="n">
        <v>0</v>
      </c>
      <c r="J714" t="n">
        <v>0</v>
      </c>
      <c r="K714" t="n">
        <v>0</v>
      </c>
      <c r="L714" t="n">
        <v>0</v>
      </c>
      <c r="M714" t="n">
        <v>0</v>
      </c>
      <c r="N714" t="n">
        <v>0</v>
      </c>
      <c r="O714" t="n">
        <v>0</v>
      </c>
      <c r="P714" t="n">
        <v>0</v>
      </c>
      <c r="Q714" t="n">
        <v>0</v>
      </c>
      <c r="R714" s="2" t="inlineStr"/>
    </row>
    <row r="715" ht="15" customHeight="1">
      <c r="A715" t="inlineStr">
        <is>
          <t>A 54175-2023</t>
        </is>
      </c>
      <c r="B715" s="1" t="n">
        <v>45232</v>
      </c>
      <c r="C715" s="1" t="n">
        <v>45357</v>
      </c>
      <c r="D715" t="inlineStr">
        <is>
          <t>JÄMTLANDS LÄN</t>
        </is>
      </c>
      <c r="E715" t="inlineStr">
        <is>
          <t>ÅRE</t>
        </is>
      </c>
      <c r="G715" t="n">
        <v>0.1</v>
      </c>
      <c r="H715" t="n">
        <v>0</v>
      </c>
      <c r="I715" t="n">
        <v>0</v>
      </c>
      <c r="J715" t="n">
        <v>0</v>
      </c>
      <c r="K715" t="n">
        <v>0</v>
      </c>
      <c r="L715" t="n">
        <v>0</v>
      </c>
      <c r="M715" t="n">
        <v>0</v>
      </c>
      <c r="N715" t="n">
        <v>0</v>
      </c>
      <c r="O715" t="n">
        <v>0</v>
      </c>
      <c r="P715" t="n">
        <v>0</v>
      </c>
      <c r="Q715" t="n">
        <v>0</v>
      </c>
      <c r="R715" s="2" t="inlineStr"/>
    </row>
    <row r="716" ht="15" customHeight="1">
      <c r="A716" t="inlineStr">
        <is>
          <t>A 56044-2023</t>
        </is>
      </c>
      <c r="B716" s="1" t="n">
        <v>45233</v>
      </c>
      <c r="C716" s="1" t="n">
        <v>45357</v>
      </c>
      <c r="D716" t="inlineStr">
        <is>
          <t>JÄMTLANDS LÄN</t>
        </is>
      </c>
      <c r="E716" t="inlineStr">
        <is>
          <t>ÅRE</t>
        </is>
      </c>
      <c r="G716" t="n">
        <v>5.3</v>
      </c>
      <c r="H716" t="n">
        <v>0</v>
      </c>
      <c r="I716" t="n">
        <v>0</v>
      </c>
      <c r="J716" t="n">
        <v>0</v>
      </c>
      <c r="K716" t="n">
        <v>0</v>
      </c>
      <c r="L716" t="n">
        <v>0</v>
      </c>
      <c r="M716" t="n">
        <v>0</v>
      </c>
      <c r="N716" t="n">
        <v>0</v>
      </c>
      <c r="O716" t="n">
        <v>0</v>
      </c>
      <c r="P716" t="n">
        <v>0</v>
      </c>
      <c r="Q716" t="n">
        <v>0</v>
      </c>
      <c r="R716" s="2" t="inlineStr"/>
    </row>
    <row r="717" ht="15" customHeight="1">
      <c r="A717" t="inlineStr">
        <is>
          <t>A 54385-2023</t>
        </is>
      </c>
      <c r="B717" s="1" t="n">
        <v>45233</v>
      </c>
      <c r="C717" s="1" t="n">
        <v>45357</v>
      </c>
      <c r="D717" t="inlineStr">
        <is>
          <t>JÄMTLANDS LÄN</t>
        </is>
      </c>
      <c r="E717" t="inlineStr">
        <is>
          <t>ÅRE</t>
        </is>
      </c>
      <c r="G717" t="n">
        <v>3.7</v>
      </c>
      <c r="H717" t="n">
        <v>0</v>
      </c>
      <c r="I717" t="n">
        <v>0</v>
      </c>
      <c r="J717" t="n">
        <v>0</v>
      </c>
      <c r="K717" t="n">
        <v>0</v>
      </c>
      <c r="L717" t="n">
        <v>0</v>
      </c>
      <c r="M717" t="n">
        <v>0</v>
      </c>
      <c r="N717" t="n">
        <v>0</v>
      </c>
      <c r="O717" t="n">
        <v>0</v>
      </c>
      <c r="P717" t="n">
        <v>0</v>
      </c>
      <c r="Q717" t="n">
        <v>0</v>
      </c>
      <c r="R717" s="2" t="inlineStr"/>
    </row>
    <row r="718" ht="15" customHeight="1">
      <c r="A718" t="inlineStr">
        <is>
          <t>A 54377-2023</t>
        </is>
      </c>
      <c r="B718" s="1" t="n">
        <v>45233</v>
      </c>
      <c r="C718" s="1" t="n">
        <v>45357</v>
      </c>
      <c r="D718" t="inlineStr">
        <is>
          <t>JÄMTLANDS LÄN</t>
        </is>
      </c>
      <c r="E718" t="inlineStr">
        <is>
          <t>ÅRE</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54373-2023</t>
        </is>
      </c>
      <c r="B719" s="1" t="n">
        <v>45233</v>
      </c>
      <c r="C719" s="1" t="n">
        <v>45357</v>
      </c>
      <c r="D719" t="inlineStr">
        <is>
          <t>JÄMTLANDS LÄN</t>
        </is>
      </c>
      <c r="E719" t="inlineStr">
        <is>
          <t>ÅRE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54781-2023</t>
        </is>
      </c>
      <c r="B720" s="1" t="n">
        <v>45236</v>
      </c>
      <c r="C720" s="1" t="n">
        <v>45357</v>
      </c>
      <c r="D720" t="inlineStr">
        <is>
          <t>JÄMTLANDS LÄN</t>
        </is>
      </c>
      <c r="E720" t="inlineStr">
        <is>
          <t>ÅRE</t>
        </is>
      </c>
      <c r="G720" t="n">
        <v>3.5</v>
      </c>
      <c r="H720" t="n">
        <v>0</v>
      </c>
      <c r="I720" t="n">
        <v>0</v>
      </c>
      <c r="J720" t="n">
        <v>0</v>
      </c>
      <c r="K720" t="n">
        <v>0</v>
      </c>
      <c r="L720" t="n">
        <v>0</v>
      </c>
      <c r="M720" t="n">
        <v>0</v>
      </c>
      <c r="N720" t="n">
        <v>0</v>
      </c>
      <c r="O720" t="n">
        <v>0</v>
      </c>
      <c r="P720" t="n">
        <v>0</v>
      </c>
      <c r="Q720" t="n">
        <v>0</v>
      </c>
      <c r="R720" s="2" t="inlineStr"/>
    </row>
    <row r="721" ht="15" customHeight="1">
      <c r="A721" t="inlineStr">
        <is>
          <t>A 54796-2023</t>
        </is>
      </c>
      <c r="B721" s="1" t="n">
        <v>45236</v>
      </c>
      <c r="C721" s="1" t="n">
        <v>45357</v>
      </c>
      <c r="D721" t="inlineStr">
        <is>
          <t>JÄMTLANDS LÄN</t>
        </is>
      </c>
      <c r="E721" t="inlineStr">
        <is>
          <t>ÅRE</t>
        </is>
      </c>
      <c r="G721" t="n">
        <v>9.1</v>
      </c>
      <c r="H721" t="n">
        <v>0</v>
      </c>
      <c r="I721" t="n">
        <v>0</v>
      </c>
      <c r="J721" t="n">
        <v>0</v>
      </c>
      <c r="K721" t="n">
        <v>0</v>
      </c>
      <c r="L721" t="n">
        <v>0</v>
      </c>
      <c r="M721" t="n">
        <v>0</v>
      </c>
      <c r="N721" t="n">
        <v>0</v>
      </c>
      <c r="O721" t="n">
        <v>0</v>
      </c>
      <c r="P721" t="n">
        <v>0</v>
      </c>
      <c r="Q721" t="n">
        <v>0</v>
      </c>
      <c r="R721" s="2" t="inlineStr"/>
    </row>
    <row r="722" ht="15" customHeight="1">
      <c r="A722" t="inlineStr">
        <is>
          <t>A 54898-2023</t>
        </is>
      </c>
      <c r="B722" s="1" t="n">
        <v>45236</v>
      </c>
      <c r="C722" s="1" t="n">
        <v>45357</v>
      </c>
      <c r="D722" t="inlineStr">
        <is>
          <t>JÄMTLANDS LÄN</t>
        </is>
      </c>
      <c r="E722" t="inlineStr">
        <is>
          <t>ÅRE</t>
        </is>
      </c>
      <c r="G722" t="n">
        <v>2.7</v>
      </c>
      <c r="H722" t="n">
        <v>0</v>
      </c>
      <c r="I722" t="n">
        <v>0</v>
      </c>
      <c r="J722" t="n">
        <v>0</v>
      </c>
      <c r="K722" t="n">
        <v>0</v>
      </c>
      <c r="L722" t="n">
        <v>0</v>
      </c>
      <c r="M722" t="n">
        <v>0</v>
      </c>
      <c r="N722" t="n">
        <v>0</v>
      </c>
      <c r="O722" t="n">
        <v>0</v>
      </c>
      <c r="P722" t="n">
        <v>0</v>
      </c>
      <c r="Q722" t="n">
        <v>0</v>
      </c>
      <c r="R722" s="2" t="inlineStr"/>
    </row>
    <row r="723" ht="15" customHeight="1">
      <c r="A723" t="inlineStr">
        <is>
          <t>A 54907-2023</t>
        </is>
      </c>
      <c r="B723" s="1" t="n">
        <v>45236</v>
      </c>
      <c r="C723" s="1" t="n">
        <v>45357</v>
      </c>
      <c r="D723" t="inlineStr">
        <is>
          <t>JÄMTLANDS LÄN</t>
        </is>
      </c>
      <c r="E723" t="inlineStr">
        <is>
          <t>ÅRE</t>
        </is>
      </c>
      <c r="F723" t="inlineStr">
        <is>
          <t>Övriga Aktiebolag</t>
        </is>
      </c>
      <c r="G723" t="n">
        <v>2.6</v>
      </c>
      <c r="H723" t="n">
        <v>0</v>
      </c>
      <c r="I723" t="n">
        <v>0</v>
      </c>
      <c r="J723" t="n">
        <v>0</v>
      </c>
      <c r="K723" t="n">
        <v>0</v>
      </c>
      <c r="L723" t="n">
        <v>0</v>
      </c>
      <c r="M723" t="n">
        <v>0</v>
      </c>
      <c r="N723" t="n">
        <v>0</v>
      </c>
      <c r="O723" t="n">
        <v>0</v>
      </c>
      <c r="P723" t="n">
        <v>0</v>
      </c>
      <c r="Q723" t="n">
        <v>0</v>
      </c>
      <c r="R723" s="2" t="inlineStr"/>
    </row>
    <row r="724" ht="15" customHeight="1">
      <c r="A724" t="inlineStr">
        <is>
          <t>A 55860-2023</t>
        </is>
      </c>
      <c r="B724" s="1" t="n">
        <v>45239</v>
      </c>
      <c r="C724" s="1" t="n">
        <v>45357</v>
      </c>
      <c r="D724" t="inlineStr">
        <is>
          <t>JÄMTLANDS LÄN</t>
        </is>
      </c>
      <c r="E724" t="inlineStr">
        <is>
          <t>ÅRE</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56609-2023</t>
        </is>
      </c>
      <c r="B725" s="1" t="n">
        <v>45243</v>
      </c>
      <c r="C725" s="1" t="n">
        <v>45357</v>
      </c>
      <c r="D725" t="inlineStr">
        <is>
          <t>JÄMTLANDS LÄN</t>
        </is>
      </c>
      <c r="E725" t="inlineStr">
        <is>
          <t>ÅRE</t>
        </is>
      </c>
      <c r="G725" t="n">
        <v>17.9</v>
      </c>
      <c r="H725" t="n">
        <v>0</v>
      </c>
      <c r="I725" t="n">
        <v>0</v>
      </c>
      <c r="J725" t="n">
        <v>0</v>
      </c>
      <c r="K725" t="n">
        <v>0</v>
      </c>
      <c r="L725" t="n">
        <v>0</v>
      </c>
      <c r="M725" t="n">
        <v>0</v>
      </c>
      <c r="N725" t="n">
        <v>0</v>
      </c>
      <c r="O725" t="n">
        <v>0</v>
      </c>
      <c r="P725" t="n">
        <v>0</v>
      </c>
      <c r="Q725" t="n">
        <v>0</v>
      </c>
      <c r="R725" s="2" t="inlineStr"/>
    </row>
    <row r="726" ht="15" customHeight="1">
      <c r="A726" t="inlineStr">
        <is>
          <t>A 56679-2023</t>
        </is>
      </c>
      <c r="B726" s="1" t="n">
        <v>45243</v>
      </c>
      <c r="C726" s="1" t="n">
        <v>45357</v>
      </c>
      <c r="D726" t="inlineStr">
        <is>
          <t>JÄMTLANDS LÄN</t>
        </is>
      </c>
      <c r="E726" t="inlineStr">
        <is>
          <t>ÅRE</t>
        </is>
      </c>
      <c r="G726" t="n">
        <v>4.3</v>
      </c>
      <c r="H726" t="n">
        <v>0</v>
      </c>
      <c r="I726" t="n">
        <v>0</v>
      </c>
      <c r="J726" t="n">
        <v>0</v>
      </c>
      <c r="K726" t="n">
        <v>0</v>
      </c>
      <c r="L726" t="n">
        <v>0</v>
      </c>
      <c r="M726" t="n">
        <v>0</v>
      </c>
      <c r="N726" t="n">
        <v>0</v>
      </c>
      <c r="O726" t="n">
        <v>0</v>
      </c>
      <c r="P726" t="n">
        <v>0</v>
      </c>
      <c r="Q726" t="n">
        <v>0</v>
      </c>
      <c r="R726" s="2" t="inlineStr"/>
    </row>
    <row r="727" ht="15" customHeight="1">
      <c r="A727" t="inlineStr">
        <is>
          <t>A 56736-2023</t>
        </is>
      </c>
      <c r="B727" s="1" t="n">
        <v>45244</v>
      </c>
      <c r="C727" s="1" t="n">
        <v>45357</v>
      </c>
      <c r="D727" t="inlineStr">
        <is>
          <t>JÄMTLANDS LÄN</t>
        </is>
      </c>
      <c r="E727" t="inlineStr">
        <is>
          <t>ÅRE</t>
        </is>
      </c>
      <c r="F727" t="inlineStr">
        <is>
          <t>Övriga Aktiebolag</t>
        </is>
      </c>
      <c r="G727" t="n">
        <v>10.7</v>
      </c>
      <c r="H727" t="n">
        <v>0</v>
      </c>
      <c r="I727" t="n">
        <v>0</v>
      </c>
      <c r="J727" t="n">
        <v>0</v>
      </c>
      <c r="K727" t="n">
        <v>0</v>
      </c>
      <c r="L727" t="n">
        <v>0</v>
      </c>
      <c r="M727" t="n">
        <v>0</v>
      </c>
      <c r="N727" t="n">
        <v>0</v>
      </c>
      <c r="O727" t="n">
        <v>0</v>
      </c>
      <c r="P727" t="n">
        <v>0</v>
      </c>
      <c r="Q727" t="n">
        <v>0</v>
      </c>
      <c r="R727" s="2" t="inlineStr"/>
    </row>
    <row r="728" ht="15" customHeight="1">
      <c r="A728" t="inlineStr">
        <is>
          <t>A 56976-2023</t>
        </is>
      </c>
      <c r="B728" s="1" t="n">
        <v>45244</v>
      </c>
      <c r="C728" s="1" t="n">
        <v>45357</v>
      </c>
      <c r="D728" t="inlineStr">
        <is>
          <t>JÄMTLANDS LÄN</t>
        </is>
      </c>
      <c r="E728" t="inlineStr">
        <is>
          <t>ÅRE</t>
        </is>
      </c>
      <c r="F728" t="inlineStr">
        <is>
          <t>Övriga Aktiebolag</t>
        </is>
      </c>
      <c r="G728" t="n">
        <v>4.9</v>
      </c>
      <c r="H728" t="n">
        <v>0</v>
      </c>
      <c r="I728" t="n">
        <v>0</v>
      </c>
      <c r="J728" t="n">
        <v>0</v>
      </c>
      <c r="K728" t="n">
        <v>0</v>
      </c>
      <c r="L728" t="n">
        <v>0</v>
      </c>
      <c r="M728" t="n">
        <v>0</v>
      </c>
      <c r="N728" t="n">
        <v>0</v>
      </c>
      <c r="O728" t="n">
        <v>0</v>
      </c>
      <c r="P728" t="n">
        <v>0</v>
      </c>
      <c r="Q728" t="n">
        <v>0</v>
      </c>
      <c r="R728" s="2" t="inlineStr"/>
    </row>
    <row r="729" ht="15" customHeight="1">
      <c r="A729" t="inlineStr">
        <is>
          <t>A 57448-2023</t>
        </is>
      </c>
      <c r="B729" s="1" t="n">
        <v>45246</v>
      </c>
      <c r="C729" s="1" t="n">
        <v>45357</v>
      </c>
      <c r="D729" t="inlineStr">
        <is>
          <t>JÄMTLANDS LÄN</t>
        </is>
      </c>
      <c r="E729" t="inlineStr">
        <is>
          <t>ÅRE</t>
        </is>
      </c>
      <c r="G729" t="n">
        <v>11.9</v>
      </c>
      <c r="H729" t="n">
        <v>0</v>
      </c>
      <c r="I729" t="n">
        <v>0</v>
      </c>
      <c r="J729" t="n">
        <v>0</v>
      </c>
      <c r="K729" t="n">
        <v>0</v>
      </c>
      <c r="L729" t="n">
        <v>0</v>
      </c>
      <c r="M729" t="n">
        <v>0</v>
      </c>
      <c r="N729" t="n">
        <v>0</v>
      </c>
      <c r="O729" t="n">
        <v>0</v>
      </c>
      <c r="P729" t="n">
        <v>0</v>
      </c>
      <c r="Q729" t="n">
        <v>0</v>
      </c>
      <c r="R729" s="2" t="inlineStr"/>
    </row>
    <row r="730" ht="15" customHeight="1">
      <c r="A730" t="inlineStr">
        <is>
          <t>A 57772-2023</t>
        </is>
      </c>
      <c r="B730" s="1" t="n">
        <v>45246</v>
      </c>
      <c r="C730" s="1" t="n">
        <v>45357</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57770-2023</t>
        </is>
      </c>
      <c r="B731" s="1" t="n">
        <v>45246</v>
      </c>
      <c r="C731" s="1" t="n">
        <v>45357</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58508-2023</t>
        </is>
      </c>
      <c r="B732" s="1" t="n">
        <v>45246</v>
      </c>
      <c r="C732" s="1" t="n">
        <v>45357</v>
      </c>
      <c r="D732" t="inlineStr">
        <is>
          <t>JÄMTLANDS LÄN</t>
        </is>
      </c>
      <c r="E732" t="inlineStr">
        <is>
          <t>ÅRE</t>
        </is>
      </c>
      <c r="G732" t="n">
        <v>21.8</v>
      </c>
      <c r="H732" t="n">
        <v>0</v>
      </c>
      <c r="I732" t="n">
        <v>0</v>
      </c>
      <c r="J732" t="n">
        <v>0</v>
      </c>
      <c r="K732" t="n">
        <v>0</v>
      </c>
      <c r="L732" t="n">
        <v>0</v>
      </c>
      <c r="M732" t="n">
        <v>0</v>
      </c>
      <c r="N732" t="n">
        <v>0</v>
      </c>
      <c r="O732" t="n">
        <v>0</v>
      </c>
      <c r="P732" t="n">
        <v>0</v>
      </c>
      <c r="Q732" t="n">
        <v>0</v>
      </c>
      <c r="R732" s="2" t="inlineStr"/>
    </row>
    <row r="733" ht="15" customHeight="1">
      <c r="A733" t="inlineStr">
        <is>
          <t>A 58178-2023</t>
        </is>
      </c>
      <c r="B733" s="1" t="n">
        <v>45250</v>
      </c>
      <c r="C733" s="1" t="n">
        <v>45357</v>
      </c>
      <c r="D733" t="inlineStr">
        <is>
          <t>JÄMTLANDS LÄN</t>
        </is>
      </c>
      <c r="E733" t="inlineStr">
        <is>
          <t>ÅRE</t>
        </is>
      </c>
      <c r="G733" t="n">
        <v>2.9</v>
      </c>
      <c r="H733" t="n">
        <v>0</v>
      </c>
      <c r="I733" t="n">
        <v>0</v>
      </c>
      <c r="J733" t="n">
        <v>0</v>
      </c>
      <c r="K733" t="n">
        <v>0</v>
      </c>
      <c r="L733" t="n">
        <v>0</v>
      </c>
      <c r="M733" t="n">
        <v>0</v>
      </c>
      <c r="N733" t="n">
        <v>0</v>
      </c>
      <c r="O733" t="n">
        <v>0</v>
      </c>
      <c r="P733" t="n">
        <v>0</v>
      </c>
      <c r="Q733" t="n">
        <v>0</v>
      </c>
      <c r="R733" s="2" t="inlineStr"/>
    </row>
    <row r="734" ht="15" customHeight="1">
      <c r="A734" t="inlineStr">
        <is>
          <t>A 58196-2023</t>
        </is>
      </c>
      <c r="B734" s="1" t="n">
        <v>45250</v>
      </c>
      <c r="C734" s="1" t="n">
        <v>45357</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58302-2023</t>
        </is>
      </c>
      <c r="B735" s="1" t="n">
        <v>45250</v>
      </c>
      <c r="C735" s="1" t="n">
        <v>45357</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58296-2023</t>
        </is>
      </c>
      <c r="B736" s="1" t="n">
        <v>45250</v>
      </c>
      <c r="C736" s="1" t="n">
        <v>45357</v>
      </c>
      <c r="D736" t="inlineStr">
        <is>
          <t>JÄMTLANDS LÄN</t>
        </is>
      </c>
      <c r="E736" t="inlineStr">
        <is>
          <t>ÅRE</t>
        </is>
      </c>
      <c r="G736" t="n">
        <v>6.3</v>
      </c>
      <c r="H736" t="n">
        <v>0</v>
      </c>
      <c r="I736" t="n">
        <v>0</v>
      </c>
      <c r="J736" t="n">
        <v>0</v>
      </c>
      <c r="K736" t="n">
        <v>0</v>
      </c>
      <c r="L736" t="n">
        <v>0</v>
      </c>
      <c r="M736" t="n">
        <v>0</v>
      </c>
      <c r="N736" t="n">
        <v>0</v>
      </c>
      <c r="O736" t="n">
        <v>0</v>
      </c>
      <c r="P736" t="n">
        <v>0</v>
      </c>
      <c r="Q736" t="n">
        <v>0</v>
      </c>
      <c r="R736" s="2" t="inlineStr"/>
    </row>
    <row r="737" ht="15" customHeight="1">
      <c r="A737" t="inlineStr">
        <is>
          <t>A 58299-2023</t>
        </is>
      </c>
      <c r="B737" s="1" t="n">
        <v>45250</v>
      </c>
      <c r="C737" s="1" t="n">
        <v>45357</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58907-2023</t>
        </is>
      </c>
      <c r="B738" s="1" t="n">
        <v>45252</v>
      </c>
      <c r="C738" s="1" t="n">
        <v>45357</v>
      </c>
      <c r="D738" t="inlineStr">
        <is>
          <t>JÄMTLANDS LÄN</t>
        </is>
      </c>
      <c r="E738" t="inlineStr">
        <is>
          <t>ÅRE</t>
        </is>
      </c>
      <c r="G738" t="n">
        <v>5.3</v>
      </c>
      <c r="H738" t="n">
        <v>0</v>
      </c>
      <c r="I738" t="n">
        <v>0</v>
      </c>
      <c r="J738" t="n">
        <v>0</v>
      </c>
      <c r="K738" t="n">
        <v>0</v>
      </c>
      <c r="L738" t="n">
        <v>0</v>
      </c>
      <c r="M738" t="n">
        <v>0</v>
      </c>
      <c r="N738" t="n">
        <v>0</v>
      </c>
      <c r="O738" t="n">
        <v>0</v>
      </c>
      <c r="P738" t="n">
        <v>0</v>
      </c>
      <c r="Q738" t="n">
        <v>0</v>
      </c>
      <c r="R738" s="2" t="inlineStr"/>
    </row>
    <row r="739" ht="15" customHeight="1">
      <c r="A739" t="inlineStr">
        <is>
          <t>A 59267-2023</t>
        </is>
      </c>
      <c r="B739" s="1" t="n">
        <v>45253</v>
      </c>
      <c r="C739" s="1" t="n">
        <v>45357</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59274-2023</t>
        </is>
      </c>
      <c r="B740" s="1" t="n">
        <v>45253</v>
      </c>
      <c r="C740" s="1" t="n">
        <v>45357</v>
      </c>
      <c r="D740" t="inlineStr">
        <is>
          <t>JÄMTLANDS LÄN</t>
        </is>
      </c>
      <c r="E740" t="inlineStr">
        <is>
          <t>ÅRE</t>
        </is>
      </c>
      <c r="G740" t="n">
        <v>1.5</v>
      </c>
      <c r="H740" t="n">
        <v>0</v>
      </c>
      <c r="I740" t="n">
        <v>0</v>
      </c>
      <c r="J740" t="n">
        <v>0</v>
      </c>
      <c r="K740" t="n">
        <v>0</v>
      </c>
      <c r="L740" t="n">
        <v>0</v>
      </c>
      <c r="M740" t="n">
        <v>0</v>
      </c>
      <c r="N740" t="n">
        <v>0</v>
      </c>
      <c r="O740" t="n">
        <v>0</v>
      </c>
      <c r="P740" t="n">
        <v>0</v>
      </c>
      <c r="Q740" t="n">
        <v>0</v>
      </c>
      <c r="R740" s="2" t="inlineStr"/>
    </row>
    <row r="741" ht="15" customHeight="1">
      <c r="A741" t="inlineStr">
        <is>
          <t>A 59400-2023</t>
        </is>
      </c>
      <c r="B741" s="1" t="n">
        <v>45253</v>
      </c>
      <c r="C741" s="1" t="n">
        <v>45357</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59398-2023</t>
        </is>
      </c>
      <c r="B742" s="1" t="n">
        <v>45253</v>
      </c>
      <c r="C742" s="1" t="n">
        <v>45357</v>
      </c>
      <c r="D742" t="inlineStr">
        <is>
          <t>JÄMTLANDS LÄN</t>
        </is>
      </c>
      <c r="E742" t="inlineStr">
        <is>
          <t>ÅRE</t>
        </is>
      </c>
      <c r="G742" t="n">
        <v>2.3</v>
      </c>
      <c r="H742" t="n">
        <v>0</v>
      </c>
      <c r="I742" t="n">
        <v>0</v>
      </c>
      <c r="J742" t="n">
        <v>0</v>
      </c>
      <c r="K742" t="n">
        <v>0</v>
      </c>
      <c r="L742" t="n">
        <v>0</v>
      </c>
      <c r="M742" t="n">
        <v>0</v>
      </c>
      <c r="N742" t="n">
        <v>0</v>
      </c>
      <c r="O742" t="n">
        <v>0</v>
      </c>
      <c r="P742" t="n">
        <v>0</v>
      </c>
      <c r="Q742" t="n">
        <v>0</v>
      </c>
      <c r="R742" s="2" t="inlineStr"/>
    </row>
    <row r="743" ht="15" customHeight="1">
      <c r="A743" t="inlineStr">
        <is>
          <t>A 59414-2023</t>
        </is>
      </c>
      <c r="B743" s="1" t="n">
        <v>45254</v>
      </c>
      <c r="C743" s="1" t="n">
        <v>45357</v>
      </c>
      <c r="D743" t="inlineStr">
        <is>
          <t>JÄMTLANDS LÄN</t>
        </is>
      </c>
      <c r="E743" t="inlineStr">
        <is>
          <t>ÅRE</t>
        </is>
      </c>
      <c r="G743" t="n">
        <v>3.6</v>
      </c>
      <c r="H743" t="n">
        <v>0</v>
      </c>
      <c r="I743" t="n">
        <v>0</v>
      </c>
      <c r="J743" t="n">
        <v>0</v>
      </c>
      <c r="K743" t="n">
        <v>0</v>
      </c>
      <c r="L743" t="n">
        <v>0</v>
      </c>
      <c r="M743" t="n">
        <v>0</v>
      </c>
      <c r="N743" t="n">
        <v>0</v>
      </c>
      <c r="O743" t="n">
        <v>0</v>
      </c>
      <c r="P743" t="n">
        <v>0</v>
      </c>
      <c r="Q743" t="n">
        <v>0</v>
      </c>
      <c r="R743" s="2" t="inlineStr"/>
    </row>
    <row r="744" ht="15" customHeight="1">
      <c r="A744" t="inlineStr">
        <is>
          <t>A 59413-2023</t>
        </is>
      </c>
      <c r="B744" s="1" t="n">
        <v>45254</v>
      </c>
      <c r="C744" s="1" t="n">
        <v>45357</v>
      </c>
      <c r="D744" t="inlineStr">
        <is>
          <t>JÄMTLANDS LÄN</t>
        </is>
      </c>
      <c r="E744" t="inlineStr">
        <is>
          <t>ÅRE</t>
        </is>
      </c>
      <c r="G744" t="n">
        <v>4</v>
      </c>
      <c r="H744" t="n">
        <v>0</v>
      </c>
      <c r="I744" t="n">
        <v>0</v>
      </c>
      <c r="J744" t="n">
        <v>0</v>
      </c>
      <c r="K744" t="n">
        <v>0</v>
      </c>
      <c r="L744" t="n">
        <v>0</v>
      </c>
      <c r="M744" t="n">
        <v>0</v>
      </c>
      <c r="N744" t="n">
        <v>0</v>
      </c>
      <c r="O744" t="n">
        <v>0</v>
      </c>
      <c r="P744" t="n">
        <v>0</v>
      </c>
      <c r="Q744" t="n">
        <v>0</v>
      </c>
      <c r="R744" s="2" t="inlineStr"/>
    </row>
    <row r="745" ht="15" customHeight="1">
      <c r="A745" t="inlineStr">
        <is>
          <t>A 59666-2023</t>
        </is>
      </c>
      <c r="B745" s="1" t="n">
        <v>45255</v>
      </c>
      <c r="C745" s="1" t="n">
        <v>45357</v>
      </c>
      <c r="D745" t="inlineStr">
        <is>
          <t>JÄMTLANDS LÄN</t>
        </is>
      </c>
      <c r="E745" t="inlineStr">
        <is>
          <t>ÅRE</t>
        </is>
      </c>
      <c r="G745" t="n">
        <v>6.6</v>
      </c>
      <c r="H745" t="n">
        <v>0</v>
      </c>
      <c r="I745" t="n">
        <v>0</v>
      </c>
      <c r="J745" t="n">
        <v>0</v>
      </c>
      <c r="K745" t="n">
        <v>0</v>
      </c>
      <c r="L745" t="n">
        <v>0</v>
      </c>
      <c r="M745" t="n">
        <v>0</v>
      </c>
      <c r="N745" t="n">
        <v>0</v>
      </c>
      <c r="O745" t="n">
        <v>0</v>
      </c>
      <c r="P745" t="n">
        <v>0</v>
      </c>
      <c r="Q745" t="n">
        <v>0</v>
      </c>
      <c r="R745" s="2" t="inlineStr"/>
    </row>
    <row r="746" ht="15" customHeight="1">
      <c r="A746" t="inlineStr">
        <is>
          <t>A 59753-2023</t>
        </is>
      </c>
      <c r="B746" s="1" t="n">
        <v>45254</v>
      </c>
      <c r="C746" s="1" t="n">
        <v>45357</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59968-2023</t>
        </is>
      </c>
      <c r="B747" s="1" t="n">
        <v>45254</v>
      </c>
      <c r="C747" s="1" t="n">
        <v>45357</v>
      </c>
      <c r="D747" t="inlineStr">
        <is>
          <t>JÄMTLANDS LÄN</t>
        </is>
      </c>
      <c r="E747" t="inlineStr">
        <is>
          <t>ÅRE</t>
        </is>
      </c>
      <c r="G747" t="n">
        <v>1.7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45357</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45357</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45357</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45357</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60332-2023</t>
        </is>
      </c>
      <c r="B752" s="1" t="n">
        <v>45258</v>
      </c>
      <c r="C752" s="1" t="n">
        <v>45357</v>
      </c>
      <c r="D752" t="inlineStr">
        <is>
          <t>JÄMTLANDS LÄN</t>
        </is>
      </c>
      <c r="E752" t="inlineStr">
        <is>
          <t>ÅRE</t>
        </is>
      </c>
      <c r="G752" t="n">
        <v>12.5</v>
      </c>
      <c r="H752" t="n">
        <v>0</v>
      </c>
      <c r="I752" t="n">
        <v>0</v>
      </c>
      <c r="J752" t="n">
        <v>0</v>
      </c>
      <c r="K752" t="n">
        <v>0</v>
      </c>
      <c r="L752" t="n">
        <v>0</v>
      </c>
      <c r="M752" t="n">
        <v>0</v>
      </c>
      <c r="N752" t="n">
        <v>0</v>
      </c>
      <c r="O752" t="n">
        <v>0</v>
      </c>
      <c r="P752" t="n">
        <v>0</v>
      </c>
      <c r="Q752" t="n">
        <v>0</v>
      </c>
      <c r="R752" s="2" t="inlineStr"/>
    </row>
    <row r="753" ht="15" customHeight="1">
      <c r="A753" t="inlineStr">
        <is>
          <t>A 60808-2023</t>
        </is>
      </c>
      <c r="B753" s="1" t="n">
        <v>45260</v>
      </c>
      <c r="C753" s="1" t="n">
        <v>45357</v>
      </c>
      <c r="D753" t="inlineStr">
        <is>
          <t>JÄMTLANDS LÄN</t>
        </is>
      </c>
      <c r="E753" t="inlineStr">
        <is>
          <t>ÅRE</t>
        </is>
      </c>
      <c r="G753" t="n">
        <v>10.4</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45357</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45357</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61622-2023</t>
        </is>
      </c>
      <c r="B756" s="1" t="n">
        <v>45261</v>
      </c>
      <c r="C756" s="1" t="n">
        <v>45357</v>
      </c>
      <c r="D756" t="inlineStr">
        <is>
          <t>JÄMTLANDS LÄN</t>
        </is>
      </c>
      <c r="E756" t="inlineStr">
        <is>
          <t>ÅRE</t>
        </is>
      </c>
      <c r="G756" t="n">
        <v>1.6</v>
      </c>
      <c r="H756" t="n">
        <v>0</v>
      </c>
      <c r="I756" t="n">
        <v>0</v>
      </c>
      <c r="J756" t="n">
        <v>0</v>
      </c>
      <c r="K756" t="n">
        <v>0</v>
      </c>
      <c r="L756" t="n">
        <v>0</v>
      </c>
      <c r="M756" t="n">
        <v>0</v>
      </c>
      <c r="N756" t="n">
        <v>0</v>
      </c>
      <c r="O756" t="n">
        <v>0</v>
      </c>
      <c r="P756" t="n">
        <v>0</v>
      </c>
      <c r="Q756" t="n">
        <v>0</v>
      </c>
      <c r="R756" s="2" t="inlineStr"/>
    </row>
    <row r="757" ht="15" customHeight="1">
      <c r="A757" t="inlineStr">
        <is>
          <t>A 61183-2023</t>
        </is>
      </c>
      <c r="B757" s="1" t="n">
        <v>45263</v>
      </c>
      <c r="C757" s="1" t="n">
        <v>45357</v>
      </c>
      <c r="D757" t="inlineStr">
        <is>
          <t>JÄMTLANDS LÄN</t>
        </is>
      </c>
      <c r="E757" t="inlineStr">
        <is>
          <t>ÅRE</t>
        </is>
      </c>
      <c r="G757" t="n">
        <v>8.4</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45357</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45357</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45357</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61828-2023</t>
        </is>
      </c>
      <c r="B761" s="1" t="n">
        <v>45264</v>
      </c>
      <c r="C761" s="1" t="n">
        <v>45357</v>
      </c>
      <c r="D761" t="inlineStr">
        <is>
          <t>JÄMTLANDS LÄN</t>
        </is>
      </c>
      <c r="E761" t="inlineStr">
        <is>
          <t>ÅRE</t>
        </is>
      </c>
      <c r="F761" t="inlineStr">
        <is>
          <t>Övriga Aktiebolag</t>
        </is>
      </c>
      <c r="G761" t="n">
        <v>6.2</v>
      </c>
      <c r="H761" t="n">
        <v>0</v>
      </c>
      <c r="I761" t="n">
        <v>0</v>
      </c>
      <c r="J761" t="n">
        <v>0</v>
      </c>
      <c r="K761" t="n">
        <v>0</v>
      </c>
      <c r="L761" t="n">
        <v>0</v>
      </c>
      <c r="M761" t="n">
        <v>0</v>
      </c>
      <c r="N761" t="n">
        <v>0</v>
      </c>
      <c r="O761" t="n">
        <v>0</v>
      </c>
      <c r="P761" t="n">
        <v>0</v>
      </c>
      <c r="Q761" t="n">
        <v>0</v>
      </c>
      <c r="R761" s="2" t="inlineStr"/>
    </row>
    <row r="762" ht="15" customHeight="1">
      <c r="A762" t="inlineStr">
        <is>
          <t>A 61479-2023</t>
        </is>
      </c>
      <c r="B762" s="1" t="n">
        <v>45264</v>
      </c>
      <c r="C762" s="1" t="n">
        <v>45357</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61978-2023</t>
        </is>
      </c>
      <c r="B763" s="1" t="n">
        <v>45266</v>
      </c>
      <c r="C763" s="1" t="n">
        <v>45357</v>
      </c>
      <c r="D763" t="inlineStr">
        <is>
          <t>JÄMTLANDS LÄN</t>
        </is>
      </c>
      <c r="E763" t="inlineStr">
        <is>
          <t>ÅRE</t>
        </is>
      </c>
      <c r="G763" t="n">
        <v>5.5</v>
      </c>
      <c r="H763" t="n">
        <v>0</v>
      </c>
      <c r="I763" t="n">
        <v>0</v>
      </c>
      <c r="J763" t="n">
        <v>0</v>
      </c>
      <c r="K763" t="n">
        <v>0</v>
      </c>
      <c r="L763" t="n">
        <v>0</v>
      </c>
      <c r="M763" t="n">
        <v>0</v>
      </c>
      <c r="N763" t="n">
        <v>0</v>
      </c>
      <c r="O763" t="n">
        <v>0</v>
      </c>
      <c r="P763" t="n">
        <v>0</v>
      </c>
      <c r="Q763" t="n">
        <v>0</v>
      </c>
      <c r="R763" s="2" t="inlineStr"/>
    </row>
    <row r="764" ht="15" customHeight="1">
      <c r="A764" t="inlineStr">
        <is>
          <t>A 63906-2023</t>
        </is>
      </c>
      <c r="B764" s="1" t="n">
        <v>45278</v>
      </c>
      <c r="C764" s="1" t="n">
        <v>45357</v>
      </c>
      <c r="D764" t="inlineStr">
        <is>
          <t>JÄMTLANDS LÄN</t>
        </is>
      </c>
      <c r="E764" t="inlineStr">
        <is>
          <t>ÅRE</t>
        </is>
      </c>
      <c r="G764" t="n">
        <v>12</v>
      </c>
      <c r="H764" t="n">
        <v>0</v>
      </c>
      <c r="I764" t="n">
        <v>0</v>
      </c>
      <c r="J764" t="n">
        <v>0</v>
      </c>
      <c r="K764" t="n">
        <v>0</v>
      </c>
      <c r="L764" t="n">
        <v>0</v>
      </c>
      <c r="M764" t="n">
        <v>0</v>
      </c>
      <c r="N764" t="n">
        <v>0</v>
      </c>
      <c r="O764" t="n">
        <v>0</v>
      </c>
      <c r="P764" t="n">
        <v>0</v>
      </c>
      <c r="Q764" t="n">
        <v>0</v>
      </c>
      <c r="R764" s="2" t="inlineStr"/>
    </row>
    <row r="765" ht="15" customHeight="1">
      <c r="A765" t="inlineStr">
        <is>
          <t>A 64312-2023</t>
        </is>
      </c>
      <c r="B765" s="1" t="n">
        <v>45279</v>
      </c>
      <c r="C765" s="1" t="n">
        <v>45357</v>
      </c>
      <c r="D765" t="inlineStr">
        <is>
          <t>JÄMTLANDS LÄN</t>
        </is>
      </c>
      <c r="E765" t="inlineStr">
        <is>
          <t>ÅRE</t>
        </is>
      </c>
      <c r="G765" t="n">
        <v>13.4</v>
      </c>
      <c r="H765" t="n">
        <v>0</v>
      </c>
      <c r="I765" t="n">
        <v>0</v>
      </c>
      <c r="J765" t="n">
        <v>0</v>
      </c>
      <c r="K765" t="n">
        <v>0</v>
      </c>
      <c r="L765" t="n">
        <v>0</v>
      </c>
      <c r="M765" t="n">
        <v>0</v>
      </c>
      <c r="N765" t="n">
        <v>0</v>
      </c>
      <c r="O765" t="n">
        <v>0</v>
      </c>
      <c r="P765" t="n">
        <v>0</v>
      </c>
      <c r="Q765" t="n">
        <v>0</v>
      </c>
      <c r="R765" s="2" t="inlineStr"/>
    </row>
    <row r="766" ht="15" customHeight="1">
      <c r="A766" t="inlineStr">
        <is>
          <t>A 64758-2023</t>
        </is>
      </c>
      <c r="B766" s="1" t="n">
        <v>45281</v>
      </c>
      <c r="C766" s="1" t="n">
        <v>45357</v>
      </c>
      <c r="D766" t="inlineStr">
        <is>
          <t>JÄMTLANDS LÄN</t>
        </is>
      </c>
      <c r="E766" t="inlineStr">
        <is>
          <t>ÅRE</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45357</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45357</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45357</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45357</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45357</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45357</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747-2024</t>
        </is>
      </c>
      <c r="B773" s="1" t="n">
        <v>45300</v>
      </c>
      <c r="C773" s="1" t="n">
        <v>45357</v>
      </c>
      <c r="D773" t="inlineStr">
        <is>
          <t>JÄMTLANDS LÄN</t>
        </is>
      </c>
      <c r="E773" t="inlineStr">
        <is>
          <t>ÅRE</t>
        </is>
      </c>
      <c r="G773" t="n">
        <v>4.8</v>
      </c>
      <c r="H773" t="n">
        <v>0</v>
      </c>
      <c r="I773" t="n">
        <v>0</v>
      </c>
      <c r="J773" t="n">
        <v>0</v>
      </c>
      <c r="K773" t="n">
        <v>0</v>
      </c>
      <c r="L773" t="n">
        <v>0</v>
      </c>
      <c r="M773" t="n">
        <v>0</v>
      </c>
      <c r="N773" t="n">
        <v>0</v>
      </c>
      <c r="O773" t="n">
        <v>0</v>
      </c>
      <c r="P773" t="n">
        <v>0</v>
      </c>
      <c r="Q773" t="n">
        <v>0</v>
      </c>
      <c r="R773" s="2" t="inlineStr"/>
    </row>
    <row r="774" ht="15" customHeight="1">
      <c r="A774" t="inlineStr">
        <is>
          <t>A 1050-2024</t>
        </is>
      </c>
      <c r="B774" s="1" t="n">
        <v>45301</v>
      </c>
      <c r="C774" s="1" t="n">
        <v>45357</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1378-2024</t>
        </is>
      </c>
      <c r="B775" s="1" t="n">
        <v>45303</v>
      </c>
      <c r="C775" s="1" t="n">
        <v>45357</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1460-2024</t>
        </is>
      </c>
      <c r="B776" s="1" t="n">
        <v>45303</v>
      </c>
      <c r="C776" s="1" t="n">
        <v>45357</v>
      </c>
      <c r="D776" t="inlineStr">
        <is>
          <t>JÄMTLANDS LÄN</t>
        </is>
      </c>
      <c r="E776" t="inlineStr">
        <is>
          <t>ÅRE</t>
        </is>
      </c>
      <c r="F776" t="inlineStr">
        <is>
          <t>Övriga Aktiebolag</t>
        </is>
      </c>
      <c r="G776" t="n">
        <v>1.3</v>
      </c>
      <c r="H776" t="n">
        <v>0</v>
      </c>
      <c r="I776" t="n">
        <v>0</v>
      </c>
      <c r="J776" t="n">
        <v>0</v>
      </c>
      <c r="K776" t="n">
        <v>0</v>
      </c>
      <c r="L776" t="n">
        <v>0</v>
      </c>
      <c r="M776" t="n">
        <v>0</v>
      </c>
      <c r="N776" t="n">
        <v>0</v>
      </c>
      <c r="O776" t="n">
        <v>0</v>
      </c>
      <c r="P776" t="n">
        <v>0</v>
      </c>
      <c r="Q776" t="n">
        <v>0</v>
      </c>
      <c r="R776" s="2" t="inlineStr"/>
    </row>
    <row r="777" ht="15" customHeight="1">
      <c r="A777" t="inlineStr">
        <is>
          <t>A 1491-2024</t>
        </is>
      </c>
      <c r="B777" s="1" t="n">
        <v>45305</v>
      </c>
      <c r="C777" s="1" t="n">
        <v>45357</v>
      </c>
      <c r="D777" t="inlineStr">
        <is>
          <t>JÄMTLANDS LÄN</t>
        </is>
      </c>
      <c r="E777" t="inlineStr">
        <is>
          <t>ÅRE</t>
        </is>
      </c>
      <c r="G777" t="n">
        <v>31.4</v>
      </c>
      <c r="H777" t="n">
        <v>0</v>
      </c>
      <c r="I777" t="n">
        <v>0</v>
      </c>
      <c r="J777" t="n">
        <v>0</v>
      </c>
      <c r="K777" t="n">
        <v>0</v>
      </c>
      <c r="L777" t="n">
        <v>0</v>
      </c>
      <c r="M777" t="n">
        <v>0</v>
      </c>
      <c r="N777" t="n">
        <v>0</v>
      </c>
      <c r="O777" t="n">
        <v>0</v>
      </c>
      <c r="P777" t="n">
        <v>0</v>
      </c>
      <c r="Q777" t="n">
        <v>0</v>
      </c>
      <c r="R777" s="2" t="inlineStr"/>
    </row>
    <row r="778" ht="15" customHeight="1">
      <c r="A778" t="inlineStr">
        <is>
          <t>A 6825-2024</t>
        </is>
      </c>
      <c r="B778" s="1" t="n">
        <v>45342</v>
      </c>
      <c r="C778" s="1" t="n">
        <v>45357</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7334-2024</t>
        </is>
      </c>
      <c r="B779" s="1" t="n">
        <v>45345</v>
      </c>
      <c r="C779" s="1" t="n">
        <v>45357</v>
      </c>
      <c r="D779" t="inlineStr">
        <is>
          <t>JÄMTLANDS LÄN</t>
        </is>
      </c>
      <c r="E779" t="inlineStr">
        <is>
          <t>ÅRE</t>
        </is>
      </c>
      <c r="G779" t="n">
        <v>12.7</v>
      </c>
      <c r="H779" t="n">
        <v>0</v>
      </c>
      <c r="I779" t="n">
        <v>0</v>
      </c>
      <c r="J779" t="n">
        <v>0</v>
      </c>
      <c r="K779" t="n">
        <v>0</v>
      </c>
      <c r="L779" t="n">
        <v>0</v>
      </c>
      <c r="M779" t="n">
        <v>0</v>
      </c>
      <c r="N779" t="n">
        <v>0</v>
      </c>
      <c r="O779" t="n">
        <v>0</v>
      </c>
      <c r="P779" t="n">
        <v>0</v>
      </c>
      <c r="Q779" t="n">
        <v>0</v>
      </c>
      <c r="R779" s="2" t="inlineStr"/>
    </row>
    <row r="780" ht="15" customHeight="1">
      <c r="A780" t="inlineStr">
        <is>
          <t>A 7323-2024</t>
        </is>
      </c>
      <c r="B780" s="1" t="n">
        <v>45345</v>
      </c>
      <c r="C780" s="1" t="n">
        <v>45357</v>
      </c>
      <c r="D780" t="inlineStr">
        <is>
          <t>JÄMTLANDS LÄN</t>
        </is>
      </c>
      <c r="E780" t="inlineStr">
        <is>
          <t>ÅRE</t>
        </is>
      </c>
      <c r="G780" t="n">
        <v>3.7</v>
      </c>
      <c r="H780" t="n">
        <v>0</v>
      </c>
      <c r="I780" t="n">
        <v>0</v>
      </c>
      <c r="J780" t="n">
        <v>0</v>
      </c>
      <c r="K780" t="n">
        <v>0</v>
      </c>
      <c r="L780" t="n">
        <v>0</v>
      </c>
      <c r="M780" t="n">
        <v>0</v>
      </c>
      <c r="N780" t="n">
        <v>0</v>
      </c>
      <c r="O780" t="n">
        <v>0</v>
      </c>
      <c r="P780" t="n">
        <v>0</v>
      </c>
      <c r="Q780" t="n">
        <v>0</v>
      </c>
      <c r="R780" s="2" t="inlineStr"/>
    </row>
    <row r="781" ht="15" customHeight="1">
      <c r="A781" t="inlineStr">
        <is>
          <t>A 8131-2024</t>
        </is>
      </c>
      <c r="B781" s="1" t="n">
        <v>45351</v>
      </c>
      <c r="C781" s="1" t="n">
        <v>45357</v>
      </c>
      <c r="D781" t="inlineStr">
        <is>
          <t>JÄMTLANDS LÄN</t>
        </is>
      </c>
      <c r="E781" t="inlineStr">
        <is>
          <t>ÅRE</t>
        </is>
      </c>
      <c r="F781" t="inlineStr">
        <is>
          <t>Övriga Aktiebolag</t>
        </is>
      </c>
      <c r="G781" t="n">
        <v>3.1</v>
      </c>
      <c r="H781" t="n">
        <v>0</v>
      </c>
      <c r="I781" t="n">
        <v>0</v>
      </c>
      <c r="J781" t="n">
        <v>0</v>
      </c>
      <c r="K781" t="n">
        <v>0</v>
      </c>
      <c r="L781" t="n">
        <v>0</v>
      </c>
      <c r="M781" t="n">
        <v>0</v>
      </c>
      <c r="N781" t="n">
        <v>0</v>
      </c>
      <c r="O781" t="n">
        <v>0</v>
      </c>
      <c r="P781" t="n">
        <v>0</v>
      </c>
      <c r="Q781" t="n">
        <v>0</v>
      </c>
      <c r="R781" s="2" t="inlineStr"/>
    </row>
    <row r="782" ht="15" customHeight="1">
      <c r="A782" t="inlineStr">
        <is>
          <t>A 8379-2024</t>
        </is>
      </c>
      <c r="B782" s="1" t="n">
        <v>45352</v>
      </c>
      <c r="C782" s="1" t="n">
        <v>45357</v>
      </c>
      <c r="D782" t="inlineStr">
        <is>
          <t>JÄMTLANDS LÄN</t>
        </is>
      </c>
      <c r="E782" t="inlineStr">
        <is>
          <t>ÅRE</t>
        </is>
      </c>
      <c r="G782" t="n">
        <v>14.9</v>
      </c>
      <c r="H782" t="n">
        <v>0</v>
      </c>
      <c r="I782" t="n">
        <v>0</v>
      </c>
      <c r="J782" t="n">
        <v>0</v>
      </c>
      <c r="K782" t="n">
        <v>0</v>
      </c>
      <c r="L782" t="n">
        <v>0</v>
      </c>
      <c r="M782" t="n">
        <v>0</v>
      </c>
      <c r="N782" t="n">
        <v>0</v>
      </c>
      <c r="O782" t="n">
        <v>0</v>
      </c>
      <c r="P782" t="n">
        <v>0</v>
      </c>
      <c r="Q782" t="n">
        <v>0</v>
      </c>
      <c r="R782" s="2" t="inlineStr"/>
    </row>
    <row r="783">
      <c r="A783" t="inlineStr">
        <is>
          <t>A 8576-2024</t>
        </is>
      </c>
      <c r="B783" s="1" t="n">
        <v>45355</v>
      </c>
      <c r="C783" s="1" t="n">
        <v>45357</v>
      </c>
      <c r="D783" t="inlineStr">
        <is>
          <t>JÄMTLANDS LÄN</t>
        </is>
      </c>
      <c r="E783" t="inlineStr">
        <is>
          <t>ÅRE</t>
        </is>
      </c>
      <c r="G783" t="n">
        <v>21.7</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2024-03-06T12:56:34Z</dcterms:created>
  <dcterms:modified xmlns:dcterms="http://purl.org/dc/terms/" xmlns:xsi="http://www.w3.org/2001/XMLSchema-instance" xsi:type="dcterms:W3CDTF">2024-03-06T12:56:35Z</dcterms:modified>
</cp:coreProperties>
</file>