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45965</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10635-2023</t>
        </is>
      </c>
      <c r="B5" s="1" t="n">
        <v>44984</v>
      </c>
      <c r="C5" s="1" t="n">
        <v>45965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45965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45965</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45965</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45965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45965</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45965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45965</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45965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45965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45965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45965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45965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45965</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45965</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45965</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45965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45965</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45965</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45965</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45965</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45965</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45965</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45965</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50311-2024</t>
        </is>
      </c>
      <c r="B31" s="1" t="n">
        <v>45600</v>
      </c>
      <c r="C31" s="1" t="n">
        <v>45965</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58223-2021</t>
        </is>
      </c>
      <c r="B32" s="1" t="n">
        <v>44487</v>
      </c>
      <c r="C32" s="1" t="n">
        <v>45965</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45965</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17095-2025</t>
        </is>
      </c>
      <c r="B34" s="1" t="n">
        <v>45755</v>
      </c>
      <c r="C34" s="1" t="n">
        <v>45965</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45965</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40788-2023</t>
        </is>
      </c>
      <c r="B36" s="1" t="n">
        <v>45170</v>
      </c>
      <c r="C36" s="1" t="n">
        <v>45965</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20658-2021</t>
        </is>
      </c>
      <c r="B37" s="1" t="n">
        <v>44316</v>
      </c>
      <c r="C37" s="1" t="n">
        <v>45965</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42592-2024</t>
        </is>
      </c>
      <c r="B38" s="1" t="n">
        <v>45565</v>
      </c>
      <c r="C38" s="1" t="n">
        <v>45965</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45965</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45965</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45965</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45965</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3521-2025</t>
        </is>
      </c>
      <c r="B43" s="1" t="n">
        <v>45680</v>
      </c>
      <c r="C43" s="1" t="n">
        <v>45965</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1529-2025</t>
        </is>
      </c>
      <c r="B44" s="1" t="n">
        <v>45670</v>
      </c>
      <c r="C44" s="1" t="n">
        <v>45965</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45965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45965</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23822-2024</t>
        </is>
      </c>
      <c r="B47" s="1" t="n">
        <v>45455.46412037037</v>
      </c>
      <c r="C47" s="1" t="n">
        <v>45965</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10619-2023</t>
        </is>
      </c>
      <c r="B48" s="1" t="n">
        <v>44984</v>
      </c>
      <c r="C48" s="1" t="n">
        <v>45965</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20644-2021</t>
        </is>
      </c>
      <c r="B49" s="1" t="n">
        <v>44316</v>
      </c>
      <c r="C49" s="1" t="n">
        <v>45965</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47944-2025</t>
        </is>
      </c>
      <c r="B50" s="1" t="n">
        <v>45931</v>
      </c>
      <c r="C50" s="1" t="n">
        <v>45965</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43910-2024</t>
        </is>
      </c>
      <c r="B51" s="1" t="n">
        <v>45572</v>
      </c>
      <c r="C51" s="1" t="n">
        <v>45965</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45965</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31953-2021</t>
        </is>
      </c>
      <c r="B53" s="1" t="n">
        <v>44370</v>
      </c>
      <c r="C53" s="1" t="n">
        <v>45965</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45965</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45965</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45965</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45965</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45965</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45965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45965</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30035-2024</t>
        </is>
      </c>
      <c r="B61" s="1" t="n">
        <v>45485</v>
      </c>
      <c r="C61" s="1" t="n">
        <v>45965</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46259-2024</t>
        </is>
      </c>
      <c r="B62" s="1" t="n">
        <v>45581</v>
      </c>
      <c r="C62" s="1" t="n">
        <v>45965</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14205-2021</t>
        </is>
      </c>
      <c r="B63" s="1" t="n">
        <v>44278</v>
      </c>
      <c r="C63" s="1" t="n">
        <v>45965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37891-2025</t>
        </is>
      </c>
      <c r="B64" s="1" t="n">
        <v>45881.54024305556</v>
      </c>
      <c r="C64" s="1" t="n">
        <v>45965</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43942-2024</t>
        </is>
      </c>
      <c r="B65" s="1" t="n">
        <v>45572</v>
      </c>
      <c r="C65" s="1" t="n">
        <v>45965</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4938-2025</t>
        </is>
      </c>
      <c r="B66" s="1" t="n">
        <v>45688</v>
      </c>
      <c r="C66" s="1" t="n">
        <v>45965</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24201-2021</t>
        </is>
      </c>
      <c r="B67" s="1" t="n">
        <v>44336</v>
      </c>
      <c r="C67" s="1" t="n">
        <v>45965</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58238-2021</t>
        </is>
      </c>
      <c r="B68" s="1" t="n">
        <v>44487</v>
      </c>
      <c r="C68" s="1" t="n">
        <v>45965</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45965</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45965</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45965</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45965</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19925-2025</t>
        </is>
      </c>
      <c r="B73" s="1" t="n">
        <v>45771.634375</v>
      </c>
      <c r="C73" s="1" t="n">
        <v>45965</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30034-2024</t>
        </is>
      </c>
      <c r="B74" s="1" t="n">
        <v>45485</v>
      </c>
      <c r="C74" s="1" t="n">
        <v>45965</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12988-2021</t>
        </is>
      </c>
      <c r="B75" s="1" t="n">
        <v>44271</v>
      </c>
      <c r="C75" s="1" t="n">
        <v>45965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20039-2024</t>
        </is>
      </c>
      <c r="B76" s="1" t="n">
        <v>45434</v>
      </c>
      <c r="C76" s="1" t="n">
        <v>45965</v>
      </c>
      <c r="D76" t="inlineStr">
        <is>
          <t>JÄMTLANDS LÄN</t>
        </is>
      </c>
      <c r="E76" t="inlineStr">
        <is>
          <t>ÅRE</t>
        </is>
      </c>
      <c r="G76" t="n">
        <v>5.3</v>
      </c>
      <c r="H76" t="n">
        <v>1</v>
      </c>
      <c r="I76" t="n">
        <v>0</v>
      </c>
      <c r="J76" t="n">
        <v>4</v>
      </c>
      <c r="K76" t="n">
        <v>1</v>
      </c>
      <c r="L76" t="n">
        <v>0</v>
      </c>
      <c r="M76" t="n">
        <v>0</v>
      </c>
      <c r="N76" t="n">
        <v>0</v>
      </c>
      <c r="O76" t="n">
        <v>5</v>
      </c>
      <c r="P76" t="n">
        <v>1</v>
      </c>
      <c r="Q76" t="n">
        <v>5</v>
      </c>
      <c r="R76" s="2" t="inlineStr">
        <is>
          <t>Vågticka
Garnlav
Gränsticka
Tretåig hackspett
Ullticka</t>
        </is>
      </c>
      <c r="S76">
        <f>HYPERLINK("https://klasma.github.io/Logging_2321/artfynd/A 20039-2024 artfynd.xlsx", "A 20039-2024")</f>
        <v/>
      </c>
      <c r="T76">
        <f>HYPERLINK("https://klasma.github.io/Logging_2321/kartor/A 20039-2024 karta.png", "A 20039-2024")</f>
        <v/>
      </c>
      <c r="V76">
        <f>HYPERLINK("https://klasma.github.io/Logging_2321/klagomål/A 20039-2024 FSC-klagomål.docx", "A 20039-2024")</f>
        <v/>
      </c>
      <c r="W76">
        <f>HYPERLINK("https://klasma.github.io/Logging_2321/klagomålsmail/A 20039-2024 FSC-klagomål mail.docx", "A 20039-2024")</f>
        <v/>
      </c>
      <c r="X76">
        <f>HYPERLINK("https://klasma.github.io/Logging_2321/tillsyn/A 20039-2024 tillsynsbegäran.docx", "A 20039-2024")</f>
        <v/>
      </c>
      <c r="Y76">
        <f>HYPERLINK("https://klasma.github.io/Logging_2321/tillsynsmail/A 20039-2024 tillsynsbegäran mail.docx", "A 20039-2024")</f>
        <v/>
      </c>
      <c r="Z76">
        <f>HYPERLINK("https://klasma.github.io/Logging_2321/fåglar/A 20039-2024 prioriterade fågelarter.docx", "A 20039-2024")</f>
        <v/>
      </c>
    </row>
    <row r="77" ht="15" customHeight="1">
      <c r="A77" t="inlineStr">
        <is>
          <t>A 32097-2025</t>
        </is>
      </c>
      <c r="B77" s="1" t="n">
        <v>45835.4641087963</v>
      </c>
      <c r="C77" s="1" t="n">
        <v>45965</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45965</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4775-2025</t>
        </is>
      </c>
      <c r="B79" s="1" t="n">
        <v>45688</v>
      </c>
      <c r="C79" s="1" t="n">
        <v>45965</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10491-2024</t>
        </is>
      </c>
      <c r="B80" s="1" t="n">
        <v>45366</v>
      </c>
      <c r="C80" s="1" t="n">
        <v>45965</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53436-2025</t>
        </is>
      </c>
      <c r="B81" s="1" t="n">
        <v>45959.63353009259</v>
      </c>
      <c r="C81" s="1" t="n">
        <v>45965</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42565-2024</t>
        </is>
      </c>
      <c r="B82" s="1" t="n">
        <v>45565</v>
      </c>
      <c r="C82" s="1" t="n">
        <v>45965</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57537-2024</t>
        </is>
      </c>
      <c r="B83" s="1" t="n">
        <v>45630</v>
      </c>
      <c r="C83" s="1" t="n">
        <v>45965</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12271-2022</t>
        </is>
      </c>
      <c r="B84" s="1" t="n">
        <v>44637</v>
      </c>
      <c r="C84" s="1" t="n">
        <v>45965</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20035-2024</t>
        </is>
      </c>
      <c r="B85" s="1" t="n">
        <v>45434</v>
      </c>
      <c r="C85" s="1" t="n">
        <v>45965</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56183-2022</t>
        </is>
      </c>
      <c r="B86" s="1" t="n">
        <v>44889</v>
      </c>
      <c r="C86" s="1" t="n">
        <v>45965</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19277-2021</t>
        </is>
      </c>
      <c r="B87" s="1" t="n">
        <v>44309</v>
      </c>
      <c r="C87" s="1" t="n">
        <v>45965</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10773-2021</t>
        </is>
      </c>
      <c r="B88" s="1" t="n">
        <v>44259</v>
      </c>
      <c r="C88" s="1" t="n">
        <v>45965</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23638-2023</t>
        </is>
      </c>
      <c r="B89" s="1" t="n">
        <v>45072</v>
      </c>
      <c r="C89" s="1" t="n">
        <v>45965</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58082-2022</t>
        </is>
      </c>
      <c r="B90" s="1" t="n">
        <v>44900</v>
      </c>
      <c r="C90" s="1" t="n">
        <v>45965</v>
      </c>
      <c r="D90" t="inlineStr">
        <is>
          <t>JÄMTLANDS LÄN</t>
        </is>
      </c>
      <c r="E90" t="inlineStr">
        <is>
          <t>ÅRE</t>
        </is>
      </c>
      <c r="G90" t="n">
        <v>28.2</v>
      </c>
      <c r="H90" t="n">
        <v>2</v>
      </c>
      <c r="I90" t="n">
        <v>1</v>
      </c>
      <c r="J90" t="n">
        <v>2</v>
      </c>
      <c r="K90" t="n">
        <v>0</v>
      </c>
      <c r="L90" t="n">
        <v>0</v>
      </c>
      <c r="M90" t="n">
        <v>0</v>
      </c>
      <c r="N90" t="n">
        <v>0</v>
      </c>
      <c r="O90" t="n">
        <v>2</v>
      </c>
      <c r="P90" t="n">
        <v>0</v>
      </c>
      <c r="Q90" t="n">
        <v>3</v>
      </c>
      <c r="R90" s="2" t="inlineStr">
        <is>
          <t>Spillkråka
Tretåig hackspett
Kambräken</t>
        </is>
      </c>
      <c r="S90">
        <f>HYPERLINK("https://klasma.github.io/Logging_2321/artfynd/A 58082-2022 artfynd.xlsx", "A 58082-2022")</f>
        <v/>
      </c>
      <c r="T90">
        <f>HYPERLINK("https://klasma.github.io/Logging_2321/kartor/A 58082-2022 karta.png", "A 58082-2022")</f>
        <v/>
      </c>
      <c r="V90">
        <f>HYPERLINK("https://klasma.github.io/Logging_2321/klagomål/A 58082-2022 FSC-klagomål.docx", "A 58082-2022")</f>
        <v/>
      </c>
      <c r="W90">
        <f>HYPERLINK("https://klasma.github.io/Logging_2321/klagomålsmail/A 58082-2022 FSC-klagomål mail.docx", "A 58082-2022")</f>
        <v/>
      </c>
      <c r="X90">
        <f>HYPERLINK("https://klasma.github.io/Logging_2321/tillsyn/A 58082-2022 tillsynsbegäran.docx", "A 58082-2022")</f>
        <v/>
      </c>
      <c r="Y90">
        <f>HYPERLINK("https://klasma.github.io/Logging_2321/tillsynsmail/A 58082-2022 tillsynsbegäran mail.docx", "A 58082-2022")</f>
        <v/>
      </c>
      <c r="Z90">
        <f>HYPERLINK("https://klasma.github.io/Logging_2321/fåglar/A 58082-2022 prioriterade fågelarter.docx", "A 58082-2022")</f>
        <v/>
      </c>
    </row>
    <row r="91" ht="15" customHeight="1">
      <c r="A91" t="inlineStr">
        <is>
          <t>A 10627-2023</t>
        </is>
      </c>
      <c r="B91" s="1" t="n">
        <v>44984</v>
      </c>
      <c r="C91" s="1" t="n">
        <v>45965</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23729-2023</t>
        </is>
      </c>
      <c r="B92" s="1" t="n">
        <v>45072</v>
      </c>
      <c r="C92" s="1" t="n">
        <v>45965</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36260-2023</t>
        </is>
      </c>
      <c r="B93" s="1" t="n">
        <v>45151</v>
      </c>
      <c r="C93" s="1" t="n">
        <v>45965</v>
      </c>
      <c r="D93" t="inlineStr">
        <is>
          <t>JÄMTLANDS LÄN</t>
        </is>
      </c>
      <c r="E93" t="inlineStr">
        <is>
          <t>ÅRE</t>
        </is>
      </c>
      <c r="G93" t="n">
        <v>2.6</v>
      </c>
      <c r="H93" t="n">
        <v>0</v>
      </c>
      <c r="I93" t="n">
        <v>3</v>
      </c>
      <c r="J93" t="n">
        <v>0</v>
      </c>
      <c r="K93" t="n">
        <v>0</v>
      </c>
      <c r="L93" t="n">
        <v>0</v>
      </c>
      <c r="M93" t="n">
        <v>0</v>
      </c>
      <c r="N93" t="n">
        <v>0</v>
      </c>
      <c r="O93" t="n">
        <v>0</v>
      </c>
      <c r="P93" t="n">
        <v>0</v>
      </c>
      <c r="Q93" t="n">
        <v>3</v>
      </c>
      <c r="R93" s="2" t="inlineStr">
        <is>
          <t>Svavelriska
Underviol
Vedticka</t>
        </is>
      </c>
      <c r="S93">
        <f>HYPERLINK("https://klasma.github.io/Logging_2321/artfynd/A 36260-2023 artfynd.xlsx", "A 36260-2023")</f>
        <v/>
      </c>
      <c r="T93">
        <f>HYPERLINK("https://klasma.github.io/Logging_2321/kartor/A 36260-2023 karta.png", "A 36260-2023")</f>
        <v/>
      </c>
      <c r="V93">
        <f>HYPERLINK("https://klasma.github.io/Logging_2321/klagomål/A 36260-2023 FSC-klagomål.docx", "A 36260-2023")</f>
        <v/>
      </c>
      <c r="W93">
        <f>HYPERLINK("https://klasma.github.io/Logging_2321/klagomålsmail/A 36260-2023 FSC-klagomål mail.docx", "A 36260-2023")</f>
        <v/>
      </c>
      <c r="X93">
        <f>HYPERLINK("https://klasma.github.io/Logging_2321/tillsyn/A 36260-2023 tillsynsbegäran.docx", "A 36260-2023")</f>
        <v/>
      </c>
      <c r="Y93">
        <f>HYPERLINK("https://klasma.github.io/Logging_2321/tillsynsmail/A 36260-2023 tillsynsbegäran mail.docx", "A 36260-2023")</f>
        <v/>
      </c>
    </row>
    <row r="94" ht="15" customHeight="1">
      <c r="A94" t="inlineStr">
        <is>
          <t>A 59237-2022</t>
        </is>
      </c>
      <c r="B94" s="1" t="n">
        <v>44904</v>
      </c>
      <c r="C94" s="1" t="n">
        <v>45965</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13625-2023</t>
        </is>
      </c>
      <c r="B95" s="1" t="n">
        <v>45006</v>
      </c>
      <c r="C95" s="1" t="n">
        <v>45965</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12269-2022</t>
        </is>
      </c>
      <c r="B96" s="1" t="n">
        <v>44637</v>
      </c>
      <c r="C96" s="1" t="n">
        <v>45965</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45965</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20124-2023</t>
        </is>
      </c>
      <c r="B98" s="1" t="n">
        <v>45055</v>
      </c>
      <c r="C98" s="1" t="n">
        <v>45965</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52588-2024</t>
        </is>
      </c>
      <c r="B99" s="1" t="n">
        <v>45609.69825231482</v>
      </c>
      <c r="C99" s="1" t="n">
        <v>45965</v>
      </c>
      <c r="D99" t="inlineStr">
        <is>
          <t>JÄMTLANDS LÄN</t>
        </is>
      </c>
      <c r="E99" t="inlineStr">
        <is>
          <t>ÅRE</t>
        </is>
      </c>
      <c r="G99" t="n">
        <v>6.5</v>
      </c>
      <c r="H99" t="n">
        <v>0</v>
      </c>
      <c r="I99" t="n">
        <v>1</v>
      </c>
      <c r="J99" t="n">
        <v>2</v>
      </c>
      <c r="K99" t="n">
        <v>0</v>
      </c>
      <c r="L99" t="n">
        <v>0</v>
      </c>
      <c r="M99" t="n">
        <v>0</v>
      </c>
      <c r="N99" t="n">
        <v>0</v>
      </c>
      <c r="O99" t="n">
        <v>2</v>
      </c>
      <c r="P99" t="n">
        <v>0</v>
      </c>
      <c r="Q99" t="n">
        <v>3</v>
      </c>
      <c r="R99" s="2" t="inlineStr">
        <is>
          <t>Garnlav
Liten svartspik
Vedticka</t>
        </is>
      </c>
      <c r="S99">
        <f>HYPERLINK("https://klasma.github.io/Logging_2321/artfynd/A 52588-2024 artfynd.xlsx", "A 52588-2024")</f>
        <v/>
      </c>
      <c r="T99">
        <f>HYPERLINK("https://klasma.github.io/Logging_2321/kartor/A 52588-2024 karta.png", "A 52588-2024")</f>
        <v/>
      </c>
      <c r="V99">
        <f>HYPERLINK("https://klasma.github.io/Logging_2321/klagomål/A 52588-2024 FSC-klagomål.docx", "A 52588-2024")</f>
        <v/>
      </c>
      <c r="W99">
        <f>HYPERLINK("https://klasma.github.io/Logging_2321/klagomålsmail/A 52588-2024 FSC-klagomål mail.docx", "A 52588-2024")</f>
        <v/>
      </c>
      <c r="X99">
        <f>HYPERLINK("https://klasma.github.io/Logging_2321/tillsyn/A 52588-2024 tillsynsbegäran.docx", "A 52588-2024")</f>
        <v/>
      </c>
      <c r="Y99">
        <f>HYPERLINK("https://klasma.github.io/Logging_2321/tillsynsmail/A 52588-2024 tillsynsbegäran mail.docx", "A 52588-2024")</f>
        <v/>
      </c>
    </row>
    <row r="100" ht="15" customHeight="1">
      <c r="A100" t="inlineStr">
        <is>
          <t>A 22692-2025</t>
        </is>
      </c>
      <c r="B100" s="1" t="n">
        <v>45789.53834490741</v>
      </c>
      <c r="C100" s="1" t="n">
        <v>45965</v>
      </c>
      <c r="D100" t="inlineStr">
        <is>
          <t>JÄMTLANDS LÄN</t>
        </is>
      </c>
      <c r="E100" t="inlineStr">
        <is>
          <t>ÅRE</t>
        </is>
      </c>
      <c r="G100" t="n">
        <v>10.6</v>
      </c>
      <c r="H100" t="n">
        <v>0</v>
      </c>
      <c r="I100" t="n">
        <v>0</v>
      </c>
      <c r="J100" t="n">
        <v>3</v>
      </c>
      <c r="K100" t="n">
        <v>0</v>
      </c>
      <c r="L100" t="n">
        <v>0</v>
      </c>
      <c r="M100" t="n">
        <v>0</v>
      </c>
      <c r="N100" t="n">
        <v>0</v>
      </c>
      <c r="O100" t="n">
        <v>3</v>
      </c>
      <c r="P100" t="n">
        <v>0</v>
      </c>
      <c r="Q100" t="n">
        <v>3</v>
      </c>
      <c r="R100" s="2" t="inlineStr">
        <is>
          <t>Gammelgransskål
Garnlav
Skrovellav</t>
        </is>
      </c>
      <c r="S100">
        <f>HYPERLINK("https://klasma.github.io/Logging_2321/artfynd/A 22692-2025 artfynd.xlsx", "A 22692-2025")</f>
        <v/>
      </c>
      <c r="T100">
        <f>HYPERLINK("https://klasma.github.io/Logging_2321/kartor/A 22692-2025 karta.png", "A 22692-2025")</f>
        <v/>
      </c>
      <c r="V100">
        <f>HYPERLINK("https://klasma.github.io/Logging_2321/klagomål/A 22692-2025 FSC-klagomål.docx", "A 22692-2025")</f>
        <v/>
      </c>
      <c r="W100">
        <f>HYPERLINK("https://klasma.github.io/Logging_2321/klagomålsmail/A 22692-2025 FSC-klagomål mail.docx", "A 22692-2025")</f>
        <v/>
      </c>
      <c r="X100">
        <f>HYPERLINK("https://klasma.github.io/Logging_2321/tillsyn/A 22692-2025 tillsynsbegäran.docx", "A 22692-2025")</f>
        <v/>
      </c>
      <c r="Y100">
        <f>HYPERLINK("https://klasma.github.io/Logging_2321/tillsynsmail/A 22692-2025 tillsynsbegäran mail.docx", "A 22692-2025")</f>
        <v/>
      </c>
    </row>
    <row r="101" ht="15" customHeight="1">
      <c r="A101" t="inlineStr">
        <is>
          <t>A 21006-2022</t>
        </is>
      </c>
      <c r="B101" s="1" t="n">
        <v>44701</v>
      </c>
      <c r="C101" s="1" t="n">
        <v>45965</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23572-2021</t>
        </is>
      </c>
      <c r="B102" s="1" t="n">
        <v>44334</v>
      </c>
      <c r="C102" s="1" t="n">
        <v>45965</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61875-2024</t>
        </is>
      </c>
      <c r="B103" s="1" t="n">
        <v>45651</v>
      </c>
      <c r="C103" s="1" t="n">
        <v>45965</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58387-2023</t>
        </is>
      </c>
      <c r="B104" s="1" t="n">
        <v>45250</v>
      </c>
      <c r="C104" s="1" t="n">
        <v>45965</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40245-2023</t>
        </is>
      </c>
      <c r="B105" s="1" t="n">
        <v>45167</v>
      </c>
      <c r="C105" s="1" t="n">
        <v>45965</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10501-2024</t>
        </is>
      </c>
      <c r="B106" s="1" t="n">
        <v>45366</v>
      </c>
      <c r="C106" s="1" t="n">
        <v>45965</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14198-2021</t>
        </is>
      </c>
      <c r="B107" s="1" t="n">
        <v>44278</v>
      </c>
      <c r="C107" s="1" t="n">
        <v>45965</v>
      </c>
      <c r="D107" t="inlineStr">
        <is>
          <t>JÄMTLANDS LÄN</t>
        </is>
      </c>
      <c r="E107" t="inlineStr">
        <is>
          <t>ÅRE</t>
        </is>
      </c>
      <c r="G107" t="n">
        <v>28.4</v>
      </c>
      <c r="H107" t="n">
        <v>1</v>
      </c>
      <c r="I107" t="n">
        <v>1</v>
      </c>
      <c r="J107" t="n">
        <v>2</v>
      </c>
      <c r="K107" t="n">
        <v>0</v>
      </c>
      <c r="L107" t="n">
        <v>0</v>
      </c>
      <c r="M107" t="n">
        <v>0</v>
      </c>
      <c r="N107" t="n">
        <v>0</v>
      </c>
      <c r="O107" t="n">
        <v>2</v>
      </c>
      <c r="P107" t="n">
        <v>0</v>
      </c>
      <c r="Q107" t="n">
        <v>3</v>
      </c>
      <c r="R107" s="2" t="inlineStr">
        <is>
          <t>Skrovellav
Tretåig hackspett
Stuplav</t>
        </is>
      </c>
      <c r="S107">
        <f>HYPERLINK("https://klasma.github.io/Logging_2321/artfynd/A 14198-2021 artfynd.xlsx", "A 14198-2021")</f>
        <v/>
      </c>
      <c r="T107">
        <f>HYPERLINK("https://klasma.github.io/Logging_2321/kartor/A 14198-2021 karta.png", "A 14198-2021")</f>
        <v/>
      </c>
      <c r="V107">
        <f>HYPERLINK("https://klasma.github.io/Logging_2321/klagomål/A 14198-2021 FSC-klagomål.docx", "A 14198-2021")</f>
        <v/>
      </c>
      <c r="W107">
        <f>HYPERLINK("https://klasma.github.io/Logging_2321/klagomålsmail/A 14198-2021 FSC-klagomål mail.docx", "A 14198-2021")</f>
        <v/>
      </c>
      <c r="X107">
        <f>HYPERLINK("https://klasma.github.io/Logging_2321/tillsyn/A 14198-2021 tillsynsbegäran.docx", "A 14198-2021")</f>
        <v/>
      </c>
      <c r="Y107">
        <f>HYPERLINK("https://klasma.github.io/Logging_2321/tillsynsmail/A 14198-2021 tillsynsbegäran mail.docx", "A 14198-2021")</f>
        <v/>
      </c>
      <c r="Z107">
        <f>HYPERLINK("https://klasma.github.io/Logging_2321/fåglar/A 14198-2021 prioriterade fågelarter.docx", "A 14198-2021")</f>
        <v/>
      </c>
    </row>
    <row r="108" ht="15" customHeight="1">
      <c r="A108" t="inlineStr">
        <is>
          <t>A 40386-2025</t>
        </is>
      </c>
      <c r="B108" s="1" t="n">
        <v>45895</v>
      </c>
      <c r="C108" s="1" t="n">
        <v>45965</v>
      </c>
      <c r="D108" t="inlineStr">
        <is>
          <t>JÄMTLANDS LÄN</t>
        </is>
      </c>
      <c r="E108" t="inlineStr">
        <is>
          <t>ÅRE</t>
        </is>
      </c>
      <c r="F108" t="inlineStr">
        <is>
          <t>Övriga Aktiebolag</t>
        </is>
      </c>
      <c r="G108" t="n">
        <v>7.5</v>
      </c>
      <c r="H108" t="n">
        <v>3</v>
      </c>
      <c r="I108" t="n">
        <v>0</v>
      </c>
      <c r="J108" t="n">
        <v>1</v>
      </c>
      <c r="K108" t="n">
        <v>0</v>
      </c>
      <c r="L108" t="n">
        <v>0</v>
      </c>
      <c r="M108" t="n">
        <v>0</v>
      </c>
      <c r="N108" t="n">
        <v>0</v>
      </c>
      <c r="O108" t="n">
        <v>1</v>
      </c>
      <c r="P108" t="n">
        <v>0</v>
      </c>
      <c r="Q108" t="n">
        <v>3</v>
      </c>
      <c r="R108" s="2" t="inlineStr">
        <is>
          <t>Tretåig hackspett
Lavskrika
Tjäder</t>
        </is>
      </c>
      <c r="S108">
        <f>HYPERLINK("https://klasma.github.io/Logging_2321/artfynd/A 40386-2025 artfynd.xlsx", "A 40386-2025")</f>
        <v/>
      </c>
      <c r="T108">
        <f>HYPERLINK("https://klasma.github.io/Logging_2321/kartor/A 40386-2025 karta.png", "A 40386-2025")</f>
        <v/>
      </c>
      <c r="V108">
        <f>HYPERLINK("https://klasma.github.io/Logging_2321/klagomål/A 40386-2025 FSC-klagomål.docx", "A 40386-2025")</f>
        <v/>
      </c>
      <c r="W108">
        <f>HYPERLINK("https://klasma.github.io/Logging_2321/klagomålsmail/A 40386-2025 FSC-klagomål mail.docx", "A 40386-2025")</f>
        <v/>
      </c>
      <c r="X108">
        <f>HYPERLINK("https://klasma.github.io/Logging_2321/tillsyn/A 40386-2025 tillsynsbegäran.docx", "A 40386-2025")</f>
        <v/>
      </c>
      <c r="Y108">
        <f>HYPERLINK("https://klasma.github.io/Logging_2321/tillsynsmail/A 40386-2025 tillsynsbegäran mail.docx", "A 40386-2025")</f>
        <v/>
      </c>
      <c r="Z108">
        <f>HYPERLINK("https://klasma.github.io/Logging_2321/fåglar/A 40386-2025 prioriterade fågelarter.docx", "A 40386-2025")</f>
        <v/>
      </c>
    </row>
    <row r="109" ht="15" customHeight="1">
      <c r="A109" t="inlineStr">
        <is>
          <t>A 57918-2024</t>
        </is>
      </c>
      <c r="B109" s="1" t="n">
        <v>45631</v>
      </c>
      <c r="C109" s="1" t="n">
        <v>45965</v>
      </c>
      <c r="D109" t="inlineStr">
        <is>
          <t>JÄMTLANDS LÄN</t>
        </is>
      </c>
      <c r="E109" t="inlineStr">
        <is>
          <t>ÅRE</t>
        </is>
      </c>
      <c r="F109" t="inlineStr">
        <is>
          <t>Övriga Aktiebolag</t>
        </is>
      </c>
      <c r="G109" t="n">
        <v>18.8</v>
      </c>
      <c r="H109" t="n">
        <v>1</v>
      </c>
      <c r="I109" t="n">
        <v>0</v>
      </c>
      <c r="J109" t="n">
        <v>3</v>
      </c>
      <c r="K109" t="n">
        <v>0</v>
      </c>
      <c r="L109" t="n">
        <v>0</v>
      </c>
      <c r="M109" t="n">
        <v>0</v>
      </c>
      <c r="N109" t="n">
        <v>0</v>
      </c>
      <c r="O109" t="n">
        <v>3</v>
      </c>
      <c r="P109" t="n">
        <v>0</v>
      </c>
      <c r="Q109" t="n">
        <v>3</v>
      </c>
      <c r="R109" s="2" t="inlineStr">
        <is>
          <t>Gammelgransskål
Garnlav
Tretåig hackspett</t>
        </is>
      </c>
      <c r="S109">
        <f>HYPERLINK("https://klasma.github.io/Logging_2321/artfynd/A 57918-2024 artfynd.xlsx", "A 57918-2024")</f>
        <v/>
      </c>
      <c r="T109">
        <f>HYPERLINK("https://klasma.github.io/Logging_2321/kartor/A 57918-2024 karta.png", "A 57918-2024")</f>
        <v/>
      </c>
      <c r="V109">
        <f>HYPERLINK("https://klasma.github.io/Logging_2321/klagomål/A 57918-2024 FSC-klagomål.docx", "A 57918-2024")</f>
        <v/>
      </c>
      <c r="W109">
        <f>HYPERLINK("https://klasma.github.io/Logging_2321/klagomålsmail/A 57918-2024 FSC-klagomål mail.docx", "A 57918-2024")</f>
        <v/>
      </c>
      <c r="X109">
        <f>HYPERLINK("https://klasma.github.io/Logging_2321/tillsyn/A 57918-2024 tillsynsbegäran.docx", "A 57918-2024")</f>
        <v/>
      </c>
      <c r="Y109">
        <f>HYPERLINK("https://klasma.github.io/Logging_2321/tillsynsmail/A 57918-2024 tillsynsbegäran mail.docx", "A 57918-2024")</f>
        <v/>
      </c>
      <c r="Z109">
        <f>HYPERLINK("https://klasma.github.io/Logging_2321/fåglar/A 57918-2024 prioriterade fågelarter.docx", "A 57918-2024")</f>
        <v/>
      </c>
    </row>
    <row r="110" ht="15" customHeight="1">
      <c r="A110" t="inlineStr">
        <is>
          <t>A 47988-2025</t>
        </is>
      </c>
      <c r="B110" s="1" t="n">
        <v>45931</v>
      </c>
      <c r="C110" s="1" t="n">
        <v>45965</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22601-2024</t>
        </is>
      </c>
      <c r="B111" s="1" t="n">
        <v>45447</v>
      </c>
      <c r="C111" s="1" t="n">
        <v>45965</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22231-2022</t>
        </is>
      </c>
      <c r="B112" s="1" t="n">
        <v>44712</v>
      </c>
      <c r="C112" s="1" t="n">
        <v>45965</v>
      </c>
      <c r="D112" t="inlineStr">
        <is>
          <t>JÄMTLANDS LÄN</t>
        </is>
      </c>
      <c r="E112" t="inlineStr">
        <is>
          <t>ÅRE</t>
        </is>
      </c>
      <c r="G112" t="n">
        <v>15</v>
      </c>
      <c r="H112" t="n">
        <v>0</v>
      </c>
      <c r="I112" t="n">
        <v>0</v>
      </c>
      <c r="J112" t="n">
        <v>2</v>
      </c>
      <c r="K112" t="n">
        <v>0</v>
      </c>
      <c r="L112" t="n">
        <v>0</v>
      </c>
      <c r="M112" t="n">
        <v>0</v>
      </c>
      <c r="N112" t="n">
        <v>0</v>
      </c>
      <c r="O112" t="n">
        <v>2</v>
      </c>
      <c r="P112" t="n">
        <v>0</v>
      </c>
      <c r="Q112" t="n">
        <v>2</v>
      </c>
      <c r="R112" s="2" t="inlineStr">
        <is>
          <t>Gammelgransskål
Granticka</t>
        </is>
      </c>
      <c r="S112">
        <f>HYPERLINK("https://klasma.github.io/Logging_2321/artfynd/A 22231-2022 artfynd.xlsx", "A 22231-2022")</f>
        <v/>
      </c>
      <c r="T112">
        <f>HYPERLINK("https://klasma.github.io/Logging_2321/kartor/A 22231-2022 karta.png", "A 22231-2022")</f>
        <v/>
      </c>
      <c r="V112">
        <f>HYPERLINK("https://klasma.github.io/Logging_2321/klagomål/A 22231-2022 FSC-klagomål.docx", "A 22231-2022")</f>
        <v/>
      </c>
      <c r="W112">
        <f>HYPERLINK("https://klasma.github.io/Logging_2321/klagomålsmail/A 22231-2022 FSC-klagomål mail.docx", "A 22231-2022")</f>
        <v/>
      </c>
      <c r="X112">
        <f>HYPERLINK("https://klasma.github.io/Logging_2321/tillsyn/A 22231-2022 tillsynsbegäran.docx", "A 22231-2022")</f>
        <v/>
      </c>
      <c r="Y112">
        <f>HYPERLINK("https://klasma.github.io/Logging_2321/tillsynsmail/A 22231-2022 tillsynsbegäran mail.docx", "A 22231-2022")</f>
        <v/>
      </c>
    </row>
    <row r="113" ht="15" customHeight="1">
      <c r="A113" t="inlineStr">
        <is>
          <t>A 6108-2023</t>
        </is>
      </c>
      <c r="B113" s="1" t="n">
        <v>44964</v>
      </c>
      <c r="C113" s="1" t="n">
        <v>45965</v>
      </c>
      <c r="D113" t="inlineStr">
        <is>
          <t>JÄMTLANDS LÄN</t>
        </is>
      </c>
      <c r="E113" t="inlineStr">
        <is>
          <t>ÅRE</t>
        </is>
      </c>
      <c r="G113" t="n">
        <v>15.4</v>
      </c>
      <c r="H113" t="n">
        <v>1</v>
      </c>
      <c r="I113" t="n">
        <v>0</v>
      </c>
      <c r="J113" t="n">
        <v>2</v>
      </c>
      <c r="K113" t="n">
        <v>0</v>
      </c>
      <c r="L113" t="n">
        <v>0</v>
      </c>
      <c r="M113" t="n">
        <v>0</v>
      </c>
      <c r="N113" t="n">
        <v>0</v>
      </c>
      <c r="O113" t="n">
        <v>2</v>
      </c>
      <c r="P113" t="n">
        <v>0</v>
      </c>
      <c r="Q113" t="n">
        <v>2</v>
      </c>
      <c r="R113" s="2" t="inlineStr">
        <is>
          <t>Skrovellav
Tretåig hackspett</t>
        </is>
      </c>
      <c r="S113">
        <f>HYPERLINK("https://klasma.github.io/Logging_2321/artfynd/A 6108-2023 artfynd.xlsx", "A 6108-2023")</f>
        <v/>
      </c>
      <c r="T113">
        <f>HYPERLINK("https://klasma.github.io/Logging_2321/kartor/A 6108-2023 karta.png", "A 6108-2023")</f>
        <v/>
      </c>
      <c r="V113">
        <f>HYPERLINK("https://klasma.github.io/Logging_2321/klagomål/A 6108-2023 FSC-klagomål.docx", "A 6108-2023")</f>
        <v/>
      </c>
      <c r="W113">
        <f>HYPERLINK("https://klasma.github.io/Logging_2321/klagomålsmail/A 6108-2023 FSC-klagomål mail.docx", "A 6108-2023")</f>
        <v/>
      </c>
      <c r="X113">
        <f>HYPERLINK("https://klasma.github.io/Logging_2321/tillsyn/A 6108-2023 tillsynsbegäran.docx", "A 6108-2023")</f>
        <v/>
      </c>
      <c r="Y113">
        <f>HYPERLINK("https://klasma.github.io/Logging_2321/tillsynsmail/A 6108-2023 tillsynsbegäran mail.docx", "A 6108-2023")</f>
        <v/>
      </c>
      <c r="Z113">
        <f>HYPERLINK("https://klasma.github.io/Logging_2321/fåglar/A 6108-2023 prioriterade fågelarter.docx", "A 6108-2023")</f>
        <v/>
      </c>
    </row>
    <row r="114" ht="15" customHeight="1">
      <c r="A114" t="inlineStr">
        <is>
          <t>A 54128-2023</t>
        </is>
      </c>
      <c r="B114" s="1" t="n">
        <v>45232</v>
      </c>
      <c r="C114" s="1" t="n">
        <v>45965</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46984-2021</t>
        </is>
      </c>
      <c r="B115" s="1" t="n">
        <v>44446</v>
      </c>
      <c r="C115" s="1" t="n">
        <v>45965</v>
      </c>
      <c r="D115" t="inlineStr">
        <is>
          <t>JÄMTLANDS LÄN</t>
        </is>
      </c>
      <c r="E115" t="inlineStr">
        <is>
          <t>ÅRE</t>
        </is>
      </c>
      <c r="G115" t="n">
        <v>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46984-2021 artfynd.xlsx", "A 46984-2021")</f>
        <v/>
      </c>
      <c r="T115">
        <f>HYPERLINK("https://klasma.github.io/Logging_2321/kartor/A 46984-2021 karta.png", "A 46984-2021")</f>
        <v/>
      </c>
      <c r="V115">
        <f>HYPERLINK("https://klasma.github.io/Logging_2321/klagomål/A 46984-2021 FSC-klagomål.docx", "A 46984-2021")</f>
        <v/>
      </c>
      <c r="W115">
        <f>HYPERLINK("https://klasma.github.io/Logging_2321/klagomålsmail/A 46984-2021 FSC-klagomål mail.docx", "A 46984-2021")</f>
        <v/>
      </c>
      <c r="X115">
        <f>HYPERLINK("https://klasma.github.io/Logging_2321/tillsyn/A 46984-2021 tillsynsbegäran.docx", "A 46984-2021")</f>
        <v/>
      </c>
      <c r="Y115">
        <f>HYPERLINK("https://klasma.github.io/Logging_2321/tillsynsmail/A 46984-2021 tillsynsbegäran mail.docx", "A 46984-2021")</f>
        <v/>
      </c>
      <c r="Z115">
        <f>HYPERLINK("https://klasma.github.io/Logging_2321/fåglar/A 46984-2021 prioriterade fågelarter.docx", "A 46984-2021")</f>
        <v/>
      </c>
    </row>
    <row r="116" ht="15" customHeight="1">
      <c r="A116" t="inlineStr">
        <is>
          <t>A 23706-2023</t>
        </is>
      </c>
      <c r="B116" s="1" t="n">
        <v>45072</v>
      </c>
      <c r="C116" s="1" t="n">
        <v>45965</v>
      </c>
      <c r="D116" t="inlineStr">
        <is>
          <t>JÄMTLANDS LÄN</t>
        </is>
      </c>
      <c r="E116" t="inlineStr">
        <is>
          <t>ÅRE</t>
        </is>
      </c>
      <c r="G116" t="n">
        <v>8.1</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23706-2023 artfynd.xlsx", "A 23706-2023")</f>
        <v/>
      </c>
      <c r="T116">
        <f>HYPERLINK("https://klasma.github.io/Logging_2321/kartor/A 23706-2023 karta.png", "A 23706-2023")</f>
        <v/>
      </c>
      <c r="V116">
        <f>HYPERLINK("https://klasma.github.io/Logging_2321/klagomål/A 23706-2023 FSC-klagomål.docx", "A 23706-2023")</f>
        <v/>
      </c>
      <c r="W116">
        <f>HYPERLINK("https://klasma.github.io/Logging_2321/klagomålsmail/A 23706-2023 FSC-klagomål mail.docx", "A 23706-2023")</f>
        <v/>
      </c>
      <c r="X116">
        <f>HYPERLINK("https://klasma.github.io/Logging_2321/tillsyn/A 23706-2023 tillsynsbegäran.docx", "A 23706-2023")</f>
        <v/>
      </c>
      <c r="Y116">
        <f>HYPERLINK("https://klasma.github.io/Logging_2321/tillsynsmail/A 23706-2023 tillsynsbegäran mail.docx", "A 23706-2023")</f>
        <v/>
      </c>
      <c r="Z116">
        <f>HYPERLINK("https://klasma.github.io/Logging_2321/fåglar/A 23706-2023 prioriterade fågelarter.docx", "A 23706-2023")</f>
        <v/>
      </c>
    </row>
    <row r="117" ht="15" customHeight="1">
      <c r="A117" t="inlineStr">
        <is>
          <t>A 18719-2024</t>
        </is>
      </c>
      <c r="B117" s="1" t="n">
        <v>45426</v>
      </c>
      <c r="C117" s="1" t="n">
        <v>45965</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22974-2022</t>
        </is>
      </c>
      <c r="B118" s="1" t="n">
        <v>44716</v>
      </c>
      <c r="C118" s="1" t="n">
        <v>45965</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5531-2023</t>
        </is>
      </c>
      <c r="B119" s="1" t="n">
        <v>44957</v>
      </c>
      <c r="C119" s="1" t="n">
        <v>45965</v>
      </c>
      <c r="D119" t="inlineStr">
        <is>
          <t>JÄMTLANDS LÄN</t>
        </is>
      </c>
      <c r="E119" t="inlineStr">
        <is>
          <t>ÅRE</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5531-2023 artfynd.xlsx", "A 5531-2023")</f>
        <v/>
      </c>
      <c r="T119">
        <f>HYPERLINK("https://klasma.github.io/Logging_2321/kartor/A 5531-2023 karta.png", "A 5531-2023")</f>
        <v/>
      </c>
      <c r="V119">
        <f>HYPERLINK("https://klasma.github.io/Logging_2321/klagomål/A 5531-2023 FSC-klagomål.docx", "A 5531-2023")</f>
        <v/>
      </c>
      <c r="W119">
        <f>HYPERLINK("https://klasma.github.io/Logging_2321/klagomålsmail/A 5531-2023 FSC-klagomål mail.docx", "A 5531-2023")</f>
        <v/>
      </c>
      <c r="X119">
        <f>HYPERLINK("https://klasma.github.io/Logging_2321/tillsyn/A 5531-2023 tillsynsbegäran.docx", "A 5531-2023")</f>
        <v/>
      </c>
      <c r="Y119">
        <f>HYPERLINK("https://klasma.github.io/Logging_2321/tillsynsmail/A 5531-2023 tillsynsbegäran mail.docx", "A 5531-2023")</f>
        <v/>
      </c>
      <c r="Z119">
        <f>HYPERLINK("https://klasma.github.io/Logging_2321/fåglar/A 5531-2023 prioriterade fågelarter.docx", "A 5531-2023")</f>
        <v/>
      </c>
    </row>
    <row r="120" ht="15" customHeight="1">
      <c r="A120" t="inlineStr">
        <is>
          <t>A 64668-2021</t>
        </is>
      </c>
      <c r="B120" s="1" t="n">
        <v>44512</v>
      </c>
      <c r="C120" s="1" t="n">
        <v>45965</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5418-2023</t>
        </is>
      </c>
      <c r="B121" s="1" t="n">
        <v>44957</v>
      </c>
      <c r="C121" s="1" t="n">
        <v>45965</v>
      </c>
      <c r="D121" t="inlineStr">
        <is>
          <t>JÄMTLANDS LÄN</t>
        </is>
      </c>
      <c r="E121" t="inlineStr">
        <is>
          <t>ÅRE</t>
        </is>
      </c>
      <c r="G121" t="n">
        <v>5</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5418-2023 artfynd.xlsx", "A 5418-2023")</f>
        <v/>
      </c>
      <c r="T121">
        <f>HYPERLINK("https://klasma.github.io/Logging_2321/kartor/A 5418-2023 karta.png", "A 5418-2023")</f>
        <v/>
      </c>
      <c r="V121">
        <f>HYPERLINK("https://klasma.github.io/Logging_2321/klagomål/A 5418-2023 FSC-klagomål.docx", "A 5418-2023")</f>
        <v/>
      </c>
      <c r="W121">
        <f>HYPERLINK("https://klasma.github.io/Logging_2321/klagomålsmail/A 5418-2023 FSC-klagomål mail.docx", "A 5418-2023")</f>
        <v/>
      </c>
      <c r="X121">
        <f>HYPERLINK("https://klasma.github.io/Logging_2321/tillsyn/A 5418-2023 tillsynsbegäran.docx", "A 5418-2023")</f>
        <v/>
      </c>
      <c r="Y121">
        <f>HYPERLINK("https://klasma.github.io/Logging_2321/tillsynsmail/A 5418-2023 tillsynsbegäran mail.docx", "A 5418-2023")</f>
        <v/>
      </c>
      <c r="Z121">
        <f>HYPERLINK("https://klasma.github.io/Logging_2321/fåglar/A 5418-2023 prioriterade fågelarter.docx", "A 5418-2023")</f>
        <v/>
      </c>
    </row>
    <row r="122" ht="15" customHeight="1">
      <c r="A122" t="inlineStr">
        <is>
          <t>A 60533-2022</t>
        </is>
      </c>
      <c r="B122" s="1" t="n">
        <v>44904</v>
      </c>
      <c r="C122" s="1" t="n">
        <v>45965</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3152-2023</t>
        </is>
      </c>
      <c r="B123" s="1" t="n">
        <v>44946</v>
      </c>
      <c r="C123" s="1" t="n">
        <v>45965</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HYPERLINK("https://klasma.github.io/Logging_2321/artfynd/A 3152-2023 artfynd.xlsx", "A 3152-2023")</f>
        <v/>
      </c>
      <c r="T123">
        <f>HYPERLINK("https://klasma.github.io/Logging_2321/kartor/A 3152-2023 karta.png", "A 3152-2023")</f>
        <v/>
      </c>
      <c r="V123">
        <f>HYPERLINK("https://klasma.github.io/Logging_2321/klagomål/A 3152-2023 FSC-klagomål.docx", "A 3152-2023")</f>
        <v/>
      </c>
      <c r="W123">
        <f>HYPERLINK("https://klasma.github.io/Logging_2321/klagomålsmail/A 3152-2023 FSC-klagomål mail.docx", "A 3152-2023")</f>
        <v/>
      </c>
      <c r="X123">
        <f>HYPERLINK("https://klasma.github.io/Logging_2321/tillsyn/A 3152-2023 tillsynsbegäran.docx", "A 3152-2023")</f>
        <v/>
      </c>
      <c r="Y123">
        <f>HYPERLINK("https://klasma.github.io/Logging_2321/tillsynsmail/A 3152-2023 tillsynsbegäran mail.docx", "A 3152-2023")</f>
        <v/>
      </c>
      <c r="Z123">
        <f>HYPERLINK("https://klasma.github.io/Logging_2321/fåglar/A 3152-2023 prioriterade fågelarter.docx", "A 3152-2023")</f>
        <v/>
      </c>
    </row>
    <row r="124" ht="15" customHeight="1">
      <c r="A124" t="inlineStr">
        <is>
          <t>A 54055-2023</t>
        </is>
      </c>
      <c r="B124" s="1" t="n">
        <v>45231</v>
      </c>
      <c r="C124" s="1" t="n">
        <v>45965</v>
      </c>
      <c r="D124" t="inlineStr">
        <is>
          <t>JÄMTLANDS LÄN</t>
        </is>
      </c>
      <c r="E124" t="inlineStr">
        <is>
          <t>ÅRE</t>
        </is>
      </c>
      <c r="F124" t="inlineStr">
        <is>
          <t>Övriga Aktiebolag</t>
        </is>
      </c>
      <c r="G124" t="n">
        <v>14.1</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54055-2023 artfynd.xlsx", "A 54055-2023")</f>
        <v/>
      </c>
      <c r="T124">
        <f>HYPERLINK("https://klasma.github.io/Logging_2321/kartor/A 54055-2023 karta.png", "A 54055-2023")</f>
        <v/>
      </c>
      <c r="V124">
        <f>HYPERLINK("https://klasma.github.io/Logging_2321/klagomål/A 54055-2023 FSC-klagomål.docx", "A 54055-2023")</f>
        <v/>
      </c>
      <c r="W124">
        <f>HYPERLINK("https://klasma.github.io/Logging_2321/klagomålsmail/A 54055-2023 FSC-klagomål mail.docx", "A 54055-2023")</f>
        <v/>
      </c>
      <c r="X124">
        <f>HYPERLINK("https://klasma.github.io/Logging_2321/tillsyn/A 54055-2023 tillsynsbegäran.docx", "A 54055-2023")</f>
        <v/>
      </c>
      <c r="Y124">
        <f>HYPERLINK("https://klasma.github.io/Logging_2321/tillsynsmail/A 54055-2023 tillsynsbegäran mail.docx", "A 54055-2023")</f>
        <v/>
      </c>
      <c r="Z124">
        <f>HYPERLINK("https://klasma.github.io/Logging_2321/fåglar/A 54055-2023 prioriterade fågelarter.docx", "A 54055-2023")</f>
        <v/>
      </c>
    </row>
    <row r="125" ht="15" customHeight="1">
      <c r="A125" t="inlineStr">
        <is>
          <t>A 17489-2024</t>
        </is>
      </c>
      <c r="B125" s="1" t="n">
        <v>45415</v>
      </c>
      <c r="C125" s="1" t="n">
        <v>45965</v>
      </c>
      <c r="D125" t="inlineStr">
        <is>
          <t>JÄMTLANDS LÄN</t>
        </is>
      </c>
      <c r="E125" t="inlineStr">
        <is>
          <t>ÅRE</t>
        </is>
      </c>
      <c r="G125" t="n">
        <v>12.9</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17489-2024 artfynd.xlsx", "A 17489-2024")</f>
        <v/>
      </c>
      <c r="T125">
        <f>HYPERLINK("https://klasma.github.io/Logging_2321/kartor/A 17489-2024 karta.png", "A 17489-2024")</f>
        <v/>
      </c>
      <c r="V125">
        <f>HYPERLINK("https://klasma.github.io/Logging_2321/klagomål/A 17489-2024 FSC-klagomål.docx", "A 17489-2024")</f>
        <v/>
      </c>
      <c r="W125">
        <f>HYPERLINK("https://klasma.github.io/Logging_2321/klagomålsmail/A 17489-2024 FSC-klagomål mail.docx", "A 17489-2024")</f>
        <v/>
      </c>
      <c r="X125">
        <f>HYPERLINK("https://klasma.github.io/Logging_2321/tillsyn/A 17489-2024 tillsynsbegäran.docx", "A 17489-2024")</f>
        <v/>
      </c>
      <c r="Y125">
        <f>HYPERLINK("https://klasma.github.io/Logging_2321/tillsynsmail/A 17489-2024 tillsynsbegäran mail.docx", "A 17489-2024")</f>
        <v/>
      </c>
      <c r="Z125">
        <f>HYPERLINK("https://klasma.github.io/Logging_2321/fåglar/A 17489-2024 prioriterade fågelarter.docx", "A 17489-2024")</f>
        <v/>
      </c>
    </row>
    <row r="126" ht="15" customHeight="1">
      <c r="A126" t="inlineStr">
        <is>
          <t>A 32207-2022</t>
        </is>
      </c>
      <c r="B126" s="1" t="n">
        <v>44781</v>
      </c>
      <c r="C126" s="1" t="n">
        <v>45965</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23566-2021</t>
        </is>
      </c>
      <c r="B127" s="1" t="n">
        <v>44334</v>
      </c>
      <c r="C127" s="1" t="n">
        <v>45965</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18851-2022</t>
        </is>
      </c>
      <c r="B128" s="1" t="n">
        <v>44690</v>
      </c>
      <c r="C128" s="1" t="n">
        <v>45965</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32114-2025</t>
        </is>
      </c>
      <c r="B129" s="1" t="n">
        <v>45835.48488425926</v>
      </c>
      <c r="C129" s="1" t="n">
        <v>45965</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36395-2025</t>
        </is>
      </c>
      <c r="B130" s="1" t="n">
        <v>45868.6211574074</v>
      </c>
      <c r="C130" s="1" t="n">
        <v>45965</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5388-2021</t>
        </is>
      </c>
      <c r="B131" s="1" t="n">
        <v>44229</v>
      </c>
      <c r="C131" s="1" t="n">
        <v>45965</v>
      </c>
      <c r="D131" t="inlineStr">
        <is>
          <t>JÄMTLANDS LÄN</t>
        </is>
      </c>
      <c r="E131" t="inlineStr">
        <is>
          <t>ÅRE</t>
        </is>
      </c>
      <c r="G131" t="n">
        <v>6.9</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5388-2021 artfynd.xlsx", "A 5388-2021")</f>
        <v/>
      </c>
      <c r="T131">
        <f>HYPERLINK("https://klasma.github.io/Logging_2321/kartor/A 5388-2021 karta.png", "A 5388-2021")</f>
        <v/>
      </c>
      <c r="V131">
        <f>HYPERLINK("https://klasma.github.io/Logging_2321/klagomål/A 5388-2021 FSC-klagomål.docx", "A 5388-2021")</f>
        <v/>
      </c>
      <c r="W131">
        <f>HYPERLINK("https://klasma.github.io/Logging_2321/klagomålsmail/A 5388-2021 FSC-klagomål mail.docx", "A 5388-2021")</f>
        <v/>
      </c>
      <c r="X131">
        <f>HYPERLINK("https://klasma.github.io/Logging_2321/tillsyn/A 5388-2021 tillsynsbegäran.docx", "A 5388-2021")</f>
        <v/>
      </c>
      <c r="Y131">
        <f>HYPERLINK("https://klasma.github.io/Logging_2321/tillsynsmail/A 5388-2021 tillsynsbegäran mail.docx", "A 5388-2021")</f>
        <v/>
      </c>
      <c r="Z131">
        <f>HYPERLINK("https://klasma.github.io/Logging_2321/fåglar/A 5388-2021 prioriterade fågelarter.docx", "A 5388-2021")</f>
        <v/>
      </c>
    </row>
    <row r="132" ht="15" customHeight="1">
      <c r="A132" t="inlineStr">
        <is>
          <t>A 41280-2025</t>
        </is>
      </c>
      <c r="B132" s="1" t="n">
        <v>45898</v>
      </c>
      <c r="C132" s="1" t="n">
        <v>45965</v>
      </c>
      <c r="D132" t="inlineStr">
        <is>
          <t>JÄMTLANDS LÄN</t>
        </is>
      </c>
      <c r="E132" t="inlineStr">
        <is>
          <t>ÅRE</t>
        </is>
      </c>
      <c r="F132" t="inlineStr">
        <is>
          <t>Övriga Aktiebolag</t>
        </is>
      </c>
      <c r="G132" t="n">
        <v>4.5</v>
      </c>
      <c r="H132" t="n">
        <v>1</v>
      </c>
      <c r="I132" t="n">
        <v>0</v>
      </c>
      <c r="J132" t="n">
        <v>2</v>
      </c>
      <c r="K132" t="n">
        <v>0</v>
      </c>
      <c r="L132" t="n">
        <v>0</v>
      </c>
      <c r="M132" t="n">
        <v>0</v>
      </c>
      <c r="N132" t="n">
        <v>0</v>
      </c>
      <c r="O132" t="n">
        <v>2</v>
      </c>
      <c r="P132" t="n">
        <v>0</v>
      </c>
      <c r="Q132" t="n">
        <v>2</v>
      </c>
      <c r="R132" s="2" t="inlineStr">
        <is>
          <t>Garnlav
Järpe</t>
        </is>
      </c>
      <c r="S132">
        <f>HYPERLINK("https://klasma.github.io/Logging_2321/artfynd/A 41280-2025 artfynd.xlsx", "A 41280-2025")</f>
        <v/>
      </c>
      <c r="T132">
        <f>HYPERLINK("https://klasma.github.io/Logging_2321/kartor/A 41280-2025 karta.png", "A 41280-2025")</f>
        <v/>
      </c>
      <c r="V132">
        <f>HYPERLINK("https://klasma.github.io/Logging_2321/klagomål/A 41280-2025 FSC-klagomål.docx", "A 41280-2025")</f>
        <v/>
      </c>
      <c r="W132">
        <f>HYPERLINK("https://klasma.github.io/Logging_2321/klagomålsmail/A 41280-2025 FSC-klagomål mail.docx", "A 41280-2025")</f>
        <v/>
      </c>
      <c r="X132">
        <f>HYPERLINK("https://klasma.github.io/Logging_2321/tillsyn/A 41280-2025 tillsynsbegäran.docx", "A 41280-2025")</f>
        <v/>
      </c>
      <c r="Y132">
        <f>HYPERLINK("https://klasma.github.io/Logging_2321/tillsynsmail/A 41280-2025 tillsynsbegäran mail.docx", "A 41280-2025")</f>
        <v/>
      </c>
      <c r="Z132">
        <f>HYPERLINK("https://klasma.github.io/Logging_2321/fåglar/A 41280-2025 prioriterade fågelarter.docx", "A 41280-2025")</f>
        <v/>
      </c>
    </row>
    <row r="133" ht="15" customHeight="1">
      <c r="A133" t="inlineStr">
        <is>
          <t>A 37204-2025</t>
        </is>
      </c>
      <c r="B133" s="1" t="n">
        <v>45875.69826388889</v>
      </c>
      <c r="C133" s="1" t="n">
        <v>45965</v>
      </c>
      <c r="D133" t="inlineStr">
        <is>
          <t>JÄMTLANDS LÄN</t>
        </is>
      </c>
      <c r="E133" t="inlineStr">
        <is>
          <t>ÅRE</t>
        </is>
      </c>
      <c r="G133" t="n">
        <v>2.9</v>
      </c>
      <c r="H133" t="n">
        <v>1</v>
      </c>
      <c r="I133" t="n">
        <v>1</v>
      </c>
      <c r="J133" t="n">
        <v>0</v>
      </c>
      <c r="K133" t="n">
        <v>0</v>
      </c>
      <c r="L133" t="n">
        <v>0</v>
      </c>
      <c r="M133" t="n">
        <v>0</v>
      </c>
      <c r="N133" t="n">
        <v>0</v>
      </c>
      <c r="O133" t="n">
        <v>0</v>
      </c>
      <c r="P133" t="n">
        <v>0</v>
      </c>
      <c r="Q133" t="n">
        <v>2</v>
      </c>
      <c r="R133" s="2" t="inlineStr">
        <is>
          <t>Norrlandslav
Revlummer</t>
        </is>
      </c>
      <c r="S133">
        <f>HYPERLINK("https://klasma.github.io/Logging_2321/artfynd/A 37204-2025 artfynd.xlsx", "A 37204-2025")</f>
        <v/>
      </c>
      <c r="T133">
        <f>HYPERLINK("https://klasma.github.io/Logging_2321/kartor/A 37204-2025 karta.png", "A 37204-2025")</f>
        <v/>
      </c>
      <c r="V133">
        <f>HYPERLINK("https://klasma.github.io/Logging_2321/klagomål/A 37204-2025 FSC-klagomål.docx", "A 37204-2025")</f>
        <v/>
      </c>
      <c r="W133">
        <f>HYPERLINK("https://klasma.github.io/Logging_2321/klagomålsmail/A 37204-2025 FSC-klagomål mail.docx", "A 37204-2025")</f>
        <v/>
      </c>
      <c r="X133">
        <f>HYPERLINK("https://klasma.github.io/Logging_2321/tillsyn/A 37204-2025 tillsynsbegäran.docx", "A 37204-2025")</f>
        <v/>
      </c>
      <c r="Y133">
        <f>HYPERLINK("https://klasma.github.io/Logging_2321/tillsynsmail/A 37204-2025 tillsynsbegäran mail.docx", "A 37204-2025")</f>
        <v/>
      </c>
    </row>
    <row r="134" ht="15" customHeight="1">
      <c r="A134" t="inlineStr">
        <is>
          <t>A 47993-2025</t>
        </is>
      </c>
      <c r="B134" s="1" t="n">
        <v>45931</v>
      </c>
      <c r="C134" s="1" t="n">
        <v>45965</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53681-2025</t>
        </is>
      </c>
      <c r="B135" s="1" t="n">
        <v>45960.57416666667</v>
      </c>
      <c r="C135" s="1" t="n">
        <v>45965</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53681-2025 artfynd.xlsx", "A 53681-2025")</f>
        <v/>
      </c>
      <c r="T135">
        <f>HYPERLINK("https://klasma.github.io/Logging_2321/kartor/A 53681-2025 karta.png", "A 53681-2025")</f>
        <v/>
      </c>
      <c r="V135">
        <f>HYPERLINK("https://klasma.github.io/Logging_2321/klagomål/A 53681-2025 FSC-klagomål.docx", "A 53681-2025")</f>
        <v/>
      </c>
      <c r="W135">
        <f>HYPERLINK("https://klasma.github.io/Logging_2321/klagomålsmail/A 53681-2025 FSC-klagomål mail.docx", "A 53681-2025")</f>
        <v/>
      </c>
      <c r="X135">
        <f>HYPERLINK("https://klasma.github.io/Logging_2321/tillsyn/A 53681-2025 tillsynsbegäran.docx", "A 53681-2025")</f>
        <v/>
      </c>
      <c r="Y135">
        <f>HYPERLINK("https://klasma.github.io/Logging_2321/tillsynsmail/A 53681-2025 tillsynsbegäran mail.docx", "A 53681-2025")</f>
        <v/>
      </c>
      <c r="Z135">
        <f>HYPERLINK("https://klasma.github.io/Logging_2321/fåglar/A 53681-2025 prioriterade fågelarter.docx", "A 53681-2025")</f>
        <v/>
      </c>
    </row>
    <row r="136" ht="15" customHeight="1">
      <c r="A136" t="inlineStr">
        <is>
          <t>A 23625-2024</t>
        </is>
      </c>
      <c r="B136" s="1" t="n">
        <v>45454</v>
      </c>
      <c r="C136" s="1" t="n">
        <v>45965</v>
      </c>
      <c r="D136" t="inlineStr">
        <is>
          <t>JÄMTLANDS LÄN</t>
        </is>
      </c>
      <c r="E136" t="inlineStr">
        <is>
          <t>ÅRE</t>
        </is>
      </c>
      <c r="G136" t="n">
        <v>15.2</v>
      </c>
      <c r="H136" t="n">
        <v>2</v>
      </c>
      <c r="I136" t="n">
        <v>0</v>
      </c>
      <c r="J136" t="n">
        <v>1</v>
      </c>
      <c r="K136" t="n">
        <v>0</v>
      </c>
      <c r="L136" t="n">
        <v>0</v>
      </c>
      <c r="M136" t="n">
        <v>0</v>
      </c>
      <c r="N136" t="n">
        <v>0</v>
      </c>
      <c r="O136" t="n">
        <v>1</v>
      </c>
      <c r="P136" t="n">
        <v>0</v>
      </c>
      <c r="Q136" t="n">
        <v>2</v>
      </c>
      <c r="R136" s="2" t="inlineStr">
        <is>
          <t>Tretåig hackspett
Lavskrika</t>
        </is>
      </c>
      <c r="S136">
        <f>HYPERLINK("https://klasma.github.io/Logging_2321/artfynd/A 23625-2024 artfynd.xlsx", "A 23625-2024")</f>
        <v/>
      </c>
      <c r="T136">
        <f>HYPERLINK("https://klasma.github.io/Logging_2321/kartor/A 23625-2024 karta.png", "A 23625-2024")</f>
        <v/>
      </c>
      <c r="V136">
        <f>HYPERLINK("https://klasma.github.io/Logging_2321/klagomål/A 23625-2024 FSC-klagomål.docx", "A 23625-2024")</f>
        <v/>
      </c>
      <c r="W136">
        <f>HYPERLINK("https://klasma.github.io/Logging_2321/klagomålsmail/A 23625-2024 FSC-klagomål mail.docx", "A 23625-2024")</f>
        <v/>
      </c>
      <c r="X136">
        <f>HYPERLINK("https://klasma.github.io/Logging_2321/tillsyn/A 23625-2024 tillsynsbegäran.docx", "A 23625-2024")</f>
        <v/>
      </c>
      <c r="Y136">
        <f>HYPERLINK("https://klasma.github.io/Logging_2321/tillsynsmail/A 23625-2024 tillsynsbegäran mail.docx", "A 23625-2024")</f>
        <v/>
      </c>
      <c r="Z136">
        <f>HYPERLINK("https://klasma.github.io/Logging_2321/fåglar/A 23625-2024 prioriterade fågelarter.docx", "A 23625-2024")</f>
        <v/>
      </c>
    </row>
    <row r="137" ht="15" customHeight="1">
      <c r="A137" t="inlineStr">
        <is>
          <t>A 20501-2021</t>
        </is>
      </c>
      <c r="B137" s="1" t="n">
        <v>44315.68802083333</v>
      </c>
      <c r="C137" s="1" t="n">
        <v>45965</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45965</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45965</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45965</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45965</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45965</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45965</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45965</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5480-2023</t>
        </is>
      </c>
      <c r="B145" s="1" t="n">
        <v>44957</v>
      </c>
      <c r="C145" s="1" t="n">
        <v>45965</v>
      </c>
      <c r="D145" t="inlineStr">
        <is>
          <t>JÄMTLANDS LÄN</t>
        </is>
      </c>
      <c r="E145" t="inlineStr">
        <is>
          <t>ÅRE</t>
        </is>
      </c>
      <c r="G145" t="n">
        <v>3.3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5480-2023 artfynd.xlsx", "A 5480-2023")</f>
        <v/>
      </c>
      <c r="T145">
        <f>HYPERLINK("https://klasma.github.io/Logging_2321/kartor/A 5480-2023 karta.png", "A 5480-2023")</f>
        <v/>
      </c>
      <c r="V145">
        <f>HYPERLINK("https://klasma.github.io/Logging_2321/klagomål/A 5480-2023 FSC-klagomål.docx", "A 5480-2023")</f>
        <v/>
      </c>
      <c r="W145">
        <f>HYPERLINK("https://klasma.github.io/Logging_2321/klagomålsmail/A 5480-2023 FSC-klagomål mail.docx", "A 5480-2023")</f>
        <v/>
      </c>
      <c r="X145">
        <f>HYPERLINK("https://klasma.github.io/Logging_2321/tillsyn/A 5480-2023 tillsynsbegäran.docx", "A 5480-2023")</f>
        <v/>
      </c>
      <c r="Y145">
        <f>HYPERLINK("https://klasma.github.io/Logging_2321/tillsynsmail/A 5480-2023 tillsynsbegäran mail.docx", "A 5480-2023")</f>
        <v/>
      </c>
      <c r="Z145">
        <f>HYPERLINK("https://klasma.github.io/Logging_2321/fåglar/A 5480-2023 prioriterade fågelarter.docx", "A 5480-2023")</f>
        <v/>
      </c>
    </row>
    <row r="146" ht="15" customHeight="1">
      <c r="A146" t="inlineStr">
        <is>
          <t>A 2422-2021</t>
        </is>
      </c>
      <c r="B146" s="1" t="n">
        <v>44214</v>
      </c>
      <c r="C146" s="1" t="n">
        <v>45965</v>
      </c>
      <c r="D146" t="inlineStr">
        <is>
          <t>JÄMTLANDS LÄN</t>
        </is>
      </c>
      <c r="E146" t="inlineStr">
        <is>
          <t>ÅRE</t>
        </is>
      </c>
      <c r="G146" t="n">
        <v>3.3</v>
      </c>
      <c r="H146" t="n">
        <v>1</v>
      </c>
      <c r="I146" t="n">
        <v>0</v>
      </c>
      <c r="J146" t="n">
        <v>0</v>
      </c>
      <c r="K146" t="n">
        <v>0</v>
      </c>
      <c r="L146" t="n">
        <v>0</v>
      </c>
      <c r="M146" t="n">
        <v>0</v>
      </c>
      <c r="N146" t="n">
        <v>0</v>
      </c>
      <c r="O146" t="n">
        <v>0</v>
      </c>
      <c r="P146" t="n">
        <v>0</v>
      </c>
      <c r="Q146" t="n">
        <v>1</v>
      </c>
      <c r="R146" s="2" t="inlineStr">
        <is>
          <t>Fläcknycklar</t>
        </is>
      </c>
      <c r="S146">
        <f>HYPERLINK("https://klasma.github.io/Logging_2321/artfynd/A 2422-2021 artfynd.xlsx", "A 2422-2021")</f>
        <v/>
      </c>
      <c r="T146">
        <f>HYPERLINK("https://klasma.github.io/Logging_2321/kartor/A 2422-2021 karta.png", "A 2422-2021")</f>
        <v/>
      </c>
      <c r="V146">
        <f>HYPERLINK("https://klasma.github.io/Logging_2321/klagomål/A 2422-2021 FSC-klagomål.docx", "A 2422-2021")</f>
        <v/>
      </c>
      <c r="W146">
        <f>HYPERLINK("https://klasma.github.io/Logging_2321/klagomålsmail/A 2422-2021 FSC-klagomål mail.docx", "A 2422-2021")</f>
        <v/>
      </c>
      <c r="X146">
        <f>HYPERLINK("https://klasma.github.io/Logging_2321/tillsyn/A 2422-2021 tillsynsbegäran.docx", "A 2422-2021")</f>
        <v/>
      </c>
      <c r="Y146">
        <f>HYPERLINK("https://klasma.github.io/Logging_2321/tillsynsmail/A 2422-2021 tillsynsbegäran mail.docx", "A 2422-2021")</f>
        <v/>
      </c>
    </row>
    <row r="147" ht="15" customHeight="1">
      <c r="A147" t="inlineStr">
        <is>
          <t>A 18543-2021</t>
        </is>
      </c>
      <c r="B147" s="1" t="n">
        <v>44306</v>
      </c>
      <c r="C147" s="1" t="n">
        <v>45965</v>
      </c>
      <c r="D147" t="inlineStr">
        <is>
          <t>JÄMTLANDS LÄN</t>
        </is>
      </c>
      <c r="E147" t="inlineStr">
        <is>
          <t>ÅRE</t>
        </is>
      </c>
      <c r="G147" t="n">
        <v>1.7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18543-2021 artfynd.xlsx", "A 18543-2021")</f>
        <v/>
      </c>
      <c r="T147">
        <f>HYPERLINK("https://klasma.github.io/Logging_2321/kartor/A 18543-2021 karta.png", "A 18543-2021")</f>
        <v/>
      </c>
      <c r="V147">
        <f>HYPERLINK("https://klasma.github.io/Logging_2321/klagomål/A 18543-2021 FSC-klagomål.docx", "A 18543-2021")</f>
        <v/>
      </c>
      <c r="W147">
        <f>HYPERLINK("https://klasma.github.io/Logging_2321/klagomålsmail/A 18543-2021 FSC-klagomål mail.docx", "A 18543-2021")</f>
        <v/>
      </c>
      <c r="X147">
        <f>HYPERLINK("https://klasma.github.io/Logging_2321/tillsyn/A 18543-2021 tillsynsbegäran.docx", "A 18543-2021")</f>
        <v/>
      </c>
      <c r="Y147">
        <f>HYPERLINK("https://klasma.github.io/Logging_2321/tillsynsmail/A 18543-2021 tillsynsbegäran mail.docx", "A 18543-2021")</f>
        <v/>
      </c>
      <c r="Z147">
        <f>HYPERLINK("https://klasma.github.io/Logging_2321/fåglar/A 18543-2021 prioriterade fågelarter.docx", "A 18543-2021")</f>
        <v/>
      </c>
    </row>
    <row r="148" ht="15" customHeight="1">
      <c r="A148" t="inlineStr">
        <is>
          <t>A 12970-2021</t>
        </is>
      </c>
      <c r="B148" s="1" t="n">
        <v>44271</v>
      </c>
      <c r="C148" s="1" t="n">
        <v>45965</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45965</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37082-2021</t>
        </is>
      </c>
      <c r="B150" s="1" t="n">
        <v>44395</v>
      </c>
      <c r="C150" s="1" t="n">
        <v>45965</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55194-2022</t>
        </is>
      </c>
      <c r="B151" s="1" t="n">
        <v>44886</v>
      </c>
      <c r="C151" s="1" t="n">
        <v>45965</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61471-2023</t>
        </is>
      </c>
      <c r="B152" s="1" t="n">
        <v>45264</v>
      </c>
      <c r="C152" s="1" t="n">
        <v>45965</v>
      </c>
      <c r="D152" t="inlineStr">
        <is>
          <t>JÄMTLANDS LÄN</t>
        </is>
      </c>
      <c r="E152" t="inlineStr">
        <is>
          <t>ÅRE</t>
        </is>
      </c>
      <c r="G152" t="n">
        <v>1</v>
      </c>
      <c r="H152" t="n">
        <v>0</v>
      </c>
      <c r="I152" t="n">
        <v>0</v>
      </c>
      <c r="J152" t="n">
        <v>1</v>
      </c>
      <c r="K152" t="n">
        <v>0</v>
      </c>
      <c r="L152" t="n">
        <v>0</v>
      </c>
      <c r="M152" t="n">
        <v>0</v>
      </c>
      <c r="N152" t="n">
        <v>0</v>
      </c>
      <c r="O152" t="n">
        <v>1</v>
      </c>
      <c r="P152" t="n">
        <v>0</v>
      </c>
      <c r="Q152" t="n">
        <v>1</v>
      </c>
      <c r="R152" s="2" t="inlineStr">
        <is>
          <t>Skrovellav</t>
        </is>
      </c>
      <c r="S152">
        <f>HYPERLINK("https://klasma.github.io/Logging_2321/artfynd/A 61471-2023 artfynd.xlsx", "A 61471-2023")</f>
        <v/>
      </c>
      <c r="T152">
        <f>HYPERLINK("https://klasma.github.io/Logging_2321/kartor/A 61471-2023 karta.png", "A 61471-2023")</f>
        <v/>
      </c>
      <c r="V152">
        <f>HYPERLINK("https://klasma.github.io/Logging_2321/klagomål/A 61471-2023 FSC-klagomål.docx", "A 61471-2023")</f>
        <v/>
      </c>
      <c r="W152">
        <f>HYPERLINK("https://klasma.github.io/Logging_2321/klagomålsmail/A 61471-2023 FSC-klagomål mail.docx", "A 61471-2023")</f>
        <v/>
      </c>
      <c r="X152">
        <f>HYPERLINK("https://klasma.github.io/Logging_2321/tillsyn/A 61471-2023 tillsynsbegäran.docx", "A 61471-2023")</f>
        <v/>
      </c>
      <c r="Y152">
        <f>HYPERLINK("https://klasma.github.io/Logging_2321/tillsynsmail/A 61471-2023 tillsynsbegäran mail.docx", "A 61471-2023")</f>
        <v/>
      </c>
    </row>
    <row r="153" ht="15" customHeight="1">
      <c r="A153" t="inlineStr">
        <is>
          <t>A 10632-2023</t>
        </is>
      </c>
      <c r="B153" s="1" t="n">
        <v>44984</v>
      </c>
      <c r="C153" s="1" t="n">
        <v>45965</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45965</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12242-2022</t>
        </is>
      </c>
      <c r="B155" s="1" t="n">
        <v>44637</v>
      </c>
      <c r="C155" s="1" t="n">
        <v>45965</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52746-2024</t>
        </is>
      </c>
      <c r="B156" s="1" t="n">
        <v>45610.4809375</v>
      </c>
      <c r="C156" s="1" t="n">
        <v>45965</v>
      </c>
      <c r="D156" t="inlineStr">
        <is>
          <t>JÄMTLANDS LÄN</t>
        </is>
      </c>
      <c r="E156" t="inlineStr">
        <is>
          <t>ÅRE</t>
        </is>
      </c>
      <c r="G156" t="n">
        <v>1.4</v>
      </c>
      <c r="H156" t="n">
        <v>1</v>
      </c>
      <c r="I156" t="n">
        <v>0</v>
      </c>
      <c r="J156" t="n">
        <v>0</v>
      </c>
      <c r="K156" t="n">
        <v>0</v>
      </c>
      <c r="L156" t="n">
        <v>0</v>
      </c>
      <c r="M156" t="n">
        <v>0</v>
      </c>
      <c r="N156" t="n">
        <v>0</v>
      </c>
      <c r="O156" t="n">
        <v>0</v>
      </c>
      <c r="P156" t="n">
        <v>0</v>
      </c>
      <c r="Q156" t="n">
        <v>1</v>
      </c>
      <c r="R156" s="2" t="inlineStr">
        <is>
          <t>Blåsippa</t>
        </is>
      </c>
      <c r="S156">
        <f>HYPERLINK("https://klasma.github.io/Logging_2321/artfynd/A 52746-2024 artfynd.xlsx", "A 52746-2024")</f>
        <v/>
      </c>
      <c r="T156">
        <f>HYPERLINK("https://klasma.github.io/Logging_2321/kartor/A 52746-2024 karta.png", "A 52746-2024")</f>
        <v/>
      </c>
      <c r="V156">
        <f>HYPERLINK("https://klasma.github.io/Logging_2321/klagomål/A 52746-2024 FSC-klagomål.docx", "A 52746-2024")</f>
        <v/>
      </c>
      <c r="W156">
        <f>HYPERLINK("https://klasma.github.io/Logging_2321/klagomålsmail/A 52746-2024 FSC-klagomål mail.docx", "A 52746-2024")</f>
        <v/>
      </c>
      <c r="X156">
        <f>HYPERLINK("https://klasma.github.io/Logging_2321/tillsyn/A 52746-2024 tillsynsbegäran.docx", "A 52746-2024")</f>
        <v/>
      </c>
      <c r="Y156">
        <f>HYPERLINK("https://klasma.github.io/Logging_2321/tillsynsmail/A 52746-2024 tillsynsbegäran mail.docx", "A 52746-2024")</f>
        <v/>
      </c>
    </row>
    <row r="157" ht="15" customHeight="1">
      <c r="A157" t="inlineStr">
        <is>
          <t>A 11781-2021</t>
        </is>
      </c>
      <c r="B157" s="1" t="n">
        <v>44265</v>
      </c>
      <c r="C157" s="1" t="n">
        <v>45965</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30032-2024</t>
        </is>
      </c>
      <c r="B158" s="1" t="n">
        <v>45485</v>
      </c>
      <c r="C158" s="1" t="n">
        <v>45965</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30032-2024 artfynd.xlsx", "A 30032-2024")</f>
        <v/>
      </c>
      <c r="T158">
        <f>HYPERLINK("https://klasma.github.io/Logging_2321/kartor/A 30032-2024 karta.png", "A 30032-2024")</f>
        <v/>
      </c>
      <c r="V158">
        <f>HYPERLINK("https://klasma.github.io/Logging_2321/klagomål/A 30032-2024 FSC-klagomål.docx", "A 30032-2024")</f>
        <v/>
      </c>
      <c r="W158">
        <f>HYPERLINK("https://klasma.github.io/Logging_2321/klagomålsmail/A 30032-2024 FSC-klagomål mail.docx", "A 30032-2024")</f>
        <v/>
      </c>
      <c r="X158">
        <f>HYPERLINK("https://klasma.github.io/Logging_2321/tillsyn/A 30032-2024 tillsynsbegäran.docx", "A 30032-2024")</f>
        <v/>
      </c>
      <c r="Y158">
        <f>HYPERLINK("https://klasma.github.io/Logging_2321/tillsynsmail/A 30032-2024 tillsynsbegäran mail.docx", "A 30032-2024")</f>
        <v/>
      </c>
    </row>
    <row r="159" ht="15" customHeight="1">
      <c r="A159" t="inlineStr">
        <is>
          <t>A 74392-2021</t>
        </is>
      </c>
      <c r="B159" s="1" t="n">
        <v>44559</v>
      </c>
      <c r="C159" s="1" t="n">
        <v>45965</v>
      </c>
      <c r="D159" t="inlineStr">
        <is>
          <t>JÄMTLANDS LÄN</t>
        </is>
      </c>
      <c r="E159" t="inlineStr">
        <is>
          <t>ÅRE</t>
        </is>
      </c>
      <c r="G159" t="n">
        <v>11.6</v>
      </c>
      <c r="H159" t="n">
        <v>0</v>
      </c>
      <c r="I159" t="n">
        <v>0</v>
      </c>
      <c r="J159" t="n">
        <v>1</v>
      </c>
      <c r="K159" t="n">
        <v>0</v>
      </c>
      <c r="L159" t="n">
        <v>0</v>
      </c>
      <c r="M159" t="n">
        <v>0</v>
      </c>
      <c r="N159" t="n">
        <v>0</v>
      </c>
      <c r="O159" t="n">
        <v>1</v>
      </c>
      <c r="P159" t="n">
        <v>0</v>
      </c>
      <c r="Q159" t="n">
        <v>1</v>
      </c>
      <c r="R159" s="2" t="inlineStr">
        <is>
          <t>Skrovellav</t>
        </is>
      </c>
      <c r="S159">
        <f>HYPERLINK("https://klasma.github.io/Logging_2321/artfynd/A 74392-2021 artfynd.xlsx", "A 74392-2021")</f>
        <v/>
      </c>
      <c r="T159">
        <f>HYPERLINK("https://klasma.github.io/Logging_2321/kartor/A 74392-2021 karta.png", "A 74392-2021")</f>
        <v/>
      </c>
      <c r="V159">
        <f>HYPERLINK("https://klasma.github.io/Logging_2321/klagomål/A 74392-2021 FSC-klagomål.docx", "A 74392-2021")</f>
        <v/>
      </c>
      <c r="W159">
        <f>HYPERLINK("https://klasma.github.io/Logging_2321/klagomålsmail/A 74392-2021 FSC-klagomål mail.docx", "A 74392-2021")</f>
        <v/>
      </c>
      <c r="X159">
        <f>HYPERLINK("https://klasma.github.io/Logging_2321/tillsyn/A 74392-2021 tillsynsbegäran.docx", "A 74392-2021")</f>
        <v/>
      </c>
      <c r="Y159">
        <f>HYPERLINK("https://klasma.github.io/Logging_2321/tillsynsmail/A 74392-2021 tillsynsbegäran mail.docx", "A 74392-2021")</f>
        <v/>
      </c>
    </row>
    <row r="160" ht="15" customHeight="1">
      <c r="A160" t="inlineStr">
        <is>
          <t>A 17692-2022</t>
        </is>
      </c>
      <c r="B160" s="1" t="n">
        <v>44680</v>
      </c>
      <c r="C160" s="1" t="n">
        <v>45965</v>
      </c>
      <c r="D160" t="inlineStr">
        <is>
          <t>JÄMTLANDS LÄN</t>
        </is>
      </c>
      <c r="E160" t="inlineStr">
        <is>
          <t>ÅRE</t>
        </is>
      </c>
      <c r="G160" t="n">
        <v>3.1</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17692-2022 artfynd.xlsx", "A 17692-2022")</f>
        <v/>
      </c>
      <c r="T160">
        <f>HYPERLINK("https://klasma.github.io/Logging_2321/kartor/A 17692-2022 karta.png", "A 17692-2022")</f>
        <v/>
      </c>
      <c r="V160">
        <f>HYPERLINK("https://klasma.github.io/Logging_2321/klagomål/A 17692-2022 FSC-klagomål.docx", "A 17692-2022")</f>
        <v/>
      </c>
      <c r="W160">
        <f>HYPERLINK("https://klasma.github.io/Logging_2321/klagomålsmail/A 17692-2022 FSC-klagomål mail.docx", "A 17692-2022")</f>
        <v/>
      </c>
      <c r="X160">
        <f>HYPERLINK("https://klasma.github.io/Logging_2321/tillsyn/A 17692-2022 tillsynsbegäran.docx", "A 17692-2022")</f>
        <v/>
      </c>
      <c r="Y160">
        <f>HYPERLINK("https://klasma.github.io/Logging_2321/tillsynsmail/A 17692-2022 tillsynsbegäran mail.docx", "A 17692-2022")</f>
        <v/>
      </c>
      <c r="Z160">
        <f>HYPERLINK("https://klasma.github.io/Logging_2321/fåglar/A 17692-2022 prioriterade fågelarter.docx", "A 17692-2022")</f>
        <v/>
      </c>
    </row>
    <row r="161" ht="15" customHeight="1">
      <c r="A161" t="inlineStr">
        <is>
          <t>A 45144-2024</t>
        </is>
      </c>
      <c r="B161" s="1" t="n">
        <v>45575.63767361111</v>
      </c>
      <c r="C161" s="1" t="n">
        <v>45965</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23818-2025</t>
        </is>
      </c>
      <c r="B162" s="1" t="n">
        <v>45793.58469907408</v>
      </c>
      <c r="C162" s="1" t="n">
        <v>45965</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8131-2024</t>
        </is>
      </c>
      <c r="B163" s="1" t="n">
        <v>45351</v>
      </c>
      <c r="C163" s="1" t="n">
        <v>45965</v>
      </c>
      <c r="D163" t="inlineStr">
        <is>
          <t>JÄMTLANDS LÄN</t>
        </is>
      </c>
      <c r="E163" t="inlineStr">
        <is>
          <t>ÅRE</t>
        </is>
      </c>
      <c r="F163" t="inlineStr">
        <is>
          <t>Övriga Aktiebolag</t>
        </is>
      </c>
      <c r="G163" t="n">
        <v>3.1</v>
      </c>
      <c r="H163" t="n">
        <v>0</v>
      </c>
      <c r="I163" t="n">
        <v>0</v>
      </c>
      <c r="J163" t="n">
        <v>0</v>
      </c>
      <c r="K163" t="n">
        <v>1</v>
      </c>
      <c r="L163" t="n">
        <v>0</v>
      </c>
      <c r="M163" t="n">
        <v>0</v>
      </c>
      <c r="N163" t="n">
        <v>0</v>
      </c>
      <c r="O163" t="n">
        <v>1</v>
      </c>
      <c r="P163" t="n">
        <v>1</v>
      </c>
      <c r="Q163" t="n">
        <v>1</v>
      </c>
      <c r="R163" s="2" t="inlineStr">
        <is>
          <t>Gräddporing</t>
        </is>
      </c>
      <c r="S163">
        <f>HYPERLINK("https://klasma.github.io/Logging_2321/artfynd/A 8131-2024 artfynd.xlsx", "A 8131-2024")</f>
        <v/>
      </c>
      <c r="T163">
        <f>HYPERLINK("https://klasma.github.io/Logging_2321/kartor/A 8131-2024 karta.png", "A 8131-2024")</f>
        <v/>
      </c>
      <c r="V163">
        <f>HYPERLINK("https://klasma.github.io/Logging_2321/klagomål/A 8131-2024 FSC-klagomål.docx", "A 8131-2024")</f>
        <v/>
      </c>
      <c r="W163">
        <f>HYPERLINK("https://klasma.github.io/Logging_2321/klagomålsmail/A 8131-2024 FSC-klagomål mail.docx", "A 8131-2024")</f>
        <v/>
      </c>
      <c r="X163">
        <f>HYPERLINK("https://klasma.github.io/Logging_2321/tillsyn/A 8131-2024 tillsynsbegäran.docx", "A 8131-2024")</f>
        <v/>
      </c>
      <c r="Y163">
        <f>HYPERLINK("https://klasma.github.io/Logging_2321/tillsynsmail/A 8131-2024 tillsynsbegäran mail.docx", "A 8131-2024")</f>
        <v/>
      </c>
    </row>
    <row r="164" ht="15" customHeight="1">
      <c r="A164" t="inlineStr">
        <is>
          <t>A 23556-2021</t>
        </is>
      </c>
      <c r="B164" s="1" t="n">
        <v>44334</v>
      </c>
      <c r="C164" s="1" t="n">
        <v>45965</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53462-2024</t>
        </is>
      </c>
      <c r="B165" s="1" t="n">
        <v>45614.55241898148</v>
      </c>
      <c r="C165" s="1" t="n">
        <v>45965</v>
      </c>
      <c r="D165" t="inlineStr">
        <is>
          <t>JÄMTLANDS LÄN</t>
        </is>
      </c>
      <c r="E165" t="inlineStr">
        <is>
          <t>ÅRE</t>
        </is>
      </c>
      <c r="G165" t="n">
        <v>12.8</v>
      </c>
      <c r="H165" t="n">
        <v>0</v>
      </c>
      <c r="I165" t="n">
        <v>0</v>
      </c>
      <c r="J165" t="n">
        <v>1</v>
      </c>
      <c r="K165" t="n">
        <v>0</v>
      </c>
      <c r="L165" t="n">
        <v>0</v>
      </c>
      <c r="M165" t="n">
        <v>0</v>
      </c>
      <c r="N165" t="n">
        <v>0</v>
      </c>
      <c r="O165" t="n">
        <v>1</v>
      </c>
      <c r="P165" t="n">
        <v>0</v>
      </c>
      <c r="Q165" t="n">
        <v>1</v>
      </c>
      <c r="R165" s="2" t="inlineStr">
        <is>
          <t>Granticka</t>
        </is>
      </c>
      <c r="S165">
        <f>HYPERLINK("https://klasma.github.io/Logging_2321/artfynd/A 53462-2024 artfynd.xlsx", "A 53462-2024")</f>
        <v/>
      </c>
      <c r="T165">
        <f>HYPERLINK("https://klasma.github.io/Logging_2321/kartor/A 53462-2024 karta.png", "A 53462-2024")</f>
        <v/>
      </c>
      <c r="V165">
        <f>HYPERLINK("https://klasma.github.io/Logging_2321/klagomål/A 53462-2024 FSC-klagomål.docx", "A 53462-2024")</f>
        <v/>
      </c>
      <c r="W165">
        <f>HYPERLINK("https://klasma.github.io/Logging_2321/klagomålsmail/A 53462-2024 FSC-klagomål mail.docx", "A 53462-2024")</f>
        <v/>
      </c>
      <c r="X165">
        <f>HYPERLINK("https://klasma.github.io/Logging_2321/tillsyn/A 53462-2024 tillsynsbegäran.docx", "A 53462-2024")</f>
        <v/>
      </c>
      <c r="Y165">
        <f>HYPERLINK("https://klasma.github.io/Logging_2321/tillsynsmail/A 53462-2024 tillsynsbegäran mail.docx", "A 53462-2024")</f>
        <v/>
      </c>
    </row>
    <row r="166" ht="15" customHeight="1">
      <c r="A166" t="inlineStr">
        <is>
          <t>A 32216-2022</t>
        </is>
      </c>
      <c r="B166" s="1" t="n">
        <v>44781</v>
      </c>
      <c r="C166" s="1" t="n">
        <v>45965</v>
      </c>
      <c r="D166" t="inlineStr">
        <is>
          <t>JÄMTLANDS LÄN</t>
        </is>
      </c>
      <c r="E166" t="inlineStr">
        <is>
          <t>ÅRE</t>
        </is>
      </c>
      <c r="G166" t="n">
        <v>27.3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32216-2022 artfynd.xlsx", "A 32216-2022")</f>
        <v/>
      </c>
      <c r="T166">
        <f>HYPERLINK("https://klasma.github.io/Logging_2321/kartor/A 32216-2022 karta.png", "A 32216-2022")</f>
        <v/>
      </c>
      <c r="V166">
        <f>HYPERLINK("https://klasma.github.io/Logging_2321/klagomål/A 32216-2022 FSC-klagomål.docx", "A 32216-2022")</f>
        <v/>
      </c>
      <c r="W166">
        <f>HYPERLINK("https://klasma.github.io/Logging_2321/klagomålsmail/A 32216-2022 FSC-klagomål mail.docx", "A 32216-2022")</f>
        <v/>
      </c>
      <c r="X166">
        <f>HYPERLINK("https://klasma.github.io/Logging_2321/tillsyn/A 32216-2022 tillsynsbegäran.docx", "A 32216-2022")</f>
        <v/>
      </c>
      <c r="Y166">
        <f>HYPERLINK("https://klasma.github.io/Logging_2321/tillsynsmail/A 32216-2022 tillsynsbegäran mail.docx", "A 32216-2022")</f>
        <v/>
      </c>
      <c r="Z166">
        <f>HYPERLINK("https://klasma.github.io/Logging_2321/fåglar/A 32216-2022 prioriterade fågelarter.docx", "A 32216-2022")</f>
        <v/>
      </c>
    </row>
    <row r="167" ht="15" customHeight="1">
      <c r="A167" t="inlineStr">
        <is>
          <t>A 14245-2025</t>
        </is>
      </c>
      <c r="B167" s="1" t="n">
        <v>45740</v>
      </c>
      <c r="C167" s="1" t="n">
        <v>45965</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21939-2025</t>
        </is>
      </c>
      <c r="B168" s="1" t="n">
        <v>45784.58445601852</v>
      </c>
      <c r="C168" s="1" t="n">
        <v>45965</v>
      </c>
      <c r="D168" t="inlineStr">
        <is>
          <t>JÄMTLANDS LÄN</t>
        </is>
      </c>
      <c r="E168" t="inlineStr">
        <is>
          <t>ÅRE</t>
        </is>
      </c>
      <c r="G168" t="n">
        <v>6.5</v>
      </c>
      <c r="H168" t="n">
        <v>0</v>
      </c>
      <c r="I168" t="n">
        <v>1</v>
      </c>
      <c r="J168" t="n">
        <v>0</v>
      </c>
      <c r="K168" t="n">
        <v>0</v>
      </c>
      <c r="L168" t="n">
        <v>0</v>
      </c>
      <c r="M168" t="n">
        <v>0</v>
      </c>
      <c r="N168" t="n">
        <v>0</v>
      </c>
      <c r="O168" t="n">
        <v>0</v>
      </c>
      <c r="P168" t="n">
        <v>0</v>
      </c>
      <c r="Q168" t="n">
        <v>1</v>
      </c>
      <c r="R168" s="2" t="inlineStr">
        <is>
          <t>Finbräken</t>
        </is>
      </c>
      <c r="S168">
        <f>HYPERLINK("https://klasma.github.io/Logging_2321/artfynd/A 21939-2025 artfynd.xlsx", "A 21939-2025")</f>
        <v/>
      </c>
      <c r="T168">
        <f>HYPERLINK("https://klasma.github.io/Logging_2321/kartor/A 21939-2025 karta.png", "A 21939-2025")</f>
        <v/>
      </c>
      <c r="V168">
        <f>HYPERLINK("https://klasma.github.io/Logging_2321/klagomål/A 21939-2025 FSC-klagomål.docx", "A 21939-2025")</f>
        <v/>
      </c>
      <c r="W168">
        <f>HYPERLINK("https://klasma.github.io/Logging_2321/klagomålsmail/A 21939-2025 FSC-klagomål mail.docx", "A 21939-2025")</f>
        <v/>
      </c>
      <c r="X168">
        <f>HYPERLINK("https://klasma.github.io/Logging_2321/tillsyn/A 21939-2025 tillsynsbegäran.docx", "A 21939-2025")</f>
        <v/>
      </c>
      <c r="Y168">
        <f>HYPERLINK("https://klasma.github.io/Logging_2321/tillsynsmail/A 21939-2025 tillsynsbegäran mail.docx", "A 21939-2025")</f>
        <v/>
      </c>
    </row>
    <row r="169" ht="15" customHeight="1">
      <c r="A169" t="inlineStr">
        <is>
          <t>A 5611-2023</t>
        </is>
      </c>
      <c r="B169" s="1" t="n">
        <v>44958</v>
      </c>
      <c r="C169" s="1" t="n">
        <v>45965</v>
      </c>
      <c r="D169" t="inlineStr">
        <is>
          <t>JÄMTLANDS LÄN</t>
        </is>
      </c>
      <c r="E169" t="inlineStr">
        <is>
          <t>ÅRE</t>
        </is>
      </c>
      <c r="G169" t="n">
        <v>10.5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5611-2023 artfynd.xlsx", "A 5611-2023")</f>
        <v/>
      </c>
      <c r="T169">
        <f>HYPERLINK("https://klasma.github.io/Logging_2321/kartor/A 5611-2023 karta.png", "A 5611-2023")</f>
        <v/>
      </c>
      <c r="V169">
        <f>HYPERLINK("https://klasma.github.io/Logging_2321/klagomål/A 5611-2023 FSC-klagomål.docx", "A 5611-2023")</f>
        <v/>
      </c>
      <c r="W169">
        <f>HYPERLINK("https://klasma.github.io/Logging_2321/klagomålsmail/A 5611-2023 FSC-klagomål mail.docx", "A 5611-2023")</f>
        <v/>
      </c>
      <c r="X169">
        <f>HYPERLINK("https://klasma.github.io/Logging_2321/tillsyn/A 5611-2023 tillsynsbegäran.docx", "A 5611-2023")</f>
        <v/>
      </c>
      <c r="Y169">
        <f>HYPERLINK("https://klasma.github.io/Logging_2321/tillsynsmail/A 5611-2023 tillsynsbegäran mail.docx", "A 5611-2023")</f>
        <v/>
      </c>
      <c r="Z169">
        <f>HYPERLINK("https://klasma.github.io/Logging_2321/fåglar/A 5611-2023 prioriterade fågelarter.docx", "A 5611-2023")</f>
        <v/>
      </c>
    </row>
    <row r="170" ht="15" customHeight="1">
      <c r="A170" t="inlineStr">
        <is>
          <t>A 50321-2024</t>
        </is>
      </c>
      <c r="B170" s="1" t="n">
        <v>45600</v>
      </c>
      <c r="C170" s="1" t="n">
        <v>45965</v>
      </c>
      <c r="D170" t="inlineStr">
        <is>
          <t>JÄMTLANDS LÄN</t>
        </is>
      </c>
      <c r="E170" t="inlineStr">
        <is>
          <t>ÅRE</t>
        </is>
      </c>
      <c r="F170" t="inlineStr">
        <is>
          <t>Övriga Aktiebolag</t>
        </is>
      </c>
      <c r="G170" t="n">
        <v>2.6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50321-2024 artfynd.xlsx", "A 50321-2024")</f>
        <v/>
      </c>
      <c r="T170">
        <f>HYPERLINK("https://klasma.github.io/Logging_2321/kartor/A 50321-2024 karta.png", "A 50321-2024")</f>
        <v/>
      </c>
      <c r="V170">
        <f>HYPERLINK("https://klasma.github.io/Logging_2321/klagomål/A 50321-2024 FSC-klagomål.docx", "A 50321-2024")</f>
        <v/>
      </c>
      <c r="W170">
        <f>HYPERLINK("https://klasma.github.io/Logging_2321/klagomålsmail/A 50321-2024 FSC-klagomål mail.docx", "A 50321-2024")</f>
        <v/>
      </c>
      <c r="X170">
        <f>HYPERLINK("https://klasma.github.io/Logging_2321/tillsyn/A 50321-2024 tillsynsbegäran.docx", "A 50321-2024")</f>
        <v/>
      </c>
      <c r="Y170">
        <f>HYPERLINK("https://klasma.github.io/Logging_2321/tillsynsmail/A 50321-2024 tillsynsbegäran mail.docx", "A 50321-2024")</f>
        <v/>
      </c>
      <c r="Z170">
        <f>HYPERLINK("https://klasma.github.io/Logging_2321/fåglar/A 50321-2024 prioriterade fågelarter.docx", "A 50321-2024")</f>
        <v/>
      </c>
    </row>
    <row r="171" ht="15" customHeight="1">
      <c r="A171" t="inlineStr">
        <is>
          <t>A 4937-2025</t>
        </is>
      </c>
      <c r="B171" s="1" t="n">
        <v>45688</v>
      </c>
      <c r="C171" s="1" t="n">
        <v>45965</v>
      </c>
      <c r="D171" t="inlineStr">
        <is>
          <t>JÄMTLANDS LÄN</t>
        </is>
      </c>
      <c r="E171" t="inlineStr">
        <is>
          <t>ÅRE</t>
        </is>
      </c>
      <c r="G171" t="n">
        <v>1.8</v>
      </c>
      <c r="H171" t="n">
        <v>0</v>
      </c>
      <c r="I171" t="n">
        <v>0</v>
      </c>
      <c r="J171" t="n">
        <v>1</v>
      </c>
      <c r="K171" t="n">
        <v>0</v>
      </c>
      <c r="L171" t="n">
        <v>0</v>
      </c>
      <c r="M171" t="n">
        <v>0</v>
      </c>
      <c r="N171" t="n">
        <v>0</v>
      </c>
      <c r="O171" t="n">
        <v>1</v>
      </c>
      <c r="P171" t="n">
        <v>0</v>
      </c>
      <c r="Q171" t="n">
        <v>1</v>
      </c>
      <c r="R171" s="2" t="inlineStr">
        <is>
          <t>Granticka</t>
        </is>
      </c>
      <c r="S171">
        <f>HYPERLINK("https://klasma.github.io/Logging_2321/artfynd/A 4937-2025 artfynd.xlsx", "A 4937-2025")</f>
        <v/>
      </c>
      <c r="T171">
        <f>HYPERLINK("https://klasma.github.io/Logging_2321/kartor/A 4937-2025 karta.png", "A 4937-2025")</f>
        <v/>
      </c>
      <c r="V171">
        <f>HYPERLINK("https://klasma.github.io/Logging_2321/klagomål/A 4937-2025 FSC-klagomål.docx", "A 4937-2025")</f>
        <v/>
      </c>
      <c r="W171">
        <f>HYPERLINK("https://klasma.github.io/Logging_2321/klagomålsmail/A 4937-2025 FSC-klagomål mail.docx", "A 4937-2025")</f>
        <v/>
      </c>
      <c r="X171">
        <f>HYPERLINK("https://klasma.github.io/Logging_2321/tillsyn/A 4937-2025 tillsynsbegäran.docx", "A 4937-2025")</f>
        <v/>
      </c>
      <c r="Y171">
        <f>HYPERLINK("https://klasma.github.io/Logging_2321/tillsynsmail/A 4937-2025 tillsynsbegäran mail.docx", "A 4937-2025")</f>
        <v/>
      </c>
    </row>
    <row r="172" ht="15" customHeight="1">
      <c r="A172" t="inlineStr">
        <is>
          <t>A 15909-2025</t>
        </is>
      </c>
      <c r="B172" s="1" t="n">
        <v>45749</v>
      </c>
      <c r="C172" s="1" t="n">
        <v>45965</v>
      </c>
      <c r="D172" t="inlineStr">
        <is>
          <t>JÄMTLANDS LÄN</t>
        </is>
      </c>
      <c r="E172" t="inlineStr">
        <is>
          <t>ÅRE</t>
        </is>
      </c>
      <c r="G172" t="n">
        <v>23.8</v>
      </c>
      <c r="H172" t="n">
        <v>0</v>
      </c>
      <c r="I172" t="n">
        <v>0</v>
      </c>
      <c r="J172" t="n">
        <v>1</v>
      </c>
      <c r="K172" t="n">
        <v>0</v>
      </c>
      <c r="L172" t="n">
        <v>0</v>
      </c>
      <c r="M172" t="n">
        <v>0</v>
      </c>
      <c r="N172" t="n">
        <v>0</v>
      </c>
      <c r="O172" t="n">
        <v>1</v>
      </c>
      <c r="P172" t="n">
        <v>0</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14826-2021</t>
        </is>
      </c>
      <c r="B173" s="1" t="n">
        <v>44280</v>
      </c>
      <c r="C173" s="1" t="n">
        <v>45965</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45965</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45965</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45965</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45965</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45965</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45965</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45965</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45965</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45965</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45965</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45965</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45965</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45965</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45965</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45965</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45965</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45965</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45965</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45965</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45965</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45965</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45965</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45965</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45965</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45965</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45965</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45965</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45965</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45965</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57586-2020</t>
        </is>
      </c>
      <c r="B203" s="1" t="n">
        <v>44140</v>
      </c>
      <c r="C203" s="1" t="n">
        <v>45965</v>
      </c>
      <c r="D203" t="inlineStr">
        <is>
          <t>JÄMTLANDS LÄN</t>
        </is>
      </c>
      <c r="E203" t="inlineStr">
        <is>
          <t>ÅRE</t>
        </is>
      </c>
      <c r="G203" t="n">
        <v>9.5</v>
      </c>
      <c r="H203" t="n">
        <v>0</v>
      </c>
      <c r="I203" t="n">
        <v>0</v>
      </c>
      <c r="J203" t="n">
        <v>0</v>
      </c>
      <c r="K203" t="n">
        <v>0</v>
      </c>
      <c r="L203" t="n">
        <v>0</v>
      </c>
      <c r="M203" t="n">
        <v>0</v>
      </c>
      <c r="N203" t="n">
        <v>0</v>
      </c>
      <c r="O203" t="n">
        <v>0</v>
      </c>
      <c r="P203" t="n">
        <v>0</v>
      </c>
      <c r="Q203" t="n">
        <v>0</v>
      </c>
      <c r="R203" s="2" t="inlineStr"/>
    </row>
    <row r="204" ht="15" customHeight="1">
      <c r="A204" t="inlineStr">
        <is>
          <t>A 28881-2021</t>
        </is>
      </c>
      <c r="B204" s="1" t="n">
        <v>44357</v>
      </c>
      <c r="C204" s="1" t="n">
        <v>45965</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71005-2021</t>
        </is>
      </c>
      <c r="B205" s="1" t="n">
        <v>44538.62987268518</v>
      </c>
      <c r="C205" s="1" t="n">
        <v>45965</v>
      </c>
      <c r="D205" t="inlineStr">
        <is>
          <t>JÄMTLANDS LÄN</t>
        </is>
      </c>
      <c r="E205" t="inlineStr">
        <is>
          <t>ÅRE</t>
        </is>
      </c>
      <c r="G205" t="n">
        <v>1.2</v>
      </c>
      <c r="H205" t="n">
        <v>0</v>
      </c>
      <c r="I205" t="n">
        <v>0</v>
      </c>
      <c r="J205" t="n">
        <v>0</v>
      </c>
      <c r="K205" t="n">
        <v>0</v>
      </c>
      <c r="L205" t="n">
        <v>0</v>
      </c>
      <c r="M205" t="n">
        <v>0</v>
      </c>
      <c r="N205" t="n">
        <v>0</v>
      </c>
      <c r="O205" t="n">
        <v>0</v>
      </c>
      <c r="P205" t="n">
        <v>0</v>
      </c>
      <c r="Q205" t="n">
        <v>0</v>
      </c>
      <c r="R205" s="2" t="inlineStr"/>
    </row>
    <row r="206" ht="15" customHeight="1">
      <c r="A206" t="inlineStr">
        <is>
          <t>A 33023-2022</t>
        </is>
      </c>
      <c r="B206" s="1" t="n">
        <v>44784</v>
      </c>
      <c r="C206" s="1" t="n">
        <v>45965</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45965</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45965</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45965</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45965</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45965</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45965</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45965</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45965</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65439-2020</t>
        </is>
      </c>
      <c r="B215" s="1" t="n">
        <v>44173</v>
      </c>
      <c r="C215" s="1" t="n">
        <v>45965</v>
      </c>
      <c r="D215" t="inlineStr">
        <is>
          <t>JÄMTLANDS LÄN</t>
        </is>
      </c>
      <c r="E215" t="inlineStr">
        <is>
          <t>ÅRE</t>
        </is>
      </c>
      <c r="G215" t="n">
        <v>6.2</v>
      </c>
      <c r="H215" t="n">
        <v>0</v>
      </c>
      <c r="I215" t="n">
        <v>0</v>
      </c>
      <c r="J215" t="n">
        <v>0</v>
      </c>
      <c r="K215" t="n">
        <v>0</v>
      </c>
      <c r="L215" t="n">
        <v>0</v>
      </c>
      <c r="M215" t="n">
        <v>0</v>
      </c>
      <c r="N215" t="n">
        <v>0</v>
      </c>
      <c r="O215" t="n">
        <v>0</v>
      </c>
      <c r="P215" t="n">
        <v>0</v>
      </c>
      <c r="Q215" t="n">
        <v>0</v>
      </c>
      <c r="R215" s="2" t="inlineStr"/>
    </row>
    <row r="216" ht="15" customHeight="1">
      <c r="A216" t="inlineStr">
        <is>
          <t>A 33565-2022</t>
        </is>
      </c>
      <c r="B216" s="1" t="n">
        <v>44789</v>
      </c>
      <c r="C216" s="1" t="n">
        <v>45965</v>
      </c>
      <c r="D216" t="inlineStr">
        <is>
          <t>JÄMTLANDS LÄN</t>
        </is>
      </c>
      <c r="E216" t="inlineStr">
        <is>
          <t>ÅRE</t>
        </is>
      </c>
      <c r="G216" t="n">
        <v>0.6</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45965</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45965</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57594-2020</t>
        </is>
      </c>
      <c r="B219" s="1" t="n">
        <v>44140</v>
      </c>
      <c r="C219" s="1" t="n">
        <v>45965</v>
      </c>
      <c r="D219" t="inlineStr">
        <is>
          <t>JÄMTLANDS LÄN</t>
        </is>
      </c>
      <c r="E219" t="inlineStr">
        <is>
          <t>ÅRE</t>
        </is>
      </c>
      <c r="G219" t="n">
        <v>14.9</v>
      </c>
      <c r="H219" t="n">
        <v>0</v>
      </c>
      <c r="I219" t="n">
        <v>0</v>
      </c>
      <c r="J219" t="n">
        <v>0</v>
      </c>
      <c r="K219" t="n">
        <v>0</v>
      </c>
      <c r="L219" t="n">
        <v>0</v>
      </c>
      <c r="M219" t="n">
        <v>0</v>
      </c>
      <c r="N219" t="n">
        <v>0</v>
      </c>
      <c r="O219" t="n">
        <v>0</v>
      </c>
      <c r="P219" t="n">
        <v>0</v>
      </c>
      <c r="Q219" t="n">
        <v>0</v>
      </c>
      <c r="R219" s="2" t="inlineStr"/>
    </row>
    <row r="220" ht="15" customHeight="1">
      <c r="A220" t="inlineStr">
        <is>
          <t>A 8668-2021</t>
        </is>
      </c>
      <c r="B220" s="1" t="n">
        <v>44246</v>
      </c>
      <c r="C220" s="1" t="n">
        <v>45965</v>
      </c>
      <c r="D220" t="inlineStr">
        <is>
          <t>JÄMTLANDS LÄN</t>
        </is>
      </c>
      <c r="E220" t="inlineStr">
        <is>
          <t>ÅRE</t>
        </is>
      </c>
      <c r="G220" t="n">
        <v>19.5</v>
      </c>
      <c r="H220" t="n">
        <v>0</v>
      </c>
      <c r="I220" t="n">
        <v>0</v>
      </c>
      <c r="J220" t="n">
        <v>0</v>
      </c>
      <c r="K220" t="n">
        <v>0</v>
      </c>
      <c r="L220" t="n">
        <v>0</v>
      </c>
      <c r="M220" t="n">
        <v>0</v>
      </c>
      <c r="N220" t="n">
        <v>0</v>
      </c>
      <c r="O220" t="n">
        <v>0</v>
      </c>
      <c r="P220" t="n">
        <v>0</v>
      </c>
      <c r="Q220" t="n">
        <v>0</v>
      </c>
      <c r="R220" s="2" t="inlineStr"/>
    </row>
    <row r="221" ht="15" customHeight="1">
      <c r="A221" t="inlineStr">
        <is>
          <t>A 4838-2021</t>
        </is>
      </c>
      <c r="B221" s="1" t="n">
        <v>44225</v>
      </c>
      <c r="C221" s="1" t="n">
        <v>45965</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2230-2022</t>
        </is>
      </c>
      <c r="B222" s="1" t="n">
        <v>44578</v>
      </c>
      <c r="C222" s="1" t="n">
        <v>45965</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62352-2021</t>
        </is>
      </c>
      <c r="B223" s="1" t="n">
        <v>44502</v>
      </c>
      <c r="C223" s="1" t="n">
        <v>45965</v>
      </c>
      <c r="D223" t="inlineStr">
        <is>
          <t>JÄMTLANDS LÄN</t>
        </is>
      </c>
      <c r="E223" t="inlineStr">
        <is>
          <t>ÅRE</t>
        </is>
      </c>
      <c r="F223" t="inlineStr">
        <is>
          <t>Övriga statliga verk och myndigheter</t>
        </is>
      </c>
      <c r="G223" t="n">
        <v>64.90000000000001</v>
      </c>
      <c r="H223" t="n">
        <v>0</v>
      </c>
      <c r="I223" t="n">
        <v>0</v>
      </c>
      <c r="J223" t="n">
        <v>0</v>
      </c>
      <c r="K223" t="n">
        <v>0</v>
      </c>
      <c r="L223" t="n">
        <v>0</v>
      </c>
      <c r="M223" t="n">
        <v>0</v>
      </c>
      <c r="N223" t="n">
        <v>0</v>
      </c>
      <c r="O223" t="n">
        <v>0</v>
      </c>
      <c r="P223" t="n">
        <v>0</v>
      </c>
      <c r="Q223" t="n">
        <v>0</v>
      </c>
      <c r="R223" s="2" t="inlineStr"/>
    </row>
    <row r="224" ht="15" customHeight="1">
      <c r="A224" t="inlineStr">
        <is>
          <t>A 32758-2022</t>
        </is>
      </c>
      <c r="B224" s="1" t="n">
        <v>44783</v>
      </c>
      <c r="C224" s="1" t="n">
        <v>45965</v>
      </c>
      <c r="D224" t="inlineStr">
        <is>
          <t>JÄMTLANDS LÄN</t>
        </is>
      </c>
      <c r="E224" t="inlineStr">
        <is>
          <t>ÅRE</t>
        </is>
      </c>
      <c r="G224" t="n">
        <v>8.4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45965</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47052-2022</t>
        </is>
      </c>
      <c r="B226" s="1" t="n">
        <v>44851</v>
      </c>
      <c r="C226" s="1" t="n">
        <v>45965</v>
      </c>
      <c r="D226" t="inlineStr">
        <is>
          <t>JÄMTLANDS LÄN</t>
        </is>
      </c>
      <c r="E226" t="inlineStr">
        <is>
          <t>ÅRE</t>
        </is>
      </c>
      <c r="G226" t="n">
        <v>90.8</v>
      </c>
      <c r="H226" t="n">
        <v>0</v>
      </c>
      <c r="I226" t="n">
        <v>0</v>
      </c>
      <c r="J226" t="n">
        <v>0</v>
      </c>
      <c r="K226" t="n">
        <v>0</v>
      </c>
      <c r="L226" t="n">
        <v>0</v>
      </c>
      <c r="M226" t="n">
        <v>0</v>
      </c>
      <c r="N226" t="n">
        <v>0</v>
      </c>
      <c r="O226" t="n">
        <v>0</v>
      </c>
      <c r="P226" t="n">
        <v>0</v>
      </c>
      <c r="Q226" t="n">
        <v>0</v>
      </c>
      <c r="R226" s="2" t="inlineStr"/>
    </row>
    <row r="227" ht="15" customHeight="1">
      <c r="A227" t="inlineStr">
        <is>
          <t>A 6113-2024</t>
        </is>
      </c>
      <c r="B227" s="1" t="n">
        <v>45337</v>
      </c>
      <c r="C227" s="1" t="n">
        <v>45965</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45965</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61806-2021</t>
        </is>
      </c>
      <c r="B229" s="1" t="n">
        <v>44498</v>
      </c>
      <c r="C229" s="1" t="n">
        <v>45965</v>
      </c>
      <c r="D229" t="inlineStr">
        <is>
          <t>JÄMTLANDS LÄN</t>
        </is>
      </c>
      <c r="E229" t="inlineStr">
        <is>
          <t>ÅRE</t>
        </is>
      </c>
      <c r="G229" t="n">
        <v>0.7</v>
      </c>
      <c r="H229" t="n">
        <v>0</v>
      </c>
      <c r="I229" t="n">
        <v>0</v>
      </c>
      <c r="J229" t="n">
        <v>0</v>
      </c>
      <c r="K229" t="n">
        <v>0</v>
      </c>
      <c r="L229" t="n">
        <v>0</v>
      </c>
      <c r="M229" t="n">
        <v>0</v>
      </c>
      <c r="N229" t="n">
        <v>0</v>
      </c>
      <c r="O229" t="n">
        <v>0</v>
      </c>
      <c r="P229" t="n">
        <v>0</v>
      </c>
      <c r="Q229" t="n">
        <v>0</v>
      </c>
      <c r="R229" s="2" t="inlineStr"/>
    </row>
    <row r="230" ht="15" customHeight="1">
      <c r="A230" t="inlineStr">
        <is>
          <t>A 54324-2023</t>
        </is>
      </c>
      <c r="B230" s="1" t="n">
        <v>45225</v>
      </c>
      <c r="C230" s="1" t="n">
        <v>45965</v>
      </c>
      <c r="D230" t="inlineStr">
        <is>
          <t>JÄMTLANDS LÄN</t>
        </is>
      </c>
      <c r="E230" t="inlineStr">
        <is>
          <t>ÅRE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10285-2021</t>
        </is>
      </c>
      <c r="B231" s="1" t="n">
        <v>44257</v>
      </c>
      <c r="C231" s="1" t="n">
        <v>45965</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61803-2021</t>
        </is>
      </c>
      <c r="B232" s="1" t="n">
        <v>44498</v>
      </c>
      <c r="C232" s="1" t="n">
        <v>45965</v>
      </c>
      <c r="D232" t="inlineStr">
        <is>
          <t>JÄMTLANDS LÄN</t>
        </is>
      </c>
      <c r="E232" t="inlineStr">
        <is>
          <t>ÅRE</t>
        </is>
      </c>
      <c r="G232" t="n">
        <v>0.9</v>
      </c>
      <c r="H232" t="n">
        <v>0</v>
      </c>
      <c r="I232" t="n">
        <v>0</v>
      </c>
      <c r="J232" t="n">
        <v>0</v>
      </c>
      <c r="K232" t="n">
        <v>0</v>
      </c>
      <c r="L232" t="n">
        <v>0</v>
      </c>
      <c r="M232" t="n">
        <v>0</v>
      </c>
      <c r="N232" t="n">
        <v>0</v>
      </c>
      <c r="O232" t="n">
        <v>0</v>
      </c>
      <c r="P232" t="n">
        <v>0</v>
      </c>
      <c r="Q232" t="n">
        <v>0</v>
      </c>
      <c r="R232" s="2" t="inlineStr"/>
    </row>
    <row r="233" ht="15" customHeight="1">
      <c r="A233" t="inlineStr">
        <is>
          <t>A 53500-2024</t>
        </is>
      </c>
      <c r="B233" s="1" t="n">
        <v>45614</v>
      </c>
      <c r="C233" s="1" t="n">
        <v>45965</v>
      </c>
      <c r="D233" t="inlineStr">
        <is>
          <t>JÄMTLANDS LÄN</t>
        </is>
      </c>
      <c r="E233" t="inlineStr">
        <is>
          <t>ÅRE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60935-2022</t>
        </is>
      </c>
      <c r="B234" s="1" t="n">
        <v>44908</v>
      </c>
      <c r="C234" s="1" t="n">
        <v>45965</v>
      </c>
      <c r="D234" t="inlineStr">
        <is>
          <t>JÄMTLANDS LÄN</t>
        </is>
      </c>
      <c r="E234" t="inlineStr">
        <is>
          <t>ÅRE</t>
        </is>
      </c>
      <c r="G234" t="n">
        <v>0.8</v>
      </c>
      <c r="H234" t="n">
        <v>0</v>
      </c>
      <c r="I234" t="n">
        <v>0</v>
      </c>
      <c r="J234" t="n">
        <v>0</v>
      </c>
      <c r="K234" t="n">
        <v>0</v>
      </c>
      <c r="L234" t="n">
        <v>0</v>
      </c>
      <c r="M234" t="n">
        <v>0</v>
      </c>
      <c r="N234" t="n">
        <v>0</v>
      </c>
      <c r="O234" t="n">
        <v>0</v>
      </c>
      <c r="P234" t="n">
        <v>0</v>
      </c>
      <c r="Q234" t="n">
        <v>0</v>
      </c>
      <c r="R234" s="2" t="inlineStr"/>
    </row>
    <row r="235" ht="15" customHeight="1">
      <c r="A235" t="inlineStr">
        <is>
          <t>A 59753-2023</t>
        </is>
      </c>
      <c r="B235" s="1" t="n">
        <v>45254</v>
      </c>
      <c r="C235" s="1" t="n">
        <v>45965</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14204-2021</t>
        </is>
      </c>
      <c r="B236" s="1" t="n">
        <v>44278</v>
      </c>
      <c r="C236" s="1" t="n">
        <v>45965</v>
      </c>
      <c r="D236" t="inlineStr">
        <is>
          <t>JÄMTLANDS LÄN</t>
        </is>
      </c>
      <c r="E236" t="inlineStr">
        <is>
          <t>ÅRE</t>
        </is>
      </c>
      <c r="G236" t="n">
        <v>24.6</v>
      </c>
      <c r="H236" t="n">
        <v>0</v>
      </c>
      <c r="I236" t="n">
        <v>0</v>
      </c>
      <c r="J236" t="n">
        <v>0</v>
      </c>
      <c r="K236" t="n">
        <v>0</v>
      </c>
      <c r="L236" t="n">
        <v>0</v>
      </c>
      <c r="M236" t="n">
        <v>0</v>
      </c>
      <c r="N236" t="n">
        <v>0</v>
      </c>
      <c r="O236" t="n">
        <v>0</v>
      </c>
      <c r="P236" t="n">
        <v>0</v>
      </c>
      <c r="Q236" t="n">
        <v>0</v>
      </c>
      <c r="R236" s="2" t="inlineStr"/>
    </row>
    <row r="237" ht="15" customHeight="1">
      <c r="A237" t="inlineStr">
        <is>
          <t>A 15889-2025</t>
        </is>
      </c>
      <c r="B237" s="1" t="n">
        <v>45749.4075</v>
      </c>
      <c r="C237" s="1" t="n">
        <v>45965</v>
      </c>
      <c r="D237" t="inlineStr">
        <is>
          <t>JÄMTLANDS LÄN</t>
        </is>
      </c>
      <c r="E237" t="inlineStr">
        <is>
          <t>ÅRE</t>
        </is>
      </c>
      <c r="G237" t="n">
        <v>1.4</v>
      </c>
      <c r="H237" t="n">
        <v>0</v>
      </c>
      <c r="I237" t="n">
        <v>0</v>
      </c>
      <c r="J237" t="n">
        <v>0</v>
      </c>
      <c r="K237" t="n">
        <v>0</v>
      </c>
      <c r="L237" t="n">
        <v>0</v>
      </c>
      <c r="M237" t="n">
        <v>0</v>
      </c>
      <c r="N237" t="n">
        <v>0</v>
      </c>
      <c r="O237" t="n">
        <v>0</v>
      </c>
      <c r="P237" t="n">
        <v>0</v>
      </c>
      <c r="Q237" t="n">
        <v>0</v>
      </c>
      <c r="R237" s="2" t="inlineStr"/>
    </row>
    <row r="238" ht="15" customHeight="1">
      <c r="A238" t="inlineStr">
        <is>
          <t>A 18264-2023</t>
        </is>
      </c>
      <c r="B238" s="1" t="n">
        <v>45041</v>
      </c>
      <c r="C238" s="1" t="n">
        <v>45965</v>
      </c>
      <c r="D238" t="inlineStr">
        <is>
          <t>JÄMTLANDS LÄN</t>
        </is>
      </c>
      <c r="E238" t="inlineStr">
        <is>
          <t>ÅRE</t>
        </is>
      </c>
      <c r="G238" t="n">
        <v>0.2</v>
      </c>
      <c r="H238" t="n">
        <v>0</v>
      </c>
      <c r="I238" t="n">
        <v>0</v>
      </c>
      <c r="J238" t="n">
        <v>0</v>
      </c>
      <c r="K238" t="n">
        <v>0</v>
      </c>
      <c r="L238" t="n">
        <v>0</v>
      </c>
      <c r="M238" t="n">
        <v>0</v>
      </c>
      <c r="N238" t="n">
        <v>0</v>
      </c>
      <c r="O238" t="n">
        <v>0</v>
      </c>
      <c r="P238" t="n">
        <v>0</v>
      </c>
      <c r="Q238" t="n">
        <v>0</v>
      </c>
      <c r="R238" s="2" t="inlineStr"/>
    </row>
    <row r="239" ht="15" customHeight="1">
      <c r="A239" t="inlineStr">
        <is>
          <t>A 30080-2024</t>
        </is>
      </c>
      <c r="B239" s="1" t="n">
        <v>45485</v>
      </c>
      <c r="C239" s="1" t="n">
        <v>45965</v>
      </c>
      <c r="D239" t="inlineStr">
        <is>
          <t>JÄMTLANDS LÄN</t>
        </is>
      </c>
      <c r="E239" t="inlineStr">
        <is>
          <t>ÅRE</t>
        </is>
      </c>
      <c r="G239" t="n">
        <v>24.6</v>
      </c>
      <c r="H239" t="n">
        <v>0</v>
      </c>
      <c r="I239" t="n">
        <v>0</v>
      </c>
      <c r="J239" t="n">
        <v>0</v>
      </c>
      <c r="K239" t="n">
        <v>0</v>
      </c>
      <c r="L239" t="n">
        <v>0</v>
      </c>
      <c r="M239" t="n">
        <v>0</v>
      </c>
      <c r="N239" t="n">
        <v>0</v>
      </c>
      <c r="O239" t="n">
        <v>0</v>
      </c>
      <c r="P239" t="n">
        <v>0</v>
      </c>
      <c r="Q239" t="n">
        <v>0</v>
      </c>
      <c r="R239" s="2" t="inlineStr"/>
    </row>
    <row r="240" ht="15" customHeight="1">
      <c r="A240" t="inlineStr">
        <is>
          <t>A 30081-2024</t>
        </is>
      </c>
      <c r="B240" s="1" t="n">
        <v>45485</v>
      </c>
      <c r="C240" s="1" t="n">
        <v>45965</v>
      </c>
      <c r="D240" t="inlineStr">
        <is>
          <t>JÄMTLANDS LÄN</t>
        </is>
      </c>
      <c r="E240" t="inlineStr">
        <is>
          <t>ÅRE</t>
        </is>
      </c>
      <c r="G240" t="n">
        <v>17.8</v>
      </c>
      <c r="H240" t="n">
        <v>0</v>
      </c>
      <c r="I240" t="n">
        <v>0</v>
      </c>
      <c r="J240" t="n">
        <v>0</v>
      </c>
      <c r="K240" t="n">
        <v>0</v>
      </c>
      <c r="L240" t="n">
        <v>0</v>
      </c>
      <c r="M240" t="n">
        <v>0</v>
      </c>
      <c r="N240" t="n">
        <v>0</v>
      </c>
      <c r="O240" t="n">
        <v>0</v>
      </c>
      <c r="P240" t="n">
        <v>0</v>
      </c>
      <c r="Q240" t="n">
        <v>0</v>
      </c>
      <c r="R240" s="2" t="inlineStr"/>
    </row>
    <row r="241" ht="15" customHeight="1">
      <c r="A241" t="inlineStr">
        <is>
          <t>A 8576-2024</t>
        </is>
      </c>
      <c r="B241" s="1" t="n">
        <v>45355</v>
      </c>
      <c r="C241" s="1" t="n">
        <v>45965</v>
      </c>
      <c r="D241" t="inlineStr">
        <is>
          <t>JÄMTLANDS LÄN</t>
        </is>
      </c>
      <c r="E241" t="inlineStr">
        <is>
          <t>ÅRE</t>
        </is>
      </c>
      <c r="G241" t="n">
        <v>21.7</v>
      </c>
      <c r="H241" t="n">
        <v>0</v>
      </c>
      <c r="I241" t="n">
        <v>0</v>
      </c>
      <c r="J241" t="n">
        <v>0</v>
      </c>
      <c r="K241" t="n">
        <v>0</v>
      </c>
      <c r="L241" t="n">
        <v>0</v>
      </c>
      <c r="M241" t="n">
        <v>0</v>
      </c>
      <c r="N241" t="n">
        <v>0</v>
      </c>
      <c r="O241" t="n">
        <v>0</v>
      </c>
      <c r="P241" t="n">
        <v>0</v>
      </c>
      <c r="Q241" t="n">
        <v>0</v>
      </c>
      <c r="R241" s="2" t="inlineStr"/>
    </row>
    <row r="242" ht="15" customHeight="1">
      <c r="A242" t="inlineStr">
        <is>
          <t>A 57158-2021</t>
        </is>
      </c>
      <c r="B242" s="1" t="n">
        <v>44482</v>
      </c>
      <c r="C242" s="1" t="n">
        <v>45965</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54615-2022</t>
        </is>
      </c>
      <c r="B243" s="1" t="n">
        <v>44883.36125</v>
      </c>
      <c r="C243" s="1" t="n">
        <v>45965</v>
      </c>
      <c r="D243" t="inlineStr">
        <is>
          <t>JÄMTLANDS LÄN</t>
        </is>
      </c>
      <c r="E243" t="inlineStr">
        <is>
          <t>ÅRE</t>
        </is>
      </c>
      <c r="F243" t="inlineStr">
        <is>
          <t>Övriga Aktiebolag</t>
        </is>
      </c>
      <c r="G243" t="n">
        <v>5.1</v>
      </c>
      <c r="H243" t="n">
        <v>0</v>
      </c>
      <c r="I243" t="n">
        <v>0</v>
      </c>
      <c r="J243" t="n">
        <v>0</v>
      </c>
      <c r="K243" t="n">
        <v>0</v>
      </c>
      <c r="L243" t="n">
        <v>0</v>
      </c>
      <c r="M243" t="n">
        <v>0</v>
      </c>
      <c r="N243" t="n">
        <v>0</v>
      </c>
      <c r="O243" t="n">
        <v>0</v>
      </c>
      <c r="P243" t="n">
        <v>0</v>
      </c>
      <c r="Q243" t="n">
        <v>0</v>
      </c>
      <c r="R243" s="2" t="inlineStr"/>
    </row>
    <row r="244" ht="15" customHeight="1">
      <c r="A244" t="inlineStr">
        <is>
          <t>A 54175-2023</t>
        </is>
      </c>
      <c r="B244" s="1" t="n">
        <v>45232</v>
      </c>
      <c r="C244" s="1" t="n">
        <v>45965</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49818-2022</t>
        </is>
      </c>
      <c r="B245" s="1" t="n">
        <v>44859</v>
      </c>
      <c r="C245" s="1" t="n">
        <v>45965</v>
      </c>
      <c r="D245" t="inlineStr">
        <is>
          <t>JÄMTLANDS LÄN</t>
        </is>
      </c>
      <c r="E245" t="inlineStr">
        <is>
          <t>ÅRE</t>
        </is>
      </c>
      <c r="G245" t="n">
        <v>63</v>
      </c>
      <c r="H245" t="n">
        <v>0</v>
      </c>
      <c r="I245" t="n">
        <v>0</v>
      </c>
      <c r="J245" t="n">
        <v>0</v>
      </c>
      <c r="K245" t="n">
        <v>0</v>
      </c>
      <c r="L245" t="n">
        <v>0</v>
      </c>
      <c r="M245" t="n">
        <v>0</v>
      </c>
      <c r="N245" t="n">
        <v>0</v>
      </c>
      <c r="O245" t="n">
        <v>0</v>
      </c>
      <c r="P245" t="n">
        <v>0</v>
      </c>
      <c r="Q245" t="n">
        <v>0</v>
      </c>
      <c r="R245" s="2" t="inlineStr"/>
    </row>
    <row r="246" ht="15" customHeight="1">
      <c r="A246" t="inlineStr">
        <is>
          <t>A 911-2022</t>
        </is>
      </c>
      <c r="B246" s="1" t="n">
        <v>44570</v>
      </c>
      <c r="C246" s="1" t="n">
        <v>45965</v>
      </c>
      <c r="D246" t="inlineStr">
        <is>
          <t>JÄMTLANDS LÄN</t>
        </is>
      </c>
      <c r="E246" t="inlineStr">
        <is>
          <t>ÅRE</t>
        </is>
      </c>
      <c r="G246" t="n">
        <v>1.2</v>
      </c>
      <c r="H246" t="n">
        <v>0</v>
      </c>
      <c r="I246" t="n">
        <v>0</v>
      </c>
      <c r="J246" t="n">
        <v>0</v>
      </c>
      <c r="K246" t="n">
        <v>0</v>
      </c>
      <c r="L246" t="n">
        <v>0</v>
      </c>
      <c r="M246" t="n">
        <v>0</v>
      </c>
      <c r="N246" t="n">
        <v>0</v>
      </c>
      <c r="O246" t="n">
        <v>0</v>
      </c>
      <c r="P246" t="n">
        <v>0</v>
      </c>
      <c r="Q246" t="n">
        <v>0</v>
      </c>
      <c r="R246" s="2" t="inlineStr"/>
    </row>
    <row r="247" ht="15" customHeight="1">
      <c r="A247" t="inlineStr">
        <is>
          <t>A 34231-2023</t>
        </is>
      </c>
      <c r="B247" s="1" t="n">
        <v>45127</v>
      </c>
      <c r="C247" s="1" t="n">
        <v>45965</v>
      </c>
      <c r="D247" t="inlineStr">
        <is>
          <t>JÄMTLANDS LÄN</t>
        </is>
      </c>
      <c r="E247" t="inlineStr">
        <is>
          <t>ÅRE</t>
        </is>
      </c>
      <c r="G247" t="n">
        <v>18.3</v>
      </c>
      <c r="H247" t="n">
        <v>0</v>
      </c>
      <c r="I247" t="n">
        <v>0</v>
      </c>
      <c r="J247" t="n">
        <v>0</v>
      </c>
      <c r="K247" t="n">
        <v>0</v>
      </c>
      <c r="L247" t="n">
        <v>0</v>
      </c>
      <c r="M247" t="n">
        <v>0</v>
      </c>
      <c r="N247" t="n">
        <v>0</v>
      </c>
      <c r="O247" t="n">
        <v>0</v>
      </c>
      <c r="P247" t="n">
        <v>0</v>
      </c>
      <c r="Q247" t="n">
        <v>0</v>
      </c>
      <c r="R247" s="2" t="inlineStr"/>
    </row>
    <row r="248" ht="15" customHeight="1">
      <c r="A248" t="inlineStr">
        <is>
          <t>A 60899-2022</t>
        </is>
      </c>
      <c r="B248" s="1" t="n">
        <v>44908</v>
      </c>
      <c r="C248" s="1" t="n">
        <v>45965</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59784-2024</t>
        </is>
      </c>
      <c r="B249" s="1" t="n">
        <v>45639.57988425926</v>
      </c>
      <c r="C249" s="1" t="n">
        <v>45965</v>
      </c>
      <c r="D249" t="inlineStr">
        <is>
          <t>JÄMTLANDS LÄN</t>
        </is>
      </c>
      <c r="E249" t="inlineStr">
        <is>
          <t>ÅRE</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53611-2024</t>
        </is>
      </c>
      <c r="B250" s="1" t="n">
        <v>45614.70510416666</v>
      </c>
      <c r="C250" s="1" t="n">
        <v>45965</v>
      </c>
      <c r="D250" t="inlineStr">
        <is>
          <t>JÄMTLANDS LÄN</t>
        </is>
      </c>
      <c r="E250" t="inlineStr">
        <is>
          <t>ÅRE</t>
        </is>
      </c>
      <c r="F250" t="inlineStr">
        <is>
          <t>Övriga Aktiebolag</t>
        </is>
      </c>
      <c r="G250" t="n">
        <v>2.2</v>
      </c>
      <c r="H250" t="n">
        <v>0</v>
      </c>
      <c r="I250" t="n">
        <v>0</v>
      </c>
      <c r="J250" t="n">
        <v>0</v>
      </c>
      <c r="K250" t="n">
        <v>0</v>
      </c>
      <c r="L250" t="n">
        <v>0</v>
      </c>
      <c r="M250" t="n">
        <v>0</v>
      </c>
      <c r="N250" t="n">
        <v>0</v>
      </c>
      <c r="O250" t="n">
        <v>0</v>
      </c>
      <c r="P250" t="n">
        <v>0</v>
      </c>
      <c r="Q250" t="n">
        <v>0</v>
      </c>
      <c r="R250" s="2" t="inlineStr"/>
    </row>
    <row r="251" ht="15" customHeight="1">
      <c r="A251" t="inlineStr">
        <is>
          <t>A 13841-2024</t>
        </is>
      </c>
      <c r="B251" s="1" t="n">
        <v>45391</v>
      </c>
      <c r="C251" s="1" t="n">
        <v>45965</v>
      </c>
      <c r="D251" t="inlineStr">
        <is>
          <t>JÄMTLANDS LÄN</t>
        </is>
      </c>
      <c r="E251" t="inlineStr">
        <is>
          <t>ÅRE</t>
        </is>
      </c>
      <c r="G251" t="n">
        <v>6.7</v>
      </c>
      <c r="H251" t="n">
        <v>0</v>
      </c>
      <c r="I251" t="n">
        <v>0</v>
      </c>
      <c r="J251" t="n">
        <v>0</v>
      </c>
      <c r="K251" t="n">
        <v>0</v>
      </c>
      <c r="L251" t="n">
        <v>0</v>
      </c>
      <c r="M251" t="n">
        <v>0</v>
      </c>
      <c r="N251" t="n">
        <v>0</v>
      </c>
      <c r="O251" t="n">
        <v>0</v>
      </c>
      <c r="P251" t="n">
        <v>0</v>
      </c>
      <c r="Q251" t="n">
        <v>0</v>
      </c>
      <c r="R251" s="2" t="inlineStr"/>
    </row>
    <row r="252" ht="15" customHeight="1">
      <c r="A252" t="inlineStr">
        <is>
          <t>A 17883-2021</t>
        </is>
      </c>
      <c r="B252" s="1" t="n">
        <v>44301</v>
      </c>
      <c r="C252" s="1" t="n">
        <v>45965</v>
      </c>
      <c r="D252" t="inlineStr">
        <is>
          <t>JÄMTLANDS LÄN</t>
        </is>
      </c>
      <c r="E252" t="inlineStr">
        <is>
          <t>ÅRE</t>
        </is>
      </c>
      <c r="F252" t="inlineStr">
        <is>
          <t>Övriga Aktiebolag</t>
        </is>
      </c>
      <c r="G252" t="n">
        <v>6.7</v>
      </c>
      <c r="H252" t="n">
        <v>0</v>
      </c>
      <c r="I252" t="n">
        <v>0</v>
      </c>
      <c r="J252" t="n">
        <v>0</v>
      </c>
      <c r="K252" t="n">
        <v>0</v>
      </c>
      <c r="L252" t="n">
        <v>0</v>
      </c>
      <c r="M252" t="n">
        <v>0</v>
      </c>
      <c r="N252" t="n">
        <v>0</v>
      </c>
      <c r="O252" t="n">
        <v>0</v>
      </c>
      <c r="P252" t="n">
        <v>0</v>
      </c>
      <c r="Q252" t="n">
        <v>0</v>
      </c>
      <c r="R252" s="2" t="inlineStr"/>
    </row>
    <row r="253" ht="15" customHeight="1">
      <c r="A253" t="inlineStr">
        <is>
          <t>A 20804-2024</t>
        </is>
      </c>
      <c r="B253" s="1" t="n">
        <v>45439.30988425926</v>
      </c>
      <c r="C253" s="1" t="n">
        <v>45965</v>
      </c>
      <c r="D253" t="inlineStr">
        <is>
          <t>JÄMTLANDS LÄN</t>
        </is>
      </c>
      <c r="E253" t="inlineStr">
        <is>
          <t>ÅRE</t>
        </is>
      </c>
      <c r="G253" t="n">
        <v>6.4</v>
      </c>
      <c r="H253" t="n">
        <v>0</v>
      </c>
      <c r="I253" t="n">
        <v>0</v>
      </c>
      <c r="J253" t="n">
        <v>0</v>
      </c>
      <c r="K253" t="n">
        <v>0</v>
      </c>
      <c r="L253" t="n">
        <v>0</v>
      </c>
      <c r="M253" t="n">
        <v>0</v>
      </c>
      <c r="N253" t="n">
        <v>0</v>
      </c>
      <c r="O253" t="n">
        <v>0</v>
      </c>
      <c r="P253" t="n">
        <v>0</v>
      </c>
      <c r="Q253" t="n">
        <v>0</v>
      </c>
      <c r="R253" s="2" t="inlineStr"/>
    </row>
    <row r="254" ht="15" customHeight="1">
      <c r="A254" t="inlineStr">
        <is>
          <t>A 6232-2021</t>
        </is>
      </c>
      <c r="B254" s="1" t="n">
        <v>44231</v>
      </c>
      <c r="C254" s="1" t="n">
        <v>45965</v>
      </c>
      <c r="D254" t="inlineStr">
        <is>
          <t>JÄMTLANDS LÄN</t>
        </is>
      </c>
      <c r="E254" t="inlineStr">
        <is>
          <t>ÅRE</t>
        </is>
      </c>
      <c r="G254" t="n">
        <v>7.1</v>
      </c>
      <c r="H254" t="n">
        <v>0</v>
      </c>
      <c r="I254" t="n">
        <v>0</v>
      </c>
      <c r="J254" t="n">
        <v>0</v>
      </c>
      <c r="K254" t="n">
        <v>0</v>
      </c>
      <c r="L254" t="n">
        <v>0</v>
      </c>
      <c r="M254" t="n">
        <v>0</v>
      </c>
      <c r="N254" t="n">
        <v>0</v>
      </c>
      <c r="O254" t="n">
        <v>0</v>
      </c>
      <c r="P254" t="n">
        <v>0</v>
      </c>
      <c r="Q254" t="n">
        <v>0</v>
      </c>
      <c r="R254" s="2" t="inlineStr"/>
    </row>
    <row r="255" ht="15" customHeight="1">
      <c r="A255" t="inlineStr">
        <is>
          <t>A 56910-2022</t>
        </is>
      </c>
      <c r="B255" s="1" t="n">
        <v>44894.59936342593</v>
      </c>
      <c r="C255" s="1" t="n">
        <v>45965</v>
      </c>
      <c r="D255" t="inlineStr">
        <is>
          <t>JÄMTLANDS LÄN</t>
        </is>
      </c>
      <c r="E255" t="inlineStr">
        <is>
          <t>ÅRE</t>
        </is>
      </c>
      <c r="F255" t="inlineStr">
        <is>
          <t>Övriga Aktiebolag</t>
        </is>
      </c>
      <c r="G255" t="n">
        <v>4.9</v>
      </c>
      <c r="H255" t="n">
        <v>0</v>
      </c>
      <c r="I255" t="n">
        <v>0</v>
      </c>
      <c r="J255" t="n">
        <v>0</v>
      </c>
      <c r="K255" t="n">
        <v>0</v>
      </c>
      <c r="L255" t="n">
        <v>0</v>
      </c>
      <c r="M255" t="n">
        <v>0</v>
      </c>
      <c r="N255" t="n">
        <v>0</v>
      </c>
      <c r="O255" t="n">
        <v>0</v>
      </c>
      <c r="P255" t="n">
        <v>0</v>
      </c>
      <c r="Q255" t="n">
        <v>0</v>
      </c>
      <c r="R255" s="2" t="inlineStr"/>
    </row>
    <row r="256" ht="15" customHeight="1">
      <c r="A256" t="inlineStr">
        <is>
          <t>A 56976-2023</t>
        </is>
      </c>
      <c r="B256" s="1" t="n">
        <v>45244.64202546296</v>
      </c>
      <c r="C256" s="1" t="n">
        <v>45965</v>
      </c>
      <c r="D256" t="inlineStr">
        <is>
          <t>JÄMTLANDS LÄN</t>
        </is>
      </c>
      <c r="E256" t="inlineStr">
        <is>
          <t>ÅRE</t>
        </is>
      </c>
      <c r="F256" t="inlineStr">
        <is>
          <t>Övriga Aktiebolag</t>
        </is>
      </c>
      <c r="G256" t="n">
        <v>4.9</v>
      </c>
      <c r="H256" t="n">
        <v>0</v>
      </c>
      <c r="I256" t="n">
        <v>0</v>
      </c>
      <c r="J256" t="n">
        <v>0</v>
      </c>
      <c r="K256" t="n">
        <v>0</v>
      </c>
      <c r="L256" t="n">
        <v>0</v>
      </c>
      <c r="M256" t="n">
        <v>0</v>
      </c>
      <c r="N256" t="n">
        <v>0</v>
      </c>
      <c r="O256" t="n">
        <v>0</v>
      </c>
      <c r="P256" t="n">
        <v>0</v>
      </c>
      <c r="Q256" t="n">
        <v>0</v>
      </c>
      <c r="R256" s="2" t="inlineStr"/>
    </row>
    <row r="257" ht="15" customHeight="1">
      <c r="A257" t="inlineStr">
        <is>
          <t>A 51317-2023</t>
        </is>
      </c>
      <c r="B257" s="1" t="n">
        <v>45219.57061342592</v>
      </c>
      <c r="C257" s="1" t="n">
        <v>45965</v>
      </c>
      <c r="D257" t="inlineStr">
        <is>
          <t>JÄMTLANDS LÄN</t>
        </is>
      </c>
      <c r="E257" t="inlineStr">
        <is>
          <t>ÅRE</t>
        </is>
      </c>
      <c r="G257" t="n">
        <v>2.9</v>
      </c>
      <c r="H257" t="n">
        <v>0</v>
      </c>
      <c r="I257" t="n">
        <v>0</v>
      </c>
      <c r="J257" t="n">
        <v>0</v>
      </c>
      <c r="K257" t="n">
        <v>0</v>
      </c>
      <c r="L257" t="n">
        <v>0</v>
      </c>
      <c r="M257" t="n">
        <v>0</v>
      </c>
      <c r="N257" t="n">
        <v>0</v>
      </c>
      <c r="O257" t="n">
        <v>0</v>
      </c>
      <c r="P257" t="n">
        <v>0</v>
      </c>
      <c r="Q257" t="n">
        <v>0</v>
      </c>
      <c r="R257" s="2" t="inlineStr"/>
    </row>
    <row r="258" ht="15" customHeight="1">
      <c r="A258" t="inlineStr">
        <is>
          <t>A 56576-2022</t>
        </is>
      </c>
      <c r="B258" s="1" t="n">
        <v>44893</v>
      </c>
      <c r="C258" s="1" t="n">
        <v>45965</v>
      </c>
      <c r="D258" t="inlineStr">
        <is>
          <t>JÄMTLANDS LÄN</t>
        </is>
      </c>
      <c r="E258" t="inlineStr">
        <is>
          <t>ÅRE</t>
        </is>
      </c>
      <c r="F258" t="inlineStr">
        <is>
          <t>Övriga Aktiebolag</t>
        </is>
      </c>
      <c r="G258" t="n">
        <v>1.1</v>
      </c>
      <c r="H258" t="n">
        <v>0</v>
      </c>
      <c r="I258" t="n">
        <v>0</v>
      </c>
      <c r="J258" t="n">
        <v>0</v>
      </c>
      <c r="K258" t="n">
        <v>0</v>
      </c>
      <c r="L258" t="n">
        <v>0</v>
      </c>
      <c r="M258" t="n">
        <v>0</v>
      </c>
      <c r="N258" t="n">
        <v>0</v>
      </c>
      <c r="O258" t="n">
        <v>0</v>
      </c>
      <c r="P258" t="n">
        <v>0</v>
      </c>
      <c r="Q258" t="n">
        <v>0</v>
      </c>
      <c r="R258" s="2" t="inlineStr"/>
    </row>
    <row r="259" ht="15" customHeight="1">
      <c r="A259" t="inlineStr">
        <is>
          <t>A 56609-2023</t>
        </is>
      </c>
      <c r="B259" s="1" t="n">
        <v>45243.66828703704</v>
      </c>
      <c r="C259" s="1" t="n">
        <v>45965</v>
      </c>
      <c r="D259" t="inlineStr">
        <is>
          <t>JÄMTLANDS LÄN</t>
        </is>
      </c>
      <c r="E259" t="inlineStr">
        <is>
          <t>ÅRE</t>
        </is>
      </c>
      <c r="G259" t="n">
        <v>17.9</v>
      </c>
      <c r="H259" t="n">
        <v>0</v>
      </c>
      <c r="I259" t="n">
        <v>0</v>
      </c>
      <c r="J259" t="n">
        <v>0</v>
      </c>
      <c r="K259" t="n">
        <v>0</v>
      </c>
      <c r="L259" t="n">
        <v>0</v>
      </c>
      <c r="M259" t="n">
        <v>0</v>
      </c>
      <c r="N259" t="n">
        <v>0</v>
      </c>
      <c r="O259" t="n">
        <v>0</v>
      </c>
      <c r="P259" t="n">
        <v>0</v>
      </c>
      <c r="Q259" t="n">
        <v>0</v>
      </c>
      <c r="R259" s="2" t="inlineStr"/>
    </row>
    <row r="260" ht="15" customHeight="1">
      <c r="A260" t="inlineStr">
        <is>
          <t>A 28817-2021</t>
        </is>
      </c>
      <c r="B260" s="1" t="n">
        <v>44357</v>
      </c>
      <c r="C260" s="1" t="n">
        <v>45965</v>
      </c>
      <c r="D260" t="inlineStr">
        <is>
          <t>JÄMTLANDS LÄN</t>
        </is>
      </c>
      <c r="E260" t="inlineStr">
        <is>
          <t>ÅRE</t>
        </is>
      </c>
      <c r="G260" t="n">
        <v>21.4</v>
      </c>
      <c r="H260" t="n">
        <v>0</v>
      </c>
      <c r="I260" t="n">
        <v>0</v>
      </c>
      <c r="J260" t="n">
        <v>0</v>
      </c>
      <c r="K260" t="n">
        <v>0</v>
      </c>
      <c r="L260" t="n">
        <v>0</v>
      </c>
      <c r="M260" t="n">
        <v>0</v>
      </c>
      <c r="N260" t="n">
        <v>0</v>
      </c>
      <c r="O260" t="n">
        <v>0</v>
      </c>
      <c r="P260" t="n">
        <v>0</v>
      </c>
      <c r="Q260" t="n">
        <v>0</v>
      </c>
      <c r="R260" s="2" t="inlineStr"/>
    </row>
    <row r="261" ht="15" customHeight="1">
      <c r="A261" t="inlineStr">
        <is>
          <t>A 12944-2024</t>
        </is>
      </c>
      <c r="B261" s="1" t="n">
        <v>45385</v>
      </c>
      <c r="C261" s="1" t="n">
        <v>45965</v>
      </c>
      <c r="D261" t="inlineStr">
        <is>
          <t>JÄMTLANDS LÄN</t>
        </is>
      </c>
      <c r="E261" t="inlineStr">
        <is>
          <t>ÅRE</t>
        </is>
      </c>
      <c r="G261" t="n">
        <v>1.9</v>
      </c>
      <c r="H261" t="n">
        <v>0</v>
      </c>
      <c r="I261" t="n">
        <v>0</v>
      </c>
      <c r="J261" t="n">
        <v>0</v>
      </c>
      <c r="K261" t="n">
        <v>0</v>
      </c>
      <c r="L261" t="n">
        <v>0</v>
      </c>
      <c r="M261" t="n">
        <v>0</v>
      </c>
      <c r="N261" t="n">
        <v>0</v>
      </c>
      <c r="O261" t="n">
        <v>0</v>
      </c>
      <c r="P261" t="n">
        <v>0</v>
      </c>
      <c r="Q261" t="n">
        <v>0</v>
      </c>
      <c r="R261" s="2" t="inlineStr"/>
    </row>
    <row r="262" ht="15" customHeight="1">
      <c r="A262" t="inlineStr">
        <is>
          <t>A 47069-2024</t>
        </is>
      </c>
      <c r="B262" s="1" t="n">
        <v>45586.48003472222</v>
      </c>
      <c r="C262" s="1" t="n">
        <v>45965</v>
      </c>
      <c r="D262" t="inlineStr">
        <is>
          <t>JÄMTLANDS LÄN</t>
        </is>
      </c>
      <c r="E262" t="inlineStr">
        <is>
          <t>ÅRE</t>
        </is>
      </c>
      <c r="G262" t="n">
        <v>7.1</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45965</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13082-2025</t>
        </is>
      </c>
      <c r="B264" s="1" t="n">
        <v>45734.62666666666</v>
      </c>
      <c r="C264" s="1" t="n">
        <v>45965</v>
      </c>
      <c r="D264" t="inlineStr">
        <is>
          <t>JÄMTLANDS LÄN</t>
        </is>
      </c>
      <c r="E264" t="inlineStr">
        <is>
          <t>ÅRE</t>
        </is>
      </c>
      <c r="G264" t="n">
        <v>3.5</v>
      </c>
      <c r="H264" t="n">
        <v>0</v>
      </c>
      <c r="I264" t="n">
        <v>0</v>
      </c>
      <c r="J264" t="n">
        <v>0</v>
      </c>
      <c r="K264" t="n">
        <v>0</v>
      </c>
      <c r="L264" t="n">
        <v>0</v>
      </c>
      <c r="M264" t="n">
        <v>0</v>
      </c>
      <c r="N264" t="n">
        <v>0</v>
      </c>
      <c r="O264" t="n">
        <v>0</v>
      </c>
      <c r="P264" t="n">
        <v>0</v>
      </c>
      <c r="Q264" t="n">
        <v>0</v>
      </c>
      <c r="R264" s="2" t="inlineStr"/>
    </row>
    <row r="265" ht="15" customHeight="1">
      <c r="A265" t="inlineStr">
        <is>
          <t>A 17576-2024</t>
        </is>
      </c>
      <c r="B265" s="1" t="n">
        <v>45415</v>
      </c>
      <c r="C265" s="1" t="n">
        <v>45965</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15482-2024</t>
        </is>
      </c>
      <c r="B266" s="1" t="n">
        <v>45401.49361111111</v>
      </c>
      <c r="C266" s="1" t="n">
        <v>45965</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8443-2023</t>
        </is>
      </c>
      <c r="B267" s="1" t="n">
        <v>44977</v>
      </c>
      <c r="C267" s="1" t="n">
        <v>45965</v>
      </c>
      <c r="D267" t="inlineStr">
        <is>
          <t>JÄMTLANDS LÄN</t>
        </is>
      </c>
      <c r="E267" t="inlineStr">
        <is>
          <t>ÅRE</t>
        </is>
      </c>
      <c r="F267" t="inlineStr">
        <is>
          <t>Övriga Aktiebolag</t>
        </is>
      </c>
      <c r="G267" t="n">
        <v>1.1</v>
      </c>
      <c r="H267" t="n">
        <v>0</v>
      </c>
      <c r="I267" t="n">
        <v>0</v>
      </c>
      <c r="J267" t="n">
        <v>0</v>
      </c>
      <c r="K267" t="n">
        <v>0</v>
      </c>
      <c r="L267" t="n">
        <v>0</v>
      </c>
      <c r="M267" t="n">
        <v>0</v>
      </c>
      <c r="N267" t="n">
        <v>0</v>
      </c>
      <c r="O267" t="n">
        <v>0</v>
      </c>
      <c r="P267" t="n">
        <v>0</v>
      </c>
      <c r="Q267" t="n">
        <v>0</v>
      </c>
      <c r="R267" s="2" t="inlineStr"/>
    </row>
    <row r="268" ht="15" customHeight="1">
      <c r="A268" t="inlineStr">
        <is>
          <t>A 20170-2025</t>
        </is>
      </c>
      <c r="B268" s="1" t="n">
        <v>45772.57789351852</v>
      </c>
      <c r="C268" s="1" t="n">
        <v>45965</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30379-2024</t>
        </is>
      </c>
      <c r="B269" s="1" t="n">
        <v>45491.43815972222</v>
      </c>
      <c r="C269" s="1" t="n">
        <v>45965</v>
      </c>
      <c r="D269" t="inlineStr">
        <is>
          <t>JÄMTLANDS LÄN</t>
        </is>
      </c>
      <c r="E269" t="inlineStr">
        <is>
          <t>ÅRE</t>
        </is>
      </c>
      <c r="G269" t="n">
        <v>2.4</v>
      </c>
      <c r="H269" t="n">
        <v>0</v>
      </c>
      <c r="I269" t="n">
        <v>0</v>
      </c>
      <c r="J269" t="n">
        <v>0</v>
      </c>
      <c r="K269" t="n">
        <v>0</v>
      </c>
      <c r="L269" t="n">
        <v>0</v>
      </c>
      <c r="M269" t="n">
        <v>0</v>
      </c>
      <c r="N269" t="n">
        <v>0</v>
      </c>
      <c r="O269" t="n">
        <v>0</v>
      </c>
      <c r="P269" t="n">
        <v>0</v>
      </c>
      <c r="Q269" t="n">
        <v>0</v>
      </c>
      <c r="R269" s="2" t="inlineStr"/>
    </row>
    <row r="270" ht="15" customHeight="1">
      <c r="A270" t="inlineStr">
        <is>
          <t>A 11500-2022</t>
        </is>
      </c>
      <c r="B270" s="1" t="n">
        <v>44631</v>
      </c>
      <c r="C270" s="1" t="n">
        <v>45965</v>
      </c>
      <c r="D270" t="inlineStr">
        <is>
          <t>JÄMTLANDS LÄN</t>
        </is>
      </c>
      <c r="E270" t="inlineStr">
        <is>
          <t>ÅRE</t>
        </is>
      </c>
      <c r="G270" t="n">
        <v>0.5</v>
      </c>
      <c r="H270" t="n">
        <v>0</v>
      </c>
      <c r="I270" t="n">
        <v>0</v>
      </c>
      <c r="J270" t="n">
        <v>0</v>
      </c>
      <c r="K270" t="n">
        <v>0</v>
      </c>
      <c r="L270" t="n">
        <v>0</v>
      </c>
      <c r="M270" t="n">
        <v>0</v>
      </c>
      <c r="N270" t="n">
        <v>0</v>
      </c>
      <c r="O270" t="n">
        <v>0</v>
      </c>
      <c r="P270" t="n">
        <v>0</v>
      </c>
      <c r="Q270" t="n">
        <v>0</v>
      </c>
      <c r="R270" s="2" t="inlineStr"/>
    </row>
    <row r="271" ht="15" customHeight="1">
      <c r="A271" t="inlineStr">
        <is>
          <t>A 23117-2022</t>
        </is>
      </c>
      <c r="B271" s="1" t="n">
        <v>44719.56572916666</v>
      </c>
      <c r="C271" s="1" t="n">
        <v>45965</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34357-2021</t>
        </is>
      </c>
      <c r="B272" s="1" t="n">
        <v>44379</v>
      </c>
      <c r="C272" s="1" t="n">
        <v>45965</v>
      </c>
      <c r="D272" t="inlineStr">
        <is>
          <t>JÄMTLANDS LÄN</t>
        </is>
      </c>
      <c r="E272" t="inlineStr">
        <is>
          <t>ÅRE</t>
        </is>
      </c>
      <c r="G272" t="n">
        <v>7.1</v>
      </c>
      <c r="H272" t="n">
        <v>0</v>
      </c>
      <c r="I272" t="n">
        <v>0</v>
      </c>
      <c r="J272" t="n">
        <v>0</v>
      </c>
      <c r="K272" t="n">
        <v>0</v>
      </c>
      <c r="L272" t="n">
        <v>0</v>
      </c>
      <c r="M272" t="n">
        <v>0</v>
      </c>
      <c r="N272" t="n">
        <v>0</v>
      </c>
      <c r="O272" t="n">
        <v>0</v>
      </c>
      <c r="P272" t="n">
        <v>0</v>
      </c>
      <c r="Q272" t="n">
        <v>0</v>
      </c>
      <c r="R272" s="2" t="inlineStr"/>
    </row>
    <row r="273" ht="15" customHeight="1">
      <c r="A273" t="inlineStr">
        <is>
          <t>A 10567-2025</t>
        </is>
      </c>
      <c r="B273" s="1" t="n">
        <v>45714</v>
      </c>
      <c r="C273" s="1" t="n">
        <v>45965</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12182-2023</t>
        </is>
      </c>
      <c r="B274" s="1" t="n">
        <v>44998</v>
      </c>
      <c r="C274" s="1" t="n">
        <v>45965</v>
      </c>
      <c r="D274" t="inlineStr">
        <is>
          <t>JÄMTLANDS LÄN</t>
        </is>
      </c>
      <c r="E274" t="inlineStr">
        <is>
          <t>ÅRE</t>
        </is>
      </c>
      <c r="G274" t="n">
        <v>11.7</v>
      </c>
      <c r="H274" t="n">
        <v>0</v>
      </c>
      <c r="I274" t="n">
        <v>0</v>
      </c>
      <c r="J274" t="n">
        <v>0</v>
      </c>
      <c r="K274" t="n">
        <v>0</v>
      </c>
      <c r="L274" t="n">
        <v>0</v>
      </c>
      <c r="M274" t="n">
        <v>0</v>
      </c>
      <c r="N274" t="n">
        <v>0</v>
      </c>
      <c r="O274" t="n">
        <v>0</v>
      </c>
      <c r="P274" t="n">
        <v>0</v>
      </c>
      <c r="Q274" t="n">
        <v>0</v>
      </c>
      <c r="R274" s="2" t="inlineStr"/>
    </row>
    <row r="275" ht="15" customHeight="1">
      <c r="A275" t="inlineStr">
        <is>
          <t>A 69170-2021</t>
        </is>
      </c>
      <c r="B275" s="1" t="n">
        <v>44529</v>
      </c>
      <c r="C275" s="1" t="n">
        <v>45965</v>
      </c>
      <c r="D275" t="inlineStr">
        <is>
          <t>JÄMTLANDS LÄN</t>
        </is>
      </c>
      <c r="E275" t="inlineStr">
        <is>
          <t>ÅRE</t>
        </is>
      </c>
      <c r="G275" t="n">
        <v>114.4</v>
      </c>
      <c r="H275" t="n">
        <v>0</v>
      </c>
      <c r="I275" t="n">
        <v>0</v>
      </c>
      <c r="J275" t="n">
        <v>0</v>
      </c>
      <c r="K275" t="n">
        <v>0</v>
      </c>
      <c r="L275" t="n">
        <v>0</v>
      </c>
      <c r="M275" t="n">
        <v>0</v>
      </c>
      <c r="N275" t="n">
        <v>0</v>
      </c>
      <c r="O275" t="n">
        <v>0</v>
      </c>
      <c r="P275" t="n">
        <v>0</v>
      </c>
      <c r="Q275" t="n">
        <v>0</v>
      </c>
      <c r="R275" s="2" t="inlineStr"/>
    </row>
    <row r="276" ht="15" customHeight="1">
      <c r="A276" t="inlineStr">
        <is>
          <t>A 38456-2021</t>
        </is>
      </c>
      <c r="B276" s="1" t="n">
        <v>44406</v>
      </c>
      <c r="C276" s="1" t="n">
        <v>45965</v>
      </c>
      <c r="D276" t="inlineStr">
        <is>
          <t>JÄMTLANDS LÄN</t>
        </is>
      </c>
      <c r="E276" t="inlineStr">
        <is>
          <t>ÅRE</t>
        </is>
      </c>
      <c r="G276" t="n">
        <v>19.8</v>
      </c>
      <c r="H276" t="n">
        <v>0</v>
      </c>
      <c r="I276" t="n">
        <v>0</v>
      </c>
      <c r="J276" t="n">
        <v>0</v>
      </c>
      <c r="K276" t="n">
        <v>0</v>
      </c>
      <c r="L276" t="n">
        <v>0</v>
      </c>
      <c r="M276" t="n">
        <v>0</v>
      </c>
      <c r="N276" t="n">
        <v>0</v>
      </c>
      <c r="O276" t="n">
        <v>0</v>
      </c>
      <c r="P276" t="n">
        <v>0</v>
      </c>
      <c r="Q276" t="n">
        <v>0</v>
      </c>
      <c r="R276" s="2" t="inlineStr"/>
    </row>
    <row r="277" ht="15" customHeight="1">
      <c r="A277" t="inlineStr">
        <is>
          <t>A 25926-2023</t>
        </is>
      </c>
      <c r="B277" s="1" t="n">
        <v>45085</v>
      </c>
      <c r="C277" s="1" t="n">
        <v>45965</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52470-2022</t>
        </is>
      </c>
      <c r="B278" s="1" t="n">
        <v>44874.48167824074</v>
      </c>
      <c r="C278" s="1" t="n">
        <v>45965</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13559-2025</t>
        </is>
      </c>
      <c r="B279" s="1" t="n">
        <v>45736.55288194444</v>
      </c>
      <c r="C279" s="1" t="n">
        <v>45965</v>
      </c>
      <c r="D279" t="inlineStr">
        <is>
          <t>JÄMTLANDS LÄN</t>
        </is>
      </c>
      <c r="E279" t="inlineStr">
        <is>
          <t>ÅRE</t>
        </is>
      </c>
      <c r="F279" t="inlineStr">
        <is>
          <t>Övriga statliga verk och myndigheter</t>
        </is>
      </c>
      <c r="G279" t="n">
        <v>0.4</v>
      </c>
      <c r="H279" t="n">
        <v>0</v>
      </c>
      <c r="I279" t="n">
        <v>0</v>
      </c>
      <c r="J279" t="n">
        <v>0</v>
      </c>
      <c r="K279" t="n">
        <v>0</v>
      </c>
      <c r="L279" t="n">
        <v>0</v>
      </c>
      <c r="M279" t="n">
        <v>0</v>
      </c>
      <c r="N279" t="n">
        <v>0</v>
      </c>
      <c r="O279" t="n">
        <v>0</v>
      </c>
      <c r="P279" t="n">
        <v>0</v>
      </c>
      <c r="Q279" t="n">
        <v>0</v>
      </c>
      <c r="R279" s="2" t="inlineStr"/>
    </row>
    <row r="280" ht="15" customHeight="1">
      <c r="A280" t="inlineStr">
        <is>
          <t>A 58232-2021</t>
        </is>
      </c>
      <c r="B280" s="1" t="n">
        <v>44487</v>
      </c>
      <c r="C280" s="1" t="n">
        <v>45965</v>
      </c>
      <c r="D280" t="inlineStr">
        <is>
          <t>JÄMTLANDS LÄN</t>
        </is>
      </c>
      <c r="E280" t="inlineStr">
        <is>
          <t>ÅRE</t>
        </is>
      </c>
      <c r="G280" t="n">
        <v>43.7</v>
      </c>
      <c r="H280" t="n">
        <v>0</v>
      </c>
      <c r="I280" t="n">
        <v>0</v>
      </c>
      <c r="J280" t="n">
        <v>0</v>
      </c>
      <c r="K280" t="n">
        <v>0</v>
      </c>
      <c r="L280" t="n">
        <v>0</v>
      </c>
      <c r="M280" t="n">
        <v>0</v>
      </c>
      <c r="N280" t="n">
        <v>0</v>
      </c>
      <c r="O280" t="n">
        <v>0</v>
      </c>
      <c r="P280" t="n">
        <v>0</v>
      </c>
      <c r="Q280" t="n">
        <v>0</v>
      </c>
      <c r="R280" s="2" t="inlineStr"/>
    </row>
    <row r="281" ht="15" customHeight="1">
      <c r="A281" t="inlineStr">
        <is>
          <t>A 52707-2022</t>
        </is>
      </c>
      <c r="B281" s="1" t="n">
        <v>44874</v>
      </c>
      <c r="C281" s="1" t="n">
        <v>45965</v>
      </c>
      <c r="D281" t="inlineStr">
        <is>
          <t>JÄMTLANDS LÄN</t>
        </is>
      </c>
      <c r="E281" t="inlineStr">
        <is>
          <t>ÅRE</t>
        </is>
      </c>
      <c r="F281" t="inlineStr">
        <is>
          <t>Övriga Aktiebolag</t>
        </is>
      </c>
      <c r="G281" t="n">
        <v>2.3</v>
      </c>
      <c r="H281" t="n">
        <v>0</v>
      </c>
      <c r="I281" t="n">
        <v>0</v>
      </c>
      <c r="J281" t="n">
        <v>0</v>
      </c>
      <c r="K281" t="n">
        <v>0</v>
      </c>
      <c r="L281" t="n">
        <v>0</v>
      </c>
      <c r="M281" t="n">
        <v>0</v>
      </c>
      <c r="N281" t="n">
        <v>0</v>
      </c>
      <c r="O281" t="n">
        <v>0</v>
      </c>
      <c r="P281" t="n">
        <v>0</v>
      </c>
      <c r="Q281" t="n">
        <v>0</v>
      </c>
      <c r="R281" s="2" t="inlineStr"/>
    </row>
    <row r="282" ht="15" customHeight="1">
      <c r="A282" t="inlineStr">
        <is>
          <t>A 56842-2022</t>
        </is>
      </c>
      <c r="B282" s="1" t="n">
        <v>44894.47856481482</v>
      </c>
      <c r="C282" s="1" t="n">
        <v>45965</v>
      </c>
      <c r="D282" t="inlineStr">
        <is>
          <t>JÄMTLANDS LÄN</t>
        </is>
      </c>
      <c r="E282" t="inlineStr">
        <is>
          <t>ÅRE</t>
        </is>
      </c>
      <c r="F282" t="inlineStr">
        <is>
          <t>Övriga Aktiebolag</t>
        </is>
      </c>
      <c r="G282" t="n">
        <v>7.9</v>
      </c>
      <c r="H282" t="n">
        <v>0</v>
      </c>
      <c r="I282" t="n">
        <v>0</v>
      </c>
      <c r="J282" t="n">
        <v>0</v>
      </c>
      <c r="K282" t="n">
        <v>0</v>
      </c>
      <c r="L282" t="n">
        <v>0</v>
      </c>
      <c r="M282" t="n">
        <v>0</v>
      </c>
      <c r="N282" t="n">
        <v>0</v>
      </c>
      <c r="O282" t="n">
        <v>0</v>
      </c>
      <c r="P282" t="n">
        <v>0</v>
      </c>
      <c r="Q282" t="n">
        <v>0</v>
      </c>
      <c r="R282" s="2" t="inlineStr"/>
    </row>
    <row r="283" ht="15" customHeight="1">
      <c r="A283" t="inlineStr">
        <is>
          <t>A 46976-2024</t>
        </is>
      </c>
      <c r="B283" s="1" t="n">
        <v>45586</v>
      </c>
      <c r="C283" s="1" t="n">
        <v>45965</v>
      </c>
      <c r="D283" t="inlineStr">
        <is>
          <t>JÄMTLANDS LÄN</t>
        </is>
      </c>
      <c r="E283" t="inlineStr">
        <is>
          <t>ÅRE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3066-2023</t>
        </is>
      </c>
      <c r="B284" s="1" t="n">
        <v>44946</v>
      </c>
      <c r="C284" s="1" t="n">
        <v>45965</v>
      </c>
      <c r="D284" t="inlineStr">
        <is>
          <t>JÄMTLANDS LÄN</t>
        </is>
      </c>
      <c r="E284" t="inlineStr">
        <is>
          <t>ÅRE</t>
        </is>
      </c>
      <c r="G284" t="n">
        <v>1.3</v>
      </c>
      <c r="H284" t="n">
        <v>0</v>
      </c>
      <c r="I284" t="n">
        <v>0</v>
      </c>
      <c r="J284" t="n">
        <v>0</v>
      </c>
      <c r="K284" t="n">
        <v>0</v>
      </c>
      <c r="L284" t="n">
        <v>0</v>
      </c>
      <c r="M284" t="n">
        <v>0</v>
      </c>
      <c r="N284" t="n">
        <v>0</v>
      </c>
      <c r="O284" t="n">
        <v>0</v>
      </c>
      <c r="P284" t="n">
        <v>0</v>
      </c>
      <c r="Q284" t="n">
        <v>0</v>
      </c>
      <c r="R284" s="2" t="inlineStr"/>
    </row>
    <row r="285" ht="15" customHeight="1">
      <c r="A285" t="inlineStr">
        <is>
          <t>A 3149-2023</t>
        </is>
      </c>
      <c r="B285" s="1" t="n">
        <v>44946.5500925926</v>
      </c>
      <c r="C285" s="1" t="n">
        <v>45965</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45965</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13039-2024</t>
        </is>
      </c>
      <c r="B287" s="1" t="n">
        <v>45385</v>
      </c>
      <c r="C287" s="1" t="n">
        <v>45965</v>
      </c>
      <c r="D287" t="inlineStr">
        <is>
          <t>JÄMTLANDS LÄN</t>
        </is>
      </c>
      <c r="E287" t="inlineStr">
        <is>
          <t>ÅRE</t>
        </is>
      </c>
      <c r="G287" t="n">
        <v>1.8</v>
      </c>
      <c r="H287" t="n">
        <v>0</v>
      </c>
      <c r="I287" t="n">
        <v>0</v>
      </c>
      <c r="J287" t="n">
        <v>0</v>
      </c>
      <c r="K287" t="n">
        <v>0</v>
      </c>
      <c r="L287" t="n">
        <v>0</v>
      </c>
      <c r="M287" t="n">
        <v>0</v>
      </c>
      <c r="N287" t="n">
        <v>0</v>
      </c>
      <c r="O287" t="n">
        <v>0</v>
      </c>
      <c r="P287" t="n">
        <v>0</v>
      </c>
      <c r="Q287" t="n">
        <v>0</v>
      </c>
      <c r="R287" s="2" t="inlineStr"/>
    </row>
    <row r="288" ht="15" customHeight="1">
      <c r="A288" t="inlineStr">
        <is>
          <t>A 1414-2023</t>
        </is>
      </c>
      <c r="B288" s="1" t="n">
        <v>44936</v>
      </c>
      <c r="C288" s="1" t="n">
        <v>45965</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55056-2024</t>
        </is>
      </c>
      <c r="B289" s="1" t="n">
        <v>45621.40034722222</v>
      </c>
      <c r="C289" s="1" t="n">
        <v>45965</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52427-2021</t>
        </is>
      </c>
      <c r="B290" s="1" t="n">
        <v>44466.34178240741</v>
      </c>
      <c r="C290" s="1" t="n">
        <v>45965</v>
      </c>
      <c r="D290" t="inlineStr">
        <is>
          <t>JÄMTLANDS LÄN</t>
        </is>
      </c>
      <c r="E290" t="inlineStr">
        <is>
          <t>ÅRE</t>
        </is>
      </c>
      <c r="G290" t="n">
        <v>4</v>
      </c>
      <c r="H290" t="n">
        <v>0</v>
      </c>
      <c r="I290" t="n">
        <v>0</v>
      </c>
      <c r="J290" t="n">
        <v>0</v>
      </c>
      <c r="K290" t="n">
        <v>0</v>
      </c>
      <c r="L290" t="n">
        <v>0</v>
      </c>
      <c r="M290" t="n">
        <v>0</v>
      </c>
      <c r="N290" t="n">
        <v>0</v>
      </c>
      <c r="O290" t="n">
        <v>0</v>
      </c>
      <c r="P290" t="n">
        <v>0</v>
      </c>
      <c r="Q290" t="n">
        <v>0</v>
      </c>
      <c r="R290" s="2" t="inlineStr"/>
    </row>
    <row r="291" ht="15" customHeight="1">
      <c r="A291" t="inlineStr">
        <is>
          <t>A 39069-2024</t>
        </is>
      </c>
      <c r="B291" s="1" t="n">
        <v>45548.53166666667</v>
      </c>
      <c r="C291" s="1" t="n">
        <v>45965</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25122-2022</t>
        </is>
      </c>
      <c r="B292" s="1" t="n">
        <v>44729</v>
      </c>
      <c r="C292" s="1" t="n">
        <v>45965</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9312-2025</t>
        </is>
      </c>
      <c r="B293" s="1" t="n">
        <v>45714.68869212963</v>
      </c>
      <c r="C293" s="1" t="n">
        <v>45965</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64237-2021</t>
        </is>
      </c>
      <c r="B294" s="1" t="n">
        <v>44510</v>
      </c>
      <c r="C294" s="1" t="n">
        <v>45965</v>
      </c>
      <c r="D294" t="inlineStr">
        <is>
          <t>JÄMTLANDS LÄN</t>
        </is>
      </c>
      <c r="E294" t="inlineStr">
        <is>
          <t>ÅRE</t>
        </is>
      </c>
      <c r="G294" t="n">
        <v>2.7</v>
      </c>
      <c r="H294" t="n">
        <v>0</v>
      </c>
      <c r="I294" t="n">
        <v>0</v>
      </c>
      <c r="J294" t="n">
        <v>0</v>
      </c>
      <c r="K294" t="n">
        <v>0</v>
      </c>
      <c r="L294" t="n">
        <v>0</v>
      </c>
      <c r="M294" t="n">
        <v>0</v>
      </c>
      <c r="N294" t="n">
        <v>0</v>
      </c>
      <c r="O294" t="n">
        <v>0</v>
      </c>
      <c r="P294" t="n">
        <v>0</v>
      </c>
      <c r="Q294" t="n">
        <v>0</v>
      </c>
      <c r="R294" s="2" t="inlineStr"/>
    </row>
    <row r="295" ht="15" customHeight="1">
      <c r="A295" t="inlineStr">
        <is>
          <t>A 54164-2023</t>
        </is>
      </c>
      <c r="B295" s="1" t="n">
        <v>45232.47815972222</v>
      </c>
      <c r="C295" s="1" t="n">
        <v>45965</v>
      </c>
      <c r="D295" t="inlineStr">
        <is>
          <t>JÄMTLANDS LÄN</t>
        </is>
      </c>
      <c r="E295" t="inlineStr">
        <is>
          <t>ÅRE</t>
        </is>
      </c>
      <c r="G295" t="n">
        <v>2.6</v>
      </c>
      <c r="H295" t="n">
        <v>0</v>
      </c>
      <c r="I295" t="n">
        <v>0</v>
      </c>
      <c r="J295" t="n">
        <v>0</v>
      </c>
      <c r="K295" t="n">
        <v>0</v>
      </c>
      <c r="L295" t="n">
        <v>0</v>
      </c>
      <c r="M295" t="n">
        <v>0</v>
      </c>
      <c r="N295" t="n">
        <v>0</v>
      </c>
      <c r="O295" t="n">
        <v>0</v>
      </c>
      <c r="P295" t="n">
        <v>0</v>
      </c>
      <c r="Q295" t="n">
        <v>0</v>
      </c>
      <c r="R295" s="2" t="inlineStr"/>
    </row>
    <row r="296" ht="15" customHeight="1">
      <c r="A296" t="inlineStr">
        <is>
          <t>A 67270-2020</t>
        </is>
      </c>
      <c r="B296" s="1" t="n">
        <v>44179</v>
      </c>
      <c r="C296" s="1" t="n">
        <v>45965</v>
      </c>
      <c r="D296" t="inlineStr">
        <is>
          <t>JÄMTLANDS LÄN</t>
        </is>
      </c>
      <c r="E296" t="inlineStr">
        <is>
          <t>ÅRE</t>
        </is>
      </c>
      <c r="G296" t="n">
        <v>4.2</v>
      </c>
      <c r="H296" t="n">
        <v>0</v>
      </c>
      <c r="I296" t="n">
        <v>0</v>
      </c>
      <c r="J296" t="n">
        <v>0</v>
      </c>
      <c r="K296" t="n">
        <v>0</v>
      </c>
      <c r="L296" t="n">
        <v>0</v>
      </c>
      <c r="M296" t="n">
        <v>0</v>
      </c>
      <c r="N296" t="n">
        <v>0</v>
      </c>
      <c r="O296" t="n">
        <v>0</v>
      </c>
      <c r="P296" t="n">
        <v>0</v>
      </c>
      <c r="Q296" t="n">
        <v>0</v>
      </c>
      <c r="R296" s="2" t="inlineStr"/>
    </row>
    <row r="297" ht="15" customHeight="1">
      <c r="A297" t="inlineStr">
        <is>
          <t>A 64758-2023</t>
        </is>
      </c>
      <c r="B297" s="1" t="n">
        <v>45281</v>
      </c>
      <c r="C297" s="1" t="n">
        <v>45965</v>
      </c>
      <c r="D297" t="inlineStr">
        <is>
          <t>JÄMTLANDS LÄN</t>
        </is>
      </c>
      <c r="E297" t="inlineStr">
        <is>
          <t>ÅRE</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49267-2024</t>
        </is>
      </c>
      <c r="B298" s="1" t="n">
        <v>45595</v>
      </c>
      <c r="C298" s="1" t="n">
        <v>45965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43324-2022</t>
        </is>
      </c>
      <c r="B299" s="1" t="n">
        <v>44834</v>
      </c>
      <c r="C299" s="1" t="n">
        <v>45965</v>
      </c>
      <c r="D299" t="inlineStr">
        <is>
          <t>JÄMTLANDS LÄN</t>
        </is>
      </c>
      <c r="E299" t="inlineStr">
        <is>
          <t>ÅRE</t>
        </is>
      </c>
      <c r="F299" t="inlineStr">
        <is>
          <t>Bergvik skog öst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66755-2020</t>
        </is>
      </c>
      <c r="B300" s="1" t="n">
        <v>44179</v>
      </c>
      <c r="C300" s="1" t="n">
        <v>45965</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29294-2023</t>
        </is>
      </c>
      <c r="B301" s="1" t="n">
        <v>45098</v>
      </c>
      <c r="C301" s="1" t="n">
        <v>45965</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7970-2023</t>
        </is>
      </c>
      <c r="B302" s="1" t="n">
        <v>44970</v>
      </c>
      <c r="C302" s="1" t="n">
        <v>45965</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58758-2022</t>
        </is>
      </c>
      <c r="B303" s="1" t="n">
        <v>44903</v>
      </c>
      <c r="C303" s="1" t="n">
        <v>45965</v>
      </c>
      <c r="D303" t="inlineStr">
        <is>
          <t>JÄMTLANDS LÄN</t>
        </is>
      </c>
      <c r="E303" t="inlineStr">
        <is>
          <t>ÅRE</t>
        </is>
      </c>
      <c r="F303" t="inlineStr">
        <is>
          <t>Övriga Aktiebolag</t>
        </is>
      </c>
      <c r="G303" t="n">
        <v>42.9</v>
      </c>
      <c r="H303" t="n">
        <v>0</v>
      </c>
      <c r="I303" t="n">
        <v>0</v>
      </c>
      <c r="J303" t="n">
        <v>0</v>
      </c>
      <c r="K303" t="n">
        <v>0</v>
      </c>
      <c r="L303" t="n">
        <v>0</v>
      </c>
      <c r="M303" t="n">
        <v>0</v>
      </c>
      <c r="N303" t="n">
        <v>0</v>
      </c>
      <c r="O303" t="n">
        <v>0</v>
      </c>
      <c r="P303" t="n">
        <v>0</v>
      </c>
      <c r="Q303" t="n">
        <v>0</v>
      </c>
      <c r="R303" s="2" t="inlineStr"/>
    </row>
    <row r="304" ht="15" customHeight="1">
      <c r="A304" t="inlineStr">
        <is>
          <t>A 39071-2024</t>
        </is>
      </c>
      <c r="B304" s="1" t="n">
        <v>45548.53193287037</v>
      </c>
      <c r="C304" s="1" t="n">
        <v>45965</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33015-2022</t>
        </is>
      </c>
      <c r="B305" s="1" t="n">
        <v>44784</v>
      </c>
      <c r="C305" s="1" t="n">
        <v>45965</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12288-2023</t>
        </is>
      </c>
      <c r="B306" s="1" t="n">
        <v>44998.73143518518</v>
      </c>
      <c r="C306" s="1" t="n">
        <v>45965</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40336-2021</t>
        </is>
      </c>
      <c r="B307" s="1" t="n">
        <v>44419</v>
      </c>
      <c r="C307" s="1" t="n">
        <v>45965</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36219-2022</t>
        </is>
      </c>
      <c r="B308" s="1" t="n">
        <v>44803</v>
      </c>
      <c r="C308" s="1" t="n">
        <v>45965</v>
      </c>
      <c r="D308" t="inlineStr">
        <is>
          <t>JÄMTLANDS LÄN</t>
        </is>
      </c>
      <c r="E308" t="inlineStr">
        <is>
          <t>ÅRE</t>
        </is>
      </c>
      <c r="G308" t="n">
        <v>0.4</v>
      </c>
      <c r="H308" t="n">
        <v>0</v>
      </c>
      <c r="I308" t="n">
        <v>0</v>
      </c>
      <c r="J308" t="n">
        <v>0</v>
      </c>
      <c r="K308" t="n">
        <v>0</v>
      </c>
      <c r="L308" t="n">
        <v>0</v>
      </c>
      <c r="M308" t="n">
        <v>0</v>
      </c>
      <c r="N308" t="n">
        <v>0</v>
      </c>
      <c r="O308" t="n">
        <v>0</v>
      </c>
      <c r="P308" t="n">
        <v>0</v>
      </c>
      <c r="Q308" t="n">
        <v>0</v>
      </c>
      <c r="R308" s="2" t="inlineStr"/>
    </row>
    <row r="309" ht="15" customHeight="1">
      <c r="A309" t="inlineStr">
        <is>
          <t>A 33239-2024</t>
        </is>
      </c>
      <c r="B309" s="1" t="n">
        <v>45518.59618055556</v>
      </c>
      <c r="C309" s="1" t="n">
        <v>45965</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61622-2023</t>
        </is>
      </c>
      <c r="B310" s="1" t="n">
        <v>45261</v>
      </c>
      <c r="C310" s="1" t="n">
        <v>45965</v>
      </c>
      <c r="D310" t="inlineStr">
        <is>
          <t>JÄMTLANDS LÄN</t>
        </is>
      </c>
      <c r="E310" t="inlineStr">
        <is>
          <t>ÅRE</t>
        </is>
      </c>
      <c r="G310" t="n">
        <v>1.6</v>
      </c>
      <c r="H310" t="n">
        <v>0</v>
      </c>
      <c r="I310" t="n">
        <v>0</v>
      </c>
      <c r="J310" t="n">
        <v>0</v>
      </c>
      <c r="K310" t="n">
        <v>0</v>
      </c>
      <c r="L310" t="n">
        <v>0</v>
      </c>
      <c r="M310" t="n">
        <v>0</v>
      </c>
      <c r="N310" t="n">
        <v>0</v>
      </c>
      <c r="O310" t="n">
        <v>0</v>
      </c>
      <c r="P310" t="n">
        <v>0</v>
      </c>
      <c r="Q310" t="n">
        <v>0</v>
      </c>
      <c r="R310" s="2" t="inlineStr"/>
    </row>
    <row r="311" ht="15" customHeight="1">
      <c r="A311" t="inlineStr">
        <is>
          <t>A 61978-2023</t>
        </is>
      </c>
      <c r="B311" s="1" t="n">
        <v>45266.59711805556</v>
      </c>
      <c r="C311" s="1" t="n">
        <v>45965</v>
      </c>
      <c r="D311" t="inlineStr">
        <is>
          <t>JÄMTLANDS LÄN</t>
        </is>
      </c>
      <c r="E311" t="inlineStr">
        <is>
          <t>ÅRE</t>
        </is>
      </c>
      <c r="G311" t="n">
        <v>5.5</v>
      </c>
      <c r="H311" t="n">
        <v>0</v>
      </c>
      <c r="I311" t="n">
        <v>0</v>
      </c>
      <c r="J311" t="n">
        <v>0</v>
      </c>
      <c r="K311" t="n">
        <v>0</v>
      </c>
      <c r="L311" t="n">
        <v>0</v>
      </c>
      <c r="M311" t="n">
        <v>0</v>
      </c>
      <c r="N311" t="n">
        <v>0</v>
      </c>
      <c r="O311" t="n">
        <v>0</v>
      </c>
      <c r="P311" t="n">
        <v>0</v>
      </c>
      <c r="Q311" t="n">
        <v>0</v>
      </c>
      <c r="R311" s="2" t="inlineStr"/>
    </row>
    <row r="312" ht="15" customHeight="1">
      <c r="A312" t="inlineStr">
        <is>
          <t>A 33117-2023</t>
        </is>
      </c>
      <c r="B312" s="1" t="n">
        <v>45126</v>
      </c>
      <c r="C312" s="1" t="n">
        <v>45965</v>
      </c>
      <c r="D312" t="inlineStr">
        <is>
          <t>JÄMTLANDS LÄN</t>
        </is>
      </c>
      <c r="E312" t="inlineStr">
        <is>
          <t>ÅRE</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376-2024</t>
        </is>
      </c>
      <c r="B313" s="1" t="n">
        <v>45296</v>
      </c>
      <c r="C313" s="1" t="n">
        <v>45965</v>
      </c>
      <c r="D313" t="inlineStr">
        <is>
          <t>JÄMTLANDS LÄN</t>
        </is>
      </c>
      <c r="E313" t="inlineStr">
        <is>
          <t>ÅRE</t>
        </is>
      </c>
      <c r="F313" t="inlineStr">
        <is>
          <t>Kyrkan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57710-2021</t>
        </is>
      </c>
      <c r="B314" s="1" t="n">
        <v>44484</v>
      </c>
      <c r="C314" s="1" t="n">
        <v>45965</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69592-2021</t>
        </is>
      </c>
      <c r="B315" s="1" t="n">
        <v>44531</v>
      </c>
      <c r="C315" s="1" t="n">
        <v>45965</v>
      </c>
      <c r="D315" t="inlineStr">
        <is>
          <t>JÄMTLANDS LÄN</t>
        </is>
      </c>
      <c r="E315" t="inlineStr">
        <is>
          <t>ÅRE</t>
        </is>
      </c>
      <c r="G315" t="n">
        <v>4.7</v>
      </c>
      <c r="H315" t="n">
        <v>0</v>
      </c>
      <c r="I315" t="n">
        <v>0</v>
      </c>
      <c r="J315" t="n">
        <v>0</v>
      </c>
      <c r="K315" t="n">
        <v>0</v>
      </c>
      <c r="L315" t="n">
        <v>0</v>
      </c>
      <c r="M315" t="n">
        <v>0</v>
      </c>
      <c r="N315" t="n">
        <v>0</v>
      </c>
      <c r="O315" t="n">
        <v>0</v>
      </c>
      <c r="P315" t="n">
        <v>0</v>
      </c>
      <c r="Q315" t="n">
        <v>0</v>
      </c>
      <c r="R315" s="2" t="inlineStr"/>
    </row>
    <row r="316" ht="15" customHeight="1">
      <c r="A316" t="inlineStr">
        <is>
          <t>A 54250-2024</t>
        </is>
      </c>
      <c r="B316" s="1" t="n">
        <v>45616</v>
      </c>
      <c r="C316" s="1" t="n">
        <v>45965</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9126-2025</t>
        </is>
      </c>
      <c r="B317" s="1" t="n">
        <v>45713</v>
      </c>
      <c r="C317" s="1" t="n">
        <v>45965</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2376-2023</t>
        </is>
      </c>
      <c r="B318" s="1" t="n">
        <v>44942</v>
      </c>
      <c r="C318" s="1" t="n">
        <v>45965</v>
      </c>
      <c r="D318" t="inlineStr">
        <is>
          <t>JÄMTLANDS LÄN</t>
        </is>
      </c>
      <c r="E318" t="inlineStr">
        <is>
          <t>ÅRE</t>
        </is>
      </c>
      <c r="G318" t="n">
        <v>0.1</v>
      </c>
      <c r="H318" t="n">
        <v>0</v>
      </c>
      <c r="I318" t="n">
        <v>0</v>
      </c>
      <c r="J318" t="n">
        <v>0</v>
      </c>
      <c r="K318" t="n">
        <v>0</v>
      </c>
      <c r="L318" t="n">
        <v>0</v>
      </c>
      <c r="M318" t="n">
        <v>0</v>
      </c>
      <c r="N318" t="n">
        <v>0</v>
      </c>
      <c r="O318" t="n">
        <v>0</v>
      </c>
      <c r="P318" t="n">
        <v>0</v>
      </c>
      <c r="Q318" t="n">
        <v>0</v>
      </c>
      <c r="R318" s="2" t="inlineStr"/>
    </row>
    <row r="319" ht="15" customHeight="1">
      <c r="A319" t="inlineStr">
        <is>
          <t>A 66083-2020</t>
        </is>
      </c>
      <c r="B319" s="1" t="n">
        <v>44172</v>
      </c>
      <c r="C319" s="1" t="n">
        <v>45965</v>
      </c>
      <c r="D319" t="inlineStr">
        <is>
          <t>JÄMTLANDS LÄN</t>
        </is>
      </c>
      <c r="E319" t="inlineStr">
        <is>
          <t>ÅRE</t>
        </is>
      </c>
      <c r="G319" t="n">
        <v>349.9</v>
      </c>
      <c r="H319" t="n">
        <v>0</v>
      </c>
      <c r="I319" t="n">
        <v>0</v>
      </c>
      <c r="J319" t="n">
        <v>0</v>
      </c>
      <c r="K319" t="n">
        <v>0</v>
      </c>
      <c r="L319" t="n">
        <v>0</v>
      </c>
      <c r="M319" t="n">
        <v>0</v>
      </c>
      <c r="N319" t="n">
        <v>0</v>
      </c>
      <c r="O319" t="n">
        <v>0</v>
      </c>
      <c r="P319" t="n">
        <v>0</v>
      </c>
      <c r="Q319" t="n">
        <v>0</v>
      </c>
      <c r="R319" s="2" t="inlineStr"/>
    </row>
    <row r="320" ht="15" customHeight="1">
      <c r="A320" t="inlineStr">
        <is>
          <t>A 56736-2023</t>
        </is>
      </c>
      <c r="B320" s="1" t="n">
        <v>45244</v>
      </c>
      <c r="C320" s="1" t="n">
        <v>45965</v>
      </c>
      <c r="D320" t="inlineStr">
        <is>
          <t>JÄMTLANDS LÄN</t>
        </is>
      </c>
      <c r="E320" t="inlineStr">
        <is>
          <t>ÅRE</t>
        </is>
      </c>
      <c r="F320" t="inlineStr">
        <is>
          <t>Övriga Aktiebolag</t>
        </is>
      </c>
      <c r="G320" t="n">
        <v>10.7</v>
      </c>
      <c r="H320" t="n">
        <v>0</v>
      </c>
      <c r="I320" t="n">
        <v>0</v>
      </c>
      <c r="J320" t="n">
        <v>0</v>
      </c>
      <c r="K320" t="n">
        <v>0</v>
      </c>
      <c r="L320" t="n">
        <v>0</v>
      </c>
      <c r="M320" t="n">
        <v>0</v>
      </c>
      <c r="N320" t="n">
        <v>0</v>
      </c>
      <c r="O320" t="n">
        <v>0</v>
      </c>
      <c r="P320" t="n">
        <v>0</v>
      </c>
      <c r="Q320" t="n">
        <v>0</v>
      </c>
      <c r="R320" s="2" t="inlineStr"/>
    </row>
    <row r="321" ht="15" customHeight="1">
      <c r="A321" t="inlineStr">
        <is>
          <t>A 53899-2023</t>
        </is>
      </c>
      <c r="B321" s="1" t="n">
        <v>45231.54160879629</v>
      </c>
      <c r="C321" s="1" t="n">
        <v>45965</v>
      </c>
      <c r="D321" t="inlineStr">
        <is>
          <t>JÄMTLANDS LÄN</t>
        </is>
      </c>
      <c r="E321" t="inlineStr">
        <is>
          <t>ÅRE</t>
        </is>
      </c>
      <c r="G321" t="n">
        <v>20.4</v>
      </c>
      <c r="H321" t="n">
        <v>0</v>
      </c>
      <c r="I321" t="n">
        <v>0</v>
      </c>
      <c r="J321" t="n">
        <v>0</v>
      </c>
      <c r="K321" t="n">
        <v>0</v>
      </c>
      <c r="L321" t="n">
        <v>0</v>
      </c>
      <c r="M321" t="n">
        <v>0</v>
      </c>
      <c r="N321" t="n">
        <v>0</v>
      </c>
      <c r="O321" t="n">
        <v>0</v>
      </c>
      <c r="P321" t="n">
        <v>0</v>
      </c>
      <c r="Q321" t="n">
        <v>0</v>
      </c>
      <c r="R321" s="2" t="inlineStr"/>
    </row>
    <row r="322" ht="15" customHeight="1">
      <c r="A322" t="inlineStr">
        <is>
          <t>A 38285-2025</t>
        </is>
      </c>
      <c r="B322" s="1" t="n">
        <v>45883.43145833333</v>
      </c>
      <c r="C322" s="1" t="n">
        <v>45965</v>
      </c>
      <c r="D322" t="inlineStr">
        <is>
          <t>JÄMTLANDS LÄN</t>
        </is>
      </c>
      <c r="E322" t="inlineStr">
        <is>
          <t>ÅRE</t>
        </is>
      </c>
      <c r="G322" t="n">
        <v>2.6</v>
      </c>
      <c r="H322" t="n">
        <v>0</v>
      </c>
      <c r="I322" t="n">
        <v>0</v>
      </c>
      <c r="J322" t="n">
        <v>0</v>
      </c>
      <c r="K322" t="n">
        <v>0</v>
      </c>
      <c r="L322" t="n">
        <v>0</v>
      </c>
      <c r="M322" t="n">
        <v>0</v>
      </c>
      <c r="N322" t="n">
        <v>0</v>
      </c>
      <c r="O322" t="n">
        <v>0</v>
      </c>
      <c r="P322" t="n">
        <v>0</v>
      </c>
      <c r="Q322" t="n">
        <v>0</v>
      </c>
      <c r="R322" s="2" t="inlineStr"/>
    </row>
    <row r="323" ht="15" customHeight="1">
      <c r="A323" t="inlineStr">
        <is>
          <t>A 34538-2023</t>
        </is>
      </c>
      <c r="B323" s="1" t="n">
        <v>45134</v>
      </c>
      <c r="C323" s="1" t="n">
        <v>45965</v>
      </c>
      <c r="D323" t="inlineStr">
        <is>
          <t>JÄMTLANDS LÄN</t>
        </is>
      </c>
      <c r="E323" t="inlineStr">
        <is>
          <t>ÅRE</t>
        </is>
      </c>
      <c r="G323" t="n">
        <v>1.3</v>
      </c>
      <c r="H323" t="n">
        <v>0</v>
      </c>
      <c r="I323" t="n">
        <v>0</v>
      </c>
      <c r="J323" t="n">
        <v>0</v>
      </c>
      <c r="K323" t="n">
        <v>0</v>
      </c>
      <c r="L323" t="n">
        <v>0</v>
      </c>
      <c r="M323" t="n">
        <v>0</v>
      </c>
      <c r="N323" t="n">
        <v>0</v>
      </c>
      <c r="O323" t="n">
        <v>0</v>
      </c>
      <c r="P323" t="n">
        <v>0</v>
      </c>
      <c r="Q323" t="n">
        <v>0</v>
      </c>
      <c r="R323" s="2" t="inlineStr"/>
    </row>
    <row r="324" ht="15" customHeight="1">
      <c r="A324" t="inlineStr">
        <is>
          <t>A 41266-2024</t>
        </is>
      </c>
      <c r="B324" s="1" t="n">
        <v>45559</v>
      </c>
      <c r="C324" s="1" t="n">
        <v>45965</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29177-2024</t>
        </is>
      </c>
      <c r="B325" s="1" t="n">
        <v>45482.53859953704</v>
      </c>
      <c r="C325" s="1" t="n">
        <v>45965</v>
      </c>
      <c r="D325" t="inlineStr">
        <is>
          <t>JÄMTLANDS LÄN</t>
        </is>
      </c>
      <c r="E325" t="inlineStr">
        <is>
          <t>ÅRE</t>
        </is>
      </c>
      <c r="G325" t="n">
        <v>2.5</v>
      </c>
      <c r="H325" t="n">
        <v>0</v>
      </c>
      <c r="I325" t="n">
        <v>0</v>
      </c>
      <c r="J325" t="n">
        <v>0</v>
      </c>
      <c r="K325" t="n">
        <v>0</v>
      </c>
      <c r="L325" t="n">
        <v>0</v>
      </c>
      <c r="M325" t="n">
        <v>0</v>
      </c>
      <c r="N325" t="n">
        <v>0</v>
      </c>
      <c r="O325" t="n">
        <v>0</v>
      </c>
      <c r="P325" t="n">
        <v>0</v>
      </c>
      <c r="Q325" t="n">
        <v>0</v>
      </c>
      <c r="R325" s="2" t="inlineStr"/>
    </row>
    <row r="326" ht="15" customHeight="1">
      <c r="A326" t="inlineStr">
        <is>
          <t>A 9775-2023</t>
        </is>
      </c>
      <c r="B326" s="1" t="n">
        <v>44984.60255787037</v>
      </c>
      <c r="C326" s="1" t="n">
        <v>45965</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22707-2021</t>
        </is>
      </c>
      <c r="B327" s="1" t="n">
        <v>44323</v>
      </c>
      <c r="C327" s="1" t="n">
        <v>45965</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58889-2022</t>
        </is>
      </c>
      <c r="B328" s="1" t="n">
        <v>44896</v>
      </c>
      <c r="C328" s="1" t="n">
        <v>45965</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45965</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51452-2024</t>
        </is>
      </c>
      <c r="B330" s="1" t="n">
        <v>45604.49045138889</v>
      </c>
      <c r="C330" s="1" t="n">
        <v>45965</v>
      </c>
      <c r="D330" t="inlineStr">
        <is>
          <t>JÄMTLANDS LÄN</t>
        </is>
      </c>
      <c r="E330" t="inlineStr">
        <is>
          <t>ÅRE</t>
        </is>
      </c>
      <c r="G330" t="n">
        <v>8</v>
      </c>
      <c r="H330" t="n">
        <v>0</v>
      </c>
      <c r="I330" t="n">
        <v>0</v>
      </c>
      <c r="J330" t="n">
        <v>0</v>
      </c>
      <c r="K330" t="n">
        <v>0</v>
      </c>
      <c r="L330" t="n">
        <v>0</v>
      </c>
      <c r="M330" t="n">
        <v>0</v>
      </c>
      <c r="N330" t="n">
        <v>0</v>
      </c>
      <c r="O330" t="n">
        <v>0</v>
      </c>
      <c r="P330" t="n">
        <v>0</v>
      </c>
      <c r="Q330" t="n">
        <v>0</v>
      </c>
      <c r="R330" s="2" t="inlineStr"/>
    </row>
    <row r="331" ht="15" customHeight="1">
      <c r="A331" t="inlineStr">
        <is>
          <t>A 20999-2024</t>
        </is>
      </c>
      <c r="B331" s="1" t="n">
        <v>45439</v>
      </c>
      <c r="C331" s="1" t="n">
        <v>45965</v>
      </c>
      <c r="D331" t="inlineStr">
        <is>
          <t>JÄMTLANDS LÄN</t>
        </is>
      </c>
      <c r="E331" t="inlineStr">
        <is>
          <t>ÅRE</t>
        </is>
      </c>
      <c r="G331" t="n">
        <v>5.7</v>
      </c>
      <c r="H331" t="n">
        <v>0</v>
      </c>
      <c r="I331" t="n">
        <v>0</v>
      </c>
      <c r="J331" t="n">
        <v>0</v>
      </c>
      <c r="K331" t="n">
        <v>0</v>
      </c>
      <c r="L331" t="n">
        <v>0</v>
      </c>
      <c r="M331" t="n">
        <v>0</v>
      </c>
      <c r="N331" t="n">
        <v>0</v>
      </c>
      <c r="O331" t="n">
        <v>0</v>
      </c>
      <c r="P331" t="n">
        <v>0</v>
      </c>
      <c r="Q331" t="n">
        <v>0</v>
      </c>
      <c r="R331" s="2" t="inlineStr"/>
    </row>
    <row r="332" ht="15" customHeight="1">
      <c r="A332" t="inlineStr">
        <is>
          <t>A 61815-2021</t>
        </is>
      </c>
      <c r="B332" s="1" t="n">
        <v>44498</v>
      </c>
      <c r="C332" s="1" t="n">
        <v>45965</v>
      </c>
      <c r="D332" t="inlineStr">
        <is>
          <t>JÄMTLANDS LÄN</t>
        </is>
      </c>
      <c r="E332" t="inlineStr">
        <is>
          <t>ÅRE</t>
        </is>
      </c>
      <c r="G332" t="n">
        <v>7.4</v>
      </c>
      <c r="H332" t="n">
        <v>0</v>
      </c>
      <c r="I332" t="n">
        <v>0</v>
      </c>
      <c r="J332" t="n">
        <v>0</v>
      </c>
      <c r="K332" t="n">
        <v>0</v>
      </c>
      <c r="L332" t="n">
        <v>0</v>
      </c>
      <c r="M332" t="n">
        <v>0</v>
      </c>
      <c r="N332" t="n">
        <v>0</v>
      </c>
      <c r="O332" t="n">
        <v>0</v>
      </c>
      <c r="P332" t="n">
        <v>0</v>
      </c>
      <c r="Q332" t="n">
        <v>0</v>
      </c>
      <c r="R332" s="2" t="inlineStr"/>
    </row>
    <row r="333" ht="15" customHeight="1">
      <c r="A333" t="inlineStr">
        <is>
          <t>A 45113-2024</t>
        </is>
      </c>
      <c r="B333" s="1" t="n">
        <v>45575.59709490741</v>
      </c>
      <c r="C333" s="1" t="n">
        <v>45965</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1460-2024</t>
        </is>
      </c>
      <c r="B334" s="1" t="n">
        <v>45303.93322916667</v>
      </c>
      <c r="C334" s="1" t="n">
        <v>45965</v>
      </c>
      <c r="D334" t="inlineStr">
        <is>
          <t>JÄMTLANDS LÄN</t>
        </is>
      </c>
      <c r="E334" t="inlineStr">
        <is>
          <t>ÅRE</t>
        </is>
      </c>
      <c r="F334" t="inlineStr">
        <is>
          <t>Övriga Aktiebolag</t>
        </is>
      </c>
      <c r="G334" t="n">
        <v>1.3</v>
      </c>
      <c r="H334" t="n">
        <v>0</v>
      </c>
      <c r="I334" t="n">
        <v>0</v>
      </c>
      <c r="J334" t="n">
        <v>0</v>
      </c>
      <c r="K334" t="n">
        <v>0</v>
      </c>
      <c r="L334" t="n">
        <v>0</v>
      </c>
      <c r="M334" t="n">
        <v>0</v>
      </c>
      <c r="N334" t="n">
        <v>0</v>
      </c>
      <c r="O334" t="n">
        <v>0</v>
      </c>
      <c r="P334" t="n">
        <v>0</v>
      </c>
      <c r="Q334" t="n">
        <v>0</v>
      </c>
      <c r="R334" s="2" t="inlineStr"/>
    </row>
    <row r="335" ht="15" customHeight="1">
      <c r="A335" t="inlineStr">
        <is>
          <t>A 60426-2022</t>
        </is>
      </c>
      <c r="B335" s="1" t="n">
        <v>44911.32092592592</v>
      </c>
      <c r="C335" s="1" t="n">
        <v>45965</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30263-2023</t>
        </is>
      </c>
      <c r="B336" s="1" t="n">
        <v>45099</v>
      </c>
      <c r="C336" s="1" t="n">
        <v>45965</v>
      </c>
      <c r="D336" t="inlineStr">
        <is>
          <t>JÄMTLANDS LÄN</t>
        </is>
      </c>
      <c r="E336" t="inlineStr">
        <is>
          <t>ÅRE</t>
        </is>
      </c>
      <c r="G336" t="n">
        <v>15.9</v>
      </c>
      <c r="H336" t="n">
        <v>0</v>
      </c>
      <c r="I336" t="n">
        <v>0</v>
      </c>
      <c r="J336" t="n">
        <v>0</v>
      </c>
      <c r="K336" t="n">
        <v>0</v>
      </c>
      <c r="L336" t="n">
        <v>0</v>
      </c>
      <c r="M336" t="n">
        <v>0</v>
      </c>
      <c r="N336" t="n">
        <v>0</v>
      </c>
      <c r="O336" t="n">
        <v>0</v>
      </c>
      <c r="P336" t="n">
        <v>0</v>
      </c>
      <c r="Q336" t="n">
        <v>0</v>
      </c>
      <c r="R336" s="2" t="inlineStr"/>
    </row>
    <row r="337" ht="15" customHeight="1">
      <c r="A337" t="inlineStr">
        <is>
          <t>A 45324-2024</t>
        </is>
      </c>
      <c r="B337" s="1" t="n">
        <v>45576</v>
      </c>
      <c r="C337" s="1" t="n">
        <v>45965</v>
      </c>
      <c r="D337" t="inlineStr">
        <is>
          <t>JÄMTLANDS LÄN</t>
        </is>
      </c>
      <c r="E337" t="inlineStr">
        <is>
          <t>ÅRE</t>
        </is>
      </c>
      <c r="G337" t="n">
        <v>9.4</v>
      </c>
      <c r="H337" t="n">
        <v>0</v>
      </c>
      <c r="I337" t="n">
        <v>0</v>
      </c>
      <c r="J337" t="n">
        <v>0</v>
      </c>
      <c r="K337" t="n">
        <v>0</v>
      </c>
      <c r="L337" t="n">
        <v>0</v>
      </c>
      <c r="M337" t="n">
        <v>0</v>
      </c>
      <c r="N337" t="n">
        <v>0</v>
      </c>
      <c r="O337" t="n">
        <v>0</v>
      </c>
      <c r="P337" t="n">
        <v>0</v>
      </c>
      <c r="Q337" t="n">
        <v>0</v>
      </c>
      <c r="R337" s="2" t="inlineStr"/>
    </row>
    <row r="338" ht="15" customHeight="1">
      <c r="A338" t="inlineStr">
        <is>
          <t>A 58917-2022</t>
        </is>
      </c>
      <c r="B338" s="1" t="n">
        <v>44903</v>
      </c>
      <c r="C338" s="1" t="n">
        <v>45965</v>
      </c>
      <c r="D338" t="inlineStr">
        <is>
          <t>JÄMTLANDS LÄN</t>
        </is>
      </c>
      <c r="E338" t="inlineStr">
        <is>
          <t>ÅRE</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56556-2022</t>
        </is>
      </c>
      <c r="B339" s="1" t="n">
        <v>44893.48930555556</v>
      </c>
      <c r="C339" s="1" t="n">
        <v>45965</v>
      </c>
      <c r="D339" t="inlineStr">
        <is>
          <t>JÄMTLANDS LÄN</t>
        </is>
      </c>
      <c r="E339" t="inlineStr">
        <is>
          <t>ÅRE</t>
        </is>
      </c>
      <c r="F339" t="inlineStr">
        <is>
          <t>Övriga Aktiebolag</t>
        </is>
      </c>
      <c r="G339" t="n">
        <v>4.9</v>
      </c>
      <c r="H339" t="n">
        <v>0</v>
      </c>
      <c r="I339" t="n">
        <v>0</v>
      </c>
      <c r="J339" t="n">
        <v>0</v>
      </c>
      <c r="K339" t="n">
        <v>0</v>
      </c>
      <c r="L339" t="n">
        <v>0</v>
      </c>
      <c r="M339" t="n">
        <v>0</v>
      </c>
      <c r="N339" t="n">
        <v>0</v>
      </c>
      <c r="O339" t="n">
        <v>0</v>
      </c>
      <c r="P339" t="n">
        <v>0</v>
      </c>
      <c r="Q339" t="n">
        <v>0</v>
      </c>
      <c r="R339" s="2" t="inlineStr"/>
    </row>
    <row r="340" ht="15" customHeight="1">
      <c r="A340" t="inlineStr">
        <is>
          <t>A 59387-2022</t>
        </is>
      </c>
      <c r="B340" s="1" t="n">
        <v>44905</v>
      </c>
      <c r="C340" s="1" t="n">
        <v>45965</v>
      </c>
      <c r="D340" t="inlineStr">
        <is>
          <t>JÄMTLANDS LÄN</t>
        </is>
      </c>
      <c r="E340" t="inlineStr">
        <is>
          <t>ÅRE</t>
        </is>
      </c>
      <c r="G340" t="n">
        <v>0.6</v>
      </c>
      <c r="H340" t="n">
        <v>0</v>
      </c>
      <c r="I340" t="n">
        <v>0</v>
      </c>
      <c r="J340" t="n">
        <v>0</v>
      </c>
      <c r="K340" t="n">
        <v>0</v>
      </c>
      <c r="L340" t="n">
        <v>0</v>
      </c>
      <c r="M340" t="n">
        <v>0</v>
      </c>
      <c r="N340" t="n">
        <v>0</v>
      </c>
      <c r="O340" t="n">
        <v>0</v>
      </c>
      <c r="P340" t="n">
        <v>0</v>
      </c>
      <c r="Q340" t="n">
        <v>0</v>
      </c>
      <c r="R340" s="2" t="inlineStr"/>
    </row>
    <row r="341" ht="15" customHeight="1">
      <c r="A341" t="inlineStr">
        <is>
          <t>A 8217-2021</t>
        </is>
      </c>
      <c r="B341" s="1" t="n">
        <v>44244</v>
      </c>
      <c r="C341" s="1" t="n">
        <v>45965</v>
      </c>
      <c r="D341" t="inlineStr">
        <is>
          <t>JÄMTLANDS LÄN</t>
        </is>
      </c>
      <c r="E341" t="inlineStr">
        <is>
          <t>ÅRE</t>
        </is>
      </c>
      <c r="G341" t="n">
        <v>51.8</v>
      </c>
      <c r="H341" t="n">
        <v>0</v>
      </c>
      <c r="I341" t="n">
        <v>0</v>
      </c>
      <c r="J341" t="n">
        <v>0</v>
      </c>
      <c r="K341" t="n">
        <v>0</v>
      </c>
      <c r="L341" t="n">
        <v>0</v>
      </c>
      <c r="M341" t="n">
        <v>0</v>
      </c>
      <c r="N341" t="n">
        <v>0</v>
      </c>
      <c r="O341" t="n">
        <v>0</v>
      </c>
      <c r="P341" t="n">
        <v>0</v>
      </c>
      <c r="Q341" t="n">
        <v>0</v>
      </c>
      <c r="R341" s="2" t="inlineStr"/>
    </row>
    <row r="342" ht="15" customHeight="1">
      <c r="A342" t="inlineStr">
        <is>
          <t>A 38268-2024</t>
        </is>
      </c>
      <c r="B342" s="1" t="n">
        <v>45545.59842592593</v>
      </c>
      <c r="C342" s="1" t="n">
        <v>45965</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59397-2021</t>
        </is>
      </c>
      <c r="B343" s="1" t="n">
        <v>44491</v>
      </c>
      <c r="C343" s="1" t="n">
        <v>45965</v>
      </c>
      <c r="D343" t="inlineStr">
        <is>
          <t>JÄMTLANDS LÄN</t>
        </is>
      </c>
      <c r="E343" t="inlineStr">
        <is>
          <t>ÅRE</t>
        </is>
      </c>
      <c r="F343" t="inlineStr">
        <is>
          <t>Övriga Aktiebolag</t>
        </is>
      </c>
      <c r="G343" t="n">
        <v>7.6</v>
      </c>
      <c r="H343" t="n">
        <v>0</v>
      </c>
      <c r="I343" t="n">
        <v>0</v>
      </c>
      <c r="J343" t="n">
        <v>0</v>
      </c>
      <c r="K343" t="n">
        <v>0</v>
      </c>
      <c r="L343" t="n">
        <v>0</v>
      </c>
      <c r="M343" t="n">
        <v>0</v>
      </c>
      <c r="N343" t="n">
        <v>0</v>
      </c>
      <c r="O343" t="n">
        <v>0</v>
      </c>
      <c r="P343" t="n">
        <v>0</v>
      </c>
      <c r="Q343" t="n">
        <v>0</v>
      </c>
      <c r="R343" s="2" t="inlineStr"/>
    </row>
    <row r="344" ht="15" customHeight="1">
      <c r="A344" t="inlineStr">
        <is>
          <t>A 37734-2023</t>
        </is>
      </c>
      <c r="B344" s="1" t="n">
        <v>45159.61971064815</v>
      </c>
      <c r="C344" s="1" t="n">
        <v>45965</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23159-2024</t>
        </is>
      </c>
      <c r="B345" s="1" t="n">
        <v>45450.7033912037</v>
      </c>
      <c r="C345" s="1" t="n">
        <v>45965</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57102-2024</t>
        </is>
      </c>
      <c r="B346" s="1" t="n">
        <v>45629.35856481481</v>
      </c>
      <c r="C346" s="1" t="n">
        <v>45965</v>
      </c>
      <c r="D346" t="inlineStr">
        <is>
          <t>JÄMTLANDS LÄN</t>
        </is>
      </c>
      <c r="E346" t="inlineStr">
        <is>
          <t>ÅRE</t>
        </is>
      </c>
      <c r="G346" t="n">
        <v>3.3</v>
      </c>
      <c r="H346" t="n">
        <v>0</v>
      </c>
      <c r="I346" t="n">
        <v>0</v>
      </c>
      <c r="J346" t="n">
        <v>0</v>
      </c>
      <c r="K346" t="n">
        <v>0</v>
      </c>
      <c r="L346" t="n">
        <v>0</v>
      </c>
      <c r="M346" t="n">
        <v>0</v>
      </c>
      <c r="N346" t="n">
        <v>0</v>
      </c>
      <c r="O346" t="n">
        <v>0</v>
      </c>
      <c r="P346" t="n">
        <v>0</v>
      </c>
      <c r="Q346" t="n">
        <v>0</v>
      </c>
      <c r="R346" s="2" t="inlineStr"/>
    </row>
    <row r="347" ht="15" customHeight="1">
      <c r="A347" t="inlineStr">
        <is>
          <t>A 73800-2021</t>
        </is>
      </c>
      <c r="B347" s="1" t="n">
        <v>44552</v>
      </c>
      <c r="C347" s="1" t="n">
        <v>45965</v>
      </c>
      <c r="D347" t="inlineStr">
        <is>
          <t>JÄMTLANDS LÄN</t>
        </is>
      </c>
      <c r="E347" t="inlineStr">
        <is>
          <t>ÅRE</t>
        </is>
      </c>
      <c r="G347" t="n">
        <v>8.6</v>
      </c>
      <c r="H347" t="n">
        <v>0</v>
      </c>
      <c r="I347" t="n">
        <v>0</v>
      </c>
      <c r="J347" t="n">
        <v>0</v>
      </c>
      <c r="K347" t="n">
        <v>0</v>
      </c>
      <c r="L347" t="n">
        <v>0</v>
      </c>
      <c r="M347" t="n">
        <v>0</v>
      </c>
      <c r="N347" t="n">
        <v>0</v>
      </c>
      <c r="O347" t="n">
        <v>0</v>
      </c>
      <c r="P347" t="n">
        <v>0</v>
      </c>
      <c r="Q347" t="n">
        <v>0</v>
      </c>
      <c r="R347" s="2" t="inlineStr"/>
    </row>
    <row r="348" ht="15" customHeight="1">
      <c r="A348" t="inlineStr">
        <is>
          <t>A 57770-2023</t>
        </is>
      </c>
      <c r="B348" s="1" t="n">
        <v>45246.92542824074</v>
      </c>
      <c r="C348" s="1" t="n">
        <v>45965</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59352-2021</t>
        </is>
      </c>
      <c r="B349" s="1" t="n">
        <v>44490</v>
      </c>
      <c r="C349" s="1" t="n">
        <v>45965</v>
      </c>
      <c r="D349" t="inlineStr">
        <is>
          <t>JÄMTLANDS LÄN</t>
        </is>
      </c>
      <c r="E349" t="inlineStr">
        <is>
          <t>ÅRE</t>
        </is>
      </c>
      <c r="G349" t="n">
        <v>0.4</v>
      </c>
      <c r="H349" t="n">
        <v>0</v>
      </c>
      <c r="I349" t="n">
        <v>0</v>
      </c>
      <c r="J349" t="n">
        <v>0</v>
      </c>
      <c r="K349" t="n">
        <v>0</v>
      </c>
      <c r="L349" t="n">
        <v>0</v>
      </c>
      <c r="M349" t="n">
        <v>0</v>
      </c>
      <c r="N349" t="n">
        <v>0</v>
      </c>
      <c r="O349" t="n">
        <v>0</v>
      </c>
      <c r="P349" t="n">
        <v>0</v>
      </c>
      <c r="Q349" t="n">
        <v>0</v>
      </c>
      <c r="R349" s="2" t="inlineStr"/>
    </row>
    <row r="350" ht="15" customHeight="1">
      <c r="A350" t="inlineStr">
        <is>
          <t>A 44925-2024</t>
        </is>
      </c>
      <c r="B350" s="1" t="n">
        <v>45575.40700231482</v>
      </c>
      <c r="C350" s="1" t="n">
        <v>45965</v>
      </c>
      <c r="D350" t="inlineStr">
        <is>
          <t>JÄMTLANDS LÄN</t>
        </is>
      </c>
      <c r="E350" t="inlineStr">
        <is>
          <t>ÅRE</t>
        </is>
      </c>
      <c r="F350" t="inlineStr">
        <is>
          <t>Övriga Aktiebolag</t>
        </is>
      </c>
      <c r="G350" t="n">
        <v>22.3</v>
      </c>
      <c r="H350" t="n">
        <v>0</v>
      </c>
      <c r="I350" t="n">
        <v>0</v>
      </c>
      <c r="J350" t="n">
        <v>0</v>
      </c>
      <c r="K350" t="n">
        <v>0</v>
      </c>
      <c r="L350" t="n">
        <v>0</v>
      </c>
      <c r="M350" t="n">
        <v>0</v>
      </c>
      <c r="N350" t="n">
        <v>0</v>
      </c>
      <c r="O350" t="n">
        <v>0</v>
      </c>
      <c r="P350" t="n">
        <v>0</v>
      </c>
      <c r="Q350" t="n">
        <v>0</v>
      </c>
      <c r="R350" s="2" t="inlineStr"/>
    </row>
    <row r="351" ht="15" customHeight="1">
      <c r="A351" t="inlineStr">
        <is>
          <t>A 556-2023</t>
        </is>
      </c>
      <c r="B351" s="1" t="n">
        <v>44930</v>
      </c>
      <c r="C351" s="1" t="n">
        <v>45965</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393-2024</t>
        </is>
      </c>
      <c r="B352" s="1" t="n">
        <v>45296.43614583334</v>
      </c>
      <c r="C352" s="1" t="n">
        <v>45965</v>
      </c>
      <c r="D352" t="inlineStr">
        <is>
          <t>JÄMTLANDS LÄN</t>
        </is>
      </c>
      <c r="E352" t="inlineStr">
        <is>
          <t>ÅRE</t>
        </is>
      </c>
      <c r="G352" t="n">
        <v>6.5</v>
      </c>
      <c r="H352" t="n">
        <v>0</v>
      </c>
      <c r="I352" t="n">
        <v>0</v>
      </c>
      <c r="J352" t="n">
        <v>0</v>
      </c>
      <c r="K352" t="n">
        <v>0</v>
      </c>
      <c r="L352" t="n">
        <v>0</v>
      </c>
      <c r="M352" t="n">
        <v>0</v>
      </c>
      <c r="N352" t="n">
        <v>0</v>
      </c>
      <c r="O352" t="n">
        <v>0</v>
      </c>
      <c r="P352" t="n">
        <v>0</v>
      </c>
      <c r="Q352" t="n">
        <v>0</v>
      </c>
      <c r="R352" s="2" t="inlineStr"/>
    </row>
    <row r="353" ht="15" customHeight="1">
      <c r="A353" t="inlineStr">
        <is>
          <t>A 64245-2021</t>
        </is>
      </c>
      <c r="B353" s="1" t="n">
        <v>44510</v>
      </c>
      <c r="C353" s="1" t="n">
        <v>45965</v>
      </c>
      <c r="D353" t="inlineStr">
        <is>
          <t>JÄMTLANDS LÄN</t>
        </is>
      </c>
      <c r="E353" t="inlineStr">
        <is>
          <t>ÅRE</t>
        </is>
      </c>
      <c r="G353" t="n">
        <v>1.8</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45965</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61331-2021</t>
        </is>
      </c>
      <c r="B355" s="1" t="n">
        <v>44498</v>
      </c>
      <c r="C355" s="1" t="n">
        <v>45965</v>
      </c>
      <c r="D355" t="inlineStr">
        <is>
          <t>JÄMTLANDS LÄN</t>
        </is>
      </c>
      <c r="E355" t="inlineStr">
        <is>
          <t>ÅRE</t>
        </is>
      </c>
      <c r="G355" t="n">
        <v>8.4</v>
      </c>
      <c r="H355" t="n">
        <v>0</v>
      </c>
      <c r="I355" t="n">
        <v>0</v>
      </c>
      <c r="J355" t="n">
        <v>0</v>
      </c>
      <c r="K355" t="n">
        <v>0</v>
      </c>
      <c r="L355" t="n">
        <v>0</v>
      </c>
      <c r="M355" t="n">
        <v>0</v>
      </c>
      <c r="N355" t="n">
        <v>0</v>
      </c>
      <c r="O355" t="n">
        <v>0</v>
      </c>
      <c r="P355" t="n">
        <v>0</v>
      </c>
      <c r="Q355" t="n">
        <v>0</v>
      </c>
      <c r="R355" s="2" t="inlineStr"/>
    </row>
    <row r="356" ht="15" customHeight="1">
      <c r="A356" t="inlineStr">
        <is>
          <t>A 13033-2024</t>
        </is>
      </c>
      <c r="B356" s="1" t="n">
        <v>45385</v>
      </c>
      <c r="C356" s="1" t="n">
        <v>45965</v>
      </c>
      <c r="D356" t="inlineStr">
        <is>
          <t>JÄMTLANDS LÄN</t>
        </is>
      </c>
      <c r="E356" t="inlineStr">
        <is>
          <t>ÅRE</t>
        </is>
      </c>
      <c r="G356" t="n">
        <v>7.3</v>
      </c>
      <c r="H356" t="n">
        <v>0</v>
      </c>
      <c r="I356" t="n">
        <v>0</v>
      </c>
      <c r="J356" t="n">
        <v>0</v>
      </c>
      <c r="K356" t="n">
        <v>0</v>
      </c>
      <c r="L356" t="n">
        <v>0</v>
      </c>
      <c r="M356" t="n">
        <v>0</v>
      </c>
      <c r="N356" t="n">
        <v>0</v>
      </c>
      <c r="O356" t="n">
        <v>0</v>
      </c>
      <c r="P356" t="n">
        <v>0</v>
      </c>
      <c r="Q356" t="n">
        <v>0</v>
      </c>
      <c r="R356" s="2" t="inlineStr"/>
    </row>
    <row r="357" ht="15" customHeight="1">
      <c r="A357" t="inlineStr">
        <is>
          <t>A 61924-2022</t>
        </is>
      </c>
      <c r="B357" s="1" t="n">
        <v>44917</v>
      </c>
      <c r="C357" s="1" t="n">
        <v>45965</v>
      </c>
      <c r="D357" t="inlineStr">
        <is>
          <t>JÄMTLANDS LÄN</t>
        </is>
      </c>
      <c r="E357" t="inlineStr">
        <is>
          <t>ÅRE</t>
        </is>
      </c>
      <c r="G357" t="n">
        <v>39.8</v>
      </c>
      <c r="H357" t="n">
        <v>0</v>
      </c>
      <c r="I357" t="n">
        <v>0</v>
      </c>
      <c r="J357" t="n">
        <v>0</v>
      </c>
      <c r="K357" t="n">
        <v>0</v>
      </c>
      <c r="L357" t="n">
        <v>0</v>
      </c>
      <c r="M357" t="n">
        <v>0</v>
      </c>
      <c r="N357" t="n">
        <v>0</v>
      </c>
      <c r="O357" t="n">
        <v>0</v>
      </c>
      <c r="P357" t="n">
        <v>0</v>
      </c>
      <c r="Q357" t="n">
        <v>0</v>
      </c>
      <c r="R357" s="2" t="inlineStr"/>
    </row>
    <row r="358" ht="15" customHeight="1">
      <c r="A358" t="inlineStr">
        <is>
          <t>A 12227-2023</t>
        </is>
      </c>
      <c r="B358" s="1" t="n">
        <v>44998.60261574074</v>
      </c>
      <c r="C358" s="1" t="n">
        <v>45965</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7573-2023</t>
        </is>
      </c>
      <c r="B359" s="1" t="n">
        <v>44967</v>
      </c>
      <c r="C359" s="1" t="n">
        <v>45965</v>
      </c>
      <c r="D359" t="inlineStr">
        <is>
          <t>JÄMTLANDS LÄN</t>
        </is>
      </c>
      <c r="E359" t="inlineStr">
        <is>
          <t>ÅRE</t>
        </is>
      </c>
      <c r="G359" t="n">
        <v>7</v>
      </c>
      <c r="H359" t="n">
        <v>0</v>
      </c>
      <c r="I359" t="n">
        <v>0</v>
      </c>
      <c r="J359" t="n">
        <v>0</v>
      </c>
      <c r="K359" t="n">
        <v>0</v>
      </c>
      <c r="L359" t="n">
        <v>0</v>
      </c>
      <c r="M359" t="n">
        <v>0</v>
      </c>
      <c r="N359" t="n">
        <v>0</v>
      </c>
      <c r="O359" t="n">
        <v>0</v>
      </c>
      <c r="P359" t="n">
        <v>0</v>
      </c>
      <c r="Q359" t="n">
        <v>0</v>
      </c>
      <c r="R359" s="2" t="inlineStr"/>
    </row>
    <row r="360" ht="15" customHeight="1">
      <c r="A360" t="inlineStr">
        <is>
          <t>A 45242-2023</t>
        </is>
      </c>
      <c r="B360" s="1" t="n">
        <v>45187</v>
      </c>
      <c r="C360" s="1" t="n">
        <v>45965</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40339-2021</t>
        </is>
      </c>
      <c r="B361" s="1" t="n">
        <v>44419</v>
      </c>
      <c r="C361" s="1" t="n">
        <v>45965</v>
      </c>
      <c r="D361" t="inlineStr">
        <is>
          <t>JÄMTLANDS LÄN</t>
        </is>
      </c>
      <c r="E361" t="inlineStr">
        <is>
          <t>ÅRE</t>
        </is>
      </c>
      <c r="G361" t="n">
        <v>6.4</v>
      </c>
      <c r="H361" t="n">
        <v>0</v>
      </c>
      <c r="I361" t="n">
        <v>0</v>
      </c>
      <c r="J361" t="n">
        <v>0</v>
      </c>
      <c r="K361" t="n">
        <v>0</v>
      </c>
      <c r="L361" t="n">
        <v>0</v>
      </c>
      <c r="M361" t="n">
        <v>0</v>
      </c>
      <c r="N361" t="n">
        <v>0</v>
      </c>
      <c r="O361" t="n">
        <v>0</v>
      </c>
      <c r="P361" t="n">
        <v>0</v>
      </c>
      <c r="Q361" t="n">
        <v>0</v>
      </c>
      <c r="R361" s="2" t="inlineStr"/>
    </row>
    <row r="362" ht="15" customHeight="1">
      <c r="A362" t="inlineStr">
        <is>
          <t>A 1491-2024</t>
        </is>
      </c>
      <c r="B362" s="1" t="n">
        <v>45305</v>
      </c>
      <c r="C362" s="1" t="n">
        <v>45965</v>
      </c>
      <c r="D362" t="inlineStr">
        <is>
          <t>JÄMTLANDS LÄN</t>
        </is>
      </c>
      <c r="E362" t="inlineStr">
        <is>
          <t>ÅRE</t>
        </is>
      </c>
      <c r="G362" t="n">
        <v>31.4</v>
      </c>
      <c r="H362" t="n">
        <v>0</v>
      </c>
      <c r="I362" t="n">
        <v>0</v>
      </c>
      <c r="J362" t="n">
        <v>0</v>
      </c>
      <c r="K362" t="n">
        <v>0</v>
      </c>
      <c r="L362" t="n">
        <v>0</v>
      </c>
      <c r="M362" t="n">
        <v>0</v>
      </c>
      <c r="N362" t="n">
        <v>0</v>
      </c>
      <c r="O362" t="n">
        <v>0</v>
      </c>
      <c r="P362" t="n">
        <v>0</v>
      </c>
      <c r="Q362" t="n">
        <v>0</v>
      </c>
      <c r="R362" s="2" t="inlineStr"/>
    </row>
    <row r="363" ht="15" customHeight="1">
      <c r="A363" t="inlineStr">
        <is>
          <t>A 37729-2023</t>
        </is>
      </c>
      <c r="B363" s="1" t="n">
        <v>45159</v>
      </c>
      <c r="C363" s="1" t="n">
        <v>45965</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55944-2022</t>
        </is>
      </c>
      <c r="B364" s="1" t="n">
        <v>44889</v>
      </c>
      <c r="C364" s="1" t="n">
        <v>45965</v>
      </c>
      <c r="D364" t="inlineStr">
        <is>
          <t>JÄMTLANDS LÄN</t>
        </is>
      </c>
      <c r="E364" t="inlineStr">
        <is>
          <t>ÅRE</t>
        </is>
      </c>
      <c r="G364" t="n">
        <v>11.1</v>
      </c>
      <c r="H364" t="n">
        <v>0</v>
      </c>
      <c r="I364" t="n">
        <v>0</v>
      </c>
      <c r="J364" t="n">
        <v>0</v>
      </c>
      <c r="K364" t="n">
        <v>0</v>
      </c>
      <c r="L364" t="n">
        <v>0</v>
      </c>
      <c r="M364" t="n">
        <v>0</v>
      </c>
      <c r="N364" t="n">
        <v>0</v>
      </c>
      <c r="O364" t="n">
        <v>0</v>
      </c>
      <c r="P364" t="n">
        <v>0</v>
      </c>
      <c r="Q364" t="n">
        <v>0</v>
      </c>
      <c r="R364" s="2" t="inlineStr"/>
    </row>
    <row r="365" ht="15" customHeight="1">
      <c r="A365" t="inlineStr">
        <is>
          <t>A 50099-2021</t>
        </is>
      </c>
      <c r="B365" s="1" t="n">
        <v>44456</v>
      </c>
      <c r="C365" s="1" t="n">
        <v>45965</v>
      </c>
      <c r="D365" t="inlineStr">
        <is>
          <t>JÄMTLANDS LÄN</t>
        </is>
      </c>
      <c r="E365" t="inlineStr">
        <is>
          <t>ÅRE</t>
        </is>
      </c>
      <c r="G365" t="n">
        <v>6.2</v>
      </c>
      <c r="H365" t="n">
        <v>0</v>
      </c>
      <c r="I365" t="n">
        <v>0</v>
      </c>
      <c r="J365" t="n">
        <v>0</v>
      </c>
      <c r="K365" t="n">
        <v>0</v>
      </c>
      <c r="L365" t="n">
        <v>0</v>
      </c>
      <c r="M365" t="n">
        <v>0</v>
      </c>
      <c r="N365" t="n">
        <v>0</v>
      </c>
      <c r="O365" t="n">
        <v>0</v>
      </c>
      <c r="P365" t="n">
        <v>0</v>
      </c>
      <c r="Q365" t="n">
        <v>0</v>
      </c>
      <c r="R365" s="2" t="inlineStr"/>
    </row>
    <row r="366" ht="15" customHeight="1">
      <c r="A366" t="inlineStr">
        <is>
          <t>A 12287-2023</t>
        </is>
      </c>
      <c r="B366" s="1" t="n">
        <v>44998.72736111111</v>
      </c>
      <c r="C366" s="1" t="n">
        <v>45965</v>
      </c>
      <c r="D366" t="inlineStr">
        <is>
          <t>JÄMTLANDS LÄN</t>
        </is>
      </c>
      <c r="E366" t="inlineStr">
        <is>
          <t>ÅRE</t>
        </is>
      </c>
      <c r="G366" t="n">
        <v>3.1</v>
      </c>
      <c r="H366" t="n">
        <v>0</v>
      </c>
      <c r="I366" t="n">
        <v>0</v>
      </c>
      <c r="J366" t="n">
        <v>0</v>
      </c>
      <c r="K366" t="n">
        <v>0</v>
      </c>
      <c r="L366" t="n">
        <v>0</v>
      </c>
      <c r="M366" t="n">
        <v>0</v>
      </c>
      <c r="N366" t="n">
        <v>0</v>
      </c>
      <c r="O366" t="n">
        <v>0</v>
      </c>
      <c r="P366" t="n">
        <v>0</v>
      </c>
      <c r="Q366" t="n">
        <v>0</v>
      </c>
      <c r="R366" s="2" t="inlineStr"/>
    </row>
    <row r="367" ht="15" customHeight="1">
      <c r="A367" t="inlineStr">
        <is>
          <t>A 12290-2023</t>
        </is>
      </c>
      <c r="B367" s="1" t="n">
        <v>44998.73545138889</v>
      </c>
      <c r="C367" s="1" t="n">
        <v>45965</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12291-2023</t>
        </is>
      </c>
      <c r="B368" s="1" t="n">
        <v>44998.74140046296</v>
      </c>
      <c r="C368" s="1" t="n">
        <v>45965</v>
      </c>
      <c r="D368" t="inlineStr">
        <is>
          <t>JÄMTLANDS LÄN</t>
        </is>
      </c>
      <c r="E368" t="inlineStr">
        <is>
          <t>ÅRE</t>
        </is>
      </c>
      <c r="G368" t="n">
        <v>6</v>
      </c>
      <c r="H368" t="n">
        <v>0</v>
      </c>
      <c r="I368" t="n">
        <v>0</v>
      </c>
      <c r="J368" t="n">
        <v>0</v>
      </c>
      <c r="K368" t="n">
        <v>0</v>
      </c>
      <c r="L368" t="n">
        <v>0</v>
      </c>
      <c r="M368" t="n">
        <v>0</v>
      </c>
      <c r="N368" t="n">
        <v>0</v>
      </c>
      <c r="O368" t="n">
        <v>0</v>
      </c>
      <c r="P368" t="n">
        <v>0</v>
      </c>
      <c r="Q368" t="n">
        <v>0</v>
      </c>
      <c r="R368" s="2" t="inlineStr"/>
    </row>
    <row r="369" ht="15" customHeight="1">
      <c r="A369" t="inlineStr">
        <is>
          <t>A 44609-2024</t>
        </is>
      </c>
      <c r="B369" s="1" t="n">
        <v>45574.51212962963</v>
      </c>
      <c r="C369" s="1" t="n">
        <v>45965</v>
      </c>
      <c r="D369" t="inlineStr">
        <is>
          <t>JÄMTLANDS LÄN</t>
        </is>
      </c>
      <c r="E369" t="inlineStr">
        <is>
          <t>ÅRE</t>
        </is>
      </c>
      <c r="G369" t="n">
        <v>1.9</v>
      </c>
      <c r="H369" t="n">
        <v>0</v>
      </c>
      <c r="I369" t="n">
        <v>0</v>
      </c>
      <c r="J369" t="n">
        <v>0</v>
      </c>
      <c r="K369" t="n">
        <v>0</v>
      </c>
      <c r="L369" t="n">
        <v>0</v>
      </c>
      <c r="M369" t="n">
        <v>0</v>
      </c>
      <c r="N369" t="n">
        <v>0</v>
      </c>
      <c r="O369" t="n">
        <v>0</v>
      </c>
      <c r="P369" t="n">
        <v>0</v>
      </c>
      <c r="Q369" t="n">
        <v>0</v>
      </c>
      <c r="R369" s="2" t="inlineStr"/>
    </row>
    <row r="370" ht="15" customHeight="1">
      <c r="A370" t="inlineStr">
        <is>
          <t>A 33230-2024</t>
        </is>
      </c>
      <c r="B370" s="1" t="n">
        <v>45518.57418981481</v>
      </c>
      <c r="C370" s="1" t="n">
        <v>45965</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20480-2024</t>
        </is>
      </c>
      <c r="B371" s="1" t="n">
        <v>45435.71126157408</v>
      </c>
      <c r="C371" s="1" t="n">
        <v>45965</v>
      </c>
      <c r="D371" t="inlineStr">
        <is>
          <t>JÄMTLANDS LÄN</t>
        </is>
      </c>
      <c r="E371" t="inlineStr">
        <is>
          <t>ÅRE</t>
        </is>
      </c>
      <c r="G371" t="n">
        <v>2.7</v>
      </c>
      <c r="H371" t="n">
        <v>0</v>
      </c>
      <c r="I371" t="n">
        <v>0</v>
      </c>
      <c r="J371" t="n">
        <v>0</v>
      </c>
      <c r="K371" t="n">
        <v>0</v>
      </c>
      <c r="L371" t="n">
        <v>0</v>
      </c>
      <c r="M371" t="n">
        <v>0</v>
      </c>
      <c r="N371" t="n">
        <v>0</v>
      </c>
      <c r="O371" t="n">
        <v>0</v>
      </c>
      <c r="P371" t="n">
        <v>0</v>
      </c>
      <c r="Q371" t="n">
        <v>0</v>
      </c>
      <c r="R371" s="2" t="inlineStr"/>
    </row>
    <row r="372" ht="15" customHeight="1">
      <c r="A372" t="inlineStr">
        <is>
          <t>A 43446-2023</t>
        </is>
      </c>
      <c r="B372" s="1" t="n">
        <v>45184.35760416667</v>
      </c>
      <c r="C372" s="1" t="n">
        <v>45965</v>
      </c>
      <c r="D372" t="inlineStr">
        <is>
          <t>JÄMTLANDS LÄN</t>
        </is>
      </c>
      <c r="E372" t="inlineStr">
        <is>
          <t>ÅRE</t>
        </is>
      </c>
      <c r="F372" t="inlineStr">
        <is>
          <t>Övriga Aktiebolag</t>
        </is>
      </c>
      <c r="G372" t="n">
        <v>6.4</v>
      </c>
      <c r="H372" t="n">
        <v>0</v>
      </c>
      <c r="I372" t="n">
        <v>0</v>
      </c>
      <c r="J372" t="n">
        <v>0</v>
      </c>
      <c r="K372" t="n">
        <v>0</v>
      </c>
      <c r="L372" t="n">
        <v>0</v>
      </c>
      <c r="M372" t="n">
        <v>0</v>
      </c>
      <c r="N372" t="n">
        <v>0</v>
      </c>
      <c r="O372" t="n">
        <v>0</v>
      </c>
      <c r="P372" t="n">
        <v>0</v>
      </c>
      <c r="Q372" t="n">
        <v>0</v>
      </c>
      <c r="R372" s="2" t="inlineStr"/>
    </row>
    <row r="373" ht="15" customHeight="1">
      <c r="A373" t="inlineStr">
        <is>
          <t>A 43449-2023</t>
        </is>
      </c>
      <c r="B373" s="1" t="n">
        <v>45184.36697916667</v>
      </c>
      <c r="C373" s="1" t="n">
        <v>45965</v>
      </c>
      <c r="D373" t="inlineStr">
        <is>
          <t>JÄMTLANDS LÄN</t>
        </is>
      </c>
      <c r="E373" t="inlineStr">
        <is>
          <t>ÅRE</t>
        </is>
      </c>
      <c r="F373" t="inlineStr">
        <is>
          <t>Övriga Aktiebolag</t>
        </is>
      </c>
      <c r="G373" t="n">
        <v>3.1</v>
      </c>
      <c r="H373" t="n">
        <v>0</v>
      </c>
      <c r="I373" t="n">
        <v>0</v>
      </c>
      <c r="J373" t="n">
        <v>0</v>
      </c>
      <c r="K373" t="n">
        <v>0</v>
      </c>
      <c r="L373" t="n">
        <v>0</v>
      </c>
      <c r="M373" t="n">
        <v>0</v>
      </c>
      <c r="N373" t="n">
        <v>0</v>
      </c>
      <c r="O373" t="n">
        <v>0</v>
      </c>
      <c r="P373" t="n">
        <v>0</v>
      </c>
      <c r="Q373" t="n">
        <v>0</v>
      </c>
      <c r="R373" s="2" t="inlineStr"/>
    </row>
    <row r="374" ht="15" customHeight="1">
      <c r="A374" t="inlineStr">
        <is>
          <t>A 41677-2024</t>
        </is>
      </c>
      <c r="B374" s="1" t="n">
        <v>45560.66037037037</v>
      </c>
      <c r="C374" s="1" t="n">
        <v>45965</v>
      </c>
      <c r="D374" t="inlineStr">
        <is>
          <t>JÄMTLANDS LÄN</t>
        </is>
      </c>
      <c r="E374" t="inlineStr">
        <is>
          <t>ÅRE</t>
        </is>
      </c>
      <c r="G374" t="n">
        <v>0.5</v>
      </c>
      <c r="H374" t="n">
        <v>0</v>
      </c>
      <c r="I374" t="n">
        <v>0</v>
      </c>
      <c r="J374" t="n">
        <v>0</v>
      </c>
      <c r="K374" t="n">
        <v>0</v>
      </c>
      <c r="L374" t="n">
        <v>0</v>
      </c>
      <c r="M374" t="n">
        <v>0</v>
      </c>
      <c r="N374" t="n">
        <v>0</v>
      </c>
      <c r="O374" t="n">
        <v>0</v>
      </c>
      <c r="P374" t="n">
        <v>0</v>
      </c>
      <c r="Q374" t="n">
        <v>0</v>
      </c>
      <c r="R374" s="2" t="inlineStr"/>
    </row>
    <row r="375" ht="15" customHeight="1">
      <c r="A375" t="inlineStr">
        <is>
          <t>A 41688-2024</t>
        </is>
      </c>
      <c r="B375" s="1" t="n">
        <v>45560.67542824074</v>
      </c>
      <c r="C375" s="1" t="n">
        <v>45965</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4218-2025</t>
        </is>
      </c>
      <c r="B376" s="1" t="n">
        <v>45685</v>
      </c>
      <c r="C376" s="1" t="n">
        <v>45965</v>
      </c>
      <c r="D376" t="inlineStr">
        <is>
          <t>JÄMTLANDS LÄN</t>
        </is>
      </c>
      <c r="E376" t="inlineStr">
        <is>
          <t>ÅRE</t>
        </is>
      </c>
      <c r="F376" t="inlineStr">
        <is>
          <t>Övriga Aktiebolag</t>
        </is>
      </c>
      <c r="G376" t="n">
        <v>10.1</v>
      </c>
      <c r="H376" t="n">
        <v>0</v>
      </c>
      <c r="I376" t="n">
        <v>0</v>
      </c>
      <c r="J376" t="n">
        <v>0</v>
      </c>
      <c r="K376" t="n">
        <v>0</v>
      </c>
      <c r="L376" t="n">
        <v>0</v>
      </c>
      <c r="M376" t="n">
        <v>0</v>
      </c>
      <c r="N376" t="n">
        <v>0</v>
      </c>
      <c r="O376" t="n">
        <v>0</v>
      </c>
      <c r="P376" t="n">
        <v>0</v>
      </c>
      <c r="Q376" t="n">
        <v>0</v>
      </c>
      <c r="R376" s="2" t="inlineStr"/>
    </row>
    <row r="377" ht="15" customHeight="1">
      <c r="A377" t="inlineStr">
        <is>
          <t>A 42244-2024</t>
        </is>
      </c>
      <c r="B377" s="1" t="n">
        <v>45562.56747685185</v>
      </c>
      <c r="C377" s="1" t="n">
        <v>45965</v>
      </c>
      <c r="D377" t="inlineStr">
        <is>
          <t>JÄMTLANDS LÄN</t>
        </is>
      </c>
      <c r="E377" t="inlineStr">
        <is>
          <t>ÅRE</t>
        </is>
      </c>
      <c r="F377" t="inlineStr">
        <is>
          <t>Övriga Aktiebolag</t>
        </is>
      </c>
      <c r="G377" t="n">
        <v>6</v>
      </c>
      <c r="H377" t="n">
        <v>0</v>
      </c>
      <c r="I377" t="n">
        <v>0</v>
      </c>
      <c r="J377" t="n">
        <v>0</v>
      </c>
      <c r="K377" t="n">
        <v>0</v>
      </c>
      <c r="L377" t="n">
        <v>0</v>
      </c>
      <c r="M377" t="n">
        <v>0</v>
      </c>
      <c r="N377" t="n">
        <v>0</v>
      </c>
      <c r="O377" t="n">
        <v>0</v>
      </c>
      <c r="P377" t="n">
        <v>0</v>
      </c>
      <c r="Q377" t="n">
        <v>0</v>
      </c>
      <c r="R377" s="2" t="inlineStr"/>
    </row>
    <row r="378" ht="15" customHeight="1">
      <c r="A378" t="inlineStr">
        <is>
          <t>A 51444-2024</t>
        </is>
      </c>
      <c r="B378" s="1" t="n">
        <v>45604.48304398148</v>
      </c>
      <c r="C378" s="1" t="n">
        <v>45965</v>
      </c>
      <c r="D378" t="inlineStr">
        <is>
          <t>JÄMTLANDS LÄN</t>
        </is>
      </c>
      <c r="E378" t="inlineStr">
        <is>
          <t>ÅRE</t>
        </is>
      </c>
      <c r="G378" t="n">
        <v>2.2</v>
      </c>
      <c r="H378" t="n">
        <v>0</v>
      </c>
      <c r="I378" t="n">
        <v>0</v>
      </c>
      <c r="J378" t="n">
        <v>0</v>
      </c>
      <c r="K378" t="n">
        <v>0</v>
      </c>
      <c r="L378" t="n">
        <v>0</v>
      </c>
      <c r="M378" t="n">
        <v>0</v>
      </c>
      <c r="N378" t="n">
        <v>0</v>
      </c>
      <c r="O378" t="n">
        <v>0</v>
      </c>
      <c r="P378" t="n">
        <v>0</v>
      </c>
      <c r="Q378" t="n">
        <v>0</v>
      </c>
      <c r="R378" s="2" t="inlineStr"/>
    </row>
    <row r="379" ht="15" customHeight="1">
      <c r="A379" t="inlineStr">
        <is>
          <t>A 59666-2023</t>
        </is>
      </c>
      <c r="B379" s="1" t="n">
        <v>45254.96476851852</v>
      </c>
      <c r="C379" s="1" t="n">
        <v>45965</v>
      </c>
      <c r="D379" t="inlineStr">
        <is>
          <t>JÄMTLANDS LÄN</t>
        </is>
      </c>
      <c r="E379" t="inlineStr">
        <is>
          <t>ÅRE</t>
        </is>
      </c>
      <c r="G379" t="n">
        <v>6.6</v>
      </c>
      <c r="H379" t="n">
        <v>0</v>
      </c>
      <c r="I379" t="n">
        <v>0</v>
      </c>
      <c r="J379" t="n">
        <v>0</v>
      </c>
      <c r="K379" t="n">
        <v>0</v>
      </c>
      <c r="L379" t="n">
        <v>0</v>
      </c>
      <c r="M379" t="n">
        <v>0</v>
      </c>
      <c r="N379" t="n">
        <v>0</v>
      </c>
      <c r="O379" t="n">
        <v>0</v>
      </c>
      <c r="P379" t="n">
        <v>0</v>
      </c>
      <c r="Q379" t="n">
        <v>0</v>
      </c>
      <c r="R379" s="2" t="inlineStr"/>
    </row>
    <row r="380" ht="15" customHeight="1">
      <c r="A380" t="inlineStr">
        <is>
          <t>A 278-2023</t>
        </is>
      </c>
      <c r="B380" s="1" t="n">
        <v>44928</v>
      </c>
      <c r="C380" s="1" t="n">
        <v>45965</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15692-2025</t>
        </is>
      </c>
      <c r="B381" s="1" t="n">
        <v>45748</v>
      </c>
      <c r="C381" s="1" t="n">
        <v>45965</v>
      </c>
      <c r="D381" t="inlineStr">
        <is>
          <t>JÄMTLANDS LÄN</t>
        </is>
      </c>
      <c r="E381" t="inlineStr">
        <is>
          <t>ÅRE</t>
        </is>
      </c>
      <c r="G381" t="n">
        <v>2.7</v>
      </c>
      <c r="H381" t="n">
        <v>0</v>
      </c>
      <c r="I381" t="n">
        <v>0</v>
      </c>
      <c r="J381" t="n">
        <v>0</v>
      </c>
      <c r="K381" t="n">
        <v>0</v>
      </c>
      <c r="L381" t="n">
        <v>0</v>
      </c>
      <c r="M381" t="n">
        <v>0</v>
      </c>
      <c r="N381" t="n">
        <v>0</v>
      </c>
      <c r="O381" t="n">
        <v>0</v>
      </c>
      <c r="P381" t="n">
        <v>0</v>
      </c>
      <c r="Q381" t="n">
        <v>0</v>
      </c>
      <c r="R381" s="2" t="inlineStr"/>
    </row>
    <row r="382" ht="15" customHeight="1">
      <c r="A382" t="inlineStr">
        <is>
          <t>A 6232-2021</t>
        </is>
      </c>
      <c r="B382" s="1" t="n">
        <v>44231</v>
      </c>
      <c r="C382" s="1" t="n">
        <v>45965</v>
      </c>
      <c r="D382" t="inlineStr">
        <is>
          <t>JÄMTLANDS LÄN</t>
        </is>
      </c>
      <c r="E382" t="inlineStr">
        <is>
          <t>ÅRE</t>
        </is>
      </c>
      <c r="G382" t="n">
        <v>4.8</v>
      </c>
      <c r="H382" t="n">
        <v>0</v>
      </c>
      <c r="I382" t="n">
        <v>0</v>
      </c>
      <c r="J382" t="n">
        <v>0</v>
      </c>
      <c r="K382" t="n">
        <v>0</v>
      </c>
      <c r="L382" t="n">
        <v>0</v>
      </c>
      <c r="M382" t="n">
        <v>0</v>
      </c>
      <c r="N382" t="n">
        <v>0</v>
      </c>
      <c r="O382" t="n">
        <v>0</v>
      </c>
      <c r="P382" t="n">
        <v>0</v>
      </c>
      <c r="Q382" t="n">
        <v>0</v>
      </c>
      <c r="R382" s="2" t="inlineStr"/>
    </row>
    <row r="383" ht="15" customHeight="1">
      <c r="A383" t="inlineStr">
        <is>
          <t>A 36048-2023</t>
        </is>
      </c>
      <c r="B383" s="1" t="n">
        <v>45149.42868055555</v>
      </c>
      <c r="C383" s="1" t="n">
        <v>45965</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45279-2024</t>
        </is>
      </c>
      <c r="B384" s="1" t="n">
        <v>45576.37496527778</v>
      </c>
      <c r="C384" s="1" t="n">
        <v>45965</v>
      </c>
      <c r="D384" t="inlineStr">
        <is>
          <t>JÄMTLANDS LÄN</t>
        </is>
      </c>
      <c r="E384" t="inlineStr">
        <is>
          <t>ÅRE</t>
        </is>
      </c>
      <c r="G384" t="n">
        <v>17.2</v>
      </c>
      <c r="H384" t="n">
        <v>0</v>
      </c>
      <c r="I384" t="n">
        <v>0</v>
      </c>
      <c r="J384" t="n">
        <v>0</v>
      </c>
      <c r="K384" t="n">
        <v>0</v>
      </c>
      <c r="L384" t="n">
        <v>0</v>
      </c>
      <c r="M384" t="n">
        <v>0</v>
      </c>
      <c r="N384" t="n">
        <v>0</v>
      </c>
      <c r="O384" t="n">
        <v>0</v>
      </c>
      <c r="P384" t="n">
        <v>0</v>
      </c>
      <c r="Q384" t="n">
        <v>0</v>
      </c>
      <c r="R384" s="2" t="inlineStr"/>
    </row>
    <row r="385" ht="15" customHeight="1">
      <c r="A385" t="inlineStr">
        <is>
          <t>A 12177-2025</t>
        </is>
      </c>
      <c r="B385" s="1" t="n">
        <v>45729.45119212963</v>
      </c>
      <c r="C385" s="1" t="n">
        <v>45965</v>
      </c>
      <c r="D385" t="inlineStr">
        <is>
          <t>JÄMTLANDS LÄN</t>
        </is>
      </c>
      <c r="E385" t="inlineStr">
        <is>
          <t>ÅRE</t>
        </is>
      </c>
      <c r="F385" t="inlineStr">
        <is>
          <t>Övriga Aktiebolag</t>
        </is>
      </c>
      <c r="G385" t="n">
        <v>13.2</v>
      </c>
      <c r="H385" t="n">
        <v>0</v>
      </c>
      <c r="I385" t="n">
        <v>0</v>
      </c>
      <c r="J385" t="n">
        <v>0</v>
      </c>
      <c r="K385" t="n">
        <v>0</v>
      </c>
      <c r="L385" t="n">
        <v>0</v>
      </c>
      <c r="M385" t="n">
        <v>0</v>
      </c>
      <c r="N385" t="n">
        <v>0</v>
      </c>
      <c r="O385" t="n">
        <v>0</v>
      </c>
      <c r="P385" t="n">
        <v>0</v>
      </c>
      <c r="Q385" t="n">
        <v>0</v>
      </c>
      <c r="R385" s="2" t="inlineStr"/>
    </row>
    <row r="386" ht="15" customHeight="1">
      <c r="A386" t="inlineStr">
        <is>
          <t>A 3154-2023</t>
        </is>
      </c>
      <c r="B386" s="1" t="n">
        <v>44946.56012731481</v>
      </c>
      <c r="C386" s="1" t="n">
        <v>45965</v>
      </c>
      <c r="D386" t="inlineStr">
        <is>
          <t>JÄMTLANDS LÄN</t>
        </is>
      </c>
      <c r="E386" t="inlineStr">
        <is>
          <t>ÅRE</t>
        </is>
      </c>
      <c r="G386" t="n">
        <v>5.1</v>
      </c>
      <c r="H386" t="n">
        <v>0</v>
      </c>
      <c r="I386" t="n">
        <v>0</v>
      </c>
      <c r="J386" t="n">
        <v>0</v>
      </c>
      <c r="K386" t="n">
        <v>0</v>
      </c>
      <c r="L386" t="n">
        <v>0</v>
      </c>
      <c r="M386" t="n">
        <v>0</v>
      </c>
      <c r="N386" t="n">
        <v>0</v>
      </c>
      <c r="O386" t="n">
        <v>0</v>
      </c>
      <c r="P386" t="n">
        <v>0</v>
      </c>
      <c r="Q386" t="n">
        <v>0</v>
      </c>
      <c r="R386" s="2" t="inlineStr"/>
    </row>
    <row r="387" ht="15" customHeight="1">
      <c r="A387" t="inlineStr">
        <is>
          <t>A 3204-2023</t>
        </is>
      </c>
      <c r="B387" s="1" t="n">
        <v>44946</v>
      </c>
      <c r="C387" s="1" t="n">
        <v>45965</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14283-2025</t>
        </is>
      </c>
      <c r="B388" s="1" t="n">
        <v>45740.65851851852</v>
      </c>
      <c r="C388" s="1" t="n">
        <v>45965</v>
      </c>
      <c r="D388" t="inlineStr">
        <is>
          <t>JÄMTLANDS LÄN</t>
        </is>
      </c>
      <c r="E388" t="inlineStr">
        <is>
          <t>ÅRE</t>
        </is>
      </c>
      <c r="G388" t="n">
        <v>4.6</v>
      </c>
      <c r="H388" t="n">
        <v>0</v>
      </c>
      <c r="I388" t="n">
        <v>0</v>
      </c>
      <c r="J388" t="n">
        <v>0</v>
      </c>
      <c r="K388" t="n">
        <v>0</v>
      </c>
      <c r="L388" t="n">
        <v>0</v>
      </c>
      <c r="M388" t="n">
        <v>0</v>
      </c>
      <c r="N388" t="n">
        <v>0</v>
      </c>
      <c r="O388" t="n">
        <v>0</v>
      </c>
      <c r="P388" t="n">
        <v>0</v>
      </c>
      <c r="Q388" t="n">
        <v>0</v>
      </c>
      <c r="R388" s="2" t="inlineStr"/>
    </row>
    <row r="389" ht="15" customHeight="1">
      <c r="A389" t="inlineStr">
        <is>
          <t>A 52677-2024</t>
        </is>
      </c>
      <c r="B389" s="1" t="n">
        <v>45610.38560185185</v>
      </c>
      <c r="C389" s="1" t="n">
        <v>45965</v>
      </c>
      <c r="D389" t="inlineStr">
        <is>
          <t>JÄMTLANDS LÄN</t>
        </is>
      </c>
      <c r="E389" t="inlineStr">
        <is>
          <t>ÅRE</t>
        </is>
      </c>
      <c r="F389" t="inlineStr">
        <is>
          <t>Övriga Aktiebolag</t>
        </is>
      </c>
      <c r="G389" t="n">
        <v>3</v>
      </c>
      <c r="H389" t="n">
        <v>0</v>
      </c>
      <c r="I389" t="n">
        <v>0</v>
      </c>
      <c r="J389" t="n">
        <v>0</v>
      </c>
      <c r="K389" t="n">
        <v>0</v>
      </c>
      <c r="L389" t="n">
        <v>0</v>
      </c>
      <c r="M389" t="n">
        <v>0</v>
      </c>
      <c r="N389" t="n">
        <v>0</v>
      </c>
      <c r="O389" t="n">
        <v>0</v>
      </c>
      <c r="P389" t="n">
        <v>0</v>
      </c>
      <c r="Q389" t="n">
        <v>0</v>
      </c>
      <c r="R389" s="2" t="inlineStr"/>
    </row>
    <row r="390" ht="15" customHeight="1">
      <c r="A390" t="inlineStr">
        <is>
          <t>A 49313-2024</t>
        </is>
      </c>
      <c r="B390" s="1" t="n">
        <v>45595</v>
      </c>
      <c r="C390" s="1" t="n">
        <v>45965</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61295-2023</t>
        </is>
      </c>
      <c r="B391" s="1" t="n">
        <v>45264</v>
      </c>
      <c r="C391" s="1" t="n">
        <v>45965</v>
      </c>
      <c r="D391" t="inlineStr">
        <is>
          <t>JÄMTLANDS LÄN</t>
        </is>
      </c>
      <c r="E391" t="inlineStr">
        <is>
          <t>ÅRE</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54247-2024</t>
        </is>
      </c>
      <c r="B392" s="1" t="n">
        <v>45616</v>
      </c>
      <c r="C392" s="1" t="n">
        <v>45965</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45453-2024</t>
        </is>
      </c>
      <c r="B393" s="1" t="n">
        <v>45576.66674768519</v>
      </c>
      <c r="C393" s="1" t="n">
        <v>45965</v>
      </c>
      <c r="D393" t="inlineStr">
        <is>
          <t>JÄMTLANDS LÄN</t>
        </is>
      </c>
      <c r="E393" t="inlineStr">
        <is>
          <t>ÅRE</t>
        </is>
      </c>
      <c r="G393" t="n">
        <v>0.6</v>
      </c>
      <c r="H393" t="n">
        <v>0</v>
      </c>
      <c r="I393" t="n">
        <v>0</v>
      </c>
      <c r="J393" t="n">
        <v>0</v>
      </c>
      <c r="K393" t="n">
        <v>0</v>
      </c>
      <c r="L393" t="n">
        <v>0</v>
      </c>
      <c r="M393" t="n">
        <v>0</v>
      </c>
      <c r="N393" t="n">
        <v>0</v>
      </c>
      <c r="O393" t="n">
        <v>0</v>
      </c>
      <c r="P393" t="n">
        <v>0</v>
      </c>
      <c r="Q393" t="n">
        <v>0</v>
      </c>
      <c r="R393" s="2" t="inlineStr"/>
    </row>
    <row r="394" ht="15" customHeight="1">
      <c r="A394" t="inlineStr">
        <is>
          <t>A 54116-2023</t>
        </is>
      </c>
      <c r="B394" s="1" t="n">
        <v>45232</v>
      </c>
      <c r="C394" s="1" t="n">
        <v>45965</v>
      </c>
      <c r="D394" t="inlineStr">
        <is>
          <t>JÄMTLANDS LÄN</t>
        </is>
      </c>
      <c r="E394" t="inlineStr">
        <is>
          <t>ÅRE</t>
        </is>
      </c>
      <c r="G394" t="n">
        <v>3.8</v>
      </c>
      <c r="H394" t="n">
        <v>0</v>
      </c>
      <c r="I394" t="n">
        <v>0</v>
      </c>
      <c r="J394" t="n">
        <v>0</v>
      </c>
      <c r="K394" t="n">
        <v>0</v>
      </c>
      <c r="L394" t="n">
        <v>0</v>
      </c>
      <c r="M394" t="n">
        <v>0</v>
      </c>
      <c r="N394" t="n">
        <v>0</v>
      </c>
      <c r="O394" t="n">
        <v>0</v>
      </c>
      <c r="P394" t="n">
        <v>0</v>
      </c>
      <c r="Q394" t="n">
        <v>0</v>
      </c>
      <c r="R394" s="2" t="inlineStr"/>
    </row>
    <row r="395" ht="15" customHeight="1">
      <c r="A395" t="inlineStr">
        <is>
          <t>A 71043-2021</t>
        </is>
      </c>
      <c r="B395" s="1" t="n">
        <v>44538</v>
      </c>
      <c r="C395" s="1" t="n">
        <v>45965</v>
      </c>
      <c r="D395" t="inlineStr">
        <is>
          <t>JÄMTLANDS LÄN</t>
        </is>
      </c>
      <c r="E395" t="inlineStr">
        <is>
          <t>ÅRE</t>
        </is>
      </c>
      <c r="G395" t="n">
        <v>0.4</v>
      </c>
      <c r="H395" t="n">
        <v>0</v>
      </c>
      <c r="I395" t="n">
        <v>0</v>
      </c>
      <c r="J395" t="n">
        <v>0</v>
      </c>
      <c r="K395" t="n">
        <v>0</v>
      </c>
      <c r="L395" t="n">
        <v>0</v>
      </c>
      <c r="M395" t="n">
        <v>0</v>
      </c>
      <c r="N395" t="n">
        <v>0</v>
      </c>
      <c r="O395" t="n">
        <v>0</v>
      </c>
      <c r="P395" t="n">
        <v>0</v>
      </c>
      <c r="Q395" t="n">
        <v>0</v>
      </c>
      <c r="R395" s="2" t="inlineStr"/>
    </row>
    <row r="396" ht="15" customHeight="1">
      <c r="A396" t="inlineStr">
        <is>
          <t>A 51500-2024</t>
        </is>
      </c>
      <c r="B396" s="1" t="n">
        <v>45604.54693287037</v>
      </c>
      <c r="C396" s="1" t="n">
        <v>45965</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8983-2021</t>
        </is>
      </c>
      <c r="B397" s="1" t="n">
        <v>44231</v>
      </c>
      <c r="C397" s="1" t="n">
        <v>45965</v>
      </c>
      <c r="D397" t="inlineStr">
        <is>
          <t>JÄMTLANDS LÄN</t>
        </is>
      </c>
      <c r="E397" t="inlineStr">
        <is>
          <t>ÅRE</t>
        </is>
      </c>
      <c r="G397" t="n">
        <v>4.1</v>
      </c>
      <c r="H397" t="n">
        <v>0</v>
      </c>
      <c r="I397" t="n">
        <v>0</v>
      </c>
      <c r="J397" t="n">
        <v>0</v>
      </c>
      <c r="K397" t="n">
        <v>0</v>
      </c>
      <c r="L397" t="n">
        <v>0</v>
      </c>
      <c r="M397" t="n">
        <v>0</v>
      </c>
      <c r="N397" t="n">
        <v>0</v>
      </c>
      <c r="O397" t="n">
        <v>0</v>
      </c>
      <c r="P397" t="n">
        <v>0</v>
      </c>
      <c r="Q397" t="n">
        <v>0</v>
      </c>
      <c r="R397" s="2" t="inlineStr"/>
    </row>
    <row r="398" ht="15" customHeight="1">
      <c r="A398" t="inlineStr">
        <is>
          <t>A 15884-2023</t>
        </is>
      </c>
      <c r="B398" s="1" t="n">
        <v>45022</v>
      </c>
      <c r="C398" s="1" t="n">
        <v>45965</v>
      </c>
      <c r="D398" t="inlineStr">
        <is>
          <t>JÄMTLANDS LÄN</t>
        </is>
      </c>
      <c r="E398" t="inlineStr">
        <is>
          <t>ÅRE</t>
        </is>
      </c>
      <c r="G398" t="n">
        <v>1.5</v>
      </c>
      <c r="H398" t="n">
        <v>0</v>
      </c>
      <c r="I398" t="n">
        <v>0</v>
      </c>
      <c r="J398" t="n">
        <v>0</v>
      </c>
      <c r="K398" t="n">
        <v>0</v>
      </c>
      <c r="L398" t="n">
        <v>0</v>
      </c>
      <c r="M398" t="n">
        <v>0</v>
      </c>
      <c r="N398" t="n">
        <v>0</v>
      </c>
      <c r="O398" t="n">
        <v>0</v>
      </c>
      <c r="P398" t="n">
        <v>0</v>
      </c>
      <c r="Q398" t="n">
        <v>0</v>
      </c>
      <c r="R398" s="2" t="inlineStr"/>
    </row>
    <row r="399" ht="15" customHeight="1">
      <c r="A399" t="inlineStr">
        <is>
          <t>A 47075-2024</t>
        </is>
      </c>
      <c r="B399" s="1" t="n">
        <v>45586.5008912037</v>
      </c>
      <c r="C399" s="1" t="n">
        <v>45965</v>
      </c>
      <c r="D399" t="inlineStr">
        <is>
          <t>JÄMTLANDS LÄN</t>
        </is>
      </c>
      <c r="E399" t="inlineStr">
        <is>
          <t>ÅRE</t>
        </is>
      </c>
      <c r="G399" t="n">
        <v>1.2</v>
      </c>
      <c r="H399" t="n">
        <v>0</v>
      </c>
      <c r="I399" t="n">
        <v>0</v>
      </c>
      <c r="J399" t="n">
        <v>0</v>
      </c>
      <c r="K399" t="n">
        <v>0</v>
      </c>
      <c r="L399" t="n">
        <v>0</v>
      </c>
      <c r="M399" t="n">
        <v>0</v>
      </c>
      <c r="N399" t="n">
        <v>0</v>
      </c>
      <c r="O399" t="n">
        <v>0</v>
      </c>
      <c r="P399" t="n">
        <v>0</v>
      </c>
      <c r="Q399" t="n">
        <v>0</v>
      </c>
      <c r="R399" s="2" t="inlineStr"/>
    </row>
    <row r="400" ht="15" customHeight="1">
      <c r="A400" t="inlineStr">
        <is>
          <t>A 47076-2024</t>
        </is>
      </c>
      <c r="B400" s="1" t="n">
        <v>45586.50180555556</v>
      </c>
      <c r="C400" s="1" t="n">
        <v>45965</v>
      </c>
      <c r="D400" t="inlineStr">
        <is>
          <t>JÄMTLANDS LÄN</t>
        </is>
      </c>
      <c r="E400" t="inlineStr">
        <is>
          <t>ÅRE</t>
        </is>
      </c>
      <c r="G400" t="n">
        <v>6.5</v>
      </c>
      <c r="H400" t="n">
        <v>0</v>
      </c>
      <c r="I400" t="n">
        <v>0</v>
      </c>
      <c r="J400" t="n">
        <v>0</v>
      </c>
      <c r="K400" t="n">
        <v>0</v>
      </c>
      <c r="L400" t="n">
        <v>0</v>
      </c>
      <c r="M400" t="n">
        <v>0</v>
      </c>
      <c r="N400" t="n">
        <v>0</v>
      </c>
      <c r="O400" t="n">
        <v>0</v>
      </c>
      <c r="P400" t="n">
        <v>0</v>
      </c>
      <c r="Q400" t="n">
        <v>0</v>
      </c>
      <c r="R400" s="2" t="inlineStr"/>
    </row>
    <row r="401" ht="15" customHeight="1">
      <c r="A401" t="inlineStr">
        <is>
          <t>A 21181-2025</t>
        </is>
      </c>
      <c r="B401" s="1" t="n">
        <v>45779.43696759259</v>
      </c>
      <c r="C401" s="1" t="n">
        <v>45965</v>
      </c>
      <c r="D401" t="inlineStr">
        <is>
          <t>JÄMTLANDS LÄN</t>
        </is>
      </c>
      <c r="E401" t="inlineStr">
        <is>
          <t>ÅRE</t>
        </is>
      </c>
      <c r="G401" t="n">
        <v>2.9</v>
      </c>
      <c r="H401" t="n">
        <v>0</v>
      </c>
      <c r="I401" t="n">
        <v>0</v>
      </c>
      <c r="J401" t="n">
        <v>0</v>
      </c>
      <c r="K401" t="n">
        <v>0</v>
      </c>
      <c r="L401" t="n">
        <v>0</v>
      </c>
      <c r="M401" t="n">
        <v>0</v>
      </c>
      <c r="N401" t="n">
        <v>0</v>
      </c>
      <c r="O401" t="n">
        <v>0</v>
      </c>
      <c r="P401" t="n">
        <v>0</v>
      </c>
      <c r="Q401" t="n">
        <v>0</v>
      </c>
      <c r="R401" s="2" t="inlineStr"/>
    </row>
    <row r="402" ht="15" customHeight="1">
      <c r="A402" t="inlineStr">
        <is>
          <t>A 66083-2020</t>
        </is>
      </c>
      <c r="B402" s="1" t="n">
        <v>44172</v>
      </c>
      <c r="C402" s="1" t="n">
        <v>45965</v>
      </c>
      <c r="D402" t="inlineStr">
        <is>
          <t>JÄMTLANDS LÄN</t>
        </is>
      </c>
      <c r="E402" t="inlineStr">
        <is>
          <t>ÅRE</t>
        </is>
      </c>
      <c r="G402" t="n">
        <v>213.4</v>
      </c>
      <c r="H402" t="n">
        <v>0</v>
      </c>
      <c r="I402" t="n">
        <v>0</v>
      </c>
      <c r="J402" t="n">
        <v>0</v>
      </c>
      <c r="K402" t="n">
        <v>0</v>
      </c>
      <c r="L402" t="n">
        <v>0</v>
      </c>
      <c r="M402" t="n">
        <v>0</v>
      </c>
      <c r="N402" t="n">
        <v>0</v>
      </c>
      <c r="O402" t="n">
        <v>0</v>
      </c>
      <c r="P402" t="n">
        <v>0</v>
      </c>
      <c r="Q402" t="n">
        <v>0</v>
      </c>
      <c r="R402" s="2" t="inlineStr"/>
    </row>
    <row r="403" ht="15" customHeight="1">
      <c r="A403" t="inlineStr">
        <is>
          <t>A 21167-2025</t>
        </is>
      </c>
      <c r="B403" s="1" t="n">
        <v>45779.41253472222</v>
      </c>
      <c r="C403" s="1" t="n">
        <v>45965</v>
      </c>
      <c r="D403" t="inlineStr">
        <is>
          <t>JÄMTLANDS LÄN</t>
        </is>
      </c>
      <c r="E403" t="inlineStr">
        <is>
          <t>ÅRE</t>
        </is>
      </c>
      <c r="G403" t="n">
        <v>0.4</v>
      </c>
      <c r="H403" t="n">
        <v>0</v>
      </c>
      <c r="I403" t="n">
        <v>0</v>
      </c>
      <c r="J403" t="n">
        <v>0</v>
      </c>
      <c r="K403" t="n">
        <v>0</v>
      </c>
      <c r="L403" t="n">
        <v>0</v>
      </c>
      <c r="M403" t="n">
        <v>0</v>
      </c>
      <c r="N403" t="n">
        <v>0</v>
      </c>
      <c r="O403" t="n">
        <v>0</v>
      </c>
      <c r="P403" t="n">
        <v>0</v>
      </c>
      <c r="Q403" t="n">
        <v>0</v>
      </c>
      <c r="R403" s="2" t="inlineStr"/>
    </row>
    <row r="404" ht="15" customHeight="1">
      <c r="A404" t="inlineStr">
        <is>
          <t>A 45161-2024</t>
        </is>
      </c>
      <c r="B404" s="1" t="n">
        <v>45575.64982638889</v>
      </c>
      <c r="C404" s="1" t="n">
        <v>45965</v>
      </c>
      <c r="D404" t="inlineStr">
        <is>
          <t>JÄMTLANDS LÄN</t>
        </is>
      </c>
      <c r="E404" t="inlineStr">
        <is>
          <t>ÅRE</t>
        </is>
      </c>
      <c r="G404" t="n">
        <v>6.9</v>
      </c>
      <c r="H404" t="n">
        <v>0</v>
      </c>
      <c r="I404" t="n">
        <v>0</v>
      </c>
      <c r="J404" t="n">
        <v>0</v>
      </c>
      <c r="K404" t="n">
        <v>0</v>
      </c>
      <c r="L404" t="n">
        <v>0</v>
      </c>
      <c r="M404" t="n">
        <v>0</v>
      </c>
      <c r="N404" t="n">
        <v>0</v>
      </c>
      <c r="O404" t="n">
        <v>0</v>
      </c>
      <c r="P404" t="n">
        <v>0</v>
      </c>
      <c r="Q404" t="n">
        <v>0</v>
      </c>
      <c r="R404" s="2" t="inlineStr"/>
    </row>
    <row r="405" ht="15" customHeight="1">
      <c r="A405" t="inlineStr">
        <is>
          <t>A 15480-2024</t>
        </is>
      </c>
      <c r="B405" s="1" t="n">
        <v>45401.49065972222</v>
      </c>
      <c r="C405" s="1" t="n">
        <v>45965</v>
      </c>
      <c r="D405" t="inlineStr">
        <is>
          <t>JÄMTLANDS LÄN</t>
        </is>
      </c>
      <c r="E405" t="inlineStr">
        <is>
          <t>ÅRE</t>
        </is>
      </c>
      <c r="G405" t="n">
        <v>11.8</v>
      </c>
      <c r="H405" t="n">
        <v>0</v>
      </c>
      <c r="I405" t="n">
        <v>0</v>
      </c>
      <c r="J405" t="n">
        <v>0</v>
      </c>
      <c r="K405" t="n">
        <v>0</v>
      </c>
      <c r="L405" t="n">
        <v>0</v>
      </c>
      <c r="M405" t="n">
        <v>0</v>
      </c>
      <c r="N405" t="n">
        <v>0</v>
      </c>
      <c r="O405" t="n">
        <v>0</v>
      </c>
      <c r="P405" t="n">
        <v>0</v>
      </c>
      <c r="Q405" t="n">
        <v>0</v>
      </c>
      <c r="R405" s="2" t="inlineStr"/>
    </row>
    <row r="406" ht="15" customHeight="1">
      <c r="A406" t="inlineStr">
        <is>
          <t>A 68537-2020</t>
        </is>
      </c>
      <c r="B406" s="1" t="n">
        <v>44186</v>
      </c>
      <c r="C406" s="1" t="n">
        <v>45965</v>
      </c>
      <c r="D406" t="inlineStr">
        <is>
          <t>JÄMTLANDS LÄN</t>
        </is>
      </c>
      <c r="E406" t="inlineStr">
        <is>
          <t>ÅRE</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68545-2020</t>
        </is>
      </c>
      <c r="B407" s="1" t="n">
        <v>44186</v>
      </c>
      <c r="C407" s="1" t="n">
        <v>45965</v>
      </c>
      <c r="D407" t="inlineStr">
        <is>
          <t>JÄMTLANDS LÄN</t>
        </is>
      </c>
      <c r="E407" t="inlineStr">
        <is>
          <t>ÅRE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43342-2024</t>
        </is>
      </c>
      <c r="B408" s="1" t="n">
        <v>45568.55114583333</v>
      </c>
      <c r="C408" s="1" t="n">
        <v>45965</v>
      </c>
      <c r="D408" t="inlineStr">
        <is>
          <t>JÄMTLANDS LÄN</t>
        </is>
      </c>
      <c r="E408" t="inlineStr">
        <is>
          <t>ÅRE</t>
        </is>
      </c>
      <c r="F408" t="inlineStr">
        <is>
          <t>Övriga Aktiebolag</t>
        </is>
      </c>
      <c r="G408" t="n">
        <v>4.8</v>
      </c>
      <c r="H408" t="n">
        <v>0</v>
      </c>
      <c r="I408" t="n">
        <v>0</v>
      </c>
      <c r="J408" t="n">
        <v>0</v>
      </c>
      <c r="K408" t="n">
        <v>0</v>
      </c>
      <c r="L408" t="n">
        <v>0</v>
      </c>
      <c r="M408" t="n">
        <v>0</v>
      </c>
      <c r="N408" t="n">
        <v>0</v>
      </c>
      <c r="O408" t="n">
        <v>0</v>
      </c>
      <c r="P408" t="n">
        <v>0</v>
      </c>
      <c r="Q408" t="n">
        <v>0</v>
      </c>
      <c r="R408" s="2" t="inlineStr"/>
    </row>
    <row r="409" ht="15" customHeight="1">
      <c r="A409" t="inlineStr">
        <is>
          <t>A 6358-2025</t>
        </is>
      </c>
      <c r="B409" s="1" t="n">
        <v>45699.36491898148</v>
      </c>
      <c r="C409" s="1" t="n">
        <v>45965</v>
      </c>
      <c r="D409" t="inlineStr">
        <is>
          <t>JÄMTLANDS LÄN</t>
        </is>
      </c>
      <c r="E409" t="inlineStr">
        <is>
          <t>ÅRE</t>
        </is>
      </c>
      <c r="G409" t="n">
        <v>5.6</v>
      </c>
      <c r="H409" t="n">
        <v>0</v>
      </c>
      <c r="I409" t="n">
        <v>0</v>
      </c>
      <c r="J409" t="n">
        <v>0</v>
      </c>
      <c r="K409" t="n">
        <v>0</v>
      </c>
      <c r="L409" t="n">
        <v>0</v>
      </c>
      <c r="M409" t="n">
        <v>0</v>
      </c>
      <c r="N409" t="n">
        <v>0</v>
      </c>
      <c r="O409" t="n">
        <v>0</v>
      </c>
      <c r="P409" t="n">
        <v>0</v>
      </c>
      <c r="Q409" t="n">
        <v>0</v>
      </c>
      <c r="R409" s="2" t="inlineStr"/>
    </row>
    <row r="410" ht="15" customHeight="1">
      <c r="A410" t="inlineStr">
        <is>
          <t>A 18253-2023</t>
        </is>
      </c>
      <c r="B410" s="1" t="n">
        <v>45041.48034722222</v>
      </c>
      <c r="C410" s="1" t="n">
        <v>45965</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61183-2023</t>
        </is>
      </c>
      <c r="B411" s="1" t="n">
        <v>45263</v>
      </c>
      <c r="C411" s="1" t="n">
        <v>45965</v>
      </c>
      <c r="D411" t="inlineStr">
        <is>
          <t>JÄMTLANDS LÄN</t>
        </is>
      </c>
      <c r="E411" t="inlineStr">
        <is>
          <t>ÅRE</t>
        </is>
      </c>
      <c r="G411" t="n">
        <v>8.4</v>
      </c>
      <c r="H411" t="n">
        <v>0</v>
      </c>
      <c r="I411" t="n">
        <v>0</v>
      </c>
      <c r="J411" t="n">
        <v>0</v>
      </c>
      <c r="K411" t="n">
        <v>0</v>
      </c>
      <c r="L411" t="n">
        <v>0</v>
      </c>
      <c r="M411" t="n">
        <v>0</v>
      </c>
      <c r="N411" t="n">
        <v>0</v>
      </c>
      <c r="O411" t="n">
        <v>0</v>
      </c>
      <c r="P411" t="n">
        <v>0</v>
      </c>
      <c r="Q411" t="n">
        <v>0</v>
      </c>
      <c r="R411" s="2" t="inlineStr"/>
    </row>
    <row r="412" ht="15" customHeight="1">
      <c r="A412" t="inlineStr">
        <is>
          <t>A 61481-2022</t>
        </is>
      </c>
      <c r="B412" s="1" t="n">
        <v>44910</v>
      </c>
      <c r="C412" s="1" t="n">
        <v>45965</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46452-2025</t>
        </is>
      </c>
      <c r="B413" s="1" t="n">
        <v>45925.65625</v>
      </c>
      <c r="C413" s="1" t="n">
        <v>45965</v>
      </c>
      <c r="D413" t="inlineStr">
        <is>
          <t>JÄMTLANDS LÄN</t>
        </is>
      </c>
      <c r="E413" t="inlineStr">
        <is>
          <t>ÅRE</t>
        </is>
      </c>
      <c r="G413" t="n">
        <v>7.2</v>
      </c>
      <c r="H413" t="n">
        <v>0</v>
      </c>
      <c r="I413" t="n">
        <v>0</v>
      </c>
      <c r="J413" t="n">
        <v>0</v>
      </c>
      <c r="K413" t="n">
        <v>0</v>
      </c>
      <c r="L413" t="n">
        <v>0</v>
      </c>
      <c r="M413" t="n">
        <v>0</v>
      </c>
      <c r="N413" t="n">
        <v>0</v>
      </c>
      <c r="O413" t="n">
        <v>0</v>
      </c>
      <c r="P413" t="n">
        <v>0</v>
      </c>
      <c r="Q413" t="n">
        <v>0</v>
      </c>
      <c r="R413" s="2" t="inlineStr"/>
    </row>
    <row r="414" ht="15" customHeight="1">
      <c r="A414" t="inlineStr">
        <is>
          <t>A 33625-2022</t>
        </is>
      </c>
      <c r="B414" s="1" t="n">
        <v>44789</v>
      </c>
      <c r="C414" s="1" t="n">
        <v>45965</v>
      </c>
      <c r="D414" t="inlineStr">
        <is>
          <t>JÄMTLANDS LÄN</t>
        </is>
      </c>
      <c r="E414" t="inlineStr">
        <is>
          <t>ÅRE</t>
        </is>
      </c>
      <c r="G414" t="n">
        <v>20.7</v>
      </c>
      <c r="H414" t="n">
        <v>0</v>
      </c>
      <c r="I414" t="n">
        <v>0</v>
      </c>
      <c r="J414" t="n">
        <v>0</v>
      </c>
      <c r="K414" t="n">
        <v>0</v>
      </c>
      <c r="L414" t="n">
        <v>0</v>
      </c>
      <c r="M414" t="n">
        <v>0</v>
      </c>
      <c r="N414" t="n">
        <v>0</v>
      </c>
      <c r="O414" t="n">
        <v>0</v>
      </c>
      <c r="P414" t="n">
        <v>0</v>
      </c>
      <c r="Q414" t="n">
        <v>0</v>
      </c>
      <c r="R414" s="2" t="inlineStr"/>
    </row>
    <row r="415" ht="15" customHeight="1">
      <c r="A415" t="inlineStr">
        <is>
          <t>A 43307-2024</t>
        </is>
      </c>
      <c r="B415" s="1" t="n">
        <v>45568.44303240741</v>
      </c>
      <c r="C415" s="1" t="n">
        <v>45965</v>
      </c>
      <c r="D415" t="inlineStr">
        <is>
          <t>JÄMTLANDS LÄN</t>
        </is>
      </c>
      <c r="E415" t="inlineStr">
        <is>
          <t>ÅRE</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12286-2023</t>
        </is>
      </c>
      <c r="B416" s="1" t="n">
        <v>44998.72263888889</v>
      </c>
      <c r="C416" s="1" t="n">
        <v>45965</v>
      </c>
      <c r="D416" t="inlineStr">
        <is>
          <t>JÄMTLANDS LÄN</t>
        </is>
      </c>
      <c r="E416" t="inlineStr">
        <is>
          <t>ÅRE</t>
        </is>
      </c>
      <c r="G416" t="n">
        <v>7.3</v>
      </c>
      <c r="H416" t="n">
        <v>0</v>
      </c>
      <c r="I416" t="n">
        <v>0</v>
      </c>
      <c r="J416" t="n">
        <v>0</v>
      </c>
      <c r="K416" t="n">
        <v>0</v>
      </c>
      <c r="L416" t="n">
        <v>0</v>
      </c>
      <c r="M416" t="n">
        <v>0</v>
      </c>
      <c r="N416" t="n">
        <v>0</v>
      </c>
      <c r="O416" t="n">
        <v>0</v>
      </c>
      <c r="P416" t="n">
        <v>0</v>
      </c>
      <c r="Q416" t="n">
        <v>0</v>
      </c>
      <c r="R416" s="2" t="inlineStr"/>
    </row>
    <row r="417" ht="15" customHeight="1">
      <c r="A417" t="inlineStr">
        <is>
          <t>A 45105-2024</t>
        </is>
      </c>
      <c r="B417" s="1" t="n">
        <v>45575.5909837963</v>
      </c>
      <c r="C417" s="1" t="n">
        <v>45965</v>
      </c>
      <c r="D417" t="inlineStr">
        <is>
          <t>JÄMTLANDS LÄN</t>
        </is>
      </c>
      <c r="E417" t="inlineStr">
        <is>
          <t>ÅRE</t>
        </is>
      </c>
      <c r="F417" t="inlineStr">
        <is>
          <t>Övriga Aktiebolag</t>
        </is>
      </c>
      <c r="G417" t="n">
        <v>5</v>
      </c>
      <c r="H417" t="n">
        <v>0</v>
      </c>
      <c r="I417" t="n">
        <v>0</v>
      </c>
      <c r="J417" t="n">
        <v>0</v>
      </c>
      <c r="K417" t="n">
        <v>0</v>
      </c>
      <c r="L417" t="n">
        <v>0</v>
      </c>
      <c r="M417" t="n">
        <v>0</v>
      </c>
      <c r="N417" t="n">
        <v>0</v>
      </c>
      <c r="O417" t="n">
        <v>0</v>
      </c>
      <c r="P417" t="n">
        <v>0</v>
      </c>
      <c r="Q417" t="n">
        <v>0</v>
      </c>
      <c r="R417" s="2" t="inlineStr"/>
    </row>
    <row r="418" ht="15" customHeight="1">
      <c r="A418" t="inlineStr">
        <is>
          <t>A 11112-2022</t>
        </is>
      </c>
      <c r="B418" s="1" t="n">
        <v>44628</v>
      </c>
      <c r="C418" s="1" t="n">
        <v>45965</v>
      </c>
      <c r="D418" t="inlineStr">
        <is>
          <t>JÄMTLANDS LÄN</t>
        </is>
      </c>
      <c r="E418" t="inlineStr">
        <is>
          <t>ÅRE</t>
        </is>
      </c>
      <c r="G418" t="n">
        <v>6.6</v>
      </c>
      <c r="H418" t="n">
        <v>0</v>
      </c>
      <c r="I418" t="n">
        <v>0</v>
      </c>
      <c r="J418" t="n">
        <v>0</v>
      </c>
      <c r="K418" t="n">
        <v>0</v>
      </c>
      <c r="L418" t="n">
        <v>0</v>
      </c>
      <c r="M418" t="n">
        <v>0</v>
      </c>
      <c r="N418" t="n">
        <v>0</v>
      </c>
      <c r="O418" t="n">
        <v>0</v>
      </c>
      <c r="P418" t="n">
        <v>0</v>
      </c>
      <c r="Q418" t="n">
        <v>0</v>
      </c>
      <c r="R418" s="2" t="inlineStr"/>
    </row>
    <row r="419" ht="15" customHeight="1">
      <c r="A419" t="inlineStr">
        <is>
          <t>A 46457-2025</t>
        </is>
      </c>
      <c r="B419" s="1" t="n">
        <v>45925.66126157407</v>
      </c>
      <c r="C419" s="1" t="n">
        <v>45965</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39195-2024</t>
        </is>
      </c>
      <c r="B420" s="1" t="n">
        <v>45548.6934837963</v>
      </c>
      <c r="C420" s="1" t="n">
        <v>45965</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17703-2023</t>
        </is>
      </c>
      <c r="B421" s="1" t="n">
        <v>45037.35443287037</v>
      </c>
      <c r="C421" s="1" t="n">
        <v>45965</v>
      </c>
      <c r="D421" t="inlineStr">
        <is>
          <t>JÄMTLANDS LÄN</t>
        </is>
      </c>
      <c r="E421" t="inlineStr">
        <is>
          <t>ÅRE</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12857-2021</t>
        </is>
      </c>
      <c r="B422" s="1" t="n">
        <v>44270</v>
      </c>
      <c r="C422" s="1" t="n">
        <v>45965</v>
      </c>
      <c r="D422" t="inlineStr">
        <is>
          <t>JÄMTLANDS LÄN</t>
        </is>
      </c>
      <c r="E422" t="inlineStr">
        <is>
          <t>ÅRE</t>
        </is>
      </c>
      <c r="F422" t="inlineStr">
        <is>
          <t>Kommuner</t>
        </is>
      </c>
      <c r="G422" t="n">
        <v>17.2</v>
      </c>
      <c r="H422" t="n">
        <v>0</v>
      </c>
      <c r="I422" t="n">
        <v>0</v>
      </c>
      <c r="J422" t="n">
        <v>0</v>
      </c>
      <c r="K422" t="n">
        <v>0</v>
      </c>
      <c r="L422" t="n">
        <v>0</v>
      </c>
      <c r="M422" t="n">
        <v>0</v>
      </c>
      <c r="N422" t="n">
        <v>0</v>
      </c>
      <c r="O422" t="n">
        <v>0</v>
      </c>
      <c r="P422" t="n">
        <v>0</v>
      </c>
      <c r="Q422" t="n">
        <v>0</v>
      </c>
      <c r="R422" s="2" t="inlineStr"/>
    </row>
    <row r="423" ht="15" customHeight="1">
      <c r="A423" t="inlineStr">
        <is>
          <t>A 13383-2022</t>
        </is>
      </c>
      <c r="B423" s="1" t="n">
        <v>44637</v>
      </c>
      <c r="C423" s="1" t="n">
        <v>45965</v>
      </c>
      <c r="D423" t="inlineStr">
        <is>
          <t>JÄMTLANDS LÄN</t>
        </is>
      </c>
      <c r="E423" t="inlineStr">
        <is>
          <t>ÅRE</t>
        </is>
      </c>
      <c r="G423" t="n">
        <v>2.2</v>
      </c>
      <c r="H423" t="n">
        <v>0</v>
      </c>
      <c r="I423" t="n">
        <v>0</v>
      </c>
      <c r="J423" t="n">
        <v>0</v>
      </c>
      <c r="K423" t="n">
        <v>0</v>
      </c>
      <c r="L423" t="n">
        <v>0</v>
      </c>
      <c r="M423" t="n">
        <v>0</v>
      </c>
      <c r="N423" t="n">
        <v>0</v>
      </c>
      <c r="O423" t="n">
        <v>0</v>
      </c>
      <c r="P423" t="n">
        <v>0</v>
      </c>
      <c r="Q423" t="n">
        <v>0</v>
      </c>
      <c r="R423" s="2" t="inlineStr"/>
    </row>
    <row r="424" ht="15" customHeight="1">
      <c r="A424" t="inlineStr">
        <is>
          <t>A 54186-2024</t>
        </is>
      </c>
      <c r="B424" s="1" t="n">
        <v>45616</v>
      </c>
      <c r="C424" s="1" t="n">
        <v>45965</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49702-2024</t>
        </is>
      </c>
      <c r="B425" s="1" t="n">
        <v>45596</v>
      </c>
      <c r="C425" s="1" t="n">
        <v>45965</v>
      </c>
      <c r="D425" t="inlineStr">
        <is>
          <t>JÄMTLANDS LÄN</t>
        </is>
      </c>
      <c r="E425" t="inlineStr">
        <is>
          <t>ÅRE</t>
        </is>
      </c>
      <c r="F425" t="inlineStr">
        <is>
          <t>Övriga Aktiebolag</t>
        </is>
      </c>
      <c r="G425" t="n">
        <v>1.6</v>
      </c>
      <c r="H425" t="n">
        <v>0</v>
      </c>
      <c r="I425" t="n">
        <v>0</v>
      </c>
      <c r="J425" t="n">
        <v>0</v>
      </c>
      <c r="K425" t="n">
        <v>0</v>
      </c>
      <c r="L425" t="n">
        <v>0</v>
      </c>
      <c r="M425" t="n">
        <v>0</v>
      </c>
      <c r="N425" t="n">
        <v>0</v>
      </c>
      <c r="O425" t="n">
        <v>0</v>
      </c>
      <c r="P425" t="n">
        <v>0</v>
      </c>
      <c r="Q425" t="n">
        <v>0</v>
      </c>
      <c r="R425" s="2" t="inlineStr"/>
    </row>
    <row r="426" ht="15" customHeight="1">
      <c r="A426" t="inlineStr">
        <is>
          <t>A 50951-2023</t>
        </is>
      </c>
      <c r="B426" s="1" t="n">
        <v>45218</v>
      </c>
      <c r="C426" s="1" t="n">
        <v>45965</v>
      </c>
      <c r="D426" t="inlineStr">
        <is>
          <t>JÄMTLANDS LÄN</t>
        </is>
      </c>
      <c r="E426" t="inlineStr">
        <is>
          <t>ÅRE</t>
        </is>
      </c>
      <c r="G426" t="n">
        <v>1</v>
      </c>
      <c r="H426" t="n">
        <v>0</v>
      </c>
      <c r="I426" t="n">
        <v>0</v>
      </c>
      <c r="J426" t="n">
        <v>0</v>
      </c>
      <c r="K426" t="n">
        <v>0</v>
      </c>
      <c r="L426" t="n">
        <v>0</v>
      </c>
      <c r="M426" t="n">
        <v>0</v>
      </c>
      <c r="N426" t="n">
        <v>0</v>
      </c>
      <c r="O426" t="n">
        <v>0</v>
      </c>
      <c r="P426" t="n">
        <v>0</v>
      </c>
      <c r="Q426" t="n">
        <v>0</v>
      </c>
      <c r="R426" s="2" t="inlineStr"/>
    </row>
    <row r="427" ht="15" customHeight="1">
      <c r="A427" t="inlineStr">
        <is>
          <t>A 9777-2021</t>
        </is>
      </c>
      <c r="B427" s="1" t="n">
        <v>44252</v>
      </c>
      <c r="C427" s="1" t="n">
        <v>45965</v>
      </c>
      <c r="D427" t="inlineStr">
        <is>
          <t>JÄMTLANDS LÄN</t>
        </is>
      </c>
      <c r="E427" t="inlineStr">
        <is>
          <t>ÅRE</t>
        </is>
      </c>
      <c r="G427" t="n">
        <v>4.2</v>
      </c>
      <c r="H427" t="n">
        <v>0</v>
      </c>
      <c r="I427" t="n">
        <v>0</v>
      </c>
      <c r="J427" t="n">
        <v>0</v>
      </c>
      <c r="K427" t="n">
        <v>0</v>
      </c>
      <c r="L427" t="n">
        <v>0</v>
      </c>
      <c r="M427" t="n">
        <v>0</v>
      </c>
      <c r="N427" t="n">
        <v>0</v>
      </c>
      <c r="O427" t="n">
        <v>0</v>
      </c>
      <c r="P427" t="n">
        <v>0</v>
      </c>
      <c r="Q427" t="n">
        <v>0</v>
      </c>
      <c r="R427" s="2" t="inlineStr"/>
    </row>
    <row r="428" ht="15" customHeight="1">
      <c r="A428" t="inlineStr">
        <is>
          <t>A 46559-2024</t>
        </is>
      </c>
      <c r="B428" s="1" t="n">
        <v>45582</v>
      </c>
      <c r="C428" s="1" t="n">
        <v>45965</v>
      </c>
      <c r="D428" t="inlineStr">
        <is>
          <t>JÄMTLANDS LÄN</t>
        </is>
      </c>
      <c r="E428" t="inlineStr">
        <is>
          <t>ÅRE</t>
        </is>
      </c>
      <c r="G428" t="n">
        <v>6.2</v>
      </c>
      <c r="H428" t="n">
        <v>0</v>
      </c>
      <c r="I428" t="n">
        <v>0</v>
      </c>
      <c r="J428" t="n">
        <v>0</v>
      </c>
      <c r="K428" t="n">
        <v>0</v>
      </c>
      <c r="L428" t="n">
        <v>0</v>
      </c>
      <c r="M428" t="n">
        <v>0</v>
      </c>
      <c r="N428" t="n">
        <v>0</v>
      </c>
      <c r="O428" t="n">
        <v>0</v>
      </c>
      <c r="P428" t="n">
        <v>0</v>
      </c>
      <c r="Q428" t="n">
        <v>0</v>
      </c>
      <c r="R428" s="2" t="inlineStr"/>
    </row>
    <row r="429" ht="15" customHeight="1">
      <c r="A429" t="inlineStr">
        <is>
          <t>A 73798-2021</t>
        </is>
      </c>
      <c r="B429" s="1" t="n">
        <v>44552</v>
      </c>
      <c r="C429" s="1" t="n">
        <v>45965</v>
      </c>
      <c r="D429" t="inlineStr">
        <is>
          <t>JÄMTLANDS LÄN</t>
        </is>
      </c>
      <c r="E429" t="inlineStr">
        <is>
          <t>ÅRE</t>
        </is>
      </c>
      <c r="G429" t="n">
        <v>2.5</v>
      </c>
      <c r="H429" t="n">
        <v>0</v>
      </c>
      <c r="I429" t="n">
        <v>0</v>
      </c>
      <c r="J429" t="n">
        <v>0</v>
      </c>
      <c r="K429" t="n">
        <v>0</v>
      </c>
      <c r="L429" t="n">
        <v>0</v>
      </c>
      <c r="M429" t="n">
        <v>0</v>
      </c>
      <c r="N429" t="n">
        <v>0</v>
      </c>
      <c r="O429" t="n">
        <v>0</v>
      </c>
      <c r="P429" t="n">
        <v>0</v>
      </c>
      <c r="Q429" t="n">
        <v>0</v>
      </c>
      <c r="R429" s="2" t="inlineStr"/>
    </row>
    <row r="430" ht="15" customHeight="1">
      <c r="A430" t="inlineStr">
        <is>
          <t>A 3196-2023</t>
        </is>
      </c>
      <c r="B430" s="1" t="n">
        <v>44946</v>
      </c>
      <c r="C430" s="1" t="n">
        <v>45965</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2374-2023</t>
        </is>
      </c>
      <c r="B431" s="1" t="n">
        <v>44942.69005787037</v>
      </c>
      <c r="C431" s="1" t="n">
        <v>45965</v>
      </c>
      <c r="D431" t="inlineStr">
        <is>
          <t>JÄMTLANDS LÄN</t>
        </is>
      </c>
      <c r="E431" t="inlineStr">
        <is>
          <t>ÅRE</t>
        </is>
      </c>
      <c r="G431" t="n">
        <v>0.6</v>
      </c>
      <c r="H431" t="n">
        <v>0</v>
      </c>
      <c r="I431" t="n">
        <v>0</v>
      </c>
      <c r="J431" t="n">
        <v>0</v>
      </c>
      <c r="K431" t="n">
        <v>0</v>
      </c>
      <c r="L431" t="n">
        <v>0</v>
      </c>
      <c r="M431" t="n">
        <v>0</v>
      </c>
      <c r="N431" t="n">
        <v>0</v>
      </c>
      <c r="O431" t="n">
        <v>0</v>
      </c>
      <c r="P431" t="n">
        <v>0</v>
      </c>
      <c r="Q431" t="n">
        <v>0</v>
      </c>
      <c r="R431" s="2" t="inlineStr"/>
    </row>
    <row r="432" ht="15" customHeight="1">
      <c r="A432" t="inlineStr">
        <is>
          <t>A 49296-2024</t>
        </is>
      </c>
      <c r="B432" s="1" t="n">
        <v>45595</v>
      </c>
      <c r="C432" s="1" t="n">
        <v>45965</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45965</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45965</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47880-2025</t>
        </is>
      </c>
      <c r="B435" s="1" t="n">
        <v>45932.45949074074</v>
      </c>
      <c r="C435" s="1" t="n">
        <v>45965</v>
      </c>
      <c r="D435" t="inlineStr">
        <is>
          <t>JÄMTLANDS LÄN</t>
        </is>
      </c>
      <c r="E435" t="inlineStr">
        <is>
          <t>ÅRE</t>
        </is>
      </c>
      <c r="G435" t="n">
        <v>25.8</v>
      </c>
      <c r="H435" t="n">
        <v>0</v>
      </c>
      <c r="I435" t="n">
        <v>0</v>
      </c>
      <c r="J435" t="n">
        <v>0</v>
      </c>
      <c r="K435" t="n">
        <v>0</v>
      </c>
      <c r="L435" t="n">
        <v>0</v>
      </c>
      <c r="M435" t="n">
        <v>0</v>
      </c>
      <c r="N435" t="n">
        <v>0</v>
      </c>
      <c r="O435" t="n">
        <v>0</v>
      </c>
      <c r="P435" t="n">
        <v>0</v>
      </c>
      <c r="Q435" t="n">
        <v>0</v>
      </c>
      <c r="R435" s="2" t="inlineStr"/>
    </row>
    <row r="436" ht="15" customHeight="1">
      <c r="A436" t="inlineStr">
        <is>
          <t>A 46789-2024</t>
        </is>
      </c>
      <c r="B436" s="1" t="n">
        <v>45583.53219907408</v>
      </c>
      <c r="C436" s="1" t="n">
        <v>45965</v>
      </c>
      <c r="D436" t="inlineStr">
        <is>
          <t>JÄMTLANDS LÄN</t>
        </is>
      </c>
      <c r="E436" t="inlineStr">
        <is>
          <t>ÅRE</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52676-2023</t>
        </is>
      </c>
      <c r="B437" s="1" t="n">
        <v>45225.6890625</v>
      </c>
      <c r="C437" s="1" t="n">
        <v>45965</v>
      </c>
      <c r="D437" t="inlineStr">
        <is>
          <t>JÄMTLANDS LÄN</t>
        </is>
      </c>
      <c r="E437" t="inlineStr">
        <is>
          <t>ÅRE</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39509-2025</t>
        </is>
      </c>
      <c r="B438" s="1" t="n">
        <v>45890.40737268519</v>
      </c>
      <c r="C438" s="1" t="n">
        <v>45965</v>
      </c>
      <c r="D438" t="inlineStr">
        <is>
          <t>JÄMTLANDS LÄN</t>
        </is>
      </c>
      <c r="E438" t="inlineStr">
        <is>
          <t>ÅRE</t>
        </is>
      </c>
      <c r="G438" t="n">
        <v>5.6</v>
      </c>
      <c r="H438" t="n">
        <v>0</v>
      </c>
      <c r="I438" t="n">
        <v>0</v>
      </c>
      <c r="J438" t="n">
        <v>0</v>
      </c>
      <c r="K438" t="n">
        <v>0</v>
      </c>
      <c r="L438" t="n">
        <v>0</v>
      </c>
      <c r="M438" t="n">
        <v>0</v>
      </c>
      <c r="N438" t="n">
        <v>0</v>
      </c>
      <c r="O438" t="n">
        <v>0</v>
      </c>
      <c r="P438" t="n">
        <v>0</v>
      </c>
      <c r="Q438" t="n">
        <v>0</v>
      </c>
      <c r="R438" s="2" t="inlineStr"/>
    </row>
    <row r="439" ht="15" customHeight="1">
      <c r="A439" t="inlineStr">
        <is>
          <t>A 12216-2023</t>
        </is>
      </c>
      <c r="B439" s="1" t="n">
        <v>44998</v>
      </c>
      <c r="C439" s="1" t="n">
        <v>45965</v>
      </c>
      <c r="D439" t="inlineStr">
        <is>
          <t>JÄMTLANDS LÄN</t>
        </is>
      </c>
      <c r="E439" t="inlineStr">
        <is>
          <t>ÅRE</t>
        </is>
      </c>
      <c r="G439" t="n">
        <v>11.8</v>
      </c>
      <c r="H439" t="n">
        <v>0</v>
      </c>
      <c r="I439" t="n">
        <v>0</v>
      </c>
      <c r="J439" t="n">
        <v>0</v>
      </c>
      <c r="K439" t="n">
        <v>0</v>
      </c>
      <c r="L439" t="n">
        <v>0</v>
      </c>
      <c r="M439" t="n">
        <v>0</v>
      </c>
      <c r="N439" t="n">
        <v>0</v>
      </c>
      <c r="O439" t="n">
        <v>0</v>
      </c>
      <c r="P439" t="n">
        <v>0</v>
      </c>
      <c r="Q439" t="n">
        <v>0</v>
      </c>
      <c r="R439" s="2" t="inlineStr"/>
    </row>
    <row r="440" ht="15" customHeight="1">
      <c r="A440" t="inlineStr">
        <is>
          <t>A 55033-2024</t>
        </is>
      </c>
      <c r="B440" s="1" t="n">
        <v>45621.38193287037</v>
      </c>
      <c r="C440" s="1" t="n">
        <v>45965</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69568-2021</t>
        </is>
      </c>
      <c r="B441" s="1" t="n">
        <v>44531</v>
      </c>
      <c r="C441" s="1" t="n">
        <v>45965</v>
      </c>
      <c r="D441" t="inlineStr">
        <is>
          <t>JÄMTLANDS LÄN</t>
        </is>
      </c>
      <c r="E441" t="inlineStr">
        <is>
          <t>ÅRE</t>
        </is>
      </c>
      <c r="G441" t="n">
        <v>2.9</v>
      </c>
      <c r="H441" t="n">
        <v>0</v>
      </c>
      <c r="I441" t="n">
        <v>0</v>
      </c>
      <c r="J441" t="n">
        <v>0</v>
      </c>
      <c r="K441" t="n">
        <v>0</v>
      </c>
      <c r="L441" t="n">
        <v>0</v>
      </c>
      <c r="M441" t="n">
        <v>0</v>
      </c>
      <c r="N441" t="n">
        <v>0</v>
      </c>
      <c r="O441" t="n">
        <v>0</v>
      </c>
      <c r="P441" t="n">
        <v>0</v>
      </c>
      <c r="Q441" t="n">
        <v>0</v>
      </c>
      <c r="R441" s="2" t="inlineStr"/>
    </row>
    <row r="442" ht="15" customHeight="1">
      <c r="A442" t="inlineStr">
        <is>
          <t>A 11914-2024</t>
        </is>
      </c>
      <c r="B442" s="1" t="n">
        <v>45376.58467592593</v>
      </c>
      <c r="C442" s="1" t="n">
        <v>45965</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44889-2023</t>
        </is>
      </c>
      <c r="B443" s="1" t="n">
        <v>45190</v>
      </c>
      <c r="C443" s="1" t="n">
        <v>45965</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13221-2022</t>
        </is>
      </c>
      <c r="B444" s="1" t="n">
        <v>44644</v>
      </c>
      <c r="C444" s="1" t="n">
        <v>45965</v>
      </c>
      <c r="D444" t="inlineStr">
        <is>
          <t>JÄMTLANDS LÄN</t>
        </is>
      </c>
      <c r="E444" t="inlineStr">
        <is>
          <t>ÅRE</t>
        </is>
      </c>
      <c r="F444" t="inlineStr">
        <is>
          <t>Övriga Aktiebolag</t>
        </is>
      </c>
      <c r="G444" t="n">
        <v>6.6</v>
      </c>
      <c r="H444" t="n">
        <v>0</v>
      </c>
      <c r="I444" t="n">
        <v>0</v>
      </c>
      <c r="J444" t="n">
        <v>0</v>
      </c>
      <c r="K444" t="n">
        <v>0</v>
      </c>
      <c r="L444" t="n">
        <v>0</v>
      </c>
      <c r="M444" t="n">
        <v>0</v>
      </c>
      <c r="N444" t="n">
        <v>0</v>
      </c>
      <c r="O444" t="n">
        <v>0</v>
      </c>
      <c r="P444" t="n">
        <v>0</v>
      </c>
      <c r="Q444" t="n">
        <v>0</v>
      </c>
      <c r="R444" s="2" t="inlineStr"/>
    </row>
    <row r="445" ht="15" customHeight="1">
      <c r="A445" t="inlineStr">
        <is>
          <t>A 25200-2025</t>
        </is>
      </c>
      <c r="B445" s="1" t="n">
        <v>45800.4615625</v>
      </c>
      <c r="C445" s="1" t="n">
        <v>45965</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41653-2024</t>
        </is>
      </c>
      <c r="B446" s="1" t="n">
        <v>45560.64059027778</v>
      </c>
      <c r="C446" s="1" t="n">
        <v>45965</v>
      </c>
      <c r="D446" t="inlineStr">
        <is>
          <t>JÄMTLANDS LÄN</t>
        </is>
      </c>
      <c r="E446" t="inlineStr">
        <is>
          <t>ÅRE</t>
        </is>
      </c>
      <c r="G446" t="n">
        <v>0.5</v>
      </c>
      <c r="H446" t="n">
        <v>0</v>
      </c>
      <c r="I446" t="n">
        <v>0</v>
      </c>
      <c r="J446" t="n">
        <v>0</v>
      </c>
      <c r="K446" t="n">
        <v>0</v>
      </c>
      <c r="L446" t="n">
        <v>0</v>
      </c>
      <c r="M446" t="n">
        <v>0</v>
      </c>
      <c r="N446" t="n">
        <v>0</v>
      </c>
      <c r="O446" t="n">
        <v>0</v>
      </c>
      <c r="P446" t="n">
        <v>0</v>
      </c>
      <c r="Q446" t="n">
        <v>0</v>
      </c>
      <c r="R446" s="2" t="inlineStr"/>
    </row>
    <row r="447" ht="15" customHeight="1">
      <c r="A447" t="inlineStr">
        <is>
          <t>A 41686-2024</t>
        </is>
      </c>
      <c r="B447" s="1" t="n">
        <v>45560.67016203704</v>
      </c>
      <c r="C447" s="1" t="n">
        <v>45965</v>
      </c>
      <c r="D447" t="inlineStr">
        <is>
          <t>JÄMTLANDS LÄN</t>
        </is>
      </c>
      <c r="E447" t="inlineStr">
        <is>
          <t>ÅRE</t>
        </is>
      </c>
      <c r="G447" t="n">
        <v>0.6</v>
      </c>
      <c r="H447" t="n">
        <v>0</v>
      </c>
      <c r="I447" t="n">
        <v>0</v>
      </c>
      <c r="J447" t="n">
        <v>0</v>
      </c>
      <c r="K447" t="n">
        <v>0</v>
      </c>
      <c r="L447" t="n">
        <v>0</v>
      </c>
      <c r="M447" t="n">
        <v>0</v>
      </c>
      <c r="N447" t="n">
        <v>0</v>
      </c>
      <c r="O447" t="n">
        <v>0</v>
      </c>
      <c r="P447" t="n">
        <v>0</v>
      </c>
      <c r="Q447" t="n">
        <v>0</v>
      </c>
      <c r="R447" s="2" t="inlineStr"/>
    </row>
    <row r="448" ht="15" customHeight="1">
      <c r="A448" t="inlineStr">
        <is>
          <t>A 27390-2021</t>
        </is>
      </c>
      <c r="B448" s="1" t="n">
        <v>44351</v>
      </c>
      <c r="C448" s="1" t="n">
        <v>45965</v>
      </c>
      <c r="D448" t="inlineStr">
        <is>
          <t>JÄMTLANDS LÄN</t>
        </is>
      </c>
      <c r="E448" t="inlineStr">
        <is>
          <t>ÅRE</t>
        </is>
      </c>
      <c r="G448" t="n">
        <v>14.9</v>
      </c>
      <c r="H448" t="n">
        <v>0</v>
      </c>
      <c r="I448" t="n">
        <v>0</v>
      </c>
      <c r="J448" t="n">
        <v>0</v>
      </c>
      <c r="K448" t="n">
        <v>0</v>
      </c>
      <c r="L448" t="n">
        <v>0</v>
      </c>
      <c r="M448" t="n">
        <v>0</v>
      </c>
      <c r="N448" t="n">
        <v>0</v>
      </c>
      <c r="O448" t="n">
        <v>0</v>
      </c>
      <c r="P448" t="n">
        <v>0</v>
      </c>
      <c r="Q448" t="n">
        <v>0</v>
      </c>
      <c r="R448" s="2" t="inlineStr"/>
    </row>
    <row r="449" ht="15" customHeight="1">
      <c r="A449" t="inlineStr">
        <is>
          <t>A 25208-2025</t>
        </is>
      </c>
      <c r="B449" s="1" t="n">
        <v>45800.46927083333</v>
      </c>
      <c r="C449" s="1" t="n">
        <v>45965</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50344-2024</t>
        </is>
      </c>
      <c r="B450" s="1" t="n">
        <v>45600</v>
      </c>
      <c r="C450" s="1" t="n">
        <v>45965</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27946-2021</t>
        </is>
      </c>
      <c r="B451" s="1" t="n">
        <v>44354</v>
      </c>
      <c r="C451" s="1" t="n">
        <v>45965</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59325-2024</t>
        </is>
      </c>
      <c r="B452" s="1" t="n">
        <v>45636</v>
      </c>
      <c r="C452" s="1" t="n">
        <v>45965</v>
      </c>
      <c r="D452" t="inlineStr">
        <is>
          <t>JÄMTLANDS LÄN</t>
        </is>
      </c>
      <c r="E452" t="inlineStr">
        <is>
          <t>ÅRE</t>
        </is>
      </c>
      <c r="G452" t="n">
        <v>0.6</v>
      </c>
      <c r="H452" t="n">
        <v>0</v>
      </c>
      <c r="I452" t="n">
        <v>0</v>
      </c>
      <c r="J452" t="n">
        <v>0</v>
      </c>
      <c r="K452" t="n">
        <v>0</v>
      </c>
      <c r="L452" t="n">
        <v>0</v>
      </c>
      <c r="M452" t="n">
        <v>0</v>
      </c>
      <c r="N452" t="n">
        <v>0</v>
      </c>
      <c r="O452" t="n">
        <v>0</v>
      </c>
      <c r="P452" t="n">
        <v>0</v>
      </c>
      <c r="Q452" t="n">
        <v>0</v>
      </c>
      <c r="R452" s="2" t="inlineStr"/>
    </row>
    <row r="453" ht="15" customHeight="1">
      <c r="A453" t="inlineStr">
        <is>
          <t>A 12193-2023</t>
        </is>
      </c>
      <c r="B453" s="1" t="n">
        <v>44998</v>
      </c>
      <c r="C453" s="1" t="n">
        <v>45965</v>
      </c>
      <c r="D453" t="inlineStr">
        <is>
          <t>JÄMTLANDS LÄN</t>
        </is>
      </c>
      <c r="E453" t="inlineStr">
        <is>
          <t>ÅRE</t>
        </is>
      </c>
      <c r="G453" t="n">
        <v>14.7</v>
      </c>
      <c r="H453" t="n">
        <v>0</v>
      </c>
      <c r="I453" t="n">
        <v>0</v>
      </c>
      <c r="J453" t="n">
        <v>0</v>
      </c>
      <c r="K453" t="n">
        <v>0</v>
      </c>
      <c r="L453" t="n">
        <v>0</v>
      </c>
      <c r="M453" t="n">
        <v>0</v>
      </c>
      <c r="N453" t="n">
        <v>0</v>
      </c>
      <c r="O453" t="n">
        <v>0</v>
      </c>
      <c r="P453" t="n">
        <v>0</v>
      </c>
      <c r="Q453" t="n">
        <v>0</v>
      </c>
      <c r="R453" s="2" t="inlineStr"/>
    </row>
    <row r="454" ht="15" customHeight="1">
      <c r="A454" t="inlineStr">
        <is>
          <t>A 25224-2025</t>
        </is>
      </c>
      <c r="B454" s="1" t="n">
        <v>45800.48087962963</v>
      </c>
      <c r="C454" s="1" t="n">
        <v>45965</v>
      </c>
      <c r="D454" t="inlineStr">
        <is>
          <t>JÄMTLANDS LÄN</t>
        </is>
      </c>
      <c r="E454" t="inlineStr">
        <is>
          <t>ÅRE</t>
        </is>
      </c>
      <c r="G454" t="n">
        <v>1</v>
      </c>
      <c r="H454" t="n">
        <v>0</v>
      </c>
      <c r="I454" t="n">
        <v>0</v>
      </c>
      <c r="J454" t="n">
        <v>0</v>
      </c>
      <c r="K454" t="n">
        <v>0</v>
      </c>
      <c r="L454" t="n">
        <v>0</v>
      </c>
      <c r="M454" t="n">
        <v>0</v>
      </c>
      <c r="N454" t="n">
        <v>0</v>
      </c>
      <c r="O454" t="n">
        <v>0</v>
      </c>
      <c r="P454" t="n">
        <v>0</v>
      </c>
      <c r="Q454" t="n">
        <v>0</v>
      </c>
      <c r="R454" s="2" t="inlineStr"/>
    </row>
    <row r="455" ht="15" customHeight="1">
      <c r="A455" t="inlineStr">
        <is>
          <t>A 4272-2025</t>
        </is>
      </c>
      <c r="B455" s="1" t="n">
        <v>45685</v>
      </c>
      <c r="C455" s="1" t="n">
        <v>45965</v>
      </c>
      <c r="D455" t="inlineStr">
        <is>
          <t>JÄMTLANDS LÄN</t>
        </is>
      </c>
      <c r="E455" t="inlineStr">
        <is>
          <t>ÅRE</t>
        </is>
      </c>
      <c r="F455" t="inlineStr">
        <is>
          <t>Övriga Aktiebolag</t>
        </is>
      </c>
      <c r="G455" t="n">
        <v>16.6</v>
      </c>
      <c r="H455" t="n">
        <v>0</v>
      </c>
      <c r="I455" t="n">
        <v>0</v>
      </c>
      <c r="J455" t="n">
        <v>0</v>
      </c>
      <c r="K455" t="n">
        <v>0</v>
      </c>
      <c r="L455" t="n">
        <v>0</v>
      </c>
      <c r="M455" t="n">
        <v>0</v>
      </c>
      <c r="N455" t="n">
        <v>0</v>
      </c>
      <c r="O455" t="n">
        <v>0</v>
      </c>
      <c r="P455" t="n">
        <v>0</v>
      </c>
      <c r="Q455" t="n">
        <v>0</v>
      </c>
      <c r="R455" s="2" t="inlineStr"/>
    </row>
    <row r="456" ht="15" customHeight="1">
      <c r="A456" t="inlineStr">
        <is>
          <t>A 48571-2025</t>
        </is>
      </c>
      <c r="B456" s="1" t="n">
        <v>45936.44934027778</v>
      </c>
      <c r="C456" s="1" t="n">
        <v>45965</v>
      </c>
      <c r="D456" t="inlineStr">
        <is>
          <t>JÄMTLANDS LÄN</t>
        </is>
      </c>
      <c r="E456" t="inlineStr">
        <is>
          <t>ÅRE</t>
        </is>
      </c>
      <c r="G456" t="n">
        <v>5.2</v>
      </c>
      <c r="H456" t="n">
        <v>0</v>
      </c>
      <c r="I456" t="n">
        <v>0</v>
      </c>
      <c r="J456" t="n">
        <v>0</v>
      </c>
      <c r="K456" t="n">
        <v>0</v>
      </c>
      <c r="L456" t="n">
        <v>0</v>
      </c>
      <c r="M456" t="n">
        <v>0</v>
      </c>
      <c r="N456" t="n">
        <v>0</v>
      </c>
      <c r="O456" t="n">
        <v>0</v>
      </c>
      <c r="P456" t="n">
        <v>0</v>
      </c>
      <c r="Q456" t="n">
        <v>0</v>
      </c>
      <c r="R456" s="2" t="inlineStr"/>
    </row>
    <row r="457" ht="15" customHeight="1">
      <c r="A457" t="inlineStr">
        <is>
          <t>A 18531-2021</t>
        </is>
      </c>
      <c r="B457" s="1" t="n">
        <v>44306</v>
      </c>
      <c r="C457" s="1" t="n">
        <v>45965</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48178-2025</t>
        </is>
      </c>
      <c r="B458" s="1" t="n">
        <v>45933.44865740741</v>
      </c>
      <c r="C458" s="1" t="n">
        <v>45965</v>
      </c>
      <c r="D458" t="inlineStr">
        <is>
          <t>JÄMTLANDS LÄN</t>
        </is>
      </c>
      <c r="E458" t="inlineStr">
        <is>
          <t>ÅRE</t>
        </is>
      </c>
      <c r="F458" t="inlineStr">
        <is>
          <t>Övriga Aktiebolag</t>
        </is>
      </c>
      <c r="G458" t="n">
        <v>1.8</v>
      </c>
      <c r="H458" t="n">
        <v>0</v>
      </c>
      <c r="I458" t="n">
        <v>0</v>
      </c>
      <c r="J458" t="n">
        <v>0</v>
      </c>
      <c r="K458" t="n">
        <v>0</v>
      </c>
      <c r="L458" t="n">
        <v>0</v>
      </c>
      <c r="M458" t="n">
        <v>0</v>
      </c>
      <c r="N458" t="n">
        <v>0</v>
      </c>
      <c r="O458" t="n">
        <v>0</v>
      </c>
      <c r="P458" t="n">
        <v>0</v>
      </c>
      <c r="Q458" t="n">
        <v>0</v>
      </c>
      <c r="R458" s="2" t="inlineStr"/>
    </row>
    <row r="459" ht="15" customHeight="1">
      <c r="A459" t="inlineStr">
        <is>
          <t>A 17566-2023</t>
        </is>
      </c>
      <c r="B459" s="1" t="n">
        <v>45034</v>
      </c>
      <c r="C459" s="1" t="n">
        <v>45965</v>
      </c>
      <c r="D459" t="inlineStr">
        <is>
          <t>JÄMTLANDS LÄN</t>
        </is>
      </c>
      <c r="E459" t="inlineStr">
        <is>
          <t>ÅRE</t>
        </is>
      </c>
      <c r="G459" t="n">
        <v>4.8</v>
      </c>
      <c r="H459" t="n">
        <v>0</v>
      </c>
      <c r="I459" t="n">
        <v>0</v>
      </c>
      <c r="J459" t="n">
        <v>0</v>
      </c>
      <c r="K459" t="n">
        <v>0</v>
      </c>
      <c r="L459" t="n">
        <v>0</v>
      </c>
      <c r="M459" t="n">
        <v>0</v>
      </c>
      <c r="N459" t="n">
        <v>0</v>
      </c>
      <c r="O459" t="n">
        <v>0</v>
      </c>
      <c r="P459" t="n">
        <v>0</v>
      </c>
      <c r="Q459" t="n">
        <v>0</v>
      </c>
      <c r="R459" s="2" t="inlineStr"/>
    </row>
    <row r="460" ht="15" customHeight="1">
      <c r="A460" t="inlineStr">
        <is>
          <t>A 21464-2022</t>
        </is>
      </c>
      <c r="B460" s="1" t="n">
        <v>44706</v>
      </c>
      <c r="C460" s="1" t="n">
        <v>45965</v>
      </c>
      <c r="D460" t="inlineStr">
        <is>
          <t>JÄMTLANDS LÄN</t>
        </is>
      </c>
      <c r="E460" t="inlineStr">
        <is>
          <t>ÅRE</t>
        </is>
      </c>
      <c r="G460" t="n">
        <v>10.9</v>
      </c>
      <c r="H460" t="n">
        <v>0</v>
      </c>
      <c r="I460" t="n">
        <v>0</v>
      </c>
      <c r="J460" t="n">
        <v>0</v>
      </c>
      <c r="K460" t="n">
        <v>0</v>
      </c>
      <c r="L460" t="n">
        <v>0</v>
      </c>
      <c r="M460" t="n">
        <v>0</v>
      </c>
      <c r="N460" t="n">
        <v>0</v>
      </c>
      <c r="O460" t="n">
        <v>0</v>
      </c>
      <c r="P460" t="n">
        <v>0</v>
      </c>
      <c r="Q460" t="n">
        <v>0</v>
      </c>
      <c r="R460" s="2" t="inlineStr"/>
    </row>
    <row r="461" ht="15" customHeight="1">
      <c r="A461" t="inlineStr">
        <is>
          <t>A 61014-2024</t>
        </is>
      </c>
      <c r="B461" s="1" t="n">
        <v>45645.449375</v>
      </c>
      <c r="C461" s="1" t="n">
        <v>45965</v>
      </c>
      <c r="D461" t="inlineStr">
        <is>
          <t>JÄMTLANDS LÄN</t>
        </is>
      </c>
      <c r="E461" t="inlineStr">
        <is>
          <t>ÅRE</t>
        </is>
      </c>
      <c r="F461" t="inlineStr">
        <is>
          <t>Övriga Aktiebolag</t>
        </is>
      </c>
      <c r="G461" t="n">
        <v>4.9</v>
      </c>
      <c r="H461" t="n">
        <v>0</v>
      </c>
      <c r="I461" t="n">
        <v>0</v>
      </c>
      <c r="J461" t="n">
        <v>0</v>
      </c>
      <c r="K461" t="n">
        <v>0</v>
      </c>
      <c r="L461" t="n">
        <v>0</v>
      </c>
      <c r="M461" t="n">
        <v>0</v>
      </c>
      <c r="N461" t="n">
        <v>0</v>
      </c>
      <c r="O461" t="n">
        <v>0</v>
      </c>
      <c r="P461" t="n">
        <v>0</v>
      </c>
      <c r="Q461" t="n">
        <v>0</v>
      </c>
      <c r="R461" s="2" t="inlineStr"/>
    </row>
    <row r="462" ht="15" customHeight="1">
      <c r="A462" t="inlineStr">
        <is>
          <t>A 20485-2024</t>
        </is>
      </c>
      <c r="B462" s="1" t="n">
        <v>45435.7403125</v>
      </c>
      <c r="C462" s="1" t="n">
        <v>45965</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32241-2021</t>
        </is>
      </c>
      <c r="B463" s="1" t="n">
        <v>44371</v>
      </c>
      <c r="C463" s="1" t="n">
        <v>45965</v>
      </c>
      <c r="D463" t="inlineStr">
        <is>
          <t>JÄMTLANDS LÄN</t>
        </is>
      </c>
      <c r="E463" t="inlineStr">
        <is>
          <t>ÅRE</t>
        </is>
      </c>
      <c r="G463" t="n">
        <v>2.3</v>
      </c>
      <c r="H463" t="n">
        <v>0</v>
      </c>
      <c r="I463" t="n">
        <v>0</v>
      </c>
      <c r="J463" t="n">
        <v>0</v>
      </c>
      <c r="K463" t="n">
        <v>0</v>
      </c>
      <c r="L463" t="n">
        <v>0</v>
      </c>
      <c r="M463" t="n">
        <v>0</v>
      </c>
      <c r="N463" t="n">
        <v>0</v>
      </c>
      <c r="O463" t="n">
        <v>0</v>
      </c>
      <c r="P463" t="n">
        <v>0</v>
      </c>
      <c r="Q463" t="n">
        <v>0</v>
      </c>
      <c r="R463" s="2" t="inlineStr"/>
    </row>
    <row r="464" ht="15" customHeight="1">
      <c r="A464" t="inlineStr">
        <is>
          <t>A 37739-2023</t>
        </is>
      </c>
      <c r="B464" s="1" t="n">
        <v>45159</v>
      </c>
      <c r="C464" s="1" t="n">
        <v>45965</v>
      </c>
      <c r="D464" t="inlineStr">
        <is>
          <t>JÄMTLANDS LÄN</t>
        </is>
      </c>
      <c r="E464" t="inlineStr">
        <is>
          <t>ÅRE</t>
        </is>
      </c>
      <c r="G464" t="n">
        <v>1.1</v>
      </c>
      <c r="H464" t="n">
        <v>0</v>
      </c>
      <c r="I464" t="n">
        <v>0</v>
      </c>
      <c r="J464" t="n">
        <v>0</v>
      </c>
      <c r="K464" t="n">
        <v>0</v>
      </c>
      <c r="L464" t="n">
        <v>0</v>
      </c>
      <c r="M464" t="n">
        <v>0</v>
      </c>
      <c r="N464" t="n">
        <v>0</v>
      </c>
      <c r="O464" t="n">
        <v>0</v>
      </c>
      <c r="P464" t="n">
        <v>0</v>
      </c>
      <c r="Q464" t="n">
        <v>0</v>
      </c>
      <c r="R464" s="2" t="inlineStr"/>
    </row>
    <row r="465" ht="15" customHeight="1">
      <c r="A465" t="inlineStr">
        <is>
          <t>A 37758-2023</t>
        </is>
      </c>
      <c r="B465" s="1" t="n">
        <v>45159</v>
      </c>
      <c r="C465" s="1" t="n">
        <v>45965</v>
      </c>
      <c r="D465" t="inlineStr">
        <is>
          <t>JÄMTLANDS LÄN</t>
        </is>
      </c>
      <c r="E465" t="inlineStr">
        <is>
          <t>ÅRE</t>
        </is>
      </c>
      <c r="G465" t="n">
        <v>20.1</v>
      </c>
      <c r="H465" t="n">
        <v>0</v>
      </c>
      <c r="I465" t="n">
        <v>0</v>
      </c>
      <c r="J465" t="n">
        <v>0</v>
      </c>
      <c r="K465" t="n">
        <v>0</v>
      </c>
      <c r="L465" t="n">
        <v>0</v>
      </c>
      <c r="M465" t="n">
        <v>0</v>
      </c>
      <c r="N465" t="n">
        <v>0</v>
      </c>
      <c r="O465" t="n">
        <v>0</v>
      </c>
      <c r="P465" t="n">
        <v>0</v>
      </c>
      <c r="Q465" t="n">
        <v>0</v>
      </c>
      <c r="R465" s="2" t="inlineStr"/>
    </row>
    <row r="466" ht="15" customHeight="1">
      <c r="A466" t="inlineStr">
        <is>
          <t>A 23561-2021</t>
        </is>
      </c>
      <c r="B466" s="1" t="n">
        <v>44334</v>
      </c>
      <c r="C466" s="1" t="n">
        <v>45965</v>
      </c>
      <c r="D466" t="inlineStr">
        <is>
          <t>JÄMTLANDS LÄN</t>
        </is>
      </c>
      <c r="E466" t="inlineStr">
        <is>
          <t>ÅRE</t>
        </is>
      </c>
      <c r="G466" t="n">
        <v>8.5</v>
      </c>
      <c r="H466" t="n">
        <v>0</v>
      </c>
      <c r="I466" t="n">
        <v>0</v>
      </c>
      <c r="J466" t="n">
        <v>0</v>
      </c>
      <c r="K466" t="n">
        <v>0</v>
      </c>
      <c r="L466" t="n">
        <v>0</v>
      </c>
      <c r="M466" t="n">
        <v>0</v>
      </c>
      <c r="N466" t="n">
        <v>0</v>
      </c>
      <c r="O466" t="n">
        <v>0</v>
      </c>
      <c r="P466" t="n">
        <v>0</v>
      </c>
      <c r="Q466" t="n">
        <v>0</v>
      </c>
      <c r="R466" s="2" t="inlineStr"/>
    </row>
    <row r="467" ht="15" customHeight="1">
      <c r="A467" t="inlineStr">
        <is>
          <t>A 4181-2025</t>
        </is>
      </c>
      <c r="B467" s="1" t="n">
        <v>45685.44300925926</v>
      </c>
      <c r="C467" s="1" t="n">
        <v>45965</v>
      </c>
      <c r="D467" t="inlineStr">
        <is>
          <t>JÄMTLANDS LÄN</t>
        </is>
      </c>
      <c r="E467" t="inlineStr">
        <is>
          <t>ÅRE</t>
        </is>
      </c>
      <c r="F467" t="inlineStr">
        <is>
          <t>Övriga Aktiebolag</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12168-2023</t>
        </is>
      </c>
      <c r="B468" s="1" t="n">
        <v>44998</v>
      </c>
      <c r="C468" s="1" t="n">
        <v>45965</v>
      </c>
      <c r="D468" t="inlineStr">
        <is>
          <t>JÄMTLANDS LÄN</t>
        </is>
      </c>
      <c r="E468" t="inlineStr">
        <is>
          <t>ÅRE</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12173-2023</t>
        </is>
      </c>
      <c r="B469" s="1" t="n">
        <v>44998</v>
      </c>
      <c r="C469" s="1" t="n">
        <v>45965</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45834-2024</t>
        </is>
      </c>
      <c r="B470" s="1" t="n">
        <v>45579.91509259259</v>
      </c>
      <c r="C470" s="1" t="n">
        <v>45965</v>
      </c>
      <c r="D470" t="inlineStr">
        <is>
          <t>JÄMTLANDS LÄN</t>
        </is>
      </c>
      <c r="E470" t="inlineStr">
        <is>
          <t>ÅRE</t>
        </is>
      </c>
      <c r="G470" t="n">
        <v>3.9</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45965</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25275-2025</t>
        </is>
      </c>
      <c r="B472" s="1" t="n">
        <v>45800.55372685185</v>
      </c>
      <c r="C472" s="1" t="n">
        <v>45965</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33379-2024</t>
        </is>
      </c>
      <c r="B473" s="1" t="n">
        <v>45519.4495949074</v>
      </c>
      <c r="C473" s="1" t="n">
        <v>45965</v>
      </c>
      <c r="D473" t="inlineStr">
        <is>
          <t>JÄMTLANDS LÄN</t>
        </is>
      </c>
      <c r="E473" t="inlineStr">
        <is>
          <t>ÅRE</t>
        </is>
      </c>
      <c r="G473" t="n">
        <v>1.5</v>
      </c>
      <c r="H473" t="n">
        <v>0</v>
      </c>
      <c r="I473" t="n">
        <v>0</v>
      </c>
      <c r="J473" t="n">
        <v>0</v>
      </c>
      <c r="K473" t="n">
        <v>0</v>
      </c>
      <c r="L473" t="n">
        <v>0</v>
      </c>
      <c r="M473" t="n">
        <v>0</v>
      </c>
      <c r="N473" t="n">
        <v>0</v>
      </c>
      <c r="O473" t="n">
        <v>0</v>
      </c>
      <c r="P473" t="n">
        <v>0</v>
      </c>
      <c r="Q473" t="n">
        <v>0</v>
      </c>
      <c r="R473" s="2" t="inlineStr"/>
    </row>
    <row r="474" ht="15" customHeight="1">
      <c r="A474" t="inlineStr">
        <is>
          <t>A 5923-2022</t>
        </is>
      </c>
      <c r="B474" s="1" t="n">
        <v>44598.64403935185</v>
      </c>
      <c r="C474" s="1" t="n">
        <v>45965</v>
      </c>
      <c r="D474" t="inlineStr">
        <is>
          <t>JÄMTLANDS LÄN</t>
        </is>
      </c>
      <c r="E474" t="inlineStr">
        <is>
          <t>ÅRE</t>
        </is>
      </c>
      <c r="G474" t="n">
        <v>0.8</v>
      </c>
      <c r="H474" t="n">
        <v>0</v>
      </c>
      <c r="I474" t="n">
        <v>0</v>
      </c>
      <c r="J474" t="n">
        <v>0</v>
      </c>
      <c r="K474" t="n">
        <v>0</v>
      </c>
      <c r="L474" t="n">
        <v>0</v>
      </c>
      <c r="M474" t="n">
        <v>0</v>
      </c>
      <c r="N474" t="n">
        <v>0</v>
      </c>
      <c r="O474" t="n">
        <v>0</v>
      </c>
      <c r="P474" t="n">
        <v>0</v>
      </c>
      <c r="Q474" t="n">
        <v>0</v>
      </c>
      <c r="R474" s="2" t="inlineStr"/>
    </row>
    <row r="475" ht="15" customHeight="1">
      <c r="A475" t="inlineStr">
        <is>
          <t>A 27375-2021</t>
        </is>
      </c>
      <c r="B475" s="1" t="n">
        <v>44351</v>
      </c>
      <c r="C475" s="1" t="n">
        <v>45965</v>
      </c>
      <c r="D475" t="inlineStr">
        <is>
          <t>JÄMTLANDS LÄN</t>
        </is>
      </c>
      <c r="E475" t="inlineStr">
        <is>
          <t>ÅRE</t>
        </is>
      </c>
      <c r="G475" t="n">
        <v>7.4</v>
      </c>
      <c r="H475" t="n">
        <v>0</v>
      </c>
      <c r="I475" t="n">
        <v>0</v>
      </c>
      <c r="J475" t="n">
        <v>0</v>
      </c>
      <c r="K475" t="n">
        <v>0</v>
      </c>
      <c r="L475" t="n">
        <v>0</v>
      </c>
      <c r="M475" t="n">
        <v>0</v>
      </c>
      <c r="N475" t="n">
        <v>0</v>
      </c>
      <c r="O475" t="n">
        <v>0</v>
      </c>
      <c r="P475" t="n">
        <v>0</v>
      </c>
      <c r="Q475" t="n">
        <v>0</v>
      </c>
      <c r="R475" s="2" t="inlineStr"/>
    </row>
    <row r="476" ht="15" customHeight="1">
      <c r="A476" t="inlineStr">
        <is>
          <t>A 46788-2024</t>
        </is>
      </c>
      <c r="B476" s="1" t="n">
        <v>45583.53219907408</v>
      </c>
      <c r="C476" s="1" t="n">
        <v>45965</v>
      </c>
      <c r="D476" t="inlineStr">
        <is>
          <t>JÄMTLANDS LÄN</t>
        </is>
      </c>
      <c r="E476" t="inlineStr">
        <is>
          <t>ÅRE</t>
        </is>
      </c>
      <c r="F476" t="inlineStr">
        <is>
          <t>Övriga Aktiebolag</t>
        </is>
      </c>
      <c r="G476" t="n">
        <v>0.3</v>
      </c>
      <c r="H476" t="n">
        <v>0</v>
      </c>
      <c r="I476" t="n">
        <v>0</v>
      </c>
      <c r="J476" t="n">
        <v>0</v>
      </c>
      <c r="K476" t="n">
        <v>0</v>
      </c>
      <c r="L476" t="n">
        <v>0</v>
      </c>
      <c r="M476" t="n">
        <v>0</v>
      </c>
      <c r="N476" t="n">
        <v>0</v>
      </c>
      <c r="O476" t="n">
        <v>0</v>
      </c>
      <c r="P476" t="n">
        <v>0</v>
      </c>
      <c r="Q476" t="n">
        <v>0</v>
      </c>
      <c r="R476" s="2" t="inlineStr"/>
    </row>
    <row r="477" ht="15" customHeight="1">
      <c r="A477" t="inlineStr">
        <is>
          <t>A 68518-2020</t>
        </is>
      </c>
      <c r="B477" s="1" t="n">
        <v>44186</v>
      </c>
      <c r="C477" s="1" t="n">
        <v>45965</v>
      </c>
      <c r="D477" t="inlineStr">
        <is>
          <t>JÄMTLANDS LÄN</t>
        </is>
      </c>
      <c r="E477" t="inlineStr">
        <is>
          <t>ÅRE</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49303-2024</t>
        </is>
      </c>
      <c r="B478" s="1" t="n">
        <v>45595</v>
      </c>
      <c r="C478" s="1" t="n">
        <v>45965</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24655-2023</t>
        </is>
      </c>
      <c r="B479" s="1" t="n">
        <v>45084.47790509259</v>
      </c>
      <c r="C479" s="1" t="n">
        <v>45965</v>
      </c>
      <c r="D479" t="inlineStr">
        <is>
          <t>JÄMTLANDS LÄN</t>
        </is>
      </c>
      <c r="E479" t="inlineStr">
        <is>
          <t>ÅRE</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66790-2020</t>
        </is>
      </c>
      <c r="B480" s="1" t="n">
        <v>44179</v>
      </c>
      <c r="C480" s="1" t="n">
        <v>45965</v>
      </c>
      <c r="D480" t="inlineStr">
        <is>
          <t>JÄMTLANDS LÄN</t>
        </is>
      </c>
      <c r="E480" t="inlineStr">
        <is>
          <t>ÅRE</t>
        </is>
      </c>
      <c r="G480" t="n">
        <v>2.3</v>
      </c>
      <c r="H480" t="n">
        <v>0</v>
      </c>
      <c r="I480" t="n">
        <v>0</v>
      </c>
      <c r="J480" t="n">
        <v>0</v>
      </c>
      <c r="K480" t="n">
        <v>0</v>
      </c>
      <c r="L480" t="n">
        <v>0</v>
      </c>
      <c r="M480" t="n">
        <v>0</v>
      </c>
      <c r="N480" t="n">
        <v>0</v>
      </c>
      <c r="O480" t="n">
        <v>0</v>
      </c>
      <c r="P480" t="n">
        <v>0</v>
      </c>
      <c r="Q480" t="n">
        <v>0</v>
      </c>
      <c r="R480" s="2" t="inlineStr"/>
    </row>
    <row r="481" ht="15" customHeight="1">
      <c r="A481" t="inlineStr">
        <is>
          <t>A 60962-2023</t>
        </is>
      </c>
      <c r="B481" s="1" t="n">
        <v>45261.46787037037</v>
      </c>
      <c r="C481" s="1" t="n">
        <v>45965</v>
      </c>
      <c r="D481" t="inlineStr">
        <is>
          <t>JÄMTLANDS LÄN</t>
        </is>
      </c>
      <c r="E481" t="inlineStr">
        <is>
          <t>ÅRE</t>
        </is>
      </c>
      <c r="G481" t="n">
        <v>3.2</v>
      </c>
      <c r="H481" t="n">
        <v>0</v>
      </c>
      <c r="I481" t="n">
        <v>0</v>
      </c>
      <c r="J481" t="n">
        <v>0</v>
      </c>
      <c r="K481" t="n">
        <v>0</v>
      </c>
      <c r="L481" t="n">
        <v>0</v>
      </c>
      <c r="M481" t="n">
        <v>0</v>
      </c>
      <c r="N481" t="n">
        <v>0</v>
      </c>
      <c r="O481" t="n">
        <v>0</v>
      </c>
      <c r="P481" t="n">
        <v>0</v>
      </c>
      <c r="Q481" t="n">
        <v>0</v>
      </c>
      <c r="R481" s="2" t="inlineStr"/>
    </row>
    <row r="482" ht="15" customHeight="1">
      <c r="A482" t="inlineStr">
        <is>
          <t>A 12669-2023</t>
        </is>
      </c>
      <c r="B482" s="1" t="n">
        <v>45000</v>
      </c>
      <c r="C482" s="1" t="n">
        <v>45965</v>
      </c>
      <c r="D482" t="inlineStr">
        <is>
          <t>JÄMTLANDS LÄN</t>
        </is>
      </c>
      <c r="E482" t="inlineStr">
        <is>
          <t>ÅRE</t>
        </is>
      </c>
      <c r="F482" t="inlineStr">
        <is>
          <t>Övriga Aktiebolag</t>
        </is>
      </c>
      <c r="G482" t="n">
        <v>2.8</v>
      </c>
      <c r="H482" t="n">
        <v>0</v>
      </c>
      <c r="I482" t="n">
        <v>0</v>
      </c>
      <c r="J482" t="n">
        <v>0</v>
      </c>
      <c r="K482" t="n">
        <v>0</v>
      </c>
      <c r="L482" t="n">
        <v>0</v>
      </c>
      <c r="M482" t="n">
        <v>0</v>
      </c>
      <c r="N482" t="n">
        <v>0</v>
      </c>
      <c r="O482" t="n">
        <v>0</v>
      </c>
      <c r="P482" t="n">
        <v>0</v>
      </c>
      <c r="Q482" t="n">
        <v>0</v>
      </c>
      <c r="R482" s="2" t="inlineStr"/>
    </row>
    <row r="483" ht="15" customHeight="1">
      <c r="A483" t="inlineStr">
        <is>
          <t>A 60973-2023</t>
        </is>
      </c>
      <c r="B483" s="1" t="n">
        <v>45261.47321759259</v>
      </c>
      <c r="C483" s="1" t="n">
        <v>45965</v>
      </c>
      <c r="D483" t="inlineStr">
        <is>
          <t>JÄMTLANDS LÄN</t>
        </is>
      </c>
      <c r="E483" t="inlineStr">
        <is>
          <t>ÅRE</t>
        </is>
      </c>
      <c r="G483" t="n">
        <v>3.1</v>
      </c>
      <c r="H483" t="n">
        <v>0</v>
      </c>
      <c r="I483" t="n">
        <v>0</v>
      </c>
      <c r="J483" t="n">
        <v>0</v>
      </c>
      <c r="K483" t="n">
        <v>0</v>
      </c>
      <c r="L483" t="n">
        <v>0</v>
      </c>
      <c r="M483" t="n">
        <v>0</v>
      </c>
      <c r="N483" t="n">
        <v>0</v>
      </c>
      <c r="O483" t="n">
        <v>0</v>
      </c>
      <c r="P483" t="n">
        <v>0</v>
      </c>
      <c r="Q483" t="n">
        <v>0</v>
      </c>
      <c r="R483" s="2" t="inlineStr"/>
    </row>
    <row r="484" ht="15" customHeight="1">
      <c r="A484" t="inlineStr">
        <is>
          <t>A 5651-2023</t>
        </is>
      </c>
      <c r="B484" s="1" t="n">
        <v>44958</v>
      </c>
      <c r="C484" s="1" t="n">
        <v>45965</v>
      </c>
      <c r="D484" t="inlineStr">
        <is>
          <t>JÄMTLANDS LÄN</t>
        </is>
      </c>
      <c r="E484" t="inlineStr">
        <is>
          <t>ÅRE</t>
        </is>
      </c>
      <c r="G484" t="n">
        <v>5.7</v>
      </c>
      <c r="H484" t="n">
        <v>0</v>
      </c>
      <c r="I484" t="n">
        <v>0</v>
      </c>
      <c r="J484" t="n">
        <v>0</v>
      </c>
      <c r="K484" t="n">
        <v>0</v>
      </c>
      <c r="L484" t="n">
        <v>0</v>
      </c>
      <c r="M484" t="n">
        <v>0</v>
      </c>
      <c r="N484" t="n">
        <v>0</v>
      </c>
      <c r="O484" t="n">
        <v>0</v>
      </c>
      <c r="P484" t="n">
        <v>0</v>
      </c>
      <c r="Q484" t="n">
        <v>0</v>
      </c>
      <c r="R484" s="2" t="inlineStr"/>
    </row>
    <row r="485" ht="15" customHeight="1">
      <c r="A485" t="inlineStr">
        <is>
          <t>A 67972-2020</t>
        </is>
      </c>
      <c r="B485" s="1" t="n">
        <v>44182</v>
      </c>
      <c r="C485" s="1" t="n">
        <v>45965</v>
      </c>
      <c r="D485" t="inlineStr">
        <is>
          <t>JÄMTLANDS LÄN</t>
        </is>
      </c>
      <c r="E485" t="inlineStr">
        <is>
          <t>ÅRE</t>
        </is>
      </c>
      <c r="G485" t="n">
        <v>6</v>
      </c>
      <c r="H485" t="n">
        <v>0</v>
      </c>
      <c r="I485" t="n">
        <v>0</v>
      </c>
      <c r="J485" t="n">
        <v>0</v>
      </c>
      <c r="K485" t="n">
        <v>0</v>
      </c>
      <c r="L485" t="n">
        <v>0</v>
      </c>
      <c r="M485" t="n">
        <v>0</v>
      </c>
      <c r="N485" t="n">
        <v>0</v>
      </c>
      <c r="O485" t="n">
        <v>0</v>
      </c>
      <c r="P485" t="n">
        <v>0</v>
      </c>
      <c r="Q485" t="n">
        <v>0</v>
      </c>
      <c r="R485" s="2" t="inlineStr"/>
    </row>
    <row r="486" ht="15" customHeight="1">
      <c r="A486" t="inlineStr">
        <is>
          <t>A 13561-2025</t>
        </is>
      </c>
      <c r="B486" s="1" t="n">
        <v>45736.5587037037</v>
      </c>
      <c r="C486" s="1" t="n">
        <v>45965</v>
      </c>
      <c r="D486" t="inlineStr">
        <is>
          <t>JÄMTLANDS LÄN</t>
        </is>
      </c>
      <c r="E486" t="inlineStr">
        <is>
          <t>ÅRE</t>
        </is>
      </c>
      <c r="F486" t="inlineStr">
        <is>
          <t>Övriga statliga verk och myndigheter</t>
        </is>
      </c>
      <c r="G486" t="n">
        <v>3.8</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45965</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31388-2021</t>
        </is>
      </c>
      <c r="B488" s="1" t="n">
        <v>44369</v>
      </c>
      <c r="C488" s="1" t="n">
        <v>45965</v>
      </c>
      <c r="D488" t="inlineStr">
        <is>
          <t>JÄMTLANDS LÄN</t>
        </is>
      </c>
      <c r="E488" t="inlineStr">
        <is>
          <t>ÅRE</t>
        </is>
      </c>
      <c r="G488" t="n">
        <v>2</v>
      </c>
      <c r="H488" t="n">
        <v>0</v>
      </c>
      <c r="I488" t="n">
        <v>0</v>
      </c>
      <c r="J488" t="n">
        <v>0</v>
      </c>
      <c r="K488" t="n">
        <v>0</v>
      </c>
      <c r="L488" t="n">
        <v>0</v>
      </c>
      <c r="M488" t="n">
        <v>0</v>
      </c>
      <c r="N488" t="n">
        <v>0</v>
      </c>
      <c r="O488" t="n">
        <v>0</v>
      </c>
      <c r="P488" t="n">
        <v>0</v>
      </c>
      <c r="Q488" t="n">
        <v>0</v>
      </c>
      <c r="R488" s="2" t="inlineStr"/>
    </row>
    <row r="489" ht="15" customHeight="1">
      <c r="A489" t="inlineStr">
        <is>
          <t>A 23805-2024</t>
        </is>
      </c>
      <c r="B489" s="1" t="n">
        <v>45455.44194444444</v>
      </c>
      <c r="C489" s="1" t="n">
        <v>45965</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12940-2024</t>
        </is>
      </c>
      <c r="B490" s="1" t="n">
        <v>45385.46263888889</v>
      </c>
      <c r="C490" s="1" t="n">
        <v>45965</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19275-2021</t>
        </is>
      </c>
      <c r="B491" s="1" t="n">
        <v>44309</v>
      </c>
      <c r="C491" s="1" t="n">
        <v>45965</v>
      </c>
      <c r="D491" t="inlineStr">
        <is>
          <t>JÄMTLANDS LÄN</t>
        </is>
      </c>
      <c r="E491" t="inlineStr">
        <is>
          <t>ÅRE</t>
        </is>
      </c>
      <c r="G491" t="n">
        <v>16.4</v>
      </c>
      <c r="H491" t="n">
        <v>0</v>
      </c>
      <c r="I491" t="n">
        <v>0</v>
      </c>
      <c r="J491" t="n">
        <v>0</v>
      </c>
      <c r="K491" t="n">
        <v>0</v>
      </c>
      <c r="L491" t="n">
        <v>0</v>
      </c>
      <c r="M491" t="n">
        <v>0</v>
      </c>
      <c r="N491" t="n">
        <v>0</v>
      </c>
      <c r="O491" t="n">
        <v>0</v>
      </c>
      <c r="P491" t="n">
        <v>0</v>
      </c>
      <c r="Q491" t="n">
        <v>0</v>
      </c>
      <c r="R491" s="2" t="inlineStr"/>
    </row>
    <row r="492" ht="15" customHeight="1">
      <c r="A492" t="inlineStr">
        <is>
          <t>A 57864-2024</t>
        </is>
      </c>
      <c r="B492" s="1" t="n">
        <v>45631.43578703704</v>
      </c>
      <c r="C492" s="1" t="n">
        <v>45965</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44719.5662037037</v>
      </c>
      <c r="C493" s="1" t="n">
        <v>45965</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51277-2023</t>
        </is>
      </c>
      <c r="B494" s="1" t="n">
        <v>45219</v>
      </c>
      <c r="C494" s="1" t="n">
        <v>45965</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51282-2023</t>
        </is>
      </c>
      <c r="B495" s="1" t="n">
        <v>45219</v>
      </c>
      <c r="C495" s="1" t="n">
        <v>45965</v>
      </c>
      <c r="D495" t="inlineStr">
        <is>
          <t>JÄMTLANDS LÄN</t>
        </is>
      </c>
      <c r="E495" t="inlineStr">
        <is>
          <t>ÅRE</t>
        </is>
      </c>
      <c r="G495" t="n">
        <v>2.3</v>
      </c>
      <c r="H495" t="n">
        <v>0</v>
      </c>
      <c r="I495" t="n">
        <v>0</v>
      </c>
      <c r="J495" t="n">
        <v>0</v>
      </c>
      <c r="K495" t="n">
        <v>0</v>
      </c>
      <c r="L495" t="n">
        <v>0</v>
      </c>
      <c r="M495" t="n">
        <v>0</v>
      </c>
      <c r="N495" t="n">
        <v>0</v>
      </c>
      <c r="O495" t="n">
        <v>0</v>
      </c>
      <c r="P495" t="n">
        <v>0</v>
      </c>
      <c r="Q495" t="n">
        <v>0</v>
      </c>
      <c r="R495" s="2" t="inlineStr"/>
    </row>
    <row r="496" ht="15" customHeight="1">
      <c r="A496" t="inlineStr">
        <is>
          <t>A 54385-2023</t>
        </is>
      </c>
      <c r="B496" s="1" t="n">
        <v>45233.35863425926</v>
      </c>
      <c r="C496" s="1" t="n">
        <v>45965</v>
      </c>
      <c r="D496" t="inlineStr">
        <is>
          <t>JÄMTLANDS LÄN</t>
        </is>
      </c>
      <c r="E496" t="inlineStr">
        <is>
          <t>ÅRE</t>
        </is>
      </c>
      <c r="G496" t="n">
        <v>3.7</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45965</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36234-2023</t>
        </is>
      </c>
      <c r="B498" s="1" t="n">
        <v>45150</v>
      </c>
      <c r="C498" s="1" t="n">
        <v>45965</v>
      </c>
      <c r="D498" t="inlineStr">
        <is>
          <t>JÄMTLANDS LÄN</t>
        </is>
      </c>
      <c r="E498" t="inlineStr">
        <is>
          <t>ÅRE</t>
        </is>
      </c>
      <c r="G498" t="n">
        <v>0.9</v>
      </c>
      <c r="H498" t="n">
        <v>0</v>
      </c>
      <c r="I498" t="n">
        <v>0</v>
      </c>
      <c r="J498" t="n">
        <v>0</v>
      </c>
      <c r="K498" t="n">
        <v>0</v>
      </c>
      <c r="L498" t="n">
        <v>0</v>
      </c>
      <c r="M498" t="n">
        <v>0</v>
      </c>
      <c r="N498" t="n">
        <v>0</v>
      </c>
      <c r="O498" t="n">
        <v>0</v>
      </c>
      <c r="P498" t="n">
        <v>0</v>
      </c>
      <c r="Q498" t="n">
        <v>0</v>
      </c>
      <c r="R498" s="2" t="inlineStr"/>
    </row>
    <row r="499" ht="15" customHeight="1">
      <c r="A499" t="inlineStr">
        <is>
          <t>A 8788-2025</t>
        </is>
      </c>
      <c r="B499" s="1" t="n">
        <v>45712</v>
      </c>
      <c r="C499" s="1" t="n">
        <v>45965</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59916-2023</t>
        </is>
      </c>
      <c r="B500" s="1" t="n">
        <v>45257.64270833333</v>
      </c>
      <c r="C500" s="1" t="n">
        <v>45965</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47664-2022</t>
        </is>
      </c>
      <c r="B501" s="1" t="n">
        <v>44854.46388888889</v>
      </c>
      <c r="C501" s="1" t="n">
        <v>45965</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57448-2023</t>
        </is>
      </c>
      <c r="B502" s="1" t="n">
        <v>45246.34405092592</v>
      </c>
      <c r="C502" s="1" t="n">
        <v>45965</v>
      </c>
      <c r="D502" t="inlineStr">
        <is>
          <t>JÄMTLANDS LÄN</t>
        </is>
      </c>
      <c r="E502" t="inlineStr">
        <is>
          <t>ÅRE</t>
        </is>
      </c>
      <c r="G502" t="n">
        <v>11.9</v>
      </c>
      <c r="H502" t="n">
        <v>0</v>
      </c>
      <c r="I502" t="n">
        <v>0</v>
      </c>
      <c r="J502" t="n">
        <v>0</v>
      </c>
      <c r="K502" t="n">
        <v>0</v>
      </c>
      <c r="L502" t="n">
        <v>0</v>
      </c>
      <c r="M502" t="n">
        <v>0</v>
      </c>
      <c r="N502" t="n">
        <v>0</v>
      </c>
      <c r="O502" t="n">
        <v>0</v>
      </c>
      <c r="P502" t="n">
        <v>0</v>
      </c>
      <c r="Q502" t="n">
        <v>0</v>
      </c>
      <c r="R502" s="2" t="inlineStr"/>
    </row>
    <row r="503" ht="15" customHeight="1">
      <c r="A503" t="inlineStr">
        <is>
          <t>A 25379-2024</t>
        </is>
      </c>
      <c r="B503" s="1" t="n">
        <v>45462</v>
      </c>
      <c r="C503" s="1" t="n">
        <v>45965</v>
      </c>
      <c r="D503" t="inlineStr">
        <is>
          <t>JÄMTLANDS LÄN</t>
        </is>
      </c>
      <c r="E503" t="inlineStr">
        <is>
          <t>ÅRE</t>
        </is>
      </c>
      <c r="G503" t="n">
        <v>4.5</v>
      </c>
      <c r="H503" t="n">
        <v>0</v>
      </c>
      <c r="I503" t="n">
        <v>0</v>
      </c>
      <c r="J503" t="n">
        <v>0</v>
      </c>
      <c r="K503" t="n">
        <v>0</v>
      </c>
      <c r="L503" t="n">
        <v>0</v>
      </c>
      <c r="M503" t="n">
        <v>0</v>
      </c>
      <c r="N503" t="n">
        <v>0</v>
      </c>
      <c r="O503" t="n">
        <v>0</v>
      </c>
      <c r="P503" t="n">
        <v>0</v>
      </c>
      <c r="Q503" t="n">
        <v>0</v>
      </c>
      <c r="R503" s="2" t="inlineStr"/>
    </row>
    <row r="504" ht="15" customHeight="1">
      <c r="A504" t="inlineStr">
        <is>
          <t>A 25710-2024</t>
        </is>
      </c>
      <c r="B504" s="1" t="n">
        <v>45463</v>
      </c>
      <c r="C504" s="1" t="n">
        <v>45965</v>
      </c>
      <c r="D504" t="inlineStr">
        <is>
          <t>JÄMTLANDS LÄN</t>
        </is>
      </c>
      <c r="E504" t="inlineStr">
        <is>
          <t>ÅRE</t>
        </is>
      </c>
      <c r="G504" t="n">
        <v>4.5</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45965</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1159-2023</t>
        </is>
      </c>
      <c r="B506" s="1" t="n">
        <v>44935.66199074074</v>
      </c>
      <c r="C506" s="1" t="n">
        <v>45965</v>
      </c>
      <c r="D506" t="inlineStr">
        <is>
          <t>JÄMTLANDS LÄN</t>
        </is>
      </c>
      <c r="E506" t="inlineStr">
        <is>
          <t>ÅRE</t>
        </is>
      </c>
      <c r="G506" t="n">
        <v>6.4</v>
      </c>
      <c r="H506" t="n">
        <v>0</v>
      </c>
      <c r="I506" t="n">
        <v>0</v>
      </c>
      <c r="J506" t="n">
        <v>0</v>
      </c>
      <c r="K506" t="n">
        <v>0</v>
      </c>
      <c r="L506" t="n">
        <v>0</v>
      </c>
      <c r="M506" t="n">
        <v>0</v>
      </c>
      <c r="N506" t="n">
        <v>0</v>
      </c>
      <c r="O506" t="n">
        <v>0</v>
      </c>
      <c r="P506" t="n">
        <v>0</v>
      </c>
      <c r="Q506" t="n">
        <v>0</v>
      </c>
      <c r="R506" s="2" t="inlineStr"/>
    </row>
    <row r="507" ht="15" customHeight="1">
      <c r="A507" t="inlineStr">
        <is>
          <t>A 60016-2020</t>
        </is>
      </c>
      <c r="B507" s="1" t="n">
        <v>44151</v>
      </c>
      <c r="C507" s="1" t="n">
        <v>45965</v>
      </c>
      <c r="D507" t="inlineStr">
        <is>
          <t>JÄMTLANDS LÄN</t>
        </is>
      </c>
      <c r="E507" t="inlineStr">
        <is>
          <t>ÅRE</t>
        </is>
      </c>
      <c r="G507" t="n">
        <v>14.7</v>
      </c>
      <c r="H507" t="n">
        <v>0</v>
      </c>
      <c r="I507" t="n">
        <v>0</v>
      </c>
      <c r="J507" t="n">
        <v>0</v>
      </c>
      <c r="K507" t="n">
        <v>0</v>
      </c>
      <c r="L507" t="n">
        <v>0</v>
      </c>
      <c r="M507" t="n">
        <v>0</v>
      </c>
      <c r="N507" t="n">
        <v>0</v>
      </c>
      <c r="O507" t="n">
        <v>0</v>
      </c>
      <c r="P507" t="n">
        <v>0</v>
      </c>
      <c r="Q507" t="n">
        <v>0</v>
      </c>
      <c r="R507" s="2" t="inlineStr"/>
    </row>
    <row r="508" ht="15" customHeight="1">
      <c r="A508" t="inlineStr">
        <is>
          <t>A 4870-2021</t>
        </is>
      </c>
      <c r="B508" s="1" t="n">
        <v>44225</v>
      </c>
      <c r="C508" s="1" t="n">
        <v>45965</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58508-2023</t>
        </is>
      </c>
      <c r="B509" s="1" t="n">
        <v>45246</v>
      </c>
      <c r="C509" s="1" t="n">
        <v>45965</v>
      </c>
      <c r="D509" t="inlineStr">
        <is>
          <t>JÄMTLANDS LÄN</t>
        </is>
      </c>
      <c r="E509" t="inlineStr">
        <is>
          <t>ÅRE</t>
        </is>
      </c>
      <c r="G509" t="n">
        <v>21.8</v>
      </c>
      <c r="H509" t="n">
        <v>0</v>
      </c>
      <c r="I509" t="n">
        <v>0</v>
      </c>
      <c r="J509" t="n">
        <v>0</v>
      </c>
      <c r="K509" t="n">
        <v>0</v>
      </c>
      <c r="L509" t="n">
        <v>0</v>
      </c>
      <c r="M509" t="n">
        <v>0</v>
      </c>
      <c r="N509" t="n">
        <v>0</v>
      </c>
      <c r="O509" t="n">
        <v>0</v>
      </c>
      <c r="P509" t="n">
        <v>0</v>
      </c>
      <c r="Q509" t="n">
        <v>0</v>
      </c>
      <c r="R509" s="2" t="inlineStr"/>
    </row>
    <row r="510" ht="15" customHeight="1">
      <c r="A510" t="inlineStr">
        <is>
          <t>A 49571-2025</t>
        </is>
      </c>
      <c r="B510" s="1" t="n">
        <v>45939.48998842593</v>
      </c>
      <c r="C510" s="1" t="n">
        <v>45965</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12292-2023</t>
        </is>
      </c>
      <c r="B511" s="1" t="n">
        <v>44998</v>
      </c>
      <c r="C511" s="1" t="n">
        <v>45965</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12294-2023</t>
        </is>
      </c>
      <c r="B512" s="1" t="n">
        <v>44998.75266203703</v>
      </c>
      <c r="C512" s="1" t="n">
        <v>45965</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32210-2022</t>
        </is>
      </c>
      <c r="B513" s="1" t="n">
        <v>44781</v>
      </c>
      <c r="C513" s="1" t="n">
        <v>45965</v>
      </c>
      <c r="D513" t="inlineStr">
        <is>
          <t>JÄMTLANDS LÄN</t>
        </is>
      </c>
      <c r="E513" t="inlineStr">
        <is>
          <t>ÅRE</t>
        </is>
      </c>
      <c r="G513" t="n">
        <v>17.3</v>
      </c>
      <c r="H513" t="n">
        <v>0</v>
      </c>
      <c r="I513" t="n">
        <v>0</v>
      </c>
      <c r="J513" t="n">
        <v>0</v>
      </c>
      <c r="K513" t="n">
        <v>0</v>
      </c>
      <c r="L513" t="n">
        <v>0</v>
      </c>
      <c r="M513" t="n">
        <v>0</v>
      </c>
      <c r="N513" t="n">
        <v>0</v>
      </c>
      <c r="O513" t="n">
        <v>0</v>
      </c>
      <c r="P513" t="n">
        <v>0</v>
      </c>
      <c r="Q513" t="n">
        <v>0</v>
      </c>
      <c r="R513" s="2" t="inlineStr"/>
    </row>
    <row r="514" ht="15" customHeight="1">
      <c r="A514" t="inlineStr">
        <is>
          <t>A 71968-2021</t>
        </is>
      </c>
      <c r="B514" s="1" t="n">
        <v>44540</v>
      </c>
      <c r="C514" s="1" t="n">
        <v>45965</v>
      </c>
      <c r="D514" t="inlineStr">
        <is>
          <t>JÄMTLANDS LÄN</t>
        </is>
      </c>
      <c r="E514" t="inlineStr">
        <is>
          <t>ÅRE</t>
        </is>
      </c>
      <c r="G514" t="n">
        <v>7</v>
      </c>
      <c r="H514" t="n">
        <v>0</v>
      </c>
      <c r="I514" t="n">
        <v>0</v>
      </c>
      <c r="J514" t="n">
        <v>0</v>
      </c>
      <c r="K514" t="n">
        <v>0</v>
      </c>
      <c r="L514" t="n">
        <v>0</v>
      </c>
      <c r="M514" t="n">
        <v>0</v>
      </c>
      <c r="N514" t="n">
        <v>0</v>
      </c>
      <c r="O514" t="n">
        <v>0</v>
      </c>
      <c r="P514" t="n">
        <v>0</v>
      </c>
      <c r="Q514" t="n">
        <v>0</v>
      </c>
      <c r="R514" s="2" t="inlineStr"/>
    </row>
    <row r="515" ht="15" customHeight="1">
      <c r="A515" t="inlineStr">
        <is>
          <t>A 5610-2025</t>
        </is>
      </c>
      <c r="B515" s="1" t="n">
        <v>45693.60425925926</v>
      </c>
      <c r="C515" s="1" t="n">
        <v>45965</v>
      </c>
      <c r="D515" t="inlineStr">
        <is>
          <t>JÄMTLANDS LÄN</t>
        </is>
      </c>
      <c r="E515" t="inlineStr">
        <is>
          <t>ÅRE</t>
        </is>
      </c>
      <c r="G515" t="n">
        <v>1.6</v>
      </c>
      <c r="H515" t="n">
        <v>0</v>
      </c>
      <c r="I515" t="n">
        <v>0</v>
      </c>
      <c r="J515" t="n">
        <v>0</v>
      </c>
      <c r="K515" t="n">
        <v>0</v>
      </c>
      <c r="L515" t="n">
        <v>0</v>
      </c>
      <c r="M515" t="n">
        <v>0</v>
      </c>
      <c r="N515" t="n">
        <v>0</v>
      </c>
      <c r="O515" t="n">
        <v>0</v>
      </c>
      <c r="P515" t="n">
        <v>0</v>
      </c>
      <c r="Q515" t="n">
        <v>0</v>
      </c>
      <c r="R515" s="2" t="inlineStr"/>
    </row>
    <row r="516" ht="15" customHeight="1">
      <c r="A516" t="inlineStr">
        <is>
          <t>A 44512-2023</t>
        </is>
      </c>
      <c r="B516" s="1" t="n">
        <v>45184</v>
      </c>
      <c r="C516" s="1" t="n">
        <v>45965</v>
      </c>
      <c r="D516" t="inlineStr">
        <is>
          <t>JÄMTLANDS LÄN</t>
        </is>
      </c>
      <c r="E516" t="inlineStr">
        <is>
          <t>ÅRE</t>
        </is>
      </c>
      <c r="G516" t="n">
        <v>12.5</v>
      </c>
      <c r="H516" t="n">
        <v>0</v>
      </c>
      <c r="I516" t="n">
        <v>0</v>
      </c>
      <c r="J516" t="n">
        <v>0</v>
      </c>
      <c r="K516" t="n">
        <v>0</v>
      </c>
      <c r="L516" t="n">
        <v>0</v>
      </c>
      <c r="M516" t="n">
        <v>0</v>
      </c>
      <c r="N516" t="n">
        <v>0</v>
      </c>
      <c r="O516" t="n">
        <v>0</v>
      </c>
      <c r="P516" t="n">
        <v>0</v>
      </c>
      <c r="Q516" t="n">
        <v>0</v>
      </c>
      <c r="R516" s="2" t="inlineStr"/>
    </row>
    <row r="517" ht="15" customHeight="1">
      <c r="A517" t="inlineStr">
        <is>
          <t>A 33003-2022</t>
        </is>
      </c>
      <c r="B517" s="1" t="n">
        <v>44784</v>
      </c>
      <c r="C517" s="1" t="n">
        <v>45965</v>
      </c>
      <c r="D517" t="inlineStr">
        <is>
          <t>JÄMTLANDS LÄN</t>
        </is>
      </c>
      <c r="E517" t="inlineStr">
        <is>
          <t>ÅRE</t>
        </is>
      </c>
      <c r="G517" t="n">
        <v>6.1</v>
      </c>
      <c r="H517" t="n">
        <v>0</v>
      </c>
      <c r="I517" t="n">
        <v>0</v>
      </c>
      <c r="J517" t="n">
        <v>0</v>
      </c>
      <c r="K517" t="n">
        <v>0</v>
      </c>
      <c r="L517" t="n">
        <v>0</v>
      </c>
      <c r="M517" t="n">
        <v>0</v>
      </c>
      <c r="N517" t="n">
        <v>0</v>
      </c>
      <c r="O517" t="n">
        <v>0</v>
      </c>
      <c r="P517" t="n">
        <v>0</v>
      </c>
      <c r="Q517" t="n">
        <v>0</v>
      </c>
      <c r="R517" s="2" t="inlineStr"/>
    </row>
    <row r="518" ht="15" customHeight="1">
      <c r="A518" t="inlineStr">
        <is>
          <t>A 5611-2025</t>
        </is>
      </c>
      <c r="B518" s="1" t="n">
        <v>45693.60480324074</v>
      </c>
      <c r="C518" s="1" t="n">
        <v>45965</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40341-2021</t>
        </is>
      </c>
      <c r="B519" s="1" t="n">
        <v>44419</v>
      </c>
      <c r="C519" s="1" t="n">
        <v>45965</v>
      </c>
      <c r="D519" t="inlineStr">
        <is>
          <t>JÄMTLANDS LÄN</t>
        </is>
      </c>
      <c r="E519" t="inlineStr">
        <is>
          <t>ÅRE</t>
        </is>
      </c>
      <c r="G519" t="n">
        <v>3</v>
      </c>
      <c r="H519" t="n">
        <v>0</v>
      </c>
      <c r="I519" t="n">
        <v>0</v>
      </c>
      <c r="J519" t="n">
        <v>0</v>
      </c>
      <c r="K519" t="n">
        <v>0</v>
      </c>
      <c r="L519" t="n">
        <v>0</v>
      </c>
      <c r="M519" t="n">
        <v>0</v>
      </c>
      <c r="N519" t="n">
        <v>0</v>
      </c>
      <c r="O519" t="n">
        <v>0</v>
      </c>
      <c r="P519" t="n">
        <v>0</v>
      </c>
      <c r="Q519" t="n">
        <v>0</v>
      </c>
      <c r="R519" s="2" t="inlineStr"/>
    </row>
    <row r="520" ht="15" customHeight="1">
      <c r="A520" t="inlineStr">
        <is>
          <t>A 49593-2025</t>
        </is>
      </c>
      <c r="B520" s="1" t="n">
        <v>45939.53186342592</v>
      </c>
      <c r="C520" s="1" t="n">
        <v>45965</v>
      </c>
      <c r="D520" t="inlineStr">
        <is>
          <t>JÄMTLANDS LÄN</t>
        </is>
      </c>
      <c r="E520" t="inlineStr">
        <is>
          <t>ÅRE</t>
        </is>
      </c>
      <c r="G520" t="n">
        <v>7.9</v>
      </c>
      <c r="H520" t="n">
        <v>0</v>
      </c>
      <c r="I520" t="n">
        <v>0</v>
      </c>
      <c r="J520" t="n">
        <v>0</v>
      </c>
      <c r="K520" t="n">
        <v>0</v>
      </c>
      <c r="L520" t="n">
        <v>0</v>
      </c>
      <c r="M520" t="n">
        <v>0</v>
      </c>
      <c r="N520" t="n">
        <v>0</v>
      </c>
      <c r="O520" t="n">
        <v>0</v>
      </c>
      <c r="P520" t="n">
        <v>0</v>
      </c>
      <c r="Q520" t="n">
        <v>0</v>
      </c>
      <c r="R520" s="2" t="inlineStr"/>
    </row>
    <row r="521" ht="15" customHeight="1">
      <c r="A521" t="inlineStr">
        <is>
          <t>A 49493-2025</t>
        </is>
      </c>
      <c r="B521" s="1" t="n">
        <v>45939.36626157408</v>
      </c>
      <c r="C521" s="1" t="n">
        <v>45965</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48599-2023</t>
        </is>
      </c>
      <c r="B522" s="1" t="n">
        <v>45208</v>
      </c>
      <c r="C522" s="1" t="n">
        <v>45965</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20160-2025</t>
        </is>
      </c>
      <c r="B523" s="1" t="n">
        <v>45772.56753472222</v>
      </c>
      <c r="C523" s="1" t="n">
        <v>45965</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39202-2025</t>
        </is>
      </c>
      <c r="B524" s="1" t="n">
        <v>45888.72116898148</v>
      </c>
      <c r="C524" s="1" t="n">
        <v>45965</v>
      </c>
      <c r="D524" t="inlineStr">
        <is>
          <t>JÄMTLANDS LÄN</t>
        </is>
      </c>
      <c r="E524" t="inlineStr">
        <is>
          <t>ÅRE</t>
        </is>
      </c>
      <c r="G524" t="n">
        <v>4.4</v>
      </c>
      <c r="H524" t="n">
        <v>0</v>
      </c>
      <c r="I524" t="n">
        <v>0</v>
      </c>
      <c r="J524" t="n">
        <v>0</v>
      </c>
      <c r="K524" t="n">
        <v>0</v>
      </c>
      <c r="L524" t="n">
        <v>0</v>
      </c>
      <c r="M524" t="n">
        <v>0</v>
      </c>
      <c r="N524" t="n">
        <v>0</v>
      </c>
      <c r="O524" t="n">
        <v>0</v>
      </c>
      <c r="P524" t="n">
        <v>0</v>
      </c>
      <c r="Q524" t="n">
        <v>0</v>
      </c>
      <c r="R524" s="2" t="inlineStr"/>
    </row>
    <row r="525" ht="15" customHeight="1">
      <c r="A525" t="inlineStr">
        <is>
          <t>A 39115-2025</t>
        </is>
      </c>
      <c r="B525" s="1" t="n">
        <v>45888.55096064815</v>
      </c>
      <c r="C525" s="1" t="n">
        <v>45965</v>
      </c>
      <c r="D525" t="inlineStr">
        <is>
          <t>JÄMTLANDS LÄN</t>
        </is>
      </c>
      <c r="E525" t="inlineStr">
        <is>
          <t>ÅRE</t>
        </is>
      </c>
      <c r="F525" t="inlineStr">
        <is>
          <t>Övriga statliga verk och myndigheter</t>
        </is>
      </c>
      <c r="G525" t="n">
        <v>11.4</v>
      </c>
      <c r="H525" t="n">
        <v>0</v>
      </c>
      <c r="I525" t="n">
        <v>0</v>
      </c>
      <c r="J525" t="n">
        <v>0</v>
      </c>
      <c r="K525" t="n">
        <v>0</v>
      </c>
      <c r="L525" t="n">
        <v>0</v>
      </c>
      <c r="M525" t="n">
        <v>0</v>
      </c>
      <c r="N525" t="n">
        <v>0</v>
      </c>
      <c r="O525" t="n">
        <v>0</v>
      </c>
      <c r="P525" t="n">
        <v>0</v>
      </c>
      <c r="Q525" t="n">
        <v>0</v>
      </c>
      <c r="R525" s="2" t="inlineStr"/>
    </row>
    <row r="526" ht="15" customHeight="1">
      <c r="A526" t="inlineStr">
        <is>
          <t>A 59215-2024</t>
        </is>
      </c>
      <c r="B526" s="1" t="n">
        <v>45636</v>
      </c>
      <c r="C526" s="1" t="n">
        <v>45965</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58940-2021</t>
        </is>
      </c>
      <c r="B527" s="1" t="n">
        <v>44489</v>
      </c>
      <c r="C527" s="1" t="n">
        <v>45965</v>
      </c>
      <c r="D527" t="inlineStr">
        <is>
          <t>JÄMTLANDS LÄN</t>
        </is>
      </c>
      <c r="E527" t="inlineStr">
        <is>
          <t>ÅRE</t>
        </is>
      </c>
      <c r="G527" t="n">
        <v>5.8</v>
      </c>
      <c r="H527" t="n">
        <v>0</v>
      </c>
      <c r="I527" t="n">
        <v>0</v>
      </c>
      <c r="J527" t="n">
        <v>0</v>
      </c>
      <c r="K527" t="n">
        <v>0</v>
      </c>
      <c r="L527" t="n">
        <v>0</v>
      </c>
      <c r="M527" t="n">
        <v>0</v>
      </c>
      <c r="N527" t="n">
        <v>0</v>
      </c>
      <c r="O527" t="n">
        <v>0</v>
      </c>
      <c r="P527" t="n">
        <v>0</v>
      </c>
      <c r="Q527" t="n">
        <v>0</v>
      </c>
      <c r="R527" s="2" t="inlineStr"/>
    </row>
    <row r="528" ht="15" customHeight="1">
      <c r="A528" t="inlineStr">
        <is>
          <t>A 48211-2025</t>
        </is>
      </c>
      <c r="B528" s="1" t="n">
        <v>45931</v>
      </c>
      <c r="C528" s="1" t="n">
        <v>45965</v>
      </c>
      <c r="D528" t="inlineStr">
        <is>
          <t>JÄMTLANDS LÄN</t>
        </is>
      </c>
      <c r="E528" t="inlineStr">
        <is>
          <t>ÅRE</t>
        </is>
      </c>
      <c r="G528" t="n">
        <v>6.6</v>
      </c>
      <c r="H528" t="n">
        <v>0</v>
      </c>
      <c r="I528" t="n">
        <v>0</v>
      </c>
      <c r="J528" t="n">
        <v>0</v>
      </c>
      <c r="K528" t="n">
        <v>0</v>
      </c>
      <c r="L528" t="n">
        <v>0</v>
      </c>
      <c r="M528" t="n">
        <v>0</v>
      </c>
      <c r="N528" t="n">
        <v>0</v>
      </c>
      <c r="O528" t="n">
        <v>0</v>
      </c>
      <c r="P528" t="n">
        <v>0</v>
      </c>
      <c r="Q528" t="n">
        <v>0</v>
      </c>
      <c r="R528" s="2" t="inlineStr"/>
    </row>
    <row r="529" ht="15" customHeight="1">
      <c r="A529" t="inlineStr">
        <is>
          <t>A 15305-2021</t>
        </is>
      </c>
      <c r="B529" s="1" t="n">
        <v>44284</v>
      </c>
      <c r="C529" s="1" t="n">
        <v>45965</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12179-2023</t>
        </is>
      </c>
      <c r="B530" s="1" t="n">
        <v>44998</v>
      </c>
      <c r="C530" s="1" t="n">
        <v>45965</v>
      </c>
      <c r="D530" t="inlineStr">
        <is>
          <t>JÄMTLANDS LÄN</t>
        </is>
      </c>
      <c r="E530" t="inlineStr">
        <is>
          <t>ÅRE</t>
        </is>
      </c>
      <c r="G530" t="n">
        <v>8.5</v>
      </c>
      <c r="H530" t="n">
        <v>0</v>
      </c>
      <c r="I530" t="n">
        <v>0</v>
      </c>
      <c r="J530" t="n">
        <v>0</v>
      </c>
      <c r="K530" t="n">
        <v>0</v>
      </c>
      <c r="L530" t="n">
        <v>0</v>
      </c>
      <c r="M530" t="n">
        <v>0</v>
      </c>
      <c r="N530" t="n">
        <v>0</v>
      </c>
      <c r="O530" t="n">
        <v>0</v>
      </c>
      <c r="P530" t="n">
        <v>0</v>
      </c>
      <c r="Q530" t="n">
        <v>0</v>
      </c>
      <c r="R530" s="2" t="inlineStr"/>
    </row>
    <row r="531" ht="15" customHeight="1">
      <c r="A531" t="inlineStr">
        <is>
          <t>A 50203-2025</t>
        </is>
      </c>
      <c r="B531" s="1" t="n">
        <v>45943.65641203704</v>
      </c>
      <c r="C531" s="1" t="n">
        <v>45965</v>
      </c>
      <c r="D531" t="inlineStr">
        <is>
          <t>JÄMTLANDS LÄN</t>
        </is>
      </c>
      <c r="E531" t="inlineStr">
        <is>
          <t>ÅRE</t>
        </is>
      </c>
      <c r="G531" t="n">
        <v>7.2</v>
      </c>
      <c r="H531" t="n">
        <v>0</v>
      </c>
      <c r="I531" t="n">
        <v>0</v>
      </c>
      <c r="J531" t="n">
        <v>0</v>
      </c>
      <c r="K531" t="n">
        <v>0</v>
      </c>
      <c r="L531" t="n">
        <v>0</v>
      </c>
      <c r="M531" t="n">
        <v>0</v>
      </c>
      <c r="N531" t="n">
        <v>0</v>
      </c>
      <c r="O531" t="n">
        <v>0</v>
      </c>
      <c r="P531" t="n">
        <v>0</v>
      </c>
      <c r="Q531" t="n">
        <v>0</v>
      </c>
      <c r="R531" s="2" t="inlineStr"/>
    </row>
    <row r="532" ht="15" customHeight="1">
      <c r="A532" t="inlineStr">
        <is>
          <t>A 34925-2025</t>
        </is>
      </c>
      <c r="B532" s="1" t="n">
        <v>45849</v>
      </c>
      <c r="C532" s="1" t="n">
        <v>45965</v>
      </c>
      <c r="D532" t="inlineStr">
        <is>
          <t>JÄMTLANDS LÄN</t>
        </is>
      </c>
      <c r="E532" t="inlineStr">
        <is>
          <t>ÅRE</t>
        </is>
      </c>
      <c r="G532" t="n">
        <v>1.9</v>
      </c>
      <c r="H532" t="n">
        <v>0</v>
      </c>
      <c r="I532" t="n">
        <v>0</v>
      </c>
      <c r="J532" t="n">
        <v>0</v>
      </c>
      <c r="K532" t="n">
        <v>0</v>
      </c>
      <c r="L532" t="n">
        <v>0</v>
      </c>
      <c r="M532" t="n">
        <v>0</v>
      </c>
      <c r="N532" t="n">
        <v>0</v>
      </c>
      <c r="O532" t="n">
        <v>0</v>
      </c>
      <c r="P532" t="n">
        <v>0</v>
      </c>
      <c r="Q532" t="n">
        <v>0</v>
      </c>
      <c r="R532" s="2" t="inlineStr"/>
    </row>
    <row r="533" ht="15" customHeight="1">
      <c r="A533" t="inlineStr">
        <is>
          <t>A 35058-2025</t>
        </is>
      </c>
      <c r="B533" s="1" t="n">
        <v>45849</v>
      </c>
      <c r="C533" s="1" t="n">
        <v>45965</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39742-2025</t>
        </is>
      </c>
      <c r="B534" s="1" t="n">
        <v>45891.37998842593</v>
      </c>
      <c r="C534" s="1" t="n">
        <v>45965</v>
      </c>
      <c r="D534" t="inlineStr">
        <is>
          <t>JÄMTLANDS LÄN</t>
        </is>
      </c>
      <c r="E534" t="inlineStr">
        <is>
          <t>ÅRE</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34805-2025</t>
        </is>
      </c>
      <c r="B535" s="1" t="n">
        <v>45849.33071759259</v>
      </c>
      <c r="C535" s="1" t="n">
        <v>45965</v>
      </c>
      <c r="D535" t="inlineStr">
        <is>
          <t>JÄMTLANDS LÄN</t>
        </is>
      </c>
      <c r="E535" t="inlineStr">
        <is>
          <t>ÅRE</t>
        </is>
      </c>
      <c r="G535" t="n">
        <v>2.2</v>
      </c>
      <c r="H535" t="n">
        <v>0</v>
      </c>
      <c r="I535" t="n">
        <v>0</v>
      </c>
      <c r="J535" t="n">
        <v>0</v>
      </c>
      <c r="K535" t="n">
        <v>0</v>
      </c>
      <c r="L535" t="n">
        <v>0</v>
      </c>
      <c r="M535" t="n">
        <v>0</v>
      </c>
      <c r="N535" t="n">
        <v>0</v>
      </c>
      <c r="O535" t="n">
        <v>0</v>
      </c>
      <c r="P535" t="n">
        <v>0</v>
      </c>
      <c r="Q535" t="n">
        <v>0</v>
      </c>
      <c r="R535" s="2" t="inlineStr"/>
    </row>
    <row r="536" ht="15" customHeight="1">
      <c r="A536" t="inlineStr">
        <is>
          <t>A 34897-2025</t>
        </is>
      </c>
      <c r="B536" s="1" t="n">
        <v>45849</v>
      </c>
      <c r="C536" s="1" t="n">
        <v>45965</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35054-2025</t>
        </is>
      </c>
      <c r="B537" s="1" t="n">
        <v>45849</v>
      </c>
      <c r="C537" s="1" t="n">
        <v>45965</v>
      </c>
      <c r="D537" t="inlineStr">
        <is>
          <t>JÄMTLANDS LÄN</t>
        </is>
      </c>
      <c r="E537" t="inlineStr">
        <is>
          <t>ÅRE</t>
        </is>
      </c>
      <c r="G537" t="n">
        <v>5.3</v>
      </c>
      <c r="H537" t="n">
        <v>0</v>
      </c>
      <c r="I537" t="n">
        <v>0</v>
      </c>
      <c r="J537" t="n">
        <v>0</v>
      </c>
      <c r="K537" t="n">
        <v>0</v>
      </c>
      <c r="L537" t="n">
        <v>0</v>
      </c>
      <c r="M537" t="n">
        <v>0</v>
      </c>
      <c r="N537" t="n">
        <v>0</v>
      </c>
      <c r="O537" t="n">
        <v>0</v>
      </c>
      <c r="P537" t="n">
        <v>0</v>
      </c>
      <c r="Q537" t="n">
        <v>0</v>
      </c>
      <c r="R537" s="2" t="inlineStr"/>
    </row>
    <row r="538" ht="15" customHeight="1">
      <c r="A538" t="inlineStr">
        <is>
          <t>A 39744-2025</t>
        </is>
      </c>
      <c r="B538" s="1" t="n">
        <v>45891.38489583333</v>
      </c>
      <c r="C538" s="1" t="n">
        <v>45965</v>
      </c>
      <c r="D538" t="inlineStr">
        <is>
          <t>JÄMTLANDS LÄN</t>
        </is>
      </c>
      <c r="E538" t="inlineStr">
        <is>
          <t>ÅRE</t>
        </is>
      </c>
      <c r="F538" t="inlineStr">
        <is>
          <t>Övriga statliga verk och myndigheter</t>
        </is>
      </c>
      <c r="G538" t="n">
        <v>14.4</v>
      </c>
      <c r="H538" t="n">
        <v>0</v>
      </c>
      <c r="I538" t="n">
        <v>0</v>
      </c>
      <c r="J538" t="n">
        <v>0</v>
      </c>
      <c r="K538" t="n">
        <v>0</v>
      </c>
      <c r="L538" t="n">
        <v>0</v>
      </c>
      <c r="M538" t="n">
        <v>0</v>
      </c>
      <c r="N538" t="n">
        <v>0</v>
      </c>
      <c r="O538" t="n">
        <v>0</v>
      </c>
      <c r="P538" t="n">
        <v>0</v>
      </c>
      <c r="Q538" t="n">
        <v>0</v>
      </c>
      <c r="R538" s="2" t="inlineStr"/>
    </row>
    <row r="539" ht="15" customHeight="1">
      <c r="A539" t="inlineStr">
        <is>
          <t>A 61566-2021</t>
        </is>
      </c>
      <c r="B539" s="1" t="n">
        <v>44496</v>
      </c>
      <c r="C539" s="1" t="n">
        <v>45965</v>
      </c>
      <c r="D539" t="inlineStr">
        <is>
          <t>JÄMTLANDS LÄN</t>
        </is>
      </c>
      <c r="E539" t="inlineStr">
        <is>
          <t>ÅRE</t>
        </is>
      </c>
      <c r="F539" t="inlineStr">
        <is>
          <t>Övriga statliga verk och myndigheter</t>
        </is>
      </c>
      <c r="G539" t="n">
        <v>10.9</v>
      </c>
      <c r="H539" t="n">
        <v>0</v>
      </c>
      <c r="I539" t="n">
        <v>0</v>
      </c>
      <c r="J539" t="n">
        <v>0</v>
      </c>
      <c r="K539" t="n">
        <v>0</v>
      </c>
      <c r="L539" t="n">
        <v>0</v>
      </c>
      <c r="M539" t="n">
        <v>0</v>
      </c>
      <c r="N539" t="n">
        <v>0</v>
      </c>
      <c r="O539" t="n">
        <v>0</v>
      </c>
      <c r="P539" t="n">
        <v>0</v>
      </c>
      <c r="Q539" t="n">
        <v>0</v>
      </c>
      <c r="R539" s="2" t="inlineStr"/>
    </row>
    <row r="540" ht="15" customHeight="1">
      <c r="A540" t="inlineStr">
        <is>
          <t>A 61340-2022</t>
        </is>
      </c>
      <c r="B540" s="1" t="n">
        <v>44909</v>
      </c>
      <c r="C540" s="1" t="n">
        <v>45965</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8294-2021</t>
        </is>
      </c>
      <c r="B541" s="1" t="n">
        <v>44243</v>
      </c>
      <c r="C541" s="1" t="n">
        <v>45965</v>
      </c>
      <c r="D541" t="inlineStr">
        <is>
          <t>JÄMTLANDS LÄN</t>
        </is>
      </c>
      <c r="E541" t="inlineStr">
        <is>
          <t>ÅRE</t>
        </is>
      </c>
      <c r="G541" t="n">
        <v>16.5</v>
      </c>
      <c r="H541" t="n">
        <v>0</v>
      </c>
      <c r="I541" t="n">
        <v>0</v>
      </c>
      <c r="J541" t="n">
        <v>0</v>
      </c>
      <c r="K541" t="n">
        <v>0</v>
      </c>
      <c r="L541" t="n">
        <v>0</v>
      </c>
      <c r="M541" t="n">
        <v>0</v>
      </c>
      <c r="N541" t="n">
        <v>0</v>
      </c>
      <c r="O541" t="n">
        <v>0</v>
      </c>
      <c r="P541" t="n">
        <v>0</v>
      </c>
      <c r="Q541" t="n">
        <v>0</v>
      </c>
      <c r="R541" s="2" t="inlineStr"/>
    </row>
    <row r="542" ht="15" customHeight="1">
      <c r="A542" t="inlineStr">
        <is>
          <t>A 61347-2020</t>
        </is>
      </c>
      <c r="B542" s="1" t="n">
        <v>44155</v>
      </c>
      <c r="C542" s="1" t="n">
        <v>45965</v>
      </c>
      <c r="D542" t="inlineStr">
        <is>
          <t>JÄMTLANDS LÄN</t>
        </is>
      </c>
      <c r="E542" t="inlineStr">
        <is>
          <t>ÅRE</t>
        </is>
      </c>
      <c r="G542" t="n">
        <v>3.1</v>
      </c>
      <c r="H542" t="n">
        <v>0</v>
      </c>
      <c r="I542" t="n">
        <v>0</v>
      </c>
      <c r="J542" t="n">
        <v>0</v>
      </c>
      <c r="K542" t="n">
        <v>0</v>
      </c>
      <c r="L542" t="n">
        <v>0</v>
      </c>
      <c r="M542" t="n">
        <v>0</v>
      </c>
      <c r="N542" t="n">
        <v>0</v>
      </c>
      <c r="O542" t="n">
        <v>0</v>
      </c>
      <c r="P542" t="n">
        <v>0</v>
      </c>
      <c r="Q542" t="n">
        <v>0</v>
      </c>
      <c r="R542" s="2" t="inlineStr"/>
    </row>
    <row r="543" ht="15" customHeight="1">
      <c r="A543" t="inlineStr">
        <is>
          <t>A 21897-2021</t>
        </is>
      </c>
      <c r="B543" s="1" t="n">
        <v>44322</v>
      </c>
      <c r="C543" s="1" t="n">
        <v>45965</v>
      </c>
      <c r="D543" t="inlineStr">
        <is>
          <t>JÄMTLANDS LÄN</t>
        </is>
      </c>
      <c r="E543" t="inlineStr">
        <is>
          <t>ÅRE</t>
        </is>
      </c>
      <c r="G543" t="n">
        <v>41.4</v>
      </c>
      <c r="H543" t="n">
        <v>0</v>
      </c>
      <c r="I543" t="n">
        <v>0</v>
      </c>
      <c r="J543" t="n">
        <v>0</v>
      </c>
      <c r="K543" t="n">
        <v>0</v>
      </c>
      <c r="L543" t="n">
        <v>0</v>
      </c>
      <c r="M543" t="n">
        <v>0</v>
      </c>
      <c r="N543" t="n">
        <v>0</v>
      </c>
      <c r="O543" t="n">
        <v>0</v>
      </c>
      <c r="P543" t="n">
        <v>0</v>
      </c>
      <c r="Q543" t="n">
        <v>0</v>
      </c>
      <c r="R543" s="2" t="inlineStr"/>
    </row>
    <row r="544" ht="15" customHeight="1">
      <c r="A544" t="inlineStr">
        <is>
          <t>A 5460-2023</t>
        </is>
      </c>
      <c r="B544" s="1" t="n">
        <v>44960</v>
      </c>
      <c r="C544" s="1" t="n">
        <v>45965</v>
      </c>
      <c r="D544" t="inlineStr">
        <is>
          <t>JÄMTLANDS LÄN</t>
        </is>
      </c>
      <c r="E544" t="inlineStr">
        <is>
          <t>ÅRE</t>
        </is>
      </c>
      <c r="G544" t="n">
        <v>9.4</v>
      </c>
      <c r="H544" t="n">
        <v>0</v>
      </c>
      <c r="I544" t="n">
        <v>0</v>
      </c>
      <c r="J544" t="n">
        <v>0</v>
      </c>
      <c r="K544" t="n">
        <v>0</v>
      </c>
      <c r="L544" t="n">
        <v>0</v>
      </c>
      <c r="M544" t="n">
        <v>0</v>
      </c>
      <c r="N544" t="n">
        <v>0</v>
      </c>
      <c r="O544" t="n">
        <v>0</v>
      </c>
      <c r="P544" t="n">
        <v>0</v>
      </c>
      <c r="Q544" t="n">
        <v>0</v>
      </c>
      <c r="R544" s="2" t="inlineStr"/>
    </row>
    <row r="545" ht="15" customHeight="1">
      <c r="A545" t="inlineStr">
        <is>
          <t>A 61926-2022</t>
        </is>
      </c>
      <c r="B545" s="1" t="n">
        <v>44917</v>
      </c>
      <c r="C545" s="1" t="n">
        <v>45965</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26722-2021</t>
        </is>
      </c>
      <c r="B546" s="1" t="n">
        <v>44349</v>
      </c>
      <c r="C546" s="1" t="n">
        <v>45965</v>
      </c>
      <c r="D546" t="inlineStr">
        <is>
          <t>JÄMTLANDS LÄN</t>
        </is>
      </c>
      <c r="E546" t="inlineStr">
        <is>
          <t>ÅRE</t>
        </is>
      </c>
      <c r="G546" t="n">
        <v>11.4</v>
      </c>
      <c r="H546" t="n">
        <v>0</v>
      </c>
      <c r="I546" t="n">
        <v>0</v>
      </c>
      <c r="J546" t="n">
        <v>0</v>
      </c>
      <c r="K546" t="n">
        <v>0</v>
      </c>
      <c r="L546" t="n">
        <v>0</v>
      </c>
      <c r="M546" t="n">
        <v>0</v>
      </c>
      <c r="N546" t="n">
        <v>0</v>
      </c>
      <c r="O546" t="n">
        <v>0</v>
      </c>
      <c r="P546" t="n">
        <v>0</v>
      </c>
      <c r="Q546" t="n">
        <v>0</v>
      </c>
      <c r="R546" s="2" t="inlineStr"/>
    </row>
    <row r="547" ht="15" customHeight="1">
      <c r="A547" t="inlineStr">
        <is>
          <t>A 36015-2025</t>
        </is>
      </c>
      <c r="B547" s="1" t="n">
        <v>45863.61373842593</v>
      </c>
      <c r="C547" s="1" t="n">
        <v>45965</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36013-2025</t>
        </is>
      </c>
      <c r="B548" s="1" t="n">
        <v>45863.60643518518</v>
      </c>
      <c r="C548" s="1" t="n">
        <v>45965</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42876-2025</t>
        </is>
      </c>
      <c r="B549" s="1" t="n">
        <v>45908</v>
      </c>
      <c r="C549" s="1" t="n">
        <v>45965</v>
      </c>
      <c r="D549" t="inlineStr">
        <is>
          <t>JÄMTLANDS LÄN</t>
        </is>
      </c>
      <c r="E549" t="inlineStr">
        <is>
          <t>ÅRE</t>
        </is>
      </c>
      <c r="G549" t="n">
        <v>0.3</v>
      </c>
      <c r="H549" t="n">
        <v>0</v>
      </c>
      <c r="I549" t="n">
        <v>0</v>
      </c>
      <c r="J549" t="n">
        <v>0</v>
      </c>
      <c r="K549" t="n">
        <v>0</v>
      </c>
      <c r="L549" t="n">
        <v>0</v>
      </c>
      <c r="M549" t="n">
        <v>0</v>
      </c>
      <c r="N549" t="n">
        <v>0</v>
      </c>
      <c r="O549" t="n">
        <v>0</v>
      </c>
      <c r="P549" t="n">
        <v>0</v>
      </c>
      <c r="Q549" t="n">
        <v>0</v>
      </c>
      <c r="R549" s="2" t="inlineStr"/>
    </row>
    <row r="550" ht="15" customHeight="1">
      <c r="A550" t="inlineStr">
        <is>
          <t>A 45796-2024</t>
        </is>
      </c>
      <c r="B550" s="1" t="n">
        <v>45579.67354166666</v>
      </c>
      <c r="C550" s="1" t="n">
        <v>45965</v>
      </c>
      <c r="D550" t="inlineStr">
        <is>
          <t>JÄMTLANDS LÄN</t>
        </is>
      </c>
      <c r="E550" t="inlineStr">
        <is>
          <t>ÅRE</t>
        </is>
      </c>
      <c r="G550" t="n">
        <v>5</v>
      </c>
      <c r="H550" t="n">
        <v>0</v>
      </c>
      <c r="I550" t="n">
        <v>0</v>
      </c>
      <c r="J550" t="n">
        <v>0</v>
      </c>
      <c r="K550" t="n">
        <v>0</v>
      </c>
      <c r="L550" t="n">
        <v>0</v>
      </c>
      <c r="M550" t="n">
        <v>0</v>
      </c>
      <c r="N550" t="n">
        <v>0</v>
      </c>
      <c r="O550" t="n">
        <v>0</v>
      </c>
      <c r="P550" t="n">
        <v>0</v>
      </c>
      <c r="Q550" t="n">
        <v>0</v>
      </c>
      <c r="R550" s="2" t="inlineStr"/>
    </row>
    <row r="551" ht="15" customHeight="1">
      <c r="A551" t="inlineStr">
        <is>
          <t>A 34931-2025</t>
        </is>
      </c>
      <c r="B551" s="1" t="n">
        <v>45849</v>
      </c>
      <c r="C551" s="1" t="n">
        <v>45965</v>
      </c>
      <c r="D551" t="inlineStr">
        <is>
          <t>JÄMTLANDS LÄN</t>
        </is>
      </c>
      <c r="E551" t="inlineStr">
        <is>
          <t>ÅRE</t>
        </is>
      </c>
      <c r="G551" t="n">
        <v>1.4</v>
      </c>
      <c r="H551" t="n">
        <v>0</v>
      </c>
      <c r="I551" t="n">
        <v>0</v>
      </c>
      <c r="J551" t="n">
        <v>0</v>
      </c>
      <c r="K551" t="n">
        <v>0</v>
      </c>
      <c r="L551" t="n">
        <v>0</v>
      </c>
      <c r="M551" t="n">
        <v>0</v>
      </c>
      <c r="N551" t="n">
        <v>0</v>
      </c>
      <c r="O551" t="n">
        <v>0</v>
      </c>
      <c r="P551" t="n">
        <v>0</v>
      </c>
      <c r="Q551" t="n">
        <v>0</v>
      </c>
      <c r="R551" s="2" t="inlineStr"/>
    </row>
    <row r="552" ht="15" customHeight="1">
      <c r="A552" t="inlineStr">
        <is>
          <t>A 54907-2023</t>
        </is>
      </c>
      <c r="B552" s="1" t="n">
        <v>45236.65784722222</v>
      </c>
      <c r="C552" s="1" t="n">
        <v>45965</v>
      </c>
      <c r="D552" t="inlineStr">
        <is>
          <t>JÄMTLANDS LÄN</t>
        </is>
      </c>
      <c r="E552" t="inlineStr">
        <is>
          <t>ÅRE</t>
        </is>
      </c>
      <c r="F552" t="inlineStr">
        <is>
          <t>Övriga Aktiebolag</t>
        </is>
      </c>
      <c r="G552" t="n">
        <v>2.6</v>
      </c>
      <c r="H552" t="n">
        <v>0</v>
      </c>
      <c r="I552" t="n">
        <v>0</v>
      </c>
      <c r="J552" t="n">
        <v>0</v>
      </c>
      <c r="K552" t="n">
        <v>0</v>
      </c>
      <c r="L552" t="n">
        <v>0</v>
      </c>
      <c r="M552" t="n">
        <v>0</v>
      </c>
      <c r="N552" t="n">
        <v>0</v>
      </c>
      <c r="O552" t="n">
        <v>0</v>
      </c>
      <c r="P552" t="n">
        <v>0</v>
      </c>
      <c r="Q552" t="n">
        <v>0</v>
      </c>
      <c r="R552" s="2" t="inlineStr"/>
    </row>
    <row r="553" ht="15" customHeight="1">
      <c r="A553" t="inlineStr">
        <is>
          <t>A 21905-2021</t>
        </is>
      </c>
      <c r="B553" s="1" t="n">
        <v>44322</v>
      </c>
      <c r="C553" s="1" t="n">
        <v>45965</v>
      </c>
      <c r="D553" t="inlineStr">
        <is>
          <t>JÄMTLANDS LÄN</t>
        </is>
      </c>
      <c r="E553" t="inlineStr">
        <is>
          <t>ÅRE</t>
        </is>
      </c>
      <c r="G553" t="n">
        <v>14.3</v>
      </c>
      <c r="H553" t="n">
        <v>0</v>
      </c>
      <c r="I553" t="n">
        <v>0</v>
      </c>
      <c r="J553" t="n">
        <v>0</v>
      </c>
      <c r="K553" t="n">
        <v>0</v>
      </c>
      <c r="L553" t="n">
        <v>0</v>
      </c>
      <c r="M553" t="n">
        <v>0</v>
      </c>
      <c r="N553" t="n">
        <v>0</v>
      </c>
      <c r="O553" t="n">
        <v>0</v>
      </c>
      <c r="P553" t="n">
        <v>0</v>
      </c>
      <c r="Q553" t="n">
        <v>0</v>
      </c>
      <c r="R553" s="2" t="inlineStr"/>
    </row>
    <row r="554" ht="15" customHeight="1">
      <c r="A554" t="inlineStr">
        <is>
          <t>A 3147-2023</t>
        </is>
      </c>
      <c r="B554" s="1" t="n">
        <v>44946</v>
      </c>
      <c r="C554" s="1" t="n">
        <v>45965</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36975-2025</t>
        </is>
      </c>
      <c r="B555" s="1" t="n">
        <v>45874.63773148148</v>
      </c>
      <c r="C555" s="1" t="n">
        <v>45965</v>
      </c>
      <c r="D555" t="inlineStr">
        <is>
          <t>JÄMTLANDS LÄN</t>
        </is>
      </c>
      <c r="E555" t="inlineStr">
        <is>
          <t>ÅRE</t>
        </is>
      </c>
      <c r="F555" t="inlineStr">
        <is>
          <t>Övriga Aktiebolag</t>
        </is>
      </c>
      <c r="G555" t="n">
        <v>3.2</v>
      </c>
      <c r="H555" t="n">
        <v>0</v>
      </c>
      <c r="I555" t="n">
        <v>0</v>
      </c>
      <c r="J555" t="n">
        <v>0</v>
      </c>
      <c r="K555" t="n">
        <v>0</v>
      </c>
      <c r="L555" t="n">
        <v>0</v>
      </c>
      <c r="M555" t="n">
        <v>0</v>
      </c>
      <c r="N555" t="n">
        <v>0</v>
      </c>
      <c r="O555" t="n">
        <v>0</v>
      </c>
      <c r="P555" t="n">
        <v>0</v>
      </c>
      <c r="Q555" t="n">
        <v>0</v>
      </c>
      <c r="R555" s="2" t="inlineStr"/>
    </row>
    <row r="556" ht="15" customHeight="1">
      <c r="A556" t="inlineStr">
        <is>
          <t>A 3263-2023</t>
        </is>
      </c>
      <c r="B556" s="1" t="n">
        <v>44948.98751157407</v>
      </c>
      <c r="C556" s="1" t="n">
        <v>45965</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57150-2021</t>
        </is>
      </c>
      <c r="B557" s="1" t="n">
        <v>44482</v>
      </c>
      <c r="C557" s="1" t="n">
        <v>45965</v>
      </c>
      <c r="D557" t="inlineStr">
        <is>
          <t>JÄMTLANDS LÄN</t>
        </is>
      </c>
      <c r="E557" t="inlineStr">
        <is>
          <t>ÅRE</t>
        </is>
      </c>
      <c r="G557" t="n">
        <v>1.3</v>
      </c>
      <c r="H557" t="n">
        <v>0</v>
      </c>
      <c r="I557" t="n">
        <v>0</v>
      </c>
      <c r="J557" t="n">
        <v>0</v>
      </c>
      <c r="K557" t="n">
        <v>0</v>
      </c>
      <c r="L557" t="n">
        <v>0</v>
      </c>
      <c r="M557" t="n">
        <v>0</v>
      </c>
      <c r="N557" t="n">
        <v>0</v>
      </c>
      <c r="O557" t="n">
        <v>0</v>
      </c>
      <c r="P557" t="n">
        <v>0</v>
      </c>
      <c r="Q557" t="n">
        <v>0</v>
      </c>
      <c r="R557" s="2" t="inlineStr"/>
    </row>
    <row r="558" ht="15" customHeight="1">
      <c r="A558" t="inlineStr">
        <is>
          <t>A 50574-2025</t>
        </is>
      </c>
      <c r="B558" s="1" t="n">
        <v>45945</v>
      </c>
      <c r="C558" s="1" t="n">
        <v>45965</v>
      </c>
      <c r="D558" t="inlineStr">
        <is>
          <t>JÄMTLANDS LÄN</t>
        </is>
      </c>
      <c r="E558" t="inlineStr">
        <is>
          <t>ÅRE</t>
        </is>
      </c>
      <c r="G558" t="n">
        <v>16.1</v>
      </c>
      <c r="H558" t="n">
        <v>0</v>
      </c>
      <c r="I558" t="n">
        <v>0</v>
      </c>
      <c r="J558" t="n">
        <v>0</v>
      </c>
      <c r="K558" t="n">
        <v>0</v>
      </c>
      <c r="L558" t="n">
        <v>0</v>
      </c>
      <c r="M558" t="n">
        <v>0</v>
      </c>
      <c r="N558" t="n">
        <v>0</v>
      </c>
      <c r="O558" t="n">
        <v>0</v>
      </c>
      <c r="P558" t="n">
        <v>0</v>
      </c>
      <c r="Q558" t="n">
        <v>0</v>
      </c>
      <c r="R558" s="2" t="inlineStr"/>
    </row>
    <row r="559" ht="15" customHeight="1">
      <c r="A559" t="inlineStr">
        <is>
          <t>A 26032-2023</t>
        </is>
      </c>
      <c r="B559" s="1" t="n">
        <v>45091.31304398148</v>
      </c>
      <c r="C559" s="1" t="n">
        <v>45965</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26033-2023</t>
        </is>
      </c>
      <c r="B560" s="1" t="n">
        <v>45091.31530092593</v>
      </c>
      <c r="C560" s="1" t="n">
        <v>45965</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22602-2025</t>
        </is>
      </c>
      <c r="B561" s="1" t="n">
        <v>45786</v>
      </c>
      <c r="C561" s="1" t="n">
        <v>45965</v>
      </c>
      <c r="D561" t="inlineStr">
        <is>
          <t>JÄMTLANDS LÄN</t>
        </is>
      </c>
      <c r="E561" t="inlineStr">
        <is>
          <t>ÅRE</t>
        </is>
      </c>
      <c r="G561" t="n">
        <v>13.1</v>
      </c>
      <c r="H561" t="n">
        <v>0</v>
      </c>
      <c r="I561" t="n">
        <v>0</v>
      </c>
      <c r="J561" t="n">
        <v>0</v>
      </c>
      <c r="K561" t="n">
        <v>0</v>
      </c>
      <c r="L561" t="n">
        <v>0</v>
      </c>
      <c r="M561" t="n">
        <v>0</v>
      </c>
      <c r="N561" t="n">
        <v>0</v>
      </c>
      <c r="O561" t="n">
        <v>0</v>
      </c>
      <c r="P561" t="n">
        <v>0</v>
      </c>
      <c r="Q561" t="n">
        <v>0</v>
      </c>
      <c r="R561" s="2" t="inlineStr"/>
    </row>
    <row r="562" ht="15" customHeight="1">
      <c r="A562" t="inlineStr">
        <is>
          <t>A 22603-2025</t>
        </is>
      </c>
      <c r="B562" s="1" t="n">
        <v>45786</v>
      </c>
      <c r="C562" s="1" t="n">
        <v>45965</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37178-2025</t>
        </is>
      </c>
      <c r="B563" s="1" t="n">
        <v>45875</v>
      </c>
      <c r="C563" s="1" t="n">
        <v>45965</v>
      </c>
      <c r="D563" t="inlineStr">
        <is>
          <t>JÄMTLANDS LÄN</t>
        </is>
      </c>
      <c r="E563" t="inlineStr">
        <is>
          <t>ÅRE</t>
        </is>
      </c>
      <c r="G563" t="n">
        <v>5</v>
      </c>
      <c r="H563" t="n">
        <v>0</v>
      </c>
      <c r="I563" t="n">
        <v>0</v>
      </c>
      <c r="J563" t="n">
        <v>0</v>
      </c>
      <c r="K563" t="n">
        <v>0</v>
      </c>
      <c r="L563" t="n">
        <v>0</v>
      </c>
      <c r="M563" t="n">
        <v>0</v>
      </c>
      <c r="N563" t="n">
        <v>0</v>
      </c>
      <c r="O563" t="n">
        <v>0</v>
      </c>
      <c r="P563" t="n">
        <v>0</v>
      </c>
      <c r="Q563" t="n">
        <v>0</v>
      </c>
      <c r="R563" s="2" t="inlineStr"/>
    </row>
    <row r="564" ht="15" customHeight="1">
      <c r="A564" t="inlineStr">
        <is>
          <t>A 41273-2025</t>
        </is>
      </c>
      <c r="B564" s="1" t="n">
        <v>45898</v>
      </c>
      <c r="C564" s="1" t="n">
        <v>45965</v>
      </c>
      <c r="D564" t="inlineStr">
        <is>
          <t>JÄMTLANDS LÄN</t>
        </is>
      </c>
      <c r="E564" t="inlineStr">
        <is>
          <t>ÅRE</t>
        </is>
      </c>
      <c r="F564" t="inlineStr">
        <is>
          <t>Övriga Aktiebolag</t>
        </is>
      </c>
      <c r="G564" t="n">
        <v>3.1</v>
      </c>
      <c r="H564" t="n">
        <v>0</v>
      </c>
      <c r="I564" t="n">
        <v>0</v>
      </c>
      <c r="J564" t="n">
        <v>0</v>
      </c>
      <c r="K564" t="n">
        <v>0</v>
      </c>
      <c r="L564" t="n">
        <v>0</v>
      </c>
      <c r="M564" t="n">
        <v>0</v>
      </c>
      <c r="N564" t="n">
        <v>0</v>
      </c>
      <c r="O564" t="n">
        <v>0</v>
      </c>
      <c r="P564" t="n">
        <v>0</v>
      </c>
      <c r="Q564" t="n">
        <v>0</v>
      </c>
      <c r="R564" s="2" t="inlineStr"/>
    </row>
    <row r="565" ht="15" customHeight="1">
      <c r="A565" t="inlineStr">
        <is>
          <t>A 14202-2021</t>
        </is>
      </c>
      <c r="B565" s="1" t="n">
        <v>44278</v>
      </c>
      <c r="C565" s="1" t="n">
        <v>45965</v>
      </c>
      <c r="D565" t="inlineStr">
        <is>
          <t>JÄMTLANDS LÄN</t>
        </is>
      </c>
      <c r="E565" t="inlineStr">
        <is>
          <t>ÅRE</t>
        </is>
      </c>
      <c r="G565" t="n">
        <v>17.8</v>
      </c>
      <c r="H565" t="n">
        <v>0</v>
      </c>
      <c r="I565" t="n">
        <v>0</v>
      </c>
      <c r="J565" t="n">
        <v>0</v>
      </c>
      <c r="K565" t="n">
        <v>0</v>
      </c>
      <c r="L565" t="n">
        <v>0</v>
      </c>
      <c r="M565" t="n">
        <v>0</v>
      </c>
      <c r="N565" t="n">
        <v>0</v>
      </c>
      <c r="O565" t="n">
        <v>0</v>
      </c>
      <c r="P565" t="n">
        <v>0</v>
      </c>
      <c r="Q565" t="n">
        <v>0</v>
      </c>
      <c r="R565" s="2" t="inlineStr"/>
    </row>
    <row r="566" ht="15" customHeight="1">
      <c r="A566" t="inlineStr">
        <is>
          <t>A 27630-2025</t>
        </is>
      </c>
      <c r="B566" s="1" t="n">
        <v>45813</v>
      </c>
      <c r="C566" s="1" t="n">
        <v>45965</v>
      </c>
      <c r="D566" t="inlineStr">
        <is>
          <t>JÄMTLANDS LÄN</t>
        </is>
      </c>
      <c r="E566" t="inlineStr">
        <is>
          <t>ÅRE</t>
        </is>
      </c>
      <c r="G566" t="n">
        <v>8.4</v>
      </c>
      <c r="H566" t="n">
        <v>0</v>
      </c>
      <c r="I566" t="n">
        <v>0</v>
      </c>
      <c r="J566" t="n">
        <v>0</v>
      </c>
      <c r="K566" t="n">
        <v>0</v>
      </c>
      <c r="L566" t="n">
        <v>0</v>
      </c>
      <c r="M566" t="n">
        <v>0</v>
      </c>
      <c r="N566" t="n">
        <v>0</v>
      </c>
      <c r="O566" t="n">
        <v>0</v>
      </c>
      <c r="P566" t="n">
        <v>0</v>
      </c>
      <c r="Q566" t="n">
        <v>0</v>
      </c>
      <c r="R566" s="2" t="inlineStr"/>
    </row>
    <row r="567" ht="15" customHeight="1">
      <c r="A567" t="inlineStr">
        <is>
          <t>A 37249-2025</t>
        </is>
      </c>
      <c r="B567" s="1" t="n">
        <v>45876.40699074074</v>
      </c>
      <c r="C567" s="1" t="n">
        <v>45965</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37158-2025</t>
        </is>
      </c>
      <c r="B568" s="1" t="n">
        <v>45875</v>
      </c>
      <c r="C568" s="1" t="n">
        <v>45965</v>
      </c>
      <c r="D568" t="inlineStr">
        <is>
          <t>JÄMTLANDS LÄN</t>
        </is>
      </c>
      <c r="E568" t="inlineStr">
        <is>
          <t>ÅRE</t>
        </is>
      </c>
      <c r="G568" t="n">
        <v>4.7</v>
      </c>
      <c r="H568" t="n">
        <v>0</v>
      </c>
      <c r="I568" t="n">
        <v>0</v>
      </c>
      <c r="J568" t="n">
        <v>0</v>
      </c>
      <c r="K568" t="n">
        <v>0</v>
      </c>
      <c r="L568" t="n">
        <v>0</v>
      </c>
      <c r="M568" t="n">
        <v>0</v>
      </c>
      <c r="N568" t="n">
        <v>0</v>
      </c>
      <c r="O568" t="n">
        <v>0</v>
      </c>
      <c r="P568" t="n">
        <v>0</v>
      </c>
      <c r="Q568" t="n">
        <v>0</v>
      </c>
      <c r="R568" s="2" t="inlineStr"/>
    </row>
    <row r="569" ht="15" customHeight="1">
      <c r="A569" t="inlineStr">
        <is>
          <t>A 19705-2023</t>
        </is>
      </c>
      <c r="B569" s="1" t="n">
        <v>45051</v>
      </c>
      <c r="C569" s="1" t="n">
        <v>45965</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37118-2025</t>
        </is>
      </c>
      <c r="B570" s="1" t="n">
        <v>45875</v>
      </c>
      <c r="C570" s="1" t="n">
        <v>45965</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37159-2025</t>
        </is>
      </c>
      <c r="B571" s="1" t="n">
        <v>45875</v>
      </c>
      <c r="C571" s="1" t="n">
        <v>45965</v>
      </c>
      <c r="D571" t="inlineStr">
        <is>
          <t>JÄMTLANDS LÄN</t>
        </is>
      </c>
      <c r="E571" t="inlineStr">
        <is>
          <t>ÅRE</t>
        </is>
      </c>
      <c r="G571" t="n">
        <v>0.3</v>
      </c>
      <c r="H571" t="n">
        <v>0</v>
      </c>
      <c r="I571" t="n">
        <v>0</v>
      </c>
      <c r="J571" t="n">
        <v>0</v>
      </c>
      <c r="K571" t="n">
        <v>0</v>
      </c>
      <c r="L571" t="n">
        <v>0</v>
      </c>
      <c r="M571" t="n">
        <v>0</v>
      </c>
      <c r="N571" t="n">
        <v>0</v>
      </c>
      <c r="O571" t="n">
        <v>0</v>
      </c>
      <c r="P571" t="n">
        <v>0</v>
      </c>
      <c r="Q571" t="n">
        <v>0</v>
      </c>
      <c r="R571" s="2" t="inlineStr"/>
    </row>
    <row r="572" ht="15" customHeight="1">
      <c r="A572" t="inlineStr">
        <is>
          <t>A 61524-2021</t>
        </is>
      </c>
      <c r="B572" s="1" t="n">
        <v>44496</v>
      </c>
      <c r="C572" s="1" t="n">
        <v>45965</v>
      </c>
      <c r="D572" t="inlineStr">
        <is>
          <t>JÄMTLANDS LÄN</t>
        </is>
      </c>
      <c r="E572" t="inlineStr">
        <is>
          <t>ÅRE</t>
        </is>
      </c>
      <c r="F572" t="inlineStr">
        <is>
          <t>Övriga statliga verk och myndigheter</t>
        </is>
      </c>
      <c r="G572" t="n">
        <v>15</v>
      </c>
      <c r="H572" t="n">
        <v>0</v>
      </c>
      <c r="I572" t="n">
        <v>0</v>
      </c>
      <c r="J572" t="n">
        <v>0</v>
      </c>
      <c r="K572" t="n">
        <v>0</v>
      </c>
      <c r="L572" t="n">
        <v>0</v>
      </c>
      <c r="M572" t="n">
        <v>0</v>
      </c>
      <c r="N572" t="n">
        <v>0</v>
      </c>
      <c r="O572" t="n">
        <v>0</v>
      </c>
      <c r="P572" t="n">
        <v>0</v>
      </c>
      <c r="Q572" t="n">
        <v>0</v>
      </c>
      <c r="R572" s="2" t="inlineStr"/>
    </row>
    <row r="573" ht="15" customHeight="1">
      <c r="A573" t="inlineStr">
        <is>
          <t>A 73086-2021</t>
        </is>
      </c>
      <c r="B573" s="1" t="n">
        <v>44550</v>
      </c>
      <c r="C573" s="1" t="n">
        <v>45965</v>
      </c>
      <c r="D573" t="inlineStr">
        <is>
          <t>JÄMTLANDS LÄN</t>
        </is>
      </c>
      <c r="E573" t="inlineStr">
        <is>
          <t>ÅRE</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45378-2025</t>
        </is>
      </c>
      <c r="B574" s="1" t="n">
        <v>45922.39506944444</v>
      </c>
      <c r="C574" s="1" t="n">
        <v>45965</v>
      </c>
      <c r="D574" t="inlineStr">
        <is>
          <t>JÄMTLANDS LÄN</t>
        </is>
      </c>
      <c r="E574" t="inlineStr">
        <is>
          <t>ÅRE</t>
        </is>
      </c>
      <c r="G574" t="n">
        <v>15.7</v>
      </c>
      <c r="H574" t="n">
        <v>0</v>
      </c>
      <c r="I574" t="n">
        <v>0</v>
      </c>
      <c r="J574" t="n">
        <v>0</v>
      </c>
      <c r="K574" t="n">
        <v>0</v>
      </c>
      <c r="L574" t="n">
        <v>0</v>
      </c>
      <c r="M574" t="n">
        <v>0</v>
      </c>
      <c r="N574" t="n">
        <v>0</v>
      </c>
      <c r="O574" t="n">
        <v>0</v>
      </c>
      <c r="P574" t="n">
        <v>0</v>
      </c>
      <c r="Q574" t="n">
        <v>0</v>
      </c>
      <c r="R574" s="2" t="inlineStr"/>
    </row>
    <row r="575" ht="15" customHeight="1">
      <c r="A575" t="inlineStr">
        <is>
          <t>A 50488-2025</t>
        </is>
      </c>
      <c r="B575" s="1" t="n">
        <v>45945.39144675926</v>
      </c>
      <c r="C575" s="1" t="n">
        <v>45965</v>
      </c>
      <c r="D575" t="inlineStr">
        <is>
          <t>JÄMTLANDS LÄN</t>
        </is>
      </c>
      <c r="E575" t="inlineStr">
        <is>
          <t>ÅRE</t>
        </is>
      </c>
      <c r="G575" t="n">
        <v>3.8</v>
      </c>
      <c r="H575" t="n">
        <v>0</v>
      </c>
      <c r="I575" t="n">
        <v>0</v>
      </c>
      <c r="J575" t="n">
        <v>0</v>
      </c>
      <c r="K575" t="n">
        <v>0</v>
      </c>
      <c r="L575" t="n">
        <v>0</v>
      </c>
      <c r="M575" t="n">
        <v>0</v>
      </c>
      <c r="N575" t="n">
        <v>0</v>
      </c>
      <c r="O575" t="n">
        <v>0</v>
      </c>
      <c r="P575" t="n">
        <v>0</v>
      </c>
      <c r="Q575" t="n">
        <v>0</v>
      </c>
      <c r="R575" s="2" t="inlineStr"/>
    </row>
    <row r="576" ht="15" customHeight="1">
      <c r="A576" t="inlineStr">
        <is>
          <t>A 45796-2025</t>
        </is>
      </c>
      <c r="B576" s="1" t="n">
        <v>45923.57418981481</v>
      </c>
      <c r="C576" s="1" t="n">
        <v>45965</v>
      </c>
      <c r="D576" t="inlineStr">
        <is>
          <t>JÄMTLANDS LÄN</t>
        </is>
      </c>
      <c r="E576" t="inlineStr">
        <is>
          <t>ÅRE</t>
        </is>
      </c>
      <c r="G576" t="n">
        <v>6.2</v>
      </c>
      <c r="H576" t="n">
        <v>0</v>
      </c>
      <c r="I576" t="n">
        <v>0</v>
      </c>
      <c r="J576" t="n">
        <v>0</v>
      </c>
      <c r="K576" t="n">
        <v>0</v>
      </c>
      <c r="L576" t="n">
        <v>0</v>
      </c>
      <c r="M576" t="n">
        <v>0</v>
      </c>
      <c r="N576" t="n">
        <v>0</v>
      </c>
      <c r="O576" t="n">
        <v>0</v>
      </c>
      <c r="P576" t="n">
        <v>0</v>
      </c>
      <c r="Q576" t="n">
        <v>0</v>
      </c>
      <c r="R576" s="2" t="inlineStr"/>
    </row>
    <row r="577" ht="15" customHeight="1">
      <c r="A577" t="inlineStr">
        <is>
          <t>A 46041-2025</t>
        </is>
      </c>
      <c r="B577" s="1" t="n">
        <v>45924</v>
      </c>
      <c r="C577" s="1" t="n">
        <v>45965</v>
      </c>
      <c r="D577" t="inlineStr">
        <is>
          <t>JÄMTLANDS LÄN</t>
        </is>
      </c>
      <c r="E577" t="inlineStr">
        <is>
          <t>ÅRE</t>
        </is>
      </c>
      <c r="G577" t="n">
        <v>3.5</v>
      </c>
      <c r="H577" t="n">
        <v>0</v>
      </c>
      <c r="I577" t="n">
        <v>0</v>
      </c>
      <c r="J577" t="n">
        <v>0</v>
      </c>
      <c r="K577" t="n">
        <v>0</v>
      </c>
      <c r="L577" t="n">
        <v>0</v>
      </c>
      <c r="M577" t="n">
        <v>0</v>
      </c>
      <c r="N577" t="n">
        <v>0</v>
      </c>
      <c r="O577" t="n">
        <v>0</v>
      </c>
      <c r="P577" t="n">
        <v>0</v>
      </c>
      <c r="Q577" t="n">
        <v>0</v>
      </c>
      <c r="R577" s="2" t="inlineStr"/>
    </row>
    <row r="578" ht="15" customHeight="1">
      <c r="A578" t="inlineStr">
        <is>
          <t>A 6049-2025</t>
        </is>
      </c>
      <c r="B578" s="1" t="n">
        <v>45695</v>
      </c>
      <c r="C578" s="1" t="n">
        <v>45965</v>
      </c>
      <c r="D578" t="inlineStr">
        <is>
          <t>JÄMTLANDS LÄN</t>
        </is>
      </c>
      <c r="E578" t="inlineStr">
        <is>
          <t>ÅRE</t>
        </is>
      </c>
      <c r="G578" t="n">
        <v>58.3</v>
      </c>
      <c r="H578" t="n">
        <v>0</v>
      </c>
      <c r="I578" t="n">
        <v>0</v>
      </c>
      <c r="J578" t="n">
        <v>0</v>
      </c>
      <c r="K578" t="n">
        <v>0</v>
      </c>
      <c r="L578" t="n">
        <v>0</v>
      </c>
      <c r="M578" t="n">
        <v>0</v>
      </c>
      <c r="N578" t="n">
        <v>0</v>
      </c>
      <c r="O578" t="n">
        <v>0</v>
      </c>
      <c r="P578" t="n">
        <v>0</v>
      </c>
      <c r="Q578" t="n">
        <v>0</v>
      </c>
      <c r="R578" s="2" t="inlineStr"/>
    </row>
    <row r="579" ht="15" customHeight="1">
      <c r="A579" t="inlineStr">
        <is>
          <t>A 51183-2025</t>
        </is>
      </c>
      <c r="B579" s="1" t="n">
        <v>45947.62087962963</v>
      </c>
      <c r="C579" s="1" t="n">
        <v>45965</v>
      </c>
      <c r="D579" t="inlineStr">
        <is>
          <t>JÄMTLANDS LÄN</t>
        </is>
      </c>
      <c r="E579" t="inlineStr">
        <is>
          <t>ÅRE</t>
        </is>
      </c>
      <c r="F579" t="inlineStr">
        <is>
          <t>Övriga statliga verk och myndigheter</t>
        </is>
      </c>
      <c r="G579" t="n">
        <v>2</v>
      </c>
      <c r="H579" t="n">
        <v>0</v>
      </c>
      <c r="I579" t="n">
        <v>0</v>
      </c>
      <c r="J579" t="n">
        <v>0</v>
      </c>
      <c r="K579" t="n">
        <v>0</v>
      </c>
      <c r="L579" t="n">
        <v>0</v>
      </c>
      <c r="M579" t="n">
        <v>0</v>
      </c>
      <c r="N579" t="n">
        <v>0</v>
      </c>
      <c r="O579" t="n">
        <v>0</v>
      </c>
      <c r="P579" t="n">
        <v>0</v>
      </c>
      <c r="Q579" t="n">
        <v>0</v>
      </c>
      <c r="R579" s="2" t="inlineStr"/>
    </row>
    <row r="580" ht="15" customHeight="1">
      <c r="A580" t="inlineStr">
        <is>
          <t>A 51876-2025</t>
        </is>
      </c>
      <c r="B580" s="1" t="n">
        <v>45952.39850694445</v>
      </c>
      <c r="C580" s="1" t="n">
        <v>45965</v>
      </c>
      <c r="D580" t="inlineStr">
        <is>
          <t>JÄMTLANDS LÄN</t>
        </is>
      </c>
      <c r="E580" t="inlineStr">
        <is>
          <t>ÅRE</t>
        </is>
      </c>
      <c r="F580" t="inlineStr">
        <is>
          <t>Övriga Aktiebolag</t>
        </is>
      </c>
      <c r="G580" t="n">
        <v>2.2</v>
      </c>
      <c r="H580" t="n">
        <v>0</v>
      </c>
      <c r="I580" t="n">
        <v>0</v>
      </c>
      <c r="J580" t="n">
        <v>0</v>
      </c>
      <c r="K580" t="n">
        <v>0</v>
      </c>
      <c r="L580" t="n">
        <v>0</v>
      </c>
      <c r="M580" t="n">
        <v>0</v>
      </c>
      <c r="N580" t="n">
        <v>0</v>
      </c>
      <c r="O580" t="n">
        <v>0</v>
      </c>
      <c r="P580" t="n">
        <v>0</v>
      </c>
      <c r="Q580" t="n">
        <v>0</v>
      </c>
      <c r="R580" s="2" t="inlineStr"/>
    </row>
    <row r="581" ht="15" customHeight="1">
      <c r="A581" t="inlineStr">
        <is>
          <t>A 17751-2025</t>
        </is>
      </c>
      <c r="B581" s="1" t="n">
        <v>45758</v>
      </c>
      <c r="C581" s="1" t="n">
        <v>45965</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52607-2025</t>
        </is>
      </c>
      <c r="B582" s="1" t="n">
        <v>45954.66291666667</v>
      </c>
      <c r="C582" s="1" t="n">
        <v>45965</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43769-2025</t>
        </is>
      </c>
      <c r="B583" s="1" t="n">
        <v>45912.49420138889</v>
      </c>
      <c r="C583" s="1" t="n">
        <v>45965</v>
      </c>
      <c r="D583" t="inlineStr">
        <is>
          <t>JÄMTLANDS LÄN</t>
        </is>
      </c>
      <c r="E583" t="inlineStr">
        <is>
          <t>ÅRE</t>
        </is>
      </c>
      <c r="G583" t="n">
        <v>6.1</v>
      </c>
      <c r="H583" t="n">
        <v>0</v>
      </c>
      <c r="I583" t="n">
        <v>0</v>
      </c>
      <c r="J583" t="n">
        <v>0</v>
      </c>
      <c r="K583" t="n">
        <v>0</v>
      </c>
      <c r="L583" t="n">
        <v>0</v>
      </c>
      <c r="M583" t="n">
        <v>0</v>
      </c>
      <c r="N583" t="n">
        <v>0</v>
      </c>
      <c r="O583" t="n">
        <v>0</v>
      </c>
      <c r="P583" t="n">
        <v>0</v>
      </c>
      <c r="Q583" t="n">
        <v>0</v>
      </c>
      <c r="R583" s="2" t="inlineStr"/>
    </row>
    <row r="584" ht="15" customHeight="1">
      <c r="A584" t="inlineStr">
        <is>
          <t>A 52597-2025</t>
        </is>
      </c>
      <c r="B584" s="1" t="n">
        <v>45954.65364583334</v>
      </c>
      <c r="C584" s="1" t="n">
        <v>45965</v>
      </c>
      <c r="D584" t="inlineStr">
        <is>
          <t>JÄMTLANDS LÄN</t>
        </is>
      </c>
      <c r="E584" t="inlineStr">
        <is>
          <t>ÅRE</t>
        </is>
      </c>
      <c r="G584" t="n">
        <v>1.4</v>
      </c>
      <c r="H584" t="n">
        <v>0</v>
      </c>
      <c r="I584" t="n">
        <v>0</v>
      </c>
      <c r="J584" t="n">
        <v>0</v>
      </c>
      <c r="K584" t="n">
        <v>0</v>
      </c>
      <c r="L584" t="n">
        <v>0</v>
      </c>
      <c r="M584" t="n">
        <v>0</v>
      </c>
      <c r="N584" t="n">
        <v>0</v>
      </c>
      <c r="O584" t="n">
        <v>0</v>
      </c>
      <c r="P584" t="n">
        <v>0</v>
      </c>
      <c r="Q584" t="n">
        <v>0</v>
      </c>
      <c r="R584" s="2" t="inlineStr"/>
    </row>
    <row r="585" ht="15" customHeight="1">
      <c r="A585" t="inlineStr">
        <is>
          <t>A 52604-2025</t>
        </is>
      </c>
      <c r="B585" s="1" t="n">
        <v>45954.65774305556</v>
      </c>
      <c r="C585" s="1" t="n">
        <v>45965</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52606-2025</t>
        </is>
      </c>
      <c r="B586" s="1" t="n">
        <v>45954.66020833333</v>
      </c>
      <c r="C586" s="1" t="n">
        <v>45965</v>
      </c>
      <c r="D586" t="inlineStr">
        <is>
          <t>JÄMTLANDS LÄN</t>
        </is>
      </c>
      <c r="E586" t="inlineStr">
        <is>
          <t>ÅRE</t>
        </is>
      </c>
      <c r="G586" t="n">
        <v>1.3</v>
      </c>
      <c r="H586" t="n">
        <v>0</v>
      </c>
      <c r="I586" t="n">
        <v>0</v>
      </c>
      <c r="J586" t="n">
        <v>0</v>
      </c>
      <c r="K586" t="n">
        <v>0</v>
      </c>
      <c r="L586" t="n">
        <v>0</v>
      </c>
      <c r="M586" t="n">
        <v>0</v>
      </c>
      <c r="N586" t="n">
        <v>0</v>
      </c>
      <c r="O586" t="n">
        <v>0</v>
      </c>
      <c r="P586" t="n">
        <v>0</v>
      </c>
      <c r="Q586" t="n">
        <v>0</v>
      </c>
      <c r="R586" s="2" t="inlineStr"/>
    </row>
    <row r="587" ht="15" customHeight="1">
      <c r="A587" t="inlineStr">
        <is>
          <t>A 43768-2025</t>
        </is>
      </c>
      <c r="B587" s="1" t="n">
        <v>45912.49289351852</v>
      </c>
      <c r="C587" s="1" t="n">
        <v>45965</v>
      </c>
      <c r="D587" t="inlineStr">
        <is>
          <t>JÄMTLANDS LÄN</t>
        </is>
      </c>
      <c r="E587" t="inlineStr">
        <is>
          <t>ÅRE</t>
        </is>
      </c>
      <c r="G587" t="n">
        <v>1.4</v>
      </c>
      <c r="H587" t="n">
        <v>0</v>
      </c>
      <c r="I587" t="n">
        <v>0</v>
      </c>
      <c r="J587" t="n">
        <v>0</v>
      </c>
      <c r="K587" t="n">
        <v>0</v>
      </c>
      <c r="L587" t="n">
        <v>0</v>
      </c>
      <c r="M587" t="n">
        <v>0</v>
      </c>
      <c r="N587" t="n">
        <v>0</v>
      </c>
      <c r="O587" t="n">
        <v>0</v>
      </c>
      <c r="P587" t="n">
        <v>0</v>
      </c>
      <c r="Q587" t="n">
        <v>0</v>
      </c>
      <c r="R587" s="2" t="inlineStr"/>
    </row>
    <row r="588" ht="15" customHeight="1">
      <c r="A588" t="inlineStr">
        <is>
          <t>A 43767-2025</t>
        </is>
      </c>
      <c r="B588" s="1" t="n">
        <v>45912.49256944445</v>
      </c>
      <c r="C588" s="1" t="n">
        <v>45965</v>
      </c>
      <c r="D588" t="inlineStr">
        <is>
          <t>JÄMTLANDS LÄN</t>
        </is>
      </c>
      <c r="E588" t="inlineStr">
        <is>
          <t>ÅRE</t>
        </is>
      </c>
      <c r="G588" t="n">
        <v>7.1</v>
      </c>
      <c r="H588" t="n">
        <v>0</v>
      </c>
      <c r="I588" t="n">
        <v>0</v>
      </c>
      <c r="J588" t="n">
        <v>0</v>
      </c>
      <c r="K588" t="n">
        <v>0</v>
      </c>
      <c r="L588" t="n">
        <v>0</v>
      </c>
      <c r="M588" t="n">
        <v>0</v>
      </c>
      <c r="N588" t="n">
        <v>0</v>
      </c>
      <c r="O588" t="n">
        <v>0</v>
      </c>
      <c r="P588" t="n">
        <v>0</v>
      </c>
      <c r="Q588" t="n">
        <v>0</v>
      </c>
      <c r="R588" s="2" t="inlineStr"/>
    </row>
    <row r="589" ht="15" customHeight="1">
      <c r="A589" t="inlineStr">
        <is>
          <t>A 52946-2025</t>
        </is>
      </c>
      <c r="B589" s="1" t="n">
        <v>45957.64819444445</v>
      </c>
      <c r="C589" s="1" t="n">
        <v>45965</v>
      </c>
      <c r="D589" t="inlineStr">
        <is>
          <t>JÄMTLANDS LÄN</t>
        </is>
      </c>
      <c r="E589" t="inlineStr">
        <is>
          <t>ÅRE</t>
        </is>
      </c>
      <c r="G589" t="n">
        <v>2.6</v>
      </c>
      <c r="H589" t="n">
        <v>0</v>
      </c>
      <c r="I589" t="n">
        <v>0</v>
      </c>
      <c r="J589" t="n">
        <v>0</v>
      </c>
      <c r="K589" t="n">
        <v>0</v>
      </c>
      <c r="L589" t="n">
        <v>0</v>
      </c>
      <c r="M589" t="n">
        <v>0</v>
      </c>
      <c r="N589" t="n">
        <v>0</v>
      </c>
      <c r="O589" t="n">
        <v>0</v>
      </c>
      <c r="P589" t="n">
        <v>0</v>
      </c>
      <c r="Q589" t="n">
        <v>0</v>
      </c>
      <c r="R589" s="2" t="inlineStr"/>
    </row>
    <row r="590" ht="15" customHeight="1">
      <c r="A590" t="inlineStr">
        <is>
          <t>A 47963-2025</t>
        </is>
      </c>
      <c r="B590" s="1" t="n">
        <v>45931</v>
      </c>
      <c r="C590" s="1" t="n">
        <v>45965</v>
      </c>
      <c r="D590" t="inlineStr">
        <is>
          <t>JÄMTLANDS LÄN</t>
        </is>
      </c>
      <c r="E590" t="inlineStr">
        <is>
          <t>ÅRE</t>
        </is>
      </c>
      <c r="G590" t="n">
        <v>0.3</v>
      </c>
      <c r="H590" t="n">
        <v>0</v>
      </c>
      <c r="I590" t="n">
        <v>0</v>
      </c>
      <c r="J590" t="n">
        <v>0</v>
      </c>
      <c r="K590" t="n">
        <v>0</v>
      </c>
      <c r="L590" t="n">
        <v>0</v>
      </c>
      <c r="M590" t="n">
        <v>0</v>
      </c>
      <c r="N590" t="n">
        <v>0</v>
      </c>
      <c r="O590" t="n">
        <v>0</v>
      </c>
      <c r="P590" t="n">
        <v>0</v>
      </c>
      <c r="Q590" t="n">
        <v>0</v>
      </c>
      <c r="R590" s="2" t="inlineStr"/>
    </row>
    <row r="591" ht="15" customHeight="1">
      <c r="A591" t="inlineStr">
        <is>
          <t>A 4777-2025</t>
        </is>
      </c>
      <c r="B591" s="1" t="n">
        <v>45688</v>
      </c>
      <c r="C591" s="1" t="n">
        <v>45965</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53156-2025</t>
        </is>
      </c>
      <c r="B592" s="1" t="n">
        <v>45958.49030092593</v>
      </c>
      <c r="C592" s="1" t="n">
        <v>45965</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53134-2025</t>
        </is>
      </c>
      <c r="B593" s="1" t="n">
        <v>45958.46826388889</v>
      </c>
      <c r="C593" s="1" t="n">
        <v>45965</v>
      </c>
      <c r="D593" t="inlineStr">
        <is>
          <t>JÄMTLANDS LÄN</t>
        </is>
      </c>
      <c r="E593" t="inlineStr">
        <is>
          <t>ÅRE</t>
        </is>
      </c>
      <c r="G593" t="n">
        <v>13.8</v>
      </c>
      <c r="H593" t="n">
        <v>0</v>
      </c>
      <c r="I593" t="n">
        <v>0</v>
      </c>
      <c r="J593" t="n">
        <v>0</v>
      </c>
      <c r="K593" t="n">
        <v>0</v>
      </c>
      <c r="L593" t="n">
        <v>0</v>
      </c>
      <c r="M593" t="n">
        <v>0</v>
      </c>
      <c r="N593" t="n">
        <v>0</v>
      </c>
      <c r="O593" t="n">
        <v>0</v>
      </c>
      <c r="P593" t="n">
        <v>0</v>
      </c>
      <c r="Q593" t="n">
        <v>0</v>
      </c>
      <c r="R593" s="2" t="inlineStr"/>
    </row>
    <row r="594" ht="15" customHeight="1">
      <c r="A594" t="inlineStr">
        <is>
          <t>A 44418-2025</t>
        </is>
      </c>
      <c r="B594" s="1" t="n">
        <v>45916.54578703704</v>
      </c>
      <c r="C594" s="1" t="n">
        <v>45965</v>
      </c>
      <c r="D594" t="inlineStr">
        <is>
          <t>JÄMTLANDS LÄN</t>
        </is>
      </c>
      <c r="E594" t="inlineStr">
        <is>
          <t>ÅRE</t>
        </is>
      </c>
      <c r="G594" t="n">
        <v>3.3</v>
      </c>
      <c r="H594" t="n">
        <v>0</v>
      </c>
      <c r="I594" t="n">
        <v>0</v>
      </c>
      <c r="J594" t="n">
        <v>0</v>
      </c>
      <c r="K594" t="n">
        <v>0</v>
      </c>
      <c r="L594" t="n">
        <v>0</v>
      </c>
      <c r="M594" t="n">
        <v>0</v>
      </c>
      <c r="N594" t="n">
        <v>0</v>
      </c>
      <c r="O594" t="n">
        <v>0</v>
      </c>
      <c r="P594" t="n">
        <v>0</v>
      </c>
      <c r="Q594" t="n">
        <v>0</v>
      </c>
      <c r="R594" s="2" t="inlineStr"/>
    </row>
    <row r="595" ht="15" customHeight="1">
      <c r="A595" t="inlineStr">
        <is>
          <t>A 52944-2025</t>
        </is>
      </c>
      <c r="B595" s="1" t="n">
        <v>45957.6437037037</v>
      </c>
      <c r="C595" s="1" t="n">
        <v>45965</v>
      </c>
      <c r="D595" t="inlineStr">
        <is>
          <t>JÄMTLANDS LÄN</t>
        </is>
      </c>
      <c r="E595" t="inlineStr">
        <is>
          <t>ÅRE</t>
        </is>
      </c>
      <c r="G595" t="n">
        <v>1.5</v>
      </c>
      <c r="H595" t="n">
        <v>0</v>
      </c>
      <c r="I595" t="n">
        <v>0</v>
      </c>
      <c r="J595" t="n">
        <v>0</v>
      </c>
      <c r="K595" t="n">
        <v>0</v>
      </c>
      <c r="L595" t="n">
        <v>0</v>
      </c>
      <c r="M595" t="n">
        <v>0</v>
      </c>
      <c r="N595" t="n">
        <v>0</v>
      </c>
      <c r="O595" t="n">
        <v>0</v>
      </c>
      <c r="P595" t="n">
        <v>0</v>
      </c>
      <c r="Q595" t="n">
        <v>0</v>
      </c>
      <c r="R595" s="2" t="inlineStr"/>
    </row>
    <row r="596" ht="15" customHeight="1">
      <c r="A596" t="inlineStr">
        <is>
          <t>A 53133-2025</t>
        </is>
      </c>
      <c r="B596" s="1" t="n">
        <v>45958.46806712963</v>
      </c>
      <c r="C596" s="1" t="n">
        <v>45965</v>
      </c>
      <c r="D596" t="inlineStr">
        <is>
          <t>JÄMTLANDS LÄN</t>
        </is>
      </c>
      <c r="E596" t="inlineStr">
        <is>
          <t>ÅRE</t>
        </is>
      </c>
      <c r="G596" t="n">
        <v>13.8</v>
      </c>
      <c r="H596" t="n">
        <v>0</v>
      </c>
      <c r="I596" t="n">
        <v>0</v>
      </c>
      <c r="J596" t="n">
        <v>0</v>
      </c>
      <c r="K596" t="n">
        <v>0</v>
      </c>
      <c r="L596" t="n">
        <v>0</v>
      </c>
      <c r="M596" t="n">
        <v>0</v>
      </c>
      <c r="N596" t="n">
        <v>0</v>
      </c>
      <c r="O596" t="n">
        <v>0</v>
      </c>
      <c r="P596" t="n">
        <v>0</v>
      </c>
      <c r="Q596" t="n">
        <v>0</v>
      </c>
      <c r="R596" s="2" t="inlineStr"/>
    </row>
    <row r="597" ht="15" customHeight="1">
      <c r="A597" t="inlineStr">
        <is>
          <t>A 44251-2025</t>
        </is>
      </c>
      <c r="B597" s="1" t="n">
        <v>45915.69837962963</v>
      </c>
      <c r="C597" s="1" t="n">
        <v>45965</v>
      </c>
      <c r="D597" t="inlineStr">
        <is>
          <t>JÄMTLANDS LÄN</t>
        </is>
      </c>
      <c r="E597" t="inlineStr">
        <is>
          <t>ÅRE</t>
        </is>
      </c>
      <c r="G597" t="n">
        <v>0.2</v>
      </c>
      <c r="H597" t="n">
        <v>0</v>
      </c>
      <c r="I597" t="n">
        <v>0</v>
      </c>
      <c r="J597" t="n">
        <v>0</v>
      </c>
      <c r="K597" t="n">
        <v>0</v>
      </c>
      <c r="L597" t="n">
        <v>0</v>
      </c>
      <c r="M597" t="n">
        <v>0</v>
      </c>
      <c r="N597" t="n">
        <v>0</v>
      </c>
      <c r="O597" t="n">
        <v>0</v>
      </c>
      <c r="P597" t="n">
        <v>0</v>
      </c>
      <c r="Q597" t="n">
        <v>0</v>
      </c>
      <c r="R597" s="2" t="inlineStr"/>
    </row>
    <row r="598" ht="15" customHeight="1">
      <c r="A598" t="inlineStr">
        <is>
          <t>A 53684-2025</t>
        </is>
      </c>
      <c r="B598" s="1" t="n">
        <v>45960.57475694444</v>
      </c>
      <c r="C598" s="1" t="n">
        <v>45965</v>
      </c>
      <c r="D598" t="inlineStr">
        <is>
          <t>JÄMTLANDS LÄN</t>
        </is>
      </c>
      <c r="E598" t="inlineStr">
        <is>
          <t>ÅRE</t>
        </is>
      </c>
      <c r="G598" t="n">
        <v>4</v>
      </c>
      <c r="H598" t="n">
        <v>0</v>
      </c>
      <c r="I598" t="n">
        <v>0</v>
      </c>
      <c r="J598" t="n">
        <v>0</v>
      </c>
      <c r="K598" t="n">
        <v>0</v>
      </c>
      <c r="L598" t="n">
        <v>0</v>
      </c>
      <c r="M598" t="n">
        <v>0</v>
      </c>
      <c r="N598" t="n">
        <v>0</v>
      </c>
      <c r="O598" t="n">
        <v>0</v>
      </c>
      <c r="P598" t="n">
        <v>0</v>
      </c>
      <c r="Q598" t="n">
        <v>0</v>
      </c>
      <c r="R598" s="2" t="inlineStr"/>
    </row>
    <row r="599" ht="15" customHeight="1">
      <c r="A599" t="inlineStr">
        <is>
          <t>A 44644-2025</t>
        </is>
      </c>
      <c r="B599" s="1" t="n">
        <v>45917.53284722222</v>
      </c>
      <c r="C599" s="1" t="n">
        <v>45965</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row r="600" ht="15" customHeight="1">
      <c r="A600" t="inlineStr">
        <is>
          <t>A 13370-2024</t>
        </is>
      </c>
      <c r="B600" s="1" t="n">
        <v>45387</v>
      </c>
      <c r="C600" s="1" t="n">
        <v>45965</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1112-2025</t>
        </is>
      </c>
      <c r="B601" s="1" t="n">
        <v>45666</v>
      </c>
      <c r="C601" s="1" t="n">
        <v>45965</v>
      </c>
      <c r="D601" t="inlineStr">
        <is>
          <t>JÄMTLANDS LÄN</t>
        </is>
      </c>
      <c r="E601" t="inlineStr">
        <is>
          <t>ÅRE</t>
        </is>
      </c>
      <c r="F601" t="inlineStr">
        <is>
          <t>Övriga Aktiebolag</t>
        </is>
      </c>
      <c r="G601" t="n">
        <v>17.7</v>
      </c>
      <c r="H601" t="n">
        <v>0</v>
      </c>
      <c r="I601" t="n">
        <v>0</v>
      </c>
      <c r="J601" t="n">
        <v>0</v>
      </c>
      <c r="K601" t="n">
        <v>0</v>
      </c>
      <c r="L601" t="n">
        <v>0</v>
      </c>
      <c r="M601" t="n">
        <v>0</v>
      </c>
      <c r="N601" t="n">
        <v>0</v>
      </c>
      <c r="O601" t="n">
        <v>0</v>
      </c>
      <c r="P601" t="n">
        <v>0</v>
      </c>
      <c r="Q601" t="n">
        <v>0</v>
      </c>
      <c r="R601" s="2" t="inlineStr"/>
    </row>
    <row r="602" ht="15" customHeight="1">
      <c r="A602" t="inlineStr">
        <is>
          <t>A 44668-2025</t>
        </is>
      </c>
      <c r="B602" s="1" t="n">
        <v>45917.56306712963</v>
      </c>
      <c r="C602" s="1" t="n">
        <v>45965</v>
      </c>
      <c r="D602" t="inlineStr">
        <is>
          <t>JÄMTLANDS LÄN</t>
        </is>
      </c>
      <c r="E602" t="inlineStr">
        <is>
          <t>ÅRE</t>
        </is>
      </c>
      <c r="G602" t="n">
        <v>3.6</v>
      </c>
      <c r="H602" t="n">
        <v>0</v>
      </c>
      <c r="I602" t="n">
        <v>0</v>
      </c>
      <c r="J602" t="n">
        <v>0</v>
      </c>
      <c r="K602" t="n">
        <v>0</v>
      </c>
      <c r="L602" t="n">
        <v>0</v>
      </c>
      <c r="M602" t="n">
        <v>0</v>
      </c>
      <c r="N602" t="n">
        <v>0</v>
      </c>
      <c r="O602" t="n">
        <v>0</v>
      </c>
      <c r="P602" t="n">
        <v>0</v>
      </c>
      <c r="Q602" t="n">
        <v>0</v>
      </c>
      <c r="R602" s="2" t="inlineStr"/>
    </row>
    <row r="603" ht="15" customHeight="1">
      <c r="A603" t="inlineStr">
        <is>
          <t>A 44685-2025</t>
        </is>
      </c>
      <c r="B603" s="1" t="n">
        <v>45917.58569444445</v>
      </c>
      <c r="C603" s="1" t="n">
        <v>45965</v>
      </c>
      <c r="D603" t="inlineStr">
        <is>
          <t>JÄMTLANDS LÄN</t>
        </is>
      </c>
      <c r="E603" t="inlineStr">
        <is>
          <t>ÅRE</t>
        </is>
      </c>
      <c r="G603" t="n">
        <v>2.2</v>
      </c>
      <c r="H603" t="n">
        <v>0</v>
      </c>
      <c r="I603" t="n">
        <v>0</v>
      </c>
      <c r="J603" t="n">
        <v>0</v>
      </c>
      <c r="K603" t="n">
        <v>0</v>
      </c>
      <c r="L603" t="n">
        <v>0</v>
      </c>
      <c r="M603" t="n">
        <v>0</v>
      </c>
      <c r="N603" t="n">
        <v>0</v>
      </c>
      <c r="O603" t="n">
        <v>0</v>
      </c>
      <c r="P603" t="n">
        <v>0</v>
      </c>
      <c r="Q603" t="n">
        <v>0</v>
      </c>
      <c r="R603" s="2" t="inlineStr"/>
    </row>
    <row r="604" ht="15" customHeight="1">
      <c r="A604" t="inlineStr">
        <is>
          <t>A 53873-2025</t>
        </is>
      </c>
      <c r="B604" s="1" t="n">
        <v>45961.39340277778</v>
      </c>
      <c r="C604" s="1" t="n">
        <v>45965</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13301-2024</t>
        </is>
      </c>
      <c r="B605" s="1" t="n">
        <v>45386</v>
      </c>
      <c r="C605" s="1" t="n">
        <v>45965</v>
      </c>
      <c r="D605" t="inlineStr">
        <is>
          <t>JÄMTLANDS LÄN</t>
        </is>
      </c>
      <c r="E605" t="inlineStr">
        <is>
          <t>ÅRE</t>
        </is>
      </c>
      <c r="G605" t="n">
        <v>9</v>
      </c>
      <c r="H605" t="n">
        <v>0</v>
      </c>
      <c r="I605" t="n">
        <v>0</v>
      </c>
      <c r="J605" t="n">
        <v>0</v>
      </c>
      <c r="K605" t="n">
        <v>0</v>
      </c>
      <c r="L605" t="n">
        <v>0</v>
      </c>
      <c r="M605" t="n">
        <v>0</v>
      </c>
      <c r="N605" t="n">
        <v>0</v>
      </c>
      <c r="O605" t="n">
        <v>0</v>
      </c>
      <c r="P605" t="n">
        <v>0</v>
      </c>
      <c r="Q605" t="n">
        <v>0</v>
      </c>
      <c r="R605" s="2" t="inlineStr"/>
    </row>
    <row r="606" ht="15" customHeight="1">
      <c r="A606" t="inlineStr">
        <is>
          <t>A 45614-2025</t>
        </is>
      </c>
      <c r="B606" s="1" t="n">
        <v>45922.719375</v>
      </c>
      <c r="C606" s="1" t="n">
        <v>45965</v>
      </c>
      <c r="D606" t="inlineStr">
        <is>
          <t>JÄMTLANDS LÄN</t>
        </is>
      </c>
      <c r="E606" t="inlineStr">
        <is>
          <t>ÅRE</t>
        </is>
      </c>
      <c r="G606" t="n">
        <v>2.4</v>
      </c>
      <c r="H606" t="n">
        <v>0</v>
      </c>
      <c r="I606" t="n">
        <v>0</v>
      </c>
      <c r="J606" t="n">
        <v>0</v>
      </c>
      <c r="K606" t="n">
        <v>0</v>
      </c>
      <c r="L606" t="n">
        <v>0</v>
      </c>
      <c r="M606" t="n">
        <v>0</v>
      </c>
      <c r="N606" t="n">
        <v>0</v>
      </c>
      <c r="O606" t="n">
        <v>0</v>
      </c>
      <c r="P606" t="n">
        <v>0</v>
      </c>
      <c r="Q606" t="n">
        <v>0</v>
      </c>
      <c r="R606" s="2" t="inlineStr"/>
    </row>
    <row r="607" ht="15" customHeight="1">
      <c r="A607" t="inlineStr">
        <is>
          <t>A 46444-2024</t>
        </is>
      </c>
      <c r="B607" s="1" t="n">
        <v>45582</v>
      </c>
      <c r="C607" s="1" t="n">
        <v>45965</v>
      </c>
      <c r="D607" t="inlineStr">
        <is>
          <t>JÄMTLANDS LÄN</t>
        </is>
      </c>
      <c r="E607" t="inlineStr">
        <is>
          <t>ÅRE</t>
        </is>
      </c>
      <c r="G607" t="n">
        <v>19.6</v>
      </c>
      <c r="H607" t="n">
        <v>0</v>
      </c>
      <c r="I607" t="n">
        <v>0</v>
      </c>
      <c r="J607" t="n">
        <v>0</v>
      </c>
      <c r="K607" t="n">
        <v>0</v>
      </c>
      <c r="L607" t="n">
        <v>0</v>
      </c>
      <c r="M607" t="n">
        <v>0</v>
      </c>
      <c r="N607" t="n">
        <v>0</v>
      </c>
      <c r="O607" t="n">
        <v>0</v>
      </c>
      <c r="P607" t="n">
        <v>0</v>
      </c>
      <c r="Q607" t="n">
        <v>0</v>
      </c>
      <c r="R607" s="2" t="inlineStr"/>
    </row>
    <row r="608" ht="15" customHeight="1">
      <c r="A608" t="inlineStr">
        <is>
          <t>A 54131-2025</t>
        </is>
      </c>
      <c r="B608" s="1" t="n">
        <v>45964.46167824074</v>
      </c>
      <c r="C608" s="1" t="n">
        <v>45965</v>
      </c>
      <c r="D608" t="inlineStr">
        <is>
          <t>JÄMTLANDS LÄN</t>
        </is>
      </c>
      <c r="E608" t="inlineStr">
        <is>
          <t>ÅRE</t>
        </is>
      </c>
      <c r="G608" t="n">
        <v>1.1</v>
      </c>
      <c r="H608" t="n">
        <v>0</v>
      </c>
      <c r="I608" t="n">
        <v>0</v>
      </c>
      <c r="J608" t="n">
        <v>0</v>
      </c>
      <c r="K608" t="n">
        <v>0</v>
      </c>
      <c r="L608" t="n">
        <v>0</v>
      </c>
      <c r="M608" t="n">
        <v>0</v>
      </c>
      <c r="N608" t="n">
        <v>0</v>
      </c>
      <c r="O608" t="n">
        <v>0</v>
      </c>
      <c r="P608" t="n">
        <v>0</v>
      </c>
      <c r="Q608" t="n">
        <v>0</v>
      </c>
      <c r="R608" s="2" t="inlineStr"/>
    </row>
    <row r="609" ht="15" customHeight="1">
      <c r="A609" t="inlineStr">
        <is>
          <t>A 54136-2025</t>
        </is>
      </c>
      <c r="B609" s="1" t="n">
        <v>45964.47177083333</v>
      </c>
      <c r="C609" s="1" t="n">
        <v>45965</v>
      </c>
      <c r="D609" t="inlineStr">
        <is>
          <t>JÄMTLANDS LÄN</t>
        </is>
      </c>
      <c r="E609" t="inlineStr">
        <is>
          <t>ÅRE</t>
        </is>
      </c>
      <c r="G609" t="n">
        <v>7.2</v>
      </c>
      <c r="H609" t="n">
        <v>0</v>
      </c>
      <c r="I609" t="n">
        <v>0</v>
      </c>
      <c r="J609" t="n">
        <v>0</v>
      </c>
      <c r="K609" t="n">
        <v>0</v>
      </c>
      <c r="L609" t="n">
        <v>0</v>
      </c>
      <c r="M609" t="n">
        <v>0</v>
      </c>
      <c r="N609" t="n">
        <v>0</v>
      </c>
      <c r="O609" t="n">
        <v>0</v>
      </c>
      <c r="P609" t="n">
        <v>0</v>
      </c>
      <c r="Q609" t="n">
        <v>0</v>
      </c>
      <c r="R609" s="2" t="inlineStr"/>
    </row>
    <row r="610" ht="15" customHeight="1">
      <c r="A610" t="inlineStr">
        <is>
          <t>A 54139-2025</t>
        </is>
      </c>
      <c r="B610" s="1" t="n">
        <v>45964.47564814815</v>
      </c>
      <c r="C610" s="1" t="n">
        <v>45965</v>
      </c>
      <c r="D610" t="inlineStr">
        <is>
          <t>JÄMTLANDS LÄN</t>
        </is>
      </c>
      <c r="E610" t="inlineStr">
        <is>
          <t>ÅRE</t>
        </is>
      </c>
      <c r="G610" t="n">
        <v>0.5</v>
      </c>
      <c r="H610" t="n">
        <v>0</v>
      </c>
      <c r="I610" t="n">
        <v>0</v>
      </c>
      <c r="J610" t="n">
        <v>0</v>
      </c>
      <c r="K610" t="n">
        <v>0</v>
      </c>
      <c r="L610" t="n">
        <v>0</v>
      </c>
      <c r="M610" t="n">
        <v>0</v>
      </c>
      <c r="N610" t="n">
        <v>0</v>
      </c>
      <c r="O610" t="n">
        <v>0</v>
      </c>
      <c r="P610" t="n">
        <v>0</v>
      </c>
      <c r="Q610" t="n">
        <v>0</v>
      </c>
      <c r="R610" s="2" t="inlineStr"/>
    </row>
    <row r="611" ht="15" customHeight="1">
      <c r="A611" t="inlineStr">
        <is>
          <t>A 45605-2025</t>
        </is>
      </c>
      <c r="B611" s="1" t="n">
        <v>45922.69826388889</v>
      </c>
      <c r="C611" s="1" t="n">
        <v>45965</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54211-2025</t>
        </is>
      </c>
      <c r="B612" s="1" t="n">
        <v>45964.59214120371</v>
      </c>
      <c r="C612" s="1" t="n">
        <v>45965</v>
      </c>
      <c r="D612" t="inlineStr">
        <is>
          <t>JÄMTLANDS LÄN</t>
        </is>
      </c>
      <c r="E612" t="inlineStr">
        <is>
          <t>ÅRE</t>
        </is>
      </c>
      <c r="G612" t="n">
        <v>4.3</v>
      </c>
      <c r="H612" t="n">
        <v>0</v>
      </c>
      <c r="I612" t="n">
        <v>0</v>
      </c>
      <c r="J612" t="n">
        <v>0</v>
      </c>
      <c r="K612" t="n">
        <v>0</v>
      </c>
      <c r="L612" t="n">
        <v>0</v>
      </c>
      <c r="M612" t="n">
        <v>0</v>
      </c>
      <c r="N612" t="n">
        <v>0</v>
      </c>
      <c r="O612" t="n">
        <v>0</v>
      </c>
      <c r="P612" t="n">
        <v>0</v>
      </c>
      <c r="Q612" t="n">
        <v>0</v>
      </c>
      <c r="R612" s="2" t="inlineStr"/>
    </row>
    <row r="613" ht="15" customHeight="1">
      <c r="A613" t="inlineStr">
        <is>
          <t>A 54213-2025</t>
        </is>
      </c>
      <c r="B613" s="1" t="n">
        <v>45964.59420138889</v>
      </c>
      <c r="C613" s="1" t="n">
        <v>45965</v>
      </c>
      <c r="D613" t="inlineStr">
        <is>
          <t>JÄMTLANDS LÄN</t>
        </is>
      </c>
      <c r="E613" t="inlineStr">
        <is>
          <t>ÅRE</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23651-2025</t>
        </is>
      </c>
      <c r="B614" s="1" t="n">
        <v>45792.70914351852</v>
      </c>
      <c r="C614" s="1" t="n">
        <v>45965</v>
      </c>
      <c r="D614" t="inlineStr">
        <is>
          <t>JÄMTLANDS LÄN</t>
        </is>
      </c>
      <c r="E614" t="inlineStr">
        <is>
          <t>ÅRE</t>
        </is>
      </c>
      <c r="G614" t="n">
        <v>2</v>
      </c>
      <c r="H614" t="n">
        <v>0</v>
      </c>
      <c r="I614" t="n">
        <v>0</v>
      </c>
      <c r="J614" t="n">
        <v>0</v>
      </c>
      <c r="K614" t="n">
        <v>0</v>
      </c>
      <c r="L614" t="n">
        <v>0</v>
      </c>
      <c r="M614" t="n">
        <v>0</v>
      </c>
      <c r="N614" t="n">
        <v>0</v>
      </c>
      <c r="O614" t="n">
        <v>0</v>
      </c>
      <c r="P614" t="n">
        <v>0</v>
      </c>
      <c r="Q614" t="n">
        <v>0</v>
      </c>
      <c r="R614" s="2" t="inlineStr"/>
    </row>
    <row r="615" ht="15" customHeight="1">
      <c r="A615" t="inlineStr">
        <is>
          <t>A 53862-2025</t>
        </is>
      </c>
      <c r="B615" s="1" t="n">
        <v>45961.38105324074</v>
      </c>
      <c r="C615" s="1" t="n">
        <v>45965</v>
      </c>
      <c r="D615" t="inlineStr">
        <is>
          <t>JÄMTLANDS LÄN</t>
        </is>
      </c>
      <c r="E615" t="inlineStr">
        <is>
          <t>ÅRE</t>
        </is>
      </c>
      <c r="G615" t="n">
        <v>1.2</v>
      </c>
      <c r="H615" t="n">
        <v>0</v>
      </c>
      <c r="I615" t="n">
        <v>0</v>
      </c>
      <c r="J615" t="n">
        <v>0</v>
      </c>
      <c r="K615" t="n">
        <v>0</v>
      </c>
      <c r="L615" t="n">
        <v>0</v>
      </c>
      <c r="M615" t="n">
        <v>0</v>
      </c>
      <c r="N615" t="n">
        <v>0</v>
      </c>
      <c r="O615" t="n">
        <v>0</v>
      </c>
      <c r="P615" t="n">
        <v>0</v>
      </c>
      <c r="Q615" t="n">
        <v>0</v>
      </c>
      <c r="R615" s="2" t="inlineStr"/>
    </row>
    <row r="616" ht="15" customHeight="1">
      <c r="A616" t="inlineStr">
        <is>
          <t>A 54225-2025</t>
        </is>
      </c>
      <c r="B616" s="1" t="n">
        <v>45964.60839120371</v>
      </c>
      <c r="C616" s="1" t="n">
        <v>45965</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c r="A617" t="inlineStr">
        <is>
          <t>A 54137-2025</t>
        </is>
      </c>
      <c r="B617" s="1" t="n">
        <v>45964.47275462963</v>
      </c>
      <c r="C617" s="1" t="n">
        <v>45965</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2025-11-04T10:07:21Z</dcterms:created>
  <dcterms:modified xmlns:dcterms="http://purl.org/dc/terms/" xmlns:xsi="http://www.w3.org/2001/XMLSchema-instance" xsi:type="dcterms:W3CDTF">2025-11-04T10:07:21Z</dcterms:modified>
</cp:coreProperties>
</file>