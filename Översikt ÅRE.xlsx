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45672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45672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45672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45672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45672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45672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45672</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45672</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45672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45672</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45672</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45672</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45672</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45672</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45672</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45672</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45672</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45672</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45672</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45672</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45672</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45672</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45672</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45672</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45672</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45672</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45672</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45672</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45672</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45672</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45672</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45672</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45672</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45672</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45672</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45672</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45672</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45672</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45672</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45672</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45672</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45672</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45672</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45672</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45672</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45672</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45672</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45672</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45672</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45672</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45672</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45672</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45672</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45672</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45672</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45672</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45672</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45672</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45672</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45672</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45672</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45672</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45672</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45672</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45672</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45672</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45672</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45672</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45672</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45672</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45672</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45672</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45672</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45672</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45672</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45672</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45672</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45672</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45672</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45672</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45672</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45672</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45672</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45672</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45672</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45672</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45672</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45672</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45672</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45672</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45672</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45672</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45672</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45672</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45672</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45672</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45672</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45672</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45672</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45672</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45672</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45672</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45672</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45672</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45672</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45672</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45672</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45672</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45672</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45672</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45672</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45672</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45672</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45672</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45672</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45672</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45672</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45672</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45672</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45672</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45672</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45672</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45672</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45672</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45672</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45672</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45672</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45672</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45672</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45672</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45672</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52588-2024</t>
        </is>
      </c>
      <c r="B133" s="1" t="n">
        <v>45609</v>
      </c>
      <c r="C133" s="1" t="n">
        <v>45672</v>
      </c>
      <c r="D133" t="inlineStr">
        <is>
          <t>JÄMTLANDS LÄN</t>
        </is>
      </c>
      <c r="E133" t="inlineStr">
        <is>
          <t>ÅRE</t>
        </is>
      </c>
      <c r="G133" t="n">
        <v>6.5</v>
      </c>
      <c r="H133" t="n">
        <v>0</v>
      </c>
      <c r="I133" t="n">
        <v>1</v>
      </c>
      <c r="J133" t="n">
        <v>2</v>
      </c>
      <c r="K133" t="n">
        <v>0</v>
      </c>
      <c r="L133" t="n">
        <v>0</v>
      </c>
      <c r="M133" t="n">
        <v>0</v>
      </c>
      <c r="N133" t="n">
        <v>0</v>
      </c>
      <c r="O133" t="n">
        <v>2</v>
      </c>
      <c r="P133" t="n">
        <v>0</v>
      </c>
      <c r="Q133" t="n">
        <v>3</v>
      </c>
      <c r="R133" s="2" t="inlineStr">
        <is>
          <t>Garnlav
Liten svartspik
Vedticka</t>
        </is>
      </c>
      <c r="S133">
        <f>HYPERLINK("https://klasma.github.io/Logging_2321/artfynd/A 52588-2024 artfynd.xlsx", "A 52588-2024")</f>
        <v/>
      </c>
      <c r="T133">
        <f>HYPERLINK("https://klasma.github.io/Logging_2321/kartor/A 52588-2024 karta.png", "A 52588-2024")</f>
        <v/>
      </c>
      <c r="V133">
        <f>HYPERLINK("https://klasma.github.io/Logging_2321/klagomål/A 52588-2024 FSC-klagomål.docx", "A 52588-2024")</f>
        <v/>
      </c>
      <c r="W133">
        <f>HYPERLINK("https://klasma.github.io/Logging_2321/klagomålsmail/A 52588-2024 FSC-klagomål mail.docx", "A 52588-2024")</f>
        <v/>
      </c>
      <c r="X133">
        <f>HYPERLINK("https://klasma.github.io/Logging_2321/tillsyn/A 52588-2024 tillsynsbegäran.docx", "A 52588-2024")</f>
        <v/>
      </c>
      <c r="Y133">
        <f>HYPERLINK("https://klasma.github.io/Logging_2321/tillsynsmail/A 52588-2024 tillsynsbegäran mail.docx", "A 52588-2024")</f>
        <v/>
      </c>
    </row>
    <row r="134" ht="15" customHeight="1">
      <c r="A134" t="inlineStr">
        <is>
          <t>A 57888-2024</t>
        </is>
      </c>
      <c r="B134" s="1" t="n">
        <v>45631</v>
      </c>
      <c r="C134" s="1" t="n">
        <v>45672</v>
      </c>
      <c r="D134" t="inlineStr">
        <is>
          <t>JÄMTLANDS LÄN</t>
        </is>
      </c>
      <c r="E134" t="inlineStr">
        <is>
          <t>ÅRE</t>
        </is>
      </c>
      <c r="F134" t="inlineStr">
        <is>
          <t>Övriga Aktiebolag</t>
        </is>
      </c>
      <c r="G134" t="n">
        <v>23.9</v>
      </c>
      <c r="H134" t="n">
        <v>0</v>
      </c>
      <c r="I134" t="n">
        <v>0</v>
      </c>
      <c r="J134" t="n">
        <v>3</v>
      </c>
      <c r="K134" t="n">
        <v>0</v>
      </c>
      <c r="L134" t="n">
        <v>0</v>
      </c>
      <c r="M134" t="n">
        <v>0</v>
      </c>
      <c r="N134" t="n">
        <v>0</v>
      </c>
      <c r="O134" t="n">
        <v>3</v>
      </c>
      <c r="P134" t="n">
        <v>0</v>
      </c>
      <c r="Q134" t="n">
        <v>3</v>
      </c>
      <c r="R134" s="2" t="inlineStr">
        <is>
          <t>Brunpudrad nållav
Skrovellav
Vitgrynig nållav</t>
        </is>
      </c>
      <c r="S134">
        <f>HYPERLINK("https://klasma.github.io/Logging_2321/artfynd/A 57888-2024 artfynd.xlsx", "A 57888-2024")</f>
        <v/>
      </c>
      <c r="T134">
        <f>HYPERLINK("https://klasma.github.io/Logging_2321/kartor/A 57888-2024 karta.png", "A 57888-2024")</f>
        <v/>
      </c>
      <c r="V134">
        <f>HYPERLINK("https://klasma.github.io/Logging_2321/klagomål/A 57888-2024 FSC-klagomål.docx", "A 57888-2024")</f>
        <v/>
      </c>
      <c r="W134">
        <f>HYPERLINK("https://klasma.github.io/Logging_2321/klagomålsmail/A 57888-2024 FSC-klagomål mail.docx", "A 57888-2024")</f>
        <v/>
      </c>
      <c r="X134">
        <f>HYPERLINK("https://klasma.github.io/Logging_2321/tillsyn/A 57888-2024 tillsynsbegäran.docx", "A 57888-2024")</f>
        <v/>
      </c>
      <c r="Y134">
        <f>HYPERLINK("https://klasma.github.io/Logging_2321/tillsynsmail/A 57888-2024 tillsynsbegäran mail.docx", "A 57888-2024")</f>
        <v/>
      </c>
    </row>
    <row r="135" ht="15" customHeight="1">
      <c r="A135" t="inlineStr">
        <is>
          <t>A 57918-2024</t>
        </is>
      </c>
      <c r="B135" s="1" t="n">
        <v>45631</v>
      </c>
      <c r="C135" s="1" t="n">
        <v>45672</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45672</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45672</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45672</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45672</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45672</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45672</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45672</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45672</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45672</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45672</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45672</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45672</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45672</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45672</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45672</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45672</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45672</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45672</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45672</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45672</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45672</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45672</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45672</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45672</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45672</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45672</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45672</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45672</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45672</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45672</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45672</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45672</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45672</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45672</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45672</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45672</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45672</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45672</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45672</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45652</v>
      </c>
      <c r="C175" s="1" t="n">
        <v>45672</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45672</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45672</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45672</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45672</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45672</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45672</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45672</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45672</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45672</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45672</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45672</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45672</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45672</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45672</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45672</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45672</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45672</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45672</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45672</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45672</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45672</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45672</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45672</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45672</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45672</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45672</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45672</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45672</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45672</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45672</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45672</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45672</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45672</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45672</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45672</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45672</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45672</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45672</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45672</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45672</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45672</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45672</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45672</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45672</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45672</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45672</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45672</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45672</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45672</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45672</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45672</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45672</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45672</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45672</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45672</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45672</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45672</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45672</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45672</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45672</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45672</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45672</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45672</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45672</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45672</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45672</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45672</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45672</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45672</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45672</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45672</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45672</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45672</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45672</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45672</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45672</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45672</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45672</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45672</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45672</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45672</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45672</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45672</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45672</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45672</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45672</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45672</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45672</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45672</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45672</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45672</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45672</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45672</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45672</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45672</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45672</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45672</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45672</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45672</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45672</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45672</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45672</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45672</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45672</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45672</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45672</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45672</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45672</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45672</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45672</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45672</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45672</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45672</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45672</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45672</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45672</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45672</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45672</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45672</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45672</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45672</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45672</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45672</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45672</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45672</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45672</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45672</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45672</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45672</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45672</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45672</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45672</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45672</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45672</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45672</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45672</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45672</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45672</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45672</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45672</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45672</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45672</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45672</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45672</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45672</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45672</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45672</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45672</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45672</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45672</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45672</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45672</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45672</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45672</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45672</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45672</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45672</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45672</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45672</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45672</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45672</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45672</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45672</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45672</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45672</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45672</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45672</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45672</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45672</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45672</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45672</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45672</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45672</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45672</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45672</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45672</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45672</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45672</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45672</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45672</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45672</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45672</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45672</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45672</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45672</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45672</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45672</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45672</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45672</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45672</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45672</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45672</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45672</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45672</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45672</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45672</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45672</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45672</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45672</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45672</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45672</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45672</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45672</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45672</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45672</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45672</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45672</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45672</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45672</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45672</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45672</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45672</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45672</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45672</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45672</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45672</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45672</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45672</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45672</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45672</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45672</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45672</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45672</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45672</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45672</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45672</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45672</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45672</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45672</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45672</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45672</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45672</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45672</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45672</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45672</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45672</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45672</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45672</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45672</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45672</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45672</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45672</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45672</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45672</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45672</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45672</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45672</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45672</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45672</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45672</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45672</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45672</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45672</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45672</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45672</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45672</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45672</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45672</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45672</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45672</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45672</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45672</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45672</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45672</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45672</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45672</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45672</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45672</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45672</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45672</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45672</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45672</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45672</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45672</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45672</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45672</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45672</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45672</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45672</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45672</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45672</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45672</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45672</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45672</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45672</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45672</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45672</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45672</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45672</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45672</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45672</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45672</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45672</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45672</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45672</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45672</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45672</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45672</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45672</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45672</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45672</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45672</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45672</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45672</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45672</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45672</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45672</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45672</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45672</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45672</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45672</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45672</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45672</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45672</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45672</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45672</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45672</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45672</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45672</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45672</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45672</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45672</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45672</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45672</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45672</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45672</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45672</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45672</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45672</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45672</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45672</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45672</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45672</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45672</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45672</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45672</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45672</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45672</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45672</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45672</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45672</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45672</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45672</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45672</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45672</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45672</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45672</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45672</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45672</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45672</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45672</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45672</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45672</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45672</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45672</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45672</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45672</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45672</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45672</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45672</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45672</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45672</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45672</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45672</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45672</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45672</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45672</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45672</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45672</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45672</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45672</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45672</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45672</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45672</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45672</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45672</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45672</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45672</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45672</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45672</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45672</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45672</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45672</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45672</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45672</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45672</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45672</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45672</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45672</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45672</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45672</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45672</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45672</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45672</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45672</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45672</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45672</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45672</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45672</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45672</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45672</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45672</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45672</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45672</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45672</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45672</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45672</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45672</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45672</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45672</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45672</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45672</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45672</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45672</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45672</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45672</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45672</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45672</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45672</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45672</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45672</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45672</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45672</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45672</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45672</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45672</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45672</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45672</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45672</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45672</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45672</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45672</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45672</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45672</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45672</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45672</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45672</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45672</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45672</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45672</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45672</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45672</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45672</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45672</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45672</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45672</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45672</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45672</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45672</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45672</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45672</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45672</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45672</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45672</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45672</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45672</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45672</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45672</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45672</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45672</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45672</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45672</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45672</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45672</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45672</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45672</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45672</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45672</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45672</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45672</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45672</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45672</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45672</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45672</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45672</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45672</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45672</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45672</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45672</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45672</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45672</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45672</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45672</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45672</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45672</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45672</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45672</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45672</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45672</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45672</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45672</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45672</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45672</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45672</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45672</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45672</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45672</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45672</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45672</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45672</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45672</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45672</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45672</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45672</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45672</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45672</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45672</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45672</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45672</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45672</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45672</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45672</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45672</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45672</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45672</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45672</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45672</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45672</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45672</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45672</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45672</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45672</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45672</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45672</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45672</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45672</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45672</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45672</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45672</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45672</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45672</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45672</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45672</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45672</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45672</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45672</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45672</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45672</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45672</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45672</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45672</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45672</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45672</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45672</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45672</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45672</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45672</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45672</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45672</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45672</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45672</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45672</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45672</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45672</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45672</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45672</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45672</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45672</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45672</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45672</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45672</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45672</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45672</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45672</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45672</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45672</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45672</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45672</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45672</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45672</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45672</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45672</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45672</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45672</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45672</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45672</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45672</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45672</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45672</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45672</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45672</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45672</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45672</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45672</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45672</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45672</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45672</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45672</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45672</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45672</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45672</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45672</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45672</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45672</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45672</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45672</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45672</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45672</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45672</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45672</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45672</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45672</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45672</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45672</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45672</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45672</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45672</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45672</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45672</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45672</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45672</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45672</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45672</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45672</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45672</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45672</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45672</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45672</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45672</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45672</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45672</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45672</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45672</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45672</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45672</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45672</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45672</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45672</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45672</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45672</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45672</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45672</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45672</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45672</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45672</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45672</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45672</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45672</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45672</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45672</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45672</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45672</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45672</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45672</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45672</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45672</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45672</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45672</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45672</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45672</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45672</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45672</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45672</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45672</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45672</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45672</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45672</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45672</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45672</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45672</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45672</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45672</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45672</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45672</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45672</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45672</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45672</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45672</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45672</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45672</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45672</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45672</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45672</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45672</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45672</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45672</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45672</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45672</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45672</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45672</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45672</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45672</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45672</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45672</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45672</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45672</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45672</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45672</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45672</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45672</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45672</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45672</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45672</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45672</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45672</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45672</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45672</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45672</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45672</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45672</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45672</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45672</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45672</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45672</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45672</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45672</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45672</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45672</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45672</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45672</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45672</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45672</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45672</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45672</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45672</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45672</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45672</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45672</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45672</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45672</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45672</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45672</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45672</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45672</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45672</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45672</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45672</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45672</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45672</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45672</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45672</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45672</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45672</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45672</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45672</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45672</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45672</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45672</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45672</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45672</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45672</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45672</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45672</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45672</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45672</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45672</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45672</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45672</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45672</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45672</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45672</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45672</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45672</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45672</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45672</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45672</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45672</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45672</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45672</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45672</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45672</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45672</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45672</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45672</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45672</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45672</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45672</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45672</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45672</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45672</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45672</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45672</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45672</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45672</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45672</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45672</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45672</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45672</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45672</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45672</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45672</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45672</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45672</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45672</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45672</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c r="A961" t="inlineStr">
        <is>
          <t>A 1541-2025</t>
        </is>
      </c>
      <c r="B961" s="1" t="n">
        <v>45670</v>
      </c>
      <c r="C961" s="1" t="n">
        <v>45672</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2025-01-15T15:57:55Z</dcterms:created>
  <dcterms:modified xmlns:dcterms="http://purl.org/dc/terms/" xmlns:xsi="http://www.w3.org/2001/XMLSchema-instance" xsi:type="dcterms:W3CDTF">2025-01-15T15:58:03Z</dcterms:modified>
</cp:coreProperties>
</file>