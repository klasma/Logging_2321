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45729</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45729</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45729</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45729</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45729</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45729</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45729</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45729</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45729</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45729</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45729</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45729</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45729</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45729</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45729</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45729</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45729</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45729</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45729</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45729</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45729</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45729</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45729</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45729</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45729</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45729</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45729</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45729</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45729</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45729</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45729</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45729</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45729</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45729</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45729</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45729</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45729</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45729</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45729</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45729</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45729</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45729</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45729</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45729</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45729</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45729</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45729</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45729</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45729</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45729</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45729</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45729</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45729</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45729</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45729</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45729</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45729</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45729</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45729</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45729</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45729</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45729</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45729</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45729</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45729</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45729</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45729</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45729</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45729</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45729</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45729</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45729</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45729</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45729</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45729</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45729</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45729</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45729</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45729</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45729</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45729</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45729</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45729</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45729</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45729</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45729</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45729</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45729</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45729</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45729</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45729</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45729</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45729</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45729</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45729</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45729</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45729</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45729</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45729</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45729</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45729</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45729</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45729</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45729</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45729</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45729</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45729</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45729</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45729</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45729</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45729</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45729</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45729</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45729</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45729</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45729</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45729</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45729</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45729</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45729</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45729</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45729</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45729</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45729</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45729</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45729</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45729</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45729</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45729</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45729</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45729</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45729</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45729</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45729</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45729</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45729</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61875-2024</t>
        </is>
      </c>
      <c r="B138" s="1" t="n">
        <v>45651</v>
      </c>
      <c r="C138" s="1" t="n">
        <v>45729</v>
      </c>
      <c r="D138" t="inlineStr">
        <is>
          <t>JÄMTLANDS LÄN</t>
        </is>
      </c>
      <c r="E138" t="inlineStr">
        <is>
          <t>ÅRE</t>
        </is>
      </c>
      <c r="G138" t="n">
        <v>35.5</v>
      </c>
      <c r="H138" t="n">
        <v>1</v>
      </c>
      <c r="I138" t="n">
        <v>0</v>
      </c>
      <c r="J138" t="n">
        <v>3</v>
      </c>
      <c r="K138" t="n">
        <v>0</v>
      </c>
      <c r="L138" t="n">
        <v>0</v>
      </c>
      <c r="M138" t="n">
        <v>0</v>
      </c>
      <c r="N138" t="n">
        <v>0</v>
      </c>
      <c r="O138" t="n">
        <v>3</v>
      </c>
      <c r="P138" t="n">
        <v>0</v>
      </c>
      <c r="Q138" t="n">
        <v>3</v>
      </c>
      <c r="R138" s="2" t="inlineStr">
        <is>
          <t>Rosenticka
Tretåig hackspett
Ullticka</t>
        </is>
      </c>
      <c r="S138">
        <f>HYPERLINK("https://klasma.github.io/Logging_2321/artfynd/A 61875-2024 artfynd.xlsx", "A 61875-2024")</f>
        <v/>
      </c>
      <c r="T138">
        <f>HYPERLINK("https://klasma.github.io/Logging_2321/kartor/A 61875-2024 karta.png", "A 61875-2024")</f>
        <v/>
      </c>
      <c r="V138">
        <f>HYPERLINK("https://klasma.github.io/Logging_2321/klagomål/A 61875-2024 FSC-klagomål.docx", "A 61875-2024")</f>
        <v/>
      </c>
      <c r="W138">
        <f>HYPERLINK("https://klasma.github.io/Logging_2321/klagomålsmail/A 61875-2024 FSC-klagomål mail.docx", "A 61875-2024")</f>
        <v/>
      </c>
      <c r="X138">
        <f>HYPERLINK("https://klasma.github.io/Logging_2321/tillsyn/A 61875-2024 tillsynsbegäran.docx", "A 61875-2024")</f>
        <v/>
      </c>
      <c r="Y138">
        <f>HYPERLINK("https://klasma.github.io/Logging_2321/tillsynsmail/A 61875-2024 tillsynsbegäran mail.docx", "A 61875-2024")</f>
        <v/>
      </c>
      <c r="Z138">
        <f>HYPERLINK("https://klasma.github.io/Logging_2321/fåglar/A 61875-2024 prioriterade fågelarter.docx", "A 61875-2024")</f>
        <v/>
      </c>
    </row>
    <row r="139" ht="15" customHeight="1">
      <c r="A139" t="inlineStr">
        <is>
          <t>A 6385-2025</t>
        </is>
      </c>
      <c r="B139" s="1" t="n">
        <v>45699</v>
      </c>
      <c r="C139" s="1" t="n">
        <v>45729</v>
      </c>
      <c r="D139" t="inlineStr">
        <is>
          <t>JÄMTLANDS LÄN</t>
        </is>
      </c>
      <c r="E139" t="inlineStr">
        <is>
          <t>ÅRE</t>
        </is>
      </c>
      <c r="G139" t="n">
        <v>78.2</v>
      </c>
      <c r="H139" t="n">
        <v>1</v>
      </c>
      <c r="I139" t="n">
        <v>0</v>
      </c>
      <c r="J139" t="n">
        <v>3</v>
      </c>
      <c r="K139" t="n">
        <v>0</v>
      </c>
      <c r="L139" t="n">
        <v>0</v>
      </c>
      <c r="M139" t="n">
        <v>0</v>
      </c>
      <c r="N139" t="n">
        <v>0</v>
      </c>
      <c r="O139" t="n">
        <v>3</v>
      </c>
      <c r="P139" t="n">
        <v>0</v>
      </c>
      <c r="Q139" t="n">
        <v>3</v>
      </c>
      <c r="R139" s="2" t="inlineStr">
        <is>
          <t>Garnlav
Skrovellav
Tretåig hackspett</t>
        </is>
      </c>
      <c r="S139">
        <f>HYPERLINK("https://klasma.github.io/Logging_2321/artfynd/A 6385-2025 artfynd.xlsx", "A 6385-2025")</f>
        <v/>
      </c>
      <c r="T139">
        <f>HYPERLINK("https://klasma.github.io/Logging_2321/kartor/A 6385-2025 karta.png", "A 6385-2025")</f>
        <v/>
      </c>
      <c r="V139">
        <f>HYPERLINK("https://klasma.github.io/Logging_2321/klagomål/A 6385-2025 FSC-klagomål.docx", "A 6385-2025")</f>
        <v/>
      </c>
      <c r="W139">
        <f>HYPERLINK("https://klasma.github.io/Logging_2321/klagomålsmail/A 6385-2025 FSC-klagomål mail.docx", "A 6385-2025")</f>
        <v/>
      </c>
      <c r="X139">
        <f>HYPERLINK("https://klasma.github.io/Logging_2321/tillsyn/A 6385-2025 tillsynsbegäran.docx", "A 6385-2025")</f>
        <v/>
      </c>
      <c r="Y139">
        <f>HYPERLINK("https://klasma.github.io/Logging_2321/tillsynsmail/A 6385-2025 tillsynsbegäran mail.docx", "A 6385-2025")</f>
        <v/>
      </c>
      <c r="Z139">
        <f>HYPERLINK("https://klasma.github.io/Logging_2321/fåglar/A 6385-2025 prioriterade fågelarter.docx", "A 6385-2025")</f>
        <v/>
      </c>
    </row>
    <row r="140" ht="15" customHeight="1">
      <c r="A140" t="inlineStr">
        <is>
          <t>A 35409-2019</t>
        </is>
      </c>
      <c r="B140" s="1" t="n">
        <v>43661</v>
      </c>
      <c r="C140" s="1" t="n">
        <v>45729</v>
      </c>
      <c r="D140" t="inlineStr">
        <is>
          <t>JÄMTLANDS LÄN</t>
        </is>
      </c>
      <c r="E140" t="inlineStr">
        <is>
          <t>ÅRE</t>
        </is>
      </c>
      <c r="G140" t="n">
        <v>2.5</v>
      </c>
      <c r="H140" t="n">
        <v>0</v>
      </c>
      <c r="I140" t="n">
        <v>1</v>
      </c>
      <c r="J140" t="n">
        <v>1</v>
      </c>
      <c r="K140" t="n">
        <v>0</v>
      </c>
      <c r="L140" t="n">
        <v>0</v>
      </c>
      <c r="M140" t="n">
        <v>0</v>
      </c>
      <c r="N140" t="n">
        <v>0</v>
      </c>
      <c r="O140" t="n">
        <v>1</v>
      </c>
      <c r="P140" t="n">
        <v>0</v>
      </c>
      <c r="Q140" t="n">
        <v>2</v>
      </c>
      <c r="R140" s="2" t="inlineStr">
        <is>
          <t>Garnlav
Trådticka</t>
        </is>
      </c>
      <c r="S140">
        <f>HYPERLINK("https://klasma.github.io/Logging_2321/artfynd/A 35409-2019 artfynd.xlsx", "A 35409-2019")</f>
        <v/>
      </c>
      <c r="T140">
        <f>HYPERLINK("https://klasma.github.io/Logging_2321/kartor/A 35409-2019 karta.png", "A 35409-2019")</f>
        <v/>
      </c>
      <c r="V140">
        <f>HYPERLINK("https://klasma.github.io/Logging_2321/klagomål/A 35409-2019 FSC-klagomål.docx", "A 35409-2019")</f>
        <v/>
      </c>
      <c r="W140">
        <f>HYPERLINK("https://klasma.github.io/Logging_2321/klagomålsmail/A 35409-2019 FSC-klagomål mail.docx", "A 35409-2019")</f>
        <v/>
      </c>
      <c r="X140">
        <f>HYPERLINK("https://klasma.github.io/Logging_2321/tillsyn/A 35409-2019 tillsynsbegäran.docx", "A 35409-2019")</f>
        <v/>
      </c>
      <c r="Y140">
        <f>HYPERLINK("https://klasma.github.io/Logging_2321/tillsynsmail/A 35409-2019 tillsynsbegäran mail.docx", "A 35409-2019")</f>
        <v/>
      </c>
    </row>
    <row r="141" ht="15" customHeight="1">
      <c r="A141" t="inlineStr">
        <is>
          <t>A 46012-2019</t>
        </is>
      </c>
      <c r="B141" s="1" t="n">
        <v>43718</v>
      </c>
      <c r="C141" s="1" t="n">
        <v>45729</v>
      </c>
      <c r="D141" t="inlineStr">
        <is>
          <t>JÄMTLANDS LÄN</t>
        </is>
      </c>
      <c r="E141" t="inlineStr">
        <is>
          <t>ÅRE</t>
        </is>
      </c>
      <c r="F141" t="inlineStr">
        <is>
          <t>Kommuner</t>
        </is>
      </c>
      <c r="G141" t="n">
        <v>13.4</v>
      </c>
      <c r="H141" t="n">
        <v>1</v>
      </c>
      <c r="I141" t="n">
        <v>0</v>
      </c>
      <c r="J141" t="n">
        <v>1</v>
      </c>
      <c r="K141" t="n">
        <v>1</v>
      </c>
      <c r="L141" t="n">
        <v>0</v>
      </c>
      <c r="M141" t="n">
        <v>0</v>
      </c>
      <c r="N141" t="n">
        <v>0</v>
      </c>
      <c r="O141" t="n">
        <v>2</v>
      </c>
      <c r="P141" t="n">
        <v>1</v>
      </c>
      <c r="Q141" t="n">
        <v>2</v>
      </c>
      <c r="R141" s="2" t="inlineStr">
        <is>
          <t>Knärot
Ullticka</t>
        </is>
      </c>
      <c r="S141">
        <f>HYPERLINK("https://klasma.github.io/Logging_2321/artfynd/A 46012-2019 artfynd.xlsx", "A 46012-2019")</f>
        <v/>
      </c>
      <c r="T141">
        <f>HYPERLINK("https://klasma.github.io/Logging_2321/kartor/A 46012-2019 karta.png", "A 46012-2019")</f>
        <v/>
      </c>
      <c r="U141">
        <f>HYPERLINK("https://klasma.github.io/Logging_2321/knärot/A 46012-2019 karta knärot.png", "A 46012-2019")</f>
        <v/>
      </c>
      <c r="V141">
        <f>HYPERLINK("https://klasma.github.io/Logging_2321/klagomål/A 46012-2019 FSC-klagomål.docx", "A 46012-2019")</f>
        <v/>
      </c>
      <c r="W141">
        <f>HYPERLINK("https://klasma.github.io/Logging_2321/klagomålsmail/A 46012-2019 FSC-klagomål mail.docx", "A 46012-2019")</f>
        <v/>
      </c>
      <c r="X141">
        <f>HYPERLINK("https://klasma.github.io/Logging_2321/tillsyn/A 46012-2019 tillsynsbegäran.docx", "A 46012-2019")</f>
        <v/>
      </c>
      <c r="Y141">
        <f>HYPERLINK("https://klasma.github.io/Logging_2321/tillsynsmail/A 46012-2019 tillsynsbegäran mail.docx", "A 46012-2019")</f>
        <v/>
      </c>
    </row>
    <row r="142" ht="15" customHeight="1">
      <c r="A142" t="inlineStr">
        <is>
          <t>A 32661-2020</t>
        </is>
      </c>
      <c r="B142" s="1" t="n">
        <v>44018</v>
      </c>
      <c r="C142" s="1" t="n">
        <v>45729</v>
      </c>
      <c r="D142" t="inlineStr">
        <is>
          <t>JÄMTLANDS LÄN</t>
        </is>
      </c>
      <c r="E142" t="inlineStr">
        <is>
          <t>ÅRE</t>
        </is>
      </c>
      <c r="G142" t="n">
        <v>1.8</v>
      </c>
      <c r="H142" t="n">
        <v>0</v>
      </c>
      <c r="I142" t="n">
        <v>1</v>
      </c>
      <c r="J142" t="n">
        <v>1</v>
      </c>
      <c r="K142" t="n">
        <v>0</v>
      </c>
      <c r="L142" t="n">
        <v>0</v>
      </c>
      <c r="M142" t="n">
        <v>0</v>
      </c>
      <c r="N142" t="n">
        <v>0</v>
      </c>
      <c r="O142" t="n">
        <v>1</v>
      </c>
      <c r="P142" t="n">
        <v>0</v>
      </c>
      <c r="Q142" t="n">
        <v>2</v>
      </c>
      <c r="R142" s="2" t="inlineStr">
        <is>
          <t>Garnlav
Luddlav</t>
        </is>
      </c>
      <c r="S142">
        <f>HYPERLINK("https://klasma.github.io/Logging_2321/artfynd/A 32661-2020 artfynd.xlsx", "A 32661-2020")</f>
        <v/>
      </c>
      <c r="T142">
        <f>HYPERLINK("https://klasma.github.io/Logging_2321/kartor/A 32661-2020 karta.png", "A 32661-2020")</f>
        <v/>
      </c>
      <c r="V142">
        <f>HYPERLINK("https://klasma.github.io/Logging_2321/klagomål/A 32661-2020 FSC-klagomål.docx", "A 32661-2020")</f>
        <v/>
      </c>
      <c r="W142">
        <f>HYPERLINK("https://klasma.github.io/Logging_2321/klagomålsmail/A 32661-2020 FSC-klagomål mail.docx", "A 32661-2020")</f>
        <v/>
      </c>
      <c r="X142">
        <f>HYPERLINK("https://klasma.github.io/Logging_2321/tillsyn/A 32661-2020 tillsynsbegäran.docx", "A 32661-2020")</f>
        <v/>
      </c>
      <c r="Y142">
        <f>HYPERLINK("https://klasma.github.io/Logging_2321/tillsynsmail/A 32661-2020 tillsynsbegäran mail.docx", "A 32661-2020")</f>
        <v/>
      </c>
    </row>
    <row r="143" ht="15" customHeight="1">
      <c r="A143" t="inlineStr">
        <is>
          <t>A 35623-2020</t>
        </is>
      </c>
      <c r="B143" s="1" t="n">
        <v>44046</v>
      </c>
      <c r="C143" s="1" t="n">
        <v>45729</v>
      </c>
      <c r="D143" t="inlineStr">
        <is>
          <t>JÄMTLANDS LÄN</t>
        </is>
      </c>
      <c r="E143" t="inlineStr">
        <is>
          <t>ÅRE</t>
        </is>
      </c>
      <c r="G143" t="n">
        <v>15.8</v>
      </c>
      <c r="H143" t="n">
        <v>0</v>
      </c>
      <c r="I143" t="n">
        <v>0</v>
      </c>
      <c r="J143" t="n">
        <v>1</v>
      </c>
      <c r="K143" t="n">
        <v>1</v>
      </c>
      <c r="L143" t="n">
        <v>0</v>
      </c>
      <c r="M143" t="n">
        <v>0</v>
      </c>
      <c r="N143" t="n">
        <v>0</v>
      </c>
      <c r="O143" t="n">
        <v>2</v>
      </c>
      <c r="P143" t="n">
        <v>1</v>
      </c>
      <c r="Q143" t="n">
        <v>2</v>
      </c>
      <c r="R143" s="2" t="inlineStr">
        <is>
          <t>Norsk näverlav
Gammelgransskål</t>
        </is>
      </c>
      <c r="S143">
        <f>HYPERLINK("https://klasma.github.io/Logging_2321/artfynd/A 35623-2020 artfynd.xlsx", "A 35623-2020")</f>
        <v/>
      </c>
      <c r="T143">
        <f>HYPERLINK("https://klasma.github.io/Logging_2321/kartor/A 35623-2020 karta.png", "A 35623-2020")</f>
        <v/>
      </c>
      <c r="V143">
        <f>HYPERLINK("https://klasma.github.io/Logging_2321/klagomål/A 35623-2020 FSC-klagomål.docx", "A 35623-2020")</f>
        <v/>
      </c>
      <c r="W143">
        <f>HYPERLINK("https://klasma.github.io/Logging_2321/klagomålsmail/A 35623-2020 FSC-klagomål mail.docx", "A 35623-2020")</f>
        <v/>
      </c>
      <c r="X143">
        <f>HYPERLINK("https://klasma.github.io/Logging_2321/tillsyn/A 35623-2020 tillsynsbegäran.docx", "A 35623-2020")</f>
        <v/>
      </c>
      <c r="Y143">
        <f>HYPERLINK("https://klasma.github.io/Logging_2321/tillsynsmail/A 35623-2020 tillsynsbegäran mail.docx", "A 35623-2020")</f>
        <v/>
      </c>
    </row>
    <row r="144" ht="15" customHeight="1">
      <c r="A144" t="inlineStr">
        <is>
          <t>A 52778-2020</t>
        </is>
      </c>
      <c r="B144" s="1" t="n">
        <v>44119</v>
      </c>
      <c r="C144" s="1" t="n">
        <v>45729</v>
      </c>
      <c r="D144" t="inlineStr">
        <is>
          <t>JÄMTLANDS LÄN</t>
        </is>
      </c>
      <c r="E144" t="inlineStr">
        <is>
          <t>ÅRE</t>
        </is>
      </c>
      <c r="G144" t="n">
        <v>16.5</v>
      </c>
      <c r="H144" t="n">
        <v>0</v>
      </c>
      <c r="I144" t="n">
        <v>0</v>
      </c>
      <c r="J144" t="n">
        <v>2</v>
      </c>
      <c r="K144" t="n">
        <v>0</v>
      </c>
      <c r="L144" t="n">
        <v>0</v>
      </c>
      <c r="M144" t="n">
        <v>0</v>
      </c>
      <c r="N144" t="n">
        <v>0</v>
      </c>
      <c r="O144" t="n">
        <v>2</v>
      </c>
      <c r="P144" t="n">
        <v>0</v>
      </c>
      <c r="Q144" t="n">
        <v>2</v>
      </c>
      <c r="R144" s="2" t="inlineStr">
        <is>
          <t>Garnlav
Granticka</t>
        </is>
      </c>
      <c r="S144">
        <f>HYPERLINK("https://klasma.github.io/Logging_2321/artfynd/A 52778-2020 artfynd.xlsx", "A 52778-2020")</f>
        <v/>
      </c>
      <c r="T144">
        <f>HYPERLINK("https://klasma.github.io/Logging_2321/kartor/A 52778-2020 karta.png", "A 52778-2020")</f>
        <v/>
      </c>
      <c r="V144">
        <f>HYPERLINK("https://klasma.github.io/Logging_2321/klagomål/A 52778-2020 FSC-klagomål.docx", "A 52778-2020")</f>
        <v/>
      </c>
      <c r="W144">
        <f>HYPERLINK("https://klasma.github.io/Logging_2321/klagomålsmail/A 52778-2020 FSC-klagomål mail.docx", "A 52778-2020")</f>
        <v/>
      </c>
      <c r="X144">
        <f>HYPERLINK("https://klasma.github.io/Logging_2321/tillsyn/A 52778-2020 tillsynsbegäran.docx", "A 52778-2020")</f>
        <v/>
      </c>
      <c r="Y144">
        <f>HYPERLINK("https://klasma.github.io/Logging_2321/tillsynsmail/A 52778-2020 tillsynsbegäran mail.docx", "A 52778-2020")</f>
        <v/>
      </c>
    </row>
    <row r="145" ht="15" customHeight="1">
      <c r="A145" t="inlineStr">
        <is>
          <t>A 5388-2021</t>
        </is>
      </c>
      <c r="B145" s="1" t="n">
        <v>44229</v>
      </c>
      <c r="C145" s="1" t="n">
        <v>45729</v>
      </c>
      <c r="D145" t="inlineStr">
        <is>
          <t>JÄMTLANDS LÄN</t>
        </is>
      </c>
      <c r="E145" t="inlineStr">
        <is>
          <t>ÅRE</t>
        </is>
      </c>
      <c r="G145" t="n">
        <v>6.9</v>
      </c>
      <c r="H145" t="n">
        <v>1</v>
      </c>
      <c r="I145" t="n">
        <v>0</v>
      </c>
      <c r="J145" t="n">
        <v>2</v>
      </c>
      <c r="K145" t="n">
        <v>0</v>
      </c>
      <c r="L145" t="n">
        <v>0</v>
      </c>
      <c r="M145" t="n">
        <v>0</v>
      </c>
      <c r="N145" t="n">
        <v>0</v>
      </c>
      <c r="O145" t="n">
        <v>2</v>
      </c>
      <c r="P145" t="n">
        <v>0</v>
      </c>
      <c r="Q145" t="n">
        <v>2</v>
      </c>
      <c r="R145" s="2" t="inlineStr">
        <is>
          <t>Tretåig hackspett
Ullticka</t>
        </is>
      </c>
      <c r="S145">
        <f>HYPERLINK("https://klasma.github.io/Logging_2321/artfynd/A 5388-2021 artfynd.xlsx", "A 5388-2021")</f>
        <v/>
      </c>
      <c r="T145">
        <f>HYPERLINK("https://klasma.github.io/Logging_2321/kartor/A 5388-2021 karta.png", "A 5388-2021")</f>
        <v/>
      </c>
      <c r="V145">
        <f>HYPERLINK("https://klasma.github.io/Logging_2321/klagomål/A 5388-2021 FSC-klagomål.docx", "A 5388-2021")</f>
        <v/>
      </c>
      <c r="W145">
        <f>HYPERLINK("https://klasma.github.io/Logging_2321/klagomålsmail/A 5388-2021 FSC-klagomål mail.docx", "A 5388-2021")</f>
        <v/>
      </c>
      <c r="X145">
        <f>HYPERLINK("https://klasma.github.io/Logging_2321/tillsyn/A 5388-2021 tillsynsbegäran.docx", "A 5388-2021")</f>
        <v/>
      </c>
      <c r="Y145">
        <f>HYPERLINK("https://klasma.github.io/Logging_2321/tillsynsmail/A 5388-2021 tillsynsbegäran mail.docx", "A 5388-2021")</f>
        <v/>
      </c>
      <c r="Z145">
        <f>HYPERLINK("https://klasma.github.io/Logging_2321/fåglar/A 5388-2021 prioriterade fågelarter.docx", "A 5388-2021")</f>
        <v/>
      </c>
    </row>
    <row r="146" ht="15" customHeight="1">
      <c r="A146" t="inlineStr">
        <is>
          <t>A 18792-2021</t>
        </is>
      </c>
      <c r="B146" s="1" t="n">
        <v>44307</v>
      </c>
      <c r="C146" s="1" t="n">
        <v>45729</v>
      </c>
      <c r="D146" t="inlineStr">
        <is>
          <t>JÄMTLANDS LÄN</t>
        </is>
      </c>
      <c r="E146" t="inlineStr">
        <is>
          <t>ÅRE</t>
        </is>
      </c>
      <c r="G146" t="n">
        <v>16.6</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18792-2021 artfynd.xlsx", "A 18792-2021")</f>
        <v/>
      </c>
      <c r="T146">
        <f>HYPERLINK("https://klasma.github.io/Logging_2321/kartor/A 18792-2021 karta.png", "A 18792-2021")</f>
        <v/>
      </c>
      <c r="V146">
        <f>HYPERLINK("https://klasma.github.io/Logging_2321/klagomål/A 18792-2021 FSC-klagomål.docx", "A 18792-2021")</f>
        <v/>
      </c>
      <c r="W146">
        <f>HYPERLINK("https://klasma.github.io/Logging_2321/klagomålsmail/A 18792-2021 FSC-klagomål mail.docx", "A 18792-2021")</f>
        <v/>
      </c>
      <c r="X146">
        <f>HYPERLINK("https://klasma.github.io/Logging_2321/tillsyn/A 18792-2021 tillsynsbegäran.docx", "A 18792-2021")</f>
        <v/>
      </c>
      <c r="Y146">
        <f>HYPERLINK("https://klasma.github.io/Logging_2321/tillsynsmail/A 18792-2021 tillsynsbegäran mail.docx", "A 18792-2021")</f>
        <v/>
      </c>
      <c r="Z146">
        <f>HYPERLINK("https://klasma.github.io/Logging_2321/fåglar/A 18792-2021 prioriterade fågelarter.docx", "A 18792-2021")</f>
        <v/>
      </c>
    </row>
    <row r="147" ht="15" customHeight="1">
      <c r="A147" t="inlineStr">
        <is>
          <t>A 23566-2021</t>
        </is>
      </c>
      <c r="B147" s="1" t="n">
        <v>44334</v>
      </c>
      <c r="C147" s="1" t="n">
        <v>45729</v>
      </c>
      <c r="D147" t="inlineStr">
        <is>
          <t>JÄMTLANDS LÄN</t>
        </is>
      </c>
      <c r="E147" t="inlineStr">
        <is>
          <t>ÅRE</t>
        </is>
      </c>
      <c r="G147" t="n">
        <v>20</v>
      </c>
      <c r="H147" t="n">
        <v>1</v>
      </c>
      <c r="I147" t="n">
        <v>1</v>
      </c>
      <c r="J147" t="n">
        <v>1</v>
      </c>
      <c r="K147" t="n">
        <v>0</v>
      </c>
      <c r="L147" t="n">
        <v>0</v>
      </c>
      <c r="M147" t="n">
        <v>0</v>
      </c>
      <c r="N147" t="n">
        <v>0</v>
      </c>
      <c r="O147" t="n">
        <v>1</v>
      </c>
      <c r="P147" t="n">
        <v>0</v>
      </c>
      <c r="Q147" t="n">
        <v>2</v>
      </c>
      <c r="R147" s="2" t="inlineStr">
        <is>
          <t>Skrovellav
Spindelblomster</t>
        </is>
      </c>
      <c r="S147">
        <f>HYPERLINK("https://klasma.github.io/Logging_2321/artfynd/A 23566-2021 artfynd.xlsx", "A 23566-2021")</f>
        <v/>
      </c>
      <c r="T147">
        <f>HYPERLINK("https://klasma.github.io/Logging_2321/kartor/A 23566-2021 karta.png", "A 23566-2021")</f>
        <v/>
      </c>
      <c r="V147">
        <f>HYPERLINK("https://klasma.github.io/Logging_2321/klagomål/A 23566-2021 FSC-klagomål.docx", "A 23566-2021")</f>
        <v/>
      </c>
      <c r="W147">
        <f>HYPERLINK("https://klasma.github.io/Logging_2321/klagomålsmail/A 23566-2021 FSC-klagomål mail.docx", "A 23566-2021")</f>
        <v/>
      </c>
      <c r="X147">
        <f>HYPERLINK("https://klasma.github.io/Logging_2321/tillsyn/A 23566-2021 tillsynsbegäran.docx", "A 23566-2021")</f>
        <v/>
      </c>
      <c r="Y147">
        <f>HYPERLINK("https://klasma.github.io/Logging_2321/tillsynsmail/A 23566-2021 tillsynsbegäran mail.docx", "A 23566-2021")</f>
        <v/>
      </c>
    </row>
    <row r="148" ht="15" customHeight="1">
      <c r="A148" t="inlineStr">
        <is>
          <t>A 46984-2021</t>
        </is>
      </c>
      <c r="B148" s="1" t="n">
        <v>44446</v>
      </c>
      <c r="C148" s="1" t="n">
        <v>45729</v>
      </c>
      <c r="D148" t="inlineStr">
        <is>
          <t>JÄMTLANDS LÄN</t>
        </is>
      </c>
      <c r="E148" t="inlineStr">
        <is>
          <t>ÅRE</t>
        </is>
      </c>
      <c r="G148" t="n">
        <v>0.2</v>
      </c>
      <c r="H148" t="n">
        <v>1</v>
      </c>
      <c r="I148" t="n">
        <v>0</v>
      </c>
      <c r="J148" t="n">
        <v>2</v>
      </c>
      <c r="K148" t="n">
        <v>0</v>
      </c>
      <c r="L148" t="n">
        <v>0</v>
      </c>
      <c r="M148" t="n">
        <v>0</v>
      </c>
      <c r="N148" t="n">
        <v>0</v>
      </c>
      <c r="O148" t="n">
        <v>2</v>
      </c>
      <c r="P148" t="n">
        <v>0</v>
      </c>
      <c r="Q148" t="n">
        <v>2</v>
      </c>
      <c r="R148" s="2" t="inlineStr">
        <is>
          <t>Garnlav
Tretåig hackspett</t>
        </is>
      </c>
      <c r="S148">
        <f>HYPERLINK("https://klasma.github.io/Logging_2321/artfynd/A 46984-2021 artfynd.xlsx", "A 46984-2021")</f>
        <v/>
      </c>
      <c r="T148">
        <f>HYPERLINK("https://klasma.github.io/Logging_2321/kartor/A 46984-2021 karta.png", "A 46984-2021")</f>
        <v/>
      </c>
      <c r="V148">
        <f>HYPERLINK("https://klasma.github.io/Logging_2321/klagomål/A 46984-2021 FSC-klagomål.docx", "A 46984-2021")</f>
        <v/>
      </c>
      <c r="W148">
        <f>HYPERLINK("https://klasma.github.io/Logging_2321/klagomålsmail/A 46984-2021 FSC-klagomål mail.docx", "A 46984-2021")</f>
        <v/>
      </c>
      <c r="X148">
        <f>HYPERLINK("https://klasma.github.io/Logging_2321/tillsyn/A 46984-2021 tillsynsbegäran.docx", "A 46984-2021")</f>
        <v/>
      </c>
      <c r="Y148">
        <f>HYPERLINK("https://klasma.github.io/Logging_2321/tillsynsmail/A 46984-2021 tillsynsbegäran mail.docx", "A 46984-2021")</f>
        <v/>
      </c>
      <c r="Z148">
        <f>HYPERLINK("https://klasma.github.io/Logging_2321/fåglar/A 46984-2021 prioriterade fågelarter.docx", "A 46984-2021")</f>
        <v/>
      </c>
    </row>
    <row r="149" ht="15" customHeight="1">
      <c r="A149" t="inlineStr">
        <is>
          <t>A 64663-2021</t>
        </is>
      </c>
      <c r="B149" s="1" t="n">
        <v>44512</v>
      </c>
      <c r="C149" s="1" t="n">
        <v>45729</v>
      </c>
      <c r="D149" t="inlineStr">
        <is>
          <t>JÄMTLANDS LÄN</t>
        </is>
      </c>
      <c r="E149" t="inlineStr">
        <is>
          <t>ÅRE</t>
        </is>
      </c>
      <c r="G149" t="n">
        <v>14.5</v>
      </c>
      <c r="H149" t="n">
        <v>0</v>
      </c>
      <c r="I149" t="n">
        <v>0</v>
      </c>
      <c r="J149" t="n">
        <v>1</v>
      </c>
      <c r="K149" t="n">
        <v>1</v>
      </c>
      <c r="L149" t="n">
        <v>0</v>
      </c>
      <c r="M149" t="n">
        <v>0</v>
      </c>
      <c r="N149" t="n">
        <v>0</v>
      </c>
      <c r="O149" t="n">
        <v>2</v>
      </c>
      <c r="P149" t="n">
        <v>1</v>
      </c>
      <c r="Q149" t="n">
        <v>2</v>
      </c>
      <c r="R149" s="2" t="inlineStr">
        <is>
          <t>Sotbandad spindling
Vitterspindling</t>
        </is>
      </c>
      <c r="S149">
        <f>HYPERLINK("https://klasma.github.io/Logging_2321/artfynd/A 64663-2021 artfynd.xlsx", "A 64663-2021")</f>
        <v/>
      </c>
      <c r="T149">
        <f>HYPERLINK("https://klasma.github.io/Logging_2321/kartor/A 64663-2021 karta.png", "A 64663-2021")</f>
        <v/>
      </c>
      <c r="V149">
        <f>HYPERLINK("https://klasma.github.io/Logging_2321/klagomål/A 64663-2021 FSC-klagomål.docx", "A 64663-2021")</f>
        <v/>
      </c>
      <c r="W149">
        <f>HYPERLINK("https://klasma.github.io/Logging_2321/klagomålsmail/A 64663-2021 FSC-klagomål mail.docx", "A 64663-2021")</f>
        <v/>
      </c>
      <c r="X149">
        <f>HYPERLINK("https://klasma.github.io/Logging_2321/tillsyn/A 64663-2021 tillsynsbegäran.docx", "A 64663-2021")</f>
        <v/>
      </c>
      <c r="Y149">
        <f>HYPERLINK("https://klasma.github.io/Logging_2321/tillsynsmail/A 64663-2021 tillsynsbegäran mail.docx", "A 64663-2021")</f>
        <v/>
      </c>
    </row>
    <row r="150" ht="15" customHeight="1">
      <c r="A150" t="inlineStr">
        <is>
          <t>A 64668-2021</t>
        </is>
      </c>
      <c r="B150" s="1" t="n">
        <v>44512</v>
      </c>
      <c r="C150" s="1" t="n">
        <v>45729</v>
      </c>
      <c r="D150" t="inlineStr">
        <is>
          <t>JÄMTLANDS LÄN</t>
        </is>
      </c>
      <c r="E150" t="inlineStr">
        <is>
          <t>ÅRE</t>
        </is>
      </c>
      <c r="G150" t="n">
        <v>1.9</v>
      </c>
      <c r="H150" t="n">
        <v>1</v>
      </c>
      <c r="I150" t="n">
        <v>0</v>
      </c>
      <c r="J150" t="n">
        <v>2</v>
      </c>
      <c r="K150" t="n">
        <v>0</v>
      </c>
      <c r="L150" t="n">
        <v>0</v>
      </c>
      <c r="M150" t="n">
        <v>0</v>
      </c>
      <c r="N150" t="n">
        <v>0</v>
      </c>
      <c r="O150" t="n">
        <v>2</v>
      </c>
      <c r="P150" t="n">
        <v>0</v>
      </c>
      <c r="Q150" t="n">
        <v>2</v>
      </c>
      <c r="R150" s="2" t="inlineStr">
        <is>
          <t>Granticka
Tretåig hackspett</t>
        </is>
      </c>
      <c r="S150">
        <f>HYPERLINK("https://klasma.github.io/Logging_2321/artfynd/A 64668-2021 artfynd.xlsx", "A 64668-2021")</f>
        <v/>
      </c>
      <c r="T150">
        <f>HYPERLINK("https://klasma.github.io/Logging_2321/kartor/A 64668-2021 karta.png", "A 64668-2021")</f>
        <v/>
      </c>
      <c r="V150">
        <f>HYPERLINK("https://klasma.github.io/Logging_2321/klagomål/A 64668-2021 FSC-klagomål.docx", "A 64668-2021")</f>
        <v/>
      </c>
      <c r="W150">
        <f>HYPERLINK("https://klasma.github.io/Logging_2321/klagomålsmail/A 64668-2021 FSC-klagomål mail.docx", "A 64668-2021")</f>
        <v/>
      </c>
      <c r="X150">
        <f>HYPERLINK("https://klasma.github.io/Logging_2321/tillsyn/A 64668-2021 tillsynsbegäran.docx", "A 64668-2021")</f>
        <v/>
      </c>
      <c r="Y150">
        <f>HYPERLINK("https://klasma.github.io/Logging_2321/tillsynsmail/A 64668-2021 tillsynsbegäran mail.docx", "A 64668-2021")</f>
        <v/>
      </c>
      <c r="Z150">
        <f>HYPERLINK("https://klasma.github.io/Logging_2321/fåglar/A 64668-2021 prioriterade fågelarter.docx", "A 64668-2021")</f>
        <v/>
      </c>
    </row>
    <row r="151" ht="15" customHeight="1">
      <c r="A151" t="inlineStr">
        <is>
          <t>A 5160-2022</t>
        </is>
      </c>
      <c r="B151" s="1" t="n">
        <v>44593</v>
      </c>
      <c r="C151" s="1" t="n">
        <v>45729</v>
      </c>
      <c r="D151" t="inlineStr">
        <is>
          <t>JÄMTLANDS LÄN</t>
        </is>
      </c>
      <c r="E151" t="inlineStr">
        <is>
          <t>ÅRE</t>
        </is>
      </c>
      <c r="G151" t="n">
        <v>11.4</v>
      </c>
      <c r="H151" t="n">
        <v>2</v>
      </c>
      <c r="I151" t="n">
        <v>0</v>
      </c>
      <c r="J151" t="n">
        <v>1</v>
      </c>
      <c r="K151" t="n">
        <v>0</v>
      </c>
      <c r="L151" t="n">
        <v>0</v>
      </c>
      <c r="M151" t="n">
        <v>0</v>
      </c>
      <c r="N151" t="n">
        <v>0</v>
      </c>
      <c r="O151" t="n">
        <v>1</v>
      </c>
      <c r="P151" t="n">
        <v>0</v>
      </c>
      <c r="Q151" t="n">
        <v>2</v>
      </c>
      <c r="R151" s="2" t="inlineStr">
        <is>
          <t>Tretåig hackspett
Vanlig groda</t>
        </is>
      </c>
      <c r="S151">
        <f>HYPERLINK("https://klasma.github.io/Logging_2321/artfynd/A 5160-2022 artfynd.xlsx", "A 5160-2022")</f>
        <v/>
      </c>
      <c r="T151">
        <f>HYPERLINK("https://klasma.github.io/Logging_2321/kartor/A 5160-2022 karta.png", "A 5160-2022")</f>
        <v/>
      </c>
      <c r="V151">
        <f>HYPERLINK("https://klasma.github.io/Logging_2321/klagomål/A 5160-2022 FSC-klagomål.docx", "A 5160-2022")</f>
        <v/>
      </c>
      <c r="W151">
        <f>HYPERLINK("https://klasma.github.io/Logging_2321/klagomålsmail/A 5160-2022 FSC-klagomål mail.docx", "A 5160-2022")</f>
        <v/>
      </c>
      <c r="X151">
        <f>HYPERLINK("https://klasma.github.io/Logging_2321/tillsyn/A 5160-2022 tillsynsbegäran.docx", "A 5160-2022")</f>
        <v/>
      </c>
      <c r="Y151">
        <f>HYPERLINK("https://klasma.github.io/Logging_2321/tillsynsmail/A 5160-2022 tillsynsbegäran mail.docx", "A 5160-2022")</f>
        <v/>
      </c>
      <c r="Z151">
        <f>HYPERLINK("https://klasma.github.io/Logging_2321/fåglar/A 5160-2022 prioriterade fågelarter.docx", "A 5160-2022")</f>
        <v/>
      </c>
    </row>
    <row r="152" ht="15" customHeight="1">
      <c r="A152" t="inlineStr">
        <is>
          <t>A 18851-2022</t>
        </is>
      </c>
      <c r="B152" s="1" t="n">
        <v>44690</v>
      </c>
      <c r="C152" s="1" t="n">
        <v>45729</v>
      </c>
      <c r="D152" t="inlineStr">
        <is>
          <t>JÄMTLANDS LÄN</t>
        </is>
      </c>
      <c r="E152" t="inlineStr">
        <is>
          <t>ÅRE</t>
        </is>
      </c>
      <c r="G152" t="n">
        <v>10.4</v>
      </c>
      <c r="H152" t="n">
        <v>1</v>
      </c>
      <c r="I152" t="n">
        <v>0</v>
      </c>
      <c r="J152" t="n">
        <v>1</v>
      </c>
      <c r="K152" t="n">
        <v>0</v>
      </c>
      <c r="L152" t="n">
        <v>0</v>
      </c>
      <c r="M152" t="n">
        <v>0</v>
      </c>
      <c r="N152" t="n">
        <v>0</v>
      </c>
      <c r="O152" t="n">
        <v>1</v>
      </c>
      <c r="P152" t="n">
        <v>0</v>
      </c>
      <c r="Q152" t="n">
        <v>2</v>
      </c>
      <c r="R152" s="2" t="inlineStr">
        <is>
          <t>Garnlav
Orre</t>
        </is>
      </c>
      <c r="S152">
        <f>HYPERLINK("https://klasma.github.io/Logging_2321/artfynd/A 18851-2022 artfynd.xlsx", "A 18851-2022")</f>
        <v/>
      </c>
      <c r="T152">
        <f>HYPERLINK("https://klasma.github.io/Logging_2321/kartor/A 18851-2022 karta.png", "A 18851-2022")</f>
        <v/>
      </c>
      <c r="V152">
        <f>HYPERLINK("https://klasma.github.io/Logging_2321/klagomål/A 18851-2022 FSC-klagomål.docx", "A 18851-2022")</f>
        <v/>
      </c>
      <c r="W152">
        <f>HYPERLINK("https://klasma.github.io/Logging_2321/klagomålsmail/A 18851-2022 FSC-klagomål mail.docx", "A 18851-2022")</f>
        <v/>
      </c>
      <c r="X152">
        <f>HYPERLINK("https://klasma.github.io/Logging_2321/tillsyn/A 18851-2022 tillsynsbegäran.docx", "A 18851-2022")</f>
        <v/>
      </c>
      <c r="Y152">
        <f>HYPERLINK("https://klasma.github.io/Logging_2321/tillsynsmail/A 18851-2022 tillsynsbegäran mail.docx", "A 18851-2022")</f>
        <v/>
      </c>
      <c r="Z152">
        <f>HYPERLINK("https://klasma.github.io/Logging_2321/fåglar/A 18851-2022 prioriterade fågelarter.docx", "A 18851-2022")</f>
        <v/>
      </c>
    </row>
    <row r="153" ht="15" customHeight="1">
      <c r="A153" t="inlineStr">
        <is>
          <t>A 22231-2022</t>
        </is>
      </c>
      <c r="B153" s="1" t="n">
        <v>44712</v>
      </c>
      <c r="C153" s="1" t="n">
        <v>45729</v>
      </c>
      <c r="D153" t="inlineStr">
        <is>
          <t>JÄMTLANDS LÄN</t>
        </is>
      </c>
      <c r="E153" t="inlineStr">
        <is>
          <t>ÅRE</t>
        </is>
      </c>
      <c r="G153" t="n">
        <v>15</v>
      </c>
      <c r="H153" t="n">
        <v>0</v>
      </c>
      <c r="I153" t="n">
        <v>0</v>
      </c>
      <c r="J153" t="n">
        <v>2</v>
      </c>
      <c r="K153" t="n">
        <v>0</v>
      </c>
      <c r="L153" t="n">
        <v>0</v>
      </c>
      <c r="M153" t="n">
        <v>0</v>
      </c>
      <c r="N153" t="n">
        <v>0</v>
      </c>
      <c r="O153" t="n">
        <v>2</v>
      </c>
      <c r="P153" t="n">
        <v>0</v>
      </c>
      <c r="Q153" t="n">
        <v>2</v>
      </c>
      <c r="R153" s="2" t="inlineStr">
        <is>
          <t>Gammelgransskål
Granticka</t>
        </is>
      </c>
      <c r="S153">
        <f>HYPERLINK("https://klasma.github.io/Logging_2321/artfynd/A 22231-2022 artfynd.xlsx", "A 22231-2022")</f>
        <v/>
      </c>
      <c r="T153">
        <f>HYPERLINK("https://klasma.github.io/Logging_2321/kartor/A 22231-2022 karta.png", "A 22231-2022")</f>
        <v/>
      </c>
      <c r="V153">
        <f>HYPERLINK("https://klasma.github.io/Logging_2321/klagomål/A 22231-2022 FSC-klagomål.docx", "A 22231-2022")</f>
        <v/>
      </c>
      <c r="W153">
        <f>HYPERLINK("https://klasma.github.io/Logging_2321/klagomålsmail/A 22231-2022 FSC-klagomål mail.docx", "A 22231-2022")</f>
        <v/>
      </c>
      <c r="X153">
        <f>HYPERLINK("https://klasma.github.io/Logging_2321/tillsyn/A 22231-2022 tillsynsbegäran.docx", "A 22231-2022")</f>
        <v/>
      </c>
      <c r="Y153">
        <f>HYPERLINK("https://klasma.github.io/Logging_2321/tillsynsmail/A 22231-2022 tillsynsbegäran mail.docx", "A 22231-2022")</f>
        <v/>
      </c>
    </row>
    <row r="154" ht="15" customHeight="1">
      <c r="A154" t="inlineStr">
        <is>
          <t>A 22974-2022</t>
        </is>
      </c>
      <c r="B154" s="1" t="n">
        <v>44716</v>
      </c>
      <c r="C154" s="1" t="n">
        <v>45729</v>
      </c>
      <c r="D154" t="inlineStr">
        <is>
          <t>JÄMTLANDS LÄN</t>
        </is>
      </c>
      <c r="E154" t="inlineStr">
        <is>
          <t>ÅRE</t>
        </is>
      </c>
      <c r="G154" t="n">
        <v>8.300000000000001</v>
      </c>
      <c r="H154" t="n">
        <v>1</v>
      </c>
      <c r="I154" t="n">
        <v>2</v>
      </c>
      <c r="J154" t="n">
        <v>0</v>
      </c>
      <c r="K154" t="n">
        <v>0</v>
      </c>
      <c r="L154" t="n">
        <v>0</v>
      </c>
      <c r="M154" t="n">
        <v>0</v>
      </c>
      <c r="N154" t="n">
        <v>0</v>
      </c>
      <c r="O154" t="n">
        <v>0</v>
      </c>
      <c r="P154" t="n">
        <v>0</v>
      </c>
      <c r="Q154" t="n">
        <v>2</v>
      </c>
      <c r="R154" s="2" t="inlineStr">
        <is>
          <t>Spindelblomster
Ögonpyrola</t>
        </is>
      </c>
      <c r="S154">
        <f>HYPERLINK("https://klasma.github.io/Logging_2321/artfynd/A 22974-2022 artfynd.xlsx", "A 22974-2022")</f>
        <v/>
      </c>
      <c r="T154">
        <f>HYPERLINK("https://klasma.github.io/Logging_2321/kartor/A 22974-2022 karta.png", "A 22974-2022")</f>
        <v/>
      </c>
      <c r="V154">
        <f>HYPERLINK("https://klasma.github.io/Logging_2321/klagomål/A 22974-2022 FSC-klagomål.docx", "A 22974-2022")</f>
        <v/>
      </c>
      <c r="W154">
        <f>HYPERLINK("https://klasma.github.io/Logging_2321/klagomålsmail/A 22974-2022 FSC-klagomål mail.docx", "A 22974-2022")</f>
        <v/>
      </c>
      <c r="X154">
        <f>HYPERLINK("https://klasma.github.io/Logging_2321/tillsyn/A 22974-2022 tillsynsbegäran.docx", "A 22974-2022")</f>
        <v/>
      </c>
      <c r="Y154">
        <f>HYPERLINK("https://klasma.github.io/Logging_2321/tillsynsmail/A 22974-2022 tillsynsbegäran mail.docx", "A 22974-2022")</f>
        <v/>
      </c>
    </row>
    <row r="155" ht="15" customHeight="1">
      <c r="A155" t="inlineStr">
        <is>
          <t>A 32207-2022</t>
        </is>
      </c>
      <c r="B155" s="1" t="n">
        <v>44781</v>
      </c>
      <c r="C155" s="1" t="n">
        <v>45729</v>
      </c>
      <c r="D155" t="inlineStr">
        <is>
          <t>JÄMTLANDS LÄN</t>
        </is>
      </c>
      <c r="E155" t="inlineStr">
        <is>
          <t>ÅRE</t>
        </is>
      </c>
      <c r="G155" t="n">
        <v>5.5</v>
      </c>
      <c r="H155" t="n">
        <v>1</v>
      </c>
      <c r="I155" t="n">
        <v>2</v>
      </c>
      <c r="J155" t="n">
        <v>0</v>
      </c>
      <c r="K155" t="n">
        <v>0</v>
      </c>
      <c r="L155" t="n">
        <v>0</v>
      </c>
      <c r="M155" t="n">
        <v>0</v>
      </c>
      <c r="N155" t="n">
        <v>0</v>
      </c>
      <c r="O155" t="n">
        <v>0</v>
      </c>
      <c r="P155" t="n">
        <v>0</v>
      </c>
      <c r="Q155" t="n">
        <v>2</v>
      </c>
      <c r="R155" s="2" t="inlineStr">
        <is>
          <t>Korallrot
Ögonpyrola</t>
        </is>
      </c>
      <c r="S155">
        <f>HYPERLINK("https://klasma.github.io/Logging_2321/artfynd/A 32207-2022 artfynd.xlsx", "A 32207-2022")</f>
        <v/>
      </c>
      <c r="T155">
        <f>HYPERLINK("https://klasma.github.io/Logging_2321/kartor/A 32207-2022 karta.png", "A 32207-2022")</f>
        <v/>
      </c>
      <c r="V155">
        <f>HYPERLINK("https://klasma.github.io/Logging_2321/klagomål/A 32207-2022 FSC-klagomål.docx", "A 32207-2022")</f>
        <v/>
      </c>
      <c r="W155">
        <f>HYPERLINK("https://klasma.github.io/Logging_2321/klagomålsmail/A 32207-2022 FSC-klagomål mail.docx", "A 32207-2022")</f>
        <v/>
      </c>
      <c r="X155">
        <f>HYPERLINK("https://klasma.github.io/Logging_2321/tillsyn/A 32207-2022 tillsynsbegäran.docx", "A 32207-2022")</f>
        <v/>
      </c>
      <c r="Y155">
        <f>HYPERLINK("https://klasma.github.io/Logging_2321/tillsynsmail/A 32207-2022 tillsynsbegäran mail.docx", "A 32207-2022")</f>
        <v/>
      </c>
    </row>
    <row r="156" ht="15" customHeight="1">
      <c r="A156" t="inlineStr">
        <is>
          <t>A 55739-2022</t>
        </is>
      </c>
      <c r="B156" s="1" t="n">
        <v>44888</v>
      </c>
      <c r="C156" s="1" t="n">
        <v>45729</v>
      </c>
      <c r="D156" t="inlineStr">
        <is>
          <t>JÄMTLANDS LÄN</t>
        </is>
      </c>
      <c r="E156" t="inlineStr">
        <is>
          <t>ÅRE</t>
        </is>
      </c>
      <c r="F156" t="inlineStr">
        <is>
          <t>Övriga Aktiebolag</t>
        </is>
      </c>
      <c r="G156" t="n">
        <v>10.2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HYPERLINK("https://klasma.github.io/Logging_2321/artfynd/A 55739-2022 artfynd.xlsx", "A 55739-2022")</f>
        <v/>
      </c>
      <c r="T156">
        <f>HYPERLINK("https://klasma.github.io/Logging_2321/kartor/A 55739-2022 karta.png", "A 55739-2022")</f>
        <v/>
      </c>
      <c r="V156">
        <f>HYPERLINK("https://klasma.github.io/Logging_2321/klagomål/A 55739-2022 FSC-klagomål.docx", "A 55739-2022")</f>
        <v/>
      </c>
      <c r="W156">
        <f>HYPERLINK("https://klasma.github.io/Logging_2321/klagomålsmail/A 55739-2022 FSC-klagomål mail.docx", "A 55739-2022")</f>
        <v/>
      </c>
      <c r="X156">
        <f>HYPERLINK("https://klasma.github.io/Logging_2321/tillsyn/A 55739-2022 tillsynsbegäran.docx", "A 55739-2022")</f>
        <v/>
      </c>
      <c r="Y156">
        <f>HYPERLINK("https://klasma.github.io/Logging_2321/tillsynsmail/A 55739-2022 tillsynsbegäran mail.docx", "A 55739-2022")</f>
        <v/>
      </c>
      <c r="Z156">
        <f>HYPERLINK("https://klasma.github.io/Logging_2321/fåglar/A 55739-2022 prioriterade fågelarter.docx", "A 55739-2022")</f>
        <v/>
      </c>
    </row>
    <row r="157" ht="15" customHeight="1">
      <c r="A157" t="inlineStr">
        <is>
          <t>A 56472-2022</t>
        </is>
      </c>
      <c r="B157" s="1" t="n">
        <v>44893</v>
      </c>
      <c r="C157" s="1" t="n">
        <v>45729</v>
      </c>
      <c r="D157" t="inlineStr">
        <is>
          <t>JÄMTLANDS LÄN</t>
        </is>
      </c>
      <c r="E157" t="inlineStr">
        <is>
          <t>ÅRE</t>
        </is>
      </c>
      <c r="F157" t="inlineStr">
        <is>
          <t>Övriga Aktiebolag</t>
        </is>
      </c>
      <c r="G157" t="n">
        <v>22</v>
      </c>
      <c r="H157" t="n">
        <v>1</v>
      </c>
      <c r="I157" t="n">
        <v>0</v>
      </c>
      <c r="J157" t="n">
        <v>2</v>
      </c>
      <c r="K157" t="n">
        <v>0</v>
      </c>
      <c r="L157" t="n">
        <v>0</v>
      </c>
      <c r="M157" t="n">
        <v>0</v>
      </c>
      <c r="N157" t="n">
        <v>0</v>
      </c>
      <c r="O157" t="n">
        <v>2</v>
      </c>
      <c r="P157" t="n">
        <v>0</v>
      </c>
      <c r="Q157" t="n">
        <v>2</v>
      </c>
      <c r="R157" s="2" t="inlineStr">
        <is>
          <t>Garnlav
Tretåig hackspett</t>
        </is>
      </c>
      <c r="S157">
        <f>HYPERLINK("https://klasma.github.io/Logging_2321/artfynd/A 56472-2022 artfynd.xlsx", "A 56472-2022")</f>
        <v/>
      </c>
      <c r="T157">
        <f>HYPERLINK("https://klasma.github.io/Logging_2321/kartor/A 56472-2022 karta.png", "A 56472-2022")</f>
        <v/>
      </c>
      <c r="V157">
        <f>HYPERLINK("https://klasma.github.io/Logging_2321/klagomål/A 56472-2022 FSC-klagomål.docx", "A 56472-2022")</f>
        <v/>
      </c>
      <c r="W157">
        <f>HYPERLINK("https://klasma.github.io/Logging_2321/klagomålsmail/A 56472-2022 FSC-klagomål mail.docx", "A 56472-2022")</f>
        <v/>
      </c>
      <c r="X157">
        <f>HYPERLINK("https://klasma.github.io/Logging_2321/tillsyn/A 56472-2022 tillsynsbegäran.docx", "A 56472-2022")</f>
        <v/>
      </c>
      <c r="Y157">
        <f>HYPERLINK("https://klasma.github.io/Logging_2321/tillsynsmail/A 56472-2022 tillsynsbegäran mail.docx", "A 56472-2022")</f>
        <v/>
      </c>
      <c r="Z157">
        <f>HYPERLINK("https://klasma.github.io/Logging_2321/fåglar/A 56472-2022 prioriterade fågelarter.docx", "A 56472-2022")</f>
        <v/>
      </c>
    </row>
    <row r="158" ht="15" customHeight="1">
      <c r="A158" t="inlineStr">
        <is>
          <t>A 60533-2022</t>
        </is>
      </c>
      <c r="B158" s="1" t="n">
        <v>44904</v>
      </c>
      <c r="C158" s="1" t="n">
        <v>45729</v>
      </c>
      <c r="D158" t="inlineStr">
        <is>
          <t>JÄMTLANDS LÄN</t>
        </is>
      </c>
      <c r="E158" t="inlineStr">
        <is>
          <t>ÅRE</t>
        </is>
      </c>
      <c r="G158" t="n">
        <v>3.6</v>
      </c>
      <c r="H158" t="n">
        <v>2</v>
      </c>
      <c r="I158" t="n">
        <v>0</v>
      </c>
      <c r="J158" t="n">
        <v>2</v>
      </c>
      <c r="K158" t="n">
        <v>0</v>
      </c>
      <c r="L158" t="n">
        <v>0</v>
      </c>
      <c r="M158" t="n">
        <v>0</v>
      </c>
      <c r="N158" t="n">
        <v>0</v>
      </c>
      <c r="O158" t="n">
        <v>2</v>
      </c>
      <c r="P158" t="n">
        <v>0</v>
      </c>
      <c r="Q158" t="n">
        <v>2</v>
      </c>
      <c r="R158" s="2" t="inlineStr">
        <is>
          <t>Talltita
Tretåig hackspett</t>
        </is>
      </c>
      <c r="S158">
        <f>HYPERLINK("https://klasma.github.io/Logging_2321/artfynd/A 60533-2022 artfynd.xlsx", "A 60533-2022")</f>
        <v/>
      </c>
      <c r="T158">
        <f>HYPERLINK("https://klasma.github.io/Logging_2321/kartor/A 60533-2022 karta.png", "A 60533-2022")</f>
        <v/>
      </c>
      <c r="V158">
        <f>HYPERLINK("https://klasma.github.io/Logging_2321/klagomål/A 60533-2022 FSC-klagomål.docx", "A 60533-2022")</f>
        <v/>
      </c>
      <c r="W158">
        <f>HYPERLINK("https://klasma.github.io/Logging_2321/klagomålsmail/A 60533-2022 FSC-klagomål mail.docx", "A 60533-2022")</f>
        <v/>
      </c>
      <c r="X158">
        <f>HYPERLINK("https://klasma.github.io/Logging_2321/tillsyn/A 60533-2022 tillsynsbegäran.docx", "A 60533-2022")</f>
        <v/>
      </c>
      <c r="Y158">
        <f>HYPERLINK("https://klasma.github.io/Logging_2321/tillsynsmail/A 60533-2022 tillsynsbegäran mail.docx", "A 60533-2022")</f>
        <v/>
      </c>
      <c r="Z158">
        <f>HYPERLINK("https://klasma.github.io/Logging_2321/fåglar/A 60533-2022 prioriterade fågelarter.docx", "A 60533-2022")</f>
        <v/>
      </c>
    </row>
    <row r="159" ht="15" customHeight="1">
      <c r="A159" t="inlineStr">
        <is>
          <t>A 3152-2023</t>
        </is>
      </c>
      <c r="B159" s="1" t="n">
        <v>44946</v>
      </c>
      <c r="C159" s="1" t="n">
        <v>45729</v>
      </c>
      <c r="D159" t="inlineStr">
        <is>
          <t>JÄMTLANDS LÄN</t>
        </is>
      </c>
      <c r="E159" t="inlineStr">
        <is>
          <t>ÅRE</t>
        </is>
      </c>
      <c r="G159" t="n">
        <v>1.9</v>
      </c>
      <c r="H159" t="n">
        <v>1</v>
      </c>
      <c r="I159" t="n">
        <v>0</v>
      </c>
      <c r="J159" t="n">
        <v>2</v>
      </c>
      <c r="K159" t="n">
        <v>0</v>
      </c>
      <c r="L159" t="n">
        <v>0</v>
      </c>
      <c r="M159" t="n">
        <v>0</v>
      </c>
      <c r="N159" t="n">
        <v>0</v>
      </c>
      <c r="O159" t="n">
        <v>2</v>
      </c>
      <c r="P159" t="n">
        <v>0</v>
      </c>
      <c r="Q159" t="n">
        <v>2</v>
      </c>
      <c r="R159" s="2" t="inlineStr">
        <is>
          <t>Lunglav
Tretåig hackspett</t>
        </is>
      </c>
      <c r="S159">
        <f>HYPERLINK("https://klasma.github.io/Logging_2321/artfynd/A 3152-2023 artfynd.xlsx", "A 3152-2023")</f>
        <v/>
      </c>
      <c r="T159">
        <f>HYPERLINK("https://klasma.github.io/Logging_2321/kartor/A 3152-2023 karta.png", "A 3152-2023")</f>
        <v/>
      </c>
      <c r="V159">
        <f>HYPERLINK("https://klasma.github.io/Logging_2321/klagomål/A 3152-2023 FSC-klagomål.docx", "A 3152-2023")</f>
        <v/>
      </c>
      <c r="W159">
        <f>HYPERLINK("https://klasma.github.io/Logging_2321/klagomålsmail/A 3152-2023 FSC-klagomål mail.docx", "A 3152-2023")</f>
        <v/>
      </c>
      <c r="X159">
        <f>HYPERLINK("https://klasma.github.io/Logging_2321/tillsyn/A 3152-2023 tillsynsbegäran.docx", "A 3152-2023")</f>
        <v/>
      </c>
      <c r="Y159">
        <f>HYPERLINK("https://klasma.github.io/Logging_2321/tillsynsmail/A 3152-2023 tillsynsbegäran mail.docx", "A 3152-2023")</f>
        <v/>
      </c>
      <c r="Z159">
        <f>HYPERLINK("https://klasma.github.io/Logging_2321/fåglar/A 3152-2023 prioriterade fågelarter.docx", "A 3152-2023")</f>
        <v/>
      </c>
    </row>
    <row r="160" ht="15" customHeight="1">
      <c r="A160" t="inlineStr">
        <is>
          <t>A 5531-2023</t>
        </is>
      </c>
      <c r="B160" s="1" t="n">
        <v>44957</v>
      </c>
      <c r="C160" s="1" t="n">
        <v>45729</v>
      </c>
      <c r="D160" t="inlineStr">
        <is>
          <t>JÄMTLANDS LÄN</t>
        </is>
      </c>
      <c r="E160" t="inlineStr">
        <is>
          <t>ÅRE</t>
        </is>
      </c>
      <c r="G160" t="n">
        <v>3.8</v>
      </c>
      <c r="H160" t="n">
        <v>1</v>
      </c>
      <c r="I160" t="n">
        <v>0</v>
      </c>
      <c r="J160" t="n">
        <v>2</v>
      </c>
      <c r="K160" t="n">
        <v>0</v>
      </c>
      <c r="L160" t="n">
        <v>0</v>
      </c>
      <c r="M160" t="n">
        <v>0</v>
      </c>
      <c r="N160" t="n">
        <v>0</v>
      </c>
      <c r="O160" t="n">
        <v>2</v>
      </c>
      <c r="P160" t="n">
        <v>0</v>
      </c>
      <c r="Q160" t="n">
        <v>2</v>
      </c>
      <c r="R160" s="2" t="inlineStr">
        <is>
          <t>Granticka
Tretåig hackspett</t>
        </is>
      </c>
      <c r="S160">
        <f>HYPERLINK("https://klasma.github.io/Logging_2321/artfynd/A 5531-2023 artfynd.xlsx", "A 5531-2023")</f>
        <v/>
      </c>
      <c r="T160">
        <f>HYPERLINK("https://klasma.github.io/Logging_2321/kartor/A 5531-2023 karta.png", "A 5531-2023")</f>
        <v/>
      </c>
      <c r="V160">
        <f>HYPERLINK("https://klasma.github.io/Logging_2321/klagomål/A 5531-2023 FSC-klagomål.docx", "A 5531-2023")</f>
        <v/>
      </c>
      <c r="W160">
        <f>HYPERLINK("https://klasma.github.io/Logging_2321/klagomålsmail/A 5531-2023 FSC-klagomål mail.docx", "A 5531-2023")</f>
        <v/>
      </c>
      <c r="X160">
        <f>HYPERLINK("https://klasma.github.io/Logging_2321/tillsyn/A 5531-2023 tillsynsbegäran.docx", "A 5531-2023")</f>
        <v/>
      </c>
      <c r="Y160">
        <f>HYPERLINK("https://klasma.github.io/Logging_2321/tillsynsmail/A 5531-2023 tillsynsbegäran mail.docx", "A 5531-2023")</f>
        <v/>
      </c>
      <c r="Z160">
        <f>HYPERLINK("https://klasma.github.io/Logging_2321/fåglar/A 5531-2023 prioriterade fågelarter.docx", "A 5531-2023")</f>
        <v/>
      </c>
    </row>
    <row r="161" ht="15" customHeight="1">
      <c r="A161" t="inlineStr">
        <is>
          <t>A 5418-2023</t>
        </is>
      </c>
      <c r="B161" s="1" t="n">
        <v>44957</v>
      </c>
      <c r="C161" s="1" t="n">
        <v>45729</v>
      </c>
      <c r="D161" t="inlineStr">
        <is>
          <t>JÄMTLANDS LÄN</t>
        </is>
      </c>
      <c r="E161" t="inlineStr">
        <is>
          <t>ÅRE</t>
        </is>
      </c>
      <c r="G161" t="n">
        <v>5</v>
      </c>
      <c r="H161" t="n">
        <v>1</v>
      </c>
      <c r="I161" t="n">
        <v>0</v>
      </c>
      <c r="J161" t="n">
        <v>2</v>
      </c>
      <c r="K161" t="n">
        <v>0</v>
      </c>
      <c r="L161" t="n">
        <v>0</v>
      </c>
      <c r="M161" t="n">
        <v>0</v>
      </c>
      <c r="N161" t="n">
        <v>0</v>
      </c>
      <c r="O161" t="n">
        <v>2</v>
      </c>
      <c r="P161" t="n">
        <v>0</v>
      </c>
      <c r="Q161" t="n">
        <v>2</v>
      </c>
      <c r="R161" s="2" t="inlineStr">
        <is>
          <t>Garnlav
Tretåig hackspett</t>
        </is>
      </c>
      <c r="S161">
        <f>HYPERLINK("https://klasma.github.io/Logging_2321/artfynd/A 5418-2023 artfynd.xlsx", "A 5418-2023")</f>
        <v/>
      </c>
      <c r="T161">
        <f>HYPERLINK("https://klasma.github.io/Logging_2321/kartor/A 5418-2023 karta.png", "A 5418-2023")</f>
        <v/>
      </c>
      <c r="V161">
        <f>HYPERLINK("https://klasma.github.io/Logging_2321/klagomål/A 5418-2023 FSC-klagomål.docx", "A 5418-2023")</f>
        <v/>
      </c>
      <c r="W161">
        <f>HYPERLINK("https://klasma.github.io/Logging_2321/klagomålsmail/A 5418-2023 FSC-klagomål mail.docx", "A 5418-2023")</f>
        <v/>
      </c>
      <c r="X161">
        <f>HYPERLINK("https://klasma.github.io/Logging_2321/tillsyn/A 5418-2023 tillsynsbegäran.docx", "A 5418-2023")</f>
        <v/>
      </c>
      <c r="Y161">
        <f>HYPERLINK("https://klasma.github.io/Logging_2321/tillsynsmail/A 5418-2023 tillsynsbegäran mail.docx", "A 5418-2023")</f>
        <v/>
      </c>
      <c r="Z161">
        <f>HYPERLINK("https://klasma.github.io/Logging_2321/fåglar/A 5418-2023 prioriterade fågelarter.docx", "A 5418-2023")</f>
        <v/>
      </c>
    </row>
    <row r="162" ht="15" customHeight="1">
      <c r="A162" t="inlineStr">
        <is>
          <t>A 6107-2023</t>
        </is>
      </c>
      <c r="B162" s="1" t="n">
        <v>44964</v>
      </c>
      <c r="C162" s="1" t="n">
        <v>45729</v>
      </c>
      <c r="D162" t="inlineStr">
        <is>
          <t>JÄMTLANDS LÄN</t>
        </is>
      </c>
      <c r="E162" t="inlineStr">
        <is>
          <t>ÅRE</t>
        </is>
      </c>
      <c r="G162" t="n">
        <v>1.9</v>
      </c>
      <c r="H162" t="n">
        <v>0</v>
      </c>
      <c r="I162" t="n">
        <v>1</v>
      </c>
      <c r="J162" t="n">
        <v>1</v>
      </c>
      <c r="K162" t="n">
        <v>0</v>
      </c>
      <c r="L162" t="n">
        <v>0</v>
      </c>
      <c r="M162" t="n">
        <v>0</v>
      </c>
      <c r="N162" t="n">
        <v>0</v>
      </c>
      <c r="O162" t="n">
        <v>1</v>
      </c>
      <c r="P162" t="n">
        <v>0</v>
      </c>
      <c r="Q162" t="n">
        <v>2</v>
      </c>
      <c r="R162" s="2" t="inlineStr">
        <is>
          <t>Skrovellav
Stuplav</t>
        </is>
      </c>
      <c r="S162">
        <f>HYPERLINK("https://klasma.github.io/Logging_2321/artfynd/A 6107-2023 artfynd.xlsx", "A 6107-2023")</f>
        <v/>
      </c>
      <c r="T162">
        <f>HYPERLINK("https://klasma.github.io/Logging_2321/kartor/A 6107-2023 karta.png", "A 6107-2023")</f>
        <v/>
      </c>
      <c r="V162">
        <f>HYPERLINK("https://klasma.github.io/Logging_2321/klagomål/A 6107-2023 FSC-klagomål.docx", "A 6107-2023")</f>
        <v/>
      </c>
      <c r="W162">
        <f>HYPERLINK("https://klasma.github.io/Logging_2321/klagomålsmail/A 6107-2023 FSC-klagomål mail.docx", "A 6107-2023")</f>
        <v/>
      </c>
      <c r="X162">
        <f>HYPERLINK("https://klasma.github.io/Logging_2321/tillsyn/A 6107-2023 tillsynsbegäran.docx", "A 6107-2023")</f>
        <v/>
      </c>
      <c r="Y162">
        <f>HYPERLINK("https://klasma.github.io/Logging_2321/tillsynsmail/A 6107-2023 tillsynsbegäran mail.docx", "A 6107-2023")</f>
        <v/>
      </c>
    </row>
    <row r="163" ht="15" customHeight="1">
      <c r="A163" t="inlineStr">
        <is>
          <t>A 6108-2023</t>
        </is>
      </c>
      <c r="B163" s="1" t="n">
        <v>44964</v>
      </c>
      <c r="C163" s="1" t="n">
        <v>45729</v>
      </c>
      <c r="D163" t="inlineStr">
        <is>
          <t>JÄMTLANDS LÄN</t>
        </is>
      </c>
      <c r="E163" t="inlineStr">
        <is>
          <t>ÅRE</t>
        </is>
      </c>
      <c r="G163" t="n">
        <v>15.4</v>
      </c>
      <c r="H163" t="n">
        <v>1</v>
      </c>
      <c r="I163" t="n">
        <v>0</v>
      </c>
      <c r="J163" t="n">
        <v>2</v>
      </c>
      <c r="K163" t="n">
        <v>0</v>
      </c>
      <c r="L163" t="n">
        <v>0</v>
      </c>
      <c r="M163" t="n">
        <v>0</v>
      </c>
      <c r="N163" t="n">
        <v>0</v>
      </c>
      <c r="O163" t="n">
        <v>2</v>
      </c>
      <c r="P163" t="n">
        <v>0</v>
      </c>
      <c r="Q163" t="n">
        <v>2</v>
      </c>
      <c r="R163" s="2" t="inlineStr">
        <is>
          <t>Skrovellav
Tretåig hackspett</t>
        </is>
      </c>
      <c r="S163">
        <f>HYPERLINK("https://klasma.github.io/Logging_2321/artfynd/A 6108-2023 artfynd.xlsx", "A 6108-2023")</f>
        <v/>
      </c>
      <c r="T163">
        <f>HYPERLINK("https://klasma.github.io/Logging_2321/kartor/A 6108-2023 karta.png", "A 6108-2023")</f>
        <v/>
      </c>
      <c r="V163">
        <f>HYPERLINK("https://klasma.github.io/Logging_2321/klagomål/A 6108-2023 FSC-klagomål.docx", "A 6108-2023")</f>
        <v/>
      </c>
      <c r="W163">
        <f>HYPERLINK("https://klasma.github.io/Logging_2321/klagomålsmail/A 6108-2023 FSC-klagomål mail.docx", "A 6108-2023")</f>
        <v/>
      </c>
      <c r="X163">
        <f>HYPERLINK("https://klasma.github.io/Logging_2321/tillsyn/A 6108-2023 tillsynsbegäran.docx", "A 6108-2023")</f>
        <v/>
      </c>
      <c r="Y163">
        <f>HYPERLINK("https://klasma.github.io/Logging_2321/tillsynsmail/A 6108-2023 tillsynsbegäran mail.docx", "A 6108-2023")</f>
        <v/>
      </c>
      <c r="Z163">
        <f>HYPERLINK("https://klasma.github.io/Logging_2321/fåglar/A 6108-2023 prioriterade fågelarter.docx", "A 6108-2023")</f>
        <v/>
      </c>
    </row>
    <row r="164" ht="15" customHeight="1">
      <c r="A164" t="inlineStr">
        <is>
          <t>A 7401-2023</t>
        </is>
      </c>
      <c r="B164" s="1" t="n">
        <v>44966</v>
      </c>
      <c r="C164" s="1" t="n">
        <v>45729</v>
      </c>
      <c r="D164" t="inlineStr">
        <is>
          <t>JÄMTLANDS LÄN</t>
        </is>
      </c>
      <c r="E164" t="inlineStr">
        <is>
          <t>ÅRE</t>
        </is>
      </c>
      <c r="G164" t="n">
        <v>3.5</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7401-2023 artfynd.xlsx", "A 7401-2023")</f>
        <v/>
      </c>
      <c r="T164">
        <f>HYPERLINK("https://klasma.github.io/Logging_2321/kartor/A 7401-2023 karta.png", "A 7401-2023")</f>
        <v/>
      </c>
      <c r="V164">
        <f>HYPERLINK("https://klasma.github.io/Logging_2321/klagomål/A 7401-2023 FSC-klagomål.docx", "A 7401-2023")</f>
        <v/>
      </c>
      <c r="W164">
        <f>HYPERLINK("https://klasma.github.io/Logging_2321/klagomålsmail/A 7401-2023 FSC-klagomål mail.docx", "A 7401-2023")</f>
        <v/>
      </c>
      <c r="X164">
        <f>HYPERLINK("https://klasma.github.io/Logging_2321/tillsyn/A 7401-2023 tillsynsbegäran.docx", "A 7401-2023")</f>
        <v/>
      </c>
      <c r="Y164">
        <f>HYPERLINK("https://klasma.github.io/Logging_2321/tillsynsmail/A 7401-2023 tillsynsbegäran mail.docx", "A 7401-2023")</f>
        <v/>
      </c>
    </row>
    <row r="165" ht="15" customHeight="1">
      <c r="A165" t="inlineStr">
        <is>
          <t>A 19699-2023</t>
        </is>
      </c>
      <c r="B165" s="1" t="n">
        <v>45051</v>
      </c>
      <c r="C165" s="1" t="n">
        <v>45729</v>
      </c>
      <c r="D165" t="inlineStr">
        <is>
          <t>JÄMTLANDS LÄN</t>
        </is>
      </c>
      <c r="E165" t="inlineStr">
        <is>
          <t>ÅRE</t>
        </is>
      </c>
      <c r="G165" t="n">
        <v>0.7</v>
      </c>
      <c r="H165" t="n">
        <v>2</v>
      </c>
      <c r="I165" t="n">
        <v>1</v>
      </c>
      <c r="J165" t="n">
        <v>0</v>
      </c>
      <c r="K165" t="n">
        <v>0</v>
      </c>
      <c r="L165" t="n">
        <v>0</v>
      </c>
      <c r="M165" t="n">
        <v>0</v>
      </c>
      <c r="N165" t="n">
        <v>0</v>
      </c>
      <c r="O165" t="n">
        <v>0</v>
      </c>
      <c r="P165" t="n">
        <v>0</v>
      </c>
      <c r="Q165" t="n">
        <v>2</v>
      </c>
      <c r="R165" s="2" t="inlineStr">
        <is>
          <t>Tvåblad
Revlummer</t>
        </is>
      </c>
      <c r="S165">
        <f>HYPERLINK("https://klasma.github.io/Logging_2321/artfynd/A 19699-2023 artfynd.xlsx", "A 19699-2023")</f>
        <v/>
      </c>
      <c r="T165">
        <f>HYPERLINK("https://klasma.github.io/Logging_2321/kartor/A 19699-2023 karta.png", "A 19699-2023")</f>
        <v/>
      </c>
      <c r="V165">
        <f>HYPERLINK("https://klasma.github.io/Logging_2321/klagomål/A 19699-2023 FSC-klagomål.docx", "A 19699-2023")</f>
        <v/>
      </c>
      <c r="W165">
        <f>HYPERLINK("https://klasma.github.io/Logging_2321/klagomålsmail/A 19699-2023 FSC-klagomål mail.docx", "A 19699-2023")</f>
        <v/>
      </c>
      <c r="X165">
        <f>HYPERLINK("https://klasma.github.io/Logging_2321/tillsyn/A 19699-2023 tillsynsbegäran.docx", "A 19699-2023")</f>
        <v/>
      </c>
      <c r="Y165">
        <f>HYPERLINK("https://klasma.github.io/Logging_2321/tillsynsmail/A 19699-2023 tillsynsbegäran mail.docx", "A 19699-2023")</f>
        <v/>
      </c>
    </row>
    <row r="166" ht="15" customHeight="1">
      <c r="A166" t="inlineStr">
        <is>
          <t>A 23706-2023</t>
        </is>
      </c>
      <c r="B166" s="1" t="n">
        <v>45072</v>
      </c>
      <c r="C166" s="1" t="n">
        <v>45729</v>
      </c>
      <c r="D166" t="inlineStr">
        <is>
          <t>JÄMTLANDS LÄN</t>
        </is>
      </c>
      <c r="E166" t="inlineStr">
        <is>
          <t>ÅRE</t>
        </is>
      </c>
      <c r="G166" t="n">
        <v>8.1</v>
      </c>
      <c r="H166" t="n">
        <v>1</v>
      </c>
      <c r="I166" t="n">
        <v>0</v>
      </c>
      <c r="J166" t="n">
        <v>2</v>
      </c>
      <c r="K166" t="n">
        <v>0</v>
      </c>
      <c r="L166" t="n">
        <v>0</v>
      </c>
      <c r="M166" t="n">
        <v>0</v>
      </c>
      <c r="N166" t="n">
        <v>0</v>
      </c>
      <c r="O166" t="n">
        <v>2</v>
      </c>
      <c r="P166" t="n">
        <v>0</v>
      </c>
      <c r="Q166" t="n">
        <v>2</v>
      </c>
      <c r="R166" s="2" t="inlineStr">
        <is>
          <t>Granticka
Tretåig hackspett</t>
        </is>
      </c>
      <c r="S166">
        <f>HYPERLINK("https://klasma.github.io/Logging_2321/artfynd/A 23706-2023 artfynd.xlsx", "A 23706-2023")</f>
        <v/>
      </c>
      <c r="T166">
        <f>HYPERLINK("https://klasma.github.io/Logging_2321/kartor/A 23706-2023 karta.png", "A 23706-2023")</f>
        <v/>
      </c>
      <c r="V166">
        <f>HYPERLINK("https://klasma.github.io/Logging_2321/klagomål/A 23706-2023 FSC-klagomål.docx", "A 23706-2023")</f>
        <v/>
      </c>
      <c r="W166">
        <f>HYPERLINK("https://klasma.github.io/Logging_2321/klagomålsmail/A 23706-2023 FSC-klagomål mail.docx", "A 23706-2023")</f>
        <v/>
      </c>
      <c r="X166">
        <f>HYPERLINK("https://klasma.github.io/Logging_2321/tillsyn/A 23706-2023 tillsynsbegäran.docx", "A 23706-2023")</f>
        <v/>
      </c>
      <c r="Y166">
        <f>HYPERLINK("https://klasma.github.io/Logging_2321/tillsynsmail/A 23706-2023 tillsynsbegäran mail.docx", "A 23706-2023")</f>
        <v/>
      </c>
      <c r="Z166">
        <f>HYPERLINK("https://klasma.github.io/Logging_2321/fåglar/A 23706-2023 prioriterade fågelarter.docx", "A 23706-2023")</f>
        <v/>
      </c>
    </row>
    <row r="167" ht="15" customHeight="1">
      <c r="A167" t="inlineStr">
        <is>
          <t>A 26098-2023</t>
        </is>
      </c>
      <c r="B167" s="1" t="n">
        <v>45091</v>
      </c>
      <c r="C167" s="1" t="n">
        <v>45729</v>
      </c>
      <c r="D167" t="inlineStr">
        <is>
          <t>JÄMTLANDS LÄN</t>
        </is>
      </c>
      <c r="E167" t="inlineStr">
        <is>
          <t>ÅRE</t>
        </is>
      </c>
      <c r="G167" t="n">
        <v>15.7</v>
      </c>
      <c r="H167" t="n">
        <v>0</v>
      </c>
      <c r="I167" t="n">
        <v>0</v>
      </c>
      <c r="J167" t="n">
        <v>2</v>
      </c>
      <c r="K167" t="n">
        <v>0</v>
      </c>
      <c r="L167" t="n">
        <v>0</v>
      </c>
      <c r="M167" t="n">
        <v>0</v>
      </c>
      <c r="N167" t="n">
        <v>0</v>
      </c>
      <c r="O167" t="n">
        <v>2</v>
      </c>
      <c r="P167" t="n">
        <v>0</v>
      </c>
      <c r="Q167" t="n">
        <v>2</v>
      </c>
      <c r="R167" s="2" t="inlineStr">
        <is>
          <t>Lunglav
Skrovellav</t>
        </is>
      </c>
      <c r="S167">
        <f>HYPERLINK("https://klasma.github.io/Logging_2321/artfynd/A 26098-2023 artfynd.xlsx", "A 26098-2023")</f>
        <v/>
      </c>
      <c r="T167">
        <f>HYPERLINK("https://klasma.github.io/Logging_2321/kartor/A 26098-2023 karta.png", "A 26098-2023")</f>
        <v/>
      </c>
      <c r="V167">
        <f>HYPERLINK("https://klasma.github.io/Logging_2321/klagomål/A 26098-2023 FSC-klagomål.docx", "A 26098-2023")</f>
        <v/>
      </c>
      <c r="W167">
        <f>HYPERLINK("https://klasma.github.io/Logging_2321/klagomålsmail/A 26098-2023 FSC-klagomål mail.docx", "A 26098-2023")</f>
        <v/>
      </c>
      <c r="X167">
        <f>HYPERLINK("https://klasma.github.io/Logging_2321/tillsyn/A 26098-2023 tillsynsbegäran.docx", "A 26098-2023")</f>
        <v/>
      </c>
      <c r="Y167">
        <f>HYPERLINK("https://klasma.github.io/Logging_2321/tillsynsmail/A 26098-2023 tillsynsbegäran mail.docx", "A 26098-2023")</f>
        <v/>
      </c>
    </row>
    <row r="168" ht="15" customHeight="1">
      <c r="A168" t="inlineStr">
        <is>
          <t>A 53014-2023</t>
        </is>
      </c>
      <c r="B168" s="1" t="n">
        <v>45226</v>
      </c>
      <c r="C168" s="1" t="n">
        <v>45729</v>
      </c>
      <c r="D168" t="inlineStr">
        <is>
          <t>JÄMTLANDS LÄN</t>
        </is>
      </c>
      <c r="E168" t="inlineStr">
        <is>
          <t>ÅRE</t>
        </is>
      </c>
      <c r="F168" t="inlineStr">
        <is>
          <t>Övriga Aktiebolag</t>
        </is>
      </c>
      <c r="G168" t="n">
        <v>9.4</v>
      </c>
      <c r="H168" t="n">
        <v>1</v>
      </c>
      <c r="I168" t="n">
        <v>1</v>
      </c>
      <c r="J168" t="n">
        <v>1</v>
      </c>
      <c r="K168" t="n">
        <v>0</v>
      </c>
      <c r="L168" t="n">
        <v>0</v>
      </c>
      <c r="M168" t="n">
        <v>0</v>
      </c>
      <c r="N168" t="n">
        <v>0</v>
      </c>
      <c r="O168" t="n">
        <v>1</v>
      </c>
      <c r="P168" t="n">
        <v>0</v>
      </c>
      <c r="Q168" t="n">
        <v>2</v>
      </c>
      <c r="R168" s="2" t="inlineStr">
        <is>
          <t>Vedflikmossa
Spindelblomster</t>
        </is>
      </c>
      <c r="S168">
        <f>HYPERLINK("https://klasma.github.io/Logging_2321/artfynd/A 53014-2023 artfynd.xlsx", "A 53014-2023")</f>
        <v/>
      </c>
      <c r="T168">
        <f>HYPERLINK("https://klasma.github.io/Logging_2321/kartor/A 53014-2023 karta.png", "A 53014-2023")</f>
        <v/>
      </c>
      <c r="V168">
        <f>HYPERLINK("https://klasma.github.io/Logging_2321/klagomål/A 53014-2023 FSC-klagomål.docx", "A 53014-2023")</f>
        <v/>
      </c>
      <c r="W168">
        <f>HYPERLINK("https://klasma.github.io/Logging_2321/klagomålsmail/A 53014-2023 FSC-klagomål mail.docx", "A 53014-2023")</f>
        <v/>
      </c>
      <c r="X168">
        <f>HYPERLINK("https://klasma.github.io/Logging_2321/tillsyn/A 53014-2023 tillsynsbegäran.docx", "A 53014-2023")</f>
        <v/>
      </c>
      <c r="Y168">
        <f>HYPERLINK("https://klasma.github.io/Logging_2321/tillsynsmail/A 53014-2023 tillsynsbegäran mail.docx", "A 53014-2023")</f>
        <v/>
      </c>
    </row>
    <row r="169" ht="15" customHeight="1">
      <c r="A169" t="inlineStr">
        <is>
          <t>A 54055-2023</t>
        </is>
      </c>
      <c r="B169" s="1" t="n">
        <v>45231</v>
      </c>
      <c r="C169" s="1" t="n">
        <v>45729</v>
      </c>
      <c r="D169" t="inlineStr">
        <is>
          <t>JÄMTLANDS LÄN</t>
        </is>
      </c>
      <c r="E169" t="inlineStr">
        <is>
          <t>ÅRE</t>
        </is>
      </c>
      <c r="F169" t="inlineStr">
        <is>
          <t>Övriga Aktiebolag</t>
        </is>
      </c>
      <c r="G169" t="n">
        <v>14.1</v>
      </c>
      <c r="H169" t="n">
        <v>1</v>
      </c>
      <c r="I169" t="n">
        <v>0</v>
      </c>
      <c r="J169" t="n">
        <v>2</v>
      </c>
      <c r="K169" t="n">
        <v>0</v>
      </c>
      <c r="L169" t="n">
        <v>0</v>
      </c>
      <c r="M169" t="n">
        <v>0</v>
      </c>
      <c r="N169" t="n">
        <v>0</v>
      </c>
      <c r="O169" t="n">
        <v>2</v>
      </c>
      <c r="P169" t="n">
        <v>0</v>
      </c>
      <c r="Q169" t="n">
        <v>2</v>
      </c>
      <c r="R169" s="2" t="inlineStr">
        <is>
          <t>Tretåig hackspett
Ullticka</t>
        </is>
      </c>
      <c r="S169">
        <f>HYPERLINK("https://klasma.github.io/Logging_2321/artfynd/A 54055-2023 artfynd.xlsx", "A 54055-2023")</f>
        <v/>
      </c>
      <c r="T169">
        <f>HYPERLINK("https://klasma.github.io/Logging_2321/kartor/A 54055-2023 karta.png", "A 54055-2023")</f>
        <v/>
      </c>
      <c r="V169">
        <f>HYPERLINK("https://klasma.github.io/Logging_2321/klagomål/A 54055-2023 FSC-klagomål.docx", "A 54055-2023")</f>
        <v/>
      </c>
      <c r="W169">
        <f>HYPERLINK("https://klasma.github.io/Logging_2321/klagomålsmail/A 54055-2023 FSC-klagomål mail.docx", "A 54055-2023")</f>
        <v/>
      </c>
      <c r="X169">
        <f>HYPERLINK("https://klasma.github.io/Logging_2321/tillsyn/A 54055-2023 tillsynsbegäran.docx", "A 54055-2023")</f>
        <v/>
      </c>
      <c r="Y169">
        <f>HYPERLINK("https://klasma.github.io/Logging_2321/tillsynsmail/A 54055-2023 tillsynsbegäran mail.docx", "A 54055-2023")</f>
        <v/>
      </c>
      <c r="Z169">
        <f>HYPERLINK("https://klasma.github.io/Logging_2321/fåglar/A 54055-2023 prioriterade fågelarter.docx", "A 54055-2023")</f>
        <v/>
      </c>
    </row>
    <row r="170" ht="15" customHeight="1">
      <c r="A170" t="inlineStr">
        <is>
          <t>A 54128-2023</t>
        </is>
      </c>
      <c r="B170" s="1" t="n">
        <v>45232</v>
      </c>
      <c r="C170" s="1" t="n">
        <v>45729</v>
      </c>
      <c r="D170" t="inlineStr">
        <is>
          <t>JÄMTLANDS LÄN</t>
        </is>
      </c>
      <c r="E170" t="inlineStr">
        <is>
          <t>ÅRE</t>
        </is>
      </c>
      <c r="G170" t="n">
        <v>3.9</v>
      </c>
      <c r="H170" t="n">
        <v>1</v>
      </c>
      <c r="I170" t="n">
        <v>0</v>
      </c>
      <c r="J170" t="n">
        <v>2</v>
      </c>
      <c r="K170" t="n">
        <v>0</v>
      </c>
      <c r="L170" t="n">
        <v>0</v>
      </c>
      <c r="M170" t="n">
        <v>0</v>
      </c>
      <c r="N170" t="n">
        <v>0</v>
      </c>
      <c r="O170" t="n">
        <v>2</v>
      </c>
      <c r="P170" t="n">
        <v>0</v>
      </c>
      <c r="Q170" t="n">
        <v>2</v>
      </c>
      <c r="R170" s="2" t="inlineStr">
        <is>
          <t>Garnlav
Tretåig hackspett</t>
        </is>
      </c>
      <c r="S170">
        <f>HYPERLINK("https://klasma.github.io/Logging_2321/artfynd/A 54128-2023 artfynd.xlsx", "A 54128-2023")</f>
        <v/>
      </c>
      <c r="T170">
        <f>HYPERLINK("https://klasma.github.io/Logging_2321/kartor/A 54128-2023 karta.png", "A 54128-2023")</f>
        <v/>
      </c>
      <c r="V170">
        <f>HYPERLINK("https://klasma.github.io/Logging_2321/klagomål/A 54128-2023 FSC-klagomål.docx", "A 54128-2023")</f>
        <v/>
      </c>
      <c r="W170">
        <f>HYPERLINK("https://klasma.github.io/Logging_2321/klagomålsmail/A 54128-2023 FSC-klagomål mail.docx", "A 54128-2023")</f>
        <v/>
      </c>
      <c r="X170">
        <f>HYPERLINK("https://klasma.github.io/Logging_2321/tillsyn/A 54128-2023 tillsynsbegäran.docx", "A 54128-2023")</f>
        <v/>
      </c>
      <c r="Y170">
        <f>HYPERLINK("https://klasma.github.io/Logging_2321/tillsynsmail/A 54128-2023 tillsynsbegäran mail.docx", "A 54128-2023")</f>
        <v/>
      </c>
      <c r="Z170">
        <f>HYPERLINK("https://klasma.github.io/Logging_2321/fåglar/A 54128-2023 prioriterade fågelarter.docx", "A 54128-2023")</f>
        <v/>
      </c>
    </row>
    <row r="171" ht="15" customHeight="1">
      <c r="A171" t="inlineStr">
        <is>
          <t>A 57771-2023</t>
        </is>
      </c>
      <c r="B171" s="1" t="n">
        <v>45246</v>
      </c>
      <c r="C171" s="1" t="n">
        <v>45729</v>
      </c>
      <c r="D171" t="inlineStr">
        <is>
          <t>JÄMTLANDS LÄN</t>
        </is>
      </c>
      <c r="E171" t="inlineStr">
        <is>
          <t>ÅRE</t>
        </is>
      </c>
      <c r="G171" t="n">
        <v>2.1</v>
      </c>
      <c r="H171" t="n">
        <v>0</v>
      </c>
      <c r="I171" t="n">
        <v>0</v>
      </c>
      <c r="J171" t="n">
        <v>2</v>
      </c>
      <c r="K171" t="n">
        <v>0</v>
      </c>
      <c r="L171" t="n">
        <v>0</v>
      </c>
      <c r="M171" t="n">
        <v>0</v>
      </c>
      <c r="N171" t="n">
        <v>0</v>
      </c>
      <c r="O171" t="n">
        <v>2</v>
      </c>
      <c r="P171" t="n">
        <v>0</v>
      </c>
      <c r="Q171" t="n">
        <v>2</v>
      </c>
      <c r="R171" s="2" t="inlineStr">
        <is>
          <t>Granticka
Harticka</t>
        </is>
      </c>
      <c r="S171">
        <f>HYPERLINK("https://klasma.github.io/Logging_2321/artfynd/A 57771-2023 artfynd.xlsx", "A 57771-2023")</f>
        <v/>
      </c>
      <c r="T171">
        <f>HYPERLINK("https://klasma.github.io/Logging_2321/kartor/A 57771-2023 karta.png", "A 57771-2023")</f>
        <v/>
      </c>
      <c r="V171">
        <f>HYPERLINK("https://klasma.github.io/Logging_2321/klagomål/A 57771-2023 FSC-klagomål.docx", "A 57771-2023")</f>
        <v/>
      </c>
      <c r="W171">
        <f>HYPERLINK("https://klasma.github.io/Logging_2321/klagomålsmail/A 57771-2023 FSC-klagomål mail.docx", "A 57771-2023")</f>
        <v/>
      </c>
      <c r="X171">
        <f>HYPERLINK("https://klasma.github.io/Logging_2321/tillsyn/A 57771-2023 tillsynsbegäran.docx", "A 57771-2023")</f>
        <v/>
      </c>
      <c r="Y171">
        <f>HYPERLINK("https://klasma.github.io/Logging_2321/tillsynsmail/A 57771-2023 tillsynsbegäran mail.docx", "A 57771-2023")</f>
        <v/>
      </c>
    </row>
    <row r="172" ht="15" customHeight="1">
      <c r="A172" t="inlineStr">
        <is>
          <t>A 12466-2024</t>
        </is>
      </c>
      <c r="B172" s="1" t="n">
        <v>45379</v>
      </c>
      <c r="C172" s="1" t="n">
        <v>45729</v>
      </c>
      <c r="D172" t="inlineStr">
        <is>
          <t>JÄMTLANDS LÄN</t>
        </is>
      </c>
      <c r="E172" t="inlineStr">
        <is>
          <t>ÅRE</t>
        </is>
      </c>
      <c r="G172" t="n">
        <v>7.1</v>
      </c>
      <c r="H172" t="n">
        <v>1</v>
      </c>
      <c r="I172" t="n">
        <v>0</v>
      </c>
      <c r="J172" t="n">
        <v>2</v>
      </c>
      <c r="K172" t="n">
        <v>0</v>
      </c>
      <c r="L172" t="n">
        <v>0</v>
      </c>
      <c r="M172" t="n">
        <v>0</v>
      </c>
      <c r="N172" t="n">
        <v>0</v>
      </c>
      <c r="O172" t="n">
        <v>2</v>
      </c>
      <c r="P172" t="n">
        <v>0</v>
      </c>
      <c r="Q172" t="n">
        <v>2</v>
      </c>
      <c r="R172" s="2" t="inlineStr">
        <is>
          <t>Granticka
Tretåig hackspett</t>
        </is>
      </c>
      <c r="S172">
        <f>HYPERLINK("https://klasma.github.io/Logging_2321/artfynd/A 12466-2024 artfynd.xlsx", "A 12466-2024")</f>
        <v/>
      </c>
      <c r="T172">
        <f>HYPERLINK("https://klasma.github.io/Logging_2321/kartor/A 12466-2024 karta.png", "A 12466-2024")</f>
        <v/>
      </c>
      <c r="V172">
        <f>HYPERLINK("https://klasma.github.io/Logging_2321/klagomål/A 12466-2024 FSC-klagomål.docx", "A 12466-2024")</f>
        <v/>
      </c>
      <c r="W172">
        <f>HYPERLINK("https://klasma.github.io/Logging_2321/klagomålsmail/A 12466-2024 FSC-klagomål mail.docx", "A 12466-2024")</f>
        <v/>
      </c>
      <c r="X172">
        <f>HYPERLINK("https://klasma.github.io/Logging_2321/tillsyn/A 12466-2024 tillsynsbegäran.docx", "A 12466-2024")</f>
        <v/>
      </c>
      <c r="Y172">
        <f>HYPERLINK("https://klasma.github.io/Logging_2321/tillsynsmail/A 12466-2024 tillsynsbegäran mail.docx", "A 12466-2024")</f>
        <v/>
      </c>
      <c r="Z172">
        <f>HYPERLINK("https://klasma.github.io/Logging_2321/fåglar/A 12466-2024 prioriterade fågelarter.docx", "A 12466-2024")</f>
        <v/>
      </c>
    </row>
    <row r="173" ht="15" customHeight="1">
      <c r="A173" t="inlineStr">
        <is>
          <t>A 17489-2024</t>
        </is>
      </c>
      <c r="B173" s="1" t="n">
        <v>45415</v>
      </c>
      <c r="C173" s="1" t="n">
        <v>45729</v>
      </c>
      <c r="D173" t="inlineStr">
        <is>
          <t>JÄMTLANDS LÄN</t>
        </is>
      </c>
      <c r="E173" t="inlineStr">
        <is>
          <t>ÅRE</t>
        </is>
      </c>
      <c r="G173" t="n">
        <v>12.9</v>
      </c>
      <c r="H173" t="n">
        <v>1</v>
      </c>
      <c r="I173" t="n">
        <v>0</v>
      </c>
      <c r="J173" t="n">
        <v>2</v>
      </c>
      <c r="K173" t="n">
        <v>0</v>
      </c>
      <c r="L173" t="n">
        <v>0</v>
      </c>
      <c r="M173" t="n">
        <v>0</v>
      </c>
      <c r="N173" t="n">
        <v>0</v>
      </c>
      <c r="O173" t="n">
        <v>2</v>
      </c>
      <c r="P173" t="n">
        <v>0</v>
      </c>
      <c r="Q173" t="n">
        <v>2</v>
      </c>
      <c r="R173" s="2" t="inlineStr">
        <is>
          <t>Garnlav
Tretåig hackspett</t>
        </is>
      </c>
      <c r="S173">
        <f>HYPERLINK("https://klasma.github.io/Logging_2321/artfynd/A 17489-2024 artfynd.xlsx", "A 17489-2024")</f>
        <v/>
      </c>
      <c r="T173">
        <f>HYPERLINK("https://klasma.github.io/Logging_2321/kartor/A 17489-2024 karta.png", "A 17489-2024")</f>
        <v/>
      </c>
      <c r="V173">
        <f>HYPERLINK("https://klasma.github.io/Logging_2321/klagomål/A 17489-2024 FSC-klagomål.docx", "A 17489-2024")</f>
        <v/>
      </c>
      <c r="W173">
        <f>HYPERLINK("https://klasma.github.io/Logging_2321/klagomålsmail/A 17489-2024 FSC-klagomål mail.docx", "A 17489-2024")</f>
        <v/>
      </c>
      <c r="X173">
        <f>HYPERLINK("https://klasma.github.io/Logging_2321/tillsyn/A 17489-2024 tillsynsbegäran.docx", "A 17489-2024")</f>
        <v/>
      </c>
      <c r="Y173">
        <f>HYPERLINK("https://klasma.github.io/Logging_2321/tillsynsmail/A 17489-2024 tillsynsbegäran mail.docx", "A 17489-2024")</f>
        <v/>
      </c>
      <c r="Z173">
        <f>HYPERLINK("https://klasma.github.io/Logging_2321/fåglar/A 17489-2024 prioriterade fågelarter.docx", "A 17489-2024")</f>
        <v/>
      </c>
    </row>
    <row r="174" ht="15" customHeight="1">
      <c r="A174" t="inlineStr">
        <is>
          <t>A 18719-2024</t>
        </is>
      </c>
      <c r="B174" s="1" t="n">
        <v>45426</v>
      </c>
      <c r="C174" s="1" t="n">
        <v>45729</v>
      </c>
      <c r="D174" t="inlineStr">
        <is>
          <t>JÄMTLANDS LÄN</t>
        </is>
      </c>
      <c r="E174" t="inlineStr">
        <is>
          <t>ÅRE</t>
        </is>
      </c>
      <c r="F174" t="inlineStr">
        <is>
          <t>Övriga Aktiebolag</t>
        </is>
      </c>
      <c r="G174" t="n">
        <v>6.6</v>
      </c>
      <c r="H174" t="n">
        <v>1</v>
      </c>
      <c r="I174" t="n">
        <v>0</v>
      </c>
      <c r="J174" t="n">
        <v>2</v>
      </c>
      <c r="K174" t="n">
        <v>0</v>
      </c>
      <c r="L174" t="n">
        <v>0</v>
      </c>
      <c r="M174" t="n">
        <v>0</v>
      </c>
      <c r="N174" t="n">
        <v>0</v>
      </c>
      <c r="O174" t="n">
        <v>2</v>
      </c>
      <c r="P174" t="n">
        <v>0</v>
      </c>
      <c r="Q174" t="n">
        <v>2</v>
      </c>
      <c r="R174" s="2" t="inlineStr">
        <is>
          <t>Granticka
Tretåig hackspett</t>
        </is>
      </c>
      <c r="S174">
        <f>HYPERLINK("https://klasma.github.io/Logging_2321/artfynd/A 18719-2024 artfynd.xlsx", "A 18719-2024")</f>
        <v/>
      </c>
      <c r="T174">
        <f>HYPERLINK("https://klasma.github.io/Logging_2321/kartor/A 18719-2024 karta.png", "A 18719-2024")</f>
        <v/>
      </c>
      <c r="V174">
        <f>HYPERLINK("https://klasma.github.io/Logging_2321/klagomål/A 18719-2024 FSC-klagomål.docx", "A 18719-2024")</f>
        <v/>
      </c>
      <c r="W174">
        <f>HYPERLINK("https://klasma.github.io/Logging_2321/klagomålsmail/A 18719-2024 FSC-klagomål mail.docx", "A 18719-2024")</f>
        <v/>
      </c>
      <c r="X174">
        <f>HYPERLINK("https://klasma.github.io/Logging_2321/tillsyn/A 18719-2024 tillsynsbegäran.docx", "A 18719-2024")</f>
        <v/>
      </c>
      <c r="Y174">
        <f>HYPERLINK("https://klasma.github.io/Logging_2321/tillsynsmail/A 18719-2024 tillsynsbegäran mail.docx", "A 18719-2024")</f>
        <v/>
      </c>
      <c r="Z174">
        <f>HYPERLINK("https://klasma.github.io/Logging_2321/fåglar/A 18719-2024 prioriterade fågelarter.docx", "A 18719-2024")</f>
        <v/>
      </c>
    </row>
    <row r="175" ht="15" customHeight="1">
      <c r="A175" t="inlineStr">
        <is>
          <t>A 23625-2024</t>
        </is>
      </c>
      <c r="B175" s="1" t="n">
        <v>45454</v>
      </c>
      <c r="C175" s="1" t="n">
        <v>45729</v>
      </c>
      <c r="D175" t="inlineStr">
        <is>
          <t>JÄMTLANDS LÄN</t>
        </is>
      </c>
      <c r="E175" t="inlineStr">
        <is>
          <t>ÅRE</t>
        </is>
      </c>
      <c r="G175" t="n">
        <v>15.2</v>
      </c>
      <c r="H175" t="n">
        <v>2</v>
      </c>
      <c r="I175" t="n">
        <v>0</v>
      </c>
      <c r="J175" t="n">
        <v>1</v>
      </c>
      <c r="K175" t="n">
        <v>0</v>
      </c>
      <c r="L175" t="n">
        <v>0</v>
      </c>
      <c r="M175" t="n">
        <v>0</v>
      </c>
      <c r="N175" t="n">
        <v>0</v>
      </c>
      <c r="O175" t="n">
        <v>1</v>
      </c>
      <c r="P175" t="n">
        <v>0</v>
      </c>
      <c r="Q175" t="n">
        <v>2</v>
      </c>
      <c r="R175" s="2" t="inlineStr">
        <is>
          <t>Tretåig hackspett
Lavskrika</t>
        </is>
      </c>
      <c r="S175">
        <f>HYPERLINK("https://klasma.github.io/Logging_2321/artfynd/A 23625-2024 artfynd.xlsx", "A 23625-2024")</f>
        <v/>
      </c>
      <c r="T175">
        <f>HYPERLINK("https://klasma.github.io/Logging_2321/kartor/A 23625-2024 karta.png", "A 23625-2024")</f>
        <v/>
      </c>
      <c r="V175">
        <f>HYPERLINK("https://klasma.github.io/Logging_2321/klagomål/A 23625-2024 FSC-klagomål.docx", "A 23625-2024")</f>
        <v/>
      </c>
      <c r="W175">
        <f>HYPERLINK("https://klasma.github.io/Logging_2321/klagomålsmail/A 23625-2024 FSC-klagomål mail.docx", "A 23625-2024")</f>
        <v/>
      </c>
      <c r="X175">
        <f>HYPERLINK("https://klasma.github.io/Logging_2321/tillsyn/A 23625-2024 tillsynsbegäran.docx", "A 23625-2024")</f>
        <v/>
      </c>
      <c r="Y175">
        <f>HYPERLINK("https://klasma.github.io/Logging_2321/tillsynsmail/A 23625-2024 tillsynsbegäran mail.docx", "A 23625-2024")</f>
        <v/>
      </c>
      <c r="Z175">
        <f>HYPERLINK("https://klasma.github.io/Logging_2321/fåglar/A 23625-2024 prioriterade fågelarter.docx", "A 23625-2024")</f>
        <v/>
      </c>
    </row>
    <row r="176" ht="15" customHeight="1">
      <c r="A176" t="inlineStr">
        <is>
          <t>A 30987-2024</t>
        </is>
      </c>
      <c r="B176" s="1" t="n">
        <v>45499</v>
      </c>
      <c r="C176" s="1" t="n">
        <v>45729</v>
      </c>
      <c r="D176" t="inlineStr">
        <is>
          <t>JÄMTLANDS LÄN</t>
        </is>
      </c>
      <c r="E176" t="inlineStr">
        <is>
          <t>ÅRE</t>
        </is>
      </c>
      <c r="G176" t="n">
        <v>10</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30987-2024 artfynd.xlsx", "A 30987-2024")</f>
        <v/>
      </c>
      <c r="T176">
        <f>HYPERLINK("https://klasma.github.io/Logging_2321/kartor/A 30987-2024 karta.png", "A 30987-2024")</f>
        <v/>
      </c>
      <c r="V176">
        <f>HYPERLINK("https://klasma.github.io/Logging_2321/klagomål/A 30987-2024 FSC-klagomål.docx", "A 30987-2024")</f>
        <v/>
      </c>
      <c r="W176">
        <f>HYPERLINK("https://klasma.github.io/Logging_2321/klagomålsmail/A 30987-2024 FSC-klagomål mail.docx", "A 30987-2024")</f>
        <v/>
      </c>
      <c r="X176">
        <f>HYPERLINK("https://klasma.github.io/Logging_2321/tillsyn/A 30987-2024 tillsynsbegäran.docx", "A 30987-2024")</f>
        <v/>
      </c>
      <c r="Y176">
        <f>HYPERLINK("https://klasma.github.io/Logging_2321/tillsynsmail/A 30987-2024 tillsynsbegäran mail.docx", "A 30987-2024")</f>
        <v/>
      </c>
      <c r="Z176">
        <f>HYPERLINK("https://klasma.github.io/Logging_2321/fåglar/A 30987-2024 prioriterade fågelarter.docx", "A 30987-2024")</f>
        <v/>
      </c>
    </row>
    <row r="177" ht="15" customHeight="1">
      <c r="A177" t="inlineStr">
        <is>
          <t>A 46894-2024</t>
        </is>
      </c>
      <c r="B177" s="1" t="n">
        <v>45583</v>
      </c>
      <c r="C177" s="1" t="n">
        <v>45729</v>
      </c>
      <c r="D177" t="inlineStr">
        <is>
          <t>JÄMTLANDS LÄN</t>
        </is>
      </c>
      <c r="E177" t="inlineStr">
        <is>
          <t>ÅRE</t>
        </is>
      </c>
      <c r="G177" t="n">
        <v>23</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46894-2024 artfynd.xlsx", "A 46894-2024")</f>
        <v/>
      </c>
      <c r="T177">
        <f>HYPERLINK("https://klasma.github.io/Logging_2321/kartor/A 46894-2024 karta.png", "A 46894-2024")</f>
        <v/>
      </c>
      <c r="V177">
        <f>HYPERLINK("https://klasma.github.io/Logging_2321/klagomål/A 46894-2024 FSC-klagomål.docx", "A 46894-2024")</f>
        <v/>
      </c>
      <c r="W177">
        <f>HYPERLINK("https://klasma.github.io/Logging_2321/klagomålsmail/A 46894-2024 FSC-klagomål mail.docx", "A 46894-2024")</f>
        <v/>
      </c>
      <c r="X177">
        <f>HYPERLINK("https://klasma.github.io/Logging_2321/tillsyn/A 46894-2024 tillsynsbegäran.docx", "A 46894-2024")</f>
        <v/>
      </c>
      <c r="Y177">
        <f>HYPERLINK("https://klasma.github.io/Logging_2321/tillsynsmail/A 46894-2024 tillsynsbegäran mail.docx", "A 46894-2024")</f>
        <v/>
      </c>
      <c r="Z177">
        <f>HYPERLINK("https://klasma.github.io/Logging_2321/fåglar/A 46894-2024 prioriterade fågelarter.docx", "A 46894-2024")</f>
        <v/>
      </c>
    </row>
    <row r="178" ht="15" customHeight="1">
      <c r="A178" t="inlineStr">
        <is>
          <t>A 49977-2024</t>
        </is>
      </c>
      <c r="B178" s="1" t="n">
        <v>45597</v>
      </c>
      <c r="C178" s="1" t="n">
        <v>45729</v>
      </c>
      <c r="D178" t="inlineStr">
        <is>
          <t>JÄMTLANDS LÄN</t>
        </is>
      </c>
      <c r="E178" t="inlineStr">
        <is>
          <t>ÅRE</t>
        </is>
      </c>
      <c r="G178" t="n">
        <v>13.3</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HYPERLINK("https://klasma.github.io/Logging_2321/artfynd/A 49977-2024 artfynd.xlsx", "A 49977-2024")</f>
        <v/>
      </c>
      <c r="T178">
        <f>HYPERLINK("https://klasma.github.io/Logging_2321/kartor/A 49977-2024 karta.png", "A 49977-2024")</f>
        <v/>
      </c>
      <c r="V178">
        <f>HYPERLINK("https://klasma.github.io/Logging_2321/klagomål/A 49977-2024 FSC-klagomål.docx", "A 49977-2024")</f>
        <v/>
      </c>
      <c r="W178">
        <f>HYPERLINK("https://klasma.github.io/Logging_2321/klagomålsmail/A 49977-2024 FSC-klagomål mail.docx", "A 49977-2024")</f>
        <v/>
      </c>
      <c r="X178">
        <f>HYPERLINK("https://klasma.github.io/Logging_2321/tillsyn/A 49977-2024 tillsynsbegäran.docx", "A 49977-2024")</f>
        <v/>
      </c>
      <c r="Y178">
        <f>HYPERLINK("https://klasma.github.io/Logging_2321/tillsynsmail/A 49977-2024 tillsynsbegäran mail.docx", "A 49977-2024")</f>
        <v/>
      </c>
      <c r="Z178">
        <f>HYPERLINK("https://klasma.github.io/Logging_2321/fåglar/A 49977-2024 prioriterade fågelarter.docx", "A 49977-2024")</f>
        <v/>
      </c>
    </row>
    <row r="179" ht="15" customHeight="1">
      <c r="A179" t="inlineStr">
        <is>
          <t>A 8982-2025</t>
        </is>
      </c>
      <c r="B179" s="1" t="n">
        <v>45713</v>
      </c>
      <c r="C179" s="1" t="n">
        <v>45729</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45729</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45729</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45729</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45729</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45729</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45729</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45729</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45729</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45729</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45729</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45729</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45729</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45729</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45729</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45729</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45729</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45729</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45729</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45729</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45729</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45729</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45729</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45729</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45729</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45729</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45729</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45729</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45729</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45729</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45729</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45729</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45729</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45729</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45729</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45729</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45729</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45729</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45729</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45729</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45729</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45729</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45729</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45729</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45729</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45729</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45729</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45729</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45729</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45729</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45729</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45729</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45729</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45729</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45729</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45729</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45729</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45729</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45729</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45729</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45729</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45729</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45729</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45729</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45729</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45729</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45729</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45729</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45729</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45729</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45729</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45729</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45729</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45729</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45729</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45729</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45729</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45729</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45729</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45729</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45729</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45729</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45729</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45729</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45729</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45729</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45729</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45729</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45729</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45729</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45729</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45729</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45729</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45729</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45729</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45729</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45729</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45729</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45729</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45729</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45729</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45729</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45729</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45729</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45729</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45729</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45729</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45729</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45729</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45729</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45729</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45729</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45729</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45729</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45729</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45729</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45729</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45729</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45729</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45729</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45729</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45729</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45729</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45729</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45729</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45729</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45729</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45729</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45729</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45729</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45729</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45729</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45729</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45729</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45729</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45729</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45729</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45729</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45729</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45729</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45729</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45729</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45729</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45729</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45729</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45729</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45729</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45729</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45729</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45729</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45729</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45729</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45729</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45729</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45729</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45729</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45729</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45729</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45729</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45729</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45729</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45729</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45729</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45729</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45729</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45729</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45729</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45729</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45729</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45729</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45729</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45729</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45729</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45729</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45729</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45729</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45729</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45729</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45729</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45729</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45729</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45729</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45729</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45729</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45729</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45729</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45729</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45729</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45729</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45729</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45729</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45729</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45729</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45729</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45729</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45729</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45729</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45729</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45729</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45729</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45729</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45729</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45729</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45729</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45729</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45729</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45729</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45729</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45729</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45729</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45729</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45729</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45729</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45729</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45729</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45729</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45729</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45729</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45729</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45729</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45729</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45729</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45729</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45729</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45729</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45729</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45729</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45729</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45729</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45729</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45729</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45729</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45729</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45729</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45729</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45729</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45729</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45729</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45729</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45729</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45729</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45729</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45729</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45729</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45729</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45729</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45729</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45729</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45729</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45729</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45729</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45729</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45729</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45729</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45729</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45729</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45729</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45729</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45729</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45729</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45729</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45729</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45729</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45729</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45729</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45729</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45729</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45729</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45729</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45729</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45729</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45729</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45729</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45729</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45729</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45729</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45729</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45729</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45729</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45729</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45729</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45729</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45729</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45729</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45729</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45729</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45729</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45729</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45729</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45729</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45729</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45729</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45729</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45729</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45729</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45729</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45729</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45729</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45729</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45729</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45729</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45729</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45729</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45729</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45729</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45729</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45729</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45729</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45729</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45729</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45729</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45729</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45729</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45729</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45729</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45729</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45729</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45729</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45729</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45729</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45729</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45729</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45729</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45729</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45729</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45729</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45729</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45729</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45729</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45729</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45729</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45729</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45729</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45729</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45729</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45729</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45729</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45729</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45729</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45729</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45729</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45729</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45729</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45729</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45729</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45729</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45729</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45729</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45729</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45729</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45729</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45729</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45729</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45729</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45729</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45729</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45729</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45729</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45729</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45729</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45729</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45729</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45729</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45729</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45729</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45729</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45729</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45729</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45729</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45729</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45729</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45729</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45729</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45729</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45729</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45729</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45729</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45729</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45729</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45729</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45729</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45729</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45729</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45729</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45729</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45729</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45729</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45729</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45729</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45729</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45729</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45729</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45729</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45729</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45729</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45729</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45729</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45729</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45729</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45729</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45729</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45729</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45729</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45729</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45729</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45729</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45729</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45729</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45729</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45729</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45729</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45729</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45729</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45729</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45729</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45729</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45729</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45729</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45729</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45729</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45729</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45729</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45729</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45729</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45729</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45729</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45729</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45729</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45729</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45729</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45729</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45729</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45729</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45729</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45729</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45729</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45729</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45729</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45729</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45729</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45729</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45729</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45729</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45729</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45729</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45729</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45729</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45729</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45729</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45729</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45729</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45729</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45729</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45729</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45729</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45729</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45729</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45729</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45729</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45729</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45729</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45729</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45729</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45729</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45729</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45729</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45729</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45729</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45729</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45729</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45729</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45729</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45729</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45729</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45729</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45729</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45729</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45729</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45729</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45729</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45729</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45729</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45729</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45729</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45729</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45729</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45729</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45729</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45729</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45729</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45729</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45729</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45729</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45729</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45729</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45729</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45729</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45729</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45729</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45729</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45729</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45729</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45729</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45729</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45729</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45729</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45729</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45729</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45729</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45729</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45729</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45729</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45729</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45729</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45729</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45729</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45729</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45729</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45729</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45729</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45729</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45729</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45729</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45729</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45729</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45729</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45729</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45729</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45729</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45729</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45729</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45729</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45729</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45729</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45729</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45729</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45729</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45729</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45729</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45729</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45729</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45729</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45729</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45729</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45729</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45729</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45729</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45729</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45729</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45729</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45729</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45729</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45729</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45729</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45729</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45729</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45729</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45729</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45729</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45729</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45729</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45729</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45729</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45729</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45729</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45729</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45729</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45729</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45729</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45729</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45729</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45729</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45729</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45729</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45729</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45729</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45729</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45729</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45729</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45729</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45729</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45729</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45729</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45729</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45729</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45729</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45729</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45729</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45729</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45729</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45729</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45729</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45729</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45729</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45729</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45729</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45729</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45729</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45729</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45729</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45729</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45729</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45729</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45729</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45729</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45729</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45729</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45729</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45729</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45729</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45729</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45729</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45729</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45729</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45729</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45729</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45729</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45729</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45729</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45729</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45729</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45729</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45729</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45729</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45729</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45729</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45729</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45729</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45729</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45729</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45729</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45729</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45729</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45729</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45729</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45729</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45729</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45729</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45729</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45729</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45729</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45729</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45729</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45729</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45729</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45729</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45729</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45729</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45729</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45729</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45729</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45729</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45729</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45729</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45729</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45729</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45729</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45729</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45729</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45729</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45729</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45729</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45729</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45729</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45729</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45729</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45729</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45729</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45729</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45729</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45729</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45729</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45729</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45729</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45729</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45729</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45729</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45729</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45729</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45729</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45729</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45729</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45729</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45729</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45729</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45729</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45729</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45729</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45729</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45729</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45729</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45729</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45729</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45729</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45729</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45729</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45729</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45729</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45729</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45729</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45729</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45729</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45729</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45729</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45729</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45729</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45729</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45729</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45729</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45729</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45729</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45729</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45729</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45729</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45729</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45729</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45729</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45729</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45729</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45729</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45729</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45729</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45729</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45729</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45729</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45729</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45729</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45729</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45729</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45729</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45729</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45729</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45729</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45729</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45729</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45729</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45729</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45729</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45729</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45729</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45729</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45729</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45729</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45729</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45729</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45729</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45729</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45729</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45729</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45729</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45729</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45729</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45729</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45729</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45729</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45729</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45729</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45729</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45729</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45729</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45729</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45729</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45729</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45729</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45729</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45729</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45729</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45729</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45729</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45729</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45729</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45729</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45729</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45729</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45729</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45729</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45729</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45729</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45729</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45729</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45729</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45729</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45729</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45729</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45729</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45729</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45729</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45729</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45729</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45729</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45729</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45729</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45729</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45729</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4938-2025</t>
        </is>
      </c>
      <c r="B973" s="1" t="n">
        <v>45688</v>
      </c>
      <c r="C973" s="1" t="n">
        <v>45729</v>
      </c>
      <c r="D973" t="inlineStr">
        <is>
          <t>JÄMTLANDS LÄN</t>
        </is>
      </c>
      <c r="E973" t="inlineStr">
        <is>
          <t>ÅRE</t>
        </is>
      </c>
      <c r="G973" t="n">
        <v>0.9</v>
      </c>
      <c r="H973" t="n">
        <v>0</v>
      </c>
      <c r="I973" t="n">
        <v>0</v>
      </c>
      <c r="J973" t="n">
        <v>0</v>
      </c>
      <c r="K973" t="n">
        <v>0</v>
      </c>
      <c r="L973" t="n">
        <v>0</v>
      </c>
      <c r="M973" t="n">
        <v>0</v>
      </c>
      <c r="N973" t="n">
        <v>0</v>
      </c>
      <c r="O973" t="n">
        <v>0</v>
      </c>
      <c r="P973" t="n">
        <v>0</v>
      </c>
      <c r="Q973" t="n">
        <v>0</v>
      </c>
      <c r="R973" s="2" t="inlineStr"/>
    </row>
    <row r="974" ht="15" customHeight="1">
      <c r="A974" t="inlineStr">
        <is>
          <t>A 4937-2025</t>
        </is>
      </c>
      <c r="B974" s="1" t="n">
        <v>45688</v>
      </c>
      <c r="C974" s="1" t="n">
        <v>45729</v>
      </c>
      <c r="D974" t="inlineStr">
        <is>
          <t>JÄMTLANDS LÄN</t>
        </is>
      </c>
      <c r="E974" t="inlineStr">
        <is>
          <t>ÅRE</t>
        </is>
      </c>
      <c r="G974" t="n">
        <v>1.8</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45729</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5611-2025</t>
        </is>
      </c>
      <c r="B976" s="1" t="n">
        <v>45693</v>
      </c>
      <c r="C976" s="1" t="n">
        <v>45729</v>
      </c>
      <c r="D976" t="inlineStr">
        <is>
          <t>JÄMTLANDS LÄN</t>
        </is>
      </c>
      <c r="E976" t="inlineStr">
        <is>
          <t>ÅRE</t>
        </is>
      </c>
      <c r="G976" t="n">
        <v>2.9</v>
      </c>
      <c r="H976" t="n">
        <v>0</v>
      </c>
      <c r="I976" t="n">
        <v>0</v>
      </c>
      <c r="J976" t="n">
        <v>0</v>
      </c>
      <c r="K976" t="n">
        <v>0</v>
      </c>
      <c r="L976" t="n">
        <v>0</v>
      </c>
      <c r="M976" t="n">
        <v>0</v>
      </c>
      <c r="N976" t="n">
        <v>0</v>
      </c>
      <c r="O976" t="n">
        <v>0</v>
      </c>
      <c r="P976" t="n">
        <v>0</v>
      </c>
      <c r="Q976" t="n">
        <v>0</v>
      </c>
      <c r="R976" s="2" t="inlineStr"/>
    </row>
    <row r="977" ht="15" customHeight="1">
      <c r="A977" t="inlineStr">
        <is>
          <t>A 5610-2025</t>
        </is>
      </c>
      <c r="B977" s="1" t="n">
        <v>45693</v>
      </c>
      <c r="C977" s="1" t="n">
        <v>45729</v>
      </c>
      <c r="D977" t="inlineStr">
        <is>
          <t>JÄMTLANDS LÄN</t>
        </is>
      </c>
      <c r="E977" t="inlineStr">
        <is>
          <t>ÅRE</t>
        </is>
      </c>
      <c r="G977" t="n">
        <v>1.6</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45729</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45729</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45729</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45729</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8788-2025</t>
        </is>
      </c>
      <c r="B982" s="1" t="n">
        <v>45712</v>
      </c>
      <c r="C982" s="1" t="n">
        <v>45729</v>
      </c>
      <c r="D982" t="inlineStr">
        <is>
          <t>JÄMTLANDS LÄN</t>
        </is>
      </c>
      <c r="E982" t="inlineStr">
        <is>
          <t>ÅRE</t>
        </is>
      </c>
      <c r="G982" t="n">
        <v>2.7</v>
      </c>
      <c r="H982" t="n">
        <v>0</v>
      </c>
      <c r="I982" t="n">
        <v>0</v>
      </c>
      <c r="J982" t="n">
        <v>0</v>
      </c>
      <c r="K982" t="n">
        <v>0</v>
      </c>
      <c r="L982" t="n">
        <v>0</v>
      </c>
      <c r="M982" t="n">
        <v>0</v>
      </c>
      <c r="N982" t="n">
        <v>0</v>
      </c>
      <c r="O982" t="n">
        <v>0</v>
      </c>
      <c r="P982" t="n">
        <v>0</v>
      </c>
      <c r="Q982" t="n">
        <v>0</v>
      </c>
      <c r="R982" s="2" t="inlineStr"/>
    </row>
    <row r="983" ht="15" customHeight="1">
      <c r="A983" t="inlineStr">
        <is>
          <t>A 8798-2025</t>
        </is>
      </c>
      <c r="B983" s="1" t="n">
        <v>45712</v>
      </c>
      <c r="C983" s="1" t="n">
        <v>45729</v>
      </c>
      <c r="D983" t="inlineStr">
        <is>
          <t>JÄMTLANDS LÄN</t>
        </is>
      </c>
      <c r="E983" t="inlineStr">
        <is>
          <t>ÅRE</t>
        </is>
      </c>
      <c r="G983" t="n">
        <v>1.6</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45729</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45729</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2025-03-13T16:49:53Z</dcterms:created>
  <dcterms:modified xmlns:dcterms="http://purl.org/dc/terms/" xmlns:xsi="http://www.w3.org/2001/XMLSchema-instance" xsi:type="dcterms:W3CDTF">2025-03-13T16:49:54Z</dcterms:modified>
</cp:coreProperties>
</file>